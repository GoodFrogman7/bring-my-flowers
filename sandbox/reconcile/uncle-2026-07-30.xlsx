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https://d.docs.live.net/f90bce48fe946bb5/Desktop/"/>
    </mc:Choice>
  </mc:AlternateContent>
  <xr:revisionPtr revIDLastSave="69" documentId="8_{7E2DFAE9-E08B-49C4-97E4-AC9A5DEDE79B}" xr6:coauthVersionLast="47" xr6:coauthVersionMax="47" xr10:uidLastSave="{BA4BE767-93F6-4D5A-B5CE-F7423C671DEE}"/>
  <bookViews>
    <workbookView xWindow="-107" yWindow="-107" windowWidth="20847" windowHeight="11100" xr2:uid="{880773FC-05D2-4E79-B981-A2B99A8162CB}"/>
  </bookViews>
  <sheets>
    <sheet name="Sheet1" sheetId="1" r:id="rId1"/>
    <sheet name="Sheet2" sheetId="2" r:id="rId2"/>
  </sheets>
  <externalReferences>
    <externalReference r:id="rId3"/>
    <externalReference r:id="rId4"/>
  </externalReferences>
  <definedNames>
    <definedName name="_xlnm._FilterDatabase" localSheetId="0" hidden="1">Sheet1!$A$1:$AD$96</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97" i="1" l="1"/>
  <c r="Q60" i="2"/>
  <c r="O59" i="2"/>
  <c r="H59" i="2"/>
  <c r="O58" i="2"/>
  <c r="O57" i="2"/>
  <c r="O56" i="2"/>
  <c r="O55" i="2"/>
  <c r="O54" i="2"/>
  <c r="O53" i="2"/>
  <c r="O52" i="2"/>
  <c r="O51" i="2"/>
  <c r="O50" i="2"/>
  <c r="O49" i="2"/>
  <c r="O48" i="2"/>
  <c r="O47" i="2"/>
  <c r="O46" i="2"/>
  <c r="O45" i="2"/>
  <c r="O44" i="2"/>
  <c r="O43" i="2"/>
  <c r="O42" i="2"/>
  <c r="O41" i="2"/>
  <c r="O40" i="2"/>
  <c r="N38" i="2"/>
  <c r="M38" i="2"/>
  <c r="L38" i="2"/>
  <c r="K38" i="2"/>
  <c r="J38" i="2"/>
  <c r="I38" i="2"/>
  <c r="H38" i="2"/>
  <c r="G38" i="2"/>
  <c r="F38" i="2"/>
  <c r="E38" i="2"/>
  <c r="D38" i="2"/>
  <c r="C38" i="2"/>
  <c r="B38" i="2"/>
  <c r="O23" i="2"/>
  <c r="O21" i="2"/>
  <c r="O20" i="2"/>
  <c r="O19" i="2"/>
  <c r="O18" i="2"/>
  <c r="O17" i="2"/>
  <c r="O16" i="2"/>
  <c r="O15" i="2"/>
  <c r="N14" i="2"/>
  <c r="M14" i="2"/>
  <c r="L14" i="2"/>
  <c r="K14" i="2"/>
  <c r="J14" i="2"/>
  <c r="I14" i="2"/>
  <c r="H14" i="2"/>
  <c r="G14" i="2"/>
  <c r="F14" i="2"/>
  <c r="E14" i="2"/>
  <c r="D14" i="2"/>
  <c r="C14" i="2"/>
  <c r="B14" i="2"/>
  <c r="N13" i="2"/>
  <c r="M13" i="2"/>
  <c r="L13" i="2"/>
  <c r="K13" i="2"/>
  <c r="J13" i="2"/>
  <c r="I13" i="2"/>
  <c r="H13" i="2"/>
  <c r="G13" i="2"/>
  <c r="F13" i="2"/>
  <c r="E13" i="2"/>
  <c r="D13" i="2"/>
  <c r="C13" i="2"/>
  <c r="B13" i="2"/>
  <c r="N12" i="2"/>
  <c r="M12" i="2"/>
  <c r="L12" i="2"/>
  <c r="K12" i="2"/>
  <c r="J12" i="2"/>
  <c r="I12" i="2"/>
  <c r="H12" i="2"/>
  <c r="G12" i="2"/>
  <c r="F12" i="2"/>
  <c r="E12" i="2"/>
  <c r="D12" i="2"/>
  <c r="C12" i="2"/>
  <c r="B12" i="2"/>
  <c r="N11" i="2"/>
  <c r="M11" i="2"/>
  <c r="L11" i="2"/>
  <c r="K11" i="2"/>
  <c r="J11" i="2"/>
  <c r="I11" i="2"/>
  <c r="H11" i="2"/>
  <c r="G11" i="2"/>
  <c r="F11" i="2"/>
  <c r="E11" i="2"/>
  <c r="D11" i="2"/>
  <c r="C11" i="2"/>
  <c r="B11" i="2"/>
  <c r="N10" i="2"/>
  <c r="M10" i="2"/>
  <c r="L10" i="2"/>
  <c r="K10" i="2"/>
  <c r="J10" i="2"/>
  <c r="I10" i="2"/>
  <c r="H10" i="2"/>
  <c r="G10" i="2"/>
  <c r="F10" i="2"/>
  <c r="E10" i="2"/>
  <c r="D10" i="2"/>
  <c r="C10" i="2"/>
  <c r="B10" i="2"/>
  <c r="N7" i="2"/>
  <c r="M7" i="2"/>
  <c r="L7" i="2"/>
  <c r="K7" i="2"/>
  <c r="J7" i="2"/>
  <c r="I7" i="2"/>
  <c r="H7" i="2"/>
  <c r="G7" i="2"/>
  <c r="F7" i="2"/>
  <c r="E7" i="2"/>
  <c r="D7" i="2"/>
  <c r="C7" i="2"/>
  <c r="B7" i="2"/>
  <c r="O6" i="2"/>
  <c r="P6" i="2" s="1"/>
  <c r="O5" i="2"/>
  <c r="P13" i="2" s="1"/>
  <c r="O4" i="2"/>
  <c r="P12" i="2" s="1"/>
  <c r="O3" i="2"/>
  <c r="P11" i="2" s="1"/>
  <c r="O2" i="2"/>
  <c r="P2" i="2" s="1"/>
  <c r="H22" i="2" l="1"/>
  <c r="H24" i="2" s="1"/>
  <c r="H26" i="2" s="1"/>
  <c r="H27" i="2" s="1"/>
  <c r="G22" i="2"/>
  <c r="G24" i="2" s="1"/>
  <c r="G26" i="2" s="1"/>
  <c r="G27" i="2" s="1"/>
  <c r="I22" i="2"/>
  <c r="I24" i="2" s="1"/>
  <c r="I26" i="2" s="1"/>
  <c r="I27" i="2" s="1"/>
  <c r="O38" i="2"/>
  <c r="O11" i="2"/>
  <c r="R11" i="2" s="1"/>
  <c r="O14" i="2"/>
  <c r="P3" i="2"/>
  <c r="R12" i="2"/>
  <c r="B22" i="2"/>
  <c r="B24" i="2" s="1"/>
  <c r="B26" i="2" s="1"/>
  <c r="B27" i="2" s="1"/>
  <c r="K22" i="2"/>
  <c r="K24" i="2" s="1"/>
  <c r="K26" i="2" s="1"/>
  <c r="K27" i="2" s="1"/>
  <c r="L22" i="2"/>
  <c r="L24" i="2" s="1"/>
  <c r="L26" i="2" s="1"/>
  <c r="L27" i="2" s="1"/>
  <c r="E22" i="2"/>
  <c r="E24" i="2" s="1"/>
  <c r="E26" i="2" s="1"/>
  <c r="E27" i="2" s="1"/>
  <c r="M22" i="2"/>
  <c r="M24" i="2" s="1"/>
  <c r="M26" i="2" s="1"/>
  <c r="M27" i="2" s="1"/>
  <c r="J22" i="2"/>
  <c r="J24" i="2" s="1"/>
  <c r="J26" i="2" s="1"/>
  <c r="J27" i="2" s="1"/>
  <c r="C22" i="2"/>
  <c r="C24" i="2" s="1"/>
  <c r="C26" i="2" s="1"/>
  <c r="C27" i="2" s="1"/>
  <c r="O13" i="2"/>
  <c r="R13" i="2" s="1"/>
  <c r="D22" i="2"/>
  <c r="D24" i="2" s="1"/>
  <c r="D26" i="2" s="1"/>
  <c r="D27" i="2" s="1"/>
  <c r="O7" i="2"/>
  <c r="F22" i="2"/>
  <c r="F24" i="2" s="1"/>
  <c r="F26" i="2" s="1"/>
  <c r="F27" i="2" s="1"/>
  <c r="N22" i="2"/>
  <c r="N24" i="2" s="1"/>
  <c r="N26" i="2" s="1"/>
  <c r="N27" i="2" s="1"/>
  <c r="O12" i="2"/>
  <c r="P4" i="2"/>
  <c r="P5" i="2"/>
  <c r="O10" i="2"/>
  <c r="P10" i="2"/>
  <c r="P14" i="2"/>
  <c r="R10" i="2" l="1"/>
  <c r="R14" i="2"/>
  <c r="P7" i="2"/>
  <c r="Q7" i="2" s="1"/>
  <c r="Q38" i="2" s="1"/>
  <c r="R15" i="2"/>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2" i="1"/>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2"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2"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2" i="1"/>
</calcChain>
</file>

<file path=xl/sharedStrings.xml><?xml version="1.0" encoding="utf-8"?>
<sst xmlns="http://schemas.openxmlformats.org/spreadsheetml/2006/main" count="1150" uniqueCount="531">
  <si>
    <t>ID</t>
  </si>
  <si>
    <t>Name</t>
  </si>
  <si>
    <t>Ph. Number</t>
  </si>
  <si>
    <t>Address</t>
  </si>
  <si>
    <t>Zone</t>
  </si>
  <si>
    <t>Day</t>
  </si>
  <si>
    <t>Time Slot</t>
  </si>
  <si>
    <t>Pack</t>
  </si>
  <si>
    <t>Revenue</t>
  </si>
  <si>
    <t xml:space="preserve"> Type</t>
  </si>
  <si>
    <t>Remarks</t>
  </si>
  <si>
    <t>Flower Restriction</t>
  </si>
  <si>
    <t>Extra Instruction</t>
  </si>
  <si>
    <t>Final Number of Delivery</t>
  </si>
  <si>
    <t>Mrs. Vandana Dutt Before 10</t>
  </si>
  <si>
    <t>15/002,South Close, Nirvana country</t>
  </si>
  <si>
    <t>Nirvana Country</t>
  </si>
  <si>
    <t>Thursday</t>
  </si>
  <si>
    <t>9 AM - 12 PM</t>
  </si>
  <si>
    <t>Bliss</t>
  </si>
  <si>
    <r>
      <t xml:space="preserve">Before -10-Asiatic Lily-white/pink/red (19/05) HoPur Orchid n Rajni in next del(21/09)1 week extended due to Diwali(08/11)  R n W Car Next(27/02)Spray Daisy instead of car now(09/04) P Or W Asiatic Only(27/02)  Asiatic n Car now -- White /Pink Red(04/07) Red n White Spray Daisy and Car (13/10)  Now Send Car/Rajni/Glad/Asiatic Lily/ Spray Daisy/Gerbera/Guldawari -- NO Orange and Yellow Color-- Pink n White are preferred-- RED n purple is also ok (25/08) Send 1 Del Tom (16/10) Skip 1 week (02/11) Skip 1 week (11/01) Skip 1 week (25/01) Dont snend tom -send on Monday (08/02) Had 350 Extra from pasyment of 2000 on 11th May, 250 adjusted, now have 100 extra with us(18/05) Sent replacement today (10/06) Spray Daisy -- white or Yellow and Glad white (06/09) 250 extra added against received walkin bouquet (12/09) Skip 1 week (13/10) Sending 1 Del today (22/10) Skip 2 week (19/05) Star from 19th (17/07) </t>
    </r>
    <r>
      <rPr>
        <b/>
        <sz val="12"/>
        <color theme="1"/>
        <rFont val="Calibri"/>
        <family val="2"/>
        <scheme val="minor"/>
      </rPr>
      <t>NO Flowers from 15th Aug to 29th Aug (27/07)</t>
    </r>
    <r>
      <rPr>
        <sz val="11"/>
        <color theme="1"/>
        <rFont val="Calibri"/>
        <family val="2"/>
        <scheme val="minor"/>
      </rPr>
      <t xml:space="preserve"> Skip this 8th Del (02/08) Return today send tom (07/11) Skip 1 week (17/11) Skip 12th (09/12) Today returned (26/12) Skip 1 week (11/03) Skip 1 week (23/03) Skip 1 week (31/03) Today Returned (10/04) Today Returned (18/04) Skip 1 week (28/04) Skip 2 week (02/06) Hold , she will confirm (28/07) No delivery on 21st Aug (19/08) No flowers from 11th Sep to 25th Sep (05/09) Hold till 20th (10/11) Last cycle 950 was less received (06/11) Send one del tom (22/11) Skip 1 week (23/12) Skip 1 week (11/02) From Sunflower/Spray dausy/Eustoma (18/04) Hol dtill 15th July (30/06)</t>
    </r>
  </si>
  <si>
    <t>From Sunflower/Spray dausy/Eustoma (18/04)</t>
  </si>
  <si>
    <t>Joy</t>
  </si>
  <si>
    <t>Before -10-Asiatic Lily-white/pink/red (19/05) HoPur Orchid n Rajni in next del(21/09)1 week extended due to Diwali(08/11)  R n W Car Next(27/02)Spray Daisy instead of car now(09/04) P Or W Asiatic Only(27/02)  Asiatic n Car now -- White /Pink Red(04/07) Red n White Spray Daisy and Car (13/10)  Now Send Car/Rajni/Glad/Asiatic Lily/ Spray Daisy/Gerbera/Guldawari -- NO Orange and Yellow Color-- Pink n White are preferred-- RED n purple is also ok (25/08) Send 1 Del Tom (16/10) Skip 1 week (02/11) Skip 1 week (11/01) Skip 1 week (25/01) No Flowers tom --send on Monday (08/02) Had 350 Extra from pasyment of 2000 on 11th May, 250 adjusted, now have 100 extra with us(18/05) Spray Daisy -- white or Yellow and Glad white (06/09) Skip 1 week (13/10) Sending 1 Del today (22/10) No Flowers till 4th Jan (17/12) Start from 19th (17/07) Hold till 5th Sep (14/08) Return today-send tom (07/11) Skip 1 week (17/11) Skip 12th (09/12) Today Returned (26/12) Skip 1 week (11/03) Skip 1 week (23/03) Skip 1 week (31/03) Today Returned (10/04) Today Returned (18/04) Skip 1 week (28/04) Skip 2 week (02/06) Hold she will confirm (28/07) Dont Send on 21st (19/08) No Flowers from 11th Sep to 25th Sep (05/09) Hold till 20th Oct (10/11) 1 Bouquet of Rajni on 31st and 500 gm Rose Petal on 8th Nov -- Total pf 1200 added (20/11) Send one delivery tom (22/11) Skip 1 week (23/12) Skip 1 week (1/02) From Sunflower/Spray dausy/Eustoma (18/04) Hold till 15th July (30/06)</t>
  </si>
  <si>
    <t>4  del of this cycle   -  0-cycles pmnt   Completed - Collect 0</t>
  </si>
  <si>
    <t>Anupma Katyal</t>
  </si>
  <si>
    <t>1484, Saraswati Kunj</t>
  </si>
  <si>
    <t>DLF Phase 5</t>
  </si>
  <si>
    <t>10 AM to 2:30 PM</t>
  </si>
  <si>
    <t>Return today (22/05) Hold today due to non payment (02/10) HDTNP (02/07) HDTNP (09/07) HDTNP (23/07)</t>
  </si>
  <si>
    <t>Mixed Flowers</t>
  </si>
  <si>
    <t>2  del of this cycle   -  1-cycles pmnt   Pending - Collect 1950</t>
  </si>
  <si>
    <t>Shrija Majumder</t>
  </si>
  <si>
    <t>G-803, BPTP Freedom Park Life</t>
  </si>
  <si>
    <t>Artemis</t>
  </si>
  <si>
    <t>9:30 Am to 2 PM</t>
  </si>
  <si>
    <t>Only Seasonals // skip tom (26/04) Skip 1 week (25/06) Hold today (14/08) Send tom after 7 PM (20/08) Skip 1 week (27/08) Skip 1 week (05/03) send replacement tom (28/03) Skip 2 week (15/07)</t>
  </si>
  <si>
    <t>Seasonlas</t>
  </si>
  <si>
    <t>Group Captain Prabal Bir Singh</t>
  </si>
  <si>
    <t>603, Shivshakti CGHS, Plot-94, Near Ati Chowk</t>
  </si>
  <si>
    <t>9 AM to 2 PM</t>
  </si>
  <si>
    <t>Shipra</t>
  </si>
  <si>
    <t xml:space="preserve">C-94 Trinity </t>
  </si>
  <si>
    <t>Saturday</t>
  </si>
  <si>
    <t>4 Pm to 7 PM</t>
  </si>
  <si>
    <t>Bloom</t>
  </si>
  <si>
    <t>Thursday and Sunday// Rajni 1st(02/04) Changed to evening slot(07/04) Today Returned(17/04) Skip Sunday del(17/06) Skip this Thursday(28/06) Skip 1 week(13/08) Skip Tom Flowers(01/10) Paytm From Shipra Rastogi (20/02) Skip 1 wek (22/03) Skip Thursday delivery (04/04) Today Returned (09/04) Skip sunday delivery (29/09) Yesterday returned (22/12) Return today (28/01) Skip tom (23/03) Skip 1 week (10/04) Eustoma Next (26/05) Hold for 10 days (06/06) Sennd one del Tom (05/08) Hold today and skip next (15/08) Hold today n skip 1 week (21/11) Skip this sunday (21/12) Paytm from Shipra Rastogi (02/03) Hold today (23/03) 250 received via paytm (30/03) 1000 cash and 250 paytm (31/03) Hold from 10th to 21st June-25(11/06) Hold today due to nonpayment (02/10) Hold due to non payment (05/10) Yesterday returned (24/10) Skip 1 week (24/12) Hold due to non payment (07/01) Hold due to non payment (11/01) Hold due to non payment (14/01) Hold due to non payment (18/01) HDTNP (15/02) HDTNP(22/02) HDTNP (26/02) HDTNP (01/03) HDTNP (04/03) HDTNP (08/03) HDTNP (12/03) HDTNP (14/03) HDTNP (10/05) hdtnp (14/05) No Flowers from 17th to 24th (17/06) HDTNP (12/07) HDTNP (16/07) HDTNP (19/07)</t>
  </si>
  <si>
    <t>3  del of this cycle   -  0-cycles pmnt   Completed - Collect 0</t>
  </si>
  <si>
    <t>Arvinder</t>
  </si>
  <si>
    <t>T-15/1202, Close South</t>
  </si>
  <si>
    <t>Monday</t>
  </si>
  <si>
    <t>Asiatic//Rajni//Guldawari//Gladioli(19/02) Received another Paytm of 750 today(18/07) No Rose n Rajni (26/12) Hold today (20/05) Change Add (20/05) Skip 1 week (28/08)</t>
  </si>
  <si>
    <t>Rose n Rajni</t>
  </si>
  <si>
    <t>1  del of this cycle   -  0-cycles pmnt   Completed - Collect 0</t>
  </si>
  <si>
    <t>Anastasiia Liapicheva</t>
  </si>
  <si>
    <t>7678659573 // '+79029329098</t>
  </si>
  <si>
    <t>B1/602, Palm Groove Heights, Ardee City Sec 52</t>
  </si>
  <si>
    <t>Sushant Estate</t>
  </si>
  <si>
    <t>No Lilies (02/11) No White Greens (02/12) Skip 1 week (07/01) skip 1 week (27/01) No Sunflower (06/03) Skip 1 week (06/06)</t>
  </si>
  <si>
    <t>Lily n Sunflower n White Greens</t>
  </si>
  <si>
    <t>No White Greens n Mixed Flowers</t>
  </si>
  <si>
    <t>Anumeha</t>
  </si>
  <si>
    <t>9899901949// 9953511987</t>
  </si>
  <si>
    <t>T-04/1701, South Close</t>
  </si>
  <si>
    <t>Pls send Orchid 1st del(20/11)Send a replacement tom(25/11) Only Rajni,Asiatic and Roses(28/12) Lilies next(01/01) Lilies next(22/01) Lily Next(19/10) Send Replacement on Thursday(05/11) Lilies next-- Orange Or Yellow(17/11) Last Del Missed-Sending Tom(12/12) Returned-send from next week(16/12) Send Gerbera Tom(19/01) Daisy Next(01/02) Roses Tom(16/02) Received 50 today(02/03) Gerbera Next(08/03) Gerbera Tom(22/01) Lilies twice in cycle and Daisy/ Rajnigandha Only// Lily Next (01/02) O Asiatic Next(14/02) NO DAISY// NO SPRAY DAISY(06/03) Yel Gerbera Next(17/03) Spray Daisy with Purple in centre tom in evening slot(09/04) send on 3rd now(02/05) W n Yellow Gerbera Tom(02/03) Gpay from Lallan Singh(17/03) Recieved payment from Anumeha account today(07/04) Received Gpay from Joy Deep(28/04) Paytm From Joydeep Mukherjee(08/09) Hold for 3 weeks (19/12) Hold for 2 weeks (25/01) Skip 1 week (02/03) No rajni till oct (31/08) Send replacement tom (01/11) Skip tom (10/12) Skip 5th Del (28/02) Today Hold (28/05) Skip 2 week (25/07)</t>
  </si>
  <si>
    <t>No rajni till Oct (31/08)</t>
  </si>
  <si>
    <t>2  del of this cycle   -  1-cycles pmnt   Pending - Collect 1450</t>
  </si>
  <si>
    <t>Bidisha Dey</t>
  </si>
  <si>
    <t>C-24, Carlton Estate-1, Club Drive</t>
  </si>
  <si>
    <t>Skip 1 week (03/06) Returned send next week (11/07) Skip 1 week (08/01) Skip 1 week (26/03) Skip tom (02/07) Today Returned (20/11) HDTNP (25/06)</t>
  </si>
  <si>
    <t>Megha Manchanda -- Bliss Pack</t>
  </si>
  <si>
    <t>T-3/302, Unitech Harmony</t>
  </si>
  <si>
    <t>No rajni n Rose(22/05) 1Stick extra in next del(27/08)Today not delivered-pls send on 6th(04/09) Return-send next week(04/03)  NO GLAD(19/10) Always send areca palm with BOP(28/01) Add Changed(30/07) Skip 1 week (21/12) Don't deliver tom-- Send on Sunday (14/06) Send on Sunday instead of Thursday (03/01) Skip 2 weeks (12/06) Payment from Amardeep S R (13/07) Skip 1 week (18/03) Today TReturned (11/06) Skip n send on sunday this week (23/06)</t>
  </si>
  <si>
    <t>Ms. Anupma Chandna</t>
  </si>
  <si>
    <t>32, aspen greens, nirvana</t>
  </si>
  <si>
    <t>No Rose // Hold n start from 04th Dec (03/11) No Greens</t>
  </si>
  <si>
    <t>Rose</t>
  </si>
  <si>
    <t>No Greens</t>
  </si>
  <si>
    <t>4  del of this cycle   -  0-cycles pmnt   Completed - Collect 30</t>
  </si>
  <si>
    <t>Parul Sharma --Elation</t>
  </si>
  <si>
    <t>Villa-27, The Legend</t>
  </si>
  <si>
    <t>Tuesday and Thursday//Change day to Thursday(21/12) Car Next(18/01) NO ORCHIDS(20/01) Car Next(02/02) Sending on 20th instaed of 21st,bcoz of Holi(18/03) Today FF Sent(11/04) Paytm from ritu Kaur(12/04) Send replacement(12/04) Send Special Pack(08/05) Received payment of special pack(10/05) Hold n start from 2nd week of july(04/060 Inform Before sending(01/07) Start from next week(10/07) Sending on 14th instrad of 15th Aug(13/08) Today Hold-send tom(26/09) Send double del tom(23/10) R car Tom(15/01) Send Replacement tom(27/02) Hold n start from 3rd week of April(18/03) NO Rose n NO Orchids----Send R Car Next(21/12) Rajnigandha Next(12/01) Replace ment next and send Flower food(10/04) Recvd 250 from Gpay(15/07) Return-not at home(14/09) Shift to Elation(18/10) Skip 1 week(27/06) Hold n start from July (12/06) Hold due to non Payment (15/01) Paytm From Vinay Deopujari (26/02)</t>
  </si>
  <si>
    <t>Before 11:30 AM</t>
  </si>
  <si>
    <t>Sanjeet Kaur</t>
  </si>
  <si>
    <t>601, Emerald Green, Sector 52</t>
  </si>
  <si>
    <t>1 Gypsola in each Del (16/05) Paytm From Arshia Kaur (13/06) Paytm From Yogpal Singh (20/12) Do not count todays delivery (30/04)</t>
  </si>
  <si>
    <t>1 Gyposla in each Del</t>
  </si>
  <si>
    <t>Shinjini Mehrotra</t>
  </si>
  <si>
    <t>F-109, 2nd Floor, Suncity</t>
  </si>
  <si>
    <t>Golf Course Road</t>
  </si>
  <si>
    <t>Hold 4 Weeks (04/12) Skip 1 week (14/02) Skip 2 week (28/02) Skip 1 week  (01/04) Hold till 29th Apr (06/04)</t>
  </si>
  <si>
    <t>4  del of this cycle   -  0-cycles pmnt   CompletedNO COLLECTION-we have extra money - Collect -100</t>
  </si>
  <si>
    <t>Shivani Katyal</t>
  </si>
  <si>
    <t>H. No. 1486, Sarsawati Kunj</t>
  </si>
  <si>
    <t>Rose//Orchid//Asiatic//Anthurium//Heliconia//BOP (28/10) NO Guldawari n Anthurium (09/02) Paytm From Manish K M K (08/09) Paytm from Manish Katyal // Gpay From Palak Katyal (22/03) No Glad Also (18/04) Couldn't deliver due to watrelogging--send on Sunday (29/08) Skip n send on sunday (01/10)</t>
  </si>
  <si>
    <t>GULDAWARI n ANTHURIUM n GLAD</t>
  </si>
  <si>
    <t>Abha Ghosh</t>
  </si>
  <si>
    <t>6A, Galicia, Raisina Residency, Sec 59</t>
  </si>
  <si>
    <t>Ghata</t>
  </si>
  <si>
    <t>Returned yesterday (07/11)</t>
  </si>
  <si>
    <t>Anu-- After 6 PM</t>
  </si>
  <si>
    <t>98103 39602</t>
  </si>
  <si>
    <t xml:space="preserve">Tower 6, 901 Fresco </t>
  </si>
  <si>
    <t>Poise</t>
  </si>
  <si>
    <t xml:space="preserve"> Thursday n Sunday//No Rajni (14/03) No Rose n Gerbera n RAJNI// Skip this week n send on Tuesday evening slot (18/06) Send this Thursday to Friday (04/09) NO HELICONIA (13/09) Skip Thursday delivery (12/11) Send tom in morning (16/11) Skip Thursday del (19/11) Skip tom (23/11) Hold till 11th  (30/11) Dont send on Sunday (13/12) Skip sunday (20/12) Skip tom (08/02) Hold today (23/02) Skip 1 Week (01/06) Skip thursday Delivery (18/06) Skip this thursday and send on sunday after 6 PM (06/08) No BOP also (06/10) Do not count today del and sned on sat next (04/12) Skip saturda and sunday also (05/12) Hold today n send tom (11/12) Hold today (05/04) Hold today (16/04)</t>
  </si>
  <si>
    <t>ROSE n RAJNI n HELICONIA n BOP</t>
  </si>
  <si>
    <t>after 6 pm on 19th (16/04)</t>
  </si>
  <si>
    <t>B56436</t>
  </si>
  <si>
    <t>Bhopesh Mittal</t>
  </si>
  <si>
    <t>C-81, 2nd Floor, Suncity</t>
  </si>
  <si>
    <t>Sunday</t>
  </si>
  <si>
    <t>By 11 AM</t>
  </si>
  <si>
    <t>Bouquet</t>
  </si>
  <si>
    <t>From Rotary Club// Wish you a very Happy Birthday.  From RCGQE (11/07)</t>
  </si>
  <si>
    <t>1  del of this cycle   -  0-cycles pmnt   In Process - Collect 0</t>
  </si>
  <si>
    <t>Eva-Pinnacle</t>
  </si>
  <si>
    <t>C-93, The Pinnacle</t>
  </si>
  <si>
    <t>Paytm From Arvind Pachhapur(24/02) 750 pack-- Car//Guldawari//Rajni//Orchid//Asiatic(23/03) Hold today and send next6 week(14/04) Hold n start from 19th June(16/06) Skip 1 week (05/01) Received one more payment today (26/01) Payment was in process (20/03) Skip 1 week (28/06) Skip 1 week (29/06) Skip 3 week (21/05)</t>
  </si>
  <si>
    <t>Puneet Mahajan</t>
  </si>
  <si>
    <t>D-19, 4th Floor, Siuth City -2, Opp Arcadia Mall</t>
  </si>
  <si>
    <t>Felicity</t>
  </si>
  <si>
    <t>Send Sponge// Day Changed to Sunday (16/04) Paytm From Sri Sai makers (20/04) Change to felicity (17/05) HDTNP (23/07)</t>
  </si>
  <si>
    <t>Riddhi Desai</t>
  </si>
  <si>
    <t>D-71, The Icon</t>
  </si>
  <si>
    <t>Send this week on Saturday (14/08) Skip 1 week (21/12) Hold till 2nd June (20/05)</t>
  </si>
  <si>
    <t>Manvi Bajpai</t>
  </si>
  <si>
    <t>A-43, Westend Heights</t>
  </si>
  <si>
    <t>Preferred Flowers-- Car//Rose//Guldawari//Gerbera//Orchid//Spray Daisy (27/09) 4th Del was on Hold (10/10) Skip 1 week (21/10) Skip 1 week (02/03) No Orchid (27/04) Hold n start after 15th Sep (18/08) Skip 1 week (19/10) Skip 1 week (17/12) Skip 2 week (17/03) Sending del today instead of tom (26/04) Skip 1 week (13/08) Skip 1 week (10/10) Return today (26/10) Today Hold (28/12) Skip 2 week (27/01) Skip 1 week (14/03) Skip 2 weks (17/04) Skip 2 week (01/06) Payment from Sreyansh Updhyay (19/07) Skip 18th to 25th (02/10) Skip 1 week (06/020</t>
  </si>
  <si>
    <t>ORCHID</t>
  </si>
  <si>
    <t>Tarishka Gupta</t>
  </si>
  <si>
    <t>A1/804, Unitech The Residences</t>
  </si>
  <si>
    <t>Sohna Road 2</t>
  </si>
  <si>
    <t>4 PM to 7 PM</t>
  </si>
  <si>
    <t>V P Singh</t>
  </si>
  <si>
    <t>WT04/701, Experion Windchantsm Sec 112</t>
  </si>
  <si>
    <t>Dwarka Expressway</t>
  </si>
  <si>
    <t>Paytm From Vijay Pratap Singh</t>
  </si>
  <si>
    <t>2  del of this cycle   -  0-cycles pmnt   Completed - Collect 0</t>
  </si>
  <si>
    <t>G-00066</t>
  </si>
  <si>
    <t>Aastha Vernma</t>
  </si>
  <si>
    <t>T-3/604, Takshila Heights, Sec 37 C</t>
  </si>
  <si>
    <t>Old Gurgaon</t>
  </si>
  <si>
    <t>4 PM to 7PM</t>
  </si>
  <si>
    <t>From Srishti Verma</t>
  </si>
  <si>
    <t>Anuradha M Agarwal</t>
  </si>
  <si>
    <t>A-82, Westend Heights</t>
  </si>
  <si>
    <t>Sending on 20th instaed of 21st,bcoz of Holi(18/03) This Cycle flowers -- Lilies / Orchids / Carnations/Gladioli(07/04) Orchid Next(25/04) Skip 2 week(11/06) Send on Friday this week(12/08) NO ORCHID, today returned-send glad tom(22/08)ASIATIC AND  ORCHID ONCE A CYCLE WITHOUT PLASTIC CAP(22/12) Returned-send Tom(16/01) Day chenged to saturday n ORCHID NEXT(18/01) Do not consider this week del and AVOID YELLOW COLOR FOR SOME WEEK, Send Orchid Next(23/02) Orchid next (27/05) Orchid next (09/06) Hold after current cycle (09/06) Return today (10/10) Skip 1 week (25/10) Skip this thursday (16/02) Skip 1 week (23/03) Today Returned and skip next week Laos (14/08) Skip 2 week (11/10) Skip 2 week (21/12)</t>
  </si>
  <si>
    <t>Convinience Enterprises-Sonali anand</t>
  </si>
  <si>
    <t>E-243 belaire apartments</t>
  </si>
  <si>
    <t>Corporate</t>
  </si>
  <si>
    <t>No Roses (21/06) Pls send red glad to her in next del(07/07) Never send Glad(13/07)  Skip 1 week(01/06) Collect cheque tom(10/06) Send Replacement tom(23/06) Skip this week(23/08) Skip 1 week (16/11) Skip this week and send on 8th (27/12) Don’t send on 9th-send on 13th (07/02) Skip this week and send on Tuesday(26/02) Due to Mar end Cycle broken (20/03) Hold today send on sunday (06/04) Skip 1 week (09/05) Hold till 26th June (07/06) Skip 1 week (24/10) Skip 2 week (21/11) Skip 2 week (02/01) Skip 1 week (26/03) Skip Tom (22/05) No Flowers till 9th July (23/06) Skip 1 week (04/11) Hold n sned on 12th now (31/12) Hold n start from // Skip 1 week (19/08) Skip this thursday and send on sunday (12/11) Skip 1 week (30/03) Next del on 21st and then every thursday (08/06)</t>
  </si>
  <si>
    <t>3  del of this cycle   -  0-cycles pmnt   In Process - Collect 0</t>
  </si>
  <si>
    <t>Divya Rawat</t>
  </si>
  <si>
    <t>D-13/14, 1st Floor, DLF Exclusive Floor</t>
  </si>
  <si>
    <t>Return today (04/12) Hold today (05/03) Returned today (28/05) HDTNP (25/06)</t>
  </si>
  <si>
    <t>Gunjan Malhotra</t>
  </si>
  <si>
    <t>H. No. 298C, 1st Floor, Block G, Sushant Lok-2</t>
  </si>
  <si>
    <t>Paytm From Gunjan Malhotra // Hold n start from 04th Sep (02/08) Change day to Thursday (31/08) Do not count last Del (20/12) Skip 1 week (02/02) Skip 1 week (25/03)</t>
  </si>
  <si>
    <t>Gyan</t>
  </si>
  <si>
    <t>J7, 2nd Floor, Signature Global City, Sec 37 D</t>
  </si>
  <si>
    <t>Upgraded as per scheme to Bliss for 5 Deliveries (22/08) No delivered today-send tom (02/10) Skip 1 week (26/11) Skip 2 week (28/01) Skip 2 week (10/03) No Sunflower ( 17/06)</t>
  </si>
  <si>
    <t>Sunflower</t>
  </si>
  <si>
    <t>Meenu Amrith-- Evening Only</t>
  </si>
  <si>
    <t>H. No. 579, Ground Floor,Near Dell-- Sec-43</t>
  </si>
  <si>
    <t>Sunday to Thurs//Skip next week(21/01) Skip 1 week(12/02) Hold n start from 1st week of May(06/03) Pls start from coming Tuesday(14/03)  Send Sunday Del on Sat This week(12/11) Skip 1 week(29/01) today hold and skip 1 more week(27/02) Start from 24th Mar(08/03) Hold n start from 16th June(18/05) Hold 3 Weeks(13/07) she saying that 10th Del Not received(11/11) Not avaible till 25th (14/11) Hold today(19/01) Skip 2 weeks (22/02) Skip 2 weeks (26/06) Hold n start after 15th Sep (18/08) Skip Tom (28/02) Hold n start from 13th June (24/05) Skip 1 week (23/07) Skip 1 week (04/12) Skip 1 week (12/03) Skip 1 week (18/01) Skip 1 weeek (13/05)</t>
  </si>
  <si>
    <t>Ms. Neelam Bhalla </t>
  </si>
  <si>
    <t>H4, 4th Floor, Olive Residency, Mayfield Garden, Sec 57</t>
  </si>
  <si>
    <t>No Glad (19/05) Pls send Daisy in next del with Asiatic(11/12)  Orchids Next(26/06) Send Gerbera Next with Flower Food902/07)  Orchids next(21/11)  Oriental next(20/03) Y Spray Daisy tom(25/03) Only 1 kind of flowers now(20/05) S NO GLAD n BOP (30/12) Today returned-send tom (21/01) Skip 2 weeks (27/01) Send 1 Flower Food next (13/06) Skip 1 week (06/07) Skip 1 week (20/08) Aster in Del (19/10) Hold today -send tom (03/11) Skip 1 week (01/02) Skip 1 week (29/02) Hold till 1st July (15/06) Skip 1 week (24/07) Skip 29th (26/11) Skip tom (23/01) Skip tom (27/02) Skip 1 week (11/03) Skip 1 week (17/06) Skip 1 week (20/01) Skip 1 week (04/02) Skip thursday (24/02) Skip 1 week (16/06)</t>
  </si>
  <si>
    <t>GLAD n BOP n GERBERA</t>
  </si>
  <si>
    <t>Priyanka Katyal</t>
  </si>
  <si>
    <t>1487, Saraswati Kunj, Sector 53</t>
  </si>
  <si>
    <t>Sunday n Thursday//NO Oriental and Guldawari (29/12) Paytm From Sanjay Katyal (28/03) Hold till 8th June-- she will confirm the package (24/05)' Shift to felicity// Today hold --send tom (09/07) Lilies Tom (08/11) Paytm From Ace Promoters and Developers Pvt. Ltd (26/01) Send Replacement tom (17/02) Skip 1 week (10/07) Couldn't deliver due to water logging-send on sunday (29/08) Paytm from Sanjay Katyal (20/10) Skip 2 week (21/05) Hold till 13th Aiug (26/07) Premium Flwer extra Next (09/01)</t>
  </si>
  <si>
    <t>ORIENTAL n GULDAWARI</t>
  </si>
  <si>
    <t>Premium Flwer extra Next (09/01)</t>
  </si>
  <si>
    <t>Rahul Sehgal</t>
  </si>
  <si>
    <t>418-A, Hamilton Court</t>
  </si>
  <si>
    <t>DLF Phase 4</t>
  </si>
  <si>
    <t>P Glad First(02/09/20) Next Oriental and send only Glad/Oriental and asiatic(17/09/20)  Only Oriental and Gladioli(26/10) Now Send-- Glad // BOP + Guldawari // Oriental Lily// Heliconia(19/12) Send Glad tom -- No White(23/12) Send all flowesr now and mixed always but NO RAJNI(19/01) NO WHITE COLOR(04/03) NO BOP(21/03) NO ORCHID(02/04) Shift to Friday now(04/04) Sent 1 Flower Food today(06/06) Send on sat this week only(10/10) Y Chrysanthemum nextr and Lilies after that(23/10) NO HELICONIA(26/10) NO GERBERA(18/02) Skip thsi week(25/02) Day chang eto thursday evening slot(08/03) Do not count last delivery(20/03) Send replacement tomorrow (05/07)</t>
  </si>
  <si>
    <t>ROSE n RAJNI</t>
  </si>
  <si>
    <t>Roshni Achpal</t>
  </si>
  <si>
    <t>A-102, Belaire</t>
  </si>
  <si>
    <t>Gift From Ankita Mehta  // Shift to Delight(04/12) Gpay from Alok Asrani (04/12) Skip 2 week (19/12) No car (01/05) Skip 2 weeks (19/08) No rajni (08/09) Skip 2 week (18/12) No Button Daisy 912/02) Skip 1 week (14/03) Do not count last del (13/05) Skip 1 week (11/06) Skip 1 week (25/07)</t>
  </si>
  <si>
    <t>Car n Rajni n Buttn Daisies</t>
  </si>
  <si>
    <t>Sarita Dosaj</t>
  </si>
  <si>
    <t>B-24, Trinity Towers</t>
  </si>
  <si>
    <t>One Color Flower ( 06/06) HDTNP (25/06)</t>
  </si>
  <si>
    <t>One Color Flower ( 06/06)</t>
  </si>
  <si>
    <t>Shalini Sharma</t>
  </si>
  <si>
    <t>208, Espace</t>
  </si>
  <si>
    <t>W n R Car Tom(25/04)  GERBERA NEXT(16/09) NO ORCHIDS(24/01)  Sent a replacement today(17/04) Ros enext (26/11) NO GULDAWARI n ORCHIDS ()6/01) Skip 1 week (05/01) Replacement tom (12/02) Send Tom and skip 30th Mar (25/03) Replacement tom (06/07) Will Pick on 30th -- Dont Send on 02nd Nov (28/10) Send this week del on tuesday 925/01) Send W Asiatic on 11th this week instead of 15th Feb (08/02) Skip 1 week (14/03) Lilies Next (20/05) Hold after current cycle (04/12) Four plus 1 Pack //</t>
  </si>
  <si>
    <t>GULDAWARI n ORCHID</t>
  </si>
  <si>
    <t>Lilies Next (20/05)</t>
  </si>
  <si>
    <t>Shikha Malhotra</t>
  </si>
  <si>
    <t>M-254, Park Place</t>
  </si>
  <si>
    <t>Skip 2 week after 13th (07/11) Today Hold (04/12) Paytm From Vivek Malhotra //</t>
  </si>
  <si>
    <t>Tanya Sharma</t>
  </si>
  <si>
    <t>T-8/202, Chintel Serenity, Sec 109</t>
  </si>
  <si>
    <t>No Yellow wn Purple // no Rajni (02/02) No ALstroemeria and do not count last del(19/06) Pls Don’t count last del (26/06)</t>
  </si>
  <si>
    <t>Rajni n Alstroemeria</t>
  </si>
  <si>
    <t>No Yellow wn Purple // Stock Next (02/03)</t>
  </si>
  <si>
    <t>Chetna Bhardwaj</t>
  </si>
  <si>
    <t>A1/22C, ILD Grand Sec 37 C</t>
  </si>
  <si>
    <t>Alpna Jain</t>
  </si>
  <si>
    <t>C-64, The Icon</t>
  </si>
  <si>
    <t>Charm</t>
  </si>
  <si>
    <t>Thursday n Sunday // Hold today (08/02) Keep flowers outside of Door (17/05)</t>
  </si>
  <si>
    <t>Keep flowers outside of door always</t>
  </si>
  <si>
    <t>Himabindu Kanchan</t>
  </si>
  <si>
    <t xml:space="preserve">D -13, Pinnacle Dlf Phase - 5 </t>
  </si>
  <si>
    <t>Sunday n Thursday//Fri to Thurs//FF Sold today(19/07) Skip n start from 23rd(08/08) P n Y Rose Next(15/11) 2 Stick Extra next(17/01) Hold-send tom(14/02) Orchids Next (18/08/20) Send 3 Sponge for 120 Rs.(19/08/20) Sending tom due to Diwali(11/11) Today returned-send next week(08/01) Skip 1 week(25/02) Skip 1 week(28/04) Glad Next(09/09) Skip 1 week(21/12) Skip 1 week(20/01) Hold Tom and skip 1 week(28/01) Skip 1 week(06/07) Receibved 695v extra today(23/07) Skip 2 weeks (21/12) Skip 1 week (08/02) No Renewal without payment (04/05) Hold today (28/12) Skip 1 week 902/01) Skip 1 week (07/02) Skip this sunday (16/02) Skip 1 week (06/04) Skip sunday del (09/05) Today hold (07/07) Hold HDTNP (12/03) tom (08/12) In form before sending (27/12) Skip next del (26/06) Hold today due to non payment (02/10) Skip week (22/12) HDTNP (01/03) HDTNP (04/03) HDTNP (08/03) HDTNP (14/03)</t>
  </si>
  <si>
    <t>G-00036</t>
  </si>
  <si>
    <t>Aanchal Boora</t>
  </si>
  <si>
    <t>Flat - 1171, Ats Triumph, Wing B, Tower 1, 17th Floor, Sec 104</t>
  </si>
  <si>
    <t>From Avni Ahuja // Skip tom (10/12) Paytm From Nitin Kunka // No Orchids (27/01) Skip 1 week (27/02) No Sunflowers (02/05)</t>
  </si>
  <si>
    <t xml:space="preserve">Orchid n Sunflowers </t>
  </si>
  <si>
    <t>One Kind</t>
  </si>
  <si>
    <t>Ankita Mehta</t>
  </si>
  <si>
    <t>1B-71, Wellington Estate</t>
  </si>
  <si>
    <t>Mix of Asiatic n Car(29/07) Send tom instead of Thursday(12/08) GLAD n ORCHID THIS CYCLE(28/08) ONLY LILY n CAR TILL SHE REVOKES n skip this week (04/09) Rajni n Rose Next(28/11) Lilies and Rose in this cycle(11/12)) Mixed Flowers only(30/08) Want Car// Orchid// Lily//Spray Daisy//Glad(19/09)  Flowers only from Car// Orchid// Lily//Spray Daisy//Glad(11/10) This cycle--Glad//BOP//Orchid//Lily(15/10) This cycle-- Glad//BOP//Orchid// Lily(14/11) This cycle-- Rose/Asiatic/BOP/G;ad/Guldawari and Orchid (25/09) No Upgrade-send lilies (19/10) Send nily next and always once in a cycle (15/12) NO SPRAY DAISY n GULDAWARI and sned Asiatic once in 1 cycle (19/01) Skip 1 week (24/01) Skip 1 week (06/03) Skip 1 week (05/ Skip 1 week 916/04)03) Skip 1 week (04/03) Skip 2 week (18/05) Send reaplacement tom (04/07) Sent replacememt todau (26/10) Skip 1 week (13/11) Skip 1 week (24/03) Skip 1 week (16/04) Return today (05/06) Skip 1 week (17/06) Skip 1 week (02/07) Skip 1 week (08/07) Send tom instaed of thursday this week (14/10) Send 1 del of ankita mehra today (21/10) Hold till 14th Jan (18/12) Change to Delight (30/01) Hold today (16/04) Send Replacement Tom (19/06) Skip 1 week (03/07)</t>
  </si>
  <si>
    <t xml:space="preserve">SPRAY DAISY n GULDAWARI </t>
  </si>
  <si>
    <t>Change to Deligh next (30/01)</t>
  </si>
  <si>
    <t>Bhavna Taneja</t>
  </si>
  <si>
    <t>F-214, DLF The Crest,Sec-54</t>
  </si>
  <si>
    <t>9:30 AM to 2 PM</t>
  </si>
  <si>
    <t>Send 2 Stick exytra next(14/09) Send lilies next(27/09) Send Tom instead of Sat and send Lilies(22/10) Send del tom with Orchids(30/10) Send 2 Asiatic on Friday instead of satirday(21/11) Google Pay from Harsh Taneja(08/02) Send on 20th and don’t send on 22nd(15/02) Hold n start from 7th Mar (20/02) TRY FOR WEDNESDAY(19/05/20) Send next del on friday with 2 extra Asiatic lily for 200Rs.(27/05/2020) Sending 30th Del on 29th May(28/05/2020) UPI From Harsh Vir Taneja(05/06/2020) Upgrade to 850 (30/07/20) Send Tom instead of 30th Oct)(27/10) Sending tom due to Diwali(11/11) Change to Bloom Pack(08/04) Next del on Monday (23/12) Send Lilies Next (24/12) Dont send on thursday -- send on Monday (04/01) NO BOP n GULDAWARI (29/01) Skip this monday and send on tuesday this week (16/05) Skip this wek and send on Thursday (26/08) Skip next thursday and sned on sunday (22/03) Skip 2 wek (02/06) Skip tom n send on sunday (26/06) No GERBERA (01/08) 1000 cash and 250 via paytm (21/11) Send on tuesday this week (22/12) Paytm from Harshveer Taneja (16/05) Payment REceived on 08th May also via Cash(18/05) skip 1 week (31/05) Skip 1 week (20/12) Start from 25th June (12/06)</t>
  </si>
  <si>
    <t>GULDAWARI n BOP n GERBERA</t>
  </si>
  <si>
    <t>Mixed Now</t>
  </si>
  <si>
    <t>2  del of this cycle   -  0-cycles pmnt   CompletedNO COLLECTION-we have extra money - Collect -50</t>
  </si>
  <si>
    <t>Divya Jain Midas</t>
  </si>
  <si>
    <t>Midas Touch, 1st Floor, A Block, Nirvana Courtyard</t>
  </si>
  <si>
    <t>Sent replacement today (01/06) Send 1 Vase with next delivery (10/10) Send 1 Rassee Vase and Flowers tom (29/11) Sent 1 vase today (30/1) 1500 cash and 100 via paytm (07/01) One deliv sent today (26/02) Sent one del today (10/06) sent one del today (21/07) GMom Quiz Voucher Added (07/08) 1 Vase sent today (11/11) Send one del tom and with either rose or Car (02/12) Sent one del today (28/04)</t>
  </si>
  <si>
    <t>2  del of this cycle   -  1-cycles pmnt   Pending - Collect 1400</t>
  </si>
  <si>
    <t>Dr. Arti Gupta 1</t>
  </si>
  <si>
    <t>Mayom Hospital, D block south city 1</t>
  </si>
  <si>
    <t>South City 1</t>
  </si>
  <si>
    <t>Mondau</t>
  </si>
  <si>
    <t>Pls send a replacement of Asiatic tomorrow(23/08)NO GERBERA(22/09) Start special Pack(13/04) Send Del on Monday this week(20/03) NEVER BUT DAISIES(29/10) Hold today (22/01) HDTNP (19/02) Sent one xtra del today (29/06) Hold today (09/07)</t>
  </si>
  <si>
    <t>NO GERBERA(22/09)Start special Pack(13/04) Extend 1 ddlivery as we are sending 1 Nargis Today(22/12) Send Del on Monday this week(20/03) Send Replacemenmt of Car(20/09/20) NEVER BUT DAISIES(29/10) Spray daisy Next(03/03) Sent Replacement today(01/08) Hold today (22/01) HDTNP (19/02) Sent one extra del today (29/06) Hold today (09/07)</t>
  </si>
  <si>
    <t>2  del of this cycle   -  0-cycles pmnt   In Process - Collect 0</t>
  </si>
  <si>
    <t>Dr. Roma Kumar</t>
  </si>
  <si>
    <t>98110 87708</t>
  </si>
  <si>
    <t>RT-181, Royalton Tower
Inside Princeton Estate
DLF City Phase-V
Gurgaon-122009
Haryana</t>
  </si>
  <si>
    <t>Sun to Thursday//NO Roses(Old) PREFER-- WHITE ROSE/RAJNIGANDHA/CHRYSANTHEMUM(18/11) Skip 1 Week(25/12) Day Changed to Monday till Lovkdown(23/08/20) Send replacement of Lilies(20/10) Day Changed to Sunday-send 1 del today and then every Sunday(30/11) Paytm from Pooja M Tripathi(26/04) Sent replacement today(30/07) Paytm of Gignger lily and eustoma added(06/11) Skip 1 week(06/11)  20 Rajnio sent in Subscription(06/02) Skip today(13/02) Rajni Next(19/02) Rajni next(02/03) Skip 1 week(02/06) Skip Sunday Delivery(13/08) Skip this thursday Delivery (28/02) Skip 1 week (28/02) No Blue Orchid (06/04) Hold today and next Sunday also (12/09) Hold today n one more del (19/09) Skip 1 week (22/02) Skip this thursday (12/03) Send replacement tom (04/05) Skip on sunday (01/06) Skip today (01/06) Skip 1 week (24/11) Hold n start from 29th Jan (18/01) Hold today (02/07) Today Hold (12/07) Hold today (26/07)</t>
  </si>
  <si>
    <t>Garima jain</t>
  </si>
  <si>
    <t xml:space="preserve"> G-901, Central Park 1, Golf Course Road    Sec 42 Gurgaon  122002</t>
  </si>
  <si>
    <t>Sat to Thurs//Flowers other than Car pl (21/07)Send on Sunday instead of sat this week(19/10) Upgrade to 650 Plan(03/05) Add changed(13/07) NO CAR(07/09) Send a replacement (06/10) NO CAR(13/12) 200 Paytm Done(14/12) paytm of 200 from Anuj sarin(14/12) Sending 30th Del on 29th May(28/05/2020) ONLY LILIES(23/08/20) Day Changed to Saturday(14/10) Skip this week an semd next week(13/03) Hold n start from 29th Jan(25/12 ) Received 200 today via Gpay(26/12) Diff Flowesr every week(08/04)  Sent replacement today(22/04) Skip 1 week(17/06) Today Returned (13/06) Do not Count last Del (17/08) Skip 1 week (22/12) Skip 2 week (23/05) Send on sunday this week (01/10) Return-not at home (23/10) One Payment of 1000 received on 05th Feb (06/03) Returned (04/06)</t>
  </si>
  <si>
    <t>Ms Swati Bhise--before 10</t>
  </si>
  <si>
    <t xml:space="preserve">TG-5/4B Orchid Garden Sun city Sec - 54 </t>
  </si>
  <si>
    <t>Elation</t>
  </si>
  <si>
    <t>Sunday to thurs//Orchid in 1st Del and no Rose/Rajni/Gerbera till they come in good shape(08/07) Next B or W Orchid(02/12) Car Next(09/12) Next Orchid(06/01) Orchid Next(10/02)  Gerbera tom(13/08)NEVER PURPLE ORCHID--SEND W n B ORCHID Next(22/09) Y Asiatic Next(03/11)  Send 1 Del tom (02/07) Orchid Next (27/07) Skip 1 week (20/11) Send 1 Del Tom (10/02) Skip next Del (16/02) Hold n start from 10th June (20/03) Today Returned again (04/07) Returned again (11/07) Send this thursday and then skip 1 week (23/07) Hold today (08/08) Skip 2 more weeks (09/08) Today Returned (21/11) Skip 1 week (11/12) Skip 1 week (24/12) Skip 1 more week (25/01) Skip 1 week (18/02) Hold till 9th Mar (24/02) Hold now (11/09) Skip next week (27/11) Return today (18/12) Today Returned again (25/12) Skip tom (18/02) Skip 1 week (28/02) Skip 1 week (19/03) Skip 1 week (21/03)  Skip tom (09/04) Skip next week (16/04) Skip 3 week (20/04) Skip 1 week (14/05) Skip 1 week (17/05) Skip 1 week (03/06) Skip next week (02/07)</t>
  </si>
  <si>
    <t>Upgrade to Elation next (14/08)</t>
  </si>
  <si>
    <t>Rachna Rathee</t>
  </si>
  <si>
    <t xml:space="preserve">DX-106 flat no,Kendriya vihar Sector 56
</t>
  </si>
  <si>
    <t>Sector 56</t>
  </si>
  <si>
    <t>Sendng rtrnd of 30 th on 1st(30/06)Retrnd pls send white Orchid(30/06) NO GERBERA(04/08) Paytm from raj Singh(08/12) Skip 1 week(21/12) NO Daisy(12/01) Hold n sned after 15th Apr(29/03) Hold n start after 10th Sep(30/08) NO DAISY(09/11) NO ROSE(21/12) Today return-send tom(10/10/20) Sending Del Tom due to Diwali(11/11) Referal payout of 162 added against Mr. Shoran(030/11) Referal credit added with ref to Apala das Gupta(29/03) Today hold and send after 11th May and ask before del(30/04) Hold till 28th Feb (10/02) Hold 3 Weeks (10/07) No Blue Orchid (23/10) Extra added against less mogra in Diwali Flowers (26/11) send replacement tom (04/07) Hold she will confirm when to start (13/05) No Gerbera (07/08) Send replacement tom (27/03)</t>
  </si>
  <si>
    <t>BLUE ORCHID n GERBERA</t>
  </si>
  <si>
    <t>Saloni Gupta</t>
  </si>
  <si>
    <t>338, 3rd Floor, Espace</t>
  </si>
  <si>
    <t>Tuesday</t>
  </si>
  <si>
    <t>Cutsomized-Biweekly</t>
  </si>
  <si>
    <t>Sunday n Thursday//Pls Keep Flowers in Vase// Paytm from Mayank G (17/03) Sent replacememnt today (23/03) Skip 1 week (10/04) 2 Asiatic and 5 Rajni (27/07) Paytm friom Mayank Gupta (16/09) 2 Asiatic Lily in each delivery (16/10) Today returned (17/11) Skip this sunday (03/01) Thursday -- 10 Rose and 4 Rajni // Sunday - 2 Asiatic (19/01) Whenever possible-send red Roses (23/01) Skip tom (29/01) Today returned (22/05) Send replacement tom (27/07) Hold today (14/08) Do not count last delivery (04/09) Hold today (02/10) Hold today (12/10) Hold after this cycle (27/10) Do not count last del (31/10) 2 Asiatic + 4 Rajni + 4 Glad -- thrice in a week (30/12) 2 Asiatic and 4 Rajni bi weekly pack (08/03) 2 Asiatic and 8 Rajni Every time and send 8 Rajni tom (26/03) Today returned-send tom (19/04) Skip sunday (04/07) Do not count todays del (19/07)</t>
  </si>
  <si>
    <t>Sanjay Singh</t>
  </si>
  <si>
    <t>WT-1/1902, Experion Windchants, Sec 112</t>
  </si>
  <si>
    <t>From 9575027271</t>
  </si>
  <si>
    <t>Sheeba Rana</t>
  </si>
  <si>
    <t>T-14/1202, The Close North</t>
  </si>
  <si>
    <t>Skip 1 week (31/12)</t>
  </si>
  <si>
    <t>Shipra Malhotra -- Same Flowers</t>
  </si>
  <si>
    <t>F-12, First Floor, Galacy Apartments</t>
  </si>
  <si>
    <t>3:30 PM to 7:30 PM</t>
  </si>
  <si>
    <t>Same Flowers in her Both subscription</t>
  </si>
  <si>
    <t>Same Flowers in Both Pack (13/05)</t>
  </si>
  <si>
    <t>Same Flowers in her Both subscription // Skip 1 week and next week send after 5 PM (17/06)</t>
  </si>
  <si>
    <t>After 5 PM on 28th (17/06)</t>
  </si>
  <si>
    <t>Simmi Chopra</t>
  </si>
  <si>
    <t>B/145, Suncity, Golf Course Road</t>
  </si>
  <si>
    <t>Upgrade to Elation (27/08) Send 10 B daisy next extra (04/10) Today Hold (04/12) Send one Del Tom (30/12)</t>
  </si>
  <si>
    <t>Send on del tom and no del on 1st Jan (30/12)</t>
  </si>
  <si>
    <t>2  del of this cycle   -  1-cycles pmnt   Pending - Collect 2750</t>
  </si>
  <si>
    <t>Sunanda</t>
  </si>
  <si>
    <t>C-084, The Icon</t>
  </si>
  <si>
    <t>One Kind // Skip 1 week (13/01) HDTNP (26/02) HDTNP (04/03) HDTNP (12/03)</t>
  </si>
  <si>
    <t>Vermeen Kapoor</t>
  </si>
  <si>
    <t>B-59, South City 2</t>
  </si>
  <si>
    <t>Referred by Swati Khandelwal?/ Mixed Flowers // Send replace,ent tom (19/02) Day Changed to Thursday (08/04) today returned-send tom (24/07)</t>
  </si>
  <si>
    <t>Ruchi Mathure--Before 10:30 AM</t>
  </si>
  <si>
    <t>D-013, Westend height, DLF-5</t>
  </si>
  <si>
    <t>No White Flowers(22/08)Skip this week n start from Thursday(26/09)Skip this week(29/11) Skip n sned on Monday(27/01) Return-send tom(17/02) NO P CAR(18/02)Return-send on Friday(24/02) Return-doesn't need Special Pack(14/04) Upgrade to 650 Plan(02/05) Skip this week n send on Monday(07/06) Skip 1 week(13/09) Skip 1 week(26/10) Skip 1 week(14/12) 150 adjusted against extra paid in Nargis to be delivered on 1st jan(30/12) Skip 1 week(26/01) Last week del was missed- pls send tom(07/03) Skip 2 weeks(18/03)NO WHITE FLOWERS(30/12) Send on saturdya this week instead of Thursday(12/11) Send on saturday this week(21/12) Getting only Car and asiatic-- Pls send all flowers(07/01) 10th Del missed-send them on saturday(11/03) NO WHITE FLOWERS(01/04) Hold n start from 2nd June(29/04) Last Thursday Missed(04/06) Skip this week n send on Sunday this week(22/06) Send Tom 1 Del with Rajni (11/07) Send 1 Del Tom(17/07) Today returned (28/07) NO GOLDEN GRASS(11/08) Sent 1 del Today(13/09) Skip tom and sned on Sunday (24/11) nEXT DEL SEND ON 31ST INSTEAD OF 30TH (24/12) Skip 1 week (20/01) Sent replacement today (14/04) send on monday this week only (21/04) Hold till 2nd Aug (07/07) Sent 1 del today and dont send tom (30/08) Skip tom Del n Send on Sunday (01/11) Today returned (09/11) No Del del till 3rd DEc (15/12) Skip 1 week (30/01) Skip on 14th and send on Sunday (12/03) Skip n sned on sunday (08/05) Hold today (30/05) Payment from Kapil M (16/06) Paytm From Kapil M (14/07) Skip 1 week (26/11) Skip nexty del (03/12) Hold till 15th Apr (18/04) No Sunflower (13/03) Skip this thursday and sned on sunday (20/04) Skip 1 week (20/05)</t>
  </si>
  <si>
    <t>No White even in mixed // Skip 23rd and sned on 26th (20/04)</t>
  </si>
  <si>
    <t>Alok divatia -- After 10 AM</t>
  </si>
  <si>
    <t>BLC 263, 26th Floor, Tower C, The Belaire</t>
  </si>
  <si>
    <t>Customized</t>
  </si>
  <si>
    <t>Tues to Thurs//After 10 AM, Lilis only and 12 lilies + 24 carnations, Never combo of Red n white, all flowers shd be of diff color(12/06)Skip tom n then on Tuesday(08/09) Return-send tom(16/12) NO ROSE(20/12) 14 Lily and 24 Car(24/09) Send 18 spray daisy instead of Asiatic next(30/03) Change package cost to 6300(20/07) Hold from today (05/12)</t>
  </si>
  <si>
    <t>1  del of this cycle   -  1-cycles pmnt   Pending - Collect 8648</t>
  </si>
  <si>
    <t>Jamie Miller</t>
  </si>
  <si>
    <t>D-072, The DLF Crest</t>
  </si>
  <si>
    <t>From James Brittan // Skip 2 week (20/12) Today Returned (22/01) Skip 3 weeks (26/01) Skip 1 week (17/03) Skip 2 week (31/05) Skip 2 weeks (03/07)</t>
  </si>
  <si>
    <t>Nameesha Verma -- Before 12PM</t>
  </si>
  <si>
    <t>D-4/102, Parsvanath Exotica</t>
  </si>
  <si>
    <t>Before 12 PM</t>
  </si>
  <si>
    <t>Thursday n Sunday//Sat to Thurs//Send a repacement and No Rajni till it has fragrance(24/09)Skip 1 week(12/10)send  a replacement(22/11) Returne-send next week(13/12) Star 650 Pack(15/10) 17th Oct Del returned-pls update(07/11) Send Tom instead of sat this week(12/08) Sent a replacement today(01/09) Skip 1 week(12/11) Send on Monday this week(24/11) Skip this sunday (03/12) Sent replacement today (18/03) Send replacement tom (31/03) Skip 1 week (25/04) Now Bloom (19/05) Today returned (18/06) Skip 1 week (08/08) Hold n start after 8th Oct )(20/09) Skip next del (18/11) No Del till 2nd Jan (25/12) Skip tom (24/01) Hold till 17th Jube (05/06) Skip this sunday (18/07) Skip 1 week (13/08) Today returnde (16/01) Skip tom (15/02) Today returned as flowers got late (30/03) Hold till 12th Apr (02/04)Today Returned (11/05) Hold till 18th June (02/06) Hold till 18th June (02/06) Today Returned (13/09) Do not count last del (08/11) No Del till next wednesday (09/12) Hold todxay (28/12) Skip 1 week (04/02) 3 Car extra next (20/03) Skip 1 week (09/06)</t>
  </si>
  <si>
    <t>3 Car extra next (20/03)</t>
  </si>
  <si>
    <t>1  del of this cycle   -  1-cycles pmnt   Pending - Collect 1600</t>
  </si>
  <si>
    <t>Vandana Thakran</t>
  </si>
  <si>
    <t>H. No. 35, Cedar Crest</t>
  </si>
  <si>
    <t>Komal - Abante</t>
  </si>
  <si>
    <t>0124-4042908</t>
  </si>
  <si>
    <t>Abante,C-301-02, 3rd Floor, M3M Urbana, Sec 67</t>
  </si>
  <si>
    <t>Badshahpur</t>
  </si>
  <si>
    <t>By 12 PM</t>
  </si>
  <si>
    <t>Day Changed to // Send tomorrow (02/10) Send tom (26/01)</t>
  </si>
  <si>
    <t>Ravindra Mittal</t>
  </si>
  <si>
    <t>3 GF 1, ATS Kocoon, Sec 109</t>
  </si>
  <si>
    <t>1  del of this cycle   -  1-cycles pmnt   Pending - Collect 1950</t>
  </si>
  <si>
    <t>Shubhra Gupta</t>
  </si>
  <si>
    <t>ES-245, Espace</t>
  </si>
  <si>
    <t>Paytm From 9811656524 // No Orchids // Skip 1 week (01/10) Same flowers from last  2weeks, pls Check (06/11) Paytm from Gaurav Gupta (0703)</t>
  </si>
  <si>
    <t>Same Flowers from 2 week, Pls Check (06/11)</t>
  </si>
  <si>
    <t>Aishwarya G Aiyar</t>
  </si>
  <si>
    <t>A-173, The Pinnacle</t>
  </si>
  <si>
    <t>Sunday n Thursday//Changed to Thursday//Ref By Vidya Raja(29/06) 10 Rajni and 10 Glad Next(03/07) Bop and car Next(10/07) Asiatic n car Next(17/07) Oriental and Rajni next(24/07) 3 Anthurium and 15 Glad tom(31/07) Mix of 2 flowers next(07/08) Sent replacement of Oriental today(26/08) NO HELICONIA and BOP and send Spray daisy(02/10) Skip 1 week(11/10) Now JOY(30/03) Skip 1 week(06/04) Holdn n skip this week(21/04) Skip 1 week(30/05) Hold n start from July(11/06) Skip this sunday delivery(05/08) Skip 1 week(30/08) Skip this sunday delivery(16/09) Paytm From Vivek Raja// Skip 1 week (26/04) Now bloom (01/05) Hold till 11th June (31/05) Hold n start from Aug and inform before sending (11/07) Skip 1 week (26/09) Today Retirned (02/11) Today Hold (16/11) Hold today 928/12) Hold for Thursday (05/03) Returned (10/03) Skip this sunday (24/05) Skip 1 week (02/06) Returned ltoday (29/08) Today Returned (05/09) Hols today (31/10) Skip 1 week (18/01) Skip this week (07/03) Skip 19th and 23rd (19/10) Hold 25th Del ( 23/01) Skip sunday (18/02) Skip sunday (27/03) Dont ring bell -- keep at Door (17/05) Skip thursday (15/06)</t>
  </si>
  <si>
    <t>Amita Gupta</t>
  </si>
  <si>
    <t>146, Cedar Crest</t>
  </si>
  <si>
    <t>Return today (03/10) Change to bliss (23/10) No Orchid (24/10) Send a vase tom (20/08) Upgrade to bliss (17/12)</t>
  </si>
  <si>
    <t>Orchid</t>
  </si>
  <si>
    <t>1 Vase Tom (20/08)</t>
  </si>
  <si>
    <t>Amrita Sarup</t>
  </si>
  <si>
    <t>D1/802, Experion Heartsong, Sec 108</t>
  </si>
  <si>
    <t>No Asiatic n Spray Daisy // Today Hold (14/08) Replacement tom (04/12) No Orchid (11/12) No BOP n Orchid (12/12) Today Returned -send on Sunday (18/12) Returned today (01/01/26) Next 3 Deliveries with Premium (11/.04)</t>
  </si>
  <si>
    <t>BOP n Orchid</t>
  </si>
  <si>
    <t>Next 3 Deliveries with Premium (11/.04)</t>
  </si>
  <si>
    <t>1  del of this cycle   -  1-cycles pmnt   Pending - Collect 1450</t>
  </si>
  <si>
    <t>Arun Gupta</t>
  </si>
  <si>
    <t>C-22m Arc Stationary</t>
  </si>
  <si>
    <t>4 Flowers at both Shop</t>
  </si>
  <si>
    <t>B56593</t>
  </si>
  <si>
    <t>Banasree Basu</t>
  </si>
  <si>
    <t>A-2/501, The world Spa East, Sec 30</t>
  </si>
  <si>
    <t>By 9:30 AM</t>
  </si>
  <si>
    <t>6 W Asiatic in Tissue awrap</t>
  </si>
  <si>
    <t>Convinience Enterprises-Veena Anand</t>
  </si>
  <si>
    <t>307, Aralyas, DLF 5</t>
  </si>
  <si>
    <t>By 10 AM</t>
  </si>
  <si>
    <t>Skip this Thursday and send on Sunday (20/11)Hold and send on 12th Now (31/12) Do Not count last Del (02/07) Skip 1 week (10/09) Skip 2 week (18/05)</t>
  </si>
  <si>
    <t>Deepti Chhabra</t>
  </si>
  <si>
    <t>A-061, Westend Heights</t>
  </si>
  <si>
    <t>Sat to Thursday//Hold n start from 23rd Nov(31/10) Add changed(01/02) Paytm from Vishal Chabra(22/02) Send Replacement(03/03) Skip this week(18/03) Skip next del(14/06) 1 stick extra next Del(12/07 FF Sold Today(19/07) Send rajni Tom(02/08) Send FF Next(13/09) Next Asiatic n 2 sticks extra(25/09) Rajni Next(05/12) Skip 1 week(20/12) Hold-send tom(14/02) Upgraded to 1250, send remaining 5 sticks tom(04/09) Skip1 week(05/11) Skip 1 week(18/11)  Hold today and skip 1 week(11/12) Skip 1 week(20/03) Sent replacement today(08/04) Skip 2 weeks(21/06) Skip 1 week (09/11) Skip 1 more week (16/11) NO ROSE (29/12) Send replacemet tom (08/04) Pink n green Spray Car Tom (03/05) Skip 2 weeks (01/06) Skip 1 week (23/10) Skip 1 week (15/11) Today hold (11/01) Skip 1 week (16/03) Skip 2 week (22/10) Paytm from Arti Lakra (17/01) Skip 1 week(12/04) Skip 1 week912/04) Yesterday Returned (24/10) Skip tom (07/01) Hold due to non payment (04/02) Skip 2 week (16/05) Hod n start from July (04/06)</t>
  </si>
  <si>
    <t>ROSE</t>
  </si>
  <si>
    <t>Dr. Deepa Gupta</t>
  </si>
  <si>
    <t>1 del Missed(07/10) Return-send next week(31/12) Send replacement of Gerbera(30/10) Send on Monday this week(20/03) Return- hold package(08/07) Today returned-send next week(02/06) HDTNP (19/02)</t>
  </si>
  <si>
    <t>G-00015</t>
  </si>
  <si>
    <t>Harsh  - Unikon</t>
  </si>
  <si>
    <t>AR-903B, 3rd Floor, Aralias</t>
  </si>
  <si>
    <t>From Deep Bajaj // Message = Your boyfriend:p (05/11) Paytm from Simran Dhawan (04/03) Send 1 delivery tomorrow (17/03) Skip 1 week (10/04) Add change request from Jasjit -- 9560611229</t>
  </si>
  <si>
    <t>One time Single n One Time Mixed</t>
  </si>
  <si>
    <t>B56597</t>
  </si>
  <si>
    <t>Kshipra Pavirthan</t>
  </si>
  <si>
    <t>4156, Aradhya Homes, 3rd Floor, Ansal Versalia</t>
  </si>
  <si>
    <t>40 Red Rose in Full Tissue Wrap// Hi Kships, Wish you a very healed and happy 40th !!      From This moment and beyond the best of the health, wealth, joy, happiness, success, strength and prosperity stays with you every step of the way.         May Lord Krishna and Sir's blessing and guidance leads you every moment.      I love you with all my heart. Wishing you very BEST always ( 3 Heart Image)</t>
  </si>
  <si>
    <t>B56598</t>
  </si>
  <si>
    <t>2 Orange Asiatic + 3 W Car + 1 Red Anthurium + 5 Red Spray Daisy in Vase // Happy Birthday Masi!! We love and miss you loads. You are such a talented women to look up to and we are beyond proud of everything you've done and accomplished just at 40! ( Even if you don't look it LOL) . We want to see you soon so hopefully that ticket gets bought ASAP!    Love you loads and have a blessed birthday         Anvi, Nimay, Jiju (29/07)</t>
  </si>
  <si>
    <t>B56596</t>
  </si>
  <si>
    <t>Manvi Diljun</t>
  </si>
  <si>
    <t>T-21/1404, Orchid Petal</t>
  </si>
  <si>
    <t>Sohna Road 1</t>
  </si>
  <si>
    <t>Wednesday</t>
  </si>
  <si>
    <t>By 8 PM</t>
  </si>
  <si>
    <t>From Reema Bose Suri // Dearest Hemang ( uncle, mamu)  Wish you a vey Happy Birthday..    Love     All of Us (29/07)</t>
  </si>
  <si>
    <t>Meenakshi Bhatia</t>
  </si>
  <si>
    <t>T-E/244, The Crest</t>
  </si>
  <si>
    <t>Hold she will confirm (17/05) Send on Sunday this week (23/05) Next Del on Sunday (29/05) 1 Spray daisy next (22/06) Send anthurium n BOP too (19/07) Skip 1 week (02/08) Skip 1 week and confirm before sending (24/08) Change day to Thursday (25/10) Today Hold (06/11) Send del on sunday and then from 18th (12/12) Skip 1 week (07/04)</t>
  </si>
  <si>
    <t>Send BOP and Anthuriums too (10/07) Chcek before sending (24/08)</t>
  </si>
  <si>
    <t>1  del of this cycle   -  1-cycles pmnt   Pending - Collect 2750</t>
  </si>
  <si>
    <t>Mrs. Verma</t>
  </si>
  <si>
    <t>A1/192, 1st Floor, Sec 55, Sushant Lok-2, Near Orchid International School</t>
  </si>
  <si>
    <t>Return today (01/05) Return today (05/06) Send on Sunday This week (05/06) Upgrade to bliss from next cycle (20/09) Skip 1 week (04/02) Send Replacement tom of Asiatic Lily (16/04) Send Replacement tom (21/05) No Sunflower (21/05)</t>
  </si>
  <si>
    <t>1  del of this cycle   -  1-cycles pmnt   Pending - Collect 1350</t>
  </si>
  <si>
    <t>Ms. Rani</t>
  </si>
  <si>
    <t>J-151, Park Place</t>
  </si>
  <si>
    <t>Start From July (06/06)</t>
  </si>
  <si>
    <t>Nidhi Singh</t>
  </si>
  <si>
    <t>8383036664//9899389873</t>
  </si>
  <si>
    <t>D-8/3, Ground Floor DLF Exclusive Floors</t>
  </si>
  <si>
    <t>Sunday n thursday //Monday n Thursday//Send Change of 200 Next(22/10) NO ROSE(22/11) Send Oriental next and send change of 2000 Next(27/11) NO ROSE // Heliconia Next(30/11) Send Change Next(13/04) 350 Received today via paytm(15/04) Flower Food Next(16/04) Send replacement of gerbera tom(20/04) Received 250 today(20/04) Send Replacement tom(20/04) Do Not Count 1 Del(22/04) Days-- Monday and Thursday(30/05) Gpay from Vivek Singh// Paytm from 9372779905-- Viveka(30/07) 1 Flower food next(01/04) Sent a replacement today(05/04) FF Next()8/04) Today del missed(02/06) REceived 1650 extra (28/12) Send replacement tom (29/08) Skip 1 week (17/10) 13th Flower Missed (17/11) Today Returned (18/12) Skip Tom (17/01) No Del from 21st to 27th July (10/07) Skip 1 week (03/12) Hold till 15th Dec (09/12) Skip this thursday (24/12) Skip on sunday (10/01) Hold till 31st Jan after 18th Del (17/01)</t>
  </si>
  <si>
    <t>1  del of this cycle   -  1-cycles pmnt   Pending - Collect 2300</t>
  </si>
  <si>
    <t>G-00028</t>
  </si>
  <si>
    <t>Niharika Mohanty</t>
  </si>
  <si>
    <t>W2A-151, Wellington Estate</t>
  </si>
  <si>
    <t>From Akriti Chopra // Mixed Flowers // Skip this week (11/03) Skip 1 week (11/03)  Skip 2 week (18/06) Skip 1 week (13/08) Skip 1 week (14/10) Skip 2 weeks (12/11) Skip 1 week (03/12) Skip 1 week (03/01) Hold today (21/05) Skip tom (03/06) Skip today and next week (18/06(</t>
  </si>
  <si>
    <t>Radhika Surana-- Before 10</t>
  </si>
  <si>
    <t>1204, The Magnolias</t>
  </si>
  <si>
    <t>NO ORCHIDS, Prefer Lilies,Rajni and Gerbera(04/10) 1 week(22/04) Paytm from Anurag Surana(06/06) Paytm from Anurag Surana(02/07)  NO Orchid n BOP (25/01)  Skip 1 week (28/06) Hold 3rd aug and send on 7th Aug (03/08) Today returned (07/08) Skip this thursday and send on Monday (15/08) After 2nd Oct now (27/09) Skip 1 week (21/10) Hold n send after 8th Jan (13/12) Skip 1 week (30/01) Skip tom n sned on 19th (13/03) Skip 23rd and 30th (16/05) Skip 2 weeks and send mext del on 22nd June (12/06) Skip this week n start from tuesday (24/07) Skip 1 week (20/08) Skip 1 week (03/09) Skip 7th n 14th (06/11) Skip 5th Dec Del (02/12) skip 2 week (21/12) Today Returned (23/01) Skip 1 week and send on sunday (22/02) Skip tom and send on monday (05/03) Skip 1 week (19/03) Skip 2 weeks (05/04) Skip 2 weeks (31/05) Skip 1 week (19/08)  No Del on 18th, 25th and 2nd Oct (14/09) Returned today (09/10) Send this week on sunday and then thursday (05/11) Hold today n next weeks (27/11) Skip 1 week (25/12) Skip 1 week (30/03) Skip 4th n 11th June (28/05)</t>
  </si>
  <si>
    <t>BOP n ORCHID</t>
  </si>
  <si>
    <t>Richa -- Icon</t>
  </si>
  <si>
    <t>B-173, the Icon</t>
  </si>
  <si>
    <t>Paytm From Ankit Gupta (01/11) Skip 08th and 15th Jan (16/12) Hold till 16th Jan (19/12) Skip 1 week (12/02) Skip 1 week (11/03) Skip 1 week (01/04) Hold n strat from 02nd July (28/05)</t>
  </si>
  <si>
    <t>Runul Vashishtha</t>
  </si>
  <si>
    <t>C-84, DLF Park Place, Park Drive, GCR</t>
  </si>
  <si>
    <t>Samar Singh</t>
  </si>
  <si>
    <t>C-13, DLF Icon</t>
  </si>
  <si>
    <t>Mixed Flowers // Day Changed to Sunday (20/12) Day Changed to Thursday (10/01) Skip 2 week (11/02) Send one Del tom (07/07) Today hold n send on Sunday (23/07)</t>
  </si>
  <si>
    <t>Sharwan Chopra</t>
  </si>
  <si>
    <t>A-223, The Belaire</t>
  </si>
  <si>
    <t>NO Car (15/02) Skip 3 Weeks (12/06) Skip 1 week (28/12) Hold all deliveries till 1st July (12/06) Skip 25th Dec (23/12) Hold due to non payment (29/01) Returned today (04/06) Skip 1 week (16/06)</t>
  </si>
  <si>
    <t>CAR</t>
  </si>
  <si>
    <t>Shivani Gogia</t>
  </si>
  <si>
    <t>A-105, 1st Floor, Siushant Lok 3, Sec 57</t>
  </si>
  <si>
    <t>14 rajni</t>
  </si>
  <si>
    <t>Sonal Verma</t>
  </si>
  <si>
    <t>H. No. 19, 1st Floor, Cedar Crest</t>
  </si>
  <si>
    <t>Skip 1 week (11/03) Skip 1 week (21/05) Pls skip 1 week (18/06) Sent one del today (10/12) Hold due to non payment (29/01) Hold due to non payment (04/02) HDTNP (19/02) HDTNP (26/02) HDTNP (21/05) HDTNP (28/05) HDTNP (04/06) HDTNP (11/06) HDTNP (18/06) HDTNP (25/06) HDTNP (02/07) Paytm From Sandeep Verma (09/07)</t>
  </si>
  <si>
    <t>Srishti Verma</t>
  </si>
  <si>
    <t>H. No. 126, Flat No. 302, Road D3, Indira Colony, Sec 52</t>
  </si>
  <si>
    <t>Skip 1 Week (06/07) Skip 1 week (29/07)</t>
  </si>
  <si>
    <t>Pre Flowers 4</t>
  </si>
  <si>
    <t>Pre Flowesr 3</t>
  </si>
  <si>
    <t>Pre Flowers 2</t>
  </si>
  <si>
    <t>Pre Flowesr 1</t>
  </si>
  <si>
    <t xml:space="preserve">Pre Flowers </t>
  </si>
  <si>
    <t>Flower 1</t>
  </si>
  <si>
    <t>Stick</t>
  </si>
  <si>
    <t>Flower 2</t>
  </si>
  <si>
    <t>stick</t>
  </si>
  <si>
    <t>Flower 3</t>
  </si>
  <si>
    <t>Consumables</t>
  </si>
  <si>
    <t>Delivered By</t>
  </si>
  <si>
    <t>Priority</t>
  </si>
  <si>
    <t>Feedback</t>
  </si>
  <si>
    <t>Payment</t>
  </si>
  <si>
    <t>5  del of this cycle   -  0-cycles pmnt   Completed - Collect 0</t>
  </si>
  <si>
    <t>6  del of this cycle   -  0-cycles pmnt   Completed - Collect 0</t>
  </si>
  <si>
    <t>2  del of this cycle   -  1-cycles pmnt   Pending - Collect 3000</t>
  </si>
  <si>
    <t>2  del of this cycle   -  1-cycles pmnt   Pending - Collect 1600</t>
  </si>
  <si>
    <t>Collect 487 and Close Package</t>
  </si>
  <si>
    <t>Carry Receipt Book</t>
  </si>
  <si>
    <t>3  del of this cycle   -   0-cycles pmnt   Completed - Collect 0</t>
  </si>
  <si>
    <t>Ensure Collection</t>
  </si>
  <si>
    <t>Y Spray Daisy ( 14 Inch )</t>
  </si>
  <si>
    <t>Mix Eustoma ( 12 Inch )</t>
  </si>
  <si>
    <t>Mix Alstroemeria ( 12 Inch )</t>
  </si>
  <si>
    <t>R n W Car ( 14 Inch )</t>
  </si>
  <si>
    <t>Mix Glad ( 14 Inch )</t>
  </si>
  <si>
    <t>Keep at door nad Don’t call or ring Bell</t>
  </si>
  <si>
    <t>P Spray Daisy ( 14 Inch )</t>
  </si>
  <si>
    <t>Rajni ( 14 Inch )</t>
  </si>
  <si>
    <t>W Asiatic ( 14 Inch )</t>
  </si>
  <si>
    <t>FF Sachet + Grass</t>
  </si>
  <si>
    <t>Grass</t>
  </si>
  <si>
    <t>Walkin Tissue Wrap</t>
  </si>
  <si>
    <t>Message</t>
  </si>
  <si>
    <t xml:space="preserve">Semi Bloom W Asiatic </t>
  </si>
  <si>
    <t>R Rose</t>
  </si>
  <si>
    <t>Full Tissue Wrap</t>
  </si>
  <si>
    <t xml:space="preserve">O Asiatic + W Car + Red Anthurium + Red Spray Daisy </t>
  </si>
  <si>
    <t>2 + 3 + 1 + 5</t>
  </si>
  <si>
    <t>Square Vase Arrangement</t>
  </si>
  <si>
    <t xml:space="preserve">P n W Car + G Button Daisy </t>
  </si>
  <si>
    <t>8 + 3</t>
  </si>
  <si>
    <t>P n W Car ( 14 Inch )</t>
  </si>
  <si>
    <t>O Asiatic</t>
  </si>
  <si>
    <t>BOP ( 15 Inch )</t>
  </si>
  <si>
    <t>O Asiatic ( 14 Inch )</t>
  </si>
  <si>
    <t>P n Y Spray Daisy ( 14 Inch )</t>
  </si>
  <si>
    <t xml:space="preserve">R n W Car ( 14 Inch ) </t>
  </si>
  <si>
    <t>P Eustoma ( 12 Inch )</t>
  </si>
  <si>
    <t>P n W Car ( 14 inch )</t>
  </si>
  <si>
    <t>Broken Flowers 5</t>
  </si>
  <si>
    <t>Sunflower ( 12 Inch )</t>
  </si>
  <si>
    <t>Collection Only</t>
  </si>
  <si>
    <t>P n W Spray Daisy ( 14 Inch )</t>
  </si>
  <si>
    <t>W Eustoma ( 12 Inch )</t>
  </si>
  <si>
    <t>Pur n P Eustoma ( 12 Inch )</t>
  </si>
  <si>
    <t>2 Gypsola + FF Sachet</t>
  </si>
  <si>
    <t>Arrangement</t>
  </si>
  <si>
    <t>O n W Asiatic ( 14 Inch )</t>
  </si>
  <si>
    <t>4 Areca Palm + 2 Gypsola + 2 Limonium</t>
  </si>
  <si>
    <t>Rajni</t>
  </si>
  <si>
    <t>Spray Daisy</t>
  </si>
  <si>
    <t>Alstroemeria</t>
  </si>
  <si>
    <t>Gerbera</t>
  </si>
  <si>
    <t>Glad</t>
  </si>
  <si>
    <t>Carnation</t>
  </si>
  <si>
    <t>Asiatic</t>
  </si>
  <si>
    <t>Oriental</t>
  </si>
  <si>
    <t>Anthurium // BOP</t>
  </si>
  <si>
    <t>Eustoma</t>
  </si>
  <si>
    <t>total revenue</t>
  </si>
  <si>
    <t>revenue for the day</t>
  </si>
  <si>
    <t>Total</t>
  </si>
  <si>
    <t>Sticks in bndl</t>
  </si>
  <si>
    <t>Current Cost/bdl</t>
  </si>
  <si>
    <t>bi weekly</t>
  </si>
  <si>
    <t>NA</t>
  </si>
  <si>
    <t>Customized Plans</t>
  </si>
  <si>
    <t>A-2, G Floor</t>
  </si>
  <si>
    <t xml:space="preserve"> left of prev day</t>
  </si>
  <si>
    <t>TO BUY</t>
  </si>
  <si>
    <t>Wastage</t>
  </si>
  <si>
    <t>To buy wth wastage</t>
  </si>
  <si>
    <t>Bundles to buy</t>
  </si>
  <si>
    <t xml:space="preserve">Flowers </t>
  </si>
  <si>
    <t>COST</t>
  </si>
  <si>
    <t>Quantity</t>
  </si>
  <si>
    <t>Rate</t>
  </si>
  <si>
    <t>Arika</t>
  </si>
  <si>
    <t>victoria</t>
  </si>
  <si>
    <t>Murraiya</t>
  </si>
  <si>
    <t>grass</t>
  </si>
  <si>
    <t>Taal Palm</t>
  </si>
  <si>
    <t>Nargis</t>
  </si>
  <si>
    <t>Rose petal</t>
  </si>
  <si>
    <t>Genda</t>
  </si>
  <si>
    <t>Limonium</t>
  </si>
  <si>
    <t>Mogra</t>
  </si>
  <si>
    <t>Gypsy</t>
  </si>
  <si>
    <t>B Daisy</t>
  </si>
  <si>
    <t>Leather Fern</t>
  </si>
  <si>
    <t>Cycus Palm</t>
  </si>
  <si>
    <t>O Marigold Lari</t>
  </si>
  <si>
    <t>Y Marigold Lari</t>
  </si>
  <si>
    <t>Ashok Lari</t>
  </si>
  <si>
    <t>Mogra Lari</t>
  </si>
  <si>
    <t>Rajni Lari</t>
  </si>
  <si>
    <t>Daisy Lari</t>
  </si>
  <si>
    <t xml:space="preserve">P n W Car ( 14 Inch ) </t>
  </si>
  <si>
    <t>B56599</t>
  </si>
  <si>
    <t>Madhu</t>
  </si>
  <si>
    <t>C2/201, Vatika City</t>
  </si>
  <si>
    <t>From Yashima</t>
  </si>
  <si>
    <t>Rajni + 1 Ft Bamboo</t>
  </si>
  <si>
    <t>Rajni in Single Wrap and Bamboo with Oink Ribbon Only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</si>
</sst>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 #,##0.00"/>
    <numFmt numFmtId="165" formatCode="dd\/mm\/yy"/>
    <numFmt numFmtId="166" formatCode="0.0"/>
  </numFmts>
  <fonts count="29" x14ac:knownFonts="1">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b/>
      <sz val="12"/>
      <name val="Calibri"/>
      <family val="2"/>
    </font>
    <font>
      <b/>
      <sz val="11"/>
      <name val="Calibri"/>
      <family val="2"/>
    </font>
    <font>
      <b/>
      <sz val="22"/>
      <name val="Calibri"/>
      <family val="2"/>
      <scheme val="minor"/>
    </font>
    <font>
      <u/>
      <sz val="11"/>
      <color theme="10"/>
      <name val="Calibri"/>
      <family val="2"/>
      <scheme val="minor"/>
    </font>
    <font>
      <b/>
      <sz val="10"/>
      <name val="Calibri"/>
      <family val="2"/>
      <scheme val="minor"/>
    </font>
    <font>
      <sz val="11"/>
      <name val="Calibri"/>
      <family val="2"/>
    </font>
    <font>
      <b/>
      <sz val="12"/>
      <color theme="1"/>
      <name val="Calibri"/>
      <family val="2"/>
      <scheme val="minor"/>
    </font>
    <font>
      <b/>
      <sz val="11"/>
      <name val="Calibri"/>
      <family val="2"/>
      <scheme val="minor"/>
    </font>
    <font>
      <b/>
      <sz val="14"/>
      <color theme="1"/>
      <name val="Calibri"/>
      <family val="2"/>
      <scheme val="minor"/>
    </font>
    <font>
      <b/>
      <sz val="10"/>
      <color indexed="8"/>
      <name val="Arial"/>
      <family val="2"/>
    </font>
    <font>
      <b/>
      <sz val="11"/>
      <color rgb="FFFFFFFF"/>
      <name val="Calibri"/>
      <family val="2"/>
      <scheme val="minor"/>
    </font>
    <font>
      <i/>
      <sz val="11"/>
      <color theme="1"/>
      <name val="Calibri"/>
      <family val="2"/>
      <scheme val="minor"/>
    </font>
    <font>
      <b/>
      <i/>
      <sz val="11"/>
      <color theme="1"/>
      <name val="Calibri"/>
      <family val="2"/>
      <scheme val="minor"/>
    </font>
    <font>
      <b/>
      <i/>
      <sz val="11"/>
      <color rgb="FF000000"/>
      <name val="Calibri"/>
      <family val="2"/>
      <scheme val="minor"/>
    </font>
    <font>
      <b/>
      <i/>
      <sz val="10"/>
      <color rgb="FF000000"/>
      <name val="Calibri"/>
      <family val="2"/>
      <scheme val="minor"/>
    </font>
    <font>
      <i/>
      <sz val="11"/>
      <color rgb="FF000000"/>
      <name val="Calibri"/>
      <family val="2"/>
      <scheme val="minor"/>
    </font>
    <font>
      <i/>
      <sz val="11"/>
      <name val="Calibri"/>
      <family val="2"/>
      <scheme val="minor"/>
    </font>
    <font>
      <b/>
      <i/>
      <sz val="12"/>
      <color rgb="FF000000"/>
      <name val="Calibri"/>
      <family val="2"/>
      <scheme val="minor"/>
    </font>
    <font>
      <b/>
      <i/>
      <sz val="11"/>
      <name val="Calibri"/>
      <family val="2"/>
      <scheme val="minor"/>
    </font>
    <font>
      <b/>
      <i/>
      <sz val="11"/>
      <color rgb="FF7030A0"/>
      <name val="Calibri"/>
      <family val="2"/>
      <scheme val="minor"/>
    </font>
    <font>
      <i/>
      <sz val="11"/>
      <color rgb="FF7030A0"/>
      <name val="Calibri"/>
      <family val="2"/>
      <scheme val="minor"/>
    </font>
    <font>
      <b/>
      <i/>
      <sz val="11"/>
      <color theme="0"/>
      <name val="Calibri"/>
      <family val="2"/>
      <scheme val="minor"/>
    </font>
    <font>
      <i/>
      <sz val="12"/>
      <color theme="1"/>
      <name val="Calibri"/>
      <family val="2"/>
      <scheme val="minor"/>
    </font>
    <font>
      <sz val="12"/>
      <color theme="1"/>
      <name val="Calibri"/>
      <family val="2"/>
      <scheme val="minor"/>
    </font>
    <font>
      <i/>
      <sz val="10"/>
      <color theme="1"/>
      <name val="Calibri"/>
      <family val="2"/>
      <scheme val="minor"/>
    </font>
  </fonts>
  <fills count="16">
    <fill>
      <patternFill patternType="none"/>
    </fill>
    <fill>
      <patternFill patternType="gray125"/>
    </fill>
    <fill>
      <patternFill patternType="solid">
        <fgColor theme="0"/>
        <bgColor indexed="64"/>
      </patternFill>
    </fill>
    <fill>
      <patternFill patternType="solid">
        <fgColor rgb="FFFF0000"/>
        <bgColor indexed="64"/>
      </patternFill>
    </fill>
    <fill>
      <patternFill patternType="solid">
        <fgColor rgb="FFF6C3FF"/>
        <bgColor indexed="64"/>
      </patternFill>
    </fill>
    <fill>
      <patternFill patternType="solid">
        <fgColor rgb="FF7030A0"/>
        <bgColor indexed="64"/>
      </patternFill>
    </fill>
    <fill>
      <patternFill patternType="solid">
        <fgColor rgb="FFFFFF00"/>
        <bgColor indexed="64"/>
      </patternFill>
    </fill>
    <fill>
      <patternFill patternType="solid">
        <fgColor rgb="FFAAE571"/>
        <bgColor indexed="64"/>
      </patternFill>
    </fill>
    <fill>
      <patternFill patternType="solid">
        <fgColor rgb="FF92D050"/>
        <bgColor indexed="64"/>
      </patternFill>
    </fill>
    <fill>
      <patternFill patternType="solid">
        <fgColor rgb="FFC00000"/>
        <bgColor indexed="64"/>
      </patternFill>
    </fill>
    <fill>
      <patternFill patternType="solid">
        <fgColor theme="9" tint="0.39997558519241921"/>
        <bgColor indexed="64"/>
      </patternFill>
    </fill>
    <fill>
      <patternFill patternType="solid">
        <fgColor rgb="FF00B0F0"/>
        <bgColor indexed="64"/>
      </patternFill>
    </fill>
    <fill>
      <patternFill patternType="solid">
        <fgColor rgb="FFFF99FF"/>
        <bgColor indexed="64"/>
      </patternFill>
    </fill>
    <fill>
      <patternFill patternType="solid">
        <fgColor rgb="FFFFC000"/>
        <bgColor indexed="64"/>
      </patternFill>
    </fill>
    <fill>
      <patternFill patternType="solid">
        <fgColor rgb="FFCC00CC"/>
        <bgColor indexed="64"/>
      </patternFill>
    </fill>
    <fill>
      <patternFill patternType="solid">
        <fgColor theme="4" tint="-0.249977111117893"/>
        <bgColor indexed="64"/>
      </patternFill>
    </fill>
  </fills>
  <borders count="5">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medium">
        <color indexed="64"/>
      </left>
      <right style="thin">
        <color auto="1"/>
      </right>
      <top style="thin">
        <color auto="1"/>
      </top>
      <bottom style="thin">
        <color auto="1"/>
      </bottom>
      <diagonal/>
    </border>
    <border>
      <left style="medium">
        <color indexed="64"/>
      </left>
      <right style="thin">
        <color auto="1"/>
      </right>
      <top style="thin">
        <color auto="1"/>
      </top>
      <bottom/>
      <diagonal/>
    </border>
  </borders>
  <cellStyleXfs count="6">
    <xf numFmtId="0" fontId="0" fillId="0" borderId="0"/>
    <xf numFmtId="0" fontId="1" fillId="0" borderId="0"/>
    <xf numFmtId="0" fontId="7" fillId="0" borderId="0" applyNumberFormat="0" applyFill="0" applyBorder="0" applyAlignment="0" applyProtection="0"/>
    <xf numFmtId="0" fontId="1" fillId="0" borderId="0"/>
    <xf numFmtId="9" fontId="1" fillId="0" borderId="0" applyFont="0" applyFill="0" applyBorder="0" applyAlignment="0" applyProtection="0"/>
    <xf numFmtId="9" fontId="27" fillId="0" borderId="0" applyFont="0" applyFill="0" applyBorder="0" applyAlignment="0" applyProtection="0"/>
  </cellStyleXfs>
  <cellXfs count="85">
    <xf numFmtId="0" fontId="0" fillId="0" borderId="0" xfId="0"/>
    <xf numFmtId="0" fontId="1" fillId="2" borderId="1" xfId="0" applyFont="1" applyFill="1" applyBorder="1" applyAlignment="1">
      <alignment horizontal="center" vertical="center" wrapText="1" shrinkToFit="1"/>
    </xf>
    <xf numFmtId="0" fontId="4" fillId="2" borderId="1" xfId="1" applyFont="1" applyFill="1" applyBorder="1" applyAlignment="1">
      <alignment horizontal="center" vertical="center" wrapText="1" shrinkToFit="1"/>
    </xf>
    <xf numFmtId="1" fontId="4" fillId="2" borderId="1" xfId="1" applyNumberFormat="1" applyFont="1" applyFill="1" applyBorder="1" applyAlignment="1">
      <alignment horizontal="center" vertical="center" wrapText="1" shrinkToFit="1"/>
    </xf>
    <xf numFmtId="0" fontId="5" fillId="2" borderId="1" xfId="1" applyFont="1" applyFill="1" applyBorder="1" applyAlignment="1">
      <alignment horizontal="center" vertical="center" wrapText="1" shrinkToFit="1"/>
    </xf>
    <xf numFmtId="164" fontId="4" fillId="2" borderId="1" xfId="1" applyNumberFormat="1" applyFont="1" applyFill="1" applyBorder="1" applyAlignment="1">
      <alignment horizontal="center" vertical="center" wrapText="1" shrinkToFit="1"/>
    </xf>
    <xf numFmtId="165" fontId="5" fillId="2" borderId="1" xfId="1" applyNumberFormat="1" applyFont="1" applyFill="1" applyBorder="1" applyAlignment="1">
      <alignment horizontal="center" vertical="center" wrapText="1" shrinkToFit="1"/>
    </xf>
    <xf numFmtId="0" fontId="6" fillId="2" borderId="1" xfId="0" applyFont="1" applyFill="1" applyBorder="1" applyAlignment="1">
      <alignment horizontal="center" vertical="center" wrapText="1"/>
    </xf>
    <xf numFmtId="0" fontId="8" fillId="2" borderId="1" xfId="0" applyFont="1" applyFill="1" applyBorder="1" applyAlignment="1">
      <alignment horizontal="center" vertical="center" wrapText="1" shrinkToFit="1"/>
    </xf>
    <xf numFmtId="0" fontId="0" fillId="2" borderId="1" xfId="0" applyFill="1" applyBorder="1" applyAlignment="1">
      <alignment horizontal="center" vertical="center" wrapText="1" shrinkToFit="1"/>
    </xf>
    <xf numFmtId="0" fontId="0" fillId="2" borderId="1" xfId="0" applyFill="1" applyBorder="1" applyAlignment="1">
      <alignment horizontal="center" vertical="center" wrapText="1"/>
    </xf>
    <xf numFmtId="0" fontId="9" fillId="2" borderId="1" xfId="1" applyFont="1" applyFill="1" applyBorder="1" applyAlignment="1">
      <alignment horizontal="center" vertical="center" wrapText="1" shrinkToFit="1"/>
    </xf>
    <xf numFmtId="0" fontId="1" fillId="2" borderId="1" xfId="0" applyFont="1" applyFill="1" applyBorder="1" applyAlignment="1">
      <alignment horizontal="center" vertical="center" wrapText="1"/>
    </xf>
    <xf numFmtId="0" fontId="0" fillId="0" borderId="1" xfId="0" applyBorder="1" applyAlignment="1">
      <alignment wrapText="1" shrinkToFit="1"/>
    </xf>
    <xf numFmtId="0" fontId="2" fillId="3" borderId="1"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2" fillId="5" borderId="1" xfId="0" applyFont="1" applyFill="1" applyBorder="1" applyAlignment="1">
      <alignment horizontal="center" vertical="center" wrapText="1"/>
    </xf>
    <xf numFmtId="0" fontId="0" fillId="6" borderId="1" xfId="0" applyFill="1" applyBorder="1" applyAlignment="1">
      <alignment horizontal="center" vertical="center" wrapText="1"/>
    </xf>
    <xf numFmtId="0" fontId="11" fillId="7" borderId="1" xfId="0" applyFont="1" applyFill="1" applyBorder="1" applyAlignment="1">
      <alignment horizontal="center" vertical="center" wrapText="1"/>
    </xf>
    <xf numFmtId="0" fontId="0" fillId="2" borderId="2" xfId="0" applyFill="1" applyBorder="1" applyAlignment="1">
      <alignment horizontal="center" vertical="center" wrapText="1" shrinkToFit="1"/>
    </xf>
    <xf numFmtId="0" fontId="0" fillId="2" borderId="1" xfId="0" applyFill="1" applyBorder="1" applyAlignment="1">
      <alignment horizontal="center" vertical="center"/>
    </xf>
    <xf numFmtId="0" fontId="3" fillId="2" borderId="1" xfId="0" applyFont="1" applyFill="1" applyBorder="1" applyAlignment="1">
      <alignment horizontal="center" vertical="center" wrapText="1"/>
    </xf>
    <xf numFmtId="16" fontId="0" fillId="2" borderId="1" xfId="0" applyNumberFormat="1" applyFill="1" applyBorder="1" applyAlignment="1">
      <alignment horizontal="center" vertical="center" wrapText="1" shrinkToFit="1"/>
    </xf>
    <xf numFmtId="0" fontId="0" fillId="2" borderId="1" xfId="0" applyFill="1" applyBorder="1" applyAlignment="1">
      <alignment wrapText="1" shrinkToFit="1"/>
    </xf>
    <xf numFmtId="0" fontId="11" fillId="2" borderId="1" xfId="0" applyFont="1" applyFill="1" applyBorder="1" applyAlignment="1">
      <alignment horizontal="center" vertical="center" wrapText="1" shrinkToFit="1"/>
    </xf>
    <xf numFmtId="0" fontId="1" fillId="4" borderId="1" xfId="0" applyFont="1" applyFill="1" applyBorder="1" applyAlignment="1">
      <alignment horizontal="center" vertical="center" wrapText="1" shrinkToFit="1"/>
    </xf>
    <xf numFmtId="0" fontId="9" fillId="6" borderId="1" xfId="1" applyFont="1" applyFill="1" applyBorder="1" applyAlignment="1">
      <alignment horizontal="center" vertical="center" wrapText="1" shrinkToFit="1"/>
    </xf>
    <xf numFmtId="0" fontId="0" fillId="8" borderId="1" xfId="0" applyFill="1" applyBorder="1" applyAlignment="1">
      <alignment horizontal="center" vertical="center" wrapText="1" shrinkToFit="1"/>
    </xf>
    <xf numFmtId="0" fontId="11" fillId="4" borderId="1" xfId="0" applyFont="1" applyFill="1" applyBorder="1" applyAlignment="1">
      <alignment horizontal="center" vertical="center" wrapText="1"/>
    </xf>
    <xf numFmtId="0" fontId="0" fillId="8" borderId="1" xfId="0" applyFill="1" applyBorder="1" applyAlignment="1">
      <alignment horizontal="center" vertical="center" wrapText="1"/>
    </xf>
    <xf numFmtId="0" fontId="12" fillId="2" borderId="1" xfId="0" applyFont="1" applyFill="1" applyBorder="1" applyAlignment="1">
      <alignment horizontal="center" vertical="center" wrapText="1"/>
    </xf>
    <xf numFmtId="0" fontId="11" fillId="5" borderId="1" xfId="0" applyFont="1" applyFill="1" applyBorder="1" applyAlignment="1">
      <alignment horizontal="center" vertical="center" wrapText="1"/>
    </xf>
    <xf numFmtId="0" fontId="13" fillId="2" borderId="1" xfId="0" applyFont="1" applyFill="1" applyBorder="1" applyAlignment="1">
      <alignment horizontal="center" vertical="center" wrapText="1"/>
    </xf>
    <xf numFmtId="0" fontId="1" fillId="2" borderId="1" xfId="3" applyFill="1" applyBorder="1" applyAlignment="1">
      <alignment horizontal="center" vertical="center" wrapText="1" shrinkToFit="1"/>
    </xf>
    <xf numFmtId="0" fontId="0" fillId="2" borderId="2" xfId="0" applyFill="1" applyBorder="1" applyAlignment="1">
      <alignment horizontal="center" vertical="center" wrapText="1"/>
    </xf>
    <xf numFmtId="0" fontId="14" fillId="5" borderId="1" xfId="0" applyFont="1" applyFill="1" applyBorder="1" applyAlignment="1">
      <alignment horizontal="center" vertical="center" wrapText="1"/>
    </xf>
    <xf numFmtId="0" fontId="14" fillId="9" borderId="1" xfId="0" applyFont="1" applyFill="1" applyBorder="1" applyAlignment="1">
      <alignment horizontal="center" vertical="center" wrapText="1"/>
    </xf>
    <xf numFmtId="0" fontId="15" fillId="0" borderId="1" xfId="0" applyFont="1" applyBorder="1" applyAlignment="1">
      <alignment wrapText="1" shrinkToFit="1"/>
    </xf>
    <xf numFmtId="0" fontId="16" fillId="0" borderId="1" xfId="0" applyFont="1" applyBorder="1" applyAlignment="1">
      <alignment wrapText="1" shrinkToFit="1"/>
    </xf>
    <xf numFmtId="0" fontId="17" fillId="0" borderId="3" xfId="1" applyFont="1" applyBorder="1" applyAlignment="1">
      <alignment horizontal="center" vertical="center" wrapText="1"/>
    </xf>
    <xf numFmtId="0" fontId="17" fillId="2" borderId="1" xfId="1" applyFont="1" applyFill="1" applyBorder="1" applyAlignment="1">
      <alignment horizontal="center" vertical="center" wrapText="1"/>
    </xf>
    <xf numFmtId="0" fontId="17" fillId="0" borderId="1" xfId="1" applyFont="1" applyBorder="1" applyAlignment="1">
      <alignment horizontal="center" vertical="center" wrapText="1"/>
    </xf>
    <xf numFmtId="0" fontId="15" fillId="0" borderId="0" xfId="0" applyFont="1" applyAlignment="1">
      <alignment horizontal="center" vertical="center" wrapText="1"/>
    </xf>
    <xf numFmtId="0" fontId="18" fillId="0" borderId="0" xfId="1" applyFont="1" applyAlignment="1">
      <alignment horizontal="center" vertical="center" wrapText="1"/>
    </xf>
    <xf numFmtId="0" fontId="19" fillId="0" borderId="3" xfId="1" applyFont="1" applyBorder="1" applyAlignment="1">
      <alignment horizontal="center" vertical="center" wrapText="1"/>
    </xf>
    <xf numFmtId="0" fontId="19" fillId="0" borderId="1" xfId="1" applyFont="1" applyBorder="1" applyAlignment="1">
      <alignment horizontal="center" vertical="center" wrapText="1"/>
    </xf>
    <xf numFmtId="1" fontId="15" fillId="0" borderId="0" xfId="0" applyNumberFormat="1" applyFont="1" applyAlignment="1">
      <alignment horizontal="center" vertical="center" wrapText="1"/>
    </xf>
    <xf numFmtId="0" fontId="20" fillId="0" borderId="1" xfId="1" applyFont="1" applyBorder="1" applyAlignment="1">
      <alignment horizontal="center" vertical="center" wrapText="1"/>
    </xf>
    <xf numFmtId="0" fontId="15" fillId="0" borderId="1" xfId="0" applyFont="1" applyBorder="1" applyAlignment="1">
      <alignment horizontal="center" vertical="center" wrapText="1"/>
    </xf>
    <xf numFmtId="2" fontId="19" fillId="0" borderId="1" xfId="1" applyNumberFormat="1" applyFont="1" applyBorder="1" applyAlignment="1">
      <alignment horizontal="center" vertical="center" wrapText="1"/>
    </xf>
    <xf numFmtId="1" fontId="19" fillId="0" borderId="0" xfId="1" applyNumberFormat="1" applyFont="1" applyAlignment="1">
      <alignment horizontal="center" vertical="center" wrapText="1"/>
    </xf>
    <xf numFmtId="1" fontId="20" fillId="0" borderId="1" xfId="1" applyNumberFormat="1" applyFont="1" applyBorder="1" applyAlignment="1">
      <alignment horizontal="center" vertical="center" wrapText="1"/>
    </xf>
    <xf numFmtId="0" fontId="19" fillId="6" borderId="3" xfId="1" applyFont="1" applyFill="1" applyBorder="1" applyAlignment="1">
      <alignment horizontal="center" vertical="center" wrapText="1"/>
    </xf>
    <xf numFmtId="0" fontId="19" fillId="10" borderId="1" xfId="1" applyFont="1" applyFill="1" applyBorder="1" applyAlignment="1">
      <alignment horizontal="center" vertical="center" wrapText="1"/>
    </xf>
    <xf numFmtId="0" fontId="17" fillId="10" borderId="3" xfId="1" applyFont="1" applyFill="1" applyBorder="1" applyAlignment="1">
      <alignment horizontal="center" vertical="center" wrapText="1"/>
    </xf>
    <xf numFmtId="0" fontId="21" fillId="6" borderId="3" xfId="1" applyFont="1" applyFill="1" applyBorder="1" applyAlignment="1">
      <alignment horizontal="center" vertical="center" wrapText="1"/>
    </xf>
    <xf numFmtId="0" fontId="19" fillId="11" borderId="1" xfId="1" applyFont="1" applyFill="1" applyBorder="1" applyAlignment="1">
      <alignment horizontal="center" vertical="center" wrapText="1"/>
    </xf>
    <xf numFmtId="1" fontId="15" fillId="0" borderId="0" xfId="4" applyNumberFormat="1" applyFont="1" applyAlignment="1">
      <alignment horizontal="center" vertical="center" wrapText="1"/>
    </xf>
    <xf numFmtId="0" fontId="21" fillId="2" borderId="3" xfId="1" applyFont="1" applyFill="1" applyBorder="1" applyAlignment="1">
      <alignment horizontal="center" vertical="center" wrapText="1"/>
    </xf>
    <xf numFmtId="0" fontId="17" fillId="8" borderId="3" xfId="1" applyFont="1" applyFill="1" applyBorder="1" applyAlignment="1">
      <alignment horizontal="center" vertical="center" wrapText="1"/>
    </xf>
    <xf numFmtId="0" fontId="17" fillId="8" borderId="1" xfId="1" applyFont="1" applyFill="1" applyBorder="1" applyAlignment="1">
      <alignment horizontal="center" vertical="center" wrapText="1"/>
    </xf>
    <xf numFmtId="0" fontId="17" fillId="6" borderId="3" xfId="1" applyFont="1" applyFill="1" applyBorder="1" applyAlignment="1">
      <alignment horizontal="center" vertical="center" wrapText="1"/>
    </xf>
    <xf numFmtId="1" fontId="17" fillId="0" borderId="1" xfId="1" applyNumberFormat="1" applyFont="1" applyBorder="1" applyAlignment="1">
      <alignment horizontal="center" vertical="center" wrapText="1"/>
    </xf>
    <xf numFmtId="9" fontId="19" fillId="0" borderId="1" xfId="1" applyNumberFormat="1" applyFont="1" applyBorder="1" applyAlignment="1">
      <alignment horizontal="center" vertical="center" wrapText="1"/>
    </xf>
    <xf numFmtId="1" fontId="19" fillId="0" borderId="1" xfId="1" applyNumberFormat="1" applyFont="1" applyBorder="1" applyAlignment="1">
      <alignment horizontal="center" vertical="center" wrapText="1"/>
    </xf>
    <xf numFmtId="166" fontId="19" fillId="0" borderId="1" xfId="1" applyNumberFormat="1" applyFont="1" applyBorder="1" applyAlignment="1">
      <alignment horizontal="center" vertical="center" wrapText="1"/>
    </xf>
    <xf numFmtId="0" fontId="17" fillId="3" borderId="3" xfId="1" applyFont="1" applyFill="1" applyBorder="1" applyAlignment="1">
      <alignment horizontal="center" vertical="center" wrapText="1"/>
    </xf>
    <xf numFmtId="0" fontId="19" fillId="3" borderId="1" xfId="1" applyFont="1" applyFill="1" applyBorder="1" applyAlignment="1">
      <alignment horizontal="center" vertical="center" wrapText="1"/>
    </xf>
    <xf numFmtId="0" fontId="22" fillId="12" borderId="3" xfId="1" applyFont="1" applyFill="1" applyBorder="1" applyAlignment="1">
      <alignment horizontal="center" vertical="center" wrapText="1"/>
    </xf>
    <xf numFmtId="0" fontId="20" fillId="12" borderId="1" xfId="1" applyFont="1" applyFill="1" applyBorder="1" applyAlignment="1">
      <alignment horizontal="center" vertical="center" wrapText="1"/>
    </xf>
    <xf numFmtId="0" fontId="0" fillId="0" borderId="0" xfId="0" applyAlignment="1">
      <alignment horizontal="center"/>
    </xf>
    <xf numFmtId="0" fontId="19" fillId="6" borderId="1" xfId="1" applyFont="1" applyFill="1" applyBorder="1" applyAlignment="1">
      <alignment horizontal="center" vertical="center" wrapText="1"/>
    </xf>
    <xf numFmtId="0" fontId="17" fillId="13" borderId="3" xfId="1" applyFont="1" applyFill="1" applyBorder="1" applyAlignment="1">
      <alignment horizontal="center" vertical="center" wrapText="1"/>
    </xf>
    <xf numFmtId="0" fontId="19" fillId="13" borderId="1" xfId="1" applyFont="1" applyFill="1" applyBorder="1" applyAlignment="1">
      <alignment horizontal="center" vertical="center" wrapText="1"/>
    </xf>
    <xf numFmtId="0" fontId="23" fillId="14" borderId="3" xfId="1" applyFont="1" applyFill="1" applyBorder="1" applyAlignment="1">
      <alignment horizontal="center" vertical="center" wrapText="1"/>
    </xf>
    <xf numFmtId="0" fontId="24" fillId="14" borderId="1" xfId="1" applyFont="1" applyFill="1" applyBorder="1" applyAlignment="1">
      <alignment horizontal="center" vertical="center" wrapText="1"/>
    </xf>
    <xf numFmtId="0" fontId="17" fillId="15" borderId="3" xfId="1" applyFont="1" applyFill="1" applyBorder="1" applyAlignment="1">
      <alignment horizontal="center" vertical="center" wrapText="1"/>
    </xf>
    <xf numFmtId="0" fontId="25" fillId="15" borderId="1" xfId="1" applyFont="1" applyFill="1" applyBorder="1" applyAlignment="1">
      <alignment horizontal="center" vertical="center" wrapText="1"/>
    </xf>
    <xf numFmtId="0" fontId="26" fillId="0" borderId="4" xfId="0" applyFont="1" applyBorder="1" applyAlignment="1">
      <alignment horizontal="center" vertical="center" wrapText="1"/>
    </xf>
    <xf numFmtId="0" fontId="26" fillId="0" borderId="1" xfId="0" applyFont="1" applyBorder="1" applyAlignment="1">
      <alignment horizontal="center" vertical="center" wrapText="1"/>
    </xf>
    <xf numFmtId="9" fontId="15" fillId="0" borderId="0" xfId="5" applyFont="1" applyAlignment="1">
      <alignment horizontal="center" vertical="center" wrapText="1"/>
    </xf>
    <xf numFmtId="0" fontId="16" fillId="0" borderId="0" xfId="0" applyFont="1" applyAlignment="1">
      <alignment horizontal="center" vertical="center" wrapText="1"/>
    </xf>
    <xf numFmtId="0" fontId="28" fillId="0" borderId="0" xfId="0" applyFont="1" applyAlignment="1">
      <alignment horizontal="center" vertical="center" wrapText="1"/>
    </xf>
    <xf numFmtId="0" fontId="15" fillId="0" borderId="0" xfId="0" quotePrefix="1" applyFont="1" applyAlignment="1">
      <alignment horizontal="center" vertical="center" wrapText="1"/>
    </xf>
  </cellXfs>
  <cellStyles count="6">
    <cellStyle name="Hyperlink 2" xfId="2" xr:uid="{BB960785-20FB-4339-9348-0C4351FDD810}"/>
    <cellStyle name="Normal" xfId="0" builtinId="0"/>
    <cellStyle name="Normal 2" xfId="1" xr:uid="{D00F3DCD-FF55-4973-A821-3C30BC7A97F3}"/>
    <cellStyle name="Normal 25" xfId="3" xr:uid="{52EEBB30-2A96-4A71-A7ED-D8DE0B129376}"/>
    <cellStyle name="Percent" xfId="4" builtinId="5"/>
    <cellStyle name="Percent 2" xfId="5" xr:uid="{4C2499DE-64F7-4FB3-A422-6EBCEBF0C17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2.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f90bce48fe946bb5/Desktop/Final%20Feedback%20June%202026%20(31).xlsx" TargetMode="External"/><Relationship Id="rId1" Type="http://schemas.openxmlformats.org/officeDocument/2006/relationships/externalLinkPath" Target="Final%20Feedback%20June%202026%20(31).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Amit%20Tripathi\Downloads\Feedback%20July%2026%20(31).xlsx" TargetMode="External"/><Relationship Id="rId1" Type="http://schemas.openxmlformats.org/officeDocument/2006/relationships/externalLinkPath" Target="file:///C:\Users\Amit%20Tripathi\Downloads\Feedback%20July%2026%20(3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01-06-26"/>
      <sheetName val="02-06-26"/>
      <sheetName val="03-06-26"/>
      <sheetName val="04-06-26"/>
      <sheetName val="05-06-26"/>
      <sheetName val="06-6-26"/>
      <sheetName val=" 07-06-26"/>
      <sheetName val="08-06-26"/>
      <sheetName val="09-06-26"/>
      <sheetName val="10-06-26"/>
      <sheetName val="11-06-26"/>
      <sheetName val="12-06-26"/>
      <sheetName val="13-06-26"/>
      <sheetName val="14-06-26"/>
      <sheetName val="15-06-26"/>
      <sheetName val="16-06-26"/>
      <sheetName val="17-06-26"/>
      <sheetName val="18-06-26"/>
      <sheetName val="19-06-26"/>
      <sheetName val="20-06-26"/>
      <sheetName val="21-06-26"/>
      <sheetName val="22-06-26"/>
      <sheetName val="25-06-26"/>
      <sheetName val="23-06-26"/>
      <sheetName val="24-06-26"/>
      <sheetName val="26-06-26"/>
      <sheetName val="27-06-26"/>
      <sheetName val="28-06-26"/>
      <sheetName val="29-06-26"/>
      <sheetName val="30-06-26"/>
      <sheetName val="Sheet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ow r="2">
          <cell r="A2">
            <v>2761</v>
          </cell>
          <cell r="B2" t="str">
            <v>Gyan</v>
          </cell>
          <cell r="C2">
            <v>9560719191</v>
          </cell>
          <cell r="D2" t="str">
            <v>J7, 2nd Floor, Signature Global City, Sec 37 D</v>
          </cell>
          <cell r="E2" t="str">
            <v>Dwarka Expressway</v>
          </cell>
          <cell r="F2" t="str">
            <v>Thursday</v>
          </cell>
          <cell r="G2" t="str">
            <v>4 PM to 7 PM</v>
          </cell>
          <cell r="H2">
            <v>1450</v>
          </cell>
          <cell r="I2">
            <v>362.5</v>
          </cell>
          <cell r="J2" t="str">
            <v>Bliss</v>
          </cell>
          <cell r="K2" t="str">
            <v>Upgraded as per scheme to Bliss for 5 Deliveries (22/08) No delivered today-send tom (02/10) Skip 1 week (26/11) Skip 2 week (28/01) Skip 2 week (10/03) No Sunflower ( 17/06)</v>
          </cell>
          <cell r="L2" t="str">
            <v>Sunflower</v>
          </cell>
          <cell r="N2" t="str">
            <v>2  del of this cycle   -  0-cycles pmnt   Completed - Collect 0</v>
          </cell>
          <cell r="O2" t="str">
            <v>P Eustoma ( 12 inch ) 2 Rajni 7   FF Sachet + Grass</v>
          </cell>
          <cell r="P2" t="str">
            <v>W Asiatic ( 14 Inch ) 2 R n W Car ( 14 Inch ) 7   Grass</v>
          </cell>
          <cell r="Q2" t="str">
            <v>Y Spray Daisy ( 15 Inch ) 3 Mix Alstroemeria ( 12 Inch ) 7   FF Sachet + Grass</v>
          </cell>
          <cell r="R2" t="str">
            <v>Sunflower ( 12 Inch ) 2 P n W Glad ( 14 Inch ) 7   FF Sachet + Grass</v>
          </cell>
          <cell r="S2" t="str">
            <v>P Asiatic ( 14 Inch ) 2 Pur n P Car ( 14 Inch ) 7   Grass</v>
          </cell>
          <cell r="T2" t="str">
            <v>Pur Eustoma ( 12 Inch ) 2 Rajni ( 14 Inch ) 7   FF Sachet + Grass</v>
          </cell>
        </row>
        <row r="3">
          <cell r="A3">
            <v>3285</v>
          </cell>
          <cell r="B3" t="str">
            <v xml:space="preserve">Atifa </v>
          </cell>
          <cell r="C3">
            <v>7006933974</v>
          </cell>
          <cell r="D3" t="str">
            <v>T-3/003, Imperial Gardens, Sec 102</v>
          </cell>
          <cell r="E3" t="str">
            <v>Dwarka Expressway</v>
          </cell>
          <cell r="F3" t="str">
            <v>Thursday</v>
          </cell>
          <cell r="G3" t="str">
            <v>4 PM to 7 PM</v>
          </cell>
          <cell r="H3">
            <v>1450</v>
          </cell>
          <cell r="I3">
            <v>362.5</v>
          </cell>
          <cell r="J3" t="str">
            <v>Bliss</v>
          </cell>
          <cell r="K3" t="str">
            <v>HDTNP (21/05) HDTNP (28/05) HDTNP (04/06) HDTNP (18/06)</v>
          </cell>
          <cell r="N3" t="str">
            <v>4  del of this cycle   -  0-cycles pmnt   CompletedNO COLLECTION-we have extra money - Collect -50</v>
          </cell>
          <cell r="O3" t="str">
            <v>Mix Alstroemeria ( 12 Inch ) 16     Grass</v>
          </cell>
          <cell r="P3" t="e">
            <v>#N/A</v>
          </cell>
          <cell r="Q3" t="e">
            <v>#N/A</v>
          </cell>
          <cell r="R3" t="str">
            <v xml:space="preserve">Collect 775 Carry Change and Receipt Book 50 Pending from last Payment  725 for current cycle 2 deliveries   </v>
          </cell>
          <cell r="S3" t="str">
            <v xml:space="preserve">Collect 775  Carry Change and Receipt Book Pese Na Mile To Call Karna Hai    </v>
          </cell>
          <cell r="T3" t="str">
            <v>Pur n P Car ( 14 Inch ) 16     FF Sachet + Grass</v>
          </cell>
        </row>
        <row r="4">
          <cell r="A4">
            <v>3246</v>
          </cell>
          <cell r="B4" t="str">
            <v>Anu Siwach</v>
          </cell>
          <cell r="C4">
            <v>9871900364</v>
          </cell>
          <cell r="D4" t="str">
            <v>Wing-A, Flat 7191, ATS Triumph, Sec 104</v>
          </cell>
          <cell r="E4" t="str">
            <v>Dwarka Expressway</v>
          </cell>
          <cell r="F4" t="str">
            <v>Thursday</v>
          </cell>
          <cell r="G4" t="str">
            <v>4 Pm to 7 PM</v>
          </cell>
          <cell r="H4">
            <v>1450</v>
          </cell>
          <cell r="I4">
            <v>362.5</v>
          </cell>
          <cell r="J4" t="str">
            <v>Bliss</v>
          </cell>
          <cell r="K4" t="str">
            <v>No Sunflowers (23/05)</v>
          </cell>
          <cell r="L4" t="str">
            <v>Sunflowers</v>
          </cell>
          <cell r="N4" t="str">
            <v>1  del of this cycle   -  1-cycles pmnt   Pending - Collect 1450</v>
          </cell>
          <cell r="O4" t="str">
            <v>Mix Car 9     Grass</v>
          </cell>
          <cell r="P4" t="str">
            <v>P n W Glad ( 14 Inch ) 9     Grass</v>
          </cell>
          <cell r="Q4" t="str">
            <v>P Asiatic ( 14 Inch ) 2     Grass</v>
          </cell>
          <cell r="R4" t="str">
            <v>Pink Spray Daisy  3     Grass</v>
          </cell>
          <cell r="S4" t="str">
            <v>Y Spray Daisy ( 14 Inch ) 3     Grass</v>
          </cell>
          <cell r="T4" t="str">
            <v>Pur n P Car ( 14 Inch ) 16     FF Sachet + Grass</v>
          </cell>
        </row>
        <row r="5">
          <cell r="B5" t="str">
            <v>Aanchal Boora</v>
          </cell>
          <cell r="C5">
            <v>9654700022</v>
          </cell>
          <cell r="D5" t="str">
            <v>Flat - 1171, Ats Triumph, Wing B, Tower 1, 17th Floor, Sec 104</v>
          </cell>
          <cell r="H5">
            <v>1450</v>
          </cell>
          <cell r="I5">
            <v>362.5</v>
          </cell>
          <cell r="J5" t="str">
            <v>Bliss</v>
          </cell>
          <cell r="T5" t="str">
            <v>Pur n P Car ( 14 Inch ) 16     FF Sachet + Grass</v>
          </cell>
        </row>
        <row r="6">
          <cell r="A6">
            <v>2631</v>
          </cell>
          <cell r="B6" t="str">
            <v>Ruchee</v>
          </cell>
          <cell r="C6">
            <v>9811026182</v>
          </cell>
          <cell r="D6" t="str">
            <v>A-2/1603, Puri Emerald Bay, Sector 104</v>
          </cell>
          <cell r="E6" t="str">
            <v>Dwarka Expressway</v>
          </cell>
          <cell r="F6" t="str">
            <v>Thursday</v>
          </cell>
          <cell r="G6" t="str">
            <v>4 Pm to 7 PM</v>
          </cell>
          <cell r="H6">
            <v>999</v>
          </cell>
          <cell r="I6">
            <v>249.75</v>
          </cell>
          <cell r="J6" t="str">
            <v>Delight</v>
          </cell>
          <cell r="K6" t="str">
            <v>No White Colr (29/05) FF Next (06/06) From Ruchika Aneja (21/08) Skip 1 week (24/08) Deliver at T-2 Reception (31/01) No sunflower (17/05)</v>
          </cell>
          <cell r="L6" t="str">
            <v>Sunflower</v>
          </cell>
          <cell r="M6" t="str">
            <v>No White Color (29/05) FF Next (06/06)</v>
          </cell>
          <cell r="N6" t="str">
            <v>4  del of this cycle   -  0-cycles pmnt   Completed - Collect 0</v>
          </cell>
          <cell r="O6" t="str">
            <v>Mix Car 9     Grass</v>
          </cell>
          <cell r="P6" t="str">
            <v>O Asiatic ( 14 Inch ) 2     Grass</v>
          </cell>
          <cell r="Q6" t="str">
            <v>Mix Alstroemeria ( 12 Inch ) 9 No white Color    FF Sachet + Grass</v>
          </cell>
          <cell r="R6" t="str">
            <v>P Glad 9 No White    Gras</v>
          </cell>
          <cell r="S6" t="str">
            <v>Y Spray Daisy ( 14 Inch ) 3     FF Sachet + Grass</v>
          </cell>
          <cell r="T6" t="str">
            <v>B Daisy ( 12 Inch ) 9     Grass</v>
          </cell>
        </row>
        <row r="7">
          <cell r="A7">
            <v>3270</v>
          </cell>
          <cell r="B7" t="str">
            <v>Tanya Sharma</v>
          </cell>
          <cell r="C7">
            <v>7022251818</v>
          </cell>
          <cell r="D7" t="str">
            <v>T-8/202, Chintel Serenity, Sec 109</v>
          </cell>
          <cell r="E7" t="str">
            <v>Dwarka Expressway</v>
          </cell>
          <cell r="F7" t="str">
            <v>Thursday</v>
          </cell>
          <cell r="G7" t="str">
            <v>4 Pm to 7 PM</v>
          </cell>
          <cell r="H7">
            <v>1950</v>
          </cell>
          <cell r="I7">
            <v>487.5</v>
          </cell>
          <cell r="J7" t="str">
            <v>Joy</v>
          </cell>
          <cell r="K7" t="str">
            <v>No Yellow wn Purple // no Rajni (02/02) No ALstroemeria and do not count last del(19/06)</v>
          </cell>
          <cell r="L7" t="str">
            <v>Rajni n Alstroemeria</v>
          </cell>
          <cell r="M7" t="str">
            <v>No Yellow wn Purple // Stock Next (02/03)</v>
          </cell>
          <cell r="N7" t="str">
            <v>3  del of this cycle   -  0-cycles pmnt   Completed - Collect 0</v>
          </cell>
          <cell r="O7" t="str">
            <v>P n W Spray Daisy ( 15 inch ) 4 Pur n P Car ( 14 inch ) 10   FF Sachet + Grass</v>
          </cell>
          <cell r="P7" t="str">
            <v>Pur Eustoma 2 Mix Alstroemeria ( 12 Inch ) 11   FF Sachet + Grass</v>
          </cell>
          <cell r="Q7" t="str">
            <v>W Asiatic ( 14 Inch ) 2 P n W Glad ( 14 Inch ) 11   Grass</v>
          </cell>
          <cell r="R7" t="str">
            <v>G n W Spray Daisy ( 14 Inch ) 4 P n W Car ( 14 Inch ) 11   FF Sachet + Grass</v>
          </cell>
          <cell r="S7" t="str">
            <v>P Eustoma ( 12 Inch ) 2 Mix Alstroemeria ( 12 inch )  11   FF Sachet + Grass</v>
          </cell>
          <cell r="T7" t="str">
            <v>O Asiatic ( 14 Inch ) 2 Rajni ( 14 Inch ) 11   Grass</v>
          </cell>
        </row>
        <row r="8">
          <cell r="A8">
            <v>3247</v>
          </cell>
          <cell r="B8" t="str">
            <v>V P Singh</v>
          </cell>
          <cell r="C8">
            <v>9717986555</v>
          </cell>
          <cell r="D8" t="str">
            <v>WT04/701, Experion Windchantsm Sec 112</v>
          </cell>
          <cell r="E8" t="str">
            <v>Dwarka Expressway</v>
          </cell>
          <cell r="F8" t="str">
            <v>Thursday</v>
          </cell>
          <cell r="G8" t="str">
            <v>4 Pm to 7 PM</v>
          </cell>
          <cell r="H8">
            <v>1450</v>
          </cell>
          <cell r="I8">
            <v>362.5</v>
          </cell>
          <cell r="J8" t="str">
            <v>Bliss</v>
          </cell>
          <cell r="K8" t="str">
            <v>Paytm From Vijay Pratap Singh</v>
          </cell>
          <cell r="N8" t="str">
            <v>1  del of this cycle   -  0-cycles pmnt   Completed - Collect 0</v>
          </cell>
          <cell r="O8" t="str">
            <v>P Asiatic ( 15 inch ) 3     Grass</v>
          </cell>
          <cell r="P8" t="str">
            <v>Mix Alstroemeria ( 12 Inch ) 16     FF Sachet + grass</v>
          </cell>
          <cell r="Q8" t="str">
            <v>Mix Car 16     Grass</v>
          </cell>
          <cell r="R8" t="str">
            <v>P n W Glad ( 14 Inch ) 16     Grass</v>
          </cell>
          <cell r="S8" t="str">
            <v>Sunflower ( 12 Inch ) 4 With Bouquet in Morning Pls With Bouquet in Morning Pls With Bouquet in Morning Pls  FF Sachet + Grass</v>
          </cell>
          <cell r="T8" t="str">
            <v>Pur Eustoma ( 12 Inch ) 3     FF Sachet + Grass</v>
          </cell>
        </row>
        <row r="9">
          <cell r="A9">
            <v>3385</v>
          </cell>
          <cell r="B9" t="str">
            <v>Srishti Verma</v>
          </cell>
          <cell r="C9">
            <v>9604584926</v>
          </cell>
          <cell r="D9" t="str">
            <v>H. No. 126, Flat No. 302, Road D3, Indira Colony, Sec 52</v>
          </cell>
          <cell r="E9" t="str">
            <v>Artemis</v>
          </cell>
          <cell r="F9" t="str">
            <v>Thursday</v>
          </cell>
          <cell r="G9" t="str">
            <v>4 Pm to 7 PM</v>
          </cell>
          <cell r="H9">
            <v>1950</v>
          </cell>
          <cell r="I9">
            <v>487.5</v>
          </cell>
          <cell r="J9" t="str">
            <v>Joy</v>
          </cell>
          <cell r="N9" t="str">
            <v>1  del of this cycle   -  0-cycles pmnt   Completed - Collect 0</v>
          </cell>
          <cell r="O9" t="e">
            <v>#N/A</v>
          </cell>
          <cell r="P9" t="e">
            <v>#N/A</v>
          </cell>
          <cell r="Q9" t="e">
            <v>#N/A</v>
          </cell>
          <cell r="R9" t="e">
            <v>#N/A</v>
          </cell>
          <cell r="S9" t="e">
            <v>#N/A</v>
          </cell>
          <cell r="T9" t="str">
            <v>Pur n P Car ( 14 Inch ) 22     FF Sachet + Grass</v>
          </cell>
        </row>
        <row r="10">
          <cell r="A10">
            <v>396</v>
          </cell>
          <cell r="B10" t="str">
            <v>Dr. Deepa Gupta</v>
          </cell>
          <cell r="C10">
            <v>8860079525</v>
          </cell>
          <cell r="D10" t="str">
            <v>Mayom Hospital, D block south city 1</v>
          </cell>
          <cell r="E10" t="str">
            <v>South City 1</v>
          </cell>
          <cell r="F10" t="str">
            <v>Thursday</v>
          </cell>
          <cell r="G10" t="str">
            <v>4 PM to 7 PM</v>
          </cell>
          <cell r="H10">
            <v>1450</v>
          </cell>
          <cell r="I10">
            <v>362.5</v>
          </cell>
          <cell r="J10" t="str">
            <v>Corporate</v>
          </cell>
          <cell r="K10" t="str">
            <v>1 del Missed(07/10) Return-send next week(31/12) Send replacement of Gerbera(30/10) Send on Monday this week(20/03) Return- hold package(08/07) Today returned-send next week(02/06) HDTNP (19/02)</v>
          </cell>
          <cell r="N10" t="str">
            <v>4  del of this cycle   -  0-cycles pmnt   In Process - Collect 0</v>
          </cell>
          <cell r="O10" t="str">
            <v>P n W Glad ( 14 inch ) 16     Grass</v>
          </cell>
          <cell r="P10" t="str">
            <v>P n W Car ( 14 inch ) 16     FF Sachet + grass</v>
          </cell>
          <cell r="Q10" t="str">
            <v>Mix Alstroemeria ( 12 Inch ) 16     FF Sachet + Grass</v>
          </cell>
          <cell r="R10" t="str">
            <v>P n W Glad ( 14 Inch ) 16     Grass</v>
          </cell>
          <cell r="S10" t="str">
            <v>Pur n P Car ( 14 inch ) 16     FF Sachet + Grass</v>
          </cell>
          <cell r="T10" t="str">
            <v>Rajni ( 14 Inch ) 16     Grass</v>
          </cell>
        </row>
        <row r="11">
          <cell r="A11">
            <v>922</v>
          </cell>
          <cell r="B11" t="str">
            <v>Dr. Deepa Gupta</v>
          </cell>
          <cell r="C11">
            <v>8860079525</v>
          </cell>
          <cell r="D11" t="str">
            <v>Mayom Hospital, D block south city 1</v>
          </cell>
          <cell r="E11" t="str">
            <v>South City 1</v>
          </cell>
          <cell r="F11" t="str">
            <v>Thursday</v>
          </cell>
          <cell r="G11" t="str">
            <v>4 PM to 7 PM</v>
          </cell>
          <cell r="H11">
            <v>1450</v>
          </cell>
          <cell r="I11">
            <v>362.5</v>
          </cell>
          <cell r="J11" t="str">
            <v>Corporate</v>
          </cell>
          <cell r="K11" t="str">
            <v>1 del Missed(07/10) Return-send next week(31/12) Send replacement of Gerbera(30/10) Send on Monday this week(20/03) Return- hold package(08/07) Today returned-send next week(02/06) HDTNP (19/02)</v>
          </cell>
          <cell r="N11" t="str">
            <v>4  del of this cycle   -  0-cycles pmnt   In Process - Collect 0</v>
          </cell>
          <cell r="O11" t="str">
            <v>Sunflower ( 14 inch ) 4     Grass</v>
          </cell>
          <cell r="P11" t="str">
            <v>W Asiatic ( 14 Inch ) 3     Grass</v>
          </cell>
          <cell r="Q11" t="str">
            <v>P Asiatic ( 14 Inch ) 3     Grass</v>
          </cell>
          <cell r="R11" t="str">
            <v>Y Asiatic ( 14 Inch ) 3     Grass</v>
          </cell>
          <cell r="S11" t="str">
            <v>O Asiatic ( 14 Inch ) 3     Grass</v>
          </cell>
          <cell r="T11" t="str">
            <v>Pur Eustoma ( 12 Inch ) 3     FF Sachet + Grass</v>
          </cell>
        </row>
        <row r="12">
          <cell r="A12">
            <v>237</v>
          </cell>
          <cell r="B12" t="str">
            <v>Mayom Hospital</v>
          </cell>
          <cell r="C12">
            <v>8860079525</v>
          </cell>
          <cell r="D12" t="str">
            <v>Mayom Hospital, D block south city 1</v>
          </cell>
          <cell r="E12" t="str">
            <v>South City 1</v>
          </cell>
          <cell r="F12" t="str">
            <v>Sunday</v>
          </cell>
          <cell r="G12" t="str">
            <v>9 AM - 12 PM</v>
          </cell>
          <cell r="H12">
            <v>3000</v>
          </cell>
          <cell r="I12">
            <v>375</v>
          </cell>
          <cell r="J12" t="str">
            <v>Corporate</v>
          </cell>
          <cell r="K12" t="str">
            <v>Sending on 20th instaed of 21st,bcoz of Holi(18/03) Send on Monday this week(20/03)</v>
          </cell>
          <cell r="N12" t="str">
            <v>4  del of this cycle   -  0-cycles pmnt   In Process - Collect 0</v>
          </cell>
          <cell r="O12" t="str">
            <v xml:space="preserve">Mix Car 16     </v>
          </cell>
          <cell r="P12" t="str">
            <v xml:space="preserve">Asiatic 3     </v>
          </cell>
          <cell r="Q12" t="str">
            <v xml:space="preserve">P n W Glad ( 14 Inch ) 15     </v>
          </cell>
          <cell r="R12" t="str">
            <v>Sunflower ( 12 Inch ) 4     Grass</v>
          </cell>
          <cell r="S12" t="str">
            <v xml:space="preserve">Rajni ( 14 Inch ) 15     </v>
          </cell>
          <cell r="T12" t="str">
            <v>Pur n P Car ( 14 Inch ) 15     Grass</v>
          </cell>
        </row>
        <row r="13">
          <cell r="A13">
            <v>236</v>
          </cell>
          <cell r="B13" t="str">
            <v>Dr. Arti Gupta 1</v>
          </cell>
          <cell r="C13">
            <v>8860079525</v>
          </cell>
          <cell r="D13" t="str">
            <v>Mayom Hospital, D block south city 1</v>
          </cell>
          <cell r="E13" t="str">
            <v>South City 1</v>
          </cell>
          <cell r="F13" t="str">
            <v>Mondau</v>
          </cell>
          <cell r="G13" t="str">
            <v>9 AM - 12 PM</v>
          </cell>
          <cell r="H13">
            <v>1450</v>
          </cell>
          <cell r="I13">
            <v>362.5</v>
          </cell>
          <cell r="J13" t="str">
            <v>Corporate</v>
          </cell>
          <cell r="K13" t="str">
            <v>Pls send a replacement of Asiatic tomorrow(23/08)NO GERBERA(22/09) Start special Pack(13/04) Send Del on Monday this week(20/03) NEVER BUT DAISIES(29/10) Hold today (22/01) HDTNP (19/02)</v>
          </cell>
          <cell r="N13" t="str">
            <v>2  del of this cycle   -  0-cycles pmnt   In Process - Collect 0</v>
          </cell>
          <cell r="O13" t="str">
            <v>Mix Car 16     Grass</v>
          </cell>
          <cell r="P13" t="str">
            <v>P n W Glad ( 14 Inch ) 16     Grass</v>
          </cell>
          <cell r="Q13" t="str">
            <v>Mix Alstroemeria ( 12 Inch ) 16     FF Sachet + Grass</v>
          </cell>
          <cell r="R13" t="str">
            <v>Pur n P Car ( 14 inch ) 16     FF Sachet + Grass</v>
          </cell>
          <cell r="S13" t="str">
            <v>P n W Glad ( 14 Inch ) 16     Grass</v>
          </cell>
          <cell r="T13" t="str">
            <v>Rajni ( 14 Inch ) 16     Grass</v>
          </cell>
        </row>
        <row r="14">
          <cell r="A14">
            <v>366</v>
          </cell>
          <cell r="B14" t="str">
            <v>Dr. Arti Gupta 1</v>
          </cell>
          <cell r="C14">
            <v>8860079525</v>
          </cell>
          <cell r="D14" t="str">
            <v>Mayom Hospital, D block south city 1</v>
          </cell>
          <cell r="E14" t="str">
            <v>South City 1</v>
          </cell>
          <cell r="F14" t="str">
            <v>Monday</v>
          </cell>
          <cell r="G14" t="str">
            <v>9 AM - 12 PM</v>
          </cell>
          <cell r="H14">
            <v>1450</v>
          </cell>
          <cell r="I14">
            <v>362.5</v>
          </cell>
          <cell r="J14" t="str">
            <v>Corporate</v>
          </cell>
          <cell r="K14" t="str">
            <v>NO GERBERA(22/09)Start special Pack(13/04) Extend 1 ddlivery as we are sending 1 Nargis Today(22/12) Send Del on Monday this week(20/03) Send Replacemenmt of Car(20/09/20) NEVER BUT DAISIES(29/10) Spray daisy Next(03/03) Sent Replacement today(01/08) Hold today (22/01) HDTNP (19/02)</v>
          </cell>
          <cell r="N14" t="str">
            <v>2  del of this cycle   -  0-cycles pmnt   In Process - Collect 0</v>
          </cell>
          <cell r="O14" t="str">
            <v>P n Y Spray Daisy ( 15 Inch ) 5     FF Sachet + Grass</v>
          </cell>
          <cell r="P14" t="str">
            <v>W Asiatic ( 14 Inch ) 3     Grass</v>
          </cell>
          <cell r="Q14" t="str">
            <v>P Asiatic ( 14 Inch ) 3     Grass</v>
          </cell>
          <cell r="R14" t="str">
            <v>Y Asiatic ( 14 Inch ) 3     Grass</v>
          </cell>
          <cell r="S14" t="str">
            <v>O Asiatic ( 14 Inch ) 3     Grass</v>
          </cell>
          <cell r="T14" t="str">
            <v>Pur Eustoma ( 12 Inch ) 3     FF Sachet + Grass</v>
          </cell>
        </row>
        <row r="15">
          <cell r="A15">
            <v>1098</v>
          </cell>
          <cell r="B15" t="str">
            <v>Rahul Sehgal</v>
          </cell>
          <cell r="C15">
            <v>9810022182</v>
          </cell>
          <cell r="D15" t="str">
            <v>418-A, Hamilton Court</v>
          </cell>
          <cell r="E15" t="str">
            <v>DLF Phase 4</v>
          </cell>
          <cell r="F15" t="str">
            <v>Thursday</v>
          </cell>
          <cell r="G15" t="str">
            <v>4 Pm to 7 PM</v>
          </cell>
          <cell r="H15">
            <v>1950</v>
          </cell>
          <cell r="I15">
            <v>487.5</v>
          </cell>
          <cell r="J15" t="str">
            <v>Joy</v>
          </cell>
          <cell r="K15" t="str">
            <v>P Glad First(02/09/20) Next Oriental and send only Glad/Oriental and asiatic(17/09/20)  Only Oriental and Gladioli(26/10) Now Send-- Glad // BOP + Guldawari // Oriental Lily// Heliconia(19/12) Send Glad tom -- No White(23/12) Send all flowesr now and mixed always but NO RAJNI(19/01) NO WHITE COLOR(04/03) NO BOP(21/03) NO ORCHID(02/04) Shift to Friday now(04/04) Sent 1 Flower Food today(06/06) Send on sat this week only(10/10) Y Chrysanthemum nextr and Lilies after that(23/10) NO HELICONIA(26/10) NO GERBERA(18/02) Skip thsi week(25/02) Day chang eto thursday evening slot(08/03) Do not count last delivery(20/03) Send replacement tomorrow (05/07)</v>
          </cell>
          <cell r="L15" t="str">
            <v>ROSE n RAJNI</v>
          </cell>
          <cell r="N15" t="str">
            <v>2  del of this cycle   -  0-cycles pmnt   Completed - Collect 0</v>
          </cell>
          <cell r="O15" t="str">
            <v>P Asiatic ( 15 inch ) 4     Grass</v>
          </cell>
          <cell r="P15" t="str">
            <v>Mix Glad 22     Grass</v>
          </cell>
          <cell r="Q15" t="str">
            <v>Sunflower ( 12 Inch ) 5     FF Sachet + Grass</v>
          </cell>
          <cell r="R15" t="str">
            <v>Pur n P Car ( 14 inch ) 22     FF Sachet + Grass</v>
          </cell>
          <cell r="S15" t="str">
            <v>P n W Spray Daisy ( 14 Inch ) 7     FF Sachet + Grass</v>
          </cell>
          <cell r="T15" t="str">
            <v>O Asiatic ( 14 Inch ) 4     Grass</v>
          </cell>
        </row>
        <row r="16">
          <cell r="A16" t="str">
            <v>G-00015</v>
          </cell>
          <cell r="B16" t="str">
            <v>Harsh  - Unikon</v>
          </cell>
          <cell r="C16">
            <v>9015463811</v>
          </cell>
          <cell r="D16" t="str">
            <v>AR-903B, 3rd Floor, Aralias</v>
          </cell>
          <cell r="E16" t="str">
            <v>Golf Course Road</v>
          </cell>
          <cell r="F16" t="str">
            <v>Thursday</v>
          </cell>
          <cell r="G16" t="str">
            <v>4 Pm to 7 PM</v>
          </cell>
          <cell r="H16">
            <v>2750</v>
          </cell>
          <cell r="I16">
            <v>687.5</v>
          </cell>
          <cell r="J16" t="str">
            <v>Elation</v>
          </cell>
          <cell r="K16" t="str">
            <v>From Deep Bajaj // Message = Your boyfriend:p (05/11) Paytm from Simran Dhawan (04/03) Send 1 delivery tomorrow (17/03) Skip 1 week (10/04) Add change request from Jasjit -- 9560611229</v>
          </cell>
          <cell r="M16" t="str">
            <v>One time Single n One Time Mixed</v>
          </cell>
          <cell r="N16" t="str">
            <v>4  del of this cycle   -  0-cycles pmnt   In Process - Collect 0</v>
          </cell>
          <cell r="O16" t="str">
            <v>Bop 3 Rajni 15   2 Gypsola</v>
          </cell>
          <cell r="P16" t="str">
            <v>O Asiatic ( 14 Inch ) 3 R n W Car ( 14 Inch ) 16   2 Limonium</v>
          </cell>
          <cell r="Q16" t="str">
            <v>Sunflower ( 12 Inch ) 4 Mix Alstroemeria ( 12 Inch ) 16   2 Gypsola + FF Sachet</v>
          </cell>
          <cell r="R16" t="str">
            <v>Pur n P Eustoma ( 12 Inch ) 4 P n W Glad ( 14 Inch ) 16   2 Limonium + FF Sachet</v>
          </cell>
          <cell r="S16" t="str">
            <v>P n W Spray Daisy ( 14 Inch ) 5 Pur n P Car ( 14 Inch ) 16   2 Gypsola + FF Sachet</v>
          </cell>
          <cell r="T16" t="str">
            <v>P Asiatic ( 14 Inch ) 3 B Daisy ( 12 Inch ) 16   2 Limonium</v>
          </cell>
        </row>
        <row r="17">
          <cell r="A17">
            <v>244</v>
          </cell>
          <cell r="B17" t="str">
            <v>Garima jain</v>
          </cell>
          <cell r="C17">
            <v>9958581403</v>
          </cell>
          <cell r="D17" t="str">
            <v xml:space="preserve"> G-901, Central Park 1, Golf Course Road    Sec 42 Gurgaon  122002</v>
          </cell>
          <cell r="E17" t="str">
            <v>Golf Course Road</v>
          </cell>
          <cell r="F17" t="str">
            <v>Thursday</v>
          </cell>
          <cell r="G17" t="str">
            <v>9 AM - 12 PM</v>
          </cell>
          <cell r="H17">
            <v>1450</v>
          </cell>
          <cell r="I17">
            <v>1450</v>
          </cell>
          <cell r="J17" t="str">
            <v>Bliss</v>
          </cell>
          <cell r="K17" t="str">
            <v>Sat to Thurs//Flowers other than Car pl (21/07)Send on Sunday instead of sat this week(19/10) Upgrade to 650 Plan(03/05) Add changed(13/07) NO CAR(07/09) Send a replacement (06/10) NO CAR(13/12) 200 Paytm Done(14/12) paytm of 200 from Anuj sarin(14/12) Sending 30th Del on 29th May(28/05/2020) ONLY LILIES(23/08/20) Day Changed to Saturday(14/10) Skip this week an semd next week(13/03) Hold n start from 29th Jan(25/12 ) Received 200 today via Gpay(26/12) Diff Flowesr every week(08/04)  Sent replacement today(22/04) Skip 1 week(17/06) Today Returned (13/06) Do not Count last Del (17/08) Skip 1 week (22/12) Skip 2 week (23/05) Send on sunday this week (01/10) Return-not at home (23/10) One Payment of 1000 received on 05th Feb (06/03) Returned (04/06)</v>
          </cell>
          <cell r="N17" t="str">
            <v>1  del of this cycle   -  1-cycles pmnt   Pending - Collect 1450</v>
          </cell>
          <cell r="O17" t="str">
            <v>Mix Alstroemeria ( 12 Inch ) 9     Grass</v>
          </cell>
          <cell r="P17" t="str">
            <v>P n W Glad ( 14 Inch ) 9     Grass</v>
          </cell>
          <cell r="Q17" t="str">
            <v>P Asiatic ( 14 Inch ) 2 Pls Insure Collection    Grass</v>
          </cell>
          <cell r="R17" t="str">
            <v>Mix Alstroemeria ( 12 Inch ) 9 Pls Collect Cash     Grass</v>
          </cell>
          <cell r="S17" t="str">
            <v>Pur n P Car ( 14 inch ) 9     Grass</v>
          </cell>
          <cell r="T17" t="str">
            <v>Pur Eustoma ( 12 Inch ) 3     FF Sachet + Grass</v>
          </cell>
        </row>
        <row r="18">
          <cell r="A18">
            <v>326</v>
          </cell>
          <cell r="B18" t="str">
            <v>Radhika Surana-- Before 10</v>
          </cell>
          <cell r="C18">
            <v>9871132800</v>
          </cell>
          <cell r="D18" t="str">
            <v>1204, The Magnolias</v>
          </cell>
          <cell r="E18" t="str">
            <v>Golf Course Road</v>
          </cell>
          <cell r="F18" t="str">
            <v>Thursday</v>
          </cell>
          <cell r="G18" t="str">
            <v>9 AM - 12 PM</v>
          </cell>
          <cell r="H18">
            <v>2750</v>
          </cell>
          <cell r="I18">
            <v>687.5</v>
          </cell>
          <cell r="J18" t="str">
            <v>Elation</v>
          </cell>
          <cell r="K18" t="str">
            <v>NO ORCHIDS, Prefer Lilies,Rajni and Gerbera(04/10) 1 week(22/04) Paytm from Anurag Surana(06/06) Paytm from Anurag Surana(02/07)  NO Orchid n BOP (25/01)  Skip 1 week (28/06) Hold 3rd aug and send on 7th Aug (03/08) Today returned (07/08) Skip this thursday and send on Monday (15/08) After 2nd Oct now (27/09) Skip 1 week (21/10) Hold n send after 8th Jan (13/12) Skip 1 week (30/01) Skip tom n sned on 19th (13/03) Skip 23rd and 30th (16/05) Skip 2 weeks and send mext del on 22nd June (12/06) Skip this week n start from tuesday (24/07) Skip 1 week (20/08) Skip 1 week (03/09) Skip 7th n 14th (06/11) Skip 5th Dec Del (02/12) skip 2 week (21/12) Today Returned (23/01) Skip 1 week and send on sunday (22/02) Skip tom and send on monday (05/03) Skip 1 week (19/03) Skip 2 weeks (05/04) Skip 2 weeks (31/05) Skip 1 week (19/08)  No Del on 18th, 25th and 2nd Oct (14/09) Returned today (09/10) Send this week on sunday and then thursday (05/11) Hold today n next weeks (27/11) Skip 1 week (25/12) Skip 1 week (30/03) Skip 4th n 11th June (28/05)</v>
          </cell>
          <cell r="L18" t="str">
            <v>BOP n ORCHID</v>
          </cell>
          <cell r="N18" t="str">
            <v>4  del of this cycle   -  0-cycles pmnt   Completed - Collect 0</v>
          </cell>
          <cell r="O18" t="str">
            <v>Mix Alstroemeria ( 12 Inch ) 30     2 Gypsola</v>
          </cell>
          <cell r="P18" t="str">
            <v>O Asiatic ( 14 Inch ) 6     2 Limonium</v>
          </cell>
          <cell r="Q18" t="e">
            <v>#N/A</v>
          </cell>
          <cell r="R18" t="e">
            <v>#N/A</v>
          </cell>
          <cell r="S18" t="str">
            <v>Pur n P Car ( 14 inch ) 32     2 Gypsola + FF Sachet</v>
          </cell>
          <cell r="T18" t="str">
            <v>P n W Glad ( 14 Inch ) 32     2 Limonium</v>
          </cell>
        </row>
        <row r="19">
          <cell r="A19">
            <v>2395</v>
          </cell>
          <cell r="B19" t="str">
            <v>Anupma Katyal</v>
          </cell>
          <cell r="C19">
            <v>9999967563</v>
          </cell>
          <cell r="D19" t="str">
            <v>1484, Saraswati Kunj</v>
          </cell>
          <cell r="E19" t="str">
            <v>DLF Phase 5</v>
          </cell>
          <cell r="F19" t="str">
            <v>Thursday</v>
          </cell>
          <cell r="G19" t="str">
            <v>10 AM to 2:30 PM</v>
          </cell>
          <cell r="H19">
            <v>1950</v>
          </cell>
          <cell r="I19">
            <v>487.5</v>
          </cell>
          <cell r="J19" t="str">
            <v>Joy</v>
          </cell>
          <cell r="K19" t="str">
            <v>Return today (22/05) Hold today due to non payment (02/10)</v>
          </cell>
          <cell r="M19" t="str">
            <v>Mixed Flowers</v>
          </cell>
          <cell r="N19" t="str">
            <v>1  del of this cycle   -  1-cycles pmnt   Pending - Collect 1950</v>
          </cell>
          <cell r="O19" t="str">
            <v>Mix Alstroemeria ( 12 Inch ) 22     Grass</v>
          </cell>
          <cell r="P19" t="str">
            <v>O Asiatic ( 14 Inch ) 4     Grass</v>
          </cell>
          <cell r="Q19" t="str">
            <v>R n W Car ( 14 inch ) 22     FF Sachet + Grass</v>
          </cell>
          <cell r="R19" t="str">
            <v>Pur n P Eustoma ( 12 Inch ) 4     FF Sachet + Grass</v>
          </cell>
          <cell r="S19" t="str">
            <v>Sunflower ( 12 Inch ) 5     FF Sachet + Grass</v>
          </cell>
          <cell r="T19" t="str">
            <v>P Asiatic ( 14 Inch ) 4     Grass</v>
          </cell>
        </row>
        <row r="20">
          <cell r="A20">
            <v>3133</v>
          </cell>
          <cell r="B20" t="str">
            <v>Anastasiia Liapicheva</v>
          </cell>
          <cell r="C20" t="str">
            <v>7678659573 // '+79029329098</v>
          </cell>
          <cell r="D20" t="str">
            <v>B1/602, Palm Groove Heights, Ardee City Sec 52</v>
          </cell>
          <cell r="E20" t="str">
            <v>Sushant Estate</v>
          </cell>
          <cell r="F20" t="str">
            <v>Thursday</v>
          </cell>
          <cell r="G20" t="str">
            <v>9 AM - 12 PM</v>
          </cell>
          <cell r="H20">
            <v>1450</v>
          </cell>
          <cell r="I20">
            <v>362.5</v>
          </cell>
          <cell r="J20" t="str">
            <v>Bliss</v>
          </cell>
          <cell r="K20" t="str">
            <v>No Lilies (02/11) No White Greens (02/12) Skip 1 week (07/01) skip 1 week (27/01) No Sunflower (06/03) Skip 1 week (06/06)</v>
          </cell>
          <cell r="L20" t="str">
            <v>Lily n Sunflower n White Greens</v>
          </cell>
          <cell r="M20" t="str">
            <v>No White Greens n Mixed Flowers</v>
          </cell>
          <cell r="N20" t="str">
            <v>3  del of this cycle   -  0-cycles pmnt   Completed - Collect 0</v>
          </cell>
          <cell r="O20" t="str">
            <v>BOP ( 14 inch ) 2 P n W Glad ( 14 inch ) 7   FF Sachet + Grass</v>
          </cell>
          <cell r="P20" t="str">
            <v>P Spray Daisy ( 15 Inch ) 3 R n W Car ( 14 Inch ) 7   FF Sachet + grass</v>
          </cell>
          <cell r="Q20" t="str">
            <v>Pur Eustoma ( 14 Inch ) 2 Mix Alstroemeria ( 12 Inch ) 7   FF Sachet + Grass</v>
          </cell>
          <cell r="R20" t="e">
            <v>#N/A</v>
          </cell>
          <cell r="S20" t="str">
            <v>O Asiatic ( 14 Inch ) 2 P n W Glad ( 14 Inch ) 7   Grass</v>
          </cell>
          <cell r="T20" t="str">
            <v>Y Spray Daisy 3 P n W Car ( 14 Inch ) 7   FF Sachet + Grass</v>
          </cell>
        </row>
        <row r="21">
          <cell r="A21">
            <v>1898</v>
          </cell>
          <cell r="B21" t="str">
            <v>Shipra</v>
          </cell>
          <cell r="C21">
            <v>8447778677</v>
          </cell>
          <cell r="D21" t="str">
            <v xml:space="preserve">C-94 Trinity </v>
          </cell>
          <cell r="E21" t="str">
            <v>DLF Phase 5</v>
          </cell>
          <cell r="F21" t="str">
            <v>Saturday</v>
          </cell>
          <cell r="G21" t="str">
            <v>4 Pm to 7 PM</v>
          </cell>
          <cell r="H21">
            <v>1600</v>
          </cell>
          <cell r="I21">
            <v>200</v>
          </cell>
          <cell r="J21" t="str">
            <v>Bloom</v>
          </cell>
          <cell r="K21" t="str">
            <v>Thursday and Sunday// Rajni 1st(02/04) Changed to evening slot(07/04) Today Returned(17/04) Skip Sunday del(17/06) Skip this Thursday(28/06) Skip 1 week(13/08) Skip Tom Flowers(01/10) Paytm From Shipra Rastogi (20/02) Skip 1 wek (22/03) Skip Thursday delivery (04/04) Today Returned (09/04) Skip sunday delivery (29/09) Yesterday returned (22/12) Return today (28/01) Skip tom (23/03) Skip 1 week (10/04) Eustoma Next (26/05) Hold for 10 days (06/06) Sennd one del Tom (05/08) Hold today and skip next (15/08) Hold today n skip 1 week (21/11) Skip this sunday (21/12) Paytm from Shipra Rastogi (02/03) Hold today (23/03) 250 received via paytm (30/03) 1000 cash and 250 paytm (31/03) Hold from 10th to 21st June-25(11/06) Hold today due to nonpayment (02/10) Hold due to non payment (05/10) Yesterday returned (24/10) Skip 1 week (24/12) Hold due to non payment (07/01) Hold due to non payment (11/01) Hold due to non payment (14/01) Hold due to non payment (18/01) HDTNP (15/02) HDTNP(22/02) HDTNP (26/02) HDTNP (01/03) HDTNP (04/03) HDTNP (08/03) HDTNP (12/03) HDTNP (14/03) HDTNP (10/05) hdtnp (14/05) No Flowers from 17th to 24th (17/06)</v>
          </cell>
          <cell r="N21" t="str">
            <v>3  del of this cycle   -  0-cycles pmnt   Completed - Collect 0</v>
          </cell>
          <cell r="O21" t="str">
            <v>P n W Glad ( 14 inch ) 7     Grass</v>
          </cell>
          <cell r="P21" t="str">
            <v>Sunflower 2     Grass</v>
          </cell>
          <cell r="Q21" t="str">
            <v>Mix Alstroemeria ( 12 Inch ) 7     FF Sachet + Grass</v>
          </cell>
          <cell r="R21" t="str">
            <v>Rajni ( 14 Inch ) 7     Grass</v>
          </cell>
          <cell r="S21" t="e">
            <v>#N/A</v>
          </cell>
          <cell r="T21" t="str">
            <v>Sunflower ( 12 Inch) 2     FF Sachet + Grass</v>
          </cell>
        </row>
        <row r="22">
          <cell r="A22">
            <v>2024</v>
          </cell>
          <cell r="B22" t="str">
            <v>Priyanka Katyal</v>
          </cell>
          <cell r="C22">
            <v>9958565556</v>
          </cell>
          <cell r="D22" t="str">
            <v>1487, Saraswati Kunj, Sector 53</v>
          </cell>
          <cell r="E22" t="str">
            <v>DLF Phase 5</v>
          </cell>
          <cell r="F22" t="str">
            <v>Thursday</v>
          </cell>
          <cell r="G22" t="str">
            <v>9 AM - 12 PM</v>
          </cell>
          <cell r="H22">
            <v>1950</v>
          </cell>
          <cell r="I22">
            <v>487.5</v>
          </cell>
          <cell r="J22" t="str">
            <v>Joy</v>
          </cell>
          <cell r="K22" t="str">
            <v>Sunday n Thursday//NO Oriental and Guldawari (29/12) Paytm From Sanjay Katyal (28/03) Hold till 8th June-- she will confirm the package (24/05)' Shift to felicity// Today hold --send tom (09/07) Lilies Tom (08/11) Paytm From Ace Promoters and Developers Pvt. Ltd (26/01) Send Replacement tom (17/02) Skip 1 week (10/07) Couldn't deliver due to water logging-send on sunday (29/08) Paytm from Sanjay Katyal (20/10) Skip 2 week (21/05) Hold till 13th Aiug (26/07) Premium Flwer extra Next (09/01)</v>
          </cell>
          <cell r="L22" t="str">
            <v>ORIENTAL n GULDAWARI</v>
          </cell>
          <cell r="M22" t="str">
            <v>Premium Flwer extra Next (09/01)</v>
          </cell>
          <cell r="N22" t="str">
            <v>2  del of this cycle   -  0-cycles pmnt   Completed - Collect 0</v>
          </cell>
          <cell r="O22" t="str">
            <v>P Asiatic ( 15 inch ) 4     Grass</v>
          </cell>
          <cell r="P22" t="str">
            <v>R n W Car ( 14 Inch ) 22     FF Sachet + Grass</v>
          </cell>
          <cell r="Q22" t="str">
            <v>Sunflower ( 12 Inch ) 5     FF Sachet + Grass</v>
          </cell>
          <cell r="R22" t="str">
            <v>P n W Glad ( 14 Inch ) 22     Grass</v>
          </cell>
          <cell r="S22" t="str">
            <v>P n W Spray Daisy ( 14 Inch ) 7     FF Sachet + Grass</v>
          </cell>
          <cell r="T22" t="str">
            <v>O Asiatic ( 14 Inch ) 4     Grass</v>
          </cell>
        </row>
        <row r="23">
          <cell r="A23">
            <v>3273</v>
          </cell>
          <cell r="B23" t="str">
            <v>Sharmishtha Jhulka</v>
          </cell>
          <cell r="C23">
            <v>9810010615</v>
          </cell>
          <cell r="D23" t="str">
            <v>817-B, The Camelias</v>
          </cell>
          <cell r="E23" t="str">
            <v>Golf Course Road</v>
          </cell>
          <cell r="F23" t="str">
            <v>Thursday</v>
          </cell>
          <cell r="G23" t="str">
            <v>9 AM to 2 PM</v>
          </cell>
          <cell r="H23">
            <v>5800</v>
          </cell>
          <cell r="I23">
            <v>1450</v>
          </cell>
          <cell r="J23" t="str">
            <v>Customized</v>
          </cell>
          <cell r="K23" t="str">
            <v>send on 19th, 26th Mar, 23rd April and may 26 // Now start from 18th June (15/05) 10 Asiatic Lilies // 20 Spray Daisies // 10 Sunflowers// 10 Eustoma Pack (20/05)</v>
          </cell>
          <cell r="N23" t="str">
            <v>1  del of this cycle   -  0-cycles pmnt   Completed - Collect 0</v>
          </cell>
          <cell r="O23" t="str">
            <v>P n Y Asiatic ( 15 inch ) 10     2 Gypsola</v>
          </cell>
          <cell r="P23" t="e">
            <v>#N/A</v>
          </cell>
          <cell r="Q23" t="str">
            <v xml:space="preserve">Pur n P Eustoma ( 12 Inch ) 10     </v>
          </cell>
          <cell r="R23" t="e">
            <v>#N/A</v>
          </cell>
          <cell r="S23" t="str">
            <v xml:space="preserve">P n Y Spray Daisy ( 14 Inch ) 20     </v>
          </cell>
          <cell r="T23" t="str">
            <v>O n W Asiatic ( 14 Inch ) 10     3 Areca Palm + 2 Limonium</v>
          </cell>
        </row>
        <row r="24">
          <cell r="A24">
            <v>2644</v>
          </cell>
          <cell r="B24" t="str">
            <v>Sanjeet Kaur</v>
          </cell>
          <cell r="C24">
            <v>7889438209</v>
          </cell>
          <cell r="D24" t="str">
            <v>601, Emerald Green, Sector 52</v>
          </cell>
          <cell r="E24" t="str">
            <v>Artemis</v>
          </cell>
          <cell r="F24" t="str">
            <v>Thursday</v>
          </cell>
          <cell r="G24" t="str">
            <v>9:30 Am to 2 PM</v>
          </cell>
          <cell r="H24">
            <v>999</v>
          </cell>
          <cell r="I24">
            <v>249.75</v>
          </cell>
          <cell r="J24" t="str">
            <v>Delight</v>
          </cell>
          <cell r="K24" t="str">
            <v>1 Gypsola in each Del (16/05) Paytm From Arshia Kaur (13/06) Paytm From Yogpal Singh (20/12) Do not count todays delivery (30/04)</v>
          </cell>
          <cell r="M24" t="str">
            <v>1 Gyposla in each Del</v>
          </cell>
          <cell r="N24" t="str">
            <v>3  del of this cycle   -  0-cycles pmnt   Completed - Collect 0</v>
          </cell>
          <cell r="O24" t="str">
            <v>Mix Alstroemeria ( 12 Inch ) 9     Grass</v>
          </cell>
          <cell r="P24" t="str">
            <v>O Asiatic ( 14 Inch ) 2     Grass</v>
          </cell>
          <cell r="Q24" t="str">
            <v>R n W Car ( 14 inch ) 9     FF Sachet + Grass</v>
          </cell>
          <cell r="R24" t="str">
            <v>P n W Glad ( 14 Inch ) 9     Gras</v>
          </cell>
          <cell r="S24" t="str">
            <v>Y Spray Daisy ( 14 Inch ) 3     1 Gypsola + FF Sachet</v>
          </cell>
          <cell r="T24" t="str">
            <v>B Daisy ( 12 Inch ) 9     Grass</v>
          </cell>
        </row>
        <row r="25">
          <cell r="A25">
            <v>203</v>
          </cell>
          <cell r="B25" t="str">
            <v>Alok divatia -- After 10 AM</v>
          </cell>
          <cell r="C25">
            <v>9819355743</v>
          </cell>
          <cell r="D25" t="str">
            <v>BLC 263, 26th Floor, Tower C, The Belaire</v>
          </cell>
          <cell r="E25" t="str">
            <v>Golf Course Road</v>
          </cell>
          <cell r="F25" t="str">
            <v>Thursday</v>
          </cell>
          <cell r="G25" t="str">
            <v>9 AM - 12 PM</v>
          </cell>
          <cell r="H25">
            <v>8648</v>
          </cell>
          <cell r="I25">
            <v>2162</v>
          </cell>
          <cell r="J25" t="str">
            <v>Customized</v>
          </cell>
          <cell r="K25" t="str">
            <v>Tues to Thurs//After 10 AM, Lilis only and 12 lilies + 24 carnations, Never combo of Red n white, all flowers shd be of diff color(12/06)Skip tom n then on Tuesday(08/09) Return-send tom(16/12) NO ROSE(20/12) 14 Lily and 24 Car(24/09) Send 18 spray daisy instead of Asiatic next(30/03) Change package cost to 6300(20/07) Hold from today (05/12)</v>
          </cell>
          <cell r="N25" t="str">
            <v>4  del of this cycle   -  0-cycles pmnt   Completed - Collect 0</v>
          </cell>
          <cell r="O25" t="str">
            <v>P n W Asiatic ( 15 inch ) 14 Pur n P Car ( 14 inch ) 24   4 Areca palm + 2 Gypsola + 2 Limonium</v>
          </cell>
          <cell r="P25" t="str">
            <v>O n W Asiatic  14 P n W Car ( 14 Inch )  24   4 Areca Palm + 2 Gypsola + 2 Limonium</v>
          </cell>
          <cell r="Q25" t="str">
            <v>P n Y Asiatic ( 14 Inch ) 14 Pur n Y Car ( 14 Inch ) 24   4 Areca palm + 2 Gypsola + 2 Limonium</v>
          </cell>
          <cell r="R25" t="str">
            <v xml:space="preserve">P n W Asiatic ( 14 Inch ) 14 Pur n P Car ( 14 inch ) 24   </v>
          </cell>
          <cell r="S25" t="str">
            <v xml:space="preserve">O n P Asiatic ( 14 Inch ) 14 P n W Car ( 14 Inch ) 24   </v>
          </cell>
          <cell r="T25" t="str">
            <v>O n W Asiatic ( 14 Inch ) 14 R n P Car ( 14 Inch ) 24   4 Areca Palm + 2 Gypsola + 2 Limonim</v>
          </cell>
        </row>
        <row r="26">
          <cell r="A26">
            <v>1998</v>
          </cell>
          <cell r="B26" t="str">
            <v>Shivani Katyal</v>
          </cell>
          <cell r="C26">
            <v>9811053756</v>
          </cell>
          <cell r="D26" t="str">
            <v>H. No. 1486, Sarsawati Kunj</v>
          </cell>
          <cell r="E26" t="str">
            <v>DLF Phase 5</v>
          </cell>
          <cell r="F26" t="str">
            <v>Thursday</v>
          </cell>
          <cell r="G26" t="str">
            <v>9:30 Am to 2 PM</v>
          </cell>
          <cell r="H26">
            <v>1950</v>
          </cell>
          <cell r="I26">
            <v>487.5</v>
          </cell>
          <cell r="J26" t="str">
            <v>Joy</v>
          </cell>
          <cell r="K26" t="str">
            <v>Rose//Orchid//Asiatic//Anthurium//Heliconia//BOP (28/10) NO Guldawari n Anthurium (09/02) Paytm From Manish K M K (08/09) Paytm from Manish Katyal // Gpay From Palak Katyal (22/03) No Glad Also (18/04) Couldn't deliver due to watrelogging--send on Sunday (29/08) Skip n send on sunday (01/10)</v>
          </cell>
          <cell r="L26" t="str">
            <v>GULDAWARI n ANTHURIUM n GLAD</v>
          </cell>
          <cell r="N26" t="str">
            <v>3  del of this cycle   -  0-cycles pmnt   CompletedNO COLLECTION-we have extra money - Collect -50</v>
          </cell>
          <cell r="O26" t="str">
            <v>B Orchid 7     FF Sachet + Grass</v>
          </cell>
          <cell r="P26" t="str">
            <v>O Asiatic ( 14 Inch ) 4     Grass</v>
          </cell>
          <cell r="Q26" t="str">
            <v>Sunflower ( 12 Inch ) 5     FF Sachet + Grass</v>
          </cell>
          <cell r="R26" t="str">
            <v>Pur n P Car ( 14 inch ) 22     FF Sachet + Grass</v>
          </cell>
          <cell r="S26" t="str">
            <v>Mix Alstroemeria ( 12 Inch ) 22     FF Sachet + Grass</v>
          </cell>
          <cell r="T26" t="str">
            <v>P n W Spray Daisy 7     FF Sachet + Grass</v>
          </cell>
        </row>
        <row r="27">
          <cell r="A27" t="str">
            <v>G-00061</v>
          </cell>
          <cell r="B27" t="str">
            <v>Dolly Mohan</v>
          </cell>
          <cell r="C27">
            <v>9210333222</v>
          </cell>
          <cell r="D27" t="str">
            <v>A-001, Shiv Shankar CGHS Appartmenet, Sec 51</v>
          </cell>
          <cell r="E27" t="str">
            <v>Artemis</v>
          </cell>
          <cell r="F27" t="str">
            <v>Thursday</v>
          </cell>
          <cell r="G27" t="str">
            <v>9 AM to 2 PM</v>
          </cell>
          <cell r="H27">
            <v>1450</v>
          </cell>
          <cell r="I27">
            <v>362.5</v>
          </cell>
          <cell r="J27" t="str">
            <v>Bliss</v>
          </cell>
          <cell r="K27" t="str">
            <v>From Deepa Handa</v>
          </cell>
          <cell r="N27" t="str">
            <v>2  del of this cycle   -  0-cycles pmnt   Completed - Collect 0</v>
          </cell>
          <cell r="O27" t="e">
            <v>#N/A</v>
          </cell>
          <cell r="P27" t="e">
            <v>#N/A</v>
          </cell>
          <cell r="Q27" t="e">
            <v>#N/A</v>
          </cell>
          <cell r="R27" t="e">
            <v>#N/A</v>
          </cell>
          <cell r="S27" t="str">
            <v>Pur n P Car ( 14 inch ) 16     FF Sachet + Grass</v>
          </cell>
          <cell r="T27" t="str">
            <v>P Asiatic ( 14 Inch ) 3     Grass</v>
          </cell>
        </row>
        <row r="28">
          <cell r="A28" t="str">
            <v>G-00058</v>
          </cell>
          <cell r="B28" t="str">
            <v>Ayushi -- Sushant Lok 3</v>
          </cell>
          <cell r="C28">
            <v>7276564910</v>
          </cell>
          <cell r="D28" t="str">
            <v>A-186, 4th Floor, Sushant Lok 3, Sec 57</v>
          </cell>
          <cell r="E28" t="str">
            <v>Sector 56</v>
          </cell>
          <cell r="F28" t="str">
            <v>Thursday</v>
          </cell>
          <cell r="G28" t="str">
            <v>9:30 Am to 2 PM</v>
          </cell>
          <cell r="H28">
            <v>1450</v>
          </cell>
          <cell r="I28">
            <v>362.5</v>
          </cell>
          <cell r="J28" t="str">
            <v>Bliss</v>
          </cell>
          <cell r="K28" t="str">
            <v>Message -- Birthday month energy ( Flower Emoji) Wishing you soft days, happy surprises, and memories worth keeping this year. (23/05)</v>
          </cell>
          <cell r="N28" t="str">
            <v>4  del of this cycle   -  0-cycles pmnt   Completed - Collect 0</v>
          </cell>
          <cell r="O28" t="e">
            <v>#N/A</v>
          </cell>
          <cell r="P28" t="str">
            <v>P n W Car ( 14 inch ) 16 Message    FF Sachet + grass</v>
          </cell>
          <cell r="Q28" t="str">
            <v>P n Y Spray Dausy ( 14 Inch ) 5     FF Sachet + Grass</v>
          </cell>
          <cell r="R28" t="str">
            <v>P n W Glad ( 14 Inch ) 16     Grass</v>
          </cell>
          <cell r="S28" t="str">
            <v>P Asiatic ( 14 Inch ) 3     Grass</v>
          </cell>
          <cell r="T28" t="str">
            <v>Pur n P Car ( 14 Inch ) 16     FF Sachet + Grass</v>
          </cell>
        </row>
        <row r="29">
          <cell r="A29">
            <v>2104</v>
          </cell>
          <cell r="B29" t="str">
            <v>Arun Gupta</v>
          </cell>
          <cell r="C29">
            <v>9999072697</v>
          </cell>
          <cell r="D29" t="str">
            <v>C-22m Arc Stationary</v>
          </cell>
          <cell r="E29" t="str">
            <v>Nirvana Country</v>
          </cell>
          <cell r="F29" t="str">
            <v>Thursday</v>
          </cell>
          <cell r="G29" t="str">
            <v>9 AM to 2 PM</v>
          </cell>
          <cell r="H29">
            <v>400</v>
          </cell>
          <cell r="I29">
            <v>100</v>
          </cell>
          <cell r="J29" t="str">
            <v>Customized</v>
          </cell>
          <cell r="K29" t="str">
            <v>4 Flowers at both Shop</v>
          </cell>
          <cell r="N29" t="str">
            <v>4  del of this cycle   -  0-cycles pmnt   In Process - Collect 0</v>
          </cell>
          <cell r="O29" t="str">
            <v>Broken Flowers  5 1 Shop    FF Sachet + Grass</v>
          </cell>
          <cell r="P29" t="str">
            <v>Broken Flowers  5 1 Shop    FF Sachet + Grass</v>
          </cell>
          <cell r="Q29" t="str">
            <v>Broken Flowers  5 1 Shop    Grass</v>
          </cell>
          <cell r="R29" t="str">
            <v>Broken Flowers  5 1 Shop    Grass</v>
          </cell>
          <cell r="S29" t="str">
            <v xml:space="preserve">      </v>
          </cell>
          <cell r="T29" t="str">
            <v xml:space="preserve">Broken Flowers  5 1 Shop    </v>
          </cell>
        </row>
        <row r="30">
          <cell r="A30">
            <v>2037</v>
          </cell>
          <cell r="B30" t="str">
            <v>Sharwan Chopra</v>
          </cell>
          <cell r="C30">
            <v>9971066995</v>
          </cell>
          <cell r="D30" t="str">
            <v>A-223, The Belaire</v>
          </cell>
          <cell r="E30" t="str">
            <v>Golf Course Road</v>
          </cell>
          <cell r="F30" t="str">
            <v>Thursday</v>
          </cell>
          <cell r="G30" t="str">
            <v>10 AM to 2:30 PM</v>
          </cell>
          <cell r="H30">
            <v>1950</v>
          </cell>
          <cell r="I30">
            <v>487.5</v>
          </cell>
          <cell r="J30" t="str">
            <v>Joy</v>
          </cell>
          <cell r="K30" t="str">
            <v>NO Car (15/02) Skip 3 Weeks (12/06) Skip 1 week (28/12) Hold all deliveries till 1st July (12/06) Skip 25th Dec (23/12) Hold due to non payment (29/01) Returned today (04/06) Skip 1 week (16/06)</v>
          </cell>
          <cell r="L30" t="str">
            <v>CAR</v>
          </cell>
          <cell r="N30" t="str">
            <v>4  del of this cycle   -  0-cycles pmnt   Completed - Collect 0</v>
          </cell>
          <cell r="O30" t="str">
            <v>Mix Alstroemeria ( 12 Inch ) 20     Grass</v>
          </cell>
          <cell r="P30" t="str">
            <v>P n W Spray Daisy ( 15 Inch ) 7     FF Sachet + Grass</v>
          </cell>
          <cell r="Q30" t="str">
            <v>Y Asiatic ( 14 Inch ) 4     Grass</v>
          </cell>
          <cell r="R30" t="str">
            <v>P n W Glad ( 14 Inch ) 22     Grass</v>
          </cell>
          <cell r="S30" t="e">
            <v>#N/A</v>
          </cell>
          <cell r="T30" t="str">
            <v>Pur n P Eustoma ( 12 Inch ) 4     FF Sachet + Grass</v>
          </cell>
        </row>
        <row r="31">
          <cell r="A31">
            <v>401</v>
          </cell>
          <cell r="B31" t="str">
            <v>Nameesha Verma -- Before 12PM</v>
          </cell>
          <cell r="C31">
            <v>9899240454</v>
          </cell>
          <cell r="D31" t="str">
            <v>D-4/102, Parsvanath Exotica</v>
          </cell>
          <cell r="E31" t="str">
            <v>DLF Phase 5</v>
          </cell>
          <cell r="F31" t="str">
            <v>Thursday</v>
          </cell>
          <cell r="G31" t="str">
            <v>Before 12 PM</v>
          </cell>
          <cell r="H31">
            <v>1600</v>
          </cell>
          <cell r="I31">
            <v>200</v>
          </cell>
          <cell r="J31" t="str">
            <v>Bloom</v>
          </cell>
          <cell r="K31" t="str">
            <v>Thursday n Sunday//Sat to Thurs//Send a repacement and No Rajni till it has fragrance(24/09)Skip 1 week(12/10)send  a replacement(22/11) Returne-send next week(13/12) Star 650 Pack(15/10) 17th Oct Del returned-pls update(07/11) Send Tom instead of sat this week(12/08) Sent a replacement today(01/09) Skip 1 week(12/11) Send on Monday this week(24/11) Skip this sunday (03/12) Sent replacement today (18/03) Send replacement tom (31/03) Skip 1 week (25/04) Now Bloom (19/05) Today returned (18/06) Skip 1 week (08/08) Hold n start after 8th Oct )(20/09) Skip next del (18/11) No Del till 2nd Jan (25/12) Skip tom (24/01) Hold till 17th Jube (05/06) Skip this sunday (18/07) Skip 1 week (13/08) Today returnde (16/01) Skip tom (15/02) Today returned as flowers got late (30/03) Hold till 12th Apr (02/04)Today Returned (11/05) Hold till 18th June (02/06) Hold till 18th June (02/06) Today Returned (13/09) Do not count last del (08/11) No Del till next wednesday (09/12) Hold todxay (28/12) Skip 1 week (04/02) 3 Car extra next (20/03) Skip 1 week (09/06)</v>
          </cell>
          <cell r="M31" t="str">
            <v>3 Car extra next (20/03)</v>
          </cell>
          <cell r="N31" t="str">
            <v>4  del of this cycle   -  0-cycles pmnt   Completed - Collect 0</v>
          </cell>
          <cell r="O31" t="str">
            <v>Y Spray Daosy ( 15 inch ) 2     FF Sachet + grass</v>
          </cell>
          <cell r="P31" t="str">
            <v>Rajni ( 14 Inch ) 7     Grass</v>
          </cell>
          <cell r="Q31" t="str">
            <v>Mix Alstroemeria ( 12 Inch ) 7     FF Sachet + Grass</v>
          </cell>
          <cell r="R31" t="e">
            <v>#N/A</v>
          </cell>
          <cell r="S31" t="str">
            <v>P Spray Daisy ( 14 Inch ) 2     FF Sachet + Grass</v>
          </cell>
          <cell r="T31" t="str">
            <v>Sunflower ( 12 Inch) 2     Grass</v>
          </cell>
        </row>
        <row r="32">
          <cell r="A32">
            <v>2359</v>
          </cell>
          <cell r="B32" t="str">
            <v>Roshni Achpal</v>
          </cell>
          <cell r="C32">
            <v>9711170252</v>
          </cell>
          <cell r="D32" t="str">
            <v>A-102, Belaire</v>
          </cell>
          <cell r="E32" t="str">
            <v>Golf Course Road</v>
          </cell>
          <cell r="F32" t="str">
            <v>Thursday</v>
          </cell>
          <cell r="G32" t="str">
            <v>9 AM - 12 PM</v>
          </cell>
          <cell r="H32">
            <v>999</v>
          </cell>
          <cell r="I32">
            <v>249.75</v>
          </cell>
          <cell r="J32" t="str">
            <v>Delight</v>
          </cell>
          <cell r="K32" t="str">
            <v>Gift From Ankita Mehta  // Shift to Delight(04/12) Gpay from Alok Asrani (04/12) Skip 2 week (19/12) No car (01/05) Skip 2 weeks (19/08) No rajni (08/09) Skip 2 week (18/12) No Button Daisy 912/02) Skip 1 week (14/03) Do not count last del (13/05) Skip 1 week (11/06)</v>
          </cell>
          <cell r="L32" t="str">
            <v>Car n Rajni n Buttn Daisies</v>
          </cell>
          <cell r="N32" t="str">
            <v>2  del of this cycle   -  0-cycles pmnt   Completed - Collect 0</v>
          </cell>
          <cell r="O32" t="str">
            <v>P Asiatic ( 15 inch ) 2     Grass</v>
          </cell>
          <cell r="P32" t="str">
            <v>Y Spray Daisy ( 15 Inch ) 3     FF Sachet + Grass</v>
          </cell>
          <cell r="Q32" t="str">
            <v>P n W Glad ( 14 Inch ) 9     Grass</v>
          </cell>
          <cell r="R32" t="str">
            <v>Sunflower ( 12 Inch ) 2     Grass</v>
          </cell>
          <cell r="S32" t="e">
            <v>#N/A</v>
          </cell>
          <cell r="T32" t="str">
            <v>Pur n P Car ( 14 Inch ) 9     FF Sachet + Grass</v>
          </cell>
        </row>
        <row r="33">
          <cell r="A33">
            <v>14</v>
          </cell>
          <cell r="B33" t="str">
            <v>Ms. Neelam Bhalla </v>
          </cell>
          <cell r="C33">
            <v>9810546046</v>
          </cell>
          <cell r="D33" t="str">
            <v>H4, 4th Floor, Olive Residency, Mayfield Garden, Sec 57</v>
          </cell>
          <cell r="E33" t="str">
            <v>Artemis</v>
          </cell>
          <cell r="F33" t="str">
            <v>Thursday</v>
          </cell>
          <cell r="G33" t="str">
            <v>9 AM - 12 PM</v>
          </cell>
          <cell r="H33">
            <v>1950</v>
          </cell>
          <cell r="I33">
            <v>487.5</v>
          </cell>
          <cell r="J33" t="str">
            <v>Joy</v>
          </cell>
          <cell r="K33" t="str">
            <v>No Glad (19/05) Pls send Daisy in next del with Asiatic(11/12)  Orchids Next(26/06) Send Gerbera Next with Flower Food902/07)  Orchids next(21/11)  Oriental next(20/03) Y Spray Daisy tom(25/03) Only 1 kind of flowers now(20/05) S NO GLAD n BOP (30/12) Today returned-send tom (21/01) Skip 2 weeks (27/01) Send 1 Flower Food next (13/06) Skip 1 week (06/07) Skip 1 week (20/08) Aster in Del (19/10) Hold today -send tom (03/11) Skip 1 week (01/02) Skip 1 week (29/02) Hold till 1st July (15/06) Skip 1 week (24/07) Skip 29th (26/11) Skip tom (23/01) Skip tom (27/02) Skip 1 week (11/03) Skip 1 week (17/06) Skip 1 week (20/01) Skip 1 week (04/02) Skip thursday (24/02) Skip 1 week (16/06)</v>
          </cell>
          <cell r="L33" t="str">
            <v>GLAD n BOP n GERBERA</v>
          </cell>
          <cell r="N33" t="str">
            <v>2  del of this cycle   -  0-cycles pmnt   Completed - Collect 0</v>
          </cell>
          <cell r="O33" t="str">
            <v>B Orchid 7     FF Sachet + Grass</v>
          </cell>
          <cell r="P33" t="str">
            <v>O Asiatic ( 14 Inch ) 4     Grass</v>
          </cell>
          <cell r="Q33" t="str">
            <v>P n W Car ( 14 Inch ) 22     FF Sachet + Grass</v>
          </cell>
          <cell r="R33" t="str">
            <v>Pur n P Eustoma ( 12 Inch ) 4     FF Sachet + Grass</v>
          </cell>
          <cell r="S33" t="e">
            <v>#N/A</v>
          </cell>
          <cell r="T33" t="str">
            <v>Pur n P Eustoma ( 12 Inch ) 4     FF Sachet + Grass</v>
          </cell>
        </row>
        <row r="34">
          <cell r="A34">
            <v>71</v>
          </cell>
          <cell r="B34" t="str">
            <v>Meenakshi Verma</v>
          </cell>
          <cell r="C34">
            <v>9810044544</v>
          </cell>
          <cell r="D34" t="str">
            <v>D-24, The Belaire Dlf golf course Road Phase 5</v>
          </cell>
          <cell r="E34" t="str">
            <v>Golf Course Road</v>
          </cell>
          <cell r="F34" t="str">
            <v>Thursday</v>
          </cell>
          <cell r="G34" t="str">
            <v>9 AM - 12 PM</v>
          </cell>
          <cell r="H34">
            <v>1950</v>
          </cell>
          <cell r="I34">
            <v>487.5</v>
          </cell>
          <cell r="J34" t="str">
            <v>Joy</v>
          </cell>
          <cell r="K34" t="str">
            <v>Thursday n Sunday//Lilies of diff color only(22/05) Skip tomorrow del(03/07)Skip tomorrow del(11/07)Replacement on 4th(01/10)Flowers sent on 7th due to diwali(08/11) Skip 1 week n start(01/01) Skip n send on Monday(18/03) SEND 1 Special Pack Next(18/04) Payment received against special pack(25/04) Send 2 stick extra in next del and flower food too(02/05) Skip 1 week(12/08) SEND FF Next (05/09) Dont count this week flowers as wilted(09/11) Rcvd 80 against FF(21/11) Confirm before sending(18/03) Hold Send tom(26/06/2020) Skip 1 week(25/11) Hold n start from 3rd week of jan(21/12) Returned-- start from next wek(21/01) Send 2 Bottle of flower food and upgrade to 1250 package(24/03) Sent replacement today(03/07) Hold-send next week(15/07) Send 2 Bottle of Flower food with next del(30/08) Skip 1 week(02/11) Skip 1 week(09/02) 1 Del send on 1450 on 19th May now converting to Charma Package(25/05) No Flowers till 20th Aug(27/07) Now 1450 and No Rises(10/09) NO Dahelia n Glad (17/03) Hold after 27th n start from 4th June (14/04) Start From Sep (07/08) Skip 1 week (09/07) Paytm from Vikram (12/09) No Sunflower (30/04) Send one bunch Alstroemeria acomplimentary (15/05)</v>
          </cell>
          <cell r="L34" t="str">
            <v>DAHELIA n GLAD n ROSE n ORCHID n Sunflower (30/04)</v>
          </cell>
          <cell r="N34" t="str">
            <v>2  del of this cycle   -  0-cycles pmnt   Completed - Collect 0</v>
          </cell>
          <cell r="O34" t="str">
            <v>P Asiatic ( 15 inch ) 4     Grass</v>
          </cell>
          <cell r="P34" t="str">
            <v>R n W Car ( 14 Inch ) 22     FF Sachet + Grass</v>
          </cell>
          <cell r="Q34" t="str">
            <v>P n Y Spray Dausy ( 14 Inch ) 7     FF Sachet + Grass</v>
          </cell>
          <cell r="R34" t="str">
            <v>Mix Alstroemeria ( 12 Inch ) 22     FF Sachet + Grass</v>
          </cell>
          <cell r="S34" t="str">
            <v>O Asiatic ( 14 Inch ) 4     2 Gypsola</v>
          </cell>
          <cell r="T34" t="str">
            <v>P n W Glad ( 14 Inch ) 22     Grass</v>
          </cell>
        </row>
        <row r="35">
          <cell r="A35">
            <v>894</v>
          </cell>
          <cell r="B35" t="str">
            <v>Dr. Roma Kumar</v>
          </cell>
          <cell r="C35" t="str">
            <v>98110 87708</v>
          </cell>
          <cell r="D35" t="str">
            <v>RT-181, Royalton Tower
Inside Princeton Estate
DLF City Phase-V
Gurgaon-122009
Haryana</v>
          </cell>
          <cell r="E35" t="str">
            <v>DLF Phase 5</v>
          </cell>
          <cell r="F35" t="str">
            <v>Thursday</v>
          </cell>
          <cell r="G35" t="str">
            <v>9 AM - 12 PM</v>
          </cell>
          <cell r="H35">
            <v>3000</v>
          </cell>
          <cell r="I35">
            <v>375</v>
          </cell>
          <cell r="J35" t="str">
            <v>Charm</v>
          </cell>
          <cell r="K35" t="str">
            <v>Sun to Thursday//NO Roses(Old) PREFER-- WHITE ROSE/RAJNIGANDHA/CHRYSANTHEMUM(18/11) Skip 1 Week(25/12) Day Changed to Monday till Lovkdown(23/08/20) Send replacement of Lilies(20/10) Day Changed to Sunday-send 1 del today and then every Sunday(30/11) Paytm from Pooja M Tripathi(26/04) Sent replacement today(30/07) Paytm of Gignger lily and eustoma added(06/11) Skip 1 week(06/11)  20 Rajnio sent in Subscription(06/02) Skip today(13/02) Rajni Next(19/02) Rajni next(02/03) Skip 1 week(02/06) Skip Sunday Delivery(13/08) Skip this thursday Delivery (28/02) Skip 1 week (28/02) No Blue Orchid (06/04) Hold today and next Sunday also (12/09) Hold today n one more del (19/09) Skip 1 week (22/02) Skip this thursday (12/03) Send replacement tom (04/05) Skip on sunday (01/06) Skip today (01/06) Skip 1 week (24/11) Hold n start from 29th Jan (18/01)</v>
          </cell>
          <cell r="L35" t="str">
            <v>ORCHID</v>
          </cell>
          <cell r="N35" t="str">
            <v>2  del of this cycle   -  0-cycles pmnt   Completed - Collect 0</v>
          </cell>
          <cell r="O35" t="str">
            <v>Rajni ( 14 inch ) 15     Grass</v>
          </cell>
          <cell r="P35" t="str">
            <v>P n Y Spray Daisy ( 15 Inch ) 4     FF Sachet + Grass</v>
          </cell>
          <cell r="Q35" t="str">
            <v>W Oriental ( 15 Inch ) 2     Grass</v>
          </cell>
          <cell r="R35" t="str">
            <v>P n W Glad ( 14 Inch ) 15     Grass</v>
          </cell>
          <cell r="S35" t="str">
            <v>P Asiatic ( 14 Inch ) 3     Grass</v>
          </cell>
          <cell r="T35" t="str">
            <v>Rajni ( 14 Inch ) 15     Grass</v>
          </cell>
        </row>
        <row r="36">
          <cell r="A36">
            <v>888</v>
          </cell>
          <cell r="B36" t="str">
            <v>Ankita Mehta</v>
          </cell>
          <cell r="C36">
            <v>9868169896</v>
          </cell>
          <cell r="D36" t="str">
            <v>1B-71, Wellington Estate</v>
          </cell>
          <cell r="E36" t="str">
            <v>DLF Phase 5</v>
          </cell>
          <cell r="F36" t="str">
            <v>Thursday</v>
          </cell>
          <cell r="G36" t="str">
            <v>9 AM - 12 PM</v>
          </cell>
          <cell r="H36">
            <v>1450</v>
          </cell>
          <cell r="I36">
            <v>362.5</v>
          </cell>
          <cell r="J36" t="str">
            <v>Bliss</v>
          </cell>
          <cell r="K36" t="str">
            <v>Mix of Asiatic n Car(29/07) Send tom instead of Thursday(12/08) GLAD n ORCHID THIS CYCLE(28/08) ONLY LILY n CAR TILL SHE REVOKES n skip this week (04/09) Rajni n Rose Next(28/11) Lilies and Rose in this cycle(11/12)) Mixed Flowers only(30/08) Want Car// Orchid// Lily//Spray Daisy//Glad(19/09)  Flowers only from Car// Orchid// Lily//Spray Daisy//Glad(11/10) This cycle--Glad//BOP//Orchid//Lily(15/10) This cycle-- Glad//BOP//Orchid// Lily(14/11) This cycle-- Rose/Asiatic/BOP/G;ad/Guldawari and Orchid (25/09) No Upgrade-send lilies (19/10) Send nily next and always once in a cycle (15/12) NO SPRAY DAISY n GULDAWARI and sned Asiatic once in 1 cycle (19/01) Skip 1 week (24/01) Skip 1 week (06/03) Skip 1 week (05/ Skip 1 week 916/04)03) Skip 1 week (04/03) Skip 2 week (18/05) Send reaplacement tom (04/07) Sent replacememt todau (26/10) Skip 1 week (13/11) Skip 1 week (24/03) Skip 1 week (16/04) Return today (05/06) Skip 1 week (17/06) Skip 1 week (02/07) Skip 1 week (08/07) Send tom instaed of thursday this week (14/10) Send 1 del of ankita mehra today (21/10) Hold till 14th Jan (18/12) Change to Delight (30/01) Hold today (16/04) Send Replacement Tom (19/06)</v>
          </cell>
          <cell r="L36" t="str">
            <v xml:space="preserve">SPRAY DAISY n GULDAWARI </v>
          </cell>
          <cell r="M36" t="str">
            <v>Change to Deligh next (30/01)</v>
          </cell>
          <cell r="N36" t="str">
            <v>2  del of this cycle   -  1-cycles pmnt   Pending - Collect 1450</v>
          </cell>
          <cell r="O36" t="str">
            <v>P n W Glad ( 14 inch ) 2     Grass</v>
          </cell>
          <cell r="P36" t="str">
            <v>O Asiatic ( 14 Inch ) 2     Grass</v>
          </cell>
          <cell r="Q36" t="str">
            <v>R n W Car ( 14 inch ) 9     FF Sachet + Grass</v>
          </cell>
          <cell r="R36" t="str">
            <v>Sunflower ( 12 Inch ) 2     Grass</v>
          </cell>
          <cell r="S36" t="str">
            <v>Mix Alstroemeria ( 12 Inch ) 16     FF Sachet + Grass</v>
          </cell>
          <cell r="T36" t="str">
            <v>P n W Glad ( 14 Inch ) 16  Collect Payment Collect Payment Collect Payment Grass</v>
          </cell>
        </row>
        <row r="37">
          <cell r="A37">
            <v>2684</v>
          </cell>
          <cell r="B37" t="str">
            <v>Meenakshi Bhatia</v>
          </cell>
          <cell r="C37">
            <v>9958428097</v>
          </cell>
          <cell r="D37" t="str">
            <v>T-E/244, The Crest</v>
          </cell>
          <cell r="E37" t="str">
            <v>Golf Course Road</v>
          </cell>
          <cell r="F37" t="str">
            <v>Thursday</v>
          </cell>
          <cell r="G37" t="str">
            <v>9 AM - 12 PM</v>
          </cell>
          <cell r="H37">
            <v>2750</v>
          </cell>
          <cell r="I37">
            <v>687.5</v>
          </cell>
          <cell r="J37" t="str">
            <v>Elation</v>
          </cell>
          <cell r="K37" t="str">
            <v>Hold she will confirm (17/05) Send on Sunday this week (23/05) Next Del on Sunday (29/05) 1 Spray daisy next (22/06) Send anthurium n BOP too (19/07) Skip 1 week (02/08) Skip 1 week and confirm before sending (24/08) Change day to Thursday (25/10) Today Hold (06/11) Send del on sunday and then from 18th (12/12) Skip 1 week (07/04)</v>
          </cell>
          <cell r="M37" t="str">
            <v>Send BOP and Anthuriums too (10/07) Chcek before sending (24/08)</v>
          </cell>
          <cell r="N37" t="str">
            <v>3  del of this cycle   -  0-cycles pmnt   Completed - Collect 0</v>
          </cell>
          <cell r="O37" t="str">
            <v>P Asiatic ( 15 inch ) 3 R n W Car ( 14 inch ) 16   2 Gypsola</v>
          </cell>
          <cell r="P37" t="str">
            <v>P n W Spray Daisy ( 15 Inch ) 10 P n W Glad ( 14 Inch ) 16   2 Limonium + FF Sachet</v>
          </cell>
          <cell r="Q37" t="str">
            <v>Sunflower ( 12 Inch ) 4 Mix Alstroemeria ( 12 Inch ) 16   2 Gypsola + FF Sachet</v>
          </cell>
          <cell r="R37" t="str">
            <v>Pur n P Eustoma ( 12 Inch ) 4 Pur n P Car ( 14 inch ) 16   2 Limonium + FF Sachet</v>
          </cell>
          <cell r="S37" t="str">
            <v xml:space="preserve">O Asiatic ( 14 Inch ) 3 P n W Glad ( 14 Inch ) 16   2 Gypsola </v>
          </cell>
          <cell r="T37" t="str">
            <v>P n Y Spray Daisy ( 14 Inch ) 4 B Daisy ( 12 Inch ) 16   2 Limonium + FF Sachet</v>
          </cell>
        </row>
        <row r="38">
          <cell r="A38">
            <v>1181</v>
          </cell>
          <cell r="B38" t="str">
            <v>Parul Sharma --Elation</v>
          </cell>
          <cell r="C38">
            <v>8800895944</v>
          </cell>
          <cell r="D38" t="str">
            <v>Villa-27, The Legend</v>
          </cell>
          <cell r="E38" t="str">
            <v>Artemis</v>
          </cell>
          <cell r="F38" t="str">
            <v>Thursday</v>
          </cell>
          <cell r="G38" t="str">
            <v>9 AM to 2 PM</v>
          </cell>
          <cell r="H38">
            <v>1950</v>
          </cell>
          <cell r="I38">
            <v>487.5</v>
          </cell>
          <cell r="J38" t="str">
            <v>Joy</v>
          </cell>
          <cell r="K38" t="str">
            <v>Tuesday and Thursday//Change day to Thursday(21/12) Car Next(18/01) NO ORCHIDS(20/01) Car Next(02/02) Sending on 20th instaed of 21st,bcoz of Holi(18/03) Today FF Sent(11/04) Paytm from ritu Kaur(12/04) Send replacement(12/04) Send Special Pack(08/05) Received payment of special pack(10/05) Hold n start from 2nd week of july(04/060 Inform Before sending(01/07) Start from next week(10/07) Sending on 14th instrad of 15th Aug(13/08) Today Hold-send tom(26/09) Send double del tom(23/10) R car Tom(15/01) Send Replacement tom(27/02) Hold n start from 3rd week of April(18/03) NO Rose n NO Orchids----Send R Car Next(21/12) Rajnigandha Next(12/01) Replace ment next and send Flower food(10/04) Recvd 250 from Gpay(15/07) Return-not at home(14/09) Shift to Elation(18/10) Skip 1 week(27/06) Hold n start from July (12/06) Hold due to non Payment (15/01) Paytm From Vinay Deopujari (26/02)</v>
          </cell>
          <cell r="M38" t="str">
            <v>Before 11:30 AM</v>
          </cell>
          <cell r="N38" t="str">
            <v>3  del of this cycle   -  0-cycles pmnt   Completed - Collect 0</v>
          </cell>
          <cell r="O38" t="str">
            <v>Mix Alstroemeria ( 12 Inch ) 20     Grass</v>
          </cell>
          <cell r="P38" t="str">
            <v>W Asiatic ( 14 Inch ) 4     Grass</v>
          </cell>
          <cell r="Q38" t="str">
            <v>P n W Glad ( 14 Inch ) 22     Grass</v>
          </cell>
          <cell r="R38" t="str">
            <v>Pur n P Eustoma ( 12 Inch ) 4     FF Sachet + Grass</v>
          </cell>
          <cell r="S38" t="str">
            <v>P n Y Spray Daisy ( 14 Inch ) 7     FF Sachet + Grass</v>
          </cell>
          <cell r="T38" t="str">
            <v>P n W Car ( 14 inch ) 22     FF Sachet + Grass</v>
          </cell>
        </row>
        <row r="39">
          <cell r="A39">
            <v>3235</v>
          </cell>
          <cell r="B39" t="str">
            <v>Nishant -- Wellington</v>
          </cell>
          <cell r="C39">
            <v>9833057481</v>
          </cell>
          <cell r="D39" t="str">
            <v>Flat-1B/101, Wellington Estate</v>
          </cell>
          <cell r="E39" t="str">
            <v>DLF Phase 5</v>
          </cell>
          <cell r="F39" t="str">
            <v>Thursday</v>
          </cell>
          <cell r="G39" t="str">
            <v>9 AM - 12 PM</v>
          </cell>
          <cell r="H39">
            <v>1450</v>
          </cell>
          <cell r="I39">
            <v>362.5</v>
          </cell>
          <cell r="J39" t="str">
            <v>Bliss</v>
          </cell>
          <cell r="K39" t="str">
            <v>Paytm From Nishant Pandita // HDTNP (05/03) No Glad or Rajni (06/06)</v>
          </cell>
          <cell r="L39" t="str">
            <v>Glad n Rajni</v>
          </cell>
          <cell r="N39" t="str">
            <v>3  del of this cycle   -  0-cycles pmnt   Completed - Collect 0</v>
          </cell>
          <cell r="O39" t="e">
            <v>#N/A</v>
          </cell>
          <cell r="P39" t="e">
            <v>#N/A</v>
          </cell>
          <cell r="Q39" t="e">
            <v>#N/A</v>
          </cell>
          <cell r="R39" t="str">
            <v>Pur n P Car ( 14 inch ) 16     FF Sachet + Grass</v>
          </cell>
          <cell r="S39" t="str">
            <v>P Asiatic ( 14 Inch ) 3     Grass</v>
          </cell>
          <cell r="T39" t="str">
            <v>Pur Eustoma ( 12 Inch ) 3     FF Sachet + Grass</v>
          </cell>
        </row>
        <row r="40">
          <cell r="A40">
            <v>3097</v>
          </cell>
          <cell r="B40" t="str">
            <v>Jamie Miller</v>
          </cell>
          <cell r="C40">
            <v>7428737502</v>
          </cell>
          <cell r="D40" t="str">
            <v>D-072, The DLF Crest</v>
          </cell>
          <cell r="E40" t="str">
            <v>Golf Course Road</v>
          </cell>
          <cell r="F40" t="str">
            <v>Thursday</v>
          </cell>
          <cell r="G40" t="str">
            <v>9:30 Am to 2 PM</v>
          </cell>
          <cell r="H40">
            <v>2750</v>
          </cell>
          <cell r="I40">
            <v>687.5</v>
          </cell>
          <cell r="J40" t="str">
            <v>Elation</v>
          </cell>
          <cell r="K40" t="str">
            <v>From James Brittan // Skip 2 week (20/12) Today Returned (22/01) Skip 3 weeks (26/01) Skip 1 week (17/03) Skip 2 week (31/05)</v>
          </cell>
          <cell r="N40" t="str">
            <v>2  del of this cycle   -  0-cycles pmnt   Completed - Collect 0</v>
          </cell>
          <cell r="O40" t="str">
            <v>W Asiatic ( 15 Inch ) 3 Mix Alstroemeria ( 12 Inch ) 16   2 Gypsola</v>
          </cell>
          <cell r="P40" t="str">
            <v>Pur n p Eustoma 4 P n W Glad ( 14 Inch ) 16   2 Limonium + FF Sachet</v>
          </cell>
          <cell r="Q40" t="e">
            <v>#N/A</v>
          </cell>
          <cell r="R40" t="e">
            <v>#N/A</v>
          </cell>
          <cell r="S40" t="str">
            <v xml:space="preserve">P Asiatic ( 14 Inch ) 3 Pur n P Car ( 14 Inch ) 16   2 Gypsola </v>
          </cell>
          <cell r="T40" t="str">
            <v>Sunflower ( 12 Inch) 4 B Daisy ( 12 Inch ) 16   2 Limonium + FF Sachet</v>
          </cell>
        </row>
        <row r="41">
          <cell r="A41">
            <v>2509</v>
          </cell>
          <cell r="B41" t="str">
            <v>Shrija Majumder</v>
          </cell>
          <cell r="C41">
            <v>8910369663</v>
          </cell>
          <cell r="D41" t="str">
            <v>G-803, BPTP Freedom Park Life</v>
          </cell>
          <cell r="E41" t="str">
            <v>Artemis</v>
          </cell>
          <cell r="F41" t="str">
            <v>Thursday</v>
          </cell>
          <cell r="G41" t="str">
            <v>9:30 Am to 2 PM</v>
          </cell>
          <cell r="H41">
            <v>1450</v>
          </cell>
          <cell r="I41">
            <v>1450</v>
          </cell>
          <cell r="J41" t="str">
            <v>Bliss</v>
          </cell>
          <cell r="K41" t="str">
            <v>Only Seasonals // skip tom (26/04) Skip 1 week (25/06) Hold today (14/08) Send tom after 7 PM (20/08) Skip 1 week (27/08) Skip 1 week (05/03) send replacement tom (28/03)</v>
          </cell>
          <cell r="M41" t="str">
            <v>Seasonlas</v>
          </cell>
          <cell r="N41" t="str">
            <v>1  del of this cycle   -  1-cycles pmnt   Pending - Collect 1450</v>
          </cell>
          <cell r="O41" t="str">
            <v>P n W Car ( 14 inch ) 9     FF Sachet + Grass</v>
          </cell>
          <cell r="P41" t="str">
            <v>P n W Glad ( 14 Inch ) 9     Grass</v>
          </cell>
          <cell r="Q41" t="str">
            <v>Rajni ( 14 Inch ) 9     Grass</v>
          </cell>
          <cell r="R41" t="str">
            <v>Mix Car ( 14 Inch ) 9     Grass</v>
          </cell>
          <cell r="S41" t="str">
            <v>Mix Alstroemeria ( 12 Inch ) 9     FF Sachet + Grass</v>
          </cell>
          <cell r="T41" t="str">
            <v>P n W Glad ( 14 Inch ) 16     Grass</v>
          </cell>
        </row>
        <row r="42">
          <cell r="A42">
            <v>2774</v>
          </cell>
          <cell r="B42" t="str">
            <v>Vandana Thakran</v>
          </cell>
          <cell r="C42">
            <v>9899589964</v>
          </cell>
          <cell r="D42" t="str">
            <v>H. No. 35, Cedar Crest</v>
          </cell>
          <cell r="E42" t="str">
            <v>Nirvana Country</v>
          </cell>
          <cell r="F42" t="str">
            <v>Sunday</v>
          </cell>
          <cell r="G42" t="str">
            <v>9 AM - 12 PM</v>
          </cell>
          <cell r="H42">
            <v>1600</v>
          </cell>
          <cell r="I42">
            <v>200</v>
          </cell>
          <cell r="J42" t="str">
            <v>Bloom</v>
          </cell>
          <cell r="N42" t="str">
            <v>4  del of this cycle   -  0-cycles pmnt   Completed - Collect 0</v>
          </cell>
          <cell r="O42" t="str">
            <v>B Daisy ( 12 inch ) 7     Grass</v>
          </cell>
          <cell r="P42" t="str">
            <v>P n W Car ( 14 inch ) 7     FF Sachet + Grass</v>
          </cell>
          <cell r="Q42" t="str">
            <v>P Spray Daisy ( 14 Inch ) 2     FF Sachet + Grass</v>
          </cell>
          <cell r="R42" t="str">
            <v>Sunflower ( 12 Inch ) 2     FF Sachet + Grass</v>
          </cell>
          <cell r="S42" t="str">
            <v>Pur n P Car ( 14 inch ) 7     FF Sachet + Grass</v>
          </cell>
          <cell r="T42" t="str">
            <v>P n W Glad ( 14 Inch ) 7     Grass</v>
          </cell>
        </row>
        <row r="43">
          <cell r="A43">
            <v>2246</v>
          </cell>
          <cell r="B43" t="str">
            <v>Amita Gupta</v>
          </cell>
          <cell r="C43">
            <v>9811985450</v>
          </cell>
          <cell r="D43" t="str">
            <v>146, Cedar Crest</v>
          </cell>
          <cell r="E43" t="str">
            <v>Nirvana Country</v>
          </cell>
          <cell r="F43" t="str">
            <v>Thursday</v>
          </cell>
          <cell r="G43" t="str">
            <v>9 AM - 12 PM</v>
          </cell>
          <cell r="H43">
            <v>1600</v>
          </cell>
          <cell r="I43">
            <v>200</v>
          </cell>
          <cell r="J43" t="str">
            <v>Bloom</v>
          </cell>
          <cell r="K43" t="str">
            <v>Return today (03/10) Change to bliss (23/10) No Orchid (24/10) Send a vase tom (20/08) Upgrade to bliss (17/12)</v>
          </cell>
          <cell r="L43" t="str">
            <v>Orchid</v>
          </cell>
          <cell r="M43" t="str">
            <v>1 Vase Tom (20/08)</v>
          </cell>
          <cell r="N43" t="str">
            <v>4  del of this cycle   -  0-cycles pmnt   Completed - Collect 0</v>
          </cell>
          <cell r="O43" t="str">
            <v>R n W Car ( 14 inch ) 7     FF Sachet + grass</v>
          </cell>
          <cell r="P43" t="str">
            <v>Sunflower ( 14 Inch ) 2     FF Sachet + Grass</v>
          </cell>
          <cell r="Q43" t="str">
            <v>Mix Alstroemeria ( 12 Inch ) 7     FF Sachet + Grass</v>
          </cell>
          <cell r="R43" t="str">
            <v>Pur n P Car ( 14 inch ) 7     FF Sachet + Grass</v>
          </cell>
          <cell r="S43" t="str">
            <v>Sunflower ( 12 Inch ) 2     FF Sachet + Grass</v>
          </cell>
          <cell r="T43" t="str">
            <v>P n W Glad ( 14 Inch ) 7     Grass</v>
          </cell>
        </row>
        <row r="44">
          <cell r="A44">
            <v>884</v>
          </cell>
          <cell r="B44" t="str">
            <v>Bhavna Taneja</v>
          </cell>
          <cell r="C44">
            <v>9811192021</v>
          </cell>
          <cell r="D44" t="str">
            <v>F-214, DLF The Crest,Sec-54</v>
          </cell>
          <cell r="E44" t="str">
            <v>Golf Course Road</v>
          </cell>
          <cell r="F44" t="str">
            <v>Thursday</v>
          </cell>
          <cell r="G44" t="str">
            <v>9:30 AM to 2 PM</v>
          </cell>
          <cell r="H44">
            <v>1450</v>
          </cell>
          <cell r="I44">
            <v>362.5</v>
          </cell>
          <cell r="J44" t="str">
            <v>Bliss</v>
          </cell>
          <cell r="K44" t="str">
            <v>Send 2 Stick exytra next(14/09) Send lilies next(27/09) Send Tom instead of Sat and send Lilies(22/10) Send del tom with Orchids(30/10) Send 2 Asiatic on Friday instead of satirday(21/11) Google Pay from Harsh Taneja(08/02) Send on 20th and don’t send on 22nd(15/02) Hold n start from 7th Mar (20/02) TRY FOR WEDNESDAY(19/05/20) Send next del on friday with 2 extra Asiatic lily for 200Rs.(27/05/2020) Sending 30th Del on 29th May(28/05/2020) UPI From Harsh Vir Taneja(05/06/2020) Upgrade to 850 (30/07/20) Send Tom instead of 30th Oct)(27/10) Sending tom due to Diwali(11/11) Change to Bloom Pack(08/04) Next del on Monday (23/12) Send Lilies Next (24/12) Dont send on thursday -- send on Monday (04/01) NO BOP n GULDAWARI (29/01) Skip this monday and send on tuesday this week (16/05) Skip this wek and send on Thursday (26/08) Skip next thursday and sned on sunday (22/03) Skip 2 wek (02/06) Skip tom n send on sunday (26/06) No GERBERA (01/08) 1000 cash and 250 via paytm (21/11) Send on tuesday this week (22/12) Paytm from Harshveer Taneja (16/05) Payment REceived on 08th May also via Cash(18/05) skip 1 week (31/05) Skip 1 week (20/12) Start from 25th June (12/06)</v>
          </cell>
          <cell r="L44" t="str">
            <v>GULDAWARI n BOP n GERBERA</v>
          </cell>
          <cell r="M44" t="str">
            <v>Mixed Now</v>
          </cell>
          <cell r="N44" t="str">
            <v>1  del of this cycle   -  1-cycles pmnt   Pending - Collect 1450</v>
          </cell>
          <cell r="O44" t="str">
            <v>R n W Car ( 14 inch ) 16     FF Sachet + Grass</v>
          </cell>
          <cell r="P44" t="str">
            <v>O Asiatic ( 14 Inch ) 3     Grass</v>
          </cell>
          <cell r="Q44" t="str">
            <v>P n W Spray Daisy ( 14 Inch ) 5     FF Sachet + Grass</v>
          </cell>
          <cell r="R44" t="str">
            <v>P n W Glad ( 14 Inch ) 16     Grass</v>
          </cell>
          <cell r="S44" t="e">
            <v>#N/A</v>
          </cell>
          <cell r="T44" t="str">
            <v>Pur n P Car ( 14 Inch ) 16     FF Sachet + Grass</v>
          </cell>
        </row>
        <row r="45">
          <cell r="A45">
            <v>58</v>
          </cell>
          <cell r="B45" t="str">
            <v>Ms. Anupma Chandna</v>
          </cell>
          <cell r="C45">
            <v>8130077970</v>
          </cell>
          <cell r="D45" t="str">
            <v>32, aspen greens, nirvana</v>
          </cell>
          <cell r="E45" t="str">
            <v>Nirvana Country</v>
          </cell>
          <cell r="F45" t="str">
            <v>Thursday</v>
          </cell>
          <cell r="G45" t="str">
            <v>9 AM - 12 PM</v>
          </cell>
          <cell r="H45">
            <v>1950</v>
          </cell>
          <cell r="I45">
            <v>487.5</v>
          </cell>
          <cell r="J45" t="str">
            <v>Joy</v>
          </cell>
          <cell r="K45" t="str">
            <v>No Rose // Hold n start from 04th Dec (03/11) No Greens</v>
          </cell>
          <cell r="L45" t="str">
            <v>Rose</v>
          </cell>
          <cell r="M45" t="str">
            <v>No Greens</v>
          </cell>
          <cell r="N45" t="str">
            <v>3  del of this cycle   -  0-cycles pmnt   Completed - Collect 0</v>
          </cell>
          <cell r="O45" t="str">
            <v>Sunflower ( 14 inch ) 3 P n W Glad ( 14 inch ) 10   Grass</v>
          </cell>
          <cell r="P45" t="str">
            <v>P n W Spray Daisy ( 15 Inch ) 4 R n W Car ( 14 Inch ) 11   FF Sachet + Grass</v>
          </cell>
          <cell r="Q45" t="str">
            <v>W Asiatic ( 14 Inch ) 2 Mix Alstroemeria ( 12 Inch ) 11   Grass</v>
          </cell>
          <cell r="R45" t="str">
            <v>Pur Eustoma ( 12 Inch ) 3 P n W Glad ( 14 Inch ) 11   FF Sachet + Grass</v>
          </cell>
          <cell r="S45" t="str">
            <v>Sunflower ( 12 Inch ) 3 Pur n P Car ( 14 Inch ) 11   FF Sachet + Grass</v>
          </cell>
          <cell r="T45" t="str">
            <v>P Asiatic ( 14 Inch ) 2 B Daisy ( 12 Inch ) 11   Grass</v>
          </cell>
        </row>
        <row r="46">
          <cell r="A46">
            <v>1455</v>
          </cell>
          <cell r="B46" t="str">
            <v>Gagan Ahluwalia</v>
          </cell>
          <cell r="C46">
            <v>9811105056</v>
          </cell>
          <cell r="D46" t="str">
            <v>C-82, The Summit</v>
          </cell>
          <cell r="E46" t="str">
            <v>Golf Course Road</v>
          </cell>
          <cell r="F46" t="str">
            <v>Thursday</v>
          </cell>
          <cell r="G46" t="str">
            <v>9 AM - 12 PM</v>
          </cell>
          <cell r="H46">
            <v>2300</v>
          </cell>
          <cell r="I46">
            <v>287.5</v>
          </cell>
          <cell r="J46" t="str">
            <v>Felicity</v>
          </cell>
          <cell r="K46" t="str">
            <v>Thursday n Sunday //Gift From Ragini Ahluwalia// Flowers-- Guldawari/Orchids/Car and Asiatic(27/07) Hold n start from 2nd week of July(02/06) NO ORCHIDS (23/12) Hold till june end (07/06) Today returned (20/06) Replacement today (07/07) Hold today and start after 12th Oct (03/10) No Flowers tull 17th Nov (11/11) Hold from 15th may to 17th June (14/05) Skip 1 wek (24/06) Hold today due to non payment (02/10) Hold due to non payment (05/10) Hold due to non payment (09/10) Start from today (12/10) Skip 1 week (29/11) Hold due to non payment (11/01) Hold due to non payment (01/.02) HDTNP (15/02) HDTNP (22/02) HDTNP (26/02) HDTNP (04/03) HDTNP (08/03) HDTNP (12/03) HDTNP (14/03) No after 1st June (14/05) Hold n start after 1st June (14/05) Hold till 1st June (15/05)</v>
          </cell>
          <cell r="N46" t="str">
            <v>3  del of this cycle   -  0-cycles pmnt   Completed - Collect 0</v>
          </cell>
          <cell r="O46" t="e">
            <v>#N/A</v>
          </cell>
          <cell r="P46" t="e">
            <v>#N/A</v>
          </cell>
          <cell r="Q46" t="str">
            <v>P n W Glad ( 14 Inch ) 11     Grass</v>
          </cell>
          <cell r="R46" t="str">
            <v>Rajni ( 14 Inch ) 11     Grass</v>
          </cell>
          <cell r="S46" t="str">
            <v>Pur n P Car ( 14 inch ) 11     FF Sachet + Grass</v>
          </cell>
          <cell r="T46" t="str">
            <v>P Spray Daisy ( 14 Inch ) 3     FF Sachet + Grass</v>
          </cell>
        </row>
        <row r="47">
          <cell r="A47">
            <v>1140</v>
          </cell>
          <cell r="B47" t="str">
            <v>Nidhi Singh</v>
          </cell>
          <cell r="C47" t="str">
            <v>8383036664//9899389873</v>
          </cell>
          <cell r="D47" t="str">
            <v>D-8/3, Ground Floor DLF Exclusive Floors</v>
          </cell>
          <cell r="E47" t="str">
            <v>DLF Phase 5</v>
          </cell>
          <cell r="F47" t="str">
            <v>Thursday</v>
          </cell>
          <cell r="G47" t="str">
            <v>9 AM - 12 PM</v>
          </cell>
          <cell r="H47">
            <v>2300</v>
          </cell>
          <cell r="I47">
            <v>287.5</v>
          </cell>
          <cell r="J47" t="str">
            <v>Felicity</v>
          </cell>
          <cell r="K47" t="str">
            <v>Sunday n thursday //Monday n Thursday//Send Change of 200 Next(22/10) NO ROSE(22/11) Send Oriental next and send change of 2000 Next(27/11) NO ROSE // Heliconia Next(30/11) Send Change Next(13/04) 350 Received today via paytm(15/04) Flower Food Next(16/04) Send replacement of gerbera tom(20/04) Received 250 today(20/04) Send Replacement tom(20/04) Do Not Count 1 Del(22/04) Days-- Monday and Thursday(30/05) Gpay from Vivek Singh// Paytm from 9372779905-- Viveka(30/07) 1 Flower food next(01/04) Sent a replacement today(05/04) FF Next()8/04) Today del missed(02/06) REceived 1650 extra (28/12) Send replacement tom (29/08) Skip 1 week (17/10) 13th Flower Missed (17/11) Today Returned (18/12) Skip Tom (17/01) No Del from 21st to 27th July (10/07) Skip 1 week (03/12) Hold till 15th Dec (09/12) Skip this thursday (24/12) Skip on sunday (10/01) Hold till 31st Jan after 18th Del (17/01)</v>
          </cell>
          <cell r="L47" t="str">
            <v>ROSE</v>
          </cell>
          <cell r="N47" t="str">
            <v>4  del of this cycle   -  0-cycles pmnt   Completed - Collect 0</v>
          </cell>
          <cell r="O47" t="str">
            <v>P Asiatic ( 15 inch ) 2     Grass</v>
          </cell>
          <cell r="P47" t="str">
            <v>P n W Glad ( 14 Inch ) 11     Grass</v>
          </cell>
          <cell r="Q47" t="str">
            <v>P Spray Daisy ( 14 Inch ) 3     FF Sachet + Grass</v>
          </cell>
          <cell r="R47" t="str">
            <v>Pur Eustoma ( 12 Inch ) 3     FF Sachet + Grass</v>
          </cell>
          <cell r="S47" t="str">
            <v>Rajni ( 14 Inch ) 11     Grass</v>
          </cell>
          <cell r="T47" t="str">
            <v>P n W Glad ( 14 Inch ) 11     Grass</v>
          </cell>
        </row>
        <row r="48">
          <cell r="A48">
            <v>3205</v>
          </cell>
          <cell r="B48" t="str">
            <v>Supriya -- The Icon</v>
          </cell>
          <cell r="C48">
            <v>9650802228</v>
          </cell>
          <cell r="D48" t="str">
            <v>B-31, The Icon</v>
          </cell>
          <cell r="E48" t="str">
            <v>DLF Phase 5</v>
          </cell>
          <cell r="F48" t="str">
            <v>Thursday</v>
          </cell>
          <cell r="G48" t="str">
            <v>9 AM - 12 PM</v>
          </cell>
          <cell r="H48">
            <v>1450</v>
          </cell>
          <cell r="I48">
            <v>362.5</v>
          </cell>
          <cell r="J48" t="str">
            <v>Bliss</v>
          </cell>
          <cell r="K48" t="str">
            <v>Paytm from Nutan Joshi (19/04)</v>
          </cell>
          <cell r="N48" t="str">
            <v>3  del of this cycle   -  0-cycles pmnt   Completed - Collect 0</v>
          </cell>
          <cell r="O48" t="str">
            <v>Y Asiatic ( 15 Inch ) 2 P n W Glad ( 14 inch ) 7   Grass</v>
          </cell>
          <cell r="P48" t="str">
            <v>P Spray Daisy ( 15 Inch ) 3 P n W Car ( 14 Inch )  7   FF Sachet + grass</v>
          </cell>
          <cell r="Q48" t="str">
            <v>P Eustoma (14 Inch ) 2 Mix Alstroemeria ( 12 Inch ) 7   FF Sachet + Grass</v>
          </cell>
          <cell r="R48" t="str">
            <v>Sunflower ( 12 Inch ) 2 P n W Glad ( 14 Inch ) 7   FF Sachet + Grass</v>
          </cell>
          <cell r="S48" t="str">
            <v>P Asiatic ( 14 Inch ) 2 Pur n P Car ( 14 Inch ) 7   Grass</v>
          </cell>
          <cell r="T48" t="str">
            <v>Y Spray Daisy ( 14 Inch ) 3 Rajni ( 14 Inch ) 7   FF Sachet + Grass</v>
          </cell>
        </row>
        <row r="49">
          <cell r="A49">
            <v>19</v>
          </cell>
          <cell r="B49" t="str">
            <v>Mrs. Geeta Chopra</v>
          </cell>
          <cell r="C49">
            <v>9811373448</v>
          </cell>
          <cell r="D49" t="str">
            <v>E-64,Ground Floor,Suncity,Sec-54</v>
          </cell>
          <cell r="E49" t="str">
            <v>Golf Course Road</v>
          </cell>
          <cell r="F49" t="str">
            <v>Thursday</v>
          </cell>
          <cell r="G49" t="str">
            <v>9 AM - 12 PM</v>
          </cell>
          <cell r="H49">
            <v>1450</v>
          </cell>
          <cell r="I49">
            <v>362.5</v>
          </cell>
          <cell r="J49" t="str">
            <v>Bliss</v>
          </cell>
          <cell r="K49" t="str">
            <v>Sunday to Thurs//No Rajni (22/05)NO GERBERA(11/08), next time 3 sticks extra (30/3) Send replacement with 3 sticks extra tom and send special pack too(14/04) NO GLAD(22/06) NO ORCHID(13/07) Send FF Next Week(20/07) FF Sold today(27/07) Add Changed(20/12) SEND ALL FLOWERS(18/02) START WITH 650 PLAN(19/05/20) Send Replacement(14/07) Send Replacement (04/11) Hold due to non payment (02/01) Hold due to non payment (08/01) today missed send on sunday (28/05)</v>
          </cell>
          <cell r="N49" t="str">
            <v>2  del of this cycle   -  1-cycles pmnt   Pending - Collect 1450</v>
          </cell>
          <cell r="O49" t="str">
            <v>P n Y Spray Daisy ( 15 Inch ) 5     FF Sachet + Grass</v>
          </cell>
          <cell r="P49" t="str">
            <v>R n W Car ( 14 Inch ) 16     FF Sachet + grass</v>
          </cell>
          <cell r="Q49" t="str">
            <v>P n W Glad ( 14 Inch ) 16     Grass</v>
          </cell>
          <cell r="R49" t="str">
            <v>Mix Alstroemeria ( 12 Inch ) 16     FF Sachet + Grass</v>
          </cell>
          <cell r="S49" t="str">
            <v>O Asiatic ( 14 Inch ) 3     Grass</v>
          </cell>
          <cell r="T49" t="str">
            <v>B Daisy ( 12 Inch ) 16  Collect Payment Collect Payment Collect Payment Grass</v>
          </cell>
        </row>
        <row r="50">
          <cell r="A50">
            <v>3063</v>
          </cell>
          <cell r="B50" t="str">
            <v>Shinjini Mehrotra</v>
          </cell>
          <cell r="C50">
            <v>9810198315</v>
          </cell>
          <cell r="D50" t="str">
            <v>F-109, 2nd Floor, Suncity</v>
          </cell>
          <cell r="E50" t="str">
            <v>Golf Course Road</v>
          </cell>
          <cell r="F50" t="str">
            <v>Thursday</v>
          </cell>
          <cell r="G50" t="str">
            <v>9 AM - 12 PM</v>
          </cell>
          <cell r="H50">
            <v>1450</v>
          </cell>
          <cell r="I50">
            <v>362.5</v>
          </cell>
          <cell r="J50" t="str">
            <v>Bliss</v>
          </cell>
          <cell r="K50" t="str">
            <v>Hold 4 Weeks (04/12) Skip 1 week (14/02) Skip 2 week (28/02) Skip 1 week  (01/04) Hold till 29th Apr (06/04)</v>
          </cell>
          <cell r="N50" t="str">
            <v>3  del of this cycle   -  0-cycles pmnt   CompletedNO COLLECTION-we have extra money - Collect -50</v>
          </cell>
          <cell r="O50" t="str">
            <v>Mix Alstroemeria ( 12 Inch ) 16     Grass</v>
          </cell>
          <cell r="P50" t="str">
            <v>O Asiatic ( 14 Inch ) 3     Grass</v>
          </cell>
          <cell r="Q50" t="str">
            <v>R n W Car ( 14 inch ) 16     FF Sachet + Grass</v>
          </cell>
          <cell r="R50" t="str">
            <v>Pur Eustoma ( 12 Inch ) 3     FF Sachet + Grass</v>
          </cell>
          <cell r="S50" t="str">
            <v>Sunflower ( 12 Inch ) 4     FF Sachet + Grass</v>
          </cell>
          <cell r="T50" t="str">
            <v>P n W Glad ( 14 Inch ) 16     Grass</v>
          </cell>
        </row>
        <row r="51">
          <cell r="A51">
            <v>2779</v>
          </cell>
          <cell r="B51" t="str">
            <v>Riddhi Desai</v>
          </cell>
          <cell r="C51">
            <v>8130497969</v>
          </cell>
          <cell r="D51" t="str">
            <v>D-71, The Icon</v>
          </cell>
          <cell r="E51" t="str">
            <v>Golf Course Road</v>
          </cell>
          <cell r="F51" t="str">
            <v>Sunday</v>
          </cell>
          <cell r="G51" t="str">
            <v>9 AM to 2 PM</v>
          </cell>
          <cell r="H51">
            <v>1600</v>
          </cell>
          <cell r="I51">
            <v>200</v>
          </cell>
          <cell r="J51" t="str">
            <v>Bloom</v>
          </cell>
          <cell r="K51" t="str">
            <v>Send this week on Saturday (14/08) Skip 1 week (21/12) Hold till 2nd June (20/05)</v>
          </cell>
          <cell r="N51" t="str">
            <v>2  del of this cycle   -  0-cycles pmnt   Completed - Collect 0</v>
          </cell>
          <cell r="O51" t="e">
            <v>#N/A</v>
          </cell>
          <cell r="P51" t="e">
            <v>#N/A</v>
          </cell>
          <cell r="Q51" t="str">
            <v>P n W Car ( 14 Inch ) 7     FF Sachet + Grass</v>
          </cell>
          <cell r="R51" t="str">
            <v>Y Spray Daisy ( 14 Inch ) 2     Grass</v>
          </cell>
          <cell r="S51" t="str">
            <v>Sunflower ( 12 Inch ) 2     FF Sachet + Grass</v>
          </cell>
          <cell r="T51" t="str">
            <v>Rajni ( 14 Inch ) 7     Grass</v>
          </cell>
        </row>
        <row r="52">
          <cell r="A52">
            <v>921</v>
          </cell>
          <cell r="B52" t="str">
            <v>Anumeha</v>
          </cell>
          <cell r="C52" t="str">
            <v>9899901949// 9953511987</v>
          </cell>
          <cell r="D52" t="str">
            <v>T-04/1701, South Close</v>
          </cell>
          <cell r="E52" t="str">
            <v>Nirvana Country</v>
          </cell>
          <cell r="F52" t="str">
            <v>Thursday</v>
          </cell>
          <cell r="G52" t="str">
            <v>9 AM - 12 PM</v>
          </cell>
          <cell r="H52">
            <v>1450</v>
          </cell>
          <cell r="I52">
            <v>362.5</v>
          </cell>
          <cell r="J52" t="str">
            <v>Bliss</v>
          </cell>
          <cell r="K52" t="str">
            <v>Pls send Orchid 1st del(20/11)Send a replacement tom(25/11) Only Rajni,Asiatic and Roses(28/12) Lilies next(01/01) Lilies next(22/01) Lily Next(19/10) Send Replacement on Thursday(05/11) Lilies next-- Orange Or Yellow(17/11) Last Del Missed-Sending Tom(12/12) Returned-send from next week(16/12) Send Gerbera Tom(19/01) Daisy Next(01/02) Roses Tom(16/02) Received 50 today(02/03) Gerbera Next(08/03) Gerbera Tom(22/01) Lilies twice in cycle and Daisy/ Rajnigandha Only// Lily Next (01/02) O Asiatic Next(14/02) NO DAISY// NO SPRAY DAISY(06/03) Yel Gerbera Next(17/03) Spray Daisy with Purple in centre tom in evening slot(09/04) send on 3rd now(02/05) W n Yellow Gerbera Tom(02/03) Gpay from Lallan Singh(17/03) Recieved payment from Anumeha account today(07/04) Received Gpay from Joy Deep(28/04) Paytm From Joydeep Mukherjee(08/09) Hold for 3 weeks (19/12) Hold for 2 weeks (25/01) Skip 1 week (02/03) No rajni till oct (31/08) Send replacement tom (01/11) Skip tom (10/12) Skip 5th Del (28/02) Today Hold (28/05)</v>
          </cell>
          <cell r="M52" t="str">
            <v>No rajni till Oct (31/08)</v>
          </cell>
          <cell r="N52" t="str">
            <v>3  del of this cycle   -  0-cycles pmnt   Completed - Collect 0</v>
          </cell>
          <cell r="O52" t="str">
            <v>P Asiatic ( 15 inch ) 3     Grass</v>
          </cell>
          <cell r="P52" t="str">
            <v>Mix Alstroemeria ( 12 Inch ) 16     FF Sachet + grass</v>
          </cell>
          <cell r="Q52" t="str">
            <v>P n W Glad ( 14 Inch ) 16     Grass</v>
          </cell>
          <cell r="R52" t="str">
            <v>P n W Spray Daisy ( 14 Inch ) 5     FF Sachet + Grass</v>
          </cell>
          <cell r="S52" t="str">
            <v>Sunflower ( 12 Inch ) 4     FF Sachet + Grass</v>
          </cell>
          <cell r="T52" t="str">
            <v>Pur n P Car ( 14 Inch ) 16     FF Sachet + Grass</v>
          </cell>
        </row>
        <row r="53">
          <cell r="A53">
            <v>3144</v>
          </cell>
          <cell r="B53" t="str">
            <v>Samar Singh</v>
          </cell>
          <cell r="C53">
            <v>9582363043</v>
          </cell>
          <cell r="D53" t="str">
            <v>C-13, DLF Icon</v>
          </cell>
          <cell r="E53" t="str">
            <v>DLF Phase 5</v>
          </cell>
          <cell r="F53" t="str">
            <v>Thursday</v>
          </cell>
          <cell r="G53" t="str">
            <v>9 AM to 2 PM</v>
          </cell>
          <cell r="H53">
            <v>1450</v>
          </cell>
          <cell r="I53">
            <v>362.5</v>
          </cell>
          <cell r="J53" t="str">
            <v>Bliss</v>
          </cell>
          <cell r="K53" t="str">
            <v>Mixed Flowers // Day Changed to Sunday (20/12) Day Changed to Thursday (10/01) Skip 2 week (11/02)</v>
          </cell>
          <cell r="M53" t="str">
            <v>Mixed Flowers</v>
          </cell>
          <cell r="N53" t="str">
            <v>4  del of this cycle   -  0-cycles pmnt   Completed - Collect 0</v>
          </cell>
          <cell r="O53" t="str">
            <v>Sunflower ( 14 inch ) 2 R n W Car ( 14 inch ) 7   Grass</v>
          </cell>
          <cell r="P53" t="str">
            <v>P Spray Daisy ( 15 Inch ) 3 Mix Alstroemeria ( 12 Inch ) 7   FF Sachet + grass</v>
          </cell>
          <cell r="Q53" t="str">
            <v>Y Asiatic ( 14 Inch ) 2 P n W Glad ( 14 Inch ) 7   Grass</v>
          </cell>
          <cell r="R53" t="e">
            <v>#N/A</v>
          </cell>
          <cell r="S53" t="e">
            <v>#N/A</v>
          </cell>
          <cell r="T53" t="str">
            <v>Sunflower ( 12 Inch) 2 P n W Car ( 14 Inch ) 7   FF Sachet + Grass</v>
          </cell>
        </row>
        <row r="54">
          <cell r="A54">
            <v>2205</v>
          </cell>
          <cell r="B54" t="str">
            <v>Shubhra Gupta</v>
          </cell>
          <cell r="C54">
            <v>9811981626</v>
          </cell>
          <cell r="D54" t="str">
            <v>ES-245, Espace</v>
          </cell>
          <cell r="E54" t="str">
            <v>Nirvana Country</v>
          </cell>
          <cell r="F54" t="str">
            <v>Thursday</v>
          </cell>
          <cell r="G54" t="str">
            <v>9 AM - 12 PM</v>
          </cell>
          <cell r="H54">
            <v>1450</v>
          </cell>
          <cell r="I54">
            <v>362.5</v>
          </cell>
          <cell r="J54" t="str">
            <v>Bliss</v>
          </cell>
          <cell r="K54" t="str">
            <v>Paytm From 9811656524 // No Orchids // Skip 1 week (01/10) Same flowers from last  2weeks, pls Check (06/11) Paytm from Gaurav Gupta (0703)</v>
          </cell>
          <cell r="L54" t="str">
            <v>ORCHID</v>
          </cell>
          <cell r="M54" t="str">
            <v>Same Flowers from 2 week, Pls Check (06/11)</v>
          </cell>
          <cell r="N54" t="str">
            <v>4  del of this cycle   -  0-cycles pmnt   Completed - Collect 0</v>
          </cell>
          <cell r="O54" t="str">
            <v>Mix Alstroemeria ( 12 Inch ) 16     Grass</v>
          </cell>
          <cell r="P54" t="str">
            <v>O Asiatic ( 14 Inch ) 3     Grass</v>
          </cell>
          <cell r="Q54" t="str">
            <v>P n W Glad ( 14 Inch ) 16     Grass</v>
          </cell>
          <cell r="R54" t="str">
            <v>Pur n P Car ( 14 inch ) 16     FF Sachet + Grass</v>
          </cell>
          <cell r="S54" t="str">
            <v>P n W Spray Daisy ( 14 Inch ) 5     FF Sachet + Grass</v>
          </cell>
          <cell r="T54" t="str">
            <v>B Daisy ( 12 Inch ) 16     Grass</v>
          </cell>
        </row>
        <row r="55">
          <cell r="A55">
            <v>2307</v>
          </cell>
          <cell r="B55" t="str">
            <v>Alpna Jain</v>
          </cell>
          <cell r="C55">
            <v>9599336609</v>
          </cell>
          <cell r="D55" t="str">
            <v>C-64, The Icon</v>
          </cell>
          <cell r="E55" t="str">
            <v>DLF Phase 5</v>
          </cell>
          <cell r="F55" t="str">
            <v>Thursday</v>
          </cell>
          <cell r="G55" t="str">
            <v>10 AM to 2:30 PM</v>
          </cell>
          <cell r="H55">
            <v>3000</v>
          </cell>
          <cell r="I55">
            <v>375</v>
          </cell>
          <cell r="J55" t="str">
            <v>Charm</v>
          </cell>
          <cell r="K55" t="str">
            <v>Thursday n Sunday // Hold today (08/02) Keep flowers outside of Door (17/05)</v>
          </cell>
          <cell r="M55" t="str">
            <v>Keep flowers outside of door always</v>
          </cell>
          <cell r="N55" t="str">
            <v>1  del of this cycle   -  1-cycles pmnt   Pending - Collect 3000</v>
          </cell>
          <cell r="O55" t="str">
            <v>Y Asiatic ( 15 Inch ) 3     Grass</v>
          </cell>
          <cell r="P55" t="str">
            <v>O Asiatic ( 14 Inch ) 3 Pls Leave Outside Door Pls Leave Outside Door Pls Leave Outside Door  Grass</v>
          </cell>
          <cell r="Q55" t="str">
            <v>Mix Alstroemeria ( 12 Inch ) 15 ( 12 Inch ) Leave outside of door don’t ring bell and no call   FF Sachet + Grass</v>
          </cell>
          <cell r="R55" t="str">
            <v>Sunflower ( 12 Inch ) 4 Leave Outside of door-- Don’t Call and Don’t Ring Bell    FF Sachet + Grass</v>
          </cell>
          <cell r="S55" t="str">
            <v>Pur n P Eustoma ( 12 Inch ) 4 Leave Outside of door -- Don’t call n don’t ring bell    FF Sachet + Grass</v>
          </cell>
          <cell r="T55" t="str">
            <v>Pur n P Car ( 14 Inch ) 15 Keep Flowers at door-- Don’t call or don’t ring Bell    FF Sachet + Grass</v>
          </cell>
        </row>
        <row r="56">
          <cell r="A56">
            <v>3241</v>
          </cell>
          <cell r="B56" t="str">
            <v>Sunanda</v>
          </cell>
          <cell r="C56">
            <v>8800994226</v>
          </cell>
          <cell r="D56" t="str">
            <v>C-084, The Icon</v>
          </cell>
          <cell r="E56" t="str">
            <v>DLF Phase 5</v>
          </cell>
          <cell r="F56" t="str">
            <v>Thursday</v>
          </cell>
          <cell r="G56" t="str">
            <v>9 AM - 12 PM</v>
          </cell>
          <cell r="H56">
            <v>1450</v>
          </cell>
          <cell r="I56">
            <v>362.5</v>
          </cell>
          <cell r="J56" t="str">
            <v>Bliss</v>
          </cell>
          <cell r="K56" t="str">
            <v>One Kind // Skip 1 week (13/01) HDTNP (26/02) HDTNP (04/03) HDTNP (12/03)</v>
          </cell>
          <cell r="M56" t="str">
            <v>One Kind</v>
          </cell>
          <cell r="N56" t="str">
            <v>1  del of this cycle   -  1-cycles pmnt   Pending - Collect 1450</v>
          </cell>
          <cell r="O56" t="str">
            <v>Y Asiatic ( 15 Inch ) 3     Grass</v>
          </cell>
          <cell r="P56" t="str">
            <v>Mix Alstroemeria ( 12 Inch ) 16     FF Sachet + grass</v>
          </cell>
          <cell r="Q56" t="str">
            <v>P n W Glad ( 14 Inch ) 16     Grass</v>
          </cell>
          <cell r="R56" t="str">
            <v>Pur Eustoma ( 12 Inch ) 3     FF Sachet + Grass</v>
          </cell>
          <cell r="S56" t="str">
            <v>Pur n P Car ( 14 inch ) 16     FF Sachet + Grass</v>
          </cell>
          <cell r="T56" t="str">
            <v>O Asiatic ( 14 Inch ) 3     Grass</v>
          </cell>
        </row>
        <row r="57">
          <cell r="A57">
            <v>3128</v>
          </cell>
          <cell r="B57" t="str">
            <v>Shikha Malhotra</v>
          </cell>
          <cell r="C57">
            <v>9873498869</v>
          </cell>
          <cell r="D57" t="str">
            <v>M-254, Park Place</v>
          </cell>
          <cell r="E57" t="str">
            <v>Golf Course Road</v>
          </cell>
          <cell r="F57" t="str">
            <v>Thursday</v>
          </cell>
          <cell r="G57" t="str">
            <v>4 PM to 7 PM</v>
          </cell>
          <cell r="H57">
            <v>1450</v>
          </cell>
          <cell r="I57">
            <v>362.5</v>
          </cell>
          <cell r="J57" t="str">
            <v>Bliss</v>
          </cell>
          <cell r="K57" t="str">
            <v>Skip 2 week after 13th (07/11) Today Hold (04/12) Paytm From Vivek Malhotra //</v>
          </cell>
          <cell r="N57" t="str">
            <v>2  del of this cycle   -  1-cycles pmnt   Pending - Collect 1450</v>
          </cell>
          <cell r="O57" t="e">
            <v>#N/A</v>
          </cell>
          <cell r="P57" t="e">
            <v>#N/A</v>
          </cell>
          <cell r="Q57" t="e">
            <v>#N/A</v>
          </cell>
          <cell r="R57" t="e">
            <v>#N/A</v>
          </cell>
          <cell r="S57" t="str">
            <v>Pur n P Car ( 14 inch ) 16     FF Sachet + Grass</v>
          </cell>
          <cell r="T57" t="str">
            <v>P Asiatic ( 14 Inch ) 3  Collect Payment Collect Payment Collect Payment Grass</v>
          </cell>
        </row>
        <row r="58">
          <cell r="A58">
            <v>870</v>
          </cell>
          <cell r="B58" t="str">
            <v>Himabindu Kanchan</v>
          </cell>
          <cell r="C58">
            <v>9892501292</v>
          </cell>
          <cell r="D58" t="str">
            <v xml:space="preserve">D -13, Pinnacle Dlf Phase - 5 </v>
          </cell>
          <cell r="E58" t="str">
            <v>DLF Phase 5</v>
          </cell>
          <cell r="F58" t="str">
            <v>Thursday</v>
          </cell>
          <cell r="G58" t="str">
            <v>9 AM - 12 PM</v>
          </cell>
          <cell r="H58">
            <v>1600</v>
          </cell>
          <cell r="I58">
            <v>200</v>
          </cell>
          <cell r="J58" t="str">
            <v>Bloom</v>
          </cell>
          <cell r="K58" t="str">
            <v>Sunday n Thursday//Fri to Thurs//FF Sold today(19/07) Skip n start from 23rd(08/08) P n Y Rose Next(15/11) 2 Stick Extra next(17/01) Hold-send tom(14/02) Orchids Next (18/08/20) Send 3 Sponge for 120 Rs.(19/08/20) Sending tom due to Diwali(11/11) Today returned-send next week(08/01) Skip 1 week(25/02) Skip 1 week(28/04) Glad Next(09/09) Skip 1 week(21/12) Skip 1 week(20/01) Hold Tom and skip 1 week(28/01) Skip 1 week(06/07) Receibved 695v extra today(23/07) Skip 2 weeks (21/12) Skip 1 week (08/02) No Renewal without payment (04/05) Hold today (28/12) Skip 1 week 902/01) Skip 1 week (07/02) Skip this sunday (16/02) Skip 1 week (06/04) Skip sunday del (09/05) Today hold (07/07) Hold HDTNP (12/03) tom (08/12) In form before sending (27/12) Skip next del (26/06) Hold today due to non payment (02/10) Skip week (22/12) HDTNP (01/03) HDTNP (04/03) HDTNP (08/03) HDTNP (14/03)</v>
          </cell>
          <cell r="N58" t="str">
            <v>1  del of this cycle   -  1-cycles pmnt   Pending - Collect 1600</v>
          </cell>
          <cell r="O58" t="str">
            <v>P n W Car ( 14 inch ) 7     FF Sachet + grass</v>
          </cell>
          <cell r="P58" t="str">
            <v>Sunflower ( 14 Inch ) 2     Grass</v>
          </cell>
          <cell r="Q58" t="str">
            <v>P n W Glad ( 14 Inch ) 7     Grass</v>
          </cell>
          <cell r="R58" t="str">
            <v>Pur n P Car ( 14 inch ) 7     FF Sachet + Grass</v>
          </cell>
          <cell r="S58" t="str">
            <v>Sunflower ( 12 Inch ) 2     FF Sachet + Grass</v>
          </cell>
          <cell r="T58" t="str">
            <v>Rajni ( 14 Inch ) 7     Grass</v>
          </cell>
        </row>
        <row r="59">
          <cell r="A59">
            <v>2666</v>
          </cell>
          <cell r="B59" t="str">
            <v>Gunjan Malhotra</v>
          </cell>
          <cell r="C59">
            <v>9971518253</v>
          </cell>
          <cell r="D59" t="str">
            <v>H. No. 298C, 1st Floor, Block G, Sushant Lok-2</v>
          </cell>
          <cell r="E59" t="str">
            <v>Artemis</v>
          </cell>
          <cell r="F59" t="str">
            <v>Thursday</v>
          </cell>
          <cell r="G59" t="str">
            <v>4 PM to 7 PM</v>
          </cell>
          <cell r="H59">
            <v>1450</v>
          </cell>
          <cell r="I59">
            <v>362.5</v>
          </cell>
          <cell r="J59" t="str">
            <v>Bliss</v>
          </cell>
          <cell r="K59" t="str">
            <v>Paytm From Gunjan Malhotra // Hold n start from 04th Sep (02/08) Change day to Thursday (31/08) Do not count last Del (20/12) Skip 1 week (02/02) Skip 1 week (25/03)</v>
          </cell>
          <cell r="N59" t="str">
            <v>2  del of this cycle   -  0-cycles pmnt   Completed - Collect 0</v>
          </cell>
          <cell r="O59" t="str">
            <v>P Spray daisy ( 15 Inch ) 3     FF Sachet + Grass</v>
          </cell>
          <cell r="P59" t="str">
            <v>O Asiatic ( 14 Inch ) 2     Grass</v>
          </cell>
          <cell r="Q59" t="str">
            <v>P n W Glad ( 14 Inch ) 9     Grass</v>
          </cell>
          <cell r="R59" t="str">
            <v>Pur n P Car ( 14 inch ) 9     Grass</v>
          </cell>
          <cell r="S59" t="str">
            <v>Mix Alstroemeria ( 12 Inch ) 16     FF Sachet + Grass</v>
          </cell>
          <cell r="T59" t="str">
            <v>Pur Eustoma ( 12 Inch ) 3     FF Sachet + Grass</v>
          </cell>
        </row>
        <row r="60">
          <cell r="A60">
            <v>3212</v>
          </cell>
          <cell r="B60" t="str">
            <v>Sheeba Rana</v>
          </cell>
          <cell r="C60">
            <v>9958849523</v>
          </cell>
          <cell r="D60" t="str">
            <v>T-14/1202, The Close North</v>
          </cell>
          <cell r="E60" t="str">
            <v>Nirvana Country</v>
          </cell>
          <cell r="F60" t="str">
            <v>Thursday</v>
          </cell>
          <cell r="G60" t="str">
            <v>4 Pm to 7 PM</v>
          </cell>
          <cell r="H60">
            <v>1450</v>
          </cell>
          <cell r="I60">
            <v>1450</v>
          </cell>
          <cell r="J60" t="str">
            <v>Bliss</v>
          </cell>
          <cell r="K60" t="str">
            <v>Skip 1 week (31/12)</v>
          </cell>
          <cell r="N60" t="str">
            <v>1  del of this cycle   -  1-cycles pmnt   Pending - Collect 1450</v>
          </cell>
          <cell r="O60" t="str">
            <v>P Spray daisy ( 15 Inch ) 3     FF Sachet + Grass</v>
          </cell>
          <cell r="P60" t="str">
            <v>Sunflower 2     Grass</v>
          </cell>
          <cell r="Q60" t="str">
            <v>R n W Car ( 14 inch ) 9     FF Sachet + Grass</v>
          </cell>
          <cell r="R60" t="str">
            <v>P n W Glad ( 14 Inch ) 9     Gras</v>
          </cell>
          <cell r="S60" t="str">
            <v>P Asiatic ( 14 Inch ) 2     Grass</v>
          </cell>
          <cell r="T60" t="str">
            <v>Pur n P Car ( 14 Inch ) 16     FF Sachet + Grass</v>
          </cell>
        </row>
        <row r="61">
          <cell r="A61">
            <v>2716</v>
          </cell>
          <cell r="B61" t="str">
            <v>Simmi Chopra</v>
          </cell>
          <cell r="C61">
            <v>9891744488</v>
          </cell>
          <cell r="D61" t="str">
            <v>B/145, Suncity, Golf Course Road</v>
          </cell>
          <cell r="E61" t="str">
            <v>Golf Course Road</v>
          </cell>
          <cell r="F61" t="str">
            <v>Thursday</v>
          </cell>
          <cell r="G61" t="str">
            <v>9 AM - 12 PM</v>
          </cell>
          <cell r="H61">
            <v>2750</v>
          </cell>
          <cell r="I61">
            <v>687.5</v>
          </cell>
          <cell r="J61" t="str">
            <v>Elation</v>
          </cell>
          <cell r="K61" t="str">
            <v>Upgrade to Elation (27/08) Send 10 B daisy next extra (04/10) Today Hold (04/12) Send one Del Tom (30/12)</v>
          </cell>
          <cell r="M61" t="str">
            <v>Send on del tom and no del on 1st Jan (30/12)</v>
          </cell>
          <cell r="N61" t="str">
            <v>1  del of this cycle   -  1-cycles pmnt   Pending - Collect 2800</v>
          </cell>
          <cell r="O61" t="str">
            <v>Y Asiatic ( 15 Inch ) 3 Mix Alstroemeria ( 12 Inch ) 16   2 Gypsola</v>
          </cell>
          <cell r="P61" t="str">
            <v>Pur n p Eustoma 4 P n W Glad ( 14 Inch ) 16   2 Limonium + FF Sachet</v>
          </cell>
          <cell r="Q61" t="str">
            <v>P n Y Spray Dausy ( 14 Inch ) 5 P n W Car  ( 14 Inch ) 16   2 Gypsola + FF Sachet</v>
          </cell>
          <cell r="R61" t="str">
            <v>Sunflower ( 12 Inch ) 4 Mix Alstroemeria ( 12 Inch ) 16   2 Limonium + FF Sachet</v>
          </cell>
          <cell r="S61" t="str">
            <v xml:space="preserve">P Asiatic ( 14 Inch ) 3 P n W Glad ( 14 Inch ) 16   2 Gypsola </v>
          </cell>
          <cell r="T61" t="str">
            <v>Pur n P Eustoma ( 12 Inch ) 4 Pur n P Car ( 14 Inch ) 16   2 Limonium + FF Sachet</v>
          </cell>
        </row>
        <row r="62">
          <cell r="A62">
            <v>571</v>
          </cell>
          <cell r="B62" t="str">
            <v>Mrs. Singh</v>
          </cell>
          <cell r="C62">
            <v>9873099320</v>
          </cell>
          <cell r="D62" t="str">
            <v>D 42, pinnacle, Dlf ph 5, Golf course road</v>
          </cell>
          <cell r="E62" t="str">
            <v>DLF Phase 5</v>
          </cell>
          <cell r="F62" t="str">
            <v>Thursday</v>
          </cell>
          <cell r="G62" t="str">
            <v>9 AM - 12 PM</v>
          </cell>
          <cell r="H62">
            <v>1600</v>
          </cell>
          <cell r="I62">
            <v>200</v>
          </cell>
          <cell r="J62" t="str">
            <v>Bloom</v>
          </cell>
          <cell r="K62" t="str">
            <v>Thursday n Sunday//Send 3 stems extra in next del(09/10)Return-send Friday(01/01/19) NO CAR(05/06) 1 stick extra next week(11/06) Paytm from Sharad Kumar(13/08) Return-send next week(02/10) Send Tom instead of this week with gerbera(19/10) Return-send next week(31/12) SENDING ON 9TH DUE TO HOLI (08/03) Send on 4th (03/10) Return today (23/10) Do not count last delivery (22/04) Hold ans start after 10th (02/08)</v>
          </cell>
          <cell r="N62" t="str">
            <v>2  del of this cycle   -  1-cycles pmnt   Pending - Collect 1600</v>
          </cell>
          <cell r="O62" t="str">
            <v>P n W Glad ( 14 inch ) 7     Grass</v>
          </cell>
          <cell r="P62" t="str">
            <v>Sunflower ( 14 Inch ) 2     FF Sachet + Grass</v>
          </cell>
          <cell r="Q62" t="str">
            <v>Mix Alstroemeria ( 12 Inch ) 7     FF Sachet + Grass</v>
          </cell>
          <cell r="R62" t="str">
            <v>Pur n P Car ( 14 inch ) 7     FF Sachet + Grass</v>
          </cell>
          <cell r="S62" t="str">
            <v>Sunflower ( 12 Inch ) 2     FF Sachet + Grass</v>
          </cell>
          <cell r="T62" t="str">
            <v>P n W Glad ( 14 Inch ) 7     Grass</v>
          </cell>
        </row>
        <row r="63">
          <cell r="A63">
            <v>309</v>
          </cell>
          <cell r="B63" t="str">
            <v>Ms Swati Bhise--before 10</v>
          </cell>
          <cell r="C63">
            <v>9811806611</v>
          </cell>
          <cell r="D63" t="str">
            <v xml:space="preserve">TG-5/4B Orchid Garden Sun city Sec - 54 </v>
          </cell>
          <cell r="E63" t="str">
            <v>Golf Course Road</v>
          </cell>
          <cell r="F63" t="str">
            <v>Thursday</v>
          </cell>
          <cell r="G63" t="str">
            <v>9 AM - 12 PM</v>
          </cell>
          <cell r="H63">
            <v>2750</v>
          </cell>
          <cell r="I63">
            <v>687.5</v>
          </cell>
          <cell r="J63" t="str">
            <v>Elation</v>
          </cell>
          <cell r="K63" t="str">
            <v>Sunday to thurs//Orchid in 1st Del and no Rose/Rajni/Gerbera till they come in good shape(08/07) Next B or W Orchid(02/12) Car Next(09/12) Next Orchid(06/01) Orchid Next(10/02)  Gerbera tom(13/08)NEVER PURPLE ORCHID--SEND W n B ORCHID Next(22/09) Y Asiatic Next(03/11)  Send 1 Del tom (02/07) Orchid Next (27/07) Skip 1 week (20/11) Send 1 Del Tom (10/02) Skip next Del (16/02) Hold n start from 10th June (20/03) Today Returned again (04/07) Returned again (11/07) Send this thursday and then skip 1 week (23/07) Hold today (08/08) Skip 2 more weeks (09/08) Today Returned (21/11) Skip 1 week (11/12) Skip 1 week (24/12) Skip 1 more week (25/01) Skip 1 week (18/02) Hold till 9th Mar (24/02) Hold now (11/09) Skip next week (27/11) Return today (18/12) Today Returned again (25/12) Skip tom (18/02) Skip 1 week (28/02) Skip 1 week (19/03) Skip 1 week (21/03)  Skip tom (09/04) Skip next week (16/04) Skip 3 week (20/04) Skip 1 week (14/05) Skip 1 week (17/05) Skip 1 week (03/06)</v>
          </cell>
          <cell r="M63" t="str">
            <v>Upgrade to Elation next (14/08)</v>
          </cell>
          <cell r="N63" t="str">
            <v>2  del of this cycle   -  1-cycles pmnt   Pending - Collect 2750</v>
          </cell>
          <cell r="O63" t="e">
            <v>#N/A</v>
          </cell>
          <cell r="P63" t="str">
            <v>R n W Car ( 14 Inch ) 32     2 Limonium + FF Sachet</v>
          </cell>
          <cell r="Q63" t="e">
            <v>#N/A</v>
          </cell>
          <cell r="R63" t="str">
            <v>P Asiatic ( 14 Inch )  6     2 Gypsola</v>
          </cell>
          <cell r="S63" t="str">
            <v>P n W Glad ( 14 Inch ) 32     2 Limonium</v>
          </cell>
          <cell r="T63" t="str">
            <v>Pur n P Eustoma ( 12 Inch ) 6  Collect Payment Collect Payment Collect Payment 2 Limonium + FF Sachet</v>
          </cell>
        </row>
        <row r="64">
          <cell r="A64">
            <v>2868</v>
          </cell>
          <cell r="B64" t="str">
            <v>Group Captain Prabal Bir Singh</v>
          </cell>
          <cell r="C64">
            <v>7827468667</v>
          </cell>
          <cell r="D64" t="str">
            <v>603, Shivshakti CGHS, Plot-94, Near Ati Chowk</v>
          </cell>
          <cell r="E64" t="str">
            <v>DLF Phase 5</v>
          </cell>
          <cell r="F64" t="str">
            <v>Thursday</v>
          </cell>
          <cell r="G64" t="str">
            <v>9 AM to 2 PM</v>
          </cell>
          <cell r="H64">
            <v>999</v>
          </cell>
          <cell r="I64">
            <v>249.75</v>
          </cell>
          <cell r="J64" t="str">
            <v>Delight</v>
          </cell>
          <cell r="N64" t="str">
            <v>3  del of this cycle   -  0-cycles pmnt   Completed - Collect 0</v>
          </cell>
          <cell r="O64" t="str">
            <v>Mix Alstroemeria ( 12 Inch ) 9     Grass</v>
          </cell>
          <cell r="P64" t="str">
            <v>O Asiatic ( 14 Inch ) 2     Grass</v>
          </cell>
          <cell r="Q64" t="str">
            <v>R n W Car ( 14 inch ) 9     FF Sachet + Grass</v>
          </cell>
          <cell r="R64" t="str">
            <v>P n W Glad ( 14 Inch ) 9     Gras</v>
          </cell>
          <cell r="S64" t="str">
            <v>Sunflower ( 12 Inch ) 2     FF Sachet + Grass</v>
          </cell>
          <cell r="T64" t="str">
            <v>Rajni ( 14 Inch ) 9     Grass</v>
          </cell>
        </row>
        <row r="65">
          <cell r="A65">
            <v>1656</v>
          </cell>
          <cell r="B65" t="str">
            <v>Eva-Pinnacle</v>
          </cell>
          <cell r="C65">
            <v>9560609907</v>
          </cell>
          <cell r="D65" t="str">
            <v>C-93, The Pinnacle</v>
          </cell>
          <cell r="E65" t="str">
            <v>DLF Phase 5</v>
          </cell>
          <cell r="F65" t="str">
            <v>Thursday</v>
          </cell>
          <cell r="G65" t="str">
            <v>9:30 Am to 2 PM</v>
          </cell>
          <cell r="H65">
            <v>999</v>
          </cell>
          <cell r="I65">
            <v>249.75</v>
          </cell>
          <cell r="J65" t="str">
            <v>Delight</v>
          </cell>
          <cell r="K65" t="str">
            <v>Paytm From Arvind Pachhapur(24/02) 750 pack-- Car//Guldawari//Rajni//Orchid//Asiatic(23/03) Hold today and send next6 week(14/04) Hold n start from 19th June(16/06) Skip 1 week (05/01) Received one more payment today (26/01) Payment was in process (20/03) Skip 1 week (28/06) Skip 1 week (29/06) Skip 3 week (21/05)</v>
          </cell>
          <cell r="N65" t="str">
            <v>3  del of this cycle   -  0-cycles pmnt   Completed - Collect 0</v>
          </cell>
          <cell r="O65" t="str">
            <v>Mix Alstroemeria ( 12 Inch ) 9     Grass</v>
          </cell>
          <cell r="P65" t="str">
            <v>P n W Glad ( 14 Inch ) 9     Grass</v>
          </cell>
          <cell r="Q65" t="str">
            <v>Y Spray Daisy ( 15 Inch ) 3     FF Sachet + Grass</v>
          </cell>
          <cell r="R65" t="str">
            <v>Pur n P Car ( 14 inch ) 9     Grass</v>
          </cell>
          <cell r="S65" t="str">
            <v>Sunflower ( 12 Inch ) 2     FF Sachet + Grass</v>
          </cell>
          <cell r="T65" t="str">
            <v>Rajni ( 14 Inch ) 9     Grass</v>
          </cell>
        </row>
        <row r="66">
          <cell r="A66">
            <v>849</v>
          </cell>
          <cell r="B66" t="str">
            <v>Shalini Sharma</v>
          </cell>
          <cell r="C66">
            <v>7838500808</v>
          </cell>
          <cell r="D66" t="str">
            <v>208, Espace</v>
          </cell>
          <cell r="E66" t="str">
            <v>Nirvana Country</v>
          </cell>
          <cell r="F66" t="str">
            <v>Thursday</v>
          </cell>
          <cell r="G66" t="str">
            <v>9:30 Am to 2 PM</v>
          </cell>
          <cell r="H66">
            <v>1450</v>
          </cell>
          <cell r="I66">
            <v>362.5</v>
          </cell>
          <cell r="J66" t="str">
            <v>Bliss</v>
          </cell>
          <cell r="K66" t="str">
            <v>W n R Car Tom(25/04)  GERBERA NEXT(16/09) NO ORCHIDS(24/01)  Sent a replacement today(17/04) Ros enext (26/11) NO GULDAWARI n ORCHIDS ()6/01) Skip 1 week (05/01) Replacement tom (12/02) Send Tom and skip 30th Mar (25/03) Replacement tom (06/07) Will Pick on 30th -- Dont Send on 02nd Nov (28/10) Send this week del on tuesday 925/01) Send W Asiatic on 11th this week instead of 15th Feb (08/02) Skip 1 week (14/03) Lilies Next (20/05) Hold after current cycle (04/12) Four plus 1 Pack //</v>
          </cell>
          <cell r="L66" t="str">
            <v>GULDAWARI n ORCHID</v>
          </cell>
          <cell r="M66" t="str">
            <v>Lilies Next (20/05)</v>
          </cell>
          <cell r="N66" t="str">
            <v>2  del of this cycle   -  1-cycles pmnt   Pending - Collect 1450</v>
          </cell>
          <cell r="O66" t="str">
            <v>Mix Car 16     Grass</v>
          </cell>
          <cell r="P66" t="str">
            <v>Mix Alstroemeria ( 12 Inch ) 16     FF Sachet + grass</v>
          </cell>
          <cell r="Q66" t="str">
            <v>P n W Glad ( 14 Inch ) 16     Grass</v>
          </cell>
          <cell r="R66" t="str">
            <v>P Asiatic ( 14 Inch )  3     Grass</v>
          </cell>
          <cell r="S66" t="str">
            <v>P n Y Spray Daisy ( 14 Inch ) 5     FF Sachet + Grass</v>
          </cell>
          <cell r="T66" t="str">
            <v>Pur n P Car ( 14 Inch ) 16  Collect Payment Collect Payment Collect Payment FF Sachet + Grass</v>
          </cell>
        </row>
        <row r="67">
          <cell r="A67">
            <v>2250</v>
          </cell>
          <cell r="B67" t="str">
            <v>Saloni Gupta</v>
          </cell>
          <cell r="C67">
            <v>9810796682</v>
          </cell>
          <cell r="D67" t="str">
            <v>338, 3rd Floor, Espace</v>
          </cell>
          <cell r="E67" t="str">
            <v>Nirvana Country</v>
          </cell>
          <cell r="F67" t="str">
            <v>Sunday</v>
          </cell>
          <cell r="G67" t="str">
            <v>9 AM - 12 PM</v>
          </cell>
          <cell r="H67">
            <v>3088</v>
          </cell>
          <cell r="I67">
            <v>386</v>
          </cell>
          <cell r="J67" t="str">
            <v>Cutsomized-Biweekly</v>
          </cell>
          <cell r="K67" t="str">
            <v>Sunday n Thursday//Pls Keep Flowers in Vase// Paytm from Mayank G (17/03) Sent replacememnt today (23/03) Skip 1 week (10/04) 2 Asiatic and 5 Rajni (27/07) Paytm friom Mayank Gupta (16/09) 2 Asiatic Lily in each delivery (16/10) Today returned (17/11) Skip this sunday (03/01) Thursday -- 10 Rose and 4 Rajni // Sunday - 2 Asiatic (19/01) Whenever possible-send red Roses (23/01) Skip tom (29/01) Today returned (22/05) Send replacement tom (27/07) Hold today (14/08) Do not count last delivery (04/09) Hold today (02/10) Hold today (12/10) Hold after this cycle (27/10) Do not count last del (31/10) 2 Asiatic + 4 Rajni + 4 Glad -- thrice in a week (30/12) 2 Asiatic and 4 Rajni bi weekly pack (08/03) 2 Asiatic and 8 Rajni Every time and send 8 Rajni tom (26/03) Today returned-send tom (19/04)</v>
          </cell>
          <cell r="N67" t="str">
            <v>1  del of this cycle   -  1-cycles pmnt   Pending - Collect 4633</v>
          </cell>
          <cell r="O67" t="e">
            <v>#N/A</v>
          </cell>
          <cell r="P67" t="e">
            <v>#N/A</v>
          </cell>
          <cell r="Q67" t="e">
            <v>#N/A</v>
          </cell>
          <cell r="R67" t="e">
            <v>#N/A</v>
          </cell>
          <cell r="S67" t="e">
            <v>#N/A</v>
          </cell>
          <cell r="T67" t="str">
            <v>W Asiatic ( 14 Inch ) 3     Grass</v>
          </cell>
        </row>
        <row r="68">
          <cell r="A68">
            <v>2569</v>
          </cell>
          <cell r="B68" t="str">
            <v>Mrs. Verma</v>
          </cell>
          <cell r="C68">
            <v>9971135993</v>
          </cell>
          <cell r="D68" t="str">
            <v>A1/192, 1st Floor, Sec 55, Sushant Lok-2, Near Orchid International School</v>
          </cell>
          <cell r="E68" t="str">
            <v>Sector 56</v>
          </cell>
          <cell r="F68" t="str">
            <v>Thursday</v>
          </cell>
          <cell r="G68" t="str">
            <v>9 AM - 12 PM</v>
          </cell>
          <cell r="H68">
            <v>1450</v>
          </cell>
          <cell r="I68">
            <v>362.5</v>
          </cell>
          <cell r="J68" t="str">
            <v>Bliss</v>
          </cell>
          <cell r="K68" t="str">
            <v>Return today (01/05) Return today (05/06) Send on Sunday This week (05/06) Upgrade to bliss from next cycle (20/09) Skip 1 week (04/02) Send Replacement tom of Asiatic Lily (16/04) Send Replacement tom (21/05) No Sunflower (21/05)</v>
          </cell>
          <cell r="L68" t="str">
            <v>Sunflower</v>
          </cell>
          <cell r="N68" t="str">
            <v>4  del of this cycle   -  0-cycles pmnt   CompletedNO COLLECTION-we have extra money - Collect -50</v>
          </cell>
          <cell r="O68" t="str">
            <v>Sunflower ( 14 inch ) 2 R n W Car ( 14 inch ) 7   Grass</v>
          </cell>
          <cell r="P68" t="str">
            <v>P Spray Daisy ( 15 Inch ) 3 P n W Glad ( 14 Inch ) 7   FF Sachet + grass</v>
          </cell>
          <cell r="Q68" t="str">
            <v>W Asiatic ( 14 Inch ) 2 Mix Alstroemeria ( 12 Inch ) 7   Grass</v>
          </cell>
          <cell r="R68" t="str">
            <v>Pur Eustoma ( 12 Inch ) 2 Pur n P Car ( 14 inch ) 7   FF Sachet + Grass</v>
          </cell>
          <cell r="S68" t="str">
            <v>Sunflower ( 12 Inch ) 2 P n W Glad ( 14 Inch ) 7   FF Sachet + Grass</v>
          </cell>
          <cell r="T68" t="str">
            <v>O Asiatic ( 14 Inch ) 2 B Daisy ( 12 Inch ) 7   Grass</v>
          </cell>
        </row>
        <row r="69">
          <cell r="A69">
            <v>1438</v>
          </cell>
          <cell r="B69" t="str">
            <v>Aishwarya G Aiyar</v>
          </cell>
          <cell r="C69">
            <v>9884857311</v>
          </cell>
          <cell r="D69" t="str">
            <v>A-173, The Pinnacle</v>
          </cell>
          <cell r="E69" t="str">
            <v>DLF Phase 5</v>
          </cell>
          <cell r="F69" t="str">
            <v>Thursday</v>
          </cell>
          <cell r="G69" t="str">
            <v>9 AM - 12 PM</v>
          </cell>
          <cell r="H69">
            <v>1600</v>
          </cell>
          <cell r="I69">
            <v>200</v>
          </cell>
          <cell r="J69" t="str">
            <v>Bloom</v>
          </cell>
          <cell r="K69" t="str">
            <v>Sunday n Thursday//Changed to Thursday//Ref By Vidya Raja(29/06) 10 Rajni and 10 Glad Next(03/07) Bop and car Next(10/07) Asiatic n car Next(17/07) Oriental and Rajni next(24/07) 3 Anthurium and 15 Glad tom(31/07) Mix of 2 flowers next(07/08) Sent replacement of Oriental today(26/08) NO HELICONIA and BOP and send Spray daisy(02/10) Skip 1 week(11/10) Now JOY(30/03) Skip 1 week(06/04) Holdn n skip this week(21/04) Skip 1 week(30/05) Hold n start from July(11/06) Skip this sunday delivery(05/08) Skip 1 week(30/08) Skip this sunday delivery(16/09) Paytm From Vivek Raja// Skip 1 week (26/04) Now bloom (01/05) Hold till 11th June (31/05) Hold n start from Aug and inform before sending (11/07) Skip 1 week (26/09) Today Retirned (02/11) Today Hold (16/11) Hold today 928/12) Hold for Thursday (05/03) Returned (10/03) Skip this sunday (24/05) Skip 1 week (02/06) Returned ltoday (29/08) Today Returned (05/09) Hols today (31/10) Skip 1 week (18/01) Skip this week (07/03) Skip 19th and 23rd (19/10) Hold 25th Del ( 23/01) Skip sunday (18/02) Skip sunday (27/03) Dont ring bell -- keep at Door (17/05) Skip thursday (15/06)</v>
          </cell>
          <cell r="N69" t="str">
            <v>4  del of this cycle   -  0-cycles pmnt   Completed - Collect 0</v>
          </cell>
          <cell r="O69" t="str">
            <v>P n W Glad ( 14 inch ) 7     Grass</v>
          </cell>
          <cell r="P69" t="str">
            <v>R n W Car ( 14 Inch ) 7     FF Sachet + Grass</v>
          </cell>
          <cell r="Q69" t="str">
            <v>Mix Alstroemeria ( 12 Inch ) 7     FF Sachet + Grass</v>
          </cell>
          <cell r="R69" t="str">
            <v>P n W Glad ( 14 Inch ) 7     Grass</v>
          </cell>
          <cell r="S69" t="e">
            <v>#N/A</v>
          </cell>
          <cell r="T69" t="str">
            <v>P n W Car ( 14 inch ) 7     FF Sachet + Grass</v>
          </cell>
        </row>
        <row r="70">
          <cell r="A70">
            <v>826</v>
          </cell>
          <cell r="B70" t="str">
            <v>Anuradha M Agarwal</v>
          </cell>
          <cell r="C70">
            <v>9811201606</v>
          </cell>
          <cell r="D70" t="str">
            <v>A-82, Westend Heights</v>
          </cell>
          <cell r="E70" t="str">
            <v>DLF Phase 5</v>
          </cell>
          <cell r="F70" t="str">
            <v>Thursday</v>
          </cell>
          <cell r="G70" t="str">
            <v>9 AM to 2 PM</v>
          </cell>
          <cell r="H70">
            <v>999</v>
          </cell>
          <cell r="I70">
            <v>249.75</v>
          </cell>
          <cell r="J70" t="str">
            <v>Delight</v>
          </cell>
          <cell r="K70" t="str">
            <v>Sending on 20th instaed of 21st,bcoz of Holi(18/03) This Cycle flowers -- Lilies / Orchids / Carnations/Gladioli(07/04) Orchid Next(25/04) Skip 2 week(11/06) Send on Friday this week(12/08) NO ORCHID, today returned-send glad tom(22/08)ASIATIC AND  ORCHID ONCE A CYCLE WITHOUT PLASTIC CAP(22/12) Returned-send Tom(16/01) Day chenged to saturday n ORCHID NEXT(18/01) Do not consider this week del and AVOID YELLOW COLOR FOR SOME WEEK, Send Orchid Next(23/02) Orchid next (27/05) Orchid next (09/06) Hold after current cycle (09/06) Return today (10/10) Skip 1 week (25/10) Skip this thursday (16/02) Skip 1 week (23/03) Today Returned and skip next week Laos (14/08) Skip 2 week (11/10) Skip 2 week (21/12)</v>
          </cell>
          <cell r="N70" t="str">
            <v>2  del of this cycle   -  0-cycles pmnt   Completed - Collect 0</v>
          </cell>
          <cell r="O70" t="str">
            <v>Mix Alstroemeria ( 12 Inch ) 9     Grass</v>
          </cell>
          <cell r="P70" t="str">
            <v>R n W Car ( 14 Inch ) 9     FF Sachet + Grass</v>
          </cell>
          <cell r="Q70" t="str">
            <v>P Spray Daisy ( 14 Inch ) 3     FF Sachet + Grass</v>
          </cell>
          <cell r="R70" t="str">
            <v>P n W Glad ( 14 Inch ) 9     Gras</v>
          </cell>
          <cell r="S70" t="str">
            <v>O Asiatic ( 14 Inch ) 3     Grass</v>
          </cell>
          <cell r="T70" t="str">
            <v>B Daisy ( 12 Inch ) 9     Grass</v>
          </cell>
        </row>
        <row r="71">
          <cell r="A71" t="str">
            <v>B56271</v>
          </cell>
          <cell r="B71">
            <v>9711225623</v>
          </cell>
          <cell r="C71">
            <v>9711225623</v>
          </cell>
          <cell r="D71" t="str">
            <v>T-11/901, The Close South</v>
          </cell>
          <cell r="E71" t="str">
            <v>Nirvana Country</v>
          </cell>
          <cell r="F71" t="str">
            <v>Thursday</v>
          </cell>
          <cell r="G71" t="str">
            <v>By 10 AM</v>
          </cell>
          <cell r="H71">
            <v>900</v>
          </cell>
          <cell r="I71">
            <v>900</v>
          </cell>
          <cell r="J71" t="str">
            <v>Bouquet</v>
          </cell>
          <cell r="K71" t="str">
            <v>8 P n W Spray Daisy in Single Wrap</v>
          </cell>
          <cell r="N71" t="str">
            <v>1  del of this cycle   -  1-cycles pmnt   Pending - Collect 900</v>
          </cell>
          <cell r="O71" t="e">
            <v>#N/A</v>
          </cell>
          <cell r="P71" t="e">
            <v>#N/A</v>
          </cell>
          <cell r="Q71" t="e">
            <v>#N/A</v>
          </cell>
          <cell r="R71" t="e">
            <v>#N/A</v>
          </cell>
          <cell r="S71" t="e">
            <v>#N/A</v>
          </cell>
          <cell r="T71" t="str">
            <v xml:space="preserve">P n W Spray Daisy 8 Single Wrap    </v>
          </cell>
        </row>
        <row r="72">
          <cell r="A72">
            <v>442</v>
          </cell>
          <cell r="B72" t="str">
            <v>Ruchi Mathure--Before 10:30 AM</v>
          </cell>
          <cell r="C72">
            <v>9871265555</v>
          </cell>
          <cell r="D72" t="str">
            <v>D-013, Westend height, DLF-5</v>
          </cell>
          <cell r="E72" t="str">
            <v>DLF Phase 5</v>
          </cell>
          <cell r="F72" t="str">
            <v>Thursday</v>
          </cell>
          <cell r="G72" t="str">
            <v>9 AM - 12 PM</v>
          </cell>
          <cell r="H72">
            <v>1450</v>
          </cell>
          <cell r="I72">
            <v>362.5</v>
          </cell>
          <cell r="J72" t="str">
            <v>Bliss</v>
          </cell>
          <cell r="K72" t="str">
            <v>No White Flowers(22/08)Skip this week n start from Thursday(26/09)Skip this week(29/11) Skip n sned on Monday(27/01) Return-send tom(17/02) NO P CAR(18/02)Return-send on Friday(24/02) Return-doesn't need Special Pack(14/04) Upgrade to 650 Plan(02/05) Skip this week n send on Monday(07/06) Skip 1 week(13/09) Skip 1 week(26/10) Skip 1 week(14/12) 150 adjusted against extra paid in Nargis to be delivered on 1st jan(30/12) Skip 1 week(26/01) Last week del was missed- pls send tom(07/03) Skip 2 weeks(18/03)NO WHITE FLOWERS(30/12) Send on saturdya this week instead of Thursday(12/11) Send on saturday this week(21/12) Getting only Car and asiatic-- Pls send all flowers(07/01) 10th Del missed-send them on saturday(11/03) NO WHITE FLOWERS(01/04) Hold n start from 2nd June(29/04) Last Thursday Missed(04/06) Skip this week n send on Sunday this week(22/06) Send Tom 1 Del with Rajni (11/07) Send 1 Del Tom(17/07) Today returned (28/07) NO GOLDEN GRASS(11/08) Sent 1 del Today(13/09) Skip tom and sned on Sunday (24/11) nEXT DEL SEND ON 31ST INSTEAD OF 30TH (24/12) Skip 1 week (20/01) Sent replacement today (14/04) send on monday this week only (21/04) Hold till 2nd Aug (07/07) Sent 1 del today and dont send tom (30/08) Skip tom Del n Send on Sunday (01/11) Today returned (09/11) No Del del till 3rd DEc (15/12) Skip 1 week (30/01) Skip on 14th and send on Sunday (12/03) Skip n sned on sunday (08/05) Hold today (30/05) Payment from Kapil M (16/06) Paytm From Kapil M (14/07) Skip 1 week (26/11) Skip nexty del (03/12) Hold till 15th Apr (18/04) No Sunflower (13/03) Skip this thursday and sned on sunday (20/04) Skip 1 week (20/05)</v>
          </cell>
          <cell r="L72" t="str">
            <v>Sunflower</v>
          </cell>
          <cell r="M72" t="str">
            <v>No White even in mixed // Skip 23rd and sned on 26th (20/04)</v>
          </cell>
          <cell r="N72" t="str">
            <v>4  del of this cycle   -  0-cycles pmnt   Completed - Collect 0</v>
          </cell>
          <cell r="O72" t="e">
            <v>#N/A</v>
          </cell>
          <cell r="P72" t="str">
            <v>Mix Alstroemeria ( 12 Inch ) 16     FF Sachet + grass</v>
          </cell>
          <cell r="Q72" t="str">
            <v>W Asiatic ( 14 Inch ) 3     Grass</v>
          </cell>
          <cell r="R72" t="str">
            <v>P Glad ( 14 Inch ) 16 No White     Grass</v>
          </cell>
          <cell r="S72" t="str">
            <v>P n Y Spray Daisy ( 14 Inch ) 5 No White Flower  No White Flower   FF Sachet + Grass</v>
          </cell>
          <cell r="T72" t="str">
            <v>Pur n P Car ( 14 Inch ) 16     FF Sachet + Grass</v>
          </cell>
        </row>
        <row r="73">
          <cell r="A73">
            <v>2076</v>
          </cell>
          <cell r="B73" t="str">
            <v>Divya Jain Midas</v>
          </cell>
          <cell r="C73">
            <v>9910172233</v>
          </cell>
          <cell r="D73" t="str">
            <v>Midas Touch, 1st Floor, A Block, Nirvana Courtyard</v>
          </cell>
          <cell r="E73" t="str">
            <v>Nirvana Country</v>
          </cell>
          <cell r="F73" t="str">
            <v>Thursday</v>
          </cell>
          <cell r="G73" t="str">
            <v>9 AM - 12 PM</v>
          </cell>
          <cell r="H73">
            <v>1450</v>
          </cell>
          <cell r="I73">
            <v>362.5</v>
          </cell>
          <cell r="J73" t="str">
            <v>Bliss</v>
          </cell>
          <cell r="K73" t="str">
            <v>Sent replacement today (01/06) Send 1 Vase with next delivery (10/10) Send 1 Rassee Vase and Flowers tom (29/11) Sent 1 vase today (30/1) 1500 cash and 100 via paytm (07/01) One deliv sent today (26/02) Sent one del today (10/06) sent one del today (21/07) GMom Quiz Voucher Added (07/08) 1 Vase sent today (11/11) Send one del tom and with either rose or Car (02/12) Sent one del today (28/04)</v>
          </cell>
          <cell r="N73" t="str">
            <v>1  del of this cycle   -  1-cycles pmnt   Pending - Collect 1450</v>
          </cell>
          <cell r="O73" t="str">
            <v>P Asiatic ( 15 inch ) 3     Grass</v>
          </cell>
          <cell r="P73" t="str">
            <v>R n W Car ( 14 Inch ) 16     FF Sachet + grass</v>
          </cell>
          <cell r="Q73" t="str">
            <v>P n W Glad ( 14 Inch ) 16     Grass</v>
          </cell>
          <cell r="R73" t="str">
            <v>P n Y Spray Daisy ( 14 Inch ) 5     FF Sachet + Grass</v>
          </cell>
          <cell r="S73" t="str">
            <v>Sunflower ( 12 Inch ) 4     FF Sachet + Grass</v>
          </cell>
          <cell r="T73" t="str">
            <v>Pur Eustoma ( 12 Inch ) 3     FF Sachet + Grass</v>
          </cell>
        </row>
        <row r="74">
          <cell r="A74">
            <v>2865</v>
          </cell>
          <cell r="B74" t="str">
            <v>Shilpi Karan Bhalla</v>
          </cell>
          <cell r="C74">
            <v>9312239638</v>
          </cell>
          <cell r="D74" t="str">
            <v>A1/192, 4th Floor, Sec 55</v>
          </cell>
          <cell r="E74" t="str">
            <v>Sector 56</v>
          </cell>
          <cell r="F74" t="str">
            <v>Thursday</v>
          </cell>
          <cell r="G74" t="str">
            <v>9:30 Am to 2 PM</v>
          </cell>
          <cell r="H74">
            <v>999</v>
          </cell>
          <cell r="I74">
            <v>249.75</v>
          </cell>
          <cell r="J74" t="str">
            <v>Delight</v>
          </cell>
          <cell r="K74" t="str">
            <v>Hold Due to non payment (17/12) Name and num,ber changed (26/12) Hold due to non payment (04/02) HDTNP (19/02) HDTNP (11/06)</v>
          </cell>
          <cell r="N74" t="str">
            <v>3  del of this cycle   -  0-cycles pmnt   CompletedNO COLLECTION-we have extra money - Collect -10</v>
          </cell>
          <cell r="O74" t="str">
            <v>R n W Car ( 14 inch ) 9     FF Sachet + Grass</v>
          </cell>
          <cell r="P74" t="str">
            <v>O Asiatic ( 14 Inch ) 2     Grass</v>
          </cell>
          <cell r="Q74" t="str">
            <v>P n W Glad ( 14 Inch ) 9     Grass</v>
          </cell>
          <cell r="R74" t="e">
            <v>#N/A</v>
          </cell>
          <cell r="S74" t="str">
            <v>Mix Alstroemeria ( 12 Inch ) 9     FF Sachet + Grass</v>
          </cell>
          <cell r="T74" t="str">
            <v>Y Spray Daisy ( 14 Inch ) 3     FF Sachet + Grass</v>
          </cell>
        </row>
        <row r="75">
          <cell r="A75" t="str">
            <v>B56270</v>
          </cell>
          <cell r="B75" t="str">
            <v>Pooja Ma'am -- Jasbir Singh</v>
          </cell>
          <cell r="C75" t="str">
            <v>9997092561 // 999453496</v>
          </cell>
          <cell r="D75" t="str">
            <v>Amber, 4th Floor, Universal Trade Centre</v>
          </cell>
          <cell r="E75" t="str">
            <v>Sohna Road 1</v>
          </cell>
          <cell r="F75" t="str">
            <v>Thursday</v>
          </cell>
          <cell r="G75" t="str">
            <v>By 8:30 AM</v>
          </cell>
          <cell r="H75">
            <v>6400</v>
          </cell>
          <cell r="I75">
            <v>6400</v>
          </cell>
          <cell r="J75" t="str">
            <v>Bouquet</v>
          </cell>
          <cell r="K75" t="str">
            <v>8 Bouquet with 3 Sunflower and 4 B daisy</v>
          </cell>
          <cell r="N75" t="str">
            <v>1  del of this cycle   -  0-cycles pmnt   In Process - Collect 0</v>
          </cell>
          <cell r="O75" t="e">
            <v>#N/A</v>
          </cell>
          <cell r="P75" t="e">
            <v>#N/A</v>
          </cell>
          <cell r="Q75" t="e">
            <v>#N/A</v>
          </cell>
          <cell r="R75" t="e">
            <v>#N/A</v>
          </cell>
          <cell r="S75" t="e">
            <v>#N/A</v>
          </cell>
          <cell r="T75" t="str">
            <v xml:space="preserve">( Sunflower + B Daisy ) -- 8 Bouquets ( 24 + 32) Front Tissue Wtap 8 Bouquet with 3 Sunflower and 4 B daisy   </v>
          </cell>
        </row>
        <row r="76">
          <cell r="A76">
            <v>2118</v>
          </cell>
          <cell r="B76" t="str">
            <v>Shantanu</v>
          </cell>
          <cell r="C76">
            <v>8800631116</v>
          </cell>
          <cell r="D76" t="str">
            <v>172, 1st Floor, Espace</v>
          </cell>
          <cell r="E76" t="str">
            <v>Nirvana Country</v>
          </cell>
          <cell r="F76" t="str">
            <v>Saturday</v>
          </cell>
          <cell r="G76" t="str">
            <v>9 AM - 12 PM</v>
          </cell>
          <cell r="H76">
            <v>6880</v>
          </cell>
          <cell r="I76">
            <v>1720</v>
          </cell>
          <cell r="J76" t="str">
            <v>Customized</v>
          </cell>
          <cell r="K76" t="str">
            <v>2 Asiatic + 1 Oriental + 1 Sunflower + 10 Guldawari + 10 Roses + 8 Spray Daisy + 10 Stems from Seasonal 0r Nargis ( 07/02) Yesterday Returned (23/02) 2 Asiatic + 1 Oriental + 1 Sunflower + 10 Guldawari + 10 car + 6 Spray Daisy + Seasonal Flower of Rs . 250 (04/03) Today returned-send on 3rd (28/06) No Flowers till 31st Oct (22/10) Today Returned (16/11)</v>
          </cell>
          <cell r="N76" t="str">
            <v>1  del of this cycle   -  1-cycles pmnt   Pending - Collect 6880</v>
          </cell>
          <cell r="O76" t="e">
            <v>#N/A</v>
          </cell>
          <cell r="P76" t="e">
            <v>#N/A</v>
          </cell>
          <cell r="Q76" t="e">
            <v>#N/A</v>
          </cell>
          <cell r="R76" t="str">
            <v>P Asiatic + W Oriental + Sunflower  + Glad  + Pur n P Car + P n Y Spray Daisy + Mix Alstroemeria 2 + 1 + 1 + 10 + 10 + 6 + 5     4 Areca Palm + 2 Gypsola + 2 Limonium</v>
          </cell>
          <cell r="S76" t="e">
            <v>#N/A</v>
          </cell>
          <cell r="T76" t="str">
            <v>O Asiatic + P Oriental + Glad + P n W Car + G n Y Spray Daisy + Mix Alstroemeria 2 + 1 + 10 + 10 + 6 + 5     4 Areca Palm + 2 Gypsola + 2 Limonium</v>
          </cell>
        </row>
        <row r="77">
          <cell r="A77">
            <v>2406</v>
          </cell>
          <cell r="B77" t="str">
            <v>Vermeen Kapoor</v>
          </cell>
          <cell r="C77">
            <v>9873458198</v>
          </cell>
          <cell r="D77" t="str">
            <v>B-59, South City 2</v>
          </cell>
          <cell r="E77" t="str">
            <v>Nirvana Country</v>
          </cell>
          <cell r="F77" t="str">
            <v>Thursday</v>
          </cell>
          <cell r="G77" t="str">
            <v>9:30 Am to 2 PM</v>
          </cell>
          <cell r="H77">
            <v>1450</v>
          </cell>
          <cell r="I77">
            <v>362.5</v>
          </cell>
          <cell r="J77" t="str">
            <v>Bliss</v>
          </cell>
          <cell r="K77" t="str">
            <v>Referred by Swati Khandelwal?/ Mixed Flowers // Send replace,ent tom (19/02) Day Changed to Thursday (08/04) today returned-send tom (24/07)</v>
          </cell>
          <cell r="M77" t="str">
            <v>Mixed Flowers</v>
          </cell>
          <cell r="N77" t="str">
            <v>1  del of this cycle   -  0-cycles pmnt   Completed - Collect 0</v>
          </cell>
          <cell r="O77" t="str">
            <v>Sunflower ( 14 inch ) 2 R n W Car ( 14 inch ) 7   Grass</v>
          </cell>
          <cell r="P77" t="str">
            <v>P Spray Daisy ( 15 Inch ) 3 P n W Glad ( 14 Inch ) 7   FF Sachet + grass</v>
          </cell>
          <cell r="Q77" t="str">
            <v>W Asiatic ( 14 Inch ) 2 Mix Alstroemeria ( 12 Inch ) 7   Grass</v>
          </cell>
          <cell r="R77" t="str">
            <v>Pur Eustoma ( 12 Inch ) 2 Pur n P Car ( 14 inch ) 7   FF Sachet + Grass</v>
          </cell>
          <cell r="S77" t="str">
            <v>Sunflower ( 12 Inch ) 2 P n W Glad ( 14 Inch ) 7   FF Sachet + Grass</v>
          </cell>
          <cell r="T77" t="str">
            <v>P Asiatic ( 14 Inch ) 2 B Daisy ( 12 Inch ) 7   Grass</v>
          </cell>
        </row>
        <row r="78">
          <cell r="A78">
            <v>3122</v>
          </cell>
          <cell r="B78" t="str">
            <v>Abha Ghosh</v>
          </cell>
          <cell r="C78">
            <v>9650001674</v>
          </cell>
          <cell r="D78" t="str">
            <v>6A, Galicia, Raisina Residency, Sec 59</v>
          </cell>
          <cell r="E78" t="str">
            <v>Ghata</v>
          </cell>
          <cell r="F78" t="str">
            <v>Thursday</v>
          </cell>
          <cell r="G78" t="str">
            <v>9 AM - 12 PM</v>
          </cell>
          <cell r="H78">
            <v>1450</v>
          </cell>
          <cell r="I78">
            <v>362.5</v>
          </cell>
          <cell r="J78" t="str">
            <v>Bliss</v>
          </cell>
          <cell r="K78" t="str">
            <v>Returned yesterday (07/11)</v>
          </cell>
          <cell r="N78" t="str">
            <v>2  del of this cycle   -  0-cycles pmnt   Completed - Collect 0</v>
          </cell>
          <cell r="O78" t="str">
            <v>P n Y Spray Daisy ( 15 Inch ) 5     FF Sachet + Grass</v>
          </cell>
          <cell r="P78" t="str">
            <v>O Asiatic ( 14 Inch ) 3     Grass</v>
          </cell>
          <cell r="Q78" t="str">
            <v>P n W Glad ( 14 Inch ) 16     Grass</v>
          </cell>
          <cell r="R78" t="str">
            <v>Pur n P Car ( 14 inch ) 16     FF Sachet + Grass</v>
          </cell>
          <cell r="S78" t="str">
            <v>Sunflower ( 12 Inch ) 4     FF Sachet + Grass</v>
          </cell>
          <cell r="T78" t="str">
            <v>B Daisy ( 12 Inch ) 16     Grass</v>
          </cell>
        </row>
        <row r="79">
          <cell r="A79">
            <v>949</v>
          </cell>
          <cell r="B79" t="str">
            <v>Meenu Amrith-- Evening Only</v>
          </cell>
          <cell r="C79">
            <v>9891350735</v>
          </cell>
          <cell r="D79" t="str">
            <v>H. No. 579, Ground Floor,Near Dell-- Sec-43</v>
          </cell>
          <cell r="E79" t="str">
            <v>DLF Phase 5</v>
          </cell>
          <cell r="F79" t="str">
            <v>Thursday</v>
          </cell>
          <cell r="G79" t="str">
            <v>10 AM to 2:30 PM</v>
          </cell>
          <cell r="H79">
            <v>1450</v>
          </cell>
          <cell r="I79">
            <v>362.5</v>
          </cell>
          <cell r="J79" t="str">
            <v>Bliss</v>
          </cell>
          <cell r="K79" t="str">
            <v>Sunday to Thurs//Skip next week(21/01) Skip 1 week(12/02) Hold n start from 1st week of May(06/03) Pls start from coming Tuesday(14/03)  Send Sunday Del on Sat This week(12/11) Skip 1 week(29/01) today hold and skip 1 more week(27/02) Start from 24th Mar(08/03) Hold n start from 16th June(18/05) Hold 3 Weeks(13/07) she saying that 10th Del Not received(11/11) Not avaible till 25th (14/11) Hold today(19/01) Skip 2 weeks (22/02) Skip 2 weeks (26/06) Hold n start after 15th Sep (18/08) Skip Tom (28/02) Hold n start from 13th June (24/05) Skip 1 week (23/07) Skip 1 week (04/12) Skip 1 week (12/03) Skip 1 week (18/01) Skip 1 weeek (13/05)</v>
          </cell>
          <cell r="N79" t="str">
            <v>2  del of this cycle   -  0-cycles pmnt   Completed - Collect 0</v>
          </cell>
          <cell r="O79" t="str">
            <v>Mix Alstroemeria ( 12 Inch ) 16     Grass</v>
          </cell>
          <cell r="P79" t="str">
            <v>P n W Glad ( 14 Inch ) 16     Grass</v>
          </cell>
          <cell r="Q79" t="str">
            <v>P n Y Spray Dausy ( 14 Inch ) 5     FF Sachet + Grass</v>
          </cell>
          <cell r="R79" t="str">
            <v>P Asiatic ( 14 Inch )  3     Grass</v>
          </cell>
          <cell r="S79" t="str">
            <v>Pur n P Car ( 14 inch ) 16     FF Sachet + Grass</v>
          </cell>
          <cell r="T79" t="str">
            <v>Pur Eustoma ( 12 Inch ) 3     FF Sachet + Grass</v>
          </cell>
        </row>
        <row r="80">
          <cell r="A80">
            <v>2481</v>
          </cell>
          <cell r="B80" t="str">
            <v>Puneet Mahajan</v>
          </cell>
          <cell r="C80">
            <v>9810110847</v>
          </cell>
          <cell r="D80" t="str">
            <v>D-19, 4th Floor, Siuth City -2, Opp Arcadia Mall</v>
          </cell>
          <cell r="E80" t="str">
            <v>Nirvana Country</v>
          </cell>
          <cell r="F80" t="str">
            <v>Sunday</v>
          </cell>
          <cell r="G80" t="str">
            <v>9 AM - 12 PM</v>
          </cell>
          <cell r="H80">
            <v>2300</v>
          </cell>
          <cell r="I80">
            <v>287.5</v>
          </cell>
          <cell r="J80" t="str">
            <v>Felicity</v>
          </cell>
          <cell r="K80" t="str">
            <v>Send Sponge// Day Changed to Sunday (16/04) Paytm From Sri Sai makers (20/04) Change to felicity (17/05)</v>
          </cell>
          <cell r="N80" t="str">
            <v>2  del of this cycle   -  0-cycles pmnt   Completed - Collect 0</v>
          </cell>
          <cell r="O80" t="str">
            <v>Rajni ( 14 inch ) 11     Grass</v>
          </cell>
          <cell r="P80" t="str">
            <v>O Asiatic ( 14 Inch ) 2     Grass</v>
          </cell>
          <cell r="Q80" t="str">
            <v>Mix Alstroemeria ( 12 Inch ) 11     FF Sachet + Grass</v>
          </cell>
          <cell r="R80" t="str">
            <v>Pur n P Car ( 14 inch ) 11     FF Sachet + Grass</v>
          </cell>
          <cell r="S80" t="str">
            <v>P Spray Daisy ( 14 Inch ) 3     FF Sachet + Grass</v>
          </cell>
          <cell r="T80" t="str">
            <v>P Asiatic ( 14 Inch ) 2     Grass</v>
          </cell>
        </row>
        <row r="81">
          <cell r="A81">
            <v>20</v>
          </cell>
          <cell r="B81" t="str">
            <v>Mrs. Vandana Dutt Before 10</v>
          </cell>
          <cell r="C81">
            <v>9810771057</v>
          </cell>
          <cell r="D81" t="str">
            <v>15/002,South Close, Nirvana country</v>
          </cell>
          <cell r="H81">
            <v>1450</v>
          </cell>
          <cell r="I81">
            <v>362.5</v>
          </cell>
          <cell r="J81" t="str">
            <v>Bliss</v>
          </cell>
          <cell r="T81" t="str">
            <v>Mix Car 16     FF Sachet + Grass</v>
          </cell>
        </row>
        <row r="82">
          <cell r="A82">
            <v>1319</v>
          </cell>
          <cell r="B82" t="str">
            <v>Mrs. Vandana Dutt Before 10</v>
          </cell>
          <cell r="C82">
            <v>9810771057</v>
          </cell>
          <cell r="D82" t="str">
            <v>15/002,South Close, Nirvana country</v>
          </cell>
          <cell r="H82">
            <v>1950</v>
          </cell>
          <cell r="I82">
            <v>487.5</v>
          </cell>
          <cell r="J82" t="str">
            <v>Joy</v>
          </cell>
          <cell r="T82" t="str">
            <v>P Asiatic 4     Grass</v>
          </cell>
        </row>
        <row r="83">
          <cell r="B83" t="str">
            <v>R'anne Anju Khurana</v>
          </cell>
          <cell r="C83" t="str">
            <v>98106 15904</v>
          </cell>
          <cell r="D83" t="str">
            <v>904 Sector 15 Part-II, Gurugram 122001</v>
          </cell>
          <cell r="G83" t="str">
            <v>Before 12 PM</v>
          </cell>
          <cell r="H83">
            <v>600</v>
          </cell>
          <cell r="J83" t="str">
            <v>Bouquet</v>
          </cell>
          <cell r="K83" t="str">
            <v>Sir, 
Tomorrow  (25-June) is Birthday of R'anne Anju Khurana
Address: 904 Sector 15 Part-II, Gurugram 122001
Ph: 98106 15904</v>
          </cell>
          <cell r="T83" t="str">
            <v xml:space="preserve">Mix Car 15 Tissue Wrap message   </v>
          </cell>
        </row>
        <row r="84">
          <cell r="A84">
            <v>1978</v>
          </cell>
          <cell r="B84" t="str">
            <v>Anu-- After 6 PM</v>
          </cell>
          <cell r="C84" t="str">
            <v>98103 39602</v>
          </cell>
          <cell r="D84" t="str">
            <v xml:space="preserve">Tower 6, 901 Fresco </v>
          </cell>
          <cell r="E84" t="str">
            <v>Nirvana Country</v>
          </cell>
          <cell r="F84" t="str">
            <v>Thursday</v>
          </cell>
          <cell r="G84" t="str">
            <v>4 Pm to 7 PM</v>
          </cell>
          <cell r="H84">
            <v>4850</v>
          </cell>
          <cell r="I84">
            <v>606.25</v>
          </cell>
          <cell r="J84" t="str">
            <v>Poise</v>
          </cell>
          <cell r="K84" t="str">
            <v xml:space="preserve"> Thursday n Sunday//No Rajni (14/03) No Rose n Gerbera n RAJNI// Skip this week n send on Tuesday evening slot (18/06) Send this Thursday to Friday (04/09) NO HELICONIA (13/09) Skip Thursday delivery (12/11) Send tom in morning (16/11) Skip Thursday del (19/11) Skip tom (23/11) Hold till 11th  (30/11) Dont send on Sunday (13/12) Skip sunday (20/12) Skip tom (08/02) Hold today (23/02) Skip 1 Week (01/06) Skip thursday Delivery (18/06) Skip this thursday and send on sunday after 6 PM (06/08) No BOP also (06/10) Do not count today del and sned on sat next (04/12) Skip saturda and sunday also (05/12) Hold today n send tom (11/12) Hold today (05/04) Hold today (16/04)</v>
          </cell>
          <cell r="L84" t="str">
            <v>ROSE n RAJNI n HELICONIA n BOP</v>
          </cell>
          <cell r="M84" t="str">
            <v>after 6 pm on 19th (16/04)</v>
          </cell>
          <cell r="N84" t="str">
            <v>2  del of this cycle   -  0-cycles pmnt   Completed - Collect 0</v>
          </cell>
          <cell r="O84" t="str">
            <v>P Asiatic ( 15 inch ) 2 Spray Daisy 4 P n W Car ( 14 inch ) 12 Grass</v>
          </cell>
          <cell r="P84" t="str">
            <v>W Asiatic ( 14 Inch ) 2 Mix Alstroemeria ( 12 Inch ) 6 P n W Car ( 14 inch ) 10 Grass</v>
          </cell>
          <cell r="Q84" t="str">
            <v>P Asiatic ( 14 Inch ) 2 P n W Spray Dausy ( 14 Inch ) 4 P n W Glad ( 14 Inch ) 12 Grass</v>
          </cell>
          <cell r="R84" t="str">
            <v>Y Asiatic ( 14 Inch ) 2 Mix Eustoma ( 12 Inch ) 4 P n W Car ( 14 Inch ) 12 Grass</v>
          </cell>
          <cell r="S84" t="str">
            <v>P Asiatic ( 14 Inch ) 2 Mix Alstroemeria ( 12 inch )  8 P n W Glad ( 14 Inch ) 8 Grass</v>
          </cell>
          <cell r="T84" t="str">
            <v>W Asiatic ( 14 Inch ) 2 P n Y Spray Daisy ( 14 Inch ) 4 Rajni ( 14 Inch ) 12 Grass</v>
          </cell>
        </row>
        <row r="85">
          <cell r="A85">
            <v>2997</v>
          </cell>
          <cell r="B85" t="str">
            <v>Anjana Johar</v>
          </cell>
          <cell r="C85">
            <v>9650897576</v>
          </cell>
          <cell r="D85" t="str">
            <v>T-8/201, Fresco</v>
          </cell>
          <cell r="E85" t="str">
            <v>Nirvana Country</v>
          </cell>
          <cell r="F85" t="str">
            <v>Sunday</v>
          </cell>
          <cell r="G85" t="str">
            <v>4 Pm to 7 PM</v>
          </cell>
          <cell r="H85">
            <v>1450</v>
          </cell>
          <cell r="I85">
            <v>362.5</v>
          </cell>
          <cell r="J85" t="str">
            <v>Bliss</v>
          </cell>
          <cell r="K85" t="str">
            <v>Skip 2 week (03/11) Skip 1 week (14/11) Hold today n send tom (30/11) Hold n start after 9th Jan (08/12) Send Replacement tom (23/03) Send 1 vase also (23/03) No White Flowers (01/05) No Spray Daisy (05/05) Skip 1 week (08/05) Skip 2 week and start from 25th (13/06)</v>
          </cell>
          <cell r="L85" t="str">
            <v>Spray Daisy</v>
          </cell>
          <cell r="M85" t="str">
            <v>No White Flowers</v>
          </cell>
          <cell r="N85" t="str">
            <v>1  del of this cycle   -  1-cycles pmnt   Pending - Collect 1450</v>
          </cell>
          <cell r="O85" t="e">
            <v>#N/A</v>
          </cell>
          <cell r="P85" t="e">
            <v>#N/A</v>
          </cell>
          <cell r="Q85" t="e">
            <v>#N/A</v>
          </cell>
          <cell r="R85" t="e">
            <v>#N/A</v>
          </cell>
          <cell r="S85" t="e">
            <v>#N/A</v>
          </cell>
          <cell r="T85" t="str">
            <v>Pur n P Car ( 14 Inch ) 16 No White Agar Na Mile To tower Gaurd ko dena hai flower   FF Sachet + Grass</v>
          </cell>
        </row>
        <row r="86">
          <cell r="B86" t="str">
            <v>12C Belgravia Apartments, Tower-10, Central Park Resorts, Sec-48,</v>
          </cell>
          <cell r="D86" t="str">
            <v>12C Belgravia Apartments, Tower-10, Central Park Resorts, Sec-48,</v>
          </cell>
          <cell r="H86">
            <v>6400</v>
          </cell>
          <cell r="J86" t="str">
            <v>Bouquet</v>
          </cell>
          <cell r="K86" t="str">
            <v>Send today from Manish Central Park 2 
To
12C Belgravia Apartments, Tower-10, Central Park Resorts, Sec-48, Gurgaon
Message 
Happy Anniversary Kuchu ❤️ wishing us life long happiness &amp; togetherness ❤️</v>
          </cell>
          <cell r="T86" t="str">
            <v xml:space="preserve">hydrangea +Daisy  Box Message   </v>
          </cell>
        </row>
      </sheetData>
      <sheetData sheetId="23"/>
      <sheetData sheetId="24"/>
      <sheetData sheetId="25"/>
      <sheetData sheetId="26"/>
      <sheetData sheetId="27"/>
      <sheetData sheetId="28"/>
      <sheetData sheetId="29"/>
      <sheetData sheetId="3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01-07-26"/>
      <sheetName val="02-07-26"/>
      <sheetName val="03-07-26"/>
      <sheetName val="04-07-26"/>
      <sheetName val="05-07-26"/>
      <sheetName val="06-07-26"/>
      <sheetName val="07-07-26"/>
      <sheetName val="08-07-26"/>
      <sheetName val="09-07-26"/>
      <sheetName val="10-07-26"/>
      <sheetName val="11-07-26"/>
      <sheetName val="12-07-26"/>
      <sheetName val="13-07-26"/>
      <sheetName val="14-07-26"/>
      <sheetName val="15-07-26"/>
      <sheetName val="16-07-26"/>
      <sheetName val="17-07-26"/>
      <sheetName val="18-07-26"/>
      <sheetName val="19-07-26"/>
      <sheetName val="20-07-26"/>
      <sheetName val="21-07-26"/>
      <sheetName val="22-07-26"/>
      <sheetName val="23-07-26"/>
      <sheetName val="24-07-26"/>
      <sheetName val="25-07-26"/>
      <sheetName val="26-07-26"/>
      <sheetName val="27-07-26"/>
      <sheetName val="28-07-26"/>
      <sheetName val="29-07-26"/>
      <sheetName val="Sheet2"/>
    </sheetNames>
    <sheetDataSet>
      <sheetData sheetId="0"/>
      <sheetData sheetId="1">
        <row r="2">
          <cell r="A2" t="str">
            <v>B56318</v>
          </cell>
          <cell r="B2" t="str">
            <v>Pooja</v>
          </cell>
          <cell r="C2">
            <v>560549333</v>
          </cell>
          <cell r="D2" t="str">
            <v>B-105, Sujjan Vihar</v>
          </cell>
          <cell r="E2" t="str">
            <v>DLF Phase 5</v>
          </cell>
          <cell r="F2" t="str">
            <v>Thursday</v>
          </cell>
          <cell r="G2" t="str">
            <v>5:30 to 7:30 PM</v>
          </cell>
          <cell r="H2">
            <v>1210</v>
          </cell>
          <cell r="I2">
            <v>1210</v>
          </cell>
          <cell r="J2" t="str">
            <v>Bouquet</v>
          </cell>
          <cell r="K2" t="str">
            <v>Yel Gerbera and B Daisy Arrangement on Vase</v>
          </cell>
          <cell r="N2" t="str">
            <v>1  del of this cycle   -  0-cycles pmnt   Completed - Collect 0</v>
          </cell>
          <cell r="O2" t="e">
            <v>#N/A</v>
          </cell>
          <cell r="P2" t="e">
            <v>#N/A</v>
          </cell>
          <cell r="Q2" t="e">
            <v>#N/A</v>
          </cell>
          <cell r="R2" t="e">
            <v>#N/A</v>
          </cell>
          <cell r="S2" t="e">
            <v>#N/A</v>
          </cell>
          <cell r="T2" t="str">
            <v xml:space="preserve">Y Gerbera + B Daisy + W Spray Daisy 8 + 8 + 1 Square Vase Arrangement    </v>
          </cell>
        </row>
        <row r="3">
          <cell r="A3" t="str">
            <v>B56330</v>
          </cell>
          <cell r="B3" t="str">
            <v xml:space="preserve">Renuka Thareja </v>
          </cell>
          <cell r="C3" t="str">
            <v>95400 89000</v>
          </cell>
          <cell r="D3" t="str">
            <v>A2/403, Palm Grove Heights</v>
          </cell>
          <cell r="E3" t="str">
            <v>Golf Course Road</v>
          </cell>
          <cell r="F3" t="str">
            <v>Thursday</v>
          </cell>
          <cell r="G3" t="str">
            <v>By 10 AM</v>
          </cell>
          <cell r="H3">
            <v>2800</v>
          </cell>
          <cell r="I3">
            <v>2800</v>
          </cell>
          <cell r="J3" t="str">
            <v>Bouquet</v>
          </cell>
          <cell r="K3" t="str">
            <v>8 Yel Tulip</v>
          </cell>
          <cell r="N3" t="str">
            <v>1  del of this cycle   -  1-cycles pmnt   Pending - Collect 2800</v>
          </cell>
          <cell r="O3" t="e">
            <v>#N/A</v>
          </cell>
          <cell r="P3" t="e">
            <v>#N/A</v>
          </cell>
          <cell r="Q3" t="e">
            <v>#N/A</v>
          </cell>
          <cell r="R3" t="e">
            <v>#N/A</v>
          </cell>
          <cell r="S3" t="e">
            <v>#N/A</v>
          </cell>
          <cell r="T3" t="str">
            <v xml:space="preserve">Yel Tulip 8 Walkin Tissue Wrap with Gypsola    </v>
          </cell>
        </row>
        <row r="4">
          <cell r="A4" t="str">
            <v>B56331</v>
          </cell>
          <cell r="B4" t="str">
            <v>Radhika</v>
          </cell>
          <cell r="C4">
            <v>9811061397</v>
          </cell>
          <cell r="D4" t="str">
            <v>18/308, Heritage City</v>
          </cell>
          <cell r="E4" t="str">
            <v>M G Road</v>
          </cell>
          <cell r="F4" t="str">
            <v>Thursday</v>
          </cell>
          <cell r="G4" t="str">
            <v>By 11 AM</v>
          </cell>
          <cell r="H4">
            <v>1500</v>
          </cell>
          <cell r="I4">
            <v>1500</v>
          </cell>
          <cell r="J4" t="str">
            <v>Bouquet</v>
          </cell>
          <cell r="K4" t="str">
            <v>From Daman -- 9810538485 // 3 Sunflower + 3 B daisy + 2 P Oriental + 1 Oriental</v>
          </cell>
          <cell r="N4" t="str">
            <v>1  del of this cycle   -  0-cycles pmnt   Completed - Collect 0</v>
          </cell>
          <cell r="O4" t="e">
            <v>#N/A</v>
          </cell>
          <cell r="P4" t="e">
            <v>#N/A</v>
          </cell>
          <cell r="Q4" t="e">
            <v>#N/A</v>
          </cell>
          <cell r="R4" t="e">
            <v>#N/A</v>
          </cell>
          <cell r="S4" t="e">
            <v>#N/A</v>
          </cell>
          <cell r="T4" t="str">
            <v xml:space="preserve">Sunflower + B Daisy + P Oriental + W Oriental 3 + 4 + 2 + 1 Walkin Tissue Wrap    </v>
          </cell>
        </row>
        <row r="5">
          <cell r="A5" t="str">
            <v>B56332</v>
          </cell>
          <cell r="B5" t="str">
            <v>Jamie Miller</v>
          </cell>
          <cell r="C5">
            <v>7428737502</v>
          </cell>
          <cell r="D5" t="str">
            <v>D-072, The DLF Crest</v>
          </cell>
          <cell r="E5" t="str">
            <v>Golf Course Road</v>
          </cell>
          <cell r="F5" t="str">
            <v>Thursday</v>
          </cell>
          <cell r="G5" t="str">
            <v>9:30 Am to 2 PM</v>
          </cell>
          <cell r="H5">
            <v>1300</v>
          </cell>
          <cell r="I5">
            <v>1300</v>
          </cell>
          <cell r="J5" t="str">
            <v>Bouquet</v>
          </cell>
          <cell r="K5" t="str">
            <v>20 Red Rose in Full Tissue Wrap</v>
          </cell>
          <cell r="N5" t="str">
            <v>1  del of this cycle   -  0-cycles pmnt   Completed - Collect 0</v>
          </cell>
          <cell r="O5" t="e">
            <v>#N/A</v>
          </cell>
          <cell r="P5" t="e">
            <v>#N/A</v>
          </cell>
          <cell r="Q5" t="e">
            <v>#N/A</v>
          </cell>
          <cell r="R5" t="e">
            <v>#N/A</v>
          </cell>
          <cell r="S5" t="e">
            <v>#N/A</v>
          </cell>
          <cell r="T5" t="str">
            <v xml:space="preserve">Red Rose  20 Full Tissue Wrap    </v>
          </cell>
        </row>
        <row r="6">
          <cell r="A6" t="str">
            <v>B56333</v>
          </cell>
          <cell r="B6" t="str">
            <v>Jamie Miller</v>
          </cell>
          <cell r="C6">
            <v>7428737502</v>
          </cell>
          <cell r="D6" t="str">
            <v>D-072, The DLF Crest</v>
          </cell>
          <cell r="E6" t="str">
            <v>Golf Course Road</v>
          </cell>
          <cell r="F6" t="str">
            <v>Thursday</v>
          </cell>
          <cell r="G6" t="str">
            <v>9:30 Am to 2 PM</v>
          </cell>
          <cell r="H6">
            <v>1300</v>
          </cell>
          <cell r="I6">
            <v>1300</v>
          </cell>
          <cell r="J6" t="str">
            <v>Bouquet</v>
          </cell>
          <cell r="K6" t="str">
            <v>15 Shd P Rose in Full Tissue Wrap</v>
          </cell>
          <cell r="N6" t="str">
            <v>1  del of this cycle   -  0-cycles pmnt   Completed - Collect 0</v>
          </cell>
          <cell r="O6" t="e">
            <v>#N/A</v>
          </cell>
          <cell r="P6" t="e">
            <v>#N/A</v>
          </cell>
          <cell r="Q6" t="e">
            <v>#N/A</v>
          </cell>
          <cell r="R6" t="e">
            <v>#N/A</v>
          </cell>
          <cell r="S6" t="e">
            <v>#N/A</v>
          </cell>
          <cell r="T6" t="str">
            <v xml:space="preserve">Shd P Rose -- Lotus Open 15 Full Tissue Wrap    </v>
          </cell>
        </row>
        <row r="7">
          <cell r="A7" t="str">
            <v>CP00001</v>
          </cell>
          <cell r="B7" t="str">
            <v>Nidhi Sharma Malhotra -- BPTP -- Centra 1</v>
          </cell>
          <cell r="C7">
            <v>9999016333</v>
          </cell>
          <cell r="D7" t="str">
            <v>BPTP, Sec 61</v>
          </cell>
          <cell r="E7" t="str">
            <v>Ghata</v>
          </cell>
          <cell r="F7" t="str">
            <v>Thursday</v>
          </cell>
          <cell r="G7" t="str">
            <v>By 5 PM</v>
          </cell>
          <cell r="H7">
            <v>24600</v>
          </cell>
          <cell r="I7">
            <v>24600</v>
          </cell>
          <cell r="J7" t="str">
            <v>Corporate</v>
          </cell>
          <cell r="T7" t="str">
            <v xml:space="preserve">G n W Car + G n W Spray Daisy + W Asiatic + W Oriental + Baloon Flower  240 + 40 + 10 + 10 B Hydrangea + Lotus Pod + G n W Anthurium + G Eustoma 5 + 10 + 15 + 20    </v>
          </cell>
        </row>
        <row r="8">
          <cell r="A8" t="str">
            <v>CP00004</v>
          </cell>
          <cell r="B8" t="str">
            <v>Arun Chaowdhary -- BPTP -- Pride</v>
          </cell>
          <cell r="C8">
            <v>8885500095</v>
          </cell>
          <cell r="D8" t="str">
            <v>BPTP Pride, Faridabad</v>
          </cell>
          <cell r="E8" t="str">
            <v>Faridabad</v>
          </cell>
          <cell r="F8" t="str">
            <v>Thursday</v>
          </cell>
          <cell r="G8" t="str">
            <v>By 9:30 AM</v>
          </cell>
          <cell r="H8">
            <v>32000</v>
          </cell>
          <cell r="I8">
            <v>32000</v>
          </cell>
          <cell r="J8" t="str">
            <v>Corporate</v>
          </cell>
          <cell r="T8" t="str">
            <v>Presereved B Hydraange + G Hydrangea + Pink Phalaenopsis Orchid +  Baloon Flower + W eustoma + Lotus Pod + W Rose +  Peach Rose + W Tulip + G Anthurium 4 + 15 + 3 + 30+ 40 + 20 + 40 + 20 + 10 + 5 Ping Pong + arocaria Grass + Hanging Green Amaranthus + baby Dollar 3 Bunch + 3 Bunch + 2 Bunch + 3 Bunch W Oriental + G n W Car + G Button Daisy + g n W Orchid  10 + 60 + 30 + 10 + 15 3 Arrangement</v>
          </cell>
        </row>
        <row r="9">
          <cell r="A9" t="str">
            <v>G-00061</v>
          </cell>
          <cell r="B9" t="str">
            <v>Dolly Mohan</v>
          </cell>
          <cell r="C9">
            <v>9210333222</v>
          </cell>
          <cell r="D9" t="str">
            <v>A-001, Shiv Shankar CGHS Appartmenet, Sec 51</v>
          </cell>
          <cell r="E9" t="str">
            <v>Artemis</v>
          </cell>
          <cell r="F9" t="str">
            <v>Thursday</v>
          </cell>
          <cell r="G9" t="str">
            <v>9 AM to 2 PM</v>
          </cell>
          <cell r="H9">
            <v>1450</v>
          </cell>
          <cell r="I9">
            <v>362.5</v>
          </cell>
          <cell r="J9" t="str">
            <v>Bliss</v>
          </cell>
          <cell r="K9" t="str">
            <v>From Deepa Handa</v>
          </cell>
          <cell r="N9" t="str">
            <v>3  del of this cycle   -  0-cycles pmnt   Completed - Collect 0</v>
          </cell>
          <cell r="O9" t="e">
            <v>#N/A</v>
          </cell>
          <cell r="P9" t="e">
            <v>#N/A</v>
          </cell>
          <cell r="Q9" t="e">
            <v>#N/A</v>
          </cell>
          <cell r="R9" t="str">
            <v>Pur n P Car ( 14 inch ) 16     FF Sachet + Grass</v>
          </cell>
          <cell r="S9" t="str">
            <v>P Asiatic ( 14 Inch ) 3     Grass</v>
          </cell>
          <cell r="T9" t="str">
            <v>Rajni ( 14 Inch ) 16     Grass</v>
          </cell>
        </row>
        <row r="10">
          <cell r="A10">
            <v>2761</v>
          </cell>
          <cell r="B10" t="str">
            <v>Gyan</v>
          </cell>
          <cell r="C10">
            <v>9560719191</v>
          </cell>
          <cell r="D10" t="str">
            <v>J7, 2nd Floor, Signature Global City, Sec 37 D</v>
          </cell>
          <cell r="E10" t="str">
            <v>Dwarka Expressway</v>
          </cell>
          <cell r="F10" t="str">
            <v>Thursday</v>
          </cell>
          <cell r="G10" t="str">
            <v>4 PM to 7 PM</v>
          </cell>
          <cell r="H10">
            <v>1450</v>
          </cell>
          <cell r="I10">
            <v>362.5</v>
          </cell>
          <cell r="J10" t="str">
            <v>Bliss</v>
          </cell>
          <cell r="K10" t="str">
            <v>Upgraded as per scheme to Bliss for 5 Deliveries (22/08) No delivered today-send tom (02/10) Skip 1 week (26/11) Skip 2 week (28/01) Skip 2 week (10/03) No Sunflower ( 17/06)</v>
          </cell>
          <cell r="L10" t="str">
            <v>Sunflower</v>
          </cell>
          <cell r="N10" t="str">
            <v>3  del of this cycle   -  0-cycles pmnt   Completed - Collect 0</v>
          </cell>
          <cell r="O10" t="str">
            <v>W Asiatic ( 14 Inch ) 2 R n W Car ( 14 Inch ) 7   Grass</v>
          </cell>
          <cell r="P10" t="str">
            <v>Y Spray Daisy ( 15 Inch ) 3 Mix Alstroemeria ( 12 Inch ) 7   FF Sachet + Grass</v>
          </cell>
          <cell r="Q10" t="str">
            <v>Sunflower ( 12 Inch ) 2 P n W Glad ( 14 Inch ) 7   FF Sachet + Grass</v>
          </cell>
          <cell r="R10" t="str">
            <v>P Asiatic ( 14 Inch ) 2 Pur n P Car ( 14 Inch ) 7   Grass</v>
          </cell>
          <cell r="S10" t="str">
            <v>Pur Eustoma ( 12 Inch ) 2 Rajni ( 14 Inch ) 7   FF Sachet + Grass</v>
          </cell>
          <cell r="T10" t="str">
            <v>Spray Daisy 3 B Daisy ( 12 Inch ) 7   FF Sachet + Grass</v>
          </cell>
        </row>
        <row r="11">
          <cell r="A11">
            <v>2024</v>
          </cell>
          <cell r="B11" t="str">
            <v>Priyanka Katyal</v>
          </cell>
          <cell r="C11">
            <v>9958565556</v>
          </cell>
          <cell r="D11" t="str">
            <v>1487, Saraswati Kunj, Sector 53</v>
          </cell>
          <cell r="E11" t="str">
            <v>DLF Phase 5</v>
          </cell>
          <cell r="F11" t="str">
            <v>Thursday</v>
          </cell>
          <cell r="G11" t="str">
            <v>9 AM - 12 PM</v>
          </cell>
          <cell r="H11">
            <v>1950</v>
          </cell>
          <cell r="I11">
            <v>487.5</v>
          </cell>
          <cell r="J11" t="str">
            <v>Joy</v>
          </cell>
          <cell r="K11" t="str">
            <v>Sunday n Thursday//NO Oriental and Guldawari (29/12) Paytm From Sanjay Katyal (28/03) Hold till 8th June-- she will confirm the package (24/05)' Shift to felicity// Today hold --send tom (09/07) Lilies Tom (08/11) Paytm From Ace Promoters and Developers Pvt. Ltd (26/01) Send Replacement tom (17/02) Skip 1 week (10/07) Couldn't deliver due to water logging-send on sunday (29/08) Paytm from Sanjay Katyal (20/10) Skip 2 week (21/05) Hold till 13th Aiug (26/07) Premium Flwer extra Next (09/01)</v>
          </cell>
          <cell r="L11" t="str">
            <v>ORIENTAL n GULDAWARI</v>
          </cell>
          <cell r="M11" t="str">
            <v>Premium Flwer extra Next (09/01)</v>
          </cell>
          <cell r="N11" t="str">
            <v>3  del of this cycle   -  0-cycles pmnt   Completed - Collect 0</v>
          </cell>
          <cell r="O11" t="str">
            <v>R n W Car ( 14 Inch ) 22     FF Sachet + Grass</v>
          </cell>
          <cell r="P11" t="str">
            <v>Sunflower ( 12 Inch ) 5     FF Sachet + Grass</v>
          </cell>
          <cell r="Q11" t="str">
            <v>P n W Glad ( 14 Inch ) 22     Grass</v>
          </cell>
          <cell r="R11" t="str">
            <v>P n W Spray Daisy ( 14 Inch ) 7     FF Sachet + Grass</v>
          </cell>
          <cell r="S11" t="str">
            <v>O Asiatic ( 14 Inch ) 4     Grass</v>
          </cell>
          <cell r="T11" t="str">
            <v>P n W Car ( 14 Inch ) 22     FF Sachet + Grass</v>
          </cell>
        </row>
        <row r="12">
          <cell r="A12">
            <v>244</v>
          </cell>
          <cell r="B12" t="str">
            <v>Garima jain</v>
          </cell>
          <cell r="C12">
            <v>9958581403</v>
          </cell>
          <cell r="D12" t="str">
            <v xml:space="preserve"> G-901, Central Park 1, Golf Course Road    Sec 42 Gurgaon  122002</v>
          </cell>
          <cell r="E12" t="str">
            <v>Golf Course Road</v>
          </cell>
          <cell r="F12" t="str">
            <v>Thursday</v>
          </cell>
          <cell r="G12" t="str">
            <v>9 AM - 12 PM</v>
          </cell>
          <cell r="H12">
            <v>1450</v>
          </cell>
          <cell r="I12">
            <v>1450</v>
          </cell>
          <cell r="J12" t="str">
            <v>Bliss</v>
          </cell>
          <cell r="K12" t="str">
            <v>Sat to Thurs//Flowers other than Car pl (21/07)Send on Sunday instead of sat this week(19/10) Upgrade to 650 Plan(03/05) Add changed(13/07) NO CAR(07/09) Send a replacement (06/10) NO CAR(13/12) 200 Paytm Done(14/12) paytm of 200 from Anuj sarin(14/12) Sending 30th Del on 29th May(28/05/2020) ONLY LILIES(23/08/20) Day Changed to Saturday(14/10) Skip this week an semd next week(13/03) Hold n start from 29th Jan(25/12 ) Received 200 today via Gpay(26/12) Diff Flowesr every week(08/04)  Sent replacement today(22/04) Skip 1 week(17/06) Today Returned (13/06) Do not Count last Del (17/08) Skip 1 week (22/12) Skip 2 week (23/05) Send on sunday this week (01/10) Return-not at home (23/10) One Payment of 1000 received on 05th Feb (06/03) Returned (04/06)</v>
          </cell>
          <cell r="N12" t="str">
            <v>2  del of this cycle   -  0-cycles pmnt   Completed - Collect 0</v>
          </cell>
          <cell r="O12" t="str">
            <v>P n W Glad ( 14 Inch ) 9     Grass</v>
          </cell>
          <cell r="P12" t="str">
            <v>P Asiatic ( 14 Inch ) 2 Pls Insure Collection    Grass</v>
          </cell>
          <cell r="Q12" t="str">
            <v>Mix Alstroemeria ( 12 Inch ) 9 Pls Collect Cash     Grass</v>
          </cell>
          <cell r="R12" t="str">
            <v>Pur n P Car ( 14 inch ) 9     Grass</v>
          </cell>
          <cell r="S12" t="str">
            <v>Pur Eustoma ( 12 Inch ) 3     FF Sachet + Grass</v>
          </cell>
          <cell r="T12" t="str">
            <v>Rajni ( 14 Inch ) 16     Grass</v>
          </cell>
        </row>
        <row r="13">
          <cell r="A13" t="str">
            <v>G-00036</v>
          </cell>
          <cell r="B13" t="str">
            <v>Aanchal Boora</v>
          </cell>
          <cell r="C13">
            <v>9654700022</v>
          </cell>
          <cell r="D13" t="str">
            <v>Flat - 1171, Ats Triumph, Wing B, Tower 1, 17th Floor, Sec 104</v>
          </cell>
          <cell r="E13" t="str">
            <v>Dwarka Expressway</v>
          </cell>
          <cell r="F13" t="str">
            <v>Thursday</v>
          </cell>
          <cell r="G13" t="str">
            <v>4 Pm to 7 PM</v>
          </cell>
          <cell r="H13">
            <v>1450</v>
          </cell>
          <cell r="I13">
            <v>362.5</v>
          </cell>
          <cell r="J13" t="str">
            <v>Bliss</v>
          </cell>
          <cell r="K13" t="str">
            <v>From Avni Ahuja // Skip tom (10/12) Paytm From Nitin Kunka // No Orchids (27/01) Skip 1 week (27/02) No Sunflowers (02/05)</v>
          </cell>
          <cell r="L13" t="str">
            <v xml:space="preserve">Orchid n Sunflowers </v>
          </cell>
          <cell r="M13" t="str">
            <v>One Kind</v>
          </cell>
          <cell r="N13" t="str">
            <v>2  del of this cycle   -  1-cycles pmnt   Pending - Collect 1450</v>
          </cell>
          <cell r="O13" t="e">
            <v>#N/A</v>
          </cell>
          <cell r="P13" t="e">
            <v>#N/A</v>
          </cell>
          <cell r="Q13" t="e">
            <v>#N/A</v>
          </cell>
          <cell r="R13" t="e">
            <v>#N/A</v>
          </cell>
          <cell r="S13" t="e">
            <v>#N/A</v>
          </cell>
          <cell r="T13" t="str">
            <v>P Asiatic ( 14 Inch ) 3    Collect Payment Grass</v>
          </cell>
        </row>
        <row r="14">
          <cell r="A14">
            <v>3396</v>
          </cell>
          <cell r="B14" t="str">
            <v>Shivani Gogia</v>
          </cell>
          <cell r="C14">
            <v>7838568324</v>
          </cell>
          <cell r="D14" t="str">
            <v>A-105, 1st Floor, Siushant Lok 3, Sec 57</v>
          </cell>
          <cell r="E14" t="str">
            <v>Sector 56</v>
          </cell>
          <cell r="F14" t="str">
            <v>Thursday</v>
          </cell>
          <cell r="G14" t="str">
            <v>9:30 Am to 2 PM</v>
          </cell>
          <cell r="H14">
            <v>1450</v>
          </cell>
          <cell r="I14">
            <v>362.5</v>
          </cell>
          <cell r="J14" t="str">
            <v>Customized</v>
          </cell>
          <cell r="K14" t="str">
            <v>14 rajni</v>
          </cell>
          <cell r="N14" t="str">
            <v>1  del of this cycle   -  0-cycles pmnt   Completed - Collect 0</v>
          </cell>
          <cell r="O14" t="e">
            <v>#N/A</v>
          </cell>
          <cell r="P14" t="e">
            <v>#N/A</v>
          </cell>
          <cell r="Q14" t="e">
            <v>#N/A</v>
          </cell>
          <cell r="R14" t="e">
            <v>#N/A</v>
          </cell>
          <cell r="S14" t="e">
            <v>#N/A</v>
          </cell>
          <cell r="T14" t="str">
            <v>Rajni ( 14 Inch ) 14     Grass</v>
          </cell>
        </row>
        <row r="15">
          <cell r="A15">
            <v>1998</v>
          </cell>
          <cell r="B15" t="str">
            <v>Shivani Katyal</v>
          </cell>
          <cell r="C15">
            <v>9811053756</v>
          </cell>
          <cell r="D15" t="str">
            <v>H. No. 1486, Sarsawati Kunj</v>
          </cell>
          <cell r="E15" t="str">
            <v>DLF Phase 5</v>
          </cell>
          <cell r="F15" t="str">
            <v>Thursday</v>
          </cell>
          <cell r="G15" t="str">
            <v>9:30 Am to 2 PM</v>
          </cell>
          <cell r="H15">
            <v>1950</v>
          </cell>
          <cell r="I15">
            <v>487.5</v>
          </cell>
          <cell r="J15" t="str">
            <v>Joy</v>
          </cell>
          <cell r="K15" t="str">
            <v>Rose//Orchid//Asiatic//Anthurium//Heliconia//BOP (28/10) NO Guldawari n Anthurium (09/02) Paytm From Manish K M K (08/09) Paytm from Manish Katyal // Gpay From Palak Katyal (22/03) No Glad Also (18/04) Couldn't deliver due to watrelogging--send on Sunday (29/08) Skip n send on sunday (01/10)</v>
          </cell>
          <cell r="L15" t="str">
            <v>GULDAWARI n ANTHURIUM n GLAD</v>
          </cell>
          <cell r="N15" t="str">
            <v>4  del of this cycle   -  0-cycles pmnt   CompletedNO COLLECTION-we have extra money - Collect -50</v>
          </cell>
          <cell r="O15" t="str">
            <v>O Asiatic ( 14 Inch ) 4     Grass</v>
          </cell>
          <cell r="P15" t="str">
            <v>Sunflower ( 12 Inch ) 5     FF Sachet + Grass</v>
          </cell>
          <cell r="Q15" t="str">
            <v>Pur n P Car ( 14 inch ) 22     FF Sachet + Grass</v>
          </cell>
          <cell r="R15" t="str">
            <v>Mix Alstroemeria ( 12 Inch ) 22     FF Sachet + Grass</v>
          </cell>
          <cell r="S15" t="str">
            <v>P n W Spray Daisy 7     FF Sachet + Grass</v>
          </cell>
          <cell r="T15" t="str">
            <v>P Asiatic ( 14 Inch ) 4     Grass</v>
          </cell>
        </row>
        <row r="16">
          <cell r="A16">
            <v>14</v>
          </cell>
          <cell r="B16" t="str">
            <v>Ms. Neelam Bhalla </v>
          </cell>
          <cell r="C16">
            <v>9810546046</v>
          </cell>
          <cell r="D16" t="str">
            <v>H4, 4th Floor, Olive Residency, Mayfield Garden, Sec 57</v>
          </cell>
          <cell r="E16" t="str">
            <v>Artemis</v>
          </cell>
          <cell r="F16" t="str">
            <v>Thursday</v>
          </cell>
          <cell r="G16" t="str">
            <v>9 AM - 12 PM</v>
          </cell>
          <cell r="H16">
            <v>1950</v>
          </cell>
          <cell r="I16">
            <v>487.5</v>
          </cell>
          <cell r="J16" t="str">
            <v>Joy</v>
          </cell>
          <cell r="K16" t="str">
            <v>No Glad (19/05) Pls send Daisy in next del with Asiatic(11/12)  Orchids Next(26/06) Send Gerbera Next with Flower Food902/07)  Orchids next(21/11)  Oriental next(20/03) Y Spray Daisy tom(25/03) Only 1 kind of flowers now(20/05) S NO GLAD n BOP (30/12) Today returned-send tom (21/01) Skip 2 weeks (27/01) Send 1 Flower Food next (13/06) Skip 1 week (06/07) Skip 1 week (20/08) Aster in Del (19/10) Hold today -send tom (03/11) Skip 1 week (01/02) Skip 1 week (29/02) Hold till 1st July (15/06) Skip 1 week (24/07) Skip 29th (26/11) Skip tom (23/01) Skip tom (27/02) Skip 1 week (11/03) Skip 1 week (17/06) Skip 1 week (20/01) Skip 1 week (04/02) Skip thursday (24/02) Skip 1 week (16/06)</v>
          </cell>
          <cell r="L16" t="str">
            <v>GLAD n BOP n GERBERA</v>
          </cell>
          <cell r="N16" t="str">
            <v>3  del of this cycle   -  0-cycles pmnt   Completed - Collect 0</v>
          </cell>
          <cell r="O16" t="str">
            <v>O Asiatic ( 14 Inch ) 4     Grass</v>
          </cell>
          <cell r="P16" t="str">
            <v>P n W Car ( 14 Inch ) 22     FF Sachet + Grass</v>
          </cell>
          <cell r="Q16" t="str">
            <v>Pur n P Eustoma ( 12 Inch ) 4     FF Sachet + Grass</v>
          </cell>
          <cell r="R16" t="e">
            <v>#N/A</v>
          </cell>
          <cell r="S16" t="str">
            <v>Pur n P Eustoma ( 12 Inch ) 4     FF Sachet + Grass</v>
          </cell>
          <cell r="T16" t="str">
            <v>Sunflower ( 12 Inch ) 5     FF Sachet + Grass</v>
          </cell>
        </row>
        <row r="17">
          <cell r="A17">
            <v>2631</v>
          </cell>
          <cell r="B17" t="str">
            <v>Ruchee</v>
          </cell>
          <cell r="C17">
            <v>9811026182</v>
          </cell>
          <cell r="D17" t="str">
            <v>A-2/1603, Puri Emerald Bay, Sector 104</v>
          </cell>
          <cell r="E17" t="str">
            <v>Dwarka Expressway</v>
          </cell>
          <cell r="F17" t="str">
            <v>Thursday</v>
          </cell>
          <cell r="G17" t="str">
            <v>4 Pm to 7 PM</v>
          </cell>
          <cell r="H17">
            <v>999</v>
          </cell>
          <cell r="I17">
            <v>249.75</v>
          </cell>
          <cell r="J17" t="str">
            <v>Delight</v>
          </cell>
          <cell r="K17" t="str">
            <v>No White Colr (29/05) FF Next (06/06) From Ruchika Aneja (21/08) Skip 1 week (24/08) Deliver at T-2 Reception (31/01) No sunflower (17/05)</v>
          </cell>
          <cell r="L17" t="str">
            <v>Sunflower</v>
          </cell>
          <cell r="M17" t="str">
            <v>No White Color (29/05) FF Next (06/06)</v>
          </cell>
          <cell r="N17" t="str">
            <v>1  del of this cycle   -  1-cycles pmnt   Pending - Collect 999</v>
          </cell>
          <cell r="O17" t="str">
            <v>O Asiatic ( 14 Inch ) 2     Grass</v>
          </cell>
          <cell r="P17" t="str">
            <v>Mix Alstroemeria ( 12 Inch ) 9 No white Color    FF Sachet + Grass</v>
          </cell>
          <cell r="Q17" t="str">
            <v>P Glad 9 No White    Gras</v>
          </cell>
          <cell r="R17" t="str">
            <v>Y Spray Daisy ( 14 Inch ) 3     FF Sachet + Grass</v>
          </cell>
          <cell r="S17" t="str">
            <v>B Daisy ( 12 Inch ) 9     Grass</v>
          </cell>
          <cell r="T17" t="str">
            <v>Pur n P Car ( 14 Inch ) 9     FF Sachet + Grass</v>
          </cell>
        </row>
        <row r="18">
          <cell r="A18">
            <v>2200</v>
          </cell>
          <cell r="B18" t="str">
            <v>Naina Gandhi</v>
          </cell>
          <cell r="C18">
            <v>9811188863</v>
          </cell>
          <cell r="D18" t="str">
            <v>K2/105, Central Park -1</v>
          </cell>
          <cell r="E18" t="str">
            <v>Golf Course Road</v>
          </cell>
          <cell r="F18" t="str">
            <v>Thursday</v>
          </cell>
          <cell r="G18" t="str">
            <v>9 AM - 12 PM</v>
          </cell>
          <cell r="H18">
            <v>2300</v>
          </cell>
          <cell r="I18">
            <v>287.5</v>
          </cell>
          <cell r="J18" t="str">
            <v>Felicity</v>
          </cell>
          <cell r="K18" t="str">
            <v>Thursday n Sunday//Send Replacement tom (17/01) No Spray Daisy (19/02) Skip 4th Del (07/05) Do not count last del (29/08) No Flowers Tom (28/09) Skip this Thursday (01/10) Hold till 10th Nov (25/10) Hold this Sunday (13/12) Skip 1 week (01/02) Skip 1 week (16/02) Hold and start from May(28/03) Hold n start from 1st June (22/05) Skip 2 week (22/06) Skip tom (26/07) Skip 1 week (04/10) Hold tom (25/10) Skip 2 week (31/10) Skip 1 week 1 week (22/11) Skip this thursday (10/12) Skip 2 week (20/12) Skip sunday (07/01) Hold from 23rd May to 14th JUne (19/05) Skip 1 week and send on Monday (23/06)</v>
          </cell>
          <cell r="L18" t="str">
            <v>SPRAY DAISY</v>
          </cell>
          <cell r="M18" t="str">
            <v>Check for Bi weekly package</v>
          </cell>
          <cell r="N18" t="str">
            <v>1  del of this cycle   -  1-cycles pmnt   Pending - Collect 2300</v>
          </cell>
          <cell r="O18" t="e">
            <v>#N/A</v>
          </cell>
          <cell r="P18" t="e">
            <v>#N/A</v>
          </cell>
          <cell r="Q18" t="e">
            <v>#N/A</v>
          </cell>
          <cell r="R18" t="str">
            <v>P n W Glad ( 14 Inch ) 11     Grass</v>
          </cell>
          <cell r="S18" t="e">
            <v>#N/A</v>
          </cell>
          <cell r="T18" t="str">
            <v>Pur n P Car ( 14 Inch ) 11     FF Sachet + Grass</v>
          </cell>
        </row>
        <row r="19">
          <cell r="A19">
            <v>2665</v>
          </cell>
          <cell r="B19" t="str">
            <v>Shaivya Rai</v>
          </cell>
          <cell r="C19">
            <v>9532096763</v>
          </cell>
          <cell r="D19" t="str">
            <v>4221, ATS Kocoon, Sec 109</v>
          </cell>
          <cell r="E19" t="str">
            <v>Dwarka Expressway</v>
          </cell>
          <cell r="F19" t="str">
            <v>Thursday</v>
          </cell>
          <cell r="G19" t="str">
            <v>4 Pm to 7 PM</v>
          </cell>
          <cell r="H19">
            <v>999</v>
          </cell>
          <cell r="I19">
            <v>249.75</v>
          </cell>
          <cell r="J19" t="str">
            <v>Collection Only</v>
          </cell>
          <cell r="K19" t="str">
            <v>Received on 25th Aug (25/07) HDTNP (11/06) HDTNP (18/06) HDTNP (25/06)</v>
          </cell>
          <cell r="N19" t="str">
            <v>2  del of this cycle   -  1-cycles pmnt   Pending - Collect 999</v>
          </cell>
          <cell r="O19" t="str">
            <v>Asiatic 2     Grass</v>
          </cell>
          <cell r="P19" t="str">
            <v>P n W Glad ( 14 Inch ) 9     Grass</v>
          </cell>
          <cell r="Q19" t="e">
            <v>#N/A</v>
          </cell>
          <cell r="R19" t="e">
            <v>#N/A</v>
          </cell>
          <cell r="S19" t="e">
            <v>#N/A</v>
          </cell>
          <cell r="T19" t="str">
            <v xml:space="preserve">Collect 250 n Close      </v>
          </cell>
        </row>
        <row r="20">
          <cell r="A20">
            <v>326</v>
          </cell>
          <cell r="B20" t="str">
            <v>Radhika Surana-- Before 10</v>
          </cell>
          <cell r="C20">
            <v>9871132800</v>
          </cell>
          <cell r="D20" t="str">
            <v>1204, The Magnolias</v>
          </cell>
          <cell r="E20" t="str">
            <v>Golf Course Road</v>
          </cell>
          <cell r="F20" t="str">
            <v>Thursday</v>
          </cell>
          <cell r="G20" t="str">
            <v>9 AM - 12 PM</v>
          </cell>
          <cell r="H20">
            <v>2750</v>
          </cell>
          <cell r="I20">
            <v>687.5</v>
          </cell>
          <cell r="J20" t="str">
            <v>Elation</v>
          </cell>
          <cell r="K20" t="str">
            <v>NO ORCHIDS, Prefer Lilies,Rajni and Gerbera(04/10) 1 week(22/04) Paytm from Anurag Surana(06/06) Paytm from Anurag Surana(02/07)  NO Orchid n BOP (25/01)  Skip 1 week (28/06) Hold 3rd aug and send on 7th Aug (03/08) Today returned (07/08) Skip this thursday and send on Monday (15/08) After 2nd Oct now (27/09) Skip 1 week (21/10) Hold n send after 8th Jan (13/12) Skip 1 week (30/01) Skip tom n sned on 19th (13/03) Skip 23rd and 30th (16/05) Skip 2 weeks and send mext del on 22nd June (12/06) Skip this week n start from tuesday (24/07) Skip 1 week (20/08) Skip 1 week (03/09) Skip 7th n 14th (06/11) Skip 5th Dec Del (02/12) skip 2 week (21/12) Today Returned (23/01) Skip 1 week and send on sunday (22/02) Skip tom and send on monday (05/03) Skip 1 week (19/03) Skip 2 weeks (05/04) Skip 2 weeks (31/05) Skip 1 week (19/08)  No Del on 18th, 25th and 2nd Oct (14/09) Returned today (09/10) Send this week on sunday and then thursday (05/11) Hold today n next weeks (27/11) Skip 1 week (25/12) Skip 1 week (30/03) Skip 4th n 11th June (28/05)</v>
          </cell>
          <cell r="L20" t="str">
            <v>BOP n ORCHID</v>
          </cell>
          <cell r="N20" t="str">
            <v>1  del of this cycle   -  1-cycles pmnt   Pending - Collect 2750</v>
          </cell>
          <cell r="O20" t="str">
            <v>O Asiatic ( 14 Inch ) 6     2 Limonium</v>
          </cell>
          <cell r="P20" t="e">
            <v>#N/A</v>
          </cell>
          <cell r="Q20" t="e">
            <v>#N/A</v>
          </cell>
          <cell r="R20" t="str">
            <v>Pur n P Car ( 14 inch ) 32     2 Gypsola + FF Sachet</v>
          </cell>
          <cell r="S20" t="str">
            <v>P n W Glad ( 14 Inch ) 32     2 Limonium</v>
          </cell>
          <cell r="T20" t="str">
            <v>Pur n P Car ( 14 Inch ) 32     2 Gypsola</v>
          </cell>
        </row>
        <row r="21">
          <cell r="A21">
            <v>401</v>
          </cell>
          <cell r="B21" t="str">
            <v>Nameesha Verma -- Before 12PM</v>
          </cell>
          <cell r="C21">
            <v>9899240454</v>
          </cell>
          <cell r="D21" t="str">
            <v>D-4/102, Parsvanath Exotica</v>
          </cell>
          <cell r="E21" t="str">
            <v>DLF Phase 5</v>
          </cell>
          <cell r="F21" t="str">
            <v>Thursday</v>
          </cell>
          <cell r="G21" t="str">
            <v>Before 12 PM</v>
          </cell>
          <cell r="H21">
            <v>1600</v>
          </cell>
          <cell r="I21">
            <v>200</v>
          </cell>
          <cell r="J21" t="str">
            <v>Bloom</v>
          </cell>
          <cell r="K21" t="str">
            <v>Thursday n Sunday//Sat to Thurs//Send a repacement and No Rajni till it has fragrance(24/09)Skip 1 week(12/10)send  a replacement(22/11) Returne-send next week(13/12) Star 650 Pack(15/10) 17th Oct Del returned-pls update(07/11) Send Tom instead of sat this week(12/08) Sent a replacement today(01/09) Skip 1 week(12/11) Send on Monday this week(24/11) Skip this sunday (03/12) Sent replacement today (18/03) Send replacement tom (31/03) Skip 1 week (25/04) Now Bloom (19/05) Today returned (18/06) Skip 1 week (08/08) Hold n start after 8th Oct )(20/09) Skip next del (18/11) No Del till 2nd Jan (25/12) Skip tom (24/01) Hold till 17th Jube (05/06) Skip this sunday (18/07) Skip 1 week (13/08) Today returnde (16/01) Skip tom (15/02) Today returned as flowers got late (30/03) Hold till 12th Apr (02/04)Today Returned (11/05) Hold till 18th June (02/06) Hold till 18th June (02/06) Today Returned (13/09) Do not count last del (08/11) No Del till next wednesday (09/12) Hold todxay (28/12) Skip 1 week (04/02) 3 Car extra next (20/03) Skip 1 week (09/06)</v>
          </cell>
          <cell r="M21" t="str">
            <v>3 Car extra next (20/03)</v>
          </cell>
          <cell r="N21" t="str">
            <v>2  del of this cycle   -  1-cycles pmnt   Pending - Collect 1600</v>
          </cell>
          <cell r="O21" t="str">
            <v>Rajni ( 14 Inch ) 7     Grass</v>
          </cell>
          <cell r="P21" t="str">
            <v>Mix Alstroemeria ( 12 Inch ) 7     FF Sachet + Grass</v>
          </cell>
          <cell r="Q21" t="e">
            <v>#N/A</v>
          </cell>
          <cell r="R21" t="str">
            <v>P Spray Daisy ( 14 Inch ) 2     FF Sachet + Grass</v>
          </cell>
          <cell r="S21" t="str">
            <v>Sunflower ( 12 Inch) 2     Grass</v>
          </cell>
          <cell r="T21" t="str">
            <v>P n W Car ( 14 Inch ) 7    Collect Payment FF Sachet + Grass</v>
          </cell>
        </row>
        <row r="22">
          <cell r="A22">
            <v>3273</v>
          </cell>
          <cell r="B22" t="str">
            <v>Sharmishtha Jhulka</v>
          </cell>
          <cell r="C22">
            <v>9810010615</v>
          </cell>
          <cell r="D22" t="str">
            <v>817-B, The Camelias</v>
          </cell>
          <cell r="E22" t="str">
            <v>Golf Course Road</v>
          </cell>
          <cell r="F22" t="str">
            <v>Thursday</v>
          </cell>
          <cell r="G22" t="str">
            <v>9 AM to 2 PM</v>
          </cell>
          <cell r="H22">
            <v>5800</v>
          </cell>
          <cell r="I22">
            <v>1450</v>
          </cell>
          <cell r="J22" t="str">
            <v>Customized</v>
          </cell>
          <cell r="K22" t="str">
            <v>send on 19th, 26th Mar, 23rd April and may 26 // Now start from 18th June (15/05) 10 Asiatic Lilies // 20 Spray Daisies // 10 Sunflowers// 10 Eustoma Pack (20/05)</v>
          </cell>
          <cell r="N22" t="str">
            <v>2  del of this cycle   -  0-cycles pmnt   Completed - Collect 0</v>
          </cell>
          <cell r="O22" t="e">
            <v>#N/A</v>
          </cell>
          <cell r="P22" t="str">
            <v xml:space="preserve">Pur n P Eustoma ( 12 Inch ) 10     </v>
          </cell>
          <cell r="Q22" t="e">
            <v>#N/A</v>
          </cell>
          <cell r="R22" t="str">
            <v xml:space="preserve">P n Y Spray Daisy ( 14 Inch ) 20     </v>
          </cell>
          <cell r="S22" t="str">
            <v>O n W Asiatic ( 14 Inch ) 10     3 Areca Palm + 2 Limonium</v>
          </cell>
          <cell r="T22" t="str">
            <v>Sunflower ( 12 Inch ) 10     2 Gypsola</v>
          </cell>
        </row>
        <row r="23">
          <cell r="A23">
            <v>2037</v>
          </cell>
          <cell r="B23" t="str">
            <v>Sharwan Chopra</v>
          </cell>
          <cell r="C23">
            <v>9971066995</v>
          </cell>
          <cell r="D23" t="str">
            <v>A-223, The Belaire</v>
          </cell>
          <cell r="E23" t="str">
            <v>Golf Course Road</v>
          </cell>
          <cell r="F23" t="str">
            <v>Thursday</v>
          </cell>
          <cell r="G23" t="str">
            <v>10 AM to 2:30 PM</v>
          </cell>
          <cell r="H23">
            <v>1950</v>
          </cell>
          <cell r="I23">
            <v>487.5</v>
          </cell>
          <cell r="J23" t="str">
            <v>Joy</v>
          </cell>
          <cell r="K23" t="str">
            <v>NO Car (15/02) Skip 3 Weeks (12/06) Skip 1 week (28/12) Hold all deliveries till 1st July (12/06) Skip 25th Dec (23/12) Hold due to non payment (29/01) Returned today (04/06) Skip 1 week (16/06)</v>
          </cell>
          <cell r="L23" t="str">
            <v>CAR</v>
          </cell>
          <cell r="N23" t="str">
            <v>1  del of this cycle   -  1-cycles pmnt   Pending - Collect 1950</v>
          </cell>
          <cell r="O23" t="str">
            <v>P n W Spray Daisy ( 15 Inch ) 7     FF Sachet + Grass</v>
          </cell>
          <cell r="P23" t="str">
            <v>Y Asiatic ( 14 Inch ) 4     Grass</v>
          </cell>
          <cell r="Q23" t="str">
            <v>P n W Glad ( 14 Inch ) 22     Grass</v>
          </cell>
          <cell r="R23" t="e">
            <v>#N/A</v>
          </cell>
          <cell r="S23" t="str">
            <v>Pur n P Eustoma ( 12 Inch ) 4     FF Sachet + Grass</v>
          </cell>
          <cell r="T23" t="str">
            <v>Rajni ( 14 Inch ) 22     Grass</v>
          </cell>
        </row>
        <row r="24">
          <cell r="A24">
            <v>1181</v>
          </cell>
          <cell r="B24" t="str">
            <v>Parul Sharma --Elation</v>
          </cell>
          <cell r="C24">
            <v>8800895944</v>
          </cell>
          <cell r="D24" t="str">
            <v>Villa-27, The Legend</v>
          </cell>
          <cell r="E24" t="str">
            <v>Artemis</v>
          </cell>
          <cell r="F24" t="str">
            <v>Thursday</v>
          </cell>
          <cell r="G24" t="str">
            <v>9 AM to 2 PM</v>
          </cell>
          <cell r="H24">
            <v>1950</v>
          </cell>
          <cell r="I24">
            <v>487.5</v>
          </cell>
          <cell r="J24" t="str">
            <v>Joy</v>
          </cell>
          <cell r="K24" t="str">
            <v>Tuesday and Thursday//Change day to Thursday(21/12) Car Next(18/01) NO ORCHIDS(20/01) Car Next(02/02) Sending on 20th instaed of 21st,bcoz of Holi(18/03) Today FF Sent(11/04) Paytm from ritu Kaur(12/04) Send replacement(12/04) Send Special Pack(08/05) Received payment of special pack(10/05) Hold n start from 2nd week of july(04/060 Inform Before sending(01/07) Start from next week(10/07) Sending on 14th instrad of 15th Aug(13/08) Today Hold-send tom(26/09) Send double del tom(23/10) R car Tom(15/01) Send Replacement tom(27/02) Hold n start from 3rd week of April(18/03) NO Rose n NO Orchids----Send R Car Next(21/12) Rajnigandha Next(12/01) Replace ment next and send Flower food(10/04) Recvd 250 from Gpay(15/07) Return-not at home(14/09) Shift to Elation(18/10) Skip 1 week(27/06) Hold n start from July (12/06) Hold due to non Payment (15/01) Paytm From Vinay Deopujari (26/02)</v>
          </cell>
          <cell r="M24" t="str">
            <v>Before 11:30 AM</v>
          </cell>
          <cell r="N24" t="str">
            <v>4  del of this cycle   -  0-cycles pmnt   Completed - Collect 0</v>
          </cell>
          <cell r="O24" t="str">
            <v>W Asiatic ( 14 Inch ) 4     Grass</v>
          </cell>
          <cell r="P24" t="str">
            <v>P n W Glad ( 14 Inch ) 22     Grass</v>
          </cell>
          <cell r="Q24" t="str">
            <v>Pur n P Eustoma ( 12 Inch ) 4     FF Sachet + Grass</v>
          </cell>
          <cell r="R24" t="str">
            <v>P n Y Spray Daisy ( 14 Inch ) 7     FF Sachet + Grass</v>
          </cell>
          <cell r="S24" t="str">
            <v>P n W Car ( 14 inch ) 22     FF Sachet + Grass</v>
          </cell>
          <cell r="T24" t="str">
            <v>Sunflower ( 12 Inch ) 5     FF Sachet + Grass</v>
          </cell>
        </row>
        <row r="25">
          <cell r="A25">
            <v>894</v>
          </cell>
          <cell r="B25" t="str">
            <v>Dr. Roma Kumar</v>
          </cell>
          <cell r="C25" t="str">
            <v>98110 87708</v>
          </cell>
          <cell r="D25" t="str">
            <v>RT-181, Royalton Tower
Inside Princeton Estate
DLF City Phase-V
Gurgaon-122009
Haryana</v>
          </cell>
          <cell r="E25" t="str">
            <v>DLF Phase 5</v>
          </cell>
          <cell r="F25" t="str">
            <v>Thursday</v>
          </cell>
          <cell r="G25" t="str">
            <v>9 AM - 12 PM</v>
          </cell>
          <cell r="H25">
            <v>3000</v>
          </cell>
          <cell r="I25">
            <v>375</v>
          </cell>
          <cell r="J25" t="str">
            <v>Charm</v>
          </cell>
          <cell r="K25" t="str">
            <v>Sun to Thursday//NO Roses(Old) PREFER-- WHITE ROSE/RAJNIGANDHA/CHRYSANTHEMUM(18/11) Skip 1 Week(25/12) Day Changed to Monday till Lovkdown(23/08/20) Send replacement of Lilies(20/10) Day Changed to Sunday-send 1 del today and then every Sunday(30/11) Paytm from Pooja M Tripathi(26/04) Sent replacement today(30/07) Paytm of Gignger lily and eustoma added(06/11) Skip 1 week(06/11)  20 Rajnio sent in Subscription(06/02) Skip today(13/02) Rajni Next(19/02) Rajni next(02/03) Skip 1 week(02/06) Skip Sunday Delivery(13/08) Skip this thursday Delivery (28/02) Skip 1 week (28/02) No Blue Orchid (06/04) Hold today and next Sunday also (12/09) Hold today n one more del (19/09) Skip 1 week (22/02) Skip this thursday (12/03) Send replacement tom (04/05) Skip on sunday (01/06) Skip today (01/06) Skip 1 week (24/11) Hold n start from 29th Jan (18/01)</v>
          </cell>
          <cell r="L25" t="str">
            <v>ORCHID</v>
          </cell>
          <cell r="N25" t="str">
            <v>5  del of this cycle   -  0-cycles pmnt   Completed - Collect 0</v>
          </cell>
          <cell r="O25" t="str">
            <v>P n Y Spray Daisy ( 15 Inch ) 4     FF Sachet + Grass</v>
          </cell>
          <cell r="P25" t="str">
            <v>W Oriental ( 15 Inch ) 2     Grass</v>
          </cell>
          <cell r="Q25" t="str">
            <v>P n W Glad ( 14 Inch ) 15     Grass</v>
          </cell>
          <cell r="R25" t="str">
            <v>P Asiatic ( 14 Inch ) 3     Grass</v>
          </cell>
          <cell r="S25" t="str">
            <v>Rajni ( 14 Inch ) 15     Grass</v>
          </cell>
          <cell r="T25" t="str">
            <v>B Daisy ( 12 Inch ) 15     Grass</v>
          </cell>
        </row>
        <row r="26">
          <cell r="A26">
            <v>888</v>
          </cell>
          <cell r="B26" t="str">
            <v>Ankita Mehta</v>
          </cell>
          <cell r="C26">
            <v>9868169896</v>
          </cell>
          <cell r="D26" t="str">
            <v>1B-71, Wellington Estate</v>
          </cell>
          <cell r="E26" t="str">
            <v>DLF Phase 5</v>
          </cell>
          <cell r="F26" t="str">
            <v>Thursday</v>
          </cell>
          <cell r="G26" t="str">
            <v>9 AM - 12 PM</v>
          </cell>
          <cell r="H26">
            <v>1450</v>
          </cell>
          <cell r="I26">
            <v>362.5</v>
          </cell>
          <cell r="J26" t="str">
            <v>Bliss</v>
          </cell>
          <cell r="K26" t="str">
            <v>Mix of Asiatic n Car(29/07) Send tom instead of Thursday(12/08) GLAD n ORCHID THIS CYCLE(28/08) ONLY LILY n CAR TILL SHE REVOKES n skip this week (04/09) Rajni n Rose Next(28/11) Lilies and Rose in this cycle(11/12)) Mixed Flowers only(30/08) Want Car// Orchid// Lily//Spray Daisy//Glad(19/09)  Flowers only from Car// Orchid// Lily//Spray Daisy//Glad(11/10) This cycle--Glad//BOP//Orchid//Lily(15/10) This cycle-- Glad//BOP//Orchid// Lily(14/11) This cycle-- Rose/Asiatic/BOP/G;ad/Guldawari and Orchid (25/09) No Upgrade-send lilies (19/10) Send nily next and always once in a cycle (15/12) NO SPRAY DAISY n GULDAWARI and sned Asiatic once in 1 cycle (19/01) Skip 1 week (24/01) Skip 1 week (06/03) Skip 1 week (05/ Skip 1 week 916/04)03) Skip 1 week (04/03) Skip 2 week (18/05) Send reaplacement tom (04/07) Sent replacememt todau (26/10) Skip 1 week (13/11) Skip 1 week (24/03) Skip 1 week (16/04) Return today (05/06) Skip 1 week (17/06) Skip 1 week (02/07) Skip 1 week (08/07) Send tom instaed of thursday this week (14/10) Send 1 del of ankita mehra today (21/10) Hold till 14th Jan (18/12) Change to Delight (30/01) Hold today (16/04) Send Replacement Tom (19/06)</v>
          </cell>
          <cell r="L26" t="str">
            <v xml:space="preserve">SPRAY DAISY n GULDAWARI </v>
          </cell>
          <cell r="M26" t="str">
            <v>Change to Deligh next (30/01)</v>
          </cell>
          <cell r="N26" t="str">
            <v>3  del of this cycle   -  0-cycles pmnt   Completed - Collect 0</v>
          </cell>
          <cell r="O26" t="str">
            <v>O Asiatic ( 14 Inch ) 2     Grass</v>
          </cell>
          <cell r="P26" t="str">
            <v>R n W Car ( 14 inch ) 9     FF Sachet + Grass</v>
          </cell>
          <cell r="Q26" t="str">
            <v>Sunflower ( 12 Inch ) 2     Grass</v>
          </cell>
          <cell r="R26" t="str">
            <v>Mix Alstroemeria ( 12 Inch ) 16     FF Sachet + Grass</v>
          </cell>
          <cell r="S26" t="str">
            <v>P n W Glad ( 14 Inch ) 16  Collect Payment Collect Payment Collect Payment Grass</v>
          </cell>
          <cell r="T26" t="str">
            <v>P Asiatic ( 14 Inch ) 3     Grass</v>
          </cell>
        </row>
        <row r="27">
          <cell r="A27">
            <v>2359</v>
          </cell>
          <cell r="B27" t="str">
            <v>Roshni Achpal</v>
          </cell>
          <cell r="C27">
            <v>9711170252</v>
          </cell>
          <cell r="D27" t="str">
            <v>A-102, Belaire</v>
          </cell>
          <cell r="E27" t="str">
            <v>Golf Course Road</v>
          </cell>
          <cell r="F27" t="str">
            <v>Thursday</v>
          </cell>
          <cell r="G27" t="str">
            <v>9 AM - 12 PM</v>
          </cell>
          <cell r="H27">
            <v>999</v>
          </cell>
          <cell r="I27">
            <v>249.75</v>
          </cell>
          <cell r="J27" t="str">
            <v>Delight</v>
          </cell>
          <cell r="K27" t="str">
            <v>Gift From Ankita Mehta  // Shift to Delight(04/12) Gpay from Alok Asrani (04/12) Skip 2 week (19/12) No car (01/05) Skip 2 weeks (19/08) No rajni (08/09) Skip 2 week (18/12) No Button Daisy 912/02) Skip 1 week (14/03) Do not count last del (13/05) Skip 1 week (11/06)</v>
          </cell>
          <cell r="L27" t="str">
            <v>Car n Rajni n Buttn Daisies</v>
          </cell>
          <cell r="N27" t="str">
            <v>3  del of this cycle   -  0-cycles pmnt   Completed - Collect 0</v>
          </cell>
          <cell r="O27" t="str">
            <v>Y Spray Daisy ( 15 Inch ) 3     FF Sachet + Grass</v>
          </cell>
          <cell r="P27" t="str">
            <v>P n W Glad ( 14 Inch ) 9     Grass</v>
          </cell>
          <cell r="Q27" t="str">
            <v>Sunflower ( 12 Inch ) 2     Grass</v>
          </cell>
          <cell r="R27" t="e">
            <v>#N/A</v>
          </cell>
          <cell r="S27" t="str">
            <v>Pur n P Car ( 14 Inch ) 9     FF Sachet + Grass</v>
          </cell>
          <cell r="T27" t="str">
            <v>O Asiatic ( 14 Inch ) 2     Grass</v>
          </cell>
        </row>
        <row r="28">
          <cell r="A28">
            <v>2509</v>
          </cell>
          <cell r="B28" t="str">
            <v>Shrija Majumder</v>
          </cell>
          <cell r="C28">
            <v>8910369663</v>
          </cell>
          <cell r="D28" t="str">
            <v>G-803, BPTP Freedom Park Life</v>
          </cell>
          <cell r="E28" t="str">
            <v>Artemis</v>
          </cell>
          <cell r="F28" t="str">
            <v>Thursday</v>
          </cell>
          <cell r="G28" t="str">
            <v>9:30 Am to 2 PM</v>
          </cell>
          <cell r="H28">
            <v>1450</v>
          </cell>
          <cell r="I28">
            <v>1450</v>
          </cell>
          <cell r="J28" t="str">
            <v>Bliss</v>
          </cell>
          <cell r="K28" t="str">
            <v>Only Seasonals // skip tom (26/04) Skip 1 week (25/06) Hold today (14/08) Send tom after 7 PM (20/08) Skip 1 week (27/08) Skip 1 week (05/03) send replacement tom (28/03)</v>
          </cell>
          <cell r="M28" t="str">
            <v>Seasonlas</v>
          </cell>
          <cell r="N28" t="str">
            <v>2  del of this cycle   -  0-cycles pmnt   Completed - Collect 0</v>
          </cell>
          <cell r="O28" t="str">
            <v>P n W Glad ( 14 Inch ) 9     Grass</v>
          </cell>
          <cell r="P28" t="str">
            <v>Rajni ( 14 Inch ) 9     Grass</v>
          </cell>
          <cell r="Q28" t="str">
            <v>Mix Car ( 14 Inch ) 9     Grass</v>
          </cell>
          <cell r="R28" t="str">
            <v>Mix Alstroemeria ( 12 Inch ) 9     FF Sachet + Grass</v>
          </cell>
          <cell r="S28" t="str">
            <v>P n W Glad ( 14 Inch ) 16     Grass</v>
          </cell>
          <cell r="T28" t="str">
            <v>Rajni ( 14 Inch ) 16     Grass</v>
          </cell>
        </row>
        <row r="29">
          <cell r="A29">
            <v>2294</v>
          </cell>
          <cell r="B29" t="str">
            <v>Sonal Verma</v>
          </cell>
          <cell r="C29">
            <v>9711499808</v>
          </cell>
          <cell r="D29" t="str">
            <v>H. No. 19, 1st Floor, Cedar Crest</v>
          </cell>
          <cell r="E29" t="str">
            <v>Nirvana Country</v>
          </cell>
          <cell r="F29" t="str">
            <v>Thursday</v>
          </cell>
          <cell r="G29" t="str">
            <v>9 AM - 12 PM</v>
          </cell>
          <cell r="H29">
            <v>1450</v>
          </cell>
          <cell r="I29">
            <v>362.5</v>
          </cell>
          <cell r="J29" t="str">
            <v>Collection Only</v>
          </cell>
          <cell r="K29" t="str">
            <v>Skip 1 week (11/03) Skip 1 week (21/05) Pls skip 1 week (18/06) Sent one del today (10/12) Hold due to non payment (29/01) Hold due to non payment (04/02) HDTNP (19/02) HDTNP (26/02) HDTNP (21/05) HDTNP (28/05) HDTNP (04/06) HDTNP (11/06) HDTNP (18/06) HDTNP (25/06)</v>
          </cell>
          <cell r="N29" t="str">
            <v>3  del of this cycle   -  1-cycles pmnt   Pending - Collect 1450</v>
          </cell>
          <cell r="O29" t="e">
            <v>#N/A</v>
          </cell>
          <cell r="P29" t="e">
            <v>#N/A</v>
          </cell>
          <cell r="Q29" t="e">
            <v>#N/A</v>
          </cell>
          <cell r="R29" t="e">
            <v>#N/A</v>
          </cell>
          <cell r="S29" t="e">
            <v>#N/A</v>
          </cell>
          <cell r="T29" t="str">
            <v xml:space="preserve">Collect Rs 725 Carry Reciept Book     </v>
          </cell>
        </row>
        <row r="30">
          <cell r="A30">
            <v>2774</v>
          </cell>
          <cell r="B30" t="str">
            <v>Vandana Thakran</v>
          </cell>
          <cell r="C30">
            <v>9899589964</v>
          </cell>
          <cell r="D30" t="str">
            <v>H. No. 35, Cedar Crest</v>
          </cell>
          <cell r="E30" t="str">
            <v>Nirvana Country</v>
          </cell>
          <cell r="F30" t="str">
            <v>Sunday</v>
          </cell>
          <cell r="G30" t="str">
            <v>9 AM - 12 PM</v>
          </cell>
          <cell r="H30">
            <v>1600</v>
          </cell>
          <cell r="I30">
            <v>200</v>
          </cell>
          <cell r="J30" t="str">
            <v>Bloom</v>
          </cell>
          <cell r="N30" t="str">
            <v>2  del of this cycle   -  0-cycles pmnt   Completed - Collect 0</v>
          </cell>
          <cell r="O30" t="str">
            <v>P n W Car ( 14 inch ) 7     FF Sachet + Grass</v>
          </cell>
          <cell r="P30" t="str">
            <v>P Spray Daisy ( 14 Inch ) 2     FF Sachet + Grass</v>
          </cell>
          <cell r="Q30" t="str">
            <v>Sunflower ( 12 Inch ) 2     FF Sachet + Grass</v>
          </cell>
          <cell r="R30" t="str">
            <v>Pur n P Car ( 14 inch ) 7     FF Sachet + Grass</v>
          </cell>
          <cell r="S30" t="str">
            <v>P n W Glad ( 14 Inch ) 7     Grass</v>
          </cell>
          <cell r="T30" t="str">
            <v>Rajni ( 14 Inch ) 7     Grass</v>
          </cell>
        </row>
        <row r="31">
          <cell r="A31">
            <v>203</v>
          </cell>
          <cell r="B31" t="str">
            <v>Alok divatia -- After 10 AM</v>
          </cell>
          <cell r="C31">
            <v>9819355743</v>
          </cell>
          <cell r="D31" t="str">
            <v>BLC 263, 26th Floor, Tower C, The Belaire</v>
          </cell>
          <cell r="E31" t="str">
            <v>Golf Course Road</v>
          </cell>
          <cell r="F31" t="str">
            <v>Thursday</v>
          </cell>
          <cell r="G31" t="str">
            <v>9 AM - 12 PM</v>
          </cell>
          <cell r="H31">
            <v>8648</v>
          </cell>
          <cell r="I31">
            <v>2162</v>
          </cell>
          <cell r="J31" t="str">
            <v>Customized</v>
          </cell>
          <cell r="K31" t="str">
            <v>Tues to Thurs//After 10 AM, Lilis only and 12 lilies + 24 carnations, Never combo of Red n white, all flowers shd be of diff color(12/06)Skip tom n then on Tuesday(08/09) Return-send tom(16/12) NO ROSE(20/12) 14 Lily and 24 Car(24/09) Send 18 spray daisy instead of Asiatic next(30/03) Change package cost to 6300(20/07) Hold from today (05/12)</v>
          </cell>
          <cell r="N31" t="str">
            <v>1  del of this cycle   -  1-cycles pmnt   Pending - Collect 8648</v>
          </cell>
          <cell r="O31" t="str">
            <v>O n W Asiatic  14 P n W Car ( 14 Inch )  24   4 Areca Palm + 2 Gypsola + 2 Limonium</v>
          </cell>
          <cell r="P31" t="str">
            <v>P n Y Asiatic ( 14 Inch ) 14 Pur n Y Car ( 14 Inch ) 24   4 Areca palm + 2 Gypsola + 2 Limonium</v>
          </cell>
          <cell r="Q31" t="str">
            <v xml:space="preserve">P n W Asiatic ( 14 Inch ) 14 Pur n P Car ( 14 inch ) 24   </v>
          </cell>
          <cell r="R31" t="str">
            <v xml:space="preserve">O n P Asiatic ( 14 Inch ) 14 P n W Car ( 14 Inch ) 24   </v>
          </cell>
          <cell r="S31" t="str">
            <v>O n W Asiatic ( 14 Inch ) 14 R n P Car ( 14 Inch ) 24   4 Areca Palm + 2 Gypsola + 2 Limonim</v>
          </cell>
          <cell r="T31" t="str">
            <v>Y n P Asiatic ( 14 Inch ) 14 Pur n W Car ( 14 Inch ) 24   4 Areca Palm + 2 Gypsola + 2 Limonium</v>
          </cell>
        </row>
        <row r="32">
          <cell r="A32">
            <v>2246</v>
          </cell>
          <cell r="B32" t="str">
            <v>Amita Gupta</v>
          </cell>
          <cell r="C32">
            <v>9811985450</v>
          </cell>
          <cell r="D32" t="str">
            <v>146, Cedar Crest</v>
          </cell>
          <cell r="E32" t="str">
            <v>Nirvana Country</v>
          </cell>
          <cell r="F32" t="str">
            <v>Thursday</v>
          </cell>
          <cell r="G32" t="str">
            <v>9 AM - 12 PM</v>
          </cell>
          <cell r="H32">
            <v>1600</v>
          </cell>
          <cell r="I32">
            <v>200</v>
          </cell>
          <cell r="J32" t="str">
            <v>Bloom</v>
          </cell>
          <cell r="K32" t="str">
            <v>Return today (03/10) Change to bliss (23/10) No Orchid (24/10) Send a vase tom (20/08) Upgrade to bliss (17/12)</v>
          </cell>
          <cell r="L32" t="str">
            <v>Orchid</v>
          </cell>
          <cell r="M32" t="str">
            <v>1 Vase Tom (20/08)</v>
          </cell>
          <cell r="N32" t="str">
            <v>1  del of this cycle   -  1-cycles pmnt   Pending - Collect 1600</v>
          </cell>
          <cell r="O32" t="str">
            <v>Sunflower ( 14 Inch ) 2     FF Sachet + Grass</v>
          </cell>
          <cell r="P32" t="str">
            <v>Mix Alstroemeria ( 12 Inch ) 7     FF Sachet + Grass</v>
          </cell>
          <cell r="Q32" t="str">
            <v>Pur n P Car ( 14 inch ) 7     FF Sachet + Grass</v>
          </cell>
          <cell r="R32" t="str">
            <v>Sunflower ( 12 Inch ) 2     FF Sachet + Grass</v>
          </cell>
          <cell r="S32" t="str">
            <v>P n W Glad ( 14 Inch ) 7     Grass</v>
          </cell>
          <cell r="T32" t="str">
            <v>P n W Car ( 14 Inch ) 7     FF Sachet + Grass</v>
          </cell>
        </row>
        <row r="33">
          <cell r="A33">
            <v>3235</v>
          </cell>
          <cell r="B33" t="str">
            <v>Nishant -- Wellington</v>
          </cell>
          <cell r="C33">
            <v>9833057481</v>
          </cell>
          <cell r="D33" t="str">
            <v>Flat-1B/101, Wellington Estate</v>
          </cell>
          <cell r="E33" t="str">
            <v>DLF Phase 5</v>
          </cell>
          <cell r="F33" t="str">
            <v>Thursday</v>
          </cell>
          <cell r="G33" t="str">
            <v>9 AM - 12 PM</v>
          </cell>
          <cell r="H33">
            <v>1450</v>
          </cell>
          <cell r="I33">
            <v>362.5</v>
          </cell>
          <cell r="J33" t="str">
            <v>Bliss</v>
          </cell>
          <cell r="K33" t="str">
            <v>Paytm From Nishant Pandita // HDTNP (05/03) No Glad or Rajni (06/06)</v>
          </cell>
          <cell r="L33" t="str">
            <v>Glad n Rajni</v>
          </cell>
          <cell r="N33" t="str">
            <v>4  del of this cycle   -  0-cycles pmnt   Completed - Collect 0</v>
          </cell>
          <cell r="O33" t="e">
            <v>#N/A</v>
          </cell>
          <cell r="P33" t="e">
            <v>#N/A</v>
          </cell>
          <cell r="Q33" t="str">
            <v>Pur n P Car ( 14 inch ) 16     FF Sachet + Grass</v>
          </cell>
          <cell r="R33" t="str">
            <v>P Asiatic ( 14 Inch ) 3     Grass</v>
          </cell>
          <cell r="S33" t="str">
            <v>Pur Eustoma ( 12 Inch ) 3     FF Sachet + Grass</v>
          </cell>
          <cell r="T33" t="str">
            <v>P n Y Spray Daisy ( 14 Inch ) 5     FF Sachet + Grass</v>
          </cell>
        </row>
        <row r="34">
          <cell r="A34">
            <v>71</v>
          </cell>
          <cell r="B34" t="str">
            <v>Meenakshi Verma</v>
          </cell>
          <cell r="C34">
            <v>9810044544</v>
          </cell>
          <cell r="D34" t="str">
            <v>D-24, The Belaire Dlf golf course Road Phase 5</v>
          </cell>
          <cell r="E34" t="str">
            <v>Golf Course Road</v>
          </cell>
          <cell r="F34" t="str">
            <v>Thursday</v>
          </cell>
          <cell r="G34" t="str">
            <v>9 AM - 12 PM</v>
          </cell>
          <cell r="H34">
            <v>1950</v>
          </cell>
          <cell r="I34">
            <v>487.5</v>
          </cell>
          <cell r="J34" t="str">
            <v>Joy</v>
          </cell>
          <cell r="K34" t="str">
            <v>Thursday n Sunday//Lilies of diff color only(22/05) Skip tomorrow del(03/07)Skip tomorrow del(11/07)Replacement on 4th(01/10)Flowers sent on 7th due to diwali(08/11) Skip 1 week n start(01/01) Skip n send on Monday(18/03) SEND 1 Special Pack Next(18/04) Payment received against special pack(25/04) Send 2 stick extra in next del and flower food too(02/05) Skip 1 week(12/08) SEND FF Next (05/09) Dont count this week flowers as wilted(09/11) Rcvd 80 against FF(21/11) Confirm before sending(18/03) Hold Send tom(26/06/2020) Skip 1 week(25/11) Hold n start from 3rd week of jan(21/12) Returned-- start from next wek(21/01) Send 2 Bottle of flower food and upgrade to 1250 package(24/03) Sent replacement today(03/07) Hold-send next week(15/07) Send 2 Bottle of Flower food with next del(30/08) Skip 1 week(02/11) Skip 1 week(09/02) 1 Del send on 1450 on 19th May now converting to Charma Package(25/05) No Flowers till 20th Aug(27/07) Now 1450 and No Rises(10/09) NO Dahelia n Glad (17/03) Hold after 27th n start from 4th June (14/04) Start From Sep (07/08) Skip 1 week (09/07) Paytm from Vikram (12/09) No Sunflower (30/04) Send one bunch Alstroemeria acomplimentary (15/05)</v>
          </cell>
          <cell r="L34" t="str">
            <v>DAHELIA n GLAD n ROSE n ORCHID n Sunflower (30/04)</v>
          </cell>
          <cell r="N34" t="str">
            <v>3  del of this cycle   -  0-cycles pmnt   Completed - Collect 0</v>
          </cell>
          <cell r="O34" t="str">
            <v>R n W Car ( 14 Inch ) 22     FF Sachet + Grass</v>
          </cell>
          <cell r="P34" t="str">
            <v>P n Y Spray Dausy ( 14 Inch ) 7     FF Sachet + Grass</v>
          </cell>
          <cell r="Q34" t="str">
            <v>Mix Alstroemeria ( 12 Inch ) 22     FF Sachet + Grass</v>
          </cell>
          <cell r="R34" t="str">
            <v>O Asiatic ( 14 Inch ) 4     2 Gypsola</v>
          </cell>
          <cell r="S34" t="str">
            <v>P n W Glad ( 14 Inch ) 22     Grass</v>
          </cell>
          <cell r="T34" t="str">
            <v>P n W Car ( 14 Inch ) 22     FF Sachet + Grass</v>
          </cell>
        </row>
        <row r="35">
          <cell r="A35" t="str">
            <v>G-00028</v>
          </cell>
          <cell r="B35" t="str">
            <v>Niharika Mohanty</v>
          </cell>
          <cell r="C35">
            <v>9711098608</v>
          </cell>
          <cell r="D35" t="str">
            <v>W2A-151, Wellington Estate</v>
          </cell>
          <cell r="E35" t="str">
            <v>DLF Phase 5</v>
          </cell>
          <cell r="F35" t="str">
            <v>Thursday</v>
          </cell>
          <cell r="G35" t="str">
            <v>10 AM to 2:30 PM</v>
          </cell>
          <cell r="H35">
            <v>1950</v>
          </cell>
          <cell r="I35">
            <v>487.5</v>
          </cell>
          <cell r="J35" t="str">
            <v>Joy</v>
          </cell>
          <cell r="K35" t="str">
            <v>From Akriti Chopra // Mixed Flowers // Skip this week (11/03) Skip 1 week (11/03)  Skip 2 week (18/06) Skip 1 week (13/08) Skip 1 week (14/10) Skip 2 weeks (12/11) Skip 1 week (03/12) Skip 1 week (03/01) Hold today (21/05) Skip tom (03/06) Skip today and next week (18/06(</v>
          </cell>
          <cell r="M35" t="str">
            <v>Mixed Flowers</v>
          </cell>
          <cell r="N35" t="str">
            <v>1  del of this cycle   -  1-cycles pmnt   Pending - Collect 1950</v>
          </cell>
          <cell r="O35" t="str">
            <v>Pur Eustoma 2 Mix Spray Car 10   FF Sachet + Grass</v>
          </cell>
          <cell r="P35" t="e">
            <v>#N/A</v>
          </cell>
          <cell r="Q35" t="str">
            <v>Y Asiatic ( 14 Inch ) 2 P n W Glad ( 14 Inch ) 11   2 Gypsola</v>
          </cell>
          <cell r="R35" t="str">
            <v>Sunflower ( 12 Inch ) 3 Mix Alstroemeria ( 12 inch )  11   FF Sachet + Grass</v>
          </cell>
          <cell r="S35" t="e">
            <v>#N/A</v>
          </cell>
          <cell r="T35" t="str">
            <v>P Eustoma ( 12 Inch ) 2 Pur n W Car ( 14 Inch ) 11   FF Sachet + Grass</v>
          </cell>
        </row>
        <row r="36">
          <cell r="A36">
            <v>1140</v>
          </cell>
          <cell r="B36" t="str">
            <v>Nidhi Singh</v>
          </cell>
          <cell r="C36" t="str">
            <v>8383036664//9899389873</v>
          </cell>
          <cell r="D36" t="str">
            <v>D-8/3, Ground Floor DLF Exclusive Floors</v>
          </cell>
          <cell r="E36" t="str">
            <v>DLF Phase 5</v>
          </cell>
          <cell r="F36" t="str">
            <v>Thursday</v>
          </cell>
          <cell r="G36" t="str">
            <v>9 AM - 12 PM</v>
          </cell>
          <cell r="H36">
            <v>2300</v>
          </cell>
          <cell r="I36">
            <v>287.5</v>
          </cell>
          <cell r="J36" t="str">
            <v>Felicity</v>
          </cell>
          <cell r="K36" t="str">
            <v>Sunday n thursday //Monday n Thursday//Send Change of 200 Next(22/10) NO ROSE(22/11) Send Oriental next and send change of 2000 Next(27/11) NO ROSE // Heliconia Next(30/11) Send Change Next(13/04) 350 Received today via paytm(15/04) Flower Food Next(16/04) Send replacement of gerbera tom(20/04) Received 250 today(20/04) Send Replacement tom(20/04) Do Not Count 1 Del(22/04) Days-- Monday and Thursday(30/05) Gpay from Vivek Singh// Paytm from 9372779905-- Viveka(30/07) 1 Flower food next(01/04) Sent a replacement today(05/04) FF Next()8/04) Today del missed(02/06) REceived 1650 extra (28/12) Send replacement tom (29/08) Skip 1 week (17/10) 13th Flower Missed (17/11) Today Returned (18/12) Skip Tom (17/01) No Del from 21st to 27th July (10/07) Skip 1 week (03/12) Hold till 15th Dec (09/12) Skip this thursday (24/12) Skip on sunday (10/01) Hold till 31st Jan after 18th Del (17/01)</v>
          </cell>
          <cell r="L36" t="str">
            <v>ROSE</v>
          </cell>
          <cell r="N36" t="str">
            <v>1  del of this cycle   -  1-cycles pmnt   Pending - Collect 2300</v>
          </cell>
          <cell r="O36" t="str">
            <v>P n W Glad ( 14 Inch ) 11     Grass</v>
          </cell>
          <cell r="P36" t="str">
            <v>P Spray Daisy ( 14 Inch ) 3     FF Sachet + Grass</v>
          </cell>
          <cell r="Q36" t="str">
            <v>Pur Eustoma ( 12 Inch ) 3     FF Sachet + Grass</v>
          </cell>
          <cell r="R36" t="str">
            <v>Rajni ( 14 Inch ) 11     Grass</v>
          </cell>
          <cell r="S36" t="str">
            <v>P n W Glad ( 14 Inch ) 11     Grass</v>
          </cell>
          <cell r="T36" t="str">
            <v>Pur n P Car ( 14 Inch ) 11     FF Sachet + Grass</v>
          </cell>
        </row>
        <row r="37">
          <cell r="A37">
            <v>58</v>
          </cell>
          <cell r="B37" t="str">
            <v>Ms. Anupma Chandna</v>
          </cell>
          <cell r="C37">
            <v>8130077970</v>
          </cell>
          <cell r="D37" t="str">
            <v>32, aspen greens, nirvana</v>
          </cell>
          <cell r="E37" t="str">
            <v>Nirvana Country</v>
          </cell>
          <cell r="F37" t="str">
            <v>Thursday</v>
          </cell>
          <cell r="G37" t="str">
            <v>9 AM - 12 PM</v>
          </cell>
          <cell r="H37">
            <v>1950</v>
          </cell>
          <cell r="I37">
            <v>487.5</v>
          </cell>
          <cell r="J37" t="str">
            <v>Joy</v>
          </cell>
          <cell r="K37" t="str">
            <v>No Rose // Hold n start from 04th Dec (03/11) No Greens</v>
          </cell>
          <cell r="L37" t="str">
            <v>Rose</v>
          </cell>
          <cell r="M37" t="str">
            <v>No Greens</v>
          </cell>
          <cell r="N37" t="str">
            <v>4  del of this cycle   -  0-cycles pmnt   Completed - Collect 0</v>
          </cell>
          <cell r="O37" t="str">
            <v>P n W Spray Daisy ( 15 Inch ) 4 R n W Car ( 14 Inch ) 11   FF Sachet + Grass</v>
          </cell>
          <cell r="P37" t="str">
            <v>W Asiatic ( 14 Inch ) 2 Mix Alstroemeria ( 12 Inch ) 11   Grass</v>
          </cell>
          <cell r="Q37" t="str">
            <v>Pur Eustoma ( 12 Inch ) 3 P n W Glad ( 14 Inch ) 11   FF Sachet + Grass</v>
          </cell>
          <cell r="R37" t="str">
            <v>Sunflower ( 12 Inch ) 3 Pur n P Car ( 14 Inch ) 11   FF Sachet + Grass</v>
          </cell>
          <cell r="S37" t="str">
            <v>P Asiatic ( 14 Inch ) 2 B Daisy ( 12 Inch ) 11   Grass</v>
          </cell>
          <cell r="T37" t="str">
            <v>P n Y Spray Daisy ( 14 Inch ) 5 Rajni ( 14 Inch ) 16   FF Sachet + Grass</v>
          </cell>
        </row>
        <row r="38">
          <cell r="A38">
            <v>221</v>
          </cell>
          <cell r="B38" t="str">
            <v>Convinience Enterprises-Sonali anand</v>
          </cell>
          <cell r="C38">
            <v>9810524040</v>
          </cell>
          <cell r="D38" t="str">
            <v>E-243 belaire apartments</v>
          </cell>
          <cell r="E38" t="str">
            <v>Golf Course Road</v>
          </cell>
          <cell r="F38" t="str">
            <v>Thursday</v>
          </cell>
          <cell r="G38" t="str">
            <v>9 AM - 12 PM</v>
          </cell>
          <cell r="H38">
            <v>2750</v>
          </cell>
          <cell r="I38">
            <v>687.5</v>
          </cell>
          <cell r="J38" t="str">
            <v>Corporate</v>
          </cell>
          <cell r="K38" t="str">
            <v>No Roses (21/06) Pls send red glad to her in next del(07/07) Never send Glad(13/07)  Skip 1 week(01/06) Collect cheque tom(10/06) Send Replacement tom(23/06) Skip this week(23/08) Skip 1 week (16/11) Skip this week and send on 8th (27/12) Don’t send on 9th-send on 13th (07/02) Skip this week and send on Tuesday(26/02) Due to Mar end Cycle broken (20/03) Hold today send on sunday (06/04) Skip 1 week (09/05) Hold till 26th June (07/06) Skip 1 week (24/10) Skip 2 week (21/11) Skip 2 week (02/01) Skip 1 week (26/03) Skip Tom (22/05) No Flowers till 9th July (23/06) Skip 1 week (04/11) Hold n sned on 12th now (31/12) Hold n start from // Skip 1 week (19/08) Skip this thursday and send on sunday (12/11) Skip 1 week (30/03) Next del on 21st and then every thursday (08/06)</v>
          </cell>
          <cell r="N38" t="str">
            <v>3  del of this cycle   -  0-cycles pmnt   In Process - Collect 0</v>
          </cell>
          <cell r="O38" t="str">
            <v>O Asiatic ( 14 Inch ) 6     2 Limonium</v>
          </cell>
          <cell r="P38" t="str">
            <v>Sunflower ( 12 Inch ) 7     2 Gypsola + FF Sachet</v>
          </cell>
          <cell r="Q38" t="e">
            <v>#N/A</v>
          </cell>
          <cell r="R38" t="e">
            <v>#N/A</v>
          </cell>
          <cell r="S38" t="e">
            <v>#N/A</v>
          </cell>
          <cell r="T38" t="str">
            <v xml:space="preserve">P Asiatic ( 14 Inch ) 6     </v>
          </cell>
        </row>
        <row r="39">
          <cell r="A39">
            <v>1455</v>
          </cell>
          <cell r="B39" t="str">
            <v>Gagan Ahluwalia</v>
          </cell>
          <cell r="C39">
            <v>9811105056</v>
          </cell>
          <cell r="D39" t="str">
            <v>C-82, The Summit</v>
          </cell>
          <cell r="E39" t="str">
            <v>Golf Course Road</v>
          </cell>
          <cell r="F39" t="str">
            <v>Thursday</v>
          </cell>
          <cell r="G39" t="str">
            <v>9 AM - 12 PM</v>
          </cell>
          <cell r="H39">
            <v>2300</v>
          </cell>
          <cell r="I39">
            <v>287.5</v>
          </cell>
          <cell r="J39" t="str">
            <v>Felicity</v>
          </cell>
          <cell r="K39" t="str">
            <v>Thursday n Sunday //Gift From Ragini Ahluwalia// Flowers-- Guldawari/Orchids/Car and Asiatic(27/07) Hold n start from 2nd week of July(02/06) NO ORCHIDS (23/12) Hold till june end (07/06) Today returned (20/06) Replacement today (07/07) Hold today and start after 12th Oct (03/10) No Flowers tull 17th Nov (11/11) Hold from 15th may to 17th June (14/05) Skip 1 wek (24/06) Hold today due to non payment (02/10) Hold due to non payment (05/10) Hold due to non payment (09/10) Start from today (12/10) Skip 1 week (29/11) Hold due to non payment (11/01) Hold due to non payment (01/.02) HDTNP (15/02) HDTNP (22/02) HDTNP (26/02) HDTNP (04/03) HDTNP (08/03) HDTNP (12/03) HDTNP (14/03) No after 1st June (14/05) Hold n start after 1st June (14/05) Hold till 1st June (15/05)</v>
          </cell>
          <cell r="N39" t="str">
            <v>7  del of this cycle   -  0-cycles pmnt   Completed - Collect 0</v>
          </cell>
          <cell r="O39" t="e">
            <v>#N/A</v>
          </cell>
          <cell r="P39" t="str">
            <v>P n W Glad ( 14 Inch ) 11     Grass</v>
          </cell>
          <cell r="Q39" t="str">
            <v>Rajni ( 14 Inch ) 11     Grass</v>
          </cell>
          <cell r="R39" t="str">
            <v>Pur n P Car ( 14 inch ) 11     FF Sachet + Grass</v>
          </cell>
          <cell r="S39" t="str">
            <v>P Spray Daisy ( 14 Inch ) 3     FF Sachet + Grass</v>
          </cell>
          <cell r="T39" t="str">
            <v>Sunflower ( 12 Inch ) 3     FF Sachet + Grass</v>
          </cell>
        </row>
        <row r="40">
          <cell r="A40">
            <v>2502</v>
          </cell>
          <cell r="B40" t="str">
            <v>Amrita Sarup</v>
          </cell>
          <cell r="C40">
            <v>7028026940</v>
          </cell>
          <cell r="D40" t="str">
            <v>D1/802, Experion Heartsong, Sec 108</v>
          </cell>
          <cell r="E40" t="str">
            <v>Dwarka Expressway</v>
          </cell>
          <cell r="F40" t="str">
            <v>Thursday</v>
          </cell>
          <cell r="G40" t="str">
            <v>4 Pm to 7 PM</v>
          </cell>
          <cell r="H40">
            <v>1450</v>
          </cell>
          <cell r="I40">
            <v>362.5</v>
          </cell>
          <cell r="J40" t="str">
            <v>Bliss</v>
          </cell>
          <cell r="K40" t="str">
            <v>No Asiatic n Spray Daisy // Today Hold (14/08) Replacement tom (04/12) No Orchid (11/12) No BOP n Orchid (12/12) Today Returned -send on Sunday (18/12) Returned today (01/01/26) Next 3 Deliveries with Premium (11/.04)</v>
          </cell>
          <cell r="L40" t="str">
            <v>BOP n Orchid</v>
          </cell>
          <cell r="M40" t="str">
            <v>Next 3 Deliveries with Premium (11/.04)</v>
          </cell>
          <cell r="N40" t="str">
            <v>1  del of this cycle   -  1-cycles pmnt   Pending - Collect 1450</v>
          </cell>
          <cell r="O40" t="e">
            <v>#N/A</v>
          </cell>
          <cell r="P40" t="e">
            <v>#N/A</v>
          </cell>
          <cell r="Q40" t="e">
            <v>#N/A</v>
          </cell>
          <cell r="R40" t="e">
            <v>#N/A</v>
          </cell>
          <cell r="S40" t="e">
            <v>#N/A</v>
          </cell>
          <cell r="T40" t="str">
            <v>Pur n P Car ( 14 Inch ) 16     FF Sachet + Grass</v>
          </cell>
        </row>
        <row r="41">
          <cell r="A41">
            <v>3071</v>
          </cell>
          <cell r="B41" t="str">
            <v>Divya Rawat</v>
          </cell>
          <cell r="C41">
            <v>8390310325</v>
          </cell>
          <cell r="D41" t="str">
            <v>D-13/14, 1st Floor, DLF Exclusive Floor</v>
          </cell>
          <cell r="E41" t="str">
            <v>DLF Phase 5</v>
          </cell>
          <cell r="F41" t="str">
            <v>Thursday</v>
          </cell>
          <cell r="G41" t="str">
            <v>9 AM - 12 PM</v>
          </cell>
          <cell r="H41">
            <v>1450</v>
          </cell>
          <cell r="I41">
            <v>362.5</v>
          </cell>
          <cell r="J41" t="str">
            <v>Bliss</v>
          </cell>
          <cell r="K41" t="str">
            <v>Return today (04/12) Hold today (05/03) Returned today (28/05) HDTNP (25/06)</v>
          </cell>
          <cell r="N41" t="str">
            <v>3  del of this cycle   -  1-cycles pmnt   Pending - Collect 1450</v>
          </cell>
          <cell r="O41" t="str">
            <v>W Asiatic ( 14 Inch ) 2 P n W Glad 7   Grass</v>
          </cell>
          <cell r="P41" t="str">
            <v>Pur Eustoma ( 14 Inch ) 2 Pur n P Car ( 14 Inch ) 7   FF Sachet + Grass</v>
          </cell>
          <cell r="Q41" t="str">
            <v>P Spray Daisy ( 14 Inch ) 3 Mix Alstroemeria ( 12 Inch ) 7   FF Sachet + Grass</v>
          </cell>
          <cell r="R41" t="str">
            <v>Sunflower ( 12 Inch ) 2 P n W Glad ( 14 Inch ) 7   FF Sachet + Grass</v>
          </cell>
          <cell r="S41" t="e">
            <v>#N/A</v>
          </cell>
          <cell r="T41" t="str">
            <v>P Asiatic ( 14 Inch ) 2 Rajni ( 14 Inch ) 7  Collect Payment Grass</v>
          </cell>
        </row>
        <row r="42">
          <cell r="A42">
            <v>921</v>
          </cell>
          <cell r="B42" t="str">
            <v>Anumeha</v>
          </cell>
          <cell r="C42" t="str">
            <v>9899901949// 9953511987</v>
          </cell>
          <cell r="D42" t="str">
            <v>T-04/1701, South Close</v>
          </cell>
          <cell r="E42" t="str">
            <v>Nirvana Country</v>
          </cell>
          <cell r="F42" t="str">
            <v>Thursday</v>
          </cell>
          <cell r="G42" t="str">
            <v>9 AM - 12 PM</v>
          </cell>
          <cell r="H42">
            <v>1450</v>
          </cell>
          <cell r="I42">
            <v>362.5</v>
          </cell>
          <cell r="J42" t="str">
            <v>Bliss</v>
          </cell>
          <cell r="K42" t="str">
            <v>Pls send Orchid 1st del(20/11)Send a replacement tom(25/11) Only Rajni,Asiatic and Roses(28/12) Lilies next(01/01) Lilies next(22/01) Lily Next(19/10) Send Replacement on Thursday(05/11) Lilies next-- Orange Or Yellow(17/11) Last Del Missed-Sending Tom(12/12) Returned-send from next week(16/12) Send Gerbera Tom(19/01) Daisy Next(01/02) Roses Tom(16/02) Received 50 today(02/03) Gerbera Next(08/03) Gerbera Tom(22/01) Lilies twice in cycle and Daisy/ Rajnigandha Only// Lily Next (01/02) O Asiatic Next(14/02) NO DAISY// NO SPRAY DAISY(06/03) Yel Gerbera Next(17/03) Spray Daisy with Purple in centre tom in evening slot(09/04) send on 3rd now(02/05) W n Yellow Gerbera Tom(02/03) Gpay from Lallan Singh(17/03) Recieved payment from Anumeha account today(07/04) Received Gpay from Joy Deep(28/04) Paytm From Joydeep Mukherjee(08/09) Hold for 3 weeks (19/12) Hold for 2 weeks (25/01) Skip 1 week (02/03) No rajni till oct (31/08) Send replacement tom (01/11) Skip tom (10/12) Skip 5th Del (28/02) Today Hold (28/05)</v>
          </cell>
          <cell r="M42" t="str">
            <v>No rajni till Oct (31/08)</v>
          </cell>
          <cell r="N42" t="str">
            <v>4  del of this cycle   -  0-cycles pmnt   Completed - Collect 0</v>
          </cell>
          <cell r="O42" t="str">
            <v>Mix Alstroemeria ( 12 Inch ) 16     FF Sachet + grass</v>
          </cell>
          <cell r="P42" t="str">
            <v>P n W Glad ( 14 Inch ) 16     Grass</v>
          </cell>
          <cell r="Q42" t="str">
            <v>P n W Spray Daisy ( 14 Inch ) 5     FF Sachet + Grass</v>
          </cell>
          <cell r="R42" t="str">
            <v>Sunflower ( 12 Inch ) 4     FF Sachet + Grass</v>
          </cell>
          <cell r="S42" t="str">
            <v>Pur n P Car ( 14 Inch ) 16     FF Sachet + Grass</v>
          </cell>
          <cell r="T42" t="str">
            <v>O Asiatic ( 14 Inch ) 3     Grass</v>
          </cell>
        </row>
        <row r="43">
          <cell r="A43">
            <v>2204</v>
          </cell>
          <cell r="B43" t="str">
            <v>Bidisha Dey</v>
          </cell>
          <cell r="C43">
            <v>9811969982</v>
          </cell>
          <cell r="D43" t="str">
            <v>C-24, Carlton Estate-1, Club Drive</v>
          </cell>
          <cell r="E43" t="str">
            <v>DLF Phase 5</v>
          </cell>
          <cell r="F43" t="str">
            <v>Thursday</v>
          </cell>
          <cell r="G43" t="str">
            <v>9:30 Am to 2 PM</v>
          </cell>
          <cell r="H43">
            <v>1450</v>
          </cell>
          <cell r="I43">
            <v>362.5</v>
          </cell>
          <cell r="J43" t="str">
            <v>Bliss</v>
          </cell>
          <cell r="K43" t="str">
            <v>Skip 1 week (03/06) Returned send next week (11/07) Skip 1 week (08/01) Skip 1 week (26/03) Skip tom (02/07) Today Returned (20/11) HDTNP (25/06)</v>
          </cell>
          <cell r="N43" t="str">
            <v>4  del of this cycle   -  1-cycles pmnt   Pending - Collect 1450</v>
          </cell>
          <cell r="O43" t="str">
            <v>O Asiatic ( 14 Inch ) 3     Grass</v>
          </cell>
          <cell r="P43" t="str">
            <v>P n W Glad ( 14 Inch ) 16     Grass</v>
          </cell>
          <cell r="Q43" t="str">
            <v>Pur n P Car ( 14 inch ) 16     FF Sachet + Grass</v>
          </cell>
          <cell r="R43" t="str">
            <v>Sunflower ( 12 Inch ) 4     FF Sachet + Grass</v>
          </cell>
          <cell r="S43" t="e">
            <v>#N/A</v>
          </cell>
          <cell r="T43" t="str">
            <v>P Asiatic ( 14 Inch ) 3    Collect payment Grass</v>
          </cell>
        </row>
        <row r="44">
          <cell r="A44">
            <v>3270</v>
          </cell>
          <cell r="B44" t="str">
            <v>Tanya Sharma</v>
          </cell>
          <cell r="C44">
            <v>7022251818</v>
          </cell>
          <cell r="D44" t="str">
            <v>T-8/202, Chintel Serenity, Sec 109</v>
          </cell>
          <cell r="E44" t="str">
            <v>Dwarka Expressway</v>
          </cell>
          <cell r="F44" t="str">
            <v>Thursday</v>
          </cell>
          <cell r="G44" t="str">
            <v>4 Pm to 7 PM</v>
          </cell>
          <cell r="H44">
            <v>1950</v>
          </cell>
          <cell r="I44">
            <v>487.5</v>
          </cell>
          <cell r="J44" t="str">
            <v>Joy</v>
          </cell>
          <cell r="K44" t="str">
            <v>No Yellow wn Purple // no Rajni (02/02) No ALstroemeria and do not count last del(19/06) Pls Don’t count last del (26/06)</v>
          </cell>
          <cell r="L44" t="str">
            <v>Rajni n Alstroemeria</v>
          </cell>
          <cell r="M44" t="str">
            <v>No Yellow wn Purple // Stock Next (02/03)</v>
          </cell>
          <cell r="N44" t="str">
            <v>3  del of this cycle   -  0-cycles pmnt   Completed - Collect 0</v>
          </cell>
          <cell r="O44" t="str">
            <v>Pur Eustoma 2 Mix Alstroemeria ( 12 Inch ) 11   FF Sachet + Grass</v>
          </cell>
          <cell r="P44" t="str">
            <v>W Asiatic ( 14 Inch ) 2 P n W Glad ( 14 Inch ) 11   Grass</v>
          </cell>
          <cell r="Q44" t="str">
            <v>G n W Spray Daisy ( 14 Inch ) 4 P n W Car ( 14 Inch ) 11   FF Sachet + Grass</v>
          </cell>
          <cell r="R44" t="str">
            <v>P Eustoma ( 12 Inch ) 2 Mix Alstroemeria ( 12 inch )  11   FF Sachet + Grass</v>
          </cell>
          <cell r="S44" t="str">
            <v>O Asiatic ( 14 Inch ) 2 Rajni ( 14 Inch ) 11   Grass</v>
          </cell>
          <cell r="T44" t="str">
            <v>P n Y Spray Daisy ( 14 Inch ) 4 P n W Glad ( 14 Inch ) 11   FF Sachet + Grass</v>
          </cell>
        </row>
        <row r="45">
          <cell r="A45">
            <v>3097</v>
          </cell>
          <cell r="B45" t="str">
            <v>Jamie Miller</v>
          </cell>
          <cell r="C45">
            <v>7428737502</v>
          </cell>
          <cell r="D45" t="str">
            <v>D-072, The DLF Crest</v>
          </cell>
          <cell r="E45" t="str">
            <v>Golf Course Road</v>
          </cell>
          <cell r="F45" t="str">
            <v>Thursday</v>
          </cell>
          <cell r="G45" t="str">
            <v>9:30 Am to 2 PM</v>
          </cell>
          <cell r="H45">
            <v>2750</v>
          </cell>
          <cell r="I45">
            <v>687.5</v>
          </cell>
          <cell r="J45" t="str">
            <v>Elation</v>
          </cell>
          <cell r="K45" t="str">
            <v>From James Brittan // Skip 2 week (20/12) Today Returned (22/01) Skip 3 weeks (26/01) Skip 1 week (17/03) Skip 2 week (31/05)</v>
          </cell>
          <cell r="N45" t="str">
            <v>3  del of this cycle   -  0-cycles pmnt   Completed - Collect 0</v>
          </cell>
          <cell r="O45" t="str">
            <v>Pur n p Eustoma 4 P n W Glad ( 14 Inch ) 16   2 Limonium + FF Sachet</v>
          </cell>
          <cell r="P45" t="e">
            <v>#N/A</v>
          </cell>
          <cell r="Q45" t="e">
            <v>#N/A</v>
          </cell>
          <cell r="R45" t="str">
            <v xml:space="preserve">P Asiatic ( 14 Inch ) 3 Pur n P Car ( 14 Inch ) 16   2 Gypsola </v>
          </cell>
          <cell r="S45" t="str">
            <v>Sunflower ( 12 Inch) 4 B Daisy ( 12 Inch ) 16   2 Limonium + FF Sachet</v>
          </cell>
          <cell r="T45" t="str">
            <v xml:space="preserve">Pur n P Eustoma ( 12 Inch ) 4 Rajni ( 14 Inch ) 16   </v>
          </cell>
        </row>
        <row r="46">
          <cell r="A46">
            <v>179</v>
          </cell>
          <cell r="B46" t="str">
            <v>Sarita Dosaj</v>
          </cell>
          <cell r="C46">
            <v>9810077026</v>
          </cell>
          <cell r="D46" t="str">
            <v>B-24, Trinity Towers</v>
          </cell>
          <cell r="E46" t="str">
            <v>DLF Phase 5</v>
          </cell>
          <cell r="F46" t="str">
            <v>Thursday</v>
          </cell>
          <cell r="G46" t="str">
            <v>9 AM - 12 PM</v>
          </cell>
          <cell r="H46">
            <v>1450</v>
          </cell>
          <cell r="I46">
            <v>362.5</v>
          </cell>
          <cell r="J46" t="str">
            <v>Bliss</v>
          </cell>
          <cell r="K46" t="str">
            <v>One Color Flower ( 06/06) HDTNP (25/06)</v>
          </cell>
          <cell r="M46" t="str">
            <v>One Color Flower ( 06/06)</v>
          </cell>
          <cell r="N46" t="str">
            <v>3  del of this cycle   -  1-cycles pmnt   Pending - Collect 1350</v>
          </cell>
          <cell r="O46" t="str">
            <v>R n W Car ( 14 Inch ) 16     FF Sachet + grass</v>
          </cell>
          <cell r="P46" t="str">
            <v>P n W Spray Daisy ( 14 Inch ) 5     FF Sachet + Grass</v>
          </cell>
          <cell r="Q46" t="str">
            <v>P Glad ( 14 Inch ) 16 One Color Flower Only    Grass</v>
          </cell>
          <cell r="R46" t="str">
            <v>O Asiatic ( 14 Inch ) 3 Collect Cash Collect Cash    Grass</v>
          </cell>
          <cell r="S46" t="e">
            <v>#N/A</v>
          </cell>
          <cell r="T46" t="str">
            <v>Sunflower ( 12 Inch ) 4    Collect payment FF Sachet + Grass</v>
          </cell>
        </row>
        <row r="47">
          <cell r="A47">
            <v>3205</v>
          </cell>
          <cell r="B47" t="str">
            <v>Supriya -- The Icon</v>
          </cell>
          <cell r="C47">
            <v>9650802228</v>
          </cell>
          <cell r="D47" t="str">
            <v>B-31, The Icon</v>
          </cell>
          <cell r="E47" t="str">
            <v>DLF Phase 5</v>
          </cell>
          <cell r="F47" t="str">
            <v>Thursday</v>
          </cell>
          <cell r="G47" t="str">
            <v>9 AM - 12 PM</v>
          </cell>
          <cell r="H47">
            <v>1450</v>
          </cell>
          <cell r="I47">
            <v>362.5</v>
          </cell>
          <cell r="J47" t="str">
            <v>Bliss</v>
          </cell>
          <cell r="K47" t="str">
            <v>Paytm from Nutan Joshi (19/04)</v>
          </cell>
          <cell r="N47" t="str">
            <v>4  del of this cycle   -  0-cycles pmnt   Completed - Collect 0</v>
          </cell>
          <cell r="O47" t="str">
            <v>P Spray Daisy ( 15 Inch ) 3 P n W Car ( 14 Inch )  7   FF Sachet + grass</v>
          </cell>
          <cell r="P47" t="str">
            <v>P Eustoma (14 Inch ) 2 Mix Alstroemeria ( 12 Inch ) 7   FF Sachet + Grass</v>
          </cell>
          <cell r="Q47" t="str">
            <v>Sunflower ( 12 Inch ) 2 P n W Glad ( 14 Inch ) 7   FF Sachet + Grass</v>
          </cell>
          <cell r="R47" t="str">
            <v>P Asiatic ( 14 Inch ) 2 Pur n P Car ( 14 Inch ) 7   Grass</v>
          </cell>
          <cell r="S47" t="str">
            <v>Y Spray Daisy ( 14 Inch ) 3 Rajni ( 14 Inch ) 7   FF Sachet + Grass</v>
          </cell>
          <cell r="T47" t="str">
            <v>Pur Eustoma 2 P n W Glad ( 14 Inch ) 7   FF Sachet + Grass</v>
          </cell>
        </row>
        <row r="48">
          <cell r="A48">
            <v>3247</v>
          </cell>
          <cell r="B48" t="str">
            <v>V P Singh</v>
          </cell>
          <cell r="C48">
            <v>9717986555</v>
          </cell>
          <cell r="D48" t="str">
            <v>WT04/701, Experion Windchantsm Sec 112</v>
          </cell>
          <cell r="E48" t="str">
            <v>Dwarka Expressway</v>
          </cell>
          <cell r="F48" t="str">
            <v>Thursday</v>
          </cell>
          <cell r="G48" t="str">
            <v>4 Pm to 7 PM</v>
          </cell>
          <cell r="H48">
            <v>1450</v>
          </cell>
          <cell r="I48">
            <v>362.5</v>
          </cell>
          <cell r="J48" t="str">
            <v>Bliss</v>
          </cell>
          <cell r="K48" t="str">
            <v>Paytm From Vijay Pratap Singh</v>
          </cell>
          <cell r="N48" t="str">
            <v>2  del of this cycle   -  0-cycles pmnt   Completed - Collect 0</v>
          </cell>
          <cell r="O48" t="str">
            <v>Mix Alstroemeria ( 12 Inch ) 16     FF Sachet + grass</v>
          </cell>
          <cell r="P48" t="str">
            <v>Mix Car 16     Grass</v>
          </cell>
          <cell r="Q48" t="str">
            <v>P n W Glad ( 14 Inch ) 16     Grass</v>
          </cell>
          <cell r="R48" t="str">
            <v>Sunflower ( 12 Inch ) 4 With Bouquet in Morning Pls With Bouquet in Morning Pls With Bouquet in Morning Pls  FF Sachet + Grass</v>
          </cell>
          <cell r="S48" t="str">
            <v>Pur Eustoma ( 12 Inch ) 3     FF Sachet + Grass</v>
          </cell>
          <cell r="T48" t="str">
            <v>O Asiatic ( 14 Inch ) 3     Grass</v>
          </cell>
        </row>
        <row r="49">
          <cell r="A49">
            <v>3385</v>
          </cell>
          <cell r="B49" t="str">
            <v>Srishti Verma</v>
          </cell>
          <cell r="C49">
            <v>9604584926</v>
          </cell>
          <cell r="D49" t="str">
            <v>H. No. 126, Flat No. 302, Road D3, Indira Colony, Sec 52</v>
          </cell>
          <cell r="E49" t="str">
            <v>Artemis</v>
          </cell>
          <cell r="F49" t="str">
            <v>Thursday</v>
          </cell>
          <cell r="G49" t="str">
            <v>4 Pm to 7 PM</v>
          </cell>
          <cell r="H49">
            <v>1950</v>
          </cell>
          <cell r="I49">
            <v>487.5</v>
          </cell>
          <cell r="J49" t="str">
            <v>Joy</v>
          </cell>
          <cell r="N49" t="str">
            <v>2  del of this cycle   -  0-cycles pmnt   Completed - Collect 0</v>
          </cell>
          <cell r="O49" t="e">
            <v>#N/A</v>
          </cell>
          <cell r="P49" t="e">
            <v>#N/A</v>
          </cell>
          <cell r="Q49" t="e">
            <v>#N/A</v>
          </cell>
          <cell r="R49" t="e">
            <v>#N/A</v>
          </cell>
          <cell r="S49" t="str">
            <v>Pur n P Car ( 14 Inch ) 22     FF Sachet + Grass</v>
          </cell>
          <cell r="T49" t="str">
            <v>O Asiatic ( 14 Inch ) 4     Grass</v>
          </cell>
        </row>
        <row r="50">
          <cell r="A50">
            <v>3107</v>
          </cell>
          <cell r="B50" t="str">
            <v>Richa -- Icon</v>
          </cell>
          <cell r="C50">
            <v>9811394916</v>
          </cell>
          <cell r="D50" t="str">
            <v>B-173, the Icon</v>
          </cell>
          <cell r="E50" t="str">
            <v>DLF Phase 5</v>
          </cell>
          <cell r="F50" t="str">
            <v>Thursday</v>
          </cell>
          <cell r="G50" t="str">
            <v>10 AM to 2:30 PM</v>
          </cell>
          <cell r="H50">
            <v>1450</v>
          </cell>
          <cell r="I50">
            <v>362.5</v>
          </cell>
          <cell r="J50" t="str">
            <v>Bliss</v>
          </cell>
          <cell r="K50" t="str">
            <v>Paytm From Ankit Gupta (01/11) Skip 08th and 15th Jan (16/12) Hold till 16th Jan (19/12) Skip 1 week (12/02) Skip 1 week (11/03) Skip 1 week (01/04) Hold n strat from 02nd July (28/05)</v>
          </cell>
          <cell r="N50" t="str">
            <v>1  del of this cycle   -  1-cycles pmnt   Pending - Collect 1450</v>
          </cell>
          <cell r="O50" t="str">
            <v>P n Y Spray Daisy ( 15 Inch ) 5     FF Sachet + grass</v>
          </cell>
          <cell r="P50" t="e">
            <v>#N/A</v>
          </cell>
          <cell r="Q50" t="e">
            <v>#N/A</v>
          </cell>
          <cell r="R50" t="e">
            <v>#N/A</v>
          </cell>
          <cell r="S50" t="e">
            <v>#N/A</v>
          </cell>
          <cell r="T50" t="str">
            <v>Pur n P Car ( 14 Inch ) 16     FF Sachet + Grass</v>
          </cell>
        </row>
        <row r="51">
          <cell r="A51">
            <v>236</v>
          </cell>
          <cell r="B51" t="str">
            <v>Dr. Arti Gupta 1</v>
          </cell>
          <cell r="C51">
            <v>8860079525</v>
          </cell>
          <cell r="D51" t="str">
            <v>Mayom Hospital, D block south city 1</v>
          </cell>
          <cell r="E51" t="str">
            <v>South City 1</v>
          </cell>
          <cell r="F51" t="str">
            <v>Mondau</v>
          </cell>
          <cell r="G51" t="str">
            <v>9 AM - 12 PM</v>
          </cell>
          <cell r="H51">
            <v>1450</v>
          </cell>
          <cell r="I51">
            <v>362.5</v>
          </cell>
          <cell r="J51" t="str">
            <v>Corporate</v>
          </cell>
          <cell r="K51" t="str">
            <v>Pls send a replacement of Asiatic tomorrow(23/08)NO GERBERA(22/09) Start special Pack(13/04) Send Del on Monday this week(20/03) NEVER BUT DAISIES(29/10) Hold today (22/01) HDTNP (19/02) Sent one xtra del today (29/06)</v>
          </cell>
          <cell r="N51" t="str">
            <v>3  del of this cycle   -  0-cycles pmnt   In Process - Collect 0</v>
          </cell>
          <cell r="O51" t="str">
            <v>P n W Glad ( 14 Inch ) 16     Grass</v>
          </cell>
          <cell r="P51" t="str">
            <v>Mix Alstroemeria ( 12 Inch ) 16     FF Sachet + Grass</v>
          </cell>
          <cell r="Q51" t="str">
            <v>Pur n P Car ( 14 inch ) 16     FF Sachet + Grass</v>
          </cell>
          <cell r="R51" t="str">
            <v>P n W Glad ( 14 Inch ) 16     Grass</v>
          </cell>
          <cell r="S51" t="str">
            <v>Rajni ( 14 Inch ) 16     Grass</v>
          </cell>
          <cell r="T51" t="str">
            <v>B Daisy ( 12 Inch ) 10     Grass</v>
          </cell>
        </row>
        <row r="52">
          <cell r="A52">
            <v>366</v>
          </cell>
          <cell r="B52" t="str">
            <v>Dr. Arti Gupta 1</v>
          </cell>
          <cell r="C52">
            <v>8860079525</v>
          </cell>
          <cell r="D52" t="str">
            <v>Mayom Hospital, D block south city 1</v>
          </cell>
          <cell r="E52" t="str">
            <v>South City 1</v>
          </cell>
          <cell r="F52" t="str">
            <v>Monday</v>
          </cell>
          <cell r="G52" t="str">
            <v>9 AM - 12 PM</v>
          </cell>
          <cell r="H52">
            <v>1450</v>
          </cell>
          <cell r="I52">
            <v>362.5</v>
          </cell>
          <cell r="J52" t="str">
            <v>Corporate</v>
          </cell>
          <cell r="K52" t="str">
            <v>NO GERBERA(22/09)Start special Pack(13/04) Extend 1 ddlivery as we are sending 1 Nargis Today(22/12) Send Del on Monday this week(20/03) Send Replacemenmt of Car(20/09/20) NEVER BUT DAISIES(29/10) Spray daisy Next(03/03) Sent Replacement today(01/08) Hold today (22/01) HDTNP (19/02) Sent one extra del today (29/06)</v>
          </cell>
          <cell r="N52" t="str">
            <v>3  del of this cycle   -  0-cycles pmnt   In Process - Collect 0</v>
          </cell>
          <cell r="O52" t="str">
            <v>W Asiatic ( 14 Inch ) 3     Grass</v>
          </cell>
          <cell r="P52" t="str">
            <v>P Asiatic ( 14 Inch ) 3     Grass</v>
          </cell>
          <cell r="Q52" t="str">
            <v>Y Asiatic ( 14 Inch ) 3     Grass</v>
          </cell>
          <cell r="R52" t="str">
            <v>O Asiatic ( 14 Inch ) 3     Grass</v>
          </cell>
          <cell r="S52" t="str">
            <v>Pur Eustoma ( 12 Inch ) 3     FF Sachet + Grass</v>
          </cell>
          <cell r="T52" t="str">
            <v>P Asiatic ( 14 Inch ) 3     Grass</v>
          </cell>
        </row>
        <row r="53">
          <cell r="A53">
            <v>2961</v>
          </cell>
          <cell r="B53" t="str">
            <v>Vishal Sagar</v>
          </cell>
          <cell r="C53">
            <v>9990720203</v>
          </cell>
          <cell r="D53" t="str">
            <v>E-002, The Residency, Aardee City, Gate No. 2</v>
          </cell>
          <cell r="E53" t="str">
            <v>Sushant Estate</v>
          </cell>
          <cell r="F53" t="str">
            <v>Thursday</v>
          </cell>
          <cell r="G53" t="str">
            <v>9 AM to 2 PM</v>
          </cell>
          <cell r="H53">
            <v>999</v>
          </cell>
          <cell r="I53">
            <v>249.75</v>
          </cell>
          <cell r="J53" t="str">
            <v>Collection Only</v>
          </cell>
          <cell r="K53" t="str">
            <v>Paytm From Vasudha Rana (26/02) Send 4 FF Sachet Next (27/02) HDTNP (21/05) Send on sat this week (22/05) HDTNP (25/06)</v>
          </cell>
          <cell r="M53" t="str">
            <v>4 FF Next (27/02)</v>
          </cell>
          <cell r="N53" t="str">
            <v>3  del of this cycle   -  1-cycles pmnt   Pending - Collect 999</v>
          </cell>
          <cell r="O53" t="str">
            <v>R n W Car ( 14 Inch ) 9     FF Sachet + Grass</v>
          </cell>
          <cell r="P53" t="str">
            <v>Y Spray Daisy ( 15 Inch ) 3     FF Sachet + Grass</v>
          </cell>
          <cell r="Q53" t="str">
            <v>P n W Glad ( 14 Inch ) 9     Gras</v>
          </cell>
          <cell r="R53" t="str">
            <v>Sunflower ( 12 Inch ) 2     FF Sachet + Grass</v>
          </cell>
          <cell r="S53" t="e">
            <v>#N/A</v>
          </cell>
          <cell r="T53" t="str">
            <v xml:space="preserve">Collect 500 n Close      </v>
          </cell>
        </row>
        <row r="54">
          <cell r="A54">
            <v>2779</v>
          </cell>
          <cell r="B54" t="str">
            <v>Riddhi Desai</v>
          </cell>
          <cell r="C54">
            <v>8130497969</v>
          </cell>
          <cell r="D54" t="str">
            <v>D-71, The Icon</v>
          </cell>
          <cell r="E54" t="str">
            <v>Golf Course Road</v>
          </cell>
          <cell r="F54" t="str">
            <v>Sunday</v>
          </cell>
          <cell r="G54" t="str">
            <v>9 AM to 2 PM</v>
          </cell>
          <cell r="H54">
            <v>1600</v>
          </cell>
          <cell r="I54">
            <v>200</v>
          </cell>
          <cell r="J54" t="str">
            <v>Bloom</v>
          </cell>
          <cell r="K54" t="str">
            <v>Send this week on Saturday (14/08) Skip 1 week (21/12) Hold till 2nd June (20/05)</v>
          </cell>
          <cell r="N54" t="str">
            <v>6  del of this cycle   -  0-cycles pmnt   Completed - Collect 0</v>
          </cell>
          <cell r="O54" t="e">
            <v>#N/A</v>
          </cell>
          <cell r="P54" t="str">
            <v>P n W Car ( 14 Inch ) 7     FF Sachet + Grass</v>
          </cell>
          <cell r="Q54" t="str">
            <v>Y Spray Daisy ( 14 Inch ) 2     Grass</v>
          </cell>
          <cell r="R54" t="str">
            <v>Sunflower ( 12 Inch ) 2     FF Sachet + Grass</v>
          </cell>
          <cell r="S54" t="str">
            <v>Rajni ( 14 Inch ) 7     Grass</v>
          </cell>
          <cell r="T54" t="str">
            <v>Pur n P Car ( 14 Inch ) 7     FF Sachet + Grass</v>
          </cell>
        </row>
        <row r="55">
          <cell r="A55">
            <v>884</v>
          </cell>
          <cell r="B55" t="str">
            <v>Bhavna Taneja</v>
          </cell>
          <cell r="C55">
            <v>9811192021</v>
          </cell>
          <cell r="D55" t="str">
            <v>F-214, DLF The Crest,Sec-54</v>
          </cell>
          <cell r="E55" t="str">
            <v>Golf Course Road</v>
          </cell>
          <cell r="F55" t="str">
            <v>Thursday</v>
          </cell>
          <cell r="G55" t="str">
            <v>9:30 AM to 2 PM</v>
          </cell>
          <cell r="H55">
            <v>1450</v>
          </cell>
          <cell r="I55">
            <v>362.5</v>
          </cell>
          <cell r="J55" t="str">
            <v>Bliss</v>
          </cell>
          <cell r="K55" t="str">
            <v>Send 2 Stick exytra next(14/09) Send lilies next(27/09) Send Tom instead of Sat and send Lilies(22/10) Send del tom with Orchids(30/10) Send 2 Asiatic on Friday instead of satirday(21/11) Google Pay from Harsh Taneja(08/02) Send on 20th and don’t send on 22nd(15/02) Hold n start from 7th Mar (20/02) TRY FOR WEDNESDAY(19/05/20) Send next del on friday with 2 extra Asiatic lily for 200Rs.(27/05/2020) Sending 30th Del on 29th May(28/05/2020) UPI From Harsh Vir Taneja(05/06/2020) Upgrade to 850 (30/07/20) Send Tom instead of 30th Oct)(27/10) Sending tom due to Diwali(11/11) Change to Bloom Pack(08/04) Next del on Monday (23/12) Send Lilies Next (24/12) Dont send on thursday -- send on Monday (04/01) NO BOP n GULDAWARI (29/01) Skip this monday and send on tuesday this week (16/05) Skip this wek and send on Thursday (26/08) Skip next thursday and sned on sunday (22/03) Skip 2 wek (02/06) Skip tom n send on sunday (26/06) No GERBERA (01/08) 1000 cash and 250 via paytm (21/11) Send on tuesday this week (22/12) Paytm from Harshveer Taneja (16/05) Payment REceived on 08th May also via Cash(18/05) skip 1 week (31/05) Skip 1 week (20/12) Start from 25th June (12/06)</v>
          </cell>
          <cell r="L55" t="str">
            <v>GULDAWARI n BOP n GERBERA</v>
          </cell>
          <cell r="M55" t="str">
            <v>Mixed Now</v>
          </cell>
          <cell r="N55" t="str">
            <v>2  del of this cycle   -  1-cycles pmnt   Pending - Collect 1450</v>
          </cell>
          <cell r="O55" t="str">
            <v>O Asiatic ( 14 Inch ) 3     Grass</v>
          </cell>
          <cell r="P55" t="str">
            <v>P n W Spray Daisy ( 14 Inch ) 5     FF Sachet + Grass</v>
          </cell>
          <cell r="Q55" t="str">
            <v>P n W Glad ( 14 Inch ) 16     Grass</v>
          </cell>
          <cell r="R55" t="e">
            <v>#N/A</v>
          </cell>
          <cell r="S55" t="str">
            <v>Pur n P Car ( 14 Inch ) 16     FF Sachet + Grass</v>
          </cell>
          <cell r="T55" t="str">
            <v>Sunflower ( 12 Inch ) 4    Collect Payment FF Sachet + Grass</v>
          </cell>
        </row>
        <row r="56">
          <cell r="A56">
            <v>3393</v>
          </cell>
          <cell r="B56" t="str">
            <v>Runul Vashishtha</v>
          </cell>
          <cell r="C56">
            <v>9871812384</v>
          </cell>
          <cell r="D56" t="str">
            <v>C-84, DLF Park Place, Park Drive, GCR</v>
          </cell>
          <cell r="E56" t="str">
            <v>Golf Course Road</v>
          </cell>
          <cell r="F56" t="str">
            <v>Thursday</v>
          </cell>
          <cell r="G56" t="str">
            <v>9 AM to 2 PM</v>
          </cell>
          <cell r="H56">
            <v>1450</v>
          </cell>
          <cell r="I56">
            <v>362.5</v>
          </cell>
          <cell r="J56" t="str">
            <v>Bliss</v>
          </cell>
          <cell r="N56" t="str">
            <v>1  del of this cycle   -  0-cycles pmnt   Completed - Collect 0</v>
          </cell>
          <cell r="O56" t="e">
            <v>#N/A</v>
          </cell>
          <cell r="P56" t="e">
            <v>#N/A</v>
          </cell>
          <cell r="Q56" t="e">
            <v>#N/A</v>
          </cell>
          <cell r="R56" t="e">
            <v>#N/A</v>
          </cell>
          <cell r="S56" t="e">
            <v>#N/A</v>
          </cell>
          <cell r="T56" t="str">
            <v>Pur n P Car ( 14 Inch ) 16     FF Sachet + Grass</v>
          </cell>
        </row>
        <row r="57">
          <cell r="A57">
            <v>3144</v>
          </cell>
          <cell r="B57" t="str">
            <v>Samar Singh</v>
          </cell>
          <cell r="C57">
            <v>9582363043</v>
          </cell>
          <cell r="D57" t="str">
            <v>C-13, DLF Icon</v>
          </cell>
          <cell r="E57" t="str">
            <v>DLF Phase 5</v>
          </cell>
          <cell r="F57" t="str">
            <v>Thursday</v>
          </cell>
          <cell r="G57" t="str">
            <v>9 AM to 2 PM</v>
          </cell>
          <cell r="H57">
            <v>1450</v>
          </cell>
          <cell r="I57">
            <v>362.5</v>
          </cell>
          <cell r="J57" t="str">
            <v>Bliss</v>
          </cell>
          <cell r="K57" t="str">
            <v>Mixed Flowers // Day Changed to Sunday (20/12) Day Changed to Thursday (10/01) Skip 2 week (11/02)</v>
          </cell>
          <cell r="M57" t="str">
            <v>Mixed Flowers</v>
          </cell>
          <cell r="N57" t="str">
            <v>1  del of this cycle   -  1-cycles pmnt   Pending - Collect 1450</v>
          </cell>
          <cell r="O57" t="str">
            <v>P Spray Daisy ( 15 Inch ) 3 Mix Alstroemeria ( 12 Inch ) 7   FF Sachet + grass</v>
          </cell>
          <cell r="P57" t="str">
            <v>Y Asiatic ( 14 Inch ) 2 P n W Glad ( 14 Inch ) 7   Grass</v>
          </cell>
          <cell r="Q57" t="e">
            <v>#N/A</v>
          </cell>
          <cell r="R57" t="e">
            <v>#N/A</v>
          </cell>
          <cell r="S57" t="str">
            <v>Sunflower ( 12 Inch) 2 P n W Car ( 14 Inch ) 7   FF Sachet + Grass</v>
          </cell>
          <cell r="T57" t="str">
            <v>Pur Eustoma ( 12 Inch ) 2 Rajni ( 14 Inch ) 7   FF Sachet + Grass</v>
          </cell>
        </row>
        <row r="58">
          <cell r="A58">
            <v>2307</v>
          </cell>
          <cell r="B58" t="str">
            <v>Alpna Jain</v>
          </cell>
          <cell r="C58">
            <v>9599336609</v>
          </cell>
          <cell r="D58" t="str">
            <v>C-64, The Icon</v>
          </cell>
          <cell r="E58" t="str">
            <v>DLF Phase 5</v>
          </cell>
          <cell r="F58" t="str">
            <v>Thursday</v>
          </cell>
          <cell r="G58" t="str">
            <v>10 AM to 2:30 PM</v>
          </cell>
          <cell r="H58">
            <v>3000</v>
          </cell>
          <cell r="I58">
            <v>375</v>
          </cell>
          <cell r="J58" t="str">
            <v>Charm</v>
          </cell>
          <cell r="K58" t="str">
            <v>Thursday n Sunday // Hold today (08/02) Keep flowers outside of Door (17/05)</v>
          </cell>
          <cell r="M58" t="str">
            <v>Keep flowers outside of door always</v>
          </cell>
          <cell r="N58" t="str">
            <v>4  del of this cycle   -  1-cycles pmnt   Pending - Collect 3000</v>
          </cell>
          <cell r="O58" t="str">
            <v>O Asiatic ( 14 Inch ) 3 Pls Leave Outside Door Pls Leave Outside Door Pls Leave Outside Door  Grass</v>
          </cell>
          <cell r="P58" t="str">
            <v>Mix Alstroemeria ( 12 Inch ) 15 ( 12 Inch ) Leave outside of door don’t ring bell and no call   FF Sachet + Grass</v>
          </cell>
          <cell r="Q58" t="str">
            <v>Sunflower ( 12 Inch ) 4 Leave Outside of door-- Don’t Call and Don’t Ring Bell    FF Sachet + Grass</v>
          </cell>
          <cell r="R58" t="str">
            <v>Pur n P Eustoma ( 12 Inch ) 4 Leave Outside of door -- Don’t call n don’t ring bell    FF Sachet + Grass</v>
          </cell>
          <cell r="S58" t="str">
            <v>Pur n P Car ( 14 Inch ) 15 Keep Flowers at door-- Don’t call or don’t ring Bell    FF Sachet + Grass</v>
          </cell>
          <cell r="T58" t="str">
            <v>B Daisy ( 12 Inch ) 15    Collect Payment Grass</v>
          </cell>
        </row>
        <row r="59">
          <cell r="A59">
            <v>396</v>
          </cell>
          <cell r="B59" t="str">
            <v>Dr. Deepa Gupta</v>
          </cell>
          <cell r="C59">
            <v>8860079525</v>
          </cell>
          <cell r="D59" t="str">
            <v>Mayom Hospital, D block south city 1</v>
          </cell>
          <cell r="E59" t="str">
            <v>South City 1</v>
          </cell>
          <cell r="F59" t="str">
            <v>Thursday</v>
          </cell>
          <cell r="G59" t="str">
            <v>4 PM to 7 PM</v>
          </cell>
          <cell r="H59">
            <v>1450</v>
          </cell>
          <cell r="I59">
            <v>362.5</v>
          </cell>
          <cell r="J59" t="str">
            <v>Corporate</v>
          </cell>
          <cell r="K59" t="str">
            <v>1 del Missed(07/10) Return-send next week(31/12) Send replacement of Gerbera(30/10) Send on Monday this week(20/03) Return- hold package(08/07) Today returned-send next week(02/06) HDTNP (19/02)</v>
          </cell>
          <cell r="N59" t="str">
            <v>1  del of this cycle   -  0-cycles pmnt   In Process - Collect 0</v>
          </cell>
          <cell r="O59" t="str">
            <v>P n W Car ( 14 inch ) 16     FF Sachet + grass</v>
          </cell>
          <cell r="P59" t="str">
            <v>Mix Alstroemeria ( 12 Inch ) 16     FF Sachet + Grass</v>
          </cell>
          <cell r="Q59" t="str">
            <v>P n W Glad ( 14 Inch ) 16     Grass</v>
          </cell>
          <cell r="R59" t="str">
            <v>Pur n P Car ( 14 inch ) 16     FF Sachet + Grass</v>
          </cell>
          <cell r="S59" t="str">
            <v>Rajni ( 14 Inch ) 16     Grass</v>
          </cell>
          <cell r="T59" t="str">
            <v>P n W Glad ( 14 Inch ) 16     Grass</v>
          </cell>
        </row>
        <row r="60">
          <cell r="A60">
            <v>2205</v>
          </cell>
          <cell r="B60" t="str">
            <v>Shubhra Gupta</v>
          </cell>
          <cell r="C60">
            <v>9811981626</v>
          </cell>
          <cell r="D60" t="str">
            <v>ES-245, Espace</v>
          </cell>
          <cell r="E60" t="str">
            <v>Nirvana Country</v>
          </cell>
          <cell r="F60" t="str">
            <v>Thursday</v>
          </cell>
          <cell r="G60" t="str">
            <v>9 AM - 12 PM</v>
          </cell>
          <cell r="H60">
            <v>1450</v>
          </cell>
          <cell r="I60">
            <v>362.5</v>
          </cell>
          <cell r="J60" t="str">
            <v>Bliss</v>
          </cell>
          <cell r="K60" t="str">
            <v>Paytm From 9811656524 // No Orchids // Skip 1 week (01/10) Same flowers from last  2weeks, pls Check (06/11) Paytm from Gaurav Gupta (0703)</v>
          </cell>
          <cell r="L60" t="str">
            <v>ORCHID</v>
          </cell>
          <cell r="M60" t="str">
            <v>Same Flowers from 2 week, Pls Check (06/11)</v>
          </cell>
          <cell r="N60" t="str">
            <v>1  del of this cycle   -  1-cycles pmnt   Pending - Collect 1450</v>
          </cell>
          <cell r="O60" t="str">
            <v>O Asiatic ( 14 Inch ) 3     Grass</v>
          </cell>
          <cell r="P60" t="str">
            <v>P n W Glad ( 14 Inch ) 16     Grass</v>
          </cell>
          <cell r="Q60" t="str">
            <v>Pur n P Car ( 14 inch ) 16     FF Sachet + Grass</v>
          </cell>
          <cell r="R60" t="str">
            <v>P n W Spray Daisy ( 14 Inch ) 5     FF Sachet + Grass</v>
          </cell>
          <cell r="S60" t="str">
            <v>B Daisy ( 12 Inch ) 16     Grass</v>
          </cell>
          <cell r="T60" t="str">
            <v>P Asiatic ( 14 Inch ) 3     Grass</v>
          </cell>
        </row>
        <row r="61">
          <cell r="A61">
            <v>922</v>
          </cell>
          <cell r="B61" t="str">
            <v>Dr. Deepa Gupta</v>
          </cell>
          <cell r="C61">
            <v>8860079525</v>
          </cell>
          <cell r="D61" t="str">
            <v>Mayom Hospital, D block south city 1</v>
          </cell>
          <cell r="E61" t="str">
            <v>South City 1</v>
          </cell>
          <cell r="F61" t="str">
            <v>Thursday</v>
          </cell>
          <cell r="G61" t="str">
            <v>4 PM to 7 PM</v>
          </cell>
          <cell r="H61">
            <v>1450</v>
          </cell>
          <cell r="I61">
            <v>362.5</v>
          </cell>
          <cell r="J61" t="str">
            <v>Corporate</v>
          </cell>
          <cell r="K61" t="str">
            <v>1 del Missed(07/10) Return-send next week(31/12) Send replacement of Gerbera(30/10) Send on Monday this week(20/03) Return- hold package(08/07) Today returned-send next week(02/06) HDTNP (19/02)</v>
          </cell>
          <cell r="N61" t="str">
            <v>1  del of this cycle   -  0-cycles pmnt   In Process - Collect 0</v>
          </cell>
          <cell r="O61" t="str">
            <v>W Asiatic ( 14 Inch ) 3     Grass</v>
          </cell>
          <cell r="P61" t="str">
            <v>P Asiatic ( 14 Inch ) 3     Grass</v>
          </cell>
          <cell r="Q61" t="str">
            <v>Y Asiatic ( 14 Inch ) 3     Grass</v>
          </cell>
          <cell r="R61" t="str">
            <v>O Asiatic ( 14 Inch ) 3     Grass</v>
          </cell>
          <cell r="S61" t="str">
            <v>Pur Eustoma ( 12 Inch ) 3     FF Sachet + Grass</v>
          </cell>
          <cell r="T61" t="str">
            <v>P Asiatic ( 14 Inch ) 3     Grass</v>
          </cell>
        </row>
        <row r="62">
          <cell r="A62">
            <v>849</v>
          </cell>
          <cell r="B62" t="str">
            <v>Shalini Sharma</v>
          </cell>
          <cell r="C62">
            <v>7838500808</v>
          </cell>
          <cell r="D62" t="str">
            <v>208, Espace</v>
          </cell>
          <cell r="E62" t="str">
            <v>Nirvana Country</v>
          </cell>
          <cell r="F62" t="str">
            <v>Thursday</v>
          </cell>
          <cell r="G62" t="str">
            <v>9:30 Am to 2 PM</v>
          </cell>
          <cell r="H62">
            <v>1450</v>
          </cell>
          <cell r="I62">
            <v>362.5</v>
          </cell>
          <cell r="J62" t="str">
            <v>Bliss</v>
          </cell>
          <cell r="K62" t="str">
            <v>W n R Car Tom(25/04)  GERBERA NEXT(16/09) NO ORCHIDS(24/01)  Sent a replacement today(17/04) Ros enext (26/11) NO GULDAWARI n ORCHIDS ()6/01) Skip 1 week (05/01) Replacement tom (12/02) Send Tom and skip 30th Mar (25/03) Replacement tom (06/07) Will Pick on 30th -- Dont Send on 02nd Nov (28/10) Send this week del on tuesday 925/01) Send W Asiatic on 11th this week instead of 15th Feb (08/02) Skip 1 week (14/03) Lilies Next (20/05) Hold after current cycle (04/12) Four plus 1 Pack //</v>
          </cell>
          <cell r="L62" t="str">
            <v>GULDAWARI n ORCHID</v>
          </cell>
          <cell r="M62" t="str">
            <v>Lilies Next (20/05)</v>
          </cell>
          <cell r="N62" t="str">
            <v>3  del of this cycle   -  0-cycles pmnt   Completed - Collect 0</v>
          </cell>
          <cell r="O62" t="str">
            <v>Mix Alstroemeria ( 12 Inch ) 16     FF Sachet + grass</v>
          </cell>
          <cell r="P62" t="str">
            <v>P n W Glad ( 14 Inch ) 16     Grass</v>
          </cell>
          <cell r="Q62" t="str">
            <v>P Asiatic ( 14 Inch )  3     Grass</v>
          </cell>
          <cell r="R62" t="str">
            <v>P n Y Spray Daisy ( 14 Inch ) 5     FF Sachet + Grass</v>
          </cell>
          <cell r="S62" t="str">
            <v>Pur n P Car ( 14 Inch ) 16  Collect Payment Collect Payment Collect Payment FF Sachet + Grass</v>
          </cell>
          <cell r="T62" t="str">
            <v>Sunflower ( 12 Inch ) 4     FF Sachet + Grass</v>
          </cell>
        </row>
        <row r="63">
          <cell r="A63">
            <v>3326</v>
          </cell>
          <cell r="B63" t="str">
            <v>Ms. Rani</v>
          </cell>
          <cell r="C63">
            <v>9313104941</v>
          </cell>
          <cell r="D63" t="str">
            <v>J-151, Park Place</v>
          </cell>
          <cell r="E63" t="str">
            <v>DLF Phase 5</v>
          </cell>
          <cell r="F63" t="str">
            <v>Thursday</v>
          </cell>
          <cell r="G63" t="str">
            <v>9 AM to 2 PM</v>
          </cell>
          <cell r="H63">
            <v>1450</v>
          </cell>
          <cell r="I63">
            <v>362.5</v>
          </cell>
          <cell r="J63" t="str">
            <v>Bliss</v>
          </cell>
          <cell r="K63" t="str">
            <v>Start From July (06/06)</v>
          </cell>
          <cell r="N63" t="str">
            <v>1  del of this cycle   -  1-cycles pmnt   Pending - Collect 1450</v>
          </cell>
          <cell r="O63" t="str">
            <v>R n W Car ( 14 Inch ) 16     FF Sachet + grass</v>
          </cell>
          <cell r="P63" t="str">
            <v>P n Y Spray Dausy ( 14 Inch ) 5     FF Sachet + Grass</v>
          </cell>
          <cell r="Q63" t="e">
            <v>#N/A</v>
          </cell>
          <cell r="R63" t="e">
            <v>#N/A</v>
          </cell>
          <cell r="S63" t="e">
            <v>#N/A</v>
          </cell>
          <cell r="T63" t="str">
            <v>Pur n P Car ( 14 Inch ) 16     FF Sachet + Grass</v>
          </cell>
        </row>
        <row r="64">
          <cell r="A64">
            <v>3241</v>
          </cell>
          <cell r="B64" t="str">
            <v>Sunanda</v>
          </cell>
          <cell r="C64">
            <v>8800994226</v>
          </cell>
          <cell r="D64" t="str">
            <v>C-084, The Icon</v>
          </cell>
          <cell r="E64" t="str">
            <v>DLF Phase 5</v>
          </cell>
          <cell r="F64" t="str">
            <v>Thursday</v>
          </cell>
          <cell r="G64" t="str">
            <v>9 AM - 12 PM</v>
          </cell>
          <cell r="H64">
            <v>1450</v>
          </cell>
          <cell r="I64">
            <v>362.5</v>
          </cell>
          <cell r="J64" t="str">
            <v>Bliss</v>
          </cell>
          <cell r="K64" t="str">
            <v>One Kind // Skip 1 week (13/01) HDTNP (26/02) HDTNP (04/03) HDTNP (12/03)</v>
          </cell>
          <cell r="M64" t="str">
            <v>One Kind</v>
          </cell>
          <cell r="N64" t="str">
            <v>2  del of this cycle   -  1-cycles pmnt   Pending - Collect 1450</v>
          </cell>
          <cell r="O64" t="str">
            <v>Mix Alstroemeria ( 12 Inch ) 16     FF Sachet + grass</v>
          </cell>
          <cell r="P64" t="str">
            <v>P n W Glad ( 14 Inch ) 16     Grass</v>
          </cell>
          <cell r="Q64" t="str">
            <v>Pur Eustoma ( 12 Inch ) 3     FF Sachet + Grass</v>
          </cell>
          <cell r="R64" t="str">
            <v>Pur n P Car ( 14 inch ) 16     FF Sachet + Grass</v>
          </cell>
          <cell r="S64" t="str">
            <v>O Asiatic ( 14 Inch ) 3     Grass</v>
          </cell>
          <cell r="T64" t="str">
            <v>Sunflower ( 12 Inch ) 4    Collect Payment FF Sachet + Grass</v>
          </cell>
        </row>
        <row r="65">
          <cell r="A65">
            <v>870</v>
          </cell>
          <cell r="B65" t="str">
            <v>Himabindu Kanchan</v>
          </cell>
          <cell r="C65">
            <v>9892501292</v>
          </cell>
          <cell r="D65" t="str">
            <v xml:space="preserve">D -13, Pinnacle Dlf Phase - 5 </v>
          </cell>
          <cell r="E65" t="str">
            <v>DLF Phase 5</v>
          </cell>
          <cell r="F65" t="str">
            <v>Thursday</v>
          </cell>
          <cell r="G65" t="str">
            <v>9 AM - 12 PM</v>
          </cell>
          <cell r="H65">
            <v>1600</v>
          </cell>
          <cell r="I65">
            <v>200</v>
          </cell>
          <cell r="J65" t="str">
            <v>Bloom</v>
          </cell>
          <cell r="K65" t="str">
            <v>Sunday n Thursday//Fri to Thurs//FF Sold today(19/07) Skip n start from 23rd(08/08) P n Y Rose Next(15/11) 2 Stick Extra next(17/01) Hold-send tom(14/02) Orchids Next (18/08/20) Send 3 Sponge for 120 Rs.(19/08/20) Sending tom due to Diwali(11/11) Today returned-send next week(08/01) Skip 1 week(25/02) Skip 1 week(28/04) Glad Next(09/09) Skip 1 week(21/12) Skip 1 week(20/01) Hold Tom and skip 1 week(28/01) Skip 1 week(06/07) Receibved 695v extra today(23/07) Skip 2 weeks (21/12) Skip 1 week (08/02) No Renewal without payment (04/05) Hold today (28/12) Skip 1 week 902/01) Skip 1 week (07/02) Skip this sunday (16/02) Skip 1 week (06/04) Skip sunday del (09/05) Today hold (07/07) Hold HDTNP (12/03) tom (08/12) In form before sending (27/12) Skip next del (26/06) Hold today due to non payment (02/10) Skip week (22/12) HDTNP (01/03) HDTNP (04/03) HDTNP (08/03) HDTNP (14/03)</v>
          </cell>
          <cell r="N65" t="str">
            <v>4  del of this cycle   -  0-cycles pmnt   Completed - Collect 0</v>
          </cell>
          <cell r="O65" t="str">
            <v>Sunflower ( 14 Inch ) 2     Grass</v>
          </cell>
          <cell r="P65" t="str">
            <v>P n W Glad ( 14 Inch ) 7     Grass</v>
          </cell>
          <cell r="Q65" t="str">
            <v>Pur n P Car ( 14 inch ) 7     FF Sachet + Grass</v>
          </cell>
          <cell r="R65" t="str">
            <v>Sunflower ( 12 Inch ) 2     FF Sachet + Grass</v>
          </cell>
          <cell r="S65" t="str">
            <v>Rajni ( 14 Inch ) 7     Grass</v>
          </cell>
          <cell r="T65" t="str">
            <v>P n W Car ( 14 Inch ) 7     FF Sachet + Grass</v>
          </cell>
        </row>
        <row r="66">
          <cell r="A66">
            <v>237</v>
          </cell>
          <cell r="B66" t="str">
            <v>Mayom Hospital</v>
          </cell>
          <cell r="C66">
            <v>8860079525</v>
          </cell>
          <cell r="D66" t="str">
            <v>Mayom Hospital, D block south city 1</v>
          </cell>
          <cell r="H66">
            <v>3000</v>
          </cell>
          <cell r="I66">
            <v>750</v>
          </cell>
          <cell r="J66" t="str">
            <v>Corporate</v>
          </cell>
          <cell r="T66" t="str">
            <v xml:space="preserve">P n W Glad ( 14 Inch ) 15     </v>
          </cell>
        </row>
        <row r="67">
          <cell r="A67">
            <v>1098</v>
          </cell>
          <cell r="B67" t="str">
            <v>Rahul Sehgal</v>
          </cell>
          <cell r="C67">
            <v>9810022182</v>
          </cell>
          <cell r="D67" t="str">
            <v>418-A, Hamilton Court</v>
          </cell>
          <cell r="E67" t="str">
            <v>DLF Phase 4</v>
          </cell>
          <cell r="F67" t="str">
            <v>Thursday</v>
          </cell>
          <cell r="G67" t="str">
            <v>4 Pm to 7 PM</v>
          </cell>
          <cell r="H67">
            <v>1950</v>
          </cell>
          <cell r="I67">
            <v>487.5</v>
          </cell>
          <cell r="J67" t="str">
            <v>Joy</v>
          </cell>
          <cell r="K67" t="str">
            <v>P Glad First(02/09/20) Next Oriental and send only Glad/Oriental and asiatic(17/09/20)  Only Oriental and Gladioli(26/10) Now Send-- Glad // BOP + Guldawari // Oriental Lily// Heliconia(19/12) Send Glad tom -- No White(23/12) Send all flowesr now and mixed always but NO RAJNI(19/01) NO WHITE COLOR(04/03) NO BOP(21/03) NO ORCHID(02/04) Shift to Friday now(04/04) Sent 1 Flower Food today(06/06) Send on sat this week only(10/10) Y Chrysanthemum nextr and Lilies after that(23/10) NO HELICONIA(26/10) NO GERBERA(18/02) Skip thsi week(25/02) Day chang eto thursday evening slot(08/03) Do not count last delivery(20/03) Send replacement tomorrow (05/07)</v>
          </cell>
          <cell r="L67" t="str">
            <v>ROSE n RAJNI</v>
          </cell>
          <cell r="N67" t="str">
            <v>3  del of this cycle   -  0-cycles pmnt   Completed - Collect 0</v>
          </cell>
          <cell r="O67" t="str">
            <v>Mix Glad 22     Grass</v>
          </cell>
          <cell r="P67" t="str">
            <v>Sunflower ( 12 Inch ) 5     FF Sachet + Grass</v>
          </cell>
          <cell r="Q67" t="str">
            <v>Pur n P Car ( 14 inch ) 22     FF Sachet + Grass</v>
          </cell>
          <cell r="R67" t="str">
            <v>P n W Spray Daisy ( 14 Inch ) 7     FF Sachet + Grass</v>
          </cell>
          <cell r="S67" t="str">
            <v>O Asiatic ( 14 Inch ) 4     Grass</v>
          </cell>
          <cell r="T67" t="str">
            <v>P n W Glad ( 14 Inch ) 22     Grass</v>
          </cell>
        </row>
        <row r="68">
          <cell r="A68">
            <v>19</v>
          </cell>
          <cell r="B68" t="str">
            <v>Mrs. Geeta Chopra</v>
          </cell>
          <cell r="C68">
            <v>9811373448</v>
          </cell>
          <cell r="D68" t="str">
            <v>E-64,Ground Floor,Suncity,Sec-54</v>
          </cell>
          <cell r="E68" t="str">
            <v>Golf Course Road</v>
          </cell>
          <cell r="F68" t="str">
            <v>Thursday</v>
          </cell>
          <cell r="G68" t="str">
            <v>9 AM - 12 PM</v>
          </cell>
          <cell r="H68">
            <v>1450</v>
          </cell>
          <cell r="I68">
            <v>362.5</v>
          </cell>
          <cell r="J68" t="str">
            <v>Bliss</v>
          </cell>
          <cell r="K68" t="str">
            <v>Sunday to Thurs//No Rajni (22/05)NO GERBERA(11/08), next time 3 sticks extra (30/3) Send replacement with 3 sticks extra tom and send special pack too(14/04) NO GLAD(22/06) NO ORCHID(13/07) Send FF Next Week(20/07) FF Sold today(27/07) Add Changed(20/12) SEND ALL FLOWERS(18/02) START WITH 650 PLAN(19/05/20) Send Replacement(14/07) Send Replacement (04/11) Hold due to non payment (02/01) Hold due to non payment (08/01) today missed send on sunday (28/05)</v>
          </cell>
          <cell r="N68" t="str">
            <v>3  del of this cycle   -  1-cycles pmnt   Pending - Collect 1450</v>
          </cell>
          <cell r="O68" t="str">
            <v>R n W Car ( 14 Inch ) 16     FF Sachet + grass</v>
          </cell>
          <cell r="P68" t="str">
            <v>P n W Glad ( 14 Inch ) 16     Grass</v>
          </cell>
          <cell r="Q68" t="str">
            <v>Mix Alstroemeria ( 12 Inch ) 16     FF Sachet + Grass</v>
          </cell>
          <cell r="R68" t="str">
            <v>O Asiatic ( 14 Inch ) 3     Grass</v>
          </cell>
          <cell r="S68" t="str">
            <v>B Daisy ( 12 Inch ) 16  Collect Payment Collect Payment Collect Payment Grass</v>
          </cell>
          <cell r="T68" t="str">
            <v>Pur n P Car ( 14 Inch ) 16    Collect Payment FF Sachet + Grass</v>
          </cell>
        </row>
        <row r="69">
          <cell r="A69">
            <v>2076</v>
          </cell>
          <cell r="B69" t="str">
            <v>Divya Jain Midas</v>
          </cell>
          <cell r="C69">
            <v>9910172233</v>
          </cell>
          <cell r="D69" t="str">
            <v>Midas Touch, 1st Floor, A Block, Nirvana Courtyard</v>
          </cell>
          <cell r="E69" t="str">
            <v>Nirvana Country</v>
          </cell>
          <cell r="F69" t="str">
            <v>Thursday</v>
          </cell>
          <cell r="G69" t="str">
            <v>9 AM - 12 PM</v>
          </cell>
          <cell r="H69">
            <v>1450</v>
          </cell>
          <cell r="I69">
            <v>362.5</v>
          </cell>
          <cell r="J69" t="str">
            <v>Bliss</v>
          </cell>
          <cell r="K69" t="str">
            <v>Sent replacement today (01/06) Send 1 Vase with next delivery (10/10) Send 1 Rassee Vase and Flowers tom (29/11) Sent 1 vase today (30/1) 1500 cash and 100 via paytm (07/01) One deliv sent today (26/02) Sent one del today (10/06) sent one del today (21/07) GMom Quiz Voucher Added (07/08) 1 Vase sent today (11/11) Send one del tom and with either rose or Car (02/12) Sent one del today (28/04)</v>
          </cell>
          <cell r="N69" t="str">
            <v>2  del of this cycle   -  0-cycles pmnt   CompletedNO COLLECTION-we have extra money - Collect -50</v>
          </cell>
          <cell r="O69" t="str">
            <v>R n W Car ( 14 Inch ) 16     FF Sachet + grass</v>
          </cell>
          <cell r="P69" t="str">
            <v>P n W Glad ( 14 Inch ) 16     Grass</v>
          </cell>
          <cell r="Q69" t="str">
            <v>P n Y Spray Daisy ( 14 Inch ) 5     FF Sachet + Grass</v>
          </cell>
          <cell r="R69" t="str">
            <v>Sunflower ( 12 Inch ) 4     FF Sachet + Grass</v>
          </cell>
          <cell r="S69" t="str">
            <v>Pur Eustoma ( 12 Inch ) 3     FF Sachet + Grass</v>
          </cell>
          <cell r="T69" t="str">
            <v>O Asiatic ( 14 Inch ) 3     Grass</v>
          </cell>
        </row>
        <row r="70">
          <cell r="A70">
            <v>3063</v>
          </cell>
          <cell r="B70" t="str">
            <v>Shinjini Mehrotra</v>
          </cell>
          <cell r="C70">
            <v>9810198315</v>
          </cell>
          <cell r="D70" t="str">
            <v>F-109, 2nd Floor, Suncity</v>
          </cell>
          <cell r="E70" t="str">
            <v>Golf Course Road</v>
          </cell>
          <cell r="F70" t="str">
            <v>Thursday</v>
          </cell>
          <cell r="G70" t="str">
            <v>9 AM - 12 PM</v>
          </cell>
          <cell r="H70">
            <v>1450</v>
          </cell>
          <cell r="I70">
            <v>362.5</v>
          </cell>
          <cell r="J70" t="str">
            <v>Bliss</v>
          </cell>
          <cell r="K70" t="str">
            <v>Hold 4 Weeks (04/12) Skip 1 week (14/02) Skip 2 week (28/02) Skip 1 week  (01/04) Hold till 29th Apr (06/04)</v>
          </cell>
          <cell r="N70" t="str">
            <v>4  del of this cycle   -  0-cycles pmnt   CompletedNO COLLECTION-we have extra money - Collect -50</v>
          </cell>
          <cell r="O70" t="str">
            <v>O Asiatic ( 14 Inch ) 3     Grass</v>
          </cell>
          <cell r="P70" t="str">
            <v>R n W Car ( 14 inch ) 16     FF Sachet + Grass</v>
          </cell>
          <cell r="Q70" t="str">
            <v>Pur Eustoma ( 12 Inch ) 3     FF Sachet + Grass</v>
          </cell>
          <cell r="R70" t="str">
            <v>Sunflower ( 12 Inch ) 4     FF Sachet + Grass</v>
          </cell>
          <cell r="S70" t="str">
            <v>P n W Glad ( 14 Inch ) 16     Grass</v>
          </cell>
          <cell r="T70" t="str">
            <v>P Asiatic ( 14 Inch ) 3     Grass</v>
          </cell>
        </row>
        <row r="71">
          <cell r="A71" t="str">
            <v>G-00015</v>
          </cell>
          <cell r="B71" t="str">
            <v>Harsh  - Unikon</v>
          </cell>
          <cell r="C71">
            <v>9015463811</v>
          </cell>
          <cell r="D71" t="str">
            <v>AR-903B, 3rd Floor, Aralias</v>
          </cell>
          <cell r="E71" t="str">
            <v>Golf Course Road</v>
          </cell>
          <cell r="F71" t="str">
            <v>Thursday</v>
          </cell>
          <cell r="G71" t="str">
            <v>4 Pm to 7 PM</v>
          </cell>
          <cell r="H71">
            <v>2750</v>
          </cell>
          <cell r="I71">
            <v>687.5</v>
          </cell>
          <cell r="J71" t="str">
            <v>Elation</v>
          </cell>
          <cell r="K71" t="str">
            <v>From Deep Bajaj // Message = Your boyfriend:p (05/11) Paytm from Simran Dhawan (04/03) Send 1 delivery tomorrow (17/03) Skip 1 week (10/04) Add change request from Jasjit -- 9560611229</v>
          </cell>
          <cell r="M71" t="str">
            <v>One time Single n One Time Mixed</v>
          </cell>
          <cell r="N71" t="str">
            <v>1  del of this cycle   -  0-cycles pmnt   In Process - Collect 0</v>
          </cell>
          <cell r="O71" t="str">
            <v>O Asiatic ( 14 Inch ) 3 R n W Car ( 14 Inch ) 16   2 Limonium</v>
          </cell>
          <cell r="P71" t="str">
            <v>Sunflower ( 12 Inch ) 4 Mix Alstroemeria ( 12 Inch ) 16   2 Gypsola + FF Sachet</v>
          </cell>
          <cell r="Q71" t="str">
            <v>Pur n P Eustoma ( 12 Inch ) 4 P n W Glad ( 14 Inch ) 16   2 Limonium + FF Sachet</v>
          </cell>
          <cell r="R71" t="str">
            <v>P n W Spray Daisy ( 14 Inch ) 5 Pur n P Car ( 14 Inch ) 16   2 Gypsola + FF Sachet</v>
          </cell>
          <cell r="S71" t="str">
            <v>P Asiatic ( 14 Inch ) 3 B Daisy ( 12 Inch ) 16   2 Limonium</v>
          </cell>
          <cell r="T71" t="str">
            <v xml:space="preserve">Eustoma 4 Rajni ( 14 Inch ) 16   2 Gypsola + FF Sachet </v>
          </cell>
        </row>
        <row r="72">
          <cell r="A72">
            <v>3133</v>
          </cell>
          <cell r="B72" t="str">
            <v>Anastasiia Liapicheva</v>
          </cell>
          <cell r="C72" t="str">
            <v>7678659573 // '+79029329098</v>
          </cell>
          <cell r="D72" t="str">
            <v>B1/602, Palm Groove Heights, Ardee City Sec 52</v>
          </cell>
          <cell r="E72" t="str">
            <v>Sushant Estate</v>
          </cell>
          <cell r="F72" t="str">
            <v>Thursday</v>
          </cell>
          <cell r="G72" t="str">
            <v>9 AM - 12 PM</v>
          </cell>
          <cell r="H72">
            <v>1450</v>
          </cell>
          <cell r="I72">
            <v>362.5</v>
          </cell>
          <cell r="J72" t="str">
            <v>Bliss</v>
          </cell>
          <cell r="K72" t="str">
            <v>No Lilies (02/11) No White Greens (02/12) Skip 1 week (07/01) skip 1 week (27/01) No Sunflower (06/03) Skip 1 week (06/06)</v>
          </cell>
          <cell r="L72" t="str">
            <v>Lily n Sunflower n White Greens</v>
          </cell>
          <cell r="M72" t="str">
            <v>No White Greens n Mixed Flowers</v>
          </cell>
          <cell r="N72" t="str">
            <v>4  del of this cycle   -  0-cycles pmnt   Completed - Collect 0</v>
          </cell>
          <cell r="O72" t="str">
            <v>P Spray Daisy ( 15 Inch ) 3 R n W Car ( 14 Inch ) 7   FF Sachet + grass</v>
          </cell>
          <cell r="P72" t="str">
            <v>Pur Eustoma ( 14 Inch ) 2 Mix Alstroemeria ( 12 Inch ) 7   FF Sachet + Grass</v>
          </cell>
          <cell r="Q72" t="e">
            <v>#N/A</v>
          </cell>
          <cell r="R72" t="str">
            <v>O Asiatic ( 14 Inch ) 2 P n W Glad ( 14 Inch ) 7   Grass</v>
          </cell>
          <cell r="S72" t="str">
            <v>Y Spray Daisy 3 P n W Car ( 14 Inch ) 7   FF Sachet + Grass</v>
          </cell>
          <cell r="T72" t="str">
            <v>P Eustoma ( 12 Inch ) 2 Rajni ( 14 Inch ) 7   FF Sachet + Grass</v>
          </cell>
        </row>
        <row r="73">
          <cell r="A73">
            <v>2716</v>
          </cell>
          <cell r="B73" t="str">
            <v>Simmi Chopra</v>
          </cell>
          <cell r="C73">
            <v>9891744488</v>
          </cell>
          <cell r="D73" t="str">
            <v>B/145, Suncity, Golf Course Road</v>
          </cell>
          <cell r="E73" t="str">
            <v>Golf Course Road</v>
          </cell>
          <cell r="F73" t="str">
            <v>Thursday</v>
          </cell>
          <cell r="G73" t="str">
            <v>9 AM - 12 PM</v>
          </cell>
          <cell r="H73">
            <v>2750</v>
          </cell>
          <cell r="I73">
            <v>687.5</v>
          </cell>
          <cell r="J73" t="str">
            <v>Elation</v>
          </cell>
          <cell r="K73" t="str">
            <v>Upgrade to Elation (27/08) Send 10 B daisy next extra (04/10) Today Hold (04/12) Send one Del Tom (30/12)</v>
          </cell>
          <cell r="M73" t="str">
            <v>Send on del tom and no del on 1st Jan (30/12)</v>
          </cell>
          <cell r="N73" t="str">
            <v>2  del of this cycle   -  0-cycles pmnt   Completed - Collect 0</v>
          </cell>
          <cell r="O73" t="str">
            <v>Pur n p Eustoma 4 P n W Glad ( 14 Inch ) 16   2 Limonium + FF Sachet</v>
          </cell>
          <cell r="P73" t="str">
            <v>P n Y Spray Dausy ( 14 Inch ) 5 P n W Car  ( 14 Inch ) 16   2 Gypsola + FF Sachet</v>
          </cell>
          <cell r="Q73" t="str">
            <v>Sunflower ( 12 Inch ) 4 Mix Alstroemeria ( 12 Inch ) 16   2 Limonium + FF Sachet</v>
          </cell>
          <cell r="R73" t="str">
            <v xml:space="preserve">P Asiatic ( 14 Inch ) 3 P n W Glad ( 14 Inch ) 16   2 Gypsola </v>
          </cell>
          <cell r="S73" t="str">
            <v>Pur n P Eustoma ( 12 Inch ) 4 Pur n P Car ( 14 Inch ) 16   2 Limonium + FF Sachet</v>
          </cell>
          <cell r="T73" t="str">
            <v xml:space="preserve">P n W Spray Daisy ( 14 Inch ) 5 Rajni ( 14 Inch ) 16   2 Gypsola + FF Sachet </v>
          </cell>
        </row>
        <row r="74">
          <cell r="A74">
            <v>571</v>
          </cell>
          <cell r="B74" t="str">
            <v>Mrs. Singh</v>
          </cell>
          <cell r="C74">
            <v>9873099320</v>
          </cell>
          <cell r="D74" t="str">
            <v>D 42, pinnacle, Dlf ph 5, Golf course road</v>
          </cell>
          <cell r="E74" t="str">
            <v>DLF Phase 5</v>
          </cell>
          <cell r="F74" t="str">
            <v>Thursday</v>
          </cell>
          <cell r="G74" t="str">
            <v>9 AM - 12 PM</v>
          </cell>
          <cell r="H74">
            <v>1600</v>
          </cell>
          <cell r="I74">
            <v>200</v>
          </cell>
          <cell r="J74" t="str">
            <v>Bloom</v>
          </cell>
          <cell r="K74" t="str">
            <v>Thursday n Sunday//Send 3 stems extra in next del(09/10)Return-send Friday(01/01/19) NO CAR(05/06) 1 stick extra next week(11/06) Paytm from Sharad Kumar(13/08) Return-send next week(02/10) Send Tom instead of this week with gerbera(19/10) Return-send next week(31/12) SENDING ON 9TH DUE TO HOLI (08/03) Send on 4th (03/10) Return today (23/10) Do not count last delivery (22/04) Hold ans start after 10th (02/08)</v>
          </cell>
          <cell r="N74" t="str">
            <v>6  del of this cycle   -  0-cycles pmnt   Completed - Collect 0</v>
          </cell>
          <cell r="O74" t="str">
            <v>Sunflower ( 14 Inch ) 2     FF Sachet + Grass</v>
          </cell>
          <cell r="P74" t="str">
            <v>Mix Alstroemeria ( 12 Inch ) 7     FF Sachet + Grass</v>
          </cell>
          <cell r="Q74" t="str">
            <v>Pur n P Car ( 14 inch ) 7     FF Sachet + Grass</v>
          </cell>
          <cell r="R74" t="str">
            <v>Sunflower ( 12 Inch ) 2     FF Sachet + Grass</v>
          </cell>
          <cell r="S74" t="str">
            <v>P n W Glad ( 14 Inch ) 7     Grass</v>
          </cell>
          <cell r="T74" t="str">
            <v>P n W Car ( 14 Inch ) 7     FF Sachet + Grass</v>
          </cell>
        </row>
        <row r="75">
          <cell r="A75">
            <v>2250</v>
          </cell>
          <cell r="B75" t="str">
            <v>Saloni Gupta</v>
          </cell>
          <cell r="C75">
            <v>9810796682</v>
          </cell>
          <cell r="D75" t="str">
            <v>338, 3rd Floor, Espace</v>
          </cell>
          <cell r="E75" t="str">
            <v>Nirvana Country</v>
          </cell>
          <cell r="F75" t="str">
            <v>Sunday</v>
          </cell>
          <cell r="G75" t="str">
            <v>9 AM - 12 PM</v>
          </cell>
          <cell r="H75">
            <v>3088</v>
          </cell>
          <cell r="I75">
            <v>386</v>
          </cell>
          <cell r="J75" t="str">
            <v>Cutsomized-Biweekly</v>
          </cell>
          <cell r="K75" t="str">
            <v>Sunday n Thursday//Pls Keep Flowers in Vase// Paytm from Mayank G (17/03) Sent replacememnt today (23/03) Skip 1 week (10/04) 2 Asiatic and 5 Rajni (27/07) Paytm friom Mayank Gupta (16/09) 2 Asiatic Lily in each delivery (16/10) Today returned (17/11) Skip this sunday (03/01) Thursday -- 10 Rose and 4 Rajni // Sunday - 2 Asiatic (19/01) Whenever possible-send red Roses (23/01) Skip tom (29/01) Today returned (22/05) Send replacement tom (27/07) Hold today (14/08) Do not count last delivery (04/09) Hold today (02/10) Hold today (12/10) Hold after this cycle (27/10) Do not count last del (31/10) 2 Asiatic + 4 Rajni + 4 Glad -- thrice in a week (30/12) 2 Asiatic and 4 Rajni bi weekly pack (08/03) 2 Asiatic and 8 Rajni Every time and send 8 Rajni tom (26/03) Today returned-send tom (19/04)</v>
          </cell>
          <cell r="N75" t="str">
            <v>7  del of this cycle   -  0-cycles pmnt   Completed - Collect 0</v>
          </cell>
          <cell r="O75" t="e">
            <v>#N/A</v>
          </cell>
          <cell r="P75" t="e">
            <v>#N/A</v>
          </cell>
          <cell r="Q75" t="e">
            <v>#N/A</v>
          </cell>
          <cell r="R75" t="e">
            <v>#N/A</v>
          </cell>
          <cell r="S75" t="str">
            <v>W Asiatic ( 14 Inch ) 3     Grass</v>
          </cell>
          <cell r="T75" t="str">
            <v>O Asiatic ( 14 Inch ) 3     Grass</v>
          </cell>
        </row>
        <row r="76">
          <cell r="A76">
            <v>1898</v>
          </cell>
          <cell r="B76" t="str">
            <v>Shipra</v>
          </cell>
          <cell r="C76">
            <v>8447778677</v>
          </cell>
          <cell r="D76" t="str">
            <v xml:space="preserve">C-94 Trinity </v>
          </cell>
          <cell r="E76" t="str">
            <v>DLF Phase 5</v>
          </cell>
          <cell r="F76" t="str">
            <v>Saturday</v>
          </cell>
          <cell r="G76" t="str">
            <v>4 Pm to 7 PM</v>
          </cell>
          <cell r="H76">
            <v>1600</v>
          </cell>
          <cell r="I76">
            <v>200</v>
          </cell>
          <cell r="J76" t="str">
            <v>Bloom</v>
          </cell>
          <cell r="K76" t="str">
            <v>Thursday and Sunday// Rajni 1st(02/04) Changed to evening slot(07/04) Today Returned(17/04) Skip Sunday del(17/06) Skip this Thursday(28/06) Skip 1 week(13/08) Skip Tom Flowers(01/10) Paytm From Shipra Rastogi (20/02) Skip 1 wek (22/03) Skip Thursday delivery (04/04) Today Returned (09/04) Skip sunday delivery (29/09) Yesterday returned (22/12) Return today (28/01) Skip tom (23/03) Skip 1 week (10/04) Eustoma Next (26/05) Hold for 10 days (06/06) Sennd one del Tom (05/08) Hold today and skip next (15/08) Hold today n skip 1 week (21/11) Skip this sunday (21/12) Paytm from Shipra Rastogi (02/03) Hold today (23/03) 250 received via paytm (30/03) 1000 cash and 250 paytm (31/03) Hold from 10th to 21st June-25(11/06) Hold today due to nonpayment (02/10) Hold due to non payment (05/10) Yesterday returned (24/10) Skip 1 week (24/12) Hold due to non payment (07/01) Hold due to non payment (11/01) Hold due to non payment (14/01) Hold due to non payment (18/01) HDTNP (15/02) HDTNP(22/02) HDTNP (26/02) HDTNP (01/03) HDTNP (04/03) HDTNP (08/03) HDTNP (12/03) HDTNP (14/03) HDTNP (10/05) hdtnp (14/05) No Flowers from 17th to 24th (17/06)</v>
          </cell>
          <cell r="N76" t="str">
            <v>8  del of this cycle   -  0-cycles pmnt   Completed - Collect 0</v>
          </cell>
          <cell r="O76" t="str">
            <v>Sunflower 2     Grass</v>
          </cell>
          <cell r="P76" t="str">
            <v>Mix Alstroemeria ( 12 Inch ) 7     FF Sachet + Grass</v>
          </cell>
          <cell r="Q76" t="str">
            <v>Rajni ( 14 Inch ) 7     Grass</v>
          </cell>
          <cell r="R76" t="e">
            <v>#N/A</v>
          </cell>
          <cell r="S76" t="str">
            <v>Sunflower ( 12 Inch) 2     FF Sachet + Grass</v>
          </cell>
          <cell r="T76" t="str">
            <v>Rajni ( 14 Inch ) 7     Grass</v>
          </cell>
        </row>
        <row r="77">
          <cell r="A77">
            <v>309</v>
          </cell>
          <cell r="B77" t="str">
            <v>Ms Swati Bhise--before 10</v>
          </cell>
          <cell r="C77">
            <v>9811806611</v>
          </cell>
          <cell r="D77" t="str">
            <v xml:space="preserve">TG-5/4B Orchid Garden Sun city Sec - 54 </v>
          </cell>
          <cell r="E77" t="str">
            <v>Golf Course Road</v>
          </cell>
          <cell r="F77" t="str">
            <v>Thursday</v>
          </cell>
          <cell r="G77" t="str">
            <v>9 AM - 12 PM</v>
          </cell>
          <cell r="H77">
            <v>2750</v>
          </cell>
          <cell r="I77">
            <v>687.5</v>
          </cell>
          <cell r="J77" t="str">
            <v>Elation</v>
          </cell>
          <cell r="K77" t="str">
            <v>Sunday to thurs//Orchid in 1st Del and no Rose/Rajni/Gerbera till they come in good shape(08/07) Next B or W Orchid(02/12) Car Next(09/12) Next Orchid(06/01) Orchid Next(10/02)  Gerbera tom(13/08)NEVER PURPLE ORCHID--SEND W n B ORCHID Next(22/09) Y Asiatic Next(03/11)  Send 1 Del tom (02/07) Orchid Next (27/07) Skip 1 week (20/11) Send 1 Del Tom (10/02) Skip next Del (16/02) Hold n start from 10th June (20/03) Today Returned again (04/07) Returned again (11/07) Send this thursday and then skip 1 week (23/07) Hold today (08/08) Skip 2 more weeks (09/08) Today Returned (21/11) Skip 1 week (11/12) Skip 1 week (24/12) Skip 1 more week (25/01) Skip 1 week (18/02) Hold till 9th Mar (24/02) Hold now (11/09) Skip next week (27/11) Return today (18/12) Today Returned again (25/12) Skip tom (18/02) Skip 1 week (28/02) Skip 1 week (19/03) Skip 1 week (21/03)  Skip tom (09/04) Skip next week (16/04) Skip 3 week (20/04) Skip 1 week (14/05) Skip 1 week (17/05) Skip 1 week (03/06)</v>
          </cell>
          <cell r="M77" t="str">
            <v>Upgrade to Elation next (14/08)</v>
          </cell>
          <cell r="N77" t="str">
            <v>3  del of this cycle   -  0-cycles pmnt   Completed - Collect 0</v>
          </cell>
          <cell r="O77" t="str">
            <v>R n W Car ( 14 Inch ) 32     2 Limonium + FF Sachet</v>
          </cell>
          <cell r="P77" t="e">
            <v>#N/A</v>
          </cell>
          <cell r="Q77" t="str">
            <v>P Asiatic ( 14 Inch )  6     2 Gypsola</v>
          </cell>
          <cell r="R77" t="str">
            <v>P n W Glad ( 14 Inch ) 32     2 Limonium</v>
          </cell>
          <cell r="S77" t="str">
            <v>Pur n P Eustoma ( 12 Inch ) 6  Collect Payment Collect Payment Collect Payment 2 Limonium + FF Sachet</v>
          </cell>
          <cell r="T77" t="str">
            <v xml:space="preserve">Pur n P Car ( 14 Inch ) 32     2 Gypsola + FF Sachet </v>
          </cell>
        </row>
        <row r="78">
          <cell r="A78">
            <v>1656</v>
          </cell>
          <cell r="B78" t="str">
            <v>Eva-Pinnacle</v>
          </cell>
          <cell r="C78">
            <v>9560609907</v>
          </cell>
          <cell r="D78" t="str">
            <v>C-93, The Pinnacle</v>
          </cell>
          <cell r="E78" t="str">
            <v>DLF Phase 5</v>
          </cell>
          <cell r="F78" t="str">
            <v>Thursday</v>
          </cell>
          <cell r="G78" t="str">
            <v>9:30 Am to 2 PM</v>
          </cell>
          <cell r="H78">
            <v>999</v>
          </cell>
          <cell r="I78">
            <v>249.75</v>
          </cell>
          <cell r="J78" t="str">
            <v>Delight</v>
          </cell>
          <cell r="K78" t="str">
            <v>Paytm From Arvind Pachhapur(24/02) 750 pack-- Car//Guldawari//Rajni//Orchid//Asiatic(23/03) Hold today and send next6 week(14/04) Hold n start from 19th June(16/06) Skip 1 week (05/01) Received one more payment today (26/01) Payment was in process (20/03) Skip 1 week (28/06) Skip 1 week (29/06) Skip 3 week (21/05)</v>
          </cell>
          <cell r="N78" t="str">
            <v>4  del of this cycle   -  0-cycles pmnt   Completed - Collect 0</v>
          </cell>
          <cell r="O78" t="str">
            <v>P n W Glad ( 14 Inch ) 9     Grass</v>
          </cell>
          <cell r="P78" t="str">
            <v>Y Spray Daisy ( 15 Inch ) 3     FF Sachet + Grass</v>
          </cell>
          <cell r="Q78" t="str">
            <v>Pur n P Car ( 14 inch ) 9     Grass</v>
          </cell>
          <cell r="R78" t="str">
            <v>Sunflower ( 12 Inch ) 2     FF Sachet + Grass</v>
          </cell>
          <cell r="S78" t="str">
            <v>Rajni ( 14 Inch ) 9     Grass</v>
          </cell>
          <cell r="T78" t="str">
            <v>O Asiatic ( 14 Inch ) 2     Grass</v>
          </cell>
        </row>
        <row r="79">
          <cell r="A79">
            <v>1438</v>
          </cell>
          <cell r="B79" t="str">
            <v>Aishwarya G Aiyar</v>
          </cell>
          <cell r="C79">
            <v>9884857311</v>
          </cell>
          <cell r="D79" t="str">
            <v>A-173, The Pinnacle</v>
          </cell>
          <cell r="E79" t="str">
            <v>DLF Phase 5</v>
          </cell>
          <cell r="F79" t="str">
            <v>Thursday</v>
          </cell>
          <cell r="G79" t="str">
            <v>9 AM - 12 PM</v>
          </cell>
          <cell r="H79">
            <v>1600</v>
          </cell>
          <cell r="I79">
            <v>200</v>
          </cell>
          <cell r="J79" t="str">
            <v>Bloom</v>
          </cell>
          <cell r="K79" t="str">
            <v>Sunday n Thursday//Changed to Thursday//Ref By Vidya Raja(29/06) 10 Rajni and 10 Glad Next(03/07) Bop and car Next(10/07) Asiatic n car Next(17/07) Oriental and Rajni next(24/07) 3 Anthurium and 15 Glad tom(31/07) Mix of 2 flowers next(07/08) Sent replacement of Oriental today(26/08) NO HELICONIA and BOP and send Spray daisy(02/10) Skip 1 week(11/10) Now JOY(30/03) Skip 1 week(06/04) Holdn n skip this week(21/04) Skip 1 week(30/05) Hold n start from July(11/06) Skip this sunday delivery(05/08) Skip 1 week(30/08) Skip this sunday delivery(16/09) Paytm From Vivek Raja// Skip 1 week (26/04) Now bloom (01/05) Hold till 11th June (31/05) Hold n start from Aug and inform before sending (11/07) Skip 1 week (26/09) Today Retirned (02/11) Today Hold (16/11) Hold today 928/12) Hold for Thursday (05/03) Returned (10/03) Skip this sunday (24/05) Skip 1 week (02/06) Returned ltoday (29/08) Today Returned (05/09) Hols today (31/10) Skip 1 week (18/01) Skip this week (07/03) Skip 19th and 23rd (19/10) Hold 25th Del ( 23/01) Skip sunday (18/02) Skip sunday (27/03) Dont ring bell -- keep at Door (17/05) Skip thursday (15/06)</v>
          </cell>
          <cell r="N79" t="str">
            <v>1  del of this cycle   -  1-cycles pmnt   Pending - Collect 1600</v>
          </cell>
          <cell r="O79" t="str">
            <v>R n W Car ( 14 Inch ) 7     FF Sachet + Grass</v>
          </cell>
          <cell r="P79" t="str">
            <v>Mix Alstroemeria ( 12 Inch ) 7     FF Sachet + Grass</v>
          </cell>
          <cell r="Q79" t="str">
            <v>P n W Glad ( 14 Inch ) 7     Grass</v>
          </cell>
          <cell r="R79" t="e">
            <v>#N/A</v>
          </cell>
          <cell r="S79" t="str">
            <v>P n W Car ( 14 inch ) 7     FF Sachet + Grass</v>
          </cell>
          <cell r="T79" t="str">
            <v>P n W Glad ( 14 Inch ) 7     Grass</v>
          </cell>
        </row>
        <row r="80">
          <cell r="A80">
            <v>61</v>
          </cell>
          <cell r="B80" t="str">
            <v>Megha Manchanda -- Bliss Pack</v>
          </cell>
          <cell r="C80">
            <v>9871919500</v>
          </cell>
          <cell r="D80" t="str">
            <v>T-3/302, Unitech Harmony</v>
          </cell>
          <cell r="E80" t="str">
            <v>Nirvana Country</v>
          </cell>
          <cell r="F80" t="str">
            <v>Thursday</v>
          </cell>
          <cell r="G80" t="str">
            <v>9 AM - 12 PM</v>
          </cell>
          <cell r="H80">
            <v>999</v>
          </cell>
          <cell r="I80">
            <v>249.75</v>
          </cell>
          <cell r="J80" t="str">
            <v>Delight</v>
          </cell>
          <cell r="K80" t="str">
            <v>No rajni n Rose(22/05) 1Stick extra in next del(27/08)Today not delivered-pls send on 6th(04/09) Return-send next week(04/03)  NO GLAD(19/10) Always send areca palm with BOP(28/01) Add Changed(30/07) Skip 1 week (21/12) Don't deliver tom-- Send on Sunday (14/06) Send on Sunday instead of Thursday (03/01) Skip 2 weeks (12/06) Payment from Amardeep S R (13/07) Skip 1 week (18/03) Today TReturned (11/06) Skip n send on sunday this week (23/06)</v>
          </cell>
          <cell r="N80" t="str">
            <v>4  del of this cycle   -  0-cycles pmnt   Completed - Collect 0</v>
          </cell>
          <cell r="O80" t="str">
            <v>P n W Glad ( 14 Inch ) 9     Grass</v>
          </cell>
          <cell r="P80" t="str">
            <v>Y Asiatic ( 14 Inch ) 2     Grass</v>
          </cell>
          <cell r="Q80" t="str">
            <v>Pur n P Car ( 14 inch ) 9     Grass</v>
          </cell>
          <cell r="R80" t="str">
            <v>Sunflower ( 12 Inch ) 2     FF Sachet + Grass</v>
          </cell>
          <cell r="S80" t="e">
            <v>#N/A</v>
          </cell>
          <cell r="T80" t="str">
            <v>Rajni ( 14 Inch ) 9     Grass</v>
          </cell>
        </row>
        <row r="81">
          <cell r="A81">
            <v>2868</v>
          </cell>
          <cell r="B81" t="str">
            <v>Group Captain Prabal Bir Singh</v>
          </cell>
          <cell r="C81">
            <v>7827468667</v>
          </cell>
          <cell r="D81" t="str">
            <v>603, Shivshakti CGHS, Plot-94, Near Ati Chowk</v>
          </cell>
          <cell r="E81" t="str">
            <v>DLF Phase 5</v>
          </cell>
          <cell r="F81" t="str">
            <v>Thursday</v>
          </cell>
          <cell r="G81" t="str">
            <v>9 AM to 2 PM</v>
          </cell>
          <cell r="H81">
            <v>999</v>
          </cell>
          <cell r="I81">
            <v>249.75</v>
          </cell>
          <cell r="J81" t="str">
            <v>Delight</v>
          </cell>
          <cell r="N81" t="str">
            <v>4  del of this cycle   -  0-cycles pmnt   Completed - Collect 0</v>
          </cell>
          <cell r="O81" t="str">
            <v>O Asiatic ( 14 Inch ) 2     Grass</v>
          </cell>
          <cell r="P81" t="str">
            <v>R n W Car ( 14 inch ) 9     FF Sachet + Grass</v>
          </cell>
          <cell r="Q81" t="str">
            <v>P n W Glad ( 14 Inch ) 9     Gras</v>
          </cell>
          <cell r="R81" t="str">
            <v>Sunflower ( 12 Inch ) 2     FF Sachet + Grass</v>
          </cell>
          <cell r="S81" t="str">
            <v>Rajni ( 14 Inch ) 9     Grass</v>
          </cell>
          <cell r="T81" t="str">
            <v>P Asiatic ( 14 Inch ) 2     Grass</v>
          </cell>
        </row>
        <row r="82">
          <cell r="A82">
            <v>2644</v>
          </cell>
          <cell r="B82" t="str">
            <v>Sanjeet Kaur</v>
          </cell>
          <cell r="C82">
            <v>7889438209</v>
          </cell>
          <cell r="D82" t="str">
            <v>601, Emerald Green, Sector 52</v>
          </cell>
          <cell r="E82" t="str">
            <v>Artemis</v>
          </cell>
          <cell r="F82" t="str">
            <v>Thursday</v>
          </cell>
          <cell r="G82" t="str">
            <v>9:30 Am to 2 PM</v>
          </cell>
          <cell r="H82">
            <v>999</v>
          </cell>
          <cell r="I82">
            <v>249.75</v>
          </cell>
          <cell r="J82" t="str">
            <v>Delight</v>
          </cell>
          <cell r="K82" t="str">
            <v>1 Gypsola in each Del (16/05) Paytm From Arshia Kaur (13/06) Paytm From Yogpal Singh (20/12) Do not count todays delivery (30/04)</v>
          </cell>
          <cell r="M82" t="str">
            <v>1 Gyposla in each Del</v>
          </cell>
          <cell r="N82" t="str">
            <v>4  del of this cycle   -  0-cycles pmnt   Completed - Collect 0</v>
          </cell>
          <cell r="O82" t="str">
            <v>O Asiatic ( 14 Inch ) 2     Grass</v>
          </cell>
          <cell r="P82" t="str">
            <v>R n W Car ( 14 inch ) 9     FF Sachet + Grass</v>
          </cell>
          <cell r="Q82" t="str">
            <v>P n W Glad ( 14 Inch ) 9     Gras</v>
          </cell>
          <cell r="R82" t="str">
            <v>Y Spray Daisy ( 14 Inch ) 3     1 Gypsola + FF Sachet</v>
          </cell>
          <cell r="S82" t="str">
            <v>B Daisy ( 12 Inch ) 9     Grass</v>
          </cell>
          <cell r="T82" t="str">
            <v>P Asiatic ( 14 Inch ) 2     Grass</v>
          </cell>
        </row>
        <row r="83">
          <cell r="A83">
            <v>826</v>
          </cell>
          <cell r="B83" t="str">
            <v>Anuradha M Agarwal</v>
          </cell>
          <cell r="C83">
            <v>9811201606</v>
          </cell>
          <cell r="D83" t="str">
            <v>A-82, Westend Heights</v>
          </cell>
          <cell r="E83" t="str">
            <v>DLF Phase 5</v>
          </cell>
          <cell r="F83" t="str">
            <v>Thursday</v>
          </cell>
          <cell r="G83" t="str">
            <v>9 AM to 2 PM</v>
          </cell>
          <cell r="H83">
            <v>999</v>
          </cell>
          <cell r="I83">
            <v>249.75</v>
          </cell>
          <cell r="J83" t="str">
            <v>Delight</v>
          </cell>
          <cell r="K83" t="str">
            <v>Sending on 20th instaed of 21st,bcoz of Holi(18/03) This Cycle flowers -- Lilies / Orchids / Carnations/Gladioli(07/04) Orchid Next(25/04) Skip 2 week(11/06) Send on Friday this week(12/08) NO ORCHID, today returned-send glad tom(22/08)ASIATIC AND  ORCHID ONCE A CYCLE WITHOUT PLASTIC CAP(22/12) Returned-send Tom(16/01) Day chenged to saturday n ORCHID NEXT(18/01) Do not consider this week del and AVOID YELLOW COLOR FOR SOME WEEK, Send Orchid Next(23/02) Orchid next (27/05) Orchid next (09/06) Hold after current cycle (09/06) Return today (10/10) Skip 1 week (25/10) Skip this thursday (16/02) Skip 1 week (23/03) Today Returned and skip next week Laos (14/08) Skip 2 week (11/10) Skip 2 week (21/12)</v>
          </cell>
          <cell r="N83" t="str">
            <v>3  del of this cycle   -  0-cycles pmnt   Completed - Collect 0</v>
          </cell>
          <cell r="O83" t="str">
            <v>R n W Car ( 14 Inch ) 9     FF Sachet + Grass</v>
          </cell>
          <cell r="P83" t="str">
            <v>P Spray Daisy ( 14 Inch ) 3     FF Sachet + Grass</v>
          </cell>
          <cell r="Q83" t="str">
            <v>P n W Glad ( 14 Inch ) 9     Gras</v>
          </cell>
          <cell r="R83" t="str">
            <v>O Asiatic ( 14 Inch ) 3     Grass</v>
          </cell>
          <cell r="S83" t="str">
            <v>B Daisy ( 12 Inch ) 9     Grass</v>
          </cell>
          <cell r="T83" t="str">
            <v>P n W Car ( 14 Inch ) 9     FF Sachet + Grass</v>
          </cell>
        </row>
        <row r="84">
          <cell r="A84">
            <v>2406</v>
          </cell>
          <cell r="B84" t="str">
            <v>Vermeen Kapoor</v>
          </cell>
          <cell r="C84">
            <v>9873458198</v>
          </cell>
          <cell r="D84" t="str">
            <v>B-59, South City 2</v>
          </cell>
          <cell r="E84" t="str">
            <v>Nirvana Country</v>
          </cell>
          <cell r="F84" t="str">
            <v>Thursday</v>
          </cell>
          <cell r="G84" t="str">
            <v>9:30 Am to 2 PM</v>
          </cell>
          <cell r="H84">
            <v>1450</v>
          </cell>
          <cell r="I84">
            <v>362.5</v>
          </cell>
          <cell r="J84" t="str">
            <v>Bliss</v>
          </cell>
          <cell r="K84" t="str">
            <v>Referred by Swati Khandelwal?/ Mixed Flowers // Send replace,ent tom (19/02) Day Changed to Thursday (08/04) today returned-send tom (24/07)</v>
          </cell>
          <cell r="M84" t="str">
            <v>Mixed Flowers</v>
          </cell>
          <cell r="N84" t="str">
            <v>2  del of this cycle   -  0-cycles pmnt   Completed - Collect 0</v>
          </cell>
          <cell r="O84" t="str">
            <v>P Spray Daisy ( 15 Inch ) 3 P n W Glad ( 14 Inch ) 7   FF Sachet + grass</v>
          </cell>
          <cell r="P84" t="str">
            <v>W Asiatic ( 14 Inch ) 2 Mix Alstroemeria ( 12 Inch ) 7   Grass</v>
          </cell>
          <cell r="Q84" t="str">
            <v>Pur Eustoma ( 12 Inch ) 2 Pur n P Car ( 14 inch ) 7   FF Sachet + Grass</v>
          </cell>
          <cell r="R84" t="str">
            <v>Sunflower ( 12 Inch ) 2 P n W Glad ( 14 Inch ) 7   FF Sachet + Grass</v>
          </cell>
          <cell r="S84" t="str">
            <v>P Asiatic ( 14 Inch ) 2 B Daisy ( 12 Inch ) 7   Grass</v>
          </cell>
          <cell r="T84" t="str">
            <v>P Spray Daisy ( 14 Inch ) 3 Rajni ( 14 Inch ) 7   FF Sachet + Grass</v>
          </cell>
        </row>
        <row r="85">
          <cell r="A85">
            <v>484</v>
          </cell>
          <cell r="B85" t="str">
            <v>Deepti Chhabra</v>
          </cell>
          <cell r="C85">
            <v>9811230451</v>
          </cell>
          <cell r="D85" t="str">
            <v>A-061, Westend Heights</v>
          </cell>
          <cell r="E85" t="str">
            <v>DLF Phase 5</v>
          </cell>
          <cell r="F85" t="str">
            <v>Thursday</v>
          </cell>
          <cell r="G85" t="str">
            <v>4 PM to 7PM</v>
          </cell>
          <cell r="H85">
            <v>1950</v>
          </cell>
          <cell r="I85">
            <v>487.5</v>
          </cell>
          <cell r="J85" t="str">
            <v>Joy</v>
          </cell>
          <cell r="K85" t="str">
            <v>Sat to Thursday//Hold n start from 23rd Nov(31/10) Add changed(01/02) Paytm from Vishal Chabra(22/02) Send Replacement(03/03) Skip this week(18/03) Skip next del(14/06) 1 stick extra next Del(12/07 FF Sold Today(19/07) Send rajni Tom(02/08) Send FF Next(13/09) Next Asiatic n 2 sticks extra(25/09) Rajni Next(05/12) Skip 1 week(20/12) Hold-send tom(14/02) Upgraded to 1250, send remaining 5 sticks tom(04/09) Skip1 week(05/11) Skip 1 week(18/11)  Hold today and skip 1 week(11/12) Skip 1 week(20/03) Sent replacement today(08/04) Skip 2 weeks(21/06) Skip 1 week (09/11) Skip 1 more week (16/11) NO ROSE (29/12) Send replacemet tom (08/04) Pink n green Spray Car Tom (03/05) Skip 2 weeks (01/06) Skip 1 week (23/10) Skip 1 week (15/11) Today hold (11/01) Skip 1 week (16/03) Skip 2 week (22/10) Paytm from Arti Lakra (17/01) Skip 1 week(12/04) Skip 1 week912/04) Yesterday Returned (24/10) Skip tom (07/01) Hold due to non payment (04/02) Skip 2 week (16/05) Hod n start from July (04/06)</v>
          </cell>
          <cell r="L85" t="str">
            <v>ROSE</v>
          </cell>
          <cell r="N85" t="str">
            <v>1  del of this cycle   -  1-cycles pmnt   Pending - Collect 1950</v>
          </cell>
          <cell r="O85" t="e">
            <v>#N/A</v>
          </cell>
          <cell r="P85" t="str">
            <v>P n Y Spray Dausy ( 14 Inch ) 7     FF Sachet + Grass</v>
          </cell>
          <cell r="Q85" t="e">
            <v>#N/A</v>
          </cell>
          <cell r="R85" t="e">
            <v>#N/A</v>
          </cell>
          <cell r="S85" t="e">
            <v>#N/A</v>
          </cell>
          <cell r="T85" t="str">
            <v>Pur n P Car ( 14 Inch ) 22     FF Sachet + Grass</v>
          </cell>
        </row>
        <row r="86">
          <cell r="A86">
            <v>2104</v>
          </cell>
          <cell r="B86" t="str">
            <v>Arun Gupta</v>
          </cell>
          <cell r="C86">
            <v>9999072697</v>
          </cell>
          <cell r="D86" t="str">
            <v>C-22m Arc Stationary</v>
          </cell>
          <cell r="E86" t="str">
            <v>Nirvana Country</v>
          </cell>
          <cell r="F86" t="str">
            <v>Thursday</v>
          </cell>
          <cell r="G86" t="str">
            <v>9 AM to 2 PM</v>
          </cell>
          <cell r="H86">
            <v>400</v>
          </cell>
          <cell r="I86">
            <v>100</v>
          </cell>
          <cell r="J86" t="str">
            <v>Customized</v>
          </cell>
          <cell r="K86" t="str">
            <v>4 Flowers at both Shop</v>
          </cell>
          <cell r="N86" t="str">
            <v>1  del of this cycle   -  0-cycles pmnt   In Process - Collect 0</v>
          </cell>
          <cell r="O86" t="str">
            <v>Broken Flowers  5 1 Shop    FF Sachet + Grass</v>
          </cell>
          <cell r="P86" t="str">
            <v>Broken Flowers  5 1 Shop    Grass</v>
          </cell>
          <cell r="Q86" t="str">
            <v>Broken Flowers  5 1 Shop    Grass</v>
          </cell>
          <cell r="R86" t="str">
            <v xml:space="preserve">      </v>
          </cell>
          <cell r="S86" t="str">
            <v xml:space="preserve">Broken Flowers  5 1 Shop    </v>
          </cell>
          <cell r="T86" t="str">
            <v xml:space="preserve">Broken Flowers  5     </v>
          </cell>
        </row>
        <row r="87">
          <cell r="A87">
            <v>3128</v>
          </cell>
          <cell r="B87" t="str">
            <v>Shikha Malhotra</v>
          </cell>
          <cell r="C87">
            <v>9873498869</v>
          </cell>
          <cell r="D87" t="str">
            <v>M-254, Park Place</v>
          </cell>
          <cell r="E87" t="str">
            <v>Golf Course Road</v>
          </cell>
          <cell r="F87" t="str">
            <v>Thursday</v>
          </cell>
          <cell r="G87" t="str">
            <v>4 PM to 7 PM</v>
          </cell>
          <cell r="H87">
            <v>1450</v>
          </cell>
          <cell r="I87">
            <v>362.5</v>
          </cell>
          <cell r="J87" t="str">
            <v>Bliss</v>
          </cell>
          <cell r="K87" t="str">
            <v>Skip 2 week after 13th (07/11) Today Hold (04/12) Paytm From Vivek Malhotra //</v>
          </cell>
          <cell r="N87" t="str">
            <v>3  del of this cycle   -  0-cycles pmnt   Completed - Collect 0</v>
          </cell>
          <cell r="O87" t="e">
            <v>#N/A</v>
          </cell>
          <cell r="P87" t="e">
            <v>#N/A</v>
          </cell>
          <cell r="Q87" t="e">
            <v>#N/A</v>
          </cell>
          <cell r="R87" t="str">
            <v>Pur n P Car ( 14 inch ) 16     FF Sachet + Grass</v>
          </cell>
          <cell r="S87" t="str">
            <v>P Asiatic ( 14 Inch ) 3  Collect Payment Collect Payment Collect Payment Grass</v>
          </cell>
          <cell r="T87" t="str">
            <v>Rajni ( 14 Inch ) 16     Grass</v>
          </cell>
        </row>
        <row r="88">
          <cell r="A88">
            <v>2578</v>
          </cell>
          <cell r="B88" t="str">
            <v>Suchit Agarwal</v>
          </cell>
          <cell r="C88">
            <v>9999404880</v>
          </cell>
          <cell r="D88" t="str">
            <v>T-A/702, Kanchanjunga Towers, Sec 56</v>
          </cell>
          <cell r="E88" t="str">
            <v>Sector 56</v>
          </cell>
          <cell r="F88" t="str">
            <v>Thursday</v>
          </cell>
          <cell r="G88" t="str">
            <v>4 Pm to 7 PM</v>
          </cell>
          <cell r="H88">
            <v>999</v>
          </cell>
          <cell r="I88">
            <v>249.75</v>
          </cell>
          <cell r="J88" t="str">
            <v>Collection Only</v>
          </cell>
          <cell r="K88" t="str">
            <v>Paytm From Richa Handa (20/06) Skip Thursday and send on Sunday (23/02) Skip tom n send on Sunday this week (01/04) HDTNP (25/06)</v>
          </cell>
          <cell r="N88" t="str">
            <v>3  del of this cycle   -  1-cycles pmnt   Pending - Collect 999</v>
          </cell>
          <cell r="O88" t="str">
            <v>O Asiatic ( 14 Inch ) 2     Grass</v>
          </cell>
          <cell r="P88" t="str">
            <v>P n W Glad ( 14 Inch ) 9     Grass</v>
          </cell>
          <cell r="Q88" t="str">
            <v>Mix Alstroemeria ( 12 Inch ) 9     Grass</v>
          </cell>
          <cell r="R88" t="str">
            <v>Sunflower ( 12 Inch ) 2     FF Sachet + Grass</v>
          </cell>
          <cell r="S88" t="e">
            <v>#N/A</v>
          </cell>
          <cell r="T88" t="str">
            <v xml:space="preserve">Collect 500 n Close      </v>
          </cell>
        </row>
        <row r="89">
          <cell r="A89">
            <v>2666</v>
          </cell>
          <cell r="B89" t="str">
            <v>Gunjan Malhotra</v>
          </cell>
          <cell r="C89">
            <v>9971518253</v>
          </cell>
          <cell r="D89" t="str">
            <v>H. No. 298C, 1st Floor, Block G, Sushant Lok-2</v>
          </cell>
          <cell r="E89" t="str">
            <v>Artemis</v>
          </cell>
          <cell r="F89" t="str">
            <v>Thursday</v>
          </cell>
          <cell r="G89" t="str">
            <v>4 PM to 7 PM</v>
          </cell>
          <cell r="H89">
            <v>1450</v>
          </cell>
          <cell r="I89">
            <v>362.5</v>
          </cell>
          <cell r="J89" t="str">
            <v>Bliss</v>
          </cell>
          <cell r="K89" t="str">
            <v>Paytm From Gunjan Malhotra // Hold n start from 04th Sep (02/08) Change day to Thursday (31/08) Do not count last Del (20/12) Skip 1 week (02/02) Skip 1 week (25/03)</v>
          </cell>
          <cell r="N89" t="str">
            <v>3  del of this cycle   -  0-cycles pmnt   Completed - Collect 0</v>
          </cell>
          <cell r="O89" t="str">
            <v>O Asiatic ( 14 Inch ) 2     Grass</v>
          </cell>
          <cell r="P89" t="str">
            <v>P n W Glad ( 14 Inch ) 9     Grass</v>
          </cell>
          <cell r="Q89" t="str">
            <v>Pur n P Car ( 14 inch ) 9     Grass</v>
          </cell>
          <cell r="R89" t="str">
            <v>Mix Alstroemeria ( 12 Inch ) 16     FF Sachet + Grass</v>
          </cell>
          <cell r="S89" t="str">
            <v>Pur Eustoma ( 12 Inch ) 3     FF Sachet + Grass</v>
          </cell>
          <cell r="T89" t="str">
            <v>P Asiatic ( 14 Inch ) 3     Grass</v>
          </cell>
        </row>
        <row r="90">
          <cell r="A90">
            <v>2865</v>
          </cell>
          <cell r="B90" t="str">
            <v>Shilpi Karan Bhalla</v>
          </cell>
          <cell r="C90">
            <v>9312239638</v>
          </cell>
          <cell r="D90" t="str">
            <v>A1/192, 4th Floor, Sec 55 Sushant Lok-2, Near Orchid International School</v>
          </cell>
          <cell r="E90" t="str">
            <v>Sector 56</v>
          </cell>
          <cell r="F90" t="str">
            <v>Thursday</v>
          </cell>
          <cell r="G90" t="str">
            <v>9:30 Am to 2 PM</v>
          </cell>
          <cell r="H90">
            <v>999</v>
          </cell>
          <cell r="I90">
            <v>249.75</v>
          </cell>
          <cell r="J90" t="str">
            <v>Delight</v>
          </cell>
          <cell r="K90" t="str">
            <v>Hold Due to non payment (17/12) Name and num,ber changed (26/12) Hold due to non payment (04/02) HDTNP (19/02) HDTNP (11/06)</v>
          </cell>
          <cell r="N90" t="str">
            <v>4  del of this cycle   -  0-cycles pmnt   CompletedNO COLLECTION-we have extra money - Collect -10</v>
          </cell>
          <cell r="O90" t="str">
            <v>O Asiatic ( 14 Inch ) 2     Grass</v>
          </cell>
          <cell r="P90" t="str">
            <v>P n W Glad ( 14 Inch ) 9     Grass</v>
          </cell>
          <cell r="Q90" t="e">
            <v>#N/A</v>
          </cell>
          <cell r="R90" t="str">
            <v>Mix Alstroemeria ( 12 Inch ) 9     FF Sachet + Grass</v>
          </cell>
          <cell r="S90" t="str">
            <v>Y Spray Daisy ( 14 Inch ) 3     FF Sachet + Grass</v>
          </cell>
          <cell r="T90" t="str">
            <v>P n W Car ( 14 Inch ) 9     FF Sachet + Grass</v>
          </cell>
        </row>
        <row r="91">
          <cell r="A91">
            <v>442</v>
          </cell>
          <cell r="B91" t="str">
            <v>Ruchi Mathure--Before 10:30 AM</v>
          </cell>
          <cell r="C91">
            <v>9871265555</v>
          </cell>
          <cell r="D91" t="str">
            <v>D-013, Westend height, DLF-5</v>
          </cell>
          <cell r="E91" t="str">
            <v>DLF Phase 5</v>
          </cell>
          <cell r="F91" t="str">
            <v>Thursday</v>
          </cell>
          <cell r="G91" t="str">
            <v>9 AM - 12 PM</v>
          </cell>
          <cell r="H91">
            <v>1450</v>
          </cell>
          <cell r="I91">
            <v>362.5</v>
          </cell>
          <cell r="J91" t="str">
            <v>Bliss</v>
          </cell>
          <cell r="K91" t="str">
            <v>No White Flowers(22/08)Skip this week n start from Thursday(26/09)Skip this week(29/11) Skip n sned on Monday(27/01) Return-send tom(17/02) NO P CAR(18/02)Return-send on Friday(24/02) Return-doesn't need Special Pack(14/04) Upgrade to 650 Plan(02/05) Skip this week n send on Monday(07/06) Skip 1 week(13/09) Skip 1 week(26/10) Skip 1 week(14/12) 150 adjusted against extra paid in Nargis to be delivered on 1st jan(30/12) Skip 1 week(26/01) Last week del was missed- pls send tom(07/03) Skip 2 weeks(18/03)NO WHITE FLOWERS(30/12) Send on saturdya this week instead of Thursday(12/11) Send on saturday this week(21/12) Getting only Car and asiatic-- Pls send all flowers(07/01) 10th Del missed-send them on saturday(11/03) NO WHITE FLOWERS(01/04) Hold n start from 2nd June(29/04) Last Thursday Missed(04/06) Skip this week n send on Sunday this week(22/06) Send Tom 1 Del with Rajni (11/07) Send 1 Del Tom(17/07) Today returned (28/07) NO GOLDEN GRASS(11/08) Sent 1 del Today(13/09) Skip tom and sned on Sunday (24/11) nEXT DEL SEND ON 31ST INSTEAD OF 30TH (24/12) Skip 1 week (20/01) Sent replacement today (14/04) send on monday this week only (21/04) Hold till 2nd Aug (07/07) Sent 1 del today and dont send tom (30/08) Skip tom Del n Send on Sunday (01/11) Today returned (09/11) No Del del till 3rd DEc (15/12) Skip 1 week (30/01) Skip on 14th and send on Sunday (12/03) Skip n sned on sunday (08/05) Hold today (30/05) Payment from Kapil M (16/06) Paytm From Kapil M (14/07) Skip 1 week (26/11) Skip nexty del (03/12) Hold till 15th Apr (18/04) No Sunflower (13/03) Skip this thursday and sned on sunday (20/04) Skip 1 week (20/05)</v>
          </cell>
          <cell r="L91" t="str">
            <v>Sunflower</v>
          </cell>
          <cell r="M91" t="str">
            <v>No White even in mixed // Skip 23rd and sned on 26th (20/04)</v>
          </cell>
          <cell r="N91" t="str">
            <v>1  del of this cycle   -  0-cycles pmnt   Completed - Collect 0</v>
          </cell>
          <cell r="O91" t="str">
            <v>Mix Alstroemeria ( 12 Inch ) 16     FF Sachet + grass</v>
          </cell>
          <cell r="P91" t="str">
            <v>W Asiatic ( 14 Inch ) 3     Grass</v>
          </cell>
          <cell r="Q91" t="str">
            <v>P Glad ( 14 Inch ) 16 No White     Grass</v>
          </cell>
          <cell r="R91" t="str">
            <v>P n Y Spray Daisy ( 14 Inch ) 5 No White Flower  No White Flower   FF Sachet + Grass</v>
          </cell>
          <cell r="S91" t="str">
            <v>Pur n P Car ( 14 Inch ) 16     FF Sachet + Grass</v>
          </cell>
          <cell r="T91" t="str">
            <v>Pur Eustoma ( 12 Inch ) 3     FF Sachet + Grass</v>
          </cell>
        </row>
        <row r="92">
          <cell r="A92">
            <v>2569</v>
          </cell>
          <cell r="B92" t="str">
            <v>Mrs. Verma</v>
          </cell>
          <cell r="C92">
            <v>9971135993</v>
          </cell>
          <cell r="D92" t="str">
            <v>A1/192, 1st Floor, Sec 55, Sushant Lok-2, Near Orchid International School</v>
          </cell>
          <cell r="E92" t="str">
            <v>Sector 56</v>
          </cell>
          <cell r="F92" t="str">
            <v>Thursday</v>
          </cell>
          <cell r="G92" t="str">
            <v>9 AM - 12 PM</v>
          </cell>
          <cell r="H92">
            <v>1450</v>
          </cell>
          <cell r="I92">
            <v>362.5</v>
          </cell>
          <cell r="J92" t="str">
            <v>Bliss</v>
          </cell>
          <cell r="K92" t="str">
            <v>Return today (01/05) Return today (05/06) Send on Sunday This week (05/06) Upgrade to bliss from next cycle (20/09) Skip 1 week (04/02) Send Replacement tom of Asiatic Lily (16/04) Send Replacement tom (21/05) No Sunflower (21/05)</v>
          </cell>
          <cell r="L92" t="str">
            <v>Sunflower</v>
          </cell>
          <cell r="N92" t="str">
            <v>1  del of this cycle   -  1-cycles pmnt   Pending - Collect 1400</v>
          </cell>
          <cell r="O92" t="str">
            <v>P Spray Daisy ( 15 Inch ) 3 P n W Glad ( 14 Inch ) 7   FF Sachet + grass</v>
          </cell>
          <cell r="P92" t="str">
            <v>W Asiatic ( 14 Inch ) 2 Mix Alstroemeria ( 12 Inch ) 7   Grass</v>
          </cell>
          <cell r="Q92" t="str">
            <v>Pur Eustoma ( 12 Inch ) 2 Pur n P Car ( 14 inch ) 7   FF Sachet + Grass</v>
          </cell>
          <cell r="R92" t="str">
            <v>Sunflower ( 12 Inch ) 2 P n W Glad ( 14 Inch ) 7   FF Sachet + Grass</v>
          </cell>
          <cell r="S92" t="str">
            <v>O Asiatic ( 14 Inch ) 2 B Daisy ( 12 Inch ) 7   Grass</v>
          </cell>
          <cell r="T92" t="str">
            <v>P Spray Daisy ( 14 Inch ) 3 Rajni ( 14 Inch ) 7   FF Sachet + Grass</v>
          </cell>
        </row>
        <row r="93">
          <cell r="A93">
            <v>3280</v>
          </cell>
          <cell r="B93" t="str">
            <v>Priti Sarsaswat</v>
          </cell>
          <cell r="C93">
            <v>9717283344</v>
          </cell>
          <cell r="D93" t="str">
            <v>C-1170, 2nd Floor, Ansal Essecia, C Block, Sec 67</v>
          </cell>
          <cell r="H93">
            <v>1450</v>
          </cell>
          <cell r="J93" t="str">
            <v>Bliss</v>
          </cell>
          <cell r="T93" t="str">
            <v>Mix Spray Daisy 5     FF Sachet + Grass</v>
          </cell>
        </row>
        <row r="94">
          <cell r="A94">
            <v>949</v>
          </cell>
          <cell r="B94" t="str">
            <v>Meenu Amrith-- Evening Only</v>
          </cell>
          <cell r="C94">
            <v>9891350735</v>
          </cell>
          <cell r="D94" t="str">
            <v>H. No. 579, Ground Floor,Near Dell-- Sec-43</v>
          </cell>
          <cell r="E94" t="str">
            <v>DLF Phase 5</v>
          </cell>
          <cell r="F94" t="str">
            <v>Thursday</v>
          </cell>
          <cell r="G94" t="str">
            <v>10 AM to 2:30 PM</v>
          </cell>
          <cell r="H94">
            <v>1450</v>
          </cell>
          <cell r="I94">
            <v>362.5</v>
          </cell>
          <cell r="J94" t="str">
            <v>Bliss</v>
          </cell>
          <cell r="K94" t="str">
            <v>Sunday to Thurs//Skip next week(21/01) Skip 1 week(12/02) Hold n start from 1st week of May(06/03) Pls start from coming Tuesday(14/03)  Send Sunday Del on Sat This week(12/11) Skip 1 week(29/01) today hold and skip 1 more week(27/02) Start from 24th Mar(08/03) Hold n start from 16th June(18/05) Hold 3 Weeks(13/07) she saying that 10th Del Not received(11/11) Not avaible till 25th (14/11) Hold today(19/01) Skip 2 weeks (22/02) Skip 2 weeks (26/06) Hold n start after 15th Sep (18/08) Skip Tom (28/02) Hold n start from 13th June (24/05) Skip 1 week (23/07) Skip 1 week (04/12) Skip 1 week (12/03) Skip 1 week (18/01) Skip 1 weeek (13/05)</v>
          </cell>
          <cell r="N94" t="str">
            <v>3  del of this cycle   -  0-cycles pmnt   Completed - Collect 0</v>
          </cell>
          <cell r="O94" t="str">
            <v>P n W Glad ( 14 Inch ) 16     Grass</v>
          </cell>
          <cell r="P94" t="str">
            <v>P n Y Spray Dausy ( 14 Inch ) 5     FF Sachet + Grass</v>
          </cell>
          <cell r="Q94" t="str">
            <v>P Asiatic ( 14 Inch )  3     Grass</v>
          </cell>
          <cell r="R94" t="str">
            <v>Pur n P Car ( 14 inch ) 16     FF Sachet + Grass</v>
          </cell>
          <cell r="S94" t="str">
            <v>Pur Eustoma ( 12 Inch ) 3     FF Sachet + Grass</v>
          </cell>
          <cell r="T94" t="str">
            <v>P n W Glad ( 14 Inch ) 16     Grass</v>
          </cell>
        </row>
        <row r="95">
          <cell r="A95">
            <v>172</v>
          </cell>
          <cell r="B95" t="str">
            <v>Rachna Rathee</v>
          </cell>
          <cell r="C95">
            <v>9811779661</v>
          </cell>
          <cell r="D95" t="str">
            <v xml:space="preserve">DX-106 flat no,Kendriya vihar Sector 56
</v>
          </cell>
          <cell r="E95" t="str">
            <v>Sector 56</v>
          </cell>
          <cell r="F95" t="str">
            <v>Thursday</v>
          </cell>
          <cell r="G95" t="str">
            <v>9 AM - 12 PM</v>
          </cell>
          <cell r="H95">
            <v>1450</v>
          </cell>
          <cell r="I95">
            <v>362.5</v>
          </cell>
          <cell r="J95" t="str">
            <v>Bliss</v>
          </cell>
          <cell r="K95" t="str">
            <v>Sendng rtrnd of 30 th on 1st(30/06)Retrnd pls send white Orchid(30/06) NO GERBERA(04/08) Paytm from raj Singh(08/12) Skip 1 week(21/12) NO Daisy(12/01) Hold n sned after 15th Apr(29/03) Hold n start after 10th Sep(30/08) NO DAISY(09/11) NO ROSE(21/12) Today return-send tom(10/10/20) Sending Del Tom due to Diwali(11/11) Referal payout of 162 added against Mr. Shoran(030/11) Referal credit added with ref to Apala das Gupta(29/03) Today hold and send after 11th May and ask before del(30/04) Hold till 28th Feb (10/02) Hold 3 Weeks (10/07) No Blue Orchid (23/10) Extra added against less mogra in Diwali Flowers (26/11) send replacement tom (04/07) Hold she will confirm when to start (13/05) No Gerbera (07/08) Send replacement tom (27/03)</v>
          </cell>
          <cell r="L95" t="str">
            <v>BLUE ORCHID n GERBERA</v>
          </cell>
          <cell r="N95" t="str">
            <v>2  del of this cycle   -  0-cycles pmnt   Completed - Collect 0</v>
          </cell>
          <cell r="O95" t="e">
            <v>#N/A</v>
          </cell>
          <cell r="P95" t="e">
            <v>#N/A</v>
          </cell>
          <cell r="Q95" t="e">
            <v>#N/A</v>
          </cell>
          <cell r="R95" t="e">
            <v>#N/A</v>
          </cell>
          <cell r="S95" t="e">
            <v>#N/A</v>
          </cell>
          <cell r="T95" t="str">
            <v>Pur n P Car ( 14 Inch ) 16     FF Sachet + Grass</v>
          </cell>
        </row>
        <row r="96">
          <cell r="A96">
            <v>3122</v>
          </cell>
          <cell r="B96" t="str">
            <v>Abha Ghosh</v>
          </cell>
          <cell r="C96">
            <v>9650001674</v>
          </cell>
          <cell r="D96" t="str">
            <v>6A, Galicia, Raisina Residency, Sec 59</v>
          </cell>
          <cell r="E96" t="str">
            <v>Ghata</v>
          </cell>
          <cell r="F96" t="str">
            <v>Thursday</v>
          </cell>
          <cell r="G96" t="str">
            <v>9 AM - 12 PM</v>
          </cell>
          <cell r="H96">
            <v>1450</v>
          </cell>
          <cell r="I96">
            <v>362.5</v>
          </cell>
          <cell r="J96" t="str">
            <v>Bliss</v>
          </cell>
          <cell r="K96" t="str">
            <v>Returned yesterday (07/11)</v>
          </cell>
          <cell r="N96" t="str">
            <v>3  del of this cycle   -  0-cycles pmnt   Completed - Collect 0</v>
          </cell>
          <cell r="O96" t="str">
            <v>O Asiatic ( 14 Inch ) 3     Grass</v>
          </cell>
          <cell r="P96" t="str">
            <v>P n W Glad ( 14 Inch ) 16     Grass</v>
          </cell>
          <cell r="Q96" t="str">
            <v>Pur n P Car ( 14 inch ) 16     FF Sachet + Grass</v>
          </cell>
          <cell r="R96" t="str">
            <v>Sunflower ( 12 Inch ) 4     FF Sachet + Grass</v>
          </cell>
          <cell r="S96" t="str">
            <v>B Daisy ( 12 Inch ) 16     Grass</v>
          </cell>
          <cell r="T96" t="str">
            <v>P Asiatic ( 14 Inch ) 3     Grass</v>
          </cell>
        </row>
        <row r="97">
          <cell r="A97">
            <v>2481</v>
          </cell>
          <cell r="B97" t="str">
            <v>Puneet Mahajan</v>
          </cell>
          <cell r="C97">
            <v>9810110847</v>
          </cell>
          <cell r="D97" t="str">
            <v>D-19, 4th Floor, Siuth City -2, Opp Arcadia Mall</v>
          </cell>
          <cell r="E97" t="str">
            <v>Nirvana Country</v>
          </cell>
          <cell r="F97" t="str">
            <v>Sunday</v>
          </cell>
          <cell r="G97" t="str">
            <v>9 AM - 12 PM</v>
          </cell>
          <cell r="H97">
            <v>2300</v>
          </cell>
          <cell r="I97">
            <v>287.5</v>
          </cell>
          <cell r="J97" t="str">
            <v>Felicity</v>
          </cell>
          <cell r="K97" t="str">
            <v>Send Sponge// Day Changed to Sunday (16/04) Paytm From Sri Sai makers (20/04) Change to felicity (17/05)</v>
          </cell>
          <cell r="N97" t="str">
            <v>6  del of this cycle   -  0-cycles pmnt   Completed - Collect 0</v>
          </cell>
          <cell r="O97" t="str">
            <v>O Asiatic ( 14 Inch ) 2     Grass</v>
          </cell>
          <cell r="P97" t="str">
            <v>Mix Alstroemeria ( 12 Inch ) 11     FF Sachet + Grass</v>
          </cell>
          <cell r="Q97" t="str">
            <v>Pur n P Car ( 14 inch ) 11     FF Sachet + Grass</v>
          </cell>
          <cell r="R97" t="str">
            <v>P Spray Daisy ( 14 Inch ) 3     FF Sachet + Grass</v>
          </cell>
          <cell r="S97" t="str">
            <v>P Asiatic ( 14 Inch ) 2     Grass</v>
          </cell>
          <cell r="T97" t="str">
            <v>Sunflower ( 12 Inch ) 3     FF Sachet + Grass</v>
          </cell>
        </row>
        <row r="98">
          <cell r="A98">
            <v>3212</v>
          </cell>
          <cell r="B98" t="str">
            <v>Sheeba Rana</v>
          </cell>
          <cell r="C98">
            <v>9958849523</v>
          </cell>
          <cell r="D98" t="str">
            <v>T-14/1202, The Close North</v>
          </cell>
          <cell r="E98" t="str">
            <v>Nirvana Country</v>
          </cell>
          <cell r="F98" t="str">
            <v>Thursday</v>
          </cell>
          <cell r="G98" t="str">
            <v>4 Pm to 7 PM</v>
          </cell>
          <cell r="H98">
            <v>1450</v>
          </cell>
          <cell r="I98">
            <v>1450</v>
          </cell>
          <cell r="J98" t="str">
            <v>Bliss</v>
          </cell>
          <cell r="K98" t="str">
            <v>Skip 1 week (31/12)</v>
          </cell>
          <cell r="N98" t="str">
            <v>2  del of this cycle   -  0-cycles pmnt   Completed - Collect 0</v>
          </cell>
          <cell r="O98" t="str">
            <v>Sunflower 2     Grass</v>
          </cell>
          <cell r="P98" t="str">
            <v>R n W Car ( 14 inch ) 9     FF Sachet + Grass</v>
          </cell>
          <cell r="Q98" t="str">
            <v>P n W Glad ( 14 Inch ) 9     Gras</v>
          </cell>
          <cell r="R98" t="str">
            <v>P Asiatic ( 14 Inch ) 2     Grass</v>
          </cell>
          <cell r="S98" t="str">
            <v>Pur n P Car ( 14 Inch ) 16     FF Sachet + Grass</v>
          </cell>
          <cell r="T98" t="str">
            <v>P n Y Spray Daisy ( 14 Inch ) 5     FF Sachet + Grass</v>
          </cell>
        </row>
        <row r="99">
          <cell r="A99">
            <v>1978</v>
          </cell>
          <cell r="B99" t="str">
            <v>Anu-- After 6 PM</v>
          </cell>
          <cell r="C99" t="str">
            <v>98103 39602</v>
          </cell>
          <cell r="D99" t="str">
            <v xml:space="preserve">Tower 6, 901 Fresco </v>
          </cell>
          <cell r="E99" t="str">
            <v>Nirvana Country</v>
          </cell>
          <cell r="F99" t="str">
            <v>Thursday</v>
          </cell>
          <cell r="G99" t="str">
            <v>4 Pm to 7 PM</v>
          </cell>
          <cell r="H99">
            <v>4850</v>
          </cell>
          <cell r="I99">
            <v>606.25</v>
          </cell>
          <cell r="J99" t="str">
            <v>Poise</v>
          </cell>
          <cell r="K99" t="str">
            <v xml:space="preserve"> Thursday n Sunday//No Rajni (14/03) No Rose n Gerbera n RAJNI// Skip this week n send on Tuesday evening slot (18/06) Send this Thursday to Friday (04/09) NO HELICONIA (13/09) Skip Thursday delivery (12/11) Send tom in morning (16/11) Skip Thursday del (19/11) Skip tom (23/11) Hold till 11th  (30/11) Dont send on Sunday (13/12) Skip sunday (20/12) Skip tom (08/02) Hold today (23/02) Skip 1 Week (01/06) Skip thursday Delivery (18/06) Skip this thursday and send on sunday after 6 PM (06/08) No BOP also (06/10) Do not count today del and sned on sat next (04/12) Skip saturda and sunday also (05/12) Hold today n send tom (11/12) Hold today (05/04) Hold today (16/04)</v>
          </cell>
          <cell r="L99" t="str">
            <v>ROSE n RAJNI n HELICONIA n BOP</v>
          </cell>
          <cell r="M99" t="str">
            <v>after 6 pm on 19th (16/04)</v>
          </cell>
          <cell r="N99" t="str">
            <v>6  del of this cycle   -  0-cycles pmnt   Completed - Collect 0</v>
          </cell>
          <cell r="O99" t="str">
            <v>W Asiatic ( 14 Inch ) 2 Mix Alstroemeria ( 12 Inch ) 6 P n W Car ( 14 inch ) 10 Grass</v>
          </cell>
          <cell r="P99" t="str">
            <v>P Asiatic ( 14 Inch ) 2 P n W Spray Dausy ( 14 Inch ) 4 P n W Glad ( 14 Inch ) 12 Grass</v>
          </cell>
          <cell r="Q99" t="str">
            <v>Y Asiatic ( 14 Inch ) 2 Mix Eustoma ( 12 Inch ) 4 P n W Car ( 14 Inch ) 12 Grass</v>
          </cell>
          <cell r="R99" t="str">
            <v>P Asiatic ( 14 Inch ) 2 Mix Alstroemeria ( 12 inch )  8 P n W Glad ( 14 Inch ) 8 Grass</v>
          </cell>
          <cell r="S99" t="str">
            <v>W Asiatic ( 14 Inch ) 2 P n Y Spray Daisy ( 14 Inch ) 4 Rajni ( 14 Inch ) 12 Grass</v>
          </cell>
          <cell r="T99" t="str">
            <v>O Asiatic ( 14 Inch ) 2 Sunflower ( 12 Inch ) 4 Pur n P Car ( 14 Inch ) 12 Grass</v>
          </cell>
        </row>
        <row r="100">
          <cell r="B100" t="str">
            <v>Chaya,</v>
          </cell>
          <cell r="C100" t="str">
            <v>97110 13807</v>
          </cell>
          <cell r="D100" t="str">
            <v>Atul chutani green line residency new colony sec 7</v>
          </cell>
          <cell r="H100">
            <v>1150</v>
          </cell>
          <cell r="J100" t="str">
            <v>Bouquet</v>
          </cell>
          <cell r="K100" t="str">
            <v>Atul chutani green line residency new colony sec 7
+91 97110 13807
Pls send this arrangement and use one pink Asuatic lily in the arrangement for 1150 from parul v garg..</v>
          </cell>
          <cell r="T100" t="str">
            <v xml:space="preserve">Rose+P Asiatic  Enevlop Message   </v>
          </cell>
        </row>
        <row r="101">
          <cell r="A101" t="str">
            <v>B55041</v>
          </cell>
          <cell r="B101" t="str">
            <v>Sonali Khullar</v>
          </cell>
          <cell r="C101">
            <v>9900094415</v>
          </cell>
          <cell r="D101" t="str">
            <v>C-1702, pioneer araya, sect 62</v>
          </cell>
          <cell r="H101">
            <v>1500</v>
          </cell>
          <cell r="J101" t="str">
            <v>Bouquet</v>
          </cell>
          <cell r="K101" t="str">
            <v>From Sonali Khullar today 
5 asiatic lilies and 5 spray daisies in tissue wrap amount 1500 
To
To be delivered to D 1702 Araya as soon as you can
Message 
Happy birthday Kamna. 
Love 
Sonali</v>
          </cell>
          <cell r="T101" t="str">
            <v xml:space="preserve">Asiatic+ Spray Daisy 5+5 Tissue Wrap  Message   </v>
          </cell>
        </row>
        <row r="102">
          <cell r="B102" t="str">
            <v> 98104 34670‬</v>
          </cell>
          <cell r="C102" t="str">
            <v> 98104 34670‬</v>
          </cell>
          <cell r="D102" t="str">
            <v>Tower 19-15A Sector 48, Central Park II, Central Park Resorts Tower 19-15A, Sector 48, Central Park</v>
          </cell>
          <cell r="G102" t="str">
            <v>Before 3 Pm</v>
          </cell>
          <cell r="H102">
            <v>2000</v>
          </cell>
          <cell r="J102" t="str">
            <v>Bouquet</v>
          </cell>
          <cell r="K102" t="str">
            <v>Address:
‪+91 98104 34670‬
Tower 19-15A Sector 48, Central Park II, Central Park Resorts Tower 19-15A, Sector 48, Central Park II, Central Park Resorts, Central Park Resorts, Gurugram, Haryana, 122018
Pls hold this order, shall confirm today when to send
@Sandeep Bmf  pls isko alag rakh do</v>
          </cell>
          <cell r="T102" t="str">
            <v xml:space="preserve">Mix Flowers Bouquet   Message   </v>
          </cell>
        </row>
        <row r="103">
          <cell r="B103" t="str">
            <v xml:space="preserve">Rashmi Jhawar </v>
          </cell>
          <cell r="C103" t="str">
            <v xml:space="preserve">Rashmi Jhawar </v>
          </cell>
          <cell r="D103" t="str">
            <v>Sovereign 4 , 301 vatika city. Sector 49. Gurgaon -122018</v>
          </cell>
          <cell r="H103">
            <v>600</v>
          </cell>
          <cell r="J103" t="str">
            <v>Bouquet</v>
          </cell>
          <cell r="K103" t="str">
            <v>Rashmi Jhawar 
Mobile 9323173218
Sovereign 4 , 301 vatika city. Sector 49. Gurgaon -122018
Msg - For you :) !
Pls send today 15 pink n white carnations in walkin tissue wrap from Vivek Jhawar.</v>
          </cell>
          <cell r="T103" t="str">
            <v xml:space="preserve">P n W Car 15 Tissue Wrap  Message   </v>
          </cell>
        </row>
        <row r="104">
          <cell r="B104" t="str">
            <v>Scottish</v>
          </cell>
          <cell r="C104" t="str">
            <v>Scottish</v>
          </cell>
          <cell r="D104" t="str">
            <v>Scottish</v>
          </cell>
          <cell r="G104" t="str">
            <v>By 7 PM</v>
          </cell>
          <cell r="H104">
            <v>1500</v>
          </cell>
          <cell r="J104" t="str">
            <v xml:space="preserve">basket </v>
          </cell>
          <cell r="K104" t="str">
            <v>Pls send a basket of 1500 to scottish today order by Rachna tribedi ma’am.</v>
          </cell>
          <cell r="T104" t="str">
            <v xml:space="preserve">Basket  1     </v>
          </cell>
        </row>
        <row r="105">
          <cell r="B105" t="str">
            <v>Tanya Sahay</v>
          </cell>
          <cell r="C105" t="str">
            <v>96431 69536</v>
          </cell>
          <cell r="D105" t="str">
            <v>A/187, First Floor
Today Blossoms - 1, 
Sector 47 Gurgaon 
(Near SS Plaza)</v>
          </cell>
          <cell r="G105" t="str">
            <v>By 7 PM</v>
          </cell>
          <cell r="H105">
            <v>620</v>
          </cell>
          <cell r="J105" t="str">
            <v>Bouquet</v>
          </cell>
          <cell r="K105" t="str">
            <v xml:space="preserve">Send today via Uber
Customer will pay the uber charges 
2 sunflowers and 8 Rajnigandha and greens
To 
Tanya Sahay
+91 96431 69536
send immediately </v>
          </cell>
          <cell r="T105" t="str">
            <v xml:space="preserve">Sunflower + Rajni  2 + 8  Grass     </v>
          </cell>
        </row>
        <row r="106">
          <cell r="B106" t="str">
            <v xml:space="preserve">Ms Khushboo Oberoi </v>
          </cell>
          <cell r="C106">
            <v>9711867960</v>
          </cell>
          <cell r="D106" t="str">
            <v>C-69, bptp Astaire garden, sector 69, gurgaon, Haryana.</v>
          </cell>
          <cell r="G106" t="str">
            <v>By 8 PM</v>
          </cell>
          <cell r="H106">
            <v>2100</v>
          </cell>
          <cell r="J106" t="str">
            <v>Bouquet</v>
          </cell>
          <cell r="K106" t="str">
            <v>From 
‪+91 99998 85532‬
Today 
7 pink oriental lilies in tissue wrap only buds 
To 
To -: Ms Khushboo Oberoi 
C-69, bptp Astaire garden, sector 69, gurgaon, Haryana.
9711867960
Message: 
From -: Adih Muskaan &amp; Komal.</v>
          </cell>
          <cell r="T106" t="str">
            <v xml:space="preserve">P Oriental 7 Walkin Tissue Wrap + Msg     </v>
          </cell>
        </row>
      </sheetData>
      <sheetData sheetId="2"/>
      <sheetData sheetId="3"/>
      <sheetData sheetId="4"/>
      <sheetData sheetId="5"/>
      <sheetData sheetId="6"/>
      <sheetData sheetId="7"/>
      <sheetData sheetId="8">
        <row r="2">
          <cell r="A2" t="str">
            <v>G-00061</v>
          </cell>
          <cell r="B2" t="str">
            <v>Dolly Mohan</v>
          </cell>
          <cell r="C2">
            <v>9210333222</v>
          </cell>
          <cell r="D2" t="str">
            <v>A-001, Shiv Shankar CGHS Appartmenet, Sec 51</v>
          </cell>
          <cell r="E2" t="str">
            <v>Artemis</v>
          </cell>
          <cell r="F2" t="str">
            <v>Thursday</v>
          </cell>
          <cell r="G2" t="str">
            <v>9 AM to 2 PM</v>
          </cell>
          <cell r="H2">
            <v>1450</v>
          </cell>
          <cell r="I2">
            <v>362.5</v>
          </cell>
          <cell r="J2" t="str">
            <v>Bliss</v>
          </cell>
          <cell r="K2" t="str">
            <v>From Deepa Handa</v>
          </cell>
          <cell r="N2" t="str">
            <v>4  del of this cycle   -  0-cycles pmnt   Completed - Collect 0</v>
          </cell>
          <cell r="O2" t="e">
            <v>#N/A</v>
          </cell>
          <cell r="P2" t="e">
            <v>#N/A</v>
          </cell>
          <cell r="Q2" t="str">
            <v>Pur n P Car ( 14 inch ) 16     FF Sachet + Grass</v>
          </cell>
          <cell r="R2" t="str">
            <v>P Asiatic ( 14 Inch ) 3     Grass</v>
          </cell>
          <cell r="S2" t="str">
            <v>Rajni ( 14 Inch ) 16     Grass</v>
          </cell>
          <cell r="T2" t="str">
            <v>Sunflower ( 12 Inch ) 4     FF Sachet + Grass</v>
          </cell>
        </row>
        <row r="3">
          <cell r="A3">
            <v>2761</v>
          </cell>
          <cell r="B3" t="str">
            <v>Gyan</v>
          </cell>
          <cell r="C3">
            <v>9560719191</v>
          </cell>
          <cell r="D3" t="str">
            <v>J7, 2nd Floor, Signature Global City, Sec 37 D</v>
          </cell>
          <cell r="E3" t="str">
            <v>Dwarka Expressway</v>
          </cell>
          <cell r="F3" t="str">
            <v>Thursday</v>
          </cell>
          <cell r="G3" t="str">
            <v>4 PM to 7 PM</v>
          </cell>
          <cell r="H3">
            <v>1450</v>
          </cell>
          <cell r="I3">
            <v>362.5</v>
          </cell>
          <cell r="J3" t="str">
            <v>Bliss</v>
          </cell>
          <cell r="K3" t="str">
            <v>Upgraded as per scheme to Bliss for 5 Deliveries (22/08) No delivered today-send tom (02/10) Skip 1 week (26/11) Skip 2 week (28/01) Skip 2 week (10/03) No Sunflower ( 17/06)</v>
          </cell>
          <cell r="L3" t="str">
            <v>Sunflower</v>
          </cell>
          <cell r="N3" t="str">
            <v>4  del of this cycle   -  0-cycles pmnt   Completed - Collect 0</v>
          </cell>
          <cell r="O3" t="str">
            <v>Y Spray Daisy ( 15 Inch ) 3 Mix Alstroemeria ( 12 Inch ) 7   FF Sachet + Grass</v>
          </cell>
          <cell r="P3" t="str">
            <v>Sunflower ( 12 Inch ) 2 P n W Glad ( 14 Inch ) 7   FF Sachet + Grass</v>
          </cell>
          <cell r="Q3" t="str">
            <v>P Asiatic ( 14 Inch ) 2 Pur n P Car ( 14 Inch ) 7   Grass</v>
          </cell>
          <cell r="R3" t="str">
            <v>Pur Eustoma ( 12 Inch ) 2 Rajni ( 14 Inch ) 7   FF Sachet + Grass</v>
          </cell>
          <cell r="S3" t="str">
            <v>Spray Daisy 3 B Daisy ( 12 Inch ) 7   FF Sachet + Grass</v>
          </cell>
          <cell r="T3" t="str">
            <v>O Asiatic ( ( 14 inch ) 2 Mix Car 7   Grass</v>
          </cell>
        </row>
        <row r="4">
          <cell r="A4">
            <v>401</v>
          </cell>
          <cell r="B4" t="str">
            <v>Nameesha Verma -- Before 12PM</v>
          </cell>
          <cell r="C4">
            <v>9899240454</v>
          </cell>
          <cell r="D4" t="str">
            <v>D-4/102, Parsvanath Exotica</v>
          </cell>
          <cell r="E4" t="str">
            <v>DLF Phase 5</v>
          </cell>
          <cell r="F4" t="str">
            <v>Thursday</v>
          </cell>
          <cell r="G4" t="str">
            <v>Before 12 PM</v>
          </cell>
          <cell r="H4">
            <v>1600</v>
          </cell>
          <cell r="I4">
            <v>200</v>
          </cell>
          <cell r="J4" t="str">
            <v>Bloom</v>
          </cell>
          <cell r="K4" t="str">
            <v>Thursday n Sunday//Sat to Thurs//Send a repacement and No Rajni till it has fragrance(24/09)Skip 1 week(12/10)send  a replacement(22/11) Returne-send next week(13/12) Star 650 Pack(15/10) 17th Oct Del returned-pls update(07/11) Send Tom instead of sat this week(12/08) Sent a replacement today(01/09) Skip 1 week(12/11) Send on Monday this week(24/11) Skip this sunday (03/12) Sent replacement today (18/03) Send replacement tom (31/03) Skip 1 week (25/04) Now Bloom (19/05) Today returned (18/06) Skip 1 week (08/08) Hold n start after 8th Oct )(20/09) Skip next del (18/11) No Del till 2nd Jan (25/12) Skip tom (24/01) Hold till 17th Jube (05/06) Skip this sunday (18/07) Skip 1 week (13/08) Today returnde (16/01) Skip tom (15/02) Today returned as flowers got late (30/03) Hold till 12th Apr (02/04)Today Returned (11/05) Hold till 18th June (02/06) Hold till 18th June (02/06) Today Returned (13/09) Do not count last del (08/11) No Del till next wednesday (09/12) Hold todxay (28/12) Skip 1 week (04/02) 3 Car extra next (20/03) Skip 1 week (09/06)</v>
          </cell>
          <cell r="M4" t="str">
            <v>3 Car extra next (20/03)</v>
          </cell>
          <cell r="N4" t="str">
            <v>4  del of this cycle   -  0-cycles pmnt   Completed - Collect 0</v>
          </cell>
          <cell r="O4" t="str">
            <v>Mix Alstroemeria ( 12 Inch ) 7     FF Sachet + Grass</v>
          </cell>
          <cell r="P4" t="e">
            <v>#N/A</v>
          </cell>
          <cell r="Q4" t="str">
            <v>P Spray Daisy ( 14 Inch ) 2     FF Sachet + Grass</v>
          </cell>
          <cell r="R4" t="str">
            <v>Sunflower ( 12 Inch) 2     Grass</v>
          </cell>
          <cell r="S4" t="str">
            <v>P n W Car ( 14 Inch ) 7    Collect Payment FF Sachet + Grass</v>
          </cell>
          <cell r="T4" t="str">
            <v>Mix Alstroemeria ( 12Inch ) 7     FF Sachet + Grass</v>
          </cell>
        </row>
        <row r="5">
          <cell r="A5">
            <v>2501</v>
          </cell>
          <cell r="B5" t="str">
            <v>Jashanjeet Singh</v>
          </cell>
          <cell r="C5">
            <v>7905786392</v>
          </cell>
          <cell r="D5" t="str">
            <v>B-1502, Ramprastha Primera, Sec 37 D</v>
          </cell>
          <cell r="E5" t="str">
            <v>Dwarka Expressway</v>
          </cell>
          <cell r="F5" t="str">
            <v>Thursday</v>
          </cell>
          <cell r="G5" t="str">
            <v>4 Pm to 7 PM</v>
          </cell>
          <cell r="H5">
            <v>1450</v>
          </cell>
          <cell r="I5">
            <v>362.5</v>
          </cell>
          <cell r="J5" t="str">
            <v>Bliss</v>
          </cell>
          <cell r="K5" t="str">
            <v>Paytm Fron Archana Singh (03/04) 10% Discount for next Cycle (05/04) Gpay from Anvesh Kumar (26/06) Today returned (16/10) Returned today (15/01) PAYTM FROM Aniket (16/04) Do not count last del (09/05) Hold n start from july (12/06)</v>
          </cell>
          <cell r="N5" t="str">
            <v>1  del of this cycle   -  1-cycles pmnt   Pending - Collect 1450</v>
          </cell>
          <cell r="O5" t="str">
            <v>Mix Spray Daisy 3 Mix Alstroemeria ( 12 Inch ) 7   FF Sachet + Grass</v>
          </cell>
          <cell r="P5" t="str">
            <v>Sunflower ( 12 Inch ) 2 P n W Glad ( 14 Inch ) 7   FF Sachet + Grass</v>
          </cell>
          <cell r="Q5" t="e">
            <v>#N/A</v>
          </cell>
          <cell r="R5" t="e">
            <v>#N/A</v>
          </cell>
          <cell r="S5" t="e">
            <v>#N/A</v>
          </cell>
          <cell r="T5" t="str">
            <v>W Asiatic ( 14 Inch ) 2 P n W Car ( 14 Inch ) 7   Grass</v>
          </cell>
        </row>
        <row r="6">
          <cell r="A6" t="str">
            <v>G-00036</v>
          </cell>
          <cell r="B6" t="str">
            <v>Aanchal Boora</v>
          </cell>
          <cell r="C6">
            <v>9654700022</v>
          </cell>
          <cell r="D6" t="str">
            <v>Flat - 1171, Ats Triumph, Wing B, Tower 1, 17th Floor, Sec 104</v>
          </cell>
          <cell r="E6" t="str">
            <v>Dwarka Expressway</v>
          </cell>
          <cell r="F6" t="str">
            <v>Thursday</v>
          </cell>
          <cell r="G6" t="str">
            <v>4 Pm to 7 PM</v>
          </cell>
          <cell r="H6">
            <v>1450</v>
          </cell>
          <cell r="I6">
            <v>362.5</v>
          </cell>
          <cell r="J6" t="str">
            <v>Bliss</v>
          </cell>
          <cell r="K6" t="str">
            <v>From Avni Ahuja // Skip tom (10/12) Paytm From Nitin Kunka // No Orchids (27/01) Skip 1 week (27/02) No Sunflowers (02/05)</v>
          </cell>
          <cell r="L6" t="str">
            <v xml:space="preserve">Orchid n Sunflowers </v>
          </cell>
          <cell r="M6" t="str">
            <v>One Kind</v>
          </cell>
          <cell r="N6" t="str">
            <v>3  del of this cycle   -  0-cycles pmnt   Completed - Collect 0</v>
          </cell>
          <cell r="O6" t="e">
            <v>#N/A</v>
          </cell>
          <cell r="P6" t="e">
            <v>#N/A</v>
          </cell>
          <cell r="Q6" t="e">
            <v>#N/A</v>
          </cell>
          <cell r="R6" t="e">
            <v>#N/A</v>
          </cell>
          <cell r="S6" t="str">
            <v>P Asiatic ( 14 Inch ) 3    Collect Payment Grass</v>
          </cell>
          <cell r="T6" t="str">
            <v>Rajni ( 14 Inch ) 16     Grass</v>
          </cell>
        </row>
        <row r="7">
          <cell r="A7">
            <v>2359</v>
          </cell>
          <cell r="B7" t="str">
            <v>Roshni Achpal</v>
          </cell>
          <cell r="C7">
            <v>9711170252</v>
          </cell>
          <cell r="D7" t="str">
            <v>A-102, Belaire</v>
          </cell>
          <cell r="E7" t="str">
            <v>Golf Course Road</v>
          </cell>
          <cell r="F7" t="str">
            <v>Thursday</v>
          </cell>
          <cell r="G7" t="str">
            <v>9 AM - 12 PM</v>
          </cell>
          <cell r="H7">
            <v>999</v>
          </cell>
          <cell r="I7">
            <v>249.75</v>
          </cell>
          <cell r="J7" t="str">
            <v>Delight</v>
          </cell>
          <cell r="K7" t="str">
            <v>Gift From Ankita Mehta  // Shift to Delight(04/12) Gpay from Alok Asrani (04/12) Skip 2 week (19/12) No car (01/05) Skip 2 weeks (19/08) No rajni (08/09) Skip 2 week (18/12) No Button Daisy 912/02) Skip 1 week (14/03) Do not count last del (13/05) Skip 1 week (11/06)</v>
          </cell>
          <cell r="L7" t="str">
            <v>Car n Rajni n Buttn Daisies</v>
          </cell>
          <cell r="N7" t="str">
            <v>4  del of this cycle   -  0-cycles pmnt   Completed - Collect 0</v>
          </cell>
          <cell r="O7" t="str">
            <v>P n W Glad ( 14 Inch ) 9     Grass</v>
          </cell>
          <cell r="P7" t="str">
            <v>Sunflower ( 12 Inch ) 2     Grass</v>
          </cell>
          <cell r="Q7" t="e">
            <v>#N/A</v>
          </cell>
          <cell r="R7" t="str">
            <v>Pur n P Car ( 14 Inch ) 9     FF Sachet + Grass</v>
          </cell>
          <cell r="S7" t="str">
            <v>O Asiatic ( 14 Inch ) 2     Grass</v>
          </cell>
          <cell r="T7" t="str">
            <v>Mix Alstroemeria ( 12Inch ) 9     FF Sachet + Grass</v>
          </cell>
        </row>
        <row r="8">
          <cell r="A8">
            <v>2037</v>
          </cell>
          <cell r="B8" t="str">
            <v>Sharwan Chopra</v>
          </cell>
          <cell r="C8">
            <v>9971066995</v>
          </cell>
          <cell r="D8" t="str">
            <v>A-223, The Belaire</v>
          </cell>
          <cell r="E8" t="str">
            <v>Golf Course Road</v>
          </cell>
          <cell r="F8" t="str">
            <v>Thursday</v>
          </cell>
          <cell r="G8" t="str">
            <v>10 AM to 2:30 PM</v>
          </cell>
          <cell r="H8">
            <v>1950</v>
          </cell>
          <cell r="I8">
            <v>487.5</v>
          </cell>
          <cell r="J8" t="str">
            <v>Joy</v>
          </cell>
          <cell r="K8" t="str">
            <v>NO Car (15/02) Skip 3 Weeks (12/06) Skip 1 week (28/12) Hold all deliveries till 1st July (12/06) Skip 25th Dec (23/12) Hold due to non payment (29/01) Returned today (04/06) Skip 1 week (16/06)</v>
          </cell>
          <cell r="L8" t="str">
            <v>CAR</v>
          </cell>
          <cell r="N8" t="str">
            <v>2  del of this cycle   -  0-cycles pmnt   Completed - Collect 0</v>
          </cell>
          <cell r="O8" t="str">
            <v>Y Asiatic ( 14 Inch ) 4     Grass</v>
          </cell>
          <cell r="P8" t="str">
            <v>P n W Glad ( 14 Inch ) 22     Grass</v>
          </cell>
          <cell r="Q8" t="e">
            <v>#N/A</v>
          </cell>
          <cell r="R8" t="str">
            <v>Pur n P Eustoma ( 12 Inch ) 4     FF Sachet + Grass</v>
          </cell>
          <cell r="S8" t="str">
            <v>Rajni ( 14 Inch ) 22     Grass</v>
          </cell>
          <cell r="T8" t="str">
            <v>O Asiatic ( ( 14 inch ) 4     Grass</v>
          </cell>
        </row>
        <row r="9">
          <cell r="A9">
            <v>1998</v>
          </cell>
          <cell r="B9" t="str">
            <v>Shivani Katyal</v>
          </cell>
          <cell r="C9">
            <v>9811053756</v>
          </cell>
          <cell r="D9" t="str">
            <v>H. No. 1486, Sarsawati Kunj</v>
          </cell>
          <cell r="E9" t="str">
            <v>DLF Phase 5</v>
          </cell>
          <cell r="F9" t="str">
            <v>Thursday</v>
          </cell>
          <cell r="G9" t="str">
            <v>9:30 Am to 2 PM</v>
          </cell>
          <cell r="H9">
            <v>1950</v>
          </cell>
          <cell r="I9">
            <v>487.5</v>
          </cell>
          <cell r="J9" t="str">
            <v>Joy</v>
          </cell>
          <cell r="K9" t="str">
            <v>Rose//Orchid//Asiatic//Anthurium//Heliconia//BOP (28/10) NO Guldawari n Anthurium (09/02) Paytm From Manish K M K (08/09) Paytm from Manish Katyal // Gpay From Palak Katyal (22/03) No Glad Also (18/04) Couldn't deliver due to watrelogging--send on Sunday (29/08) Skip n send on sunday (01/10)</v>
          </cell>
          <cell r="L9" t="str">
            <v>GULDAWARI n ANTHURIUM n GLAD</v>
          </cell>
          <cell r="N9" t="str">
            <v>1  del of this cycle   -  1-cycles pmnt   Pending - Collect 1900</v>
          </cell>
          <cell r="O9" t="str">
            <v>Sunflower ( 12 Inch ) 5     FF Sachet + Grass</v>
          </cell>
          <cell r="P9" t="str">
            <v>Pur n P Car ( 14 inch ) 22     FF Sachet + Grass</v>
          </cell>
          <cell r="Q9" t="str">
            <v>Mix Alstroemeria ( 12 Inch ) 22     FF Sachet + Grass</v>
          </cell>
          <cell r="R9" t="str">
            <v>P n W Spray Daisy 7     FF Sachet + Grass</v>
          </cell>
          <cell r="S9" t="str">
            <v>P Asiatic ( 14 Inch ) 4     Grass</v>
          </cell>
          <cell r="T9" t="str">
            <v>Rajni ( 14 Inch ) 22     Grass</v>
          </cell>
        </row>
        <row r="10">
          <cell r="A10">
            <v>1181</v>
          </cell>
          <cell r="B10" t="str">
            <v>Parul Sharma --Elation</v>
          </cell>
          <cell r="C10">
            <v>8800895944</v>
          </cell>
          <cell r="D10" t="str">
            <v>Villa-27, The Legend</v>
          </cell>
          <cell r="E10" t="str">
            <v>Artemis</v>
          </cell>
          <cell r="F10" t="str">
            <v>Thursday</v>
          </cell>
          <cell r="G10" t="str">
            <v>9 AM to 2 PM</v>
          </cell>
          <cell r="H10">
            <v>1950</v>
          </cell>
          <cell r="I10">
            <v>487.5</v>
          </cell>
          <cell r="J10" t="str">
            <v>Joy</v>
          </cell>
          <cell r="K10" t="str">
            <v>Tuesday and Thursday//Change day to Thursday(21/12) Car Next(18/01) NO ORCHIDS(20/01) Car Next(02/02) Sending on 20th instaed of 21st,bcoz of Holi(18/03) Today FF Sent(11/04) Paytm from ritu Kaur(12/04) Send replacement(12/04) Send Special Pack(08/05) Received payment of special pack(10/05) Hold n start from 2nd week of july(04/060 Inform Before sending(01/07) Start from next week(10/07) Sending on 14th instrad of 15th Aug(13/08) Today Hold-send tom(26/09) Send double del tom(23/10) R car Tom(15/01) Send Replacement tom(27/02) Hold n start from 3rd week of April(18/03) NO Rose n NO Orchids----Send R Car Next(21/12) Rajnigandha Next(12/01) Replace ment next and send Flower food(10/04) Recvd 250 from Gpay(15/07) Return-not at home(14/09) Shift to Elation(18/10) Skip 1 week(27/06) Hold n start from July (12/06) Hold due to non Payment (15/01) Paytm From Vinay Deopujari (26/02)</v>
          </cell>
          <cell r="M10" t="str">
            <v>Before 11:30 AM</v>
          </cell>
          <cell r="N10" t="str">
            <v>1  del of this cycle   -  1-cycles pmnt   Pending - Collect 1950</v>
          </cell>
          <cell r="O10" t="str">
            <v>P n W Glad ( 14 Inch ) 22     Grass</v>
          </cell>
          <cell r="P10" t="str">
            <v>Pur n P Eustoma ( 12 Inch ) 4     FF Sachet + Grass</v>
          </cell>
          <cell r="Q10" t="str">
            <v>P n Y Spray Daisy ( 14 Inch ) 7     FF Sachet + Grass</v>
          </cell>
          <cell r="R10" t="str">
            <v>P n W Car ( 14 inch ) 22     FF Sachet + Grass</v>
          </cell>
          <cell r="S10" t="str">
            <v>Sunflower ( 12 Inch ) 5     FF Sachet + Grass</v>
          </cell>
          <cell r="T10" t="str">
            <v>W Asiatic ( 14 Inch ) 4     Grass</v>
          </cell>
        </row>
        <row r="11">
          <cell r="A11">
            <v>203</v>
          </cell>
          <cell r="B11" t="str">
            <v>Alok divatia -- After 10 AM</v>
          </cell>
          <cell r="C11">
            <v>9819355743</v>
          </cell>
          <cell r="D11" t="str">
            <v>BLC 263, 26th Floor, Tower C, The Belaire</v>
          </cell>
          <cell r="E11" t="str">
            <v>Golf Course Road</v>
          </cell>
          <cell r="F11" t="str">
            <v>Thursday</v>
          </cell>
          <cell r="G11" t="str">
            <v>9 AM - 12 PM</v>
          </cell>
          <cell r="H11">
            <v>8648</v>
          </cell>
          <cell r="I11">
            <v>2162</v>
          </cell>
          <cell r="J11" t="str">
            <v>Customized</v>
          </cell>
          <cell r="K11" t="str">
            <v>Tues to Thurs//After 10 AM, Lilis only and 12 lilies + 24 carnations, Never combo of Red n white, all flowers shd be of diff color(12/06)Skip tom n then on Tuesday(08/09) Return-send tom(16/12) NO ROSE(20/12) 14 Lily and 24 Car(24/09) Send 18 spray daisy instead of Asiatic next(30/03) Change package cost to 6300(20/07) Hold from today (05/12)</v>
          </cell>
          <cell r="N11" t="str">
            <v>2  del of this cycle   -  0-cycles pmnt   Completed - Collect 0</v>
          </cell>
          <cell r="O11" t="str">
            <v>P n Y Asiatic ( 14 Inch ) 14 Pur n Y Car ( 14 Inch ) 24   4 Areca palm + 2 Gypsola + 2 Limonium</v>
          </cell>
          <cell r="P11" t="str">
            <v xml:space="preserve">P n W Asiatic ( 14 Inch ) 14 Pur n P Car ( 14 inch ) 24   </v>
          </cell>
          <cell r="Q11" t="str">
            <v xml:space="preserve">O n P Asiatic ( 14 Inch ) 14 P n W Car ( 14 Inch ) 24   </v>
          </cell>
          <cell r="R11" t="str">
            <v>O n W Asiatic ( 14 Inch ) 14 R n P Car ( 14 Inch ) 24   4 Areca Palm + 2 Gypsola + 2 Limonim</v>
          </cell>
          <cell r="S11" t="str">
            <v>Y n P Asiatic ( 14 Inch ) 14 Pur n W Car ( 14 Inch ) 24   4 Areca Palm + 2 Gypsola + 2 Limonium</v>
          </cell>
          <cell r="T11" t="str">
            <v xml:space="preserve">O n W Asiatic ( 14 inch ) 14 P n W Car ( 14 Inch ) 24   </v>
          </cell>
        </row>
        <row r="12">
          <cell r="A12">
            <v>2024</v>
          </cell>
          <cell r="B12" t="str">
            <v>Priyanka Katyal</v>
          </cell>
          <cell r="C12">
            <v>9958565556</v>
          </cell>
          <cell r="D12" t="str">
            <v>1487, Saraswati Kunj, Sector 53</v>
          </cell>
          <cell r="E12" t="str">
            <v>DLF Phase 5</v>
          </cell>
          <cell r="F12" t="str">
            <v>Thursday</v>
          </cell>
          <cell r="G12" t="str">
            <v>9 AM - 12 PM</v>
          </cell>
          <cell r="H12">
            <v>1950</v>
          </cell>
          <cell r="I12">
            <v>487.5</v>
          </cell>
          <cell r="J12" t="str">
            <v>Joy</v>
          </cell>
          <cell r="K12" t="str">
            <v>Sunday n Thursday//NO Oriental and Guldawari (29/12) Paytm From Sanjay Katyal (28/03) Hold till 8th June-- she will confirm the package (24/05)' Shift to felicity// Today hold --send tom (09/07) Lilies Tom (08/11) Paytm From Ace Promoters and Developers Pvt. Ltd (26/01) Send Replacement tom (17/02) Skip 1 week (10/07) Couldn't deliver due to water logging-send on sunday (29/08) Paytm from Sanjay Katyal (20/10) Skip 2 week (21/05) Hold till 13th Aiug (26/07) Premium Flwer extra Next (09/01)</v>
          </cell>
          <cell r="L12" t="str">
            <v>ORIENTAL n GULDAWARI</v>
          </cell>
          <cell r="M12" t="str">
            <v>Premium Flwer extra Next (09/01)</v>
          </cell>
          <cell r="N12" t="str">
            <v>4  del of this cycle   -  0-cycles pmnt   Completed - Collect 0</v>
          </cell>
          <cell r="O12" t="str">
            <v>Sunflower ( 12 Inch ) 5     FF Sachet + Grass</v>
          </cell>
          <cell r="P12" t="str">
            <v>P n W Glad ( 14 Inch ) 22     Grass</v>
          </cell>
          <cell r="Q12" t="str">
            <v>P n W Spray Daisy ( 14 Inch ) 7     FF Sachet + Grass</v>
          </cell>
          <cell r="R12" t="str">
            <v>O Asiatic ( 14 Inch ) 4     Grass</v>
          </cell>
          <cell r="S12" t="str">
            <v>P n W Car ( 14 Inch ) 22     FF Sachet + Grass</v>
          </cell>
          <cell r="T12" t="str">
            <v>Rajni ( 14 Inch ) 22     Grass</v>
          </cell>
        </row>
        <row r="13">
          <cell r="A13">
            <v>221</v>
          </cell>
          <cell r="B13" t="str">
            <v>Convinience Enterprises-Sonali anand</v>
          </cell>
          <cell r="C13">
            <v>9810524040</v>
          </cell>
          <cell r="D13" t="str">
            <v>E-243 belaire apartments</v>
          </cell>
          <cell r="E13" t="str">
            <v>Golf Course Road</v>
          </cell>
          <cell r="F13" t="str">
            <v>Thursday</v>
          </cell>
          <cell r="G13" t="str">
            <v>9 AM - 12 PM</v>
          </cell>
          <cell r="H13">
            <v>2750</v>
          </cell>
          <cell r="I13">
            <v>687.5</v>
          </cell>
          <cell r="J13" t="str">
            <v>Corporate</v>
          </cell>
          <cell r="K13" t="str">
            <v>No Roses (21/06) Pls send red glad to her in next del(07/07) Never send Glad(13/07)  Skip 1 week(01/06) Collect cheque tom(10/06) Send Replacement tom(23/06) Skip this week(23/08) Skip 1 week (16/11) Skip this week and send on 8th (27/12) Don’t send on 9th-send on 13th (07/02) Skip this week and send on Tuesday(26/02) Due to Mar end Cycle broken (20/03) Hold today send on sunday (06/04) Skip 1 week (09/05) Hold till 26th June (07/06) Skip 1 week (24/10) Skip 2 week (21/11) Skip 2 week (02/01) Skip 1 week (26/03) Skip Tom (22/05) No Flowers till 9th July (23/06) Skip 1 week (04/11) Hold n sned on 12th now (31/12) Hold n start from // Skip 1 week (19/08) Skip this thursday and send on sunday (12/11) Skip 1 week (30/03) Next del on 21st and then every thursday (08/06)</v>
          </cell>
          <cell r="N13" t="str">
            <v>4  del of this cycle   -  0-cycles pmnt   In Process - Collect 0</v>
          </cell>
          <cell r="O13" t="str">
            <v>Sunflower ( 12 Inch ) 7     2 Gypsola + FF Sachet</v>
          </cell>
          <cell r="P13" t="e">
            <v>#N/A</v>
          </cell>
          <cell r="Q13" t="e">
            <v>#N/A</v>
          </cell>
          <cell r="R13" t="e">
            <v>#N/A</v>
          </cell>
          <cell r="S13" t="str">
            <v xml:space="preserve">P Asiatic ( 14 Inch ) 6     </v>
          </cell>
          <cell r="T13" t="str">
            <v>R n W Car ( 14 Inch ) 32     2 Limonium + FF Sachet</v>
          </cell>
        </row>
        <row r="14">
          <cell r="A14">
            <v>71</v>
          </cell>
          <cell r="B14" t="str">
            <v>Meenakshi Verma</v>
          </cell>
          <cell r="C14">
            <v>9810044544</v>
          </cell>
          <cell r="D14" t="str">
            <v>D-24, The Belaire Dlf golf course Road Phase 5</v>
          </cell>
          <cell r="E14" t="str">
            <v>Golf Course Road</v>
          </cell>
          <cell r="F14" t="str">
            <v>Thursday</v>
          </cell>
          <cell r="G14" t="str">
            <v>9 AM - 12 PM</v>
          </cell>
          <cell r="H14">
            <v>1950</v>
          </cell>
          <cell r="I14">
            <v>487.5</v>
          </cell>
          <cell r="J14" t="str">
            <v>Joy</v>
          </cell>
          <cell r="K14" t="str">
            <v>Thursday n Sunday//Lilies of diff color only(22/05) Skip tomorrow del(03/07)Skip tomorrow del(11/07)Replacement on 4th(01/10)Flowers sent on 7th due to diwali(08/11) Skip 1 week n start(01/01) Skip n send on Monday(18/03) SEND 1 Special Pack Next(18/04) Payment received against special pack(25/04) Send 2 stick extra in next del and flower food too(02/05) Skip 1 week(12/08) SEND FF Next (05/09) Dont count this week flowers as wilted(09/11) Rcvd 80 against FF(21/11) Confirm before sending(18/03) Hold Send tom(26/06/2020) Skip 1 week(25/11) Hold n start from 3rd week of jan(21/12) Returned-- start from next wek(21/01) Send 2 Bottle of flower food and upgrade to 1250 package(24/03) Sent replacement today(03/07) Hold-send next week(15/07) Send 2 Bottle of Flower food with next del(30/08) Skip 1 week(02/11) Skip 1 week(09/02) 1 Del send on 1450 on 19th May now converting to Charma Package(25/05) No Flowers till 20th Aug(27/07) Now 1450 and No Rises(10/09) NO Dahelia n Glad (17/03) Hold after 27th n start from 4th June (14/04) Start From Sep (07/08) Skip 1 week (09/07) Paytm from Vikram (12/09) No Sunflower (30/04) Send one bunch Alstroemeria acomplimentary (15/05)</v>
          </cell>
          <cell r="L14" t="str">
            <v>DAHELIA n GLAD n ROSE n ORCHID n Sunflower (30/04)</v>
          </cell>
          <cell r="N14" t="str">
            <v>4  del of this cycle   -  0-cycles pmnt   Completed - Collect 0</v>
          </cell>
          <cell r="O14" t="str">
            <v>P n Y Spray Dausy ( 14 Inch ) 7     FF Sachet + Grass</v>
          </cell>
          <cell r="P14" t="str">
            <v>Mix Alstroemeria ( 12 Inch ) 22     FF Sachet + Grass</v>
          </cell>
          <cell r="Q14" t="str">
            <v>O Asiatic ( 14 Inch ) 4     2 Gypsola</v>
          </cell>
          <cell r="R14" t="str">
            <v>P n W Glad ( 14 Inch ) 22     Grass</v>
          </cell>
          <cell r="S14" t="str">
            <v>P n W Car ( 14 Inch ) 22     FF Sachet + Grass</v>
          </cell>
          <cell r="T14" t="str">
            <v>P n W Spray Daisy ( 14 Inch ) 7     FF Sachet + Grass</v>
          </cell>
        </row>
        <row r="15">
          <cell r="A15">
            <v>2355</v>
          </cell>
          <cell r="B15" t="str">
            <v>Convinience Enterprises-Veena Anand</v>
          </cell>
          <cell r="C15">
            <v>9810031208</v>
          </cell>
          <cell r="D15" t="str">
            <v>307, Aralyas, DLF 5</v>
          </cell>
          <cell r="E15" t="str">
            <v>Golf Course Road</v>
          </cell>
          <cell r="F15" t="str">
            <v>Thursday</v>
          </cell>
          <cell r="G15" t="str">
            <v>By 10 AM</v>
          </cell>
          <cell r="H15">
            <v>2750</v>
          </cell>
          <cell r="I15">
            <v>687.5</v>
          </cell>
          <cell r="J15" t="str">
            <v>Corporate</v>
          </cell>
          <cell r="K15" t="str">
            <v>Skip this Thursday and send on Sunday (20/11)Hold and send on 12th Now (31/12) Do Not count last Del (02/07) Skip 1 week (10/09) Skip 2 week (18/05)</v>
          </cell>
          <cell r="N15" t="str">
            <v>2  del of this cycle   -  0-cycles pmnt   In Process - Collect 0</v>
          </cell>
          <cell r="O15" t="str">
            <v>Sunflower ( 12 Inch ) 7     2 Gypsola + FF Sachet</v>
          </cell>
          <cell r="P15" t="str">
            <v>Pur n P Car ( 14 inch ) 32     2 Limonium + FF Sachet</v>
          </cell>
          <cell r="Q15" t="str">
            <v xml:space="preserve">O Asiatic ( 14 Inch ) 6     2 Gypsola </v>
          </cell>
          <cell r="R15" t="e">
            <v>#N/A</v>
          </cell>
          <cell r="S15" t="e">
            <v>#N/A</v>
          </cell>
          <cell r="T15" t="str">
            <v>Rajni ( 14 Inch ) 32     2 Limonium</v>
          </cell>
        </row>
        <row r="16">
          <cell r="A16">
            <v>2502</v>
          </cell>
          <cell r="B16" t="str">
            <v>Amrita Sarup</v>
          </cell>
          <cell r="C16">
            <v>7028026940</v>
          </cell>
          <cell r="D16" t="str">
            <v>D1/802, Experion Heartsong, Sec 108</v>
          </cell>
          <cell r="E16" t="str">
            <v>Dwarka Expressway</v>
          </cell>
          <cell r="F16" t="str">
            <v>Thursday</v>
          </cell>
          <cell r="G16" t="str">
            <v>4 Pm to 7 PM</v>
          </cell>
          <cell r="H16">
            <v>1450</v>
          </cell>
          <cell r="I16">
            <v>362.5</v>
          </cell>
          <cell r="J16" t="str">
            <v>Bliss</v>
          </cell>
          <cell r="K16" t="str">
            <v>No Asiatic n Spray Daisy // Today Hold (14/08) Replacement tom (04/12) No Orchid (11/12) No BOP n Orchid (12/12) Today Returned -send on Sunday (18/12) Returned today (01/01/26) Next 3 Deliveries with Premium (11/.04)</v>
          </cell>
          <cell r="L16" t="str">
            <v>BOP n Orchid</v>
          </cell>
          <cell r="M16" t="str">
            <v>Next 3 Deliveries with Premium (11/.04)</v>
          </cell>
          <cell r="N16" t="str">
            <v>2  del of this cycle   -  0-cycles pmnt   Completed - Collect 0</v>
          </cell>
          <cell r="O16" t="e">
            <v>#N/A</v>
          </cell>
          <cell r="P16" t="e">
            <v>#N/A</v>
          </cell>
          <cell r="Q16" t="e">
            <v>#N/A</v>
          </cell>
          <cell r="R16" t="e">
            <v>#N/A</v>
          </cell>
          <cell r="S16" t="str">
            <v>Pur n P Car ( 14 Inch ) 16     FF Sachet + Grass</v>
          </cell>
          <cell r="T16" t="str">
            <v>O Asiatic ( ( 14 inch ) 3     Grass</v>
          </cell>
        </row>
        <row r="17">
          <cell r="A17">
            <v>3247</v>
          </cell>
          <cell r="B17" t="str">
            <v>V P Singh</v>
          </cell>
          <cell r="C17">
            <v>9717986555</v>
          </cell>
          <cell r="D17" t="str">
            <v>WT04/701, Experion Windchantsm Sec 112</v>
          </cell>
          <cell r="E17" t="str">
            <v>Dwarka Expressway</v>
          </cell>
          <cell r="F17" t="str">
            <v>Thursday</v>
          </cell>
          <cell r="G17" t="str">
            <v>4 Pm to 7 PM</v>
          </cell>
          <cell r="H17">
            <v>1450</v>
          </cell>
          <cell r="I17">
            <v>362.5</v>
          </cell>
          <cell r="J17" t="str">
            <v>Bliss</v>
          </cell>
          <cell r="K17" t="str">
            <v>Paytm From Vijay Pratap Singh</v>
          </cell>
          <cell r="N17" t="str">
            <v>3  del of this cycle   -  0-cycles pmnt   Completed - Collect 0</v>
          </cell>
          <cell r="O17" t="str">
            <v>Mix Car 16     Grass</v>
          </cell>
          <cell r="P17" t="str">
            <v>P n W Glad ( 14 Inch ) 16     Grass</v>
          </cell>
          <cell r="Q17" t="str">
            <v>Sunflower ( 12 Inch ) 4 With Bouquet in Morning Pls With Bouquet in Morning Pls With Bouquet in Morning Pls  FF Sachet + Grass</v>
          </cell>
          <cell r="R17" t="str">
            <v>Pur Eustoma ( 12 Inch ) 3     FF Sachet + Grass</v>
          </cell>
          <cell r="S17" t="str">
            <v>O Asiatic ( 14 Inch ) 3     Grass</v>
          </cell>
          <cell r="T17" t="str">
            <v>Rajni ( 14 Inch ) 16     Grass</v>
          </cell>
        </row>
        <row r="18">
          <cell r="A18">
            <v>894</v>
          </cell>
          <cell r="B18" t="str">
            <v>Dr. Roma Kumar</v>
          </cell>
          <cell r="C18" t="str">
            <v>98110 87708</v>
          </cell>
          <cell r="D18" t="str">
            <v>RT-181, Royalton Tower
Inside Princeton Estate
DLF City Phase-V
Gurgaon-122009
Haryana</v>
          </cell>
          <cell r="E18" t="str">
            <v>DLF Phase 5</v>
          </cell>
          <cell r="F18" t="str">
            <v>Thursday</v>
          </cell>
          <cell r="G18" t="str">
            <v>9 AM - 12 PM</v>
          </cell>
          <cell r="H18">
            <v>3000</v>
          </cell>
          <cell r="I18">
            <v>375</v>
          </cell>
          <cell r="J18" t="str">
            <v>Charm</v>
          </cell>
          <cell r="K18" t="str">
            <v>Sun to Thursday//NO Roses(Old) PREFER-- WHITE ROSE/RAJNIGANDHA/CHRYSANTHEMUM(18/11) Skip 1 Week(25/12) Day Changed to Monday till Lovkdown(23/08/20) Send replacement of Lilies(20/10) Day Changed to Sunday-send 1 del today and then every Sunday(30/11) Paytm from Pooja M Tripathi(26/04) Sent replacement today(30/07) Paytm of Gignger lily and eustoma added(06/11) Skip 1 week(06/11)  20 Rajnio sent in Subscription(06/02) Skip today(13/02) Rajni Next(19/02) Rajni next(02/03) Skip 1 week(02/06) Skip Sunday Delivery(13/08) Skip this thursday Delivery (28/02) Skip 1 week (28/02) No Blue Orchid (06/04) Hold today and next Sunday also (12/09) Hold today n one more del (19/09) Skip 1 week (22/02) Skip this thursday (12/03) Send replacement tom (04/05) Skip on sunday (01/06) Skip today (01/06) Skip 1 week (24/11) Hold n start from 29th Jan (18/01) Hold today (02/07)</v>
          </cell>
          <cell r="L18" t="str">
            <v>ORCHID</v>
          </cell>
          <cell r="N18" t="str">
            <v>6  del of this cycle   -  0-cycles pmnt   Completed - Collect 0</v>
          </cell>
          <cell r="O18" t="str">
            <v>W Oriental ( 15 Inch ) 2     Grass</v>
          </cell>
          <cell r="P18" t="str">
            <v>P n W Glad ( 14 Inch ) 15     Grass</v>
          </cell>
          <cell r="Q18" t="str">
            <v>P Asiatic ( 14 Inch ) 3     Grass</v>
          </cell>
          <cell r="R18" t="str">
            <v>Rajni ( 14 Inch ) 15     Grass</v>
          </cell>
          <cell r="S18" t="str">
            <v>B Daisy ( 12 Inch ) 15     Grass</v>
          </cell>
          <cell r="T18" t="str">
            <v>G Anthurium 3     Grass</v>
          </cell>
        </row>
        <row r="19">
          <cell r="A19">
            <v>3396</v>
          </cell>
          <cell r="B19" t="str">
            <v>Shivani Gogia</v>
          </cell>
          <cell r="C19">
            <v>7838568324</v>
          </cell>
          <cell r="D19" t="str">
            <v>A-105, 1st Floor, Siushant Lok 3, Sec 57</v>
          </cell>
          <cell r="E19" t="str">
            <v>Sector 56</v>
          </cell>
          <cell r="F19" t="str">
            <v>Thursday</v>
          </cell>
          <cell r="G19" t="str">
            <v>9:30 Am to 2 PM</v>
          </cell>
          <cell r="H19">
            <v>1450</v>
          </cell>
          <cell r="I19">
            <v>362.5</v>
          </cell>
          <cell r="J19" t="str">
            <v>Customized</v>
          </cell>
          <cell r="K19" t="str">
            <v>14 rajni</v>
          </cell>
          <cell r="N19" t="str">
            <v>2  del of this cycle   -  0-cycles pmnt   Completed - Collect 0</v>
          </cell>
          <cell r="O19" t="e">
            <v>#N/A</v>
          </cell>
          <cell r="P19" t="e">
            <v>#N/A</v>
          </cell>
          <cell r="Q19" t="e">
            <v>#N/A</v>
          </cell>
          <cell r="R19" t="e">
            <v>#N/A</v>
          </cell>
          <cell r="S19" t="str">
            <v>Rajni ( 14 Inch ) 14     Grass</v>
          </cell>
          <cell r="T19" t="str">
            <v>O Asiatic ( ( 14 inch ) 3     FF Sachet + Grass</v>
          </cell>
        </row>
        <row r="20">
          <cell r="A20" t="str">
            <v>G-00028</v>
          </cell>
          <cell r="B20" t="str">
            <v>Niharika Mohanty</v>
          </cell>
          <cell r="C20">
            <v>9711098608</v>
          </cell>
          <cell r="D20" t="str">
            <v>W2A-151, Wellington Estate</v>
          </cell>
          <cell r="E20" t="str">
            <v>DLF Phase 5</v>
          </cell>
          <cell r="F20" t="str">
            <v>Thursday</v>
          </cell>
          <cell r="G20" t="str">
            <v>10 AM to 2:30 PM</v>
          </cell>
          <cell r="H20">
            <v>1950</v>
          </cell>
          <cell r="I20">
            <v>487.5</v>
          </cell>
          <cell r="J20" t="str">
            <v>Joy</v>
          </cell>
          <cell r="K20" t="str">
            <v>From Akriti Chopra // Mixed Flowers // Skip this week (11/03) Skip 1 week (11/03)  Skip 2 week (18/06) Skip 1 week (13/08) Skip 1 week (14/10) Skip 2 weeks (12/11) Skip 1 week (03/12) Skip 1 week (03/01) Hold today (21/05) Skip tom (03/06) Skip today and next week (18/06(</v>
          </cell>
          <cell r="M20" t="str">
            <v>Mixed Flowers</v>
          </cell>
          <cell r="N20" t="str">
            <v>2  del of this cycle   -  1-cycles pmnt   Pending - Collect 1950</v>
          </cell>
          <cell r="O20" t="e">
            <v>#N/A</v>
          </cell>
          <cell r="P20" t="str">
            <v>Y Asiatic ( 14 Inch ) 2 P n W Glad ( 14 Inch ) 11   2 Gypsola</v>
          </cell>
          <cell r="Q20" t="str">
            <v>Sunflower ( 12 Inch ) 3 Mix Alstroemeria ( 12 inch )  11   FF Sachet + Grass</v>
          </cell>
          <cell r="R20" t="e">
            <v>#N/A</v>
          </cell>
          <cell r="S20" t="str">
            <v>P Eustoma ( 12 Inch ) 2 Pur n W Car ( 14 Inch ) 11   FF Sachet + Grass</v>
          </cell>
          <cell r="T20" t="str">
            <v>P Asiatic ( 14 Inch ) 2 Rajni ( 14 Inch ) 11 Collect Payment Collect Payment Grass</v>
          </cell>
        </row>
        <row r="21">
          <cell r="A21">
            <v>3270</v>
          </cell>
          <cell r="B21" t="str">
            <v>Tanya Sharma</v>
          </cell>
          <cell r="C21">
            <v>7022251818</v>
          </cell>
          <cell r="D21" t="str">
            <v>T-8/202, Chintel Serenity, Sec 109</v>
          </cell>
          <cell r="E21" t="str">
            <v>Dwarka Expressway</v>
          </cell>
          <cell r="F21" t="str">
            <v>Thursday</v>
          </cell>
          <cell r="G21" t="str">
            <v>4 Pm to 7 PM</v>
          </cell>
          <cell r="H21">
            <v>1950</v>
          </cell>
          <cell r="I21">
            <v>487.5</v>
          </cell>
          <cell r="J21" t="str">
            <v>Joy</v>
          </cell>
          <cell r="K21" t="str">
            <v>No Yellow wn Purple // no Rajni (02/02) No ALstroemeria and do not count last del(19/06) Pls Don’t count last del (26/06)</v>
          </cell>
          <cell r="L21" t="str">
            <v>Rajni n Alstroemeria</v>
          </cell>
          <cell r="M21" t="str">
            <v>No Yellow wn Purple // Stock Next (02/03)</v>
          </cell>
          <cell r="N21" t="str">
            <v>4  del of this cycle   -  0-cycles pmnt   Completed - Collect 0</v>
          </cell>
          <cell r="O21" t="str">
            <v>W Asiatic ( 14 Inch ) 2 P n W Glad ( 14 Inch ) 11   Grass</v>
          </cell>
          <cell r="P21" t="str">
            <v>G n W Spray Daisy ( 14 Inch ) 4 P n W Car ( 14 Inch ) 11   FF Sachet + Grass</v>
          </cell>
          <cell r="Q21" t="str">
            <v>P Eustoma ( 12 Inch ) 2 Mix Alstroemeria ( 12 inch )  11   FF Sachet + Grass</v>
          </cell>
          <cell r="R21" t="str">
            <v>O Asiatic ( 14 Inch ) 2 Rajni ( 14 Inch ) 11   Grass</v>
          </cell>
          <cell r="S21" t="str">
            <v>P n Y Spray Daisy ( 14 Inch ) 4 P n W Glad ( 14 Inch ) 11   FF Sachet + Grass</v>
          </cell>
          <cell r="T21" t="str">
            <v>P Asiatic ( 14 Inch ) 2 P n W Car ( 14 Inch ) 11   Grass</v>
          </cell>
        </row>
        <row r="22">
          <cell r="A22">
            <v>2509</v>
          </cell>
          <cell r="B22" t="str">
            <v>Shrija Majumder</v>
          </cell>
          <cell r="C22">
            <v>8910369663</v>
          </cell>
          <cell r="D22" t="str">
            <v>G-803, BPTP Freedom Park Life</v>
          </cell>
          <cell r="E22" t="str">
            <v>Artemis</v>
          </cell>
          <cell r="F22" t="str">
            <v>Thursday</v>
          </cell>
          <cell r="G22" t="str">
            <v>9:30 Am to 2 PM</v>
          </cell>
          <cell r="H22">
            <v>1450</v>
          </cell>
          <cell r="I22">
            <v>1450</v>
          </cell>
          <cell r="J22" t="str">
            <v>Bliss</v>
          </cell>
          <cell r="K22" t="str">
            <v>Only Seasonals // skip tom (26/04) Skip 1 week (25/06) Hold today (14/08) Send tom after 7 PM (20/08) Skip 1 week (27/08) Skip 1 week (05/03) send replacement tom (28/03)</v>
          </cell>
          <cell r="M22" t="str">
            <v>Seasonlas</v>
          </cell>
          <cell r="N22" t="str">
            <v>3  del of this cycle   -  0-cycles pmnt   Completed - Collect 0</v>
          </cell>
          <cell r="O22" t="str">
            <v>Rajni ( 14 Inch ) 9     Grass</v>
          </cell>
          <cell r="P22" t="str">
            <v>Mix Car ( 14 Inch ) 9     Grass</v>
          </cell>
          <cell r="Q22" t="str">
            <v>Mix Alstroemeria ( 12 Inch ) 9     FF Sachet + Grass</v>
          </cell>
          <cell r="R22" t="str">
            <v>P n W Glad ( 14 Inch ) 16     Grass</v>
          </cell>
          <cell r="S22" t="str">
            <v>Rajni ( 14 Inch ) 16     Grass</v>
          </cell>
          <cell r="T22" t="str">
            <v>R n W Car ( 14 Inch ) 16     FF Sachet + Grass</v>
          </cell>
        </row>
        <row r="23">
          <cell r="A23">
            <v>3235</v>
          </cell>
          <cell r="B23" t="str">
            <v>Nishant -- Wellington</v>
          </cell>
          <cell r="C23">
            <v>9833057481</v>
          </cell>
          <cell r="D23" t="str">
            <v>Flat-1B/101, Wellington Estate</v>
          </cell>
          <cell r="E23" t="str">
            <v>DLF Phase 5</v>
          </cell>
          <cell r="F23" t="str">
            <v>Thursday</v>
          </cell>
          <cell r="G23" t="str">
            <v>9 AM - 12 PM</v>
          </cell>
          <cell r="H23">
            <v>1450</v>
          </cell>
          <cell r="I23">
            <v>362.5</v>
          </cell>
          <cell r="J23" t="str">
            <v>Bliss</v>
          </cell>
          <cell r="K23" t="str">
            <v>Paytm From Nishant Pandita // HDTNP (05/03) No Glad or Rajni (06/06)</v>
          </cell>
          <cell r="L23" t="str">
            <v>Glad n Rajni</v>
          </cell>
          <cell r="N23" t="str">
            <v>1  del of this cycle   -  1-cycles pmnt   Pending - Collect 1450</v>
          </cell>
          <cell r="O23" t="e">
            <v>#N/A</v>
          </cell>
          <cell r="P23" t="str">
            <v>Pur n P Car ( 14 inch ) 16     FF Sachet + Grass</v>
          </cell>
          <cell r="Q23" t="str">
            <v>P Asiatic ( 14 Inch ) 3     Grass</v>
          </cell>
          <cell r="R23" t="str">
            <v>Pur Eustoma ( 12 Inch ) 3     FF Sachet + Grass</v>
          </cell>
          <cell r="S23" t="str">
            <v>P n Y Spray Daisy ( 14 Inch ) 5     FF Sachet + Grass</v>
          </cell>
          <cell r="T23" t="str">
            <v>Mix Alstroemeria ( 12Inch ) 16     FF Sachet + Grass</v>
          </cell>
        </row>
        <row r="24">
          <cell r="A24">
            <v>2665</v>
          </cell>
          <cell r="B24" t="str">
            <v>Shaivya Rai</v>
          </cell>
          <cell r="C24">
            <v>9532096763</v>
          </cell>
          <cell r="D24" t="str">
            <v>4221, ATS Kocoon, Sec 109</v>
          </cell>
          <cell r="E24" t="str">
            <v>Dwarka Expressway</v>
          </cell>
          <cell r="F24" t="str">
            <v>Thursday</v>
          </cell>
          <cell r="G24" t="str">
            <v>4 Pm to 7 PM</v>
          </cell>
          <cell r="H24">
            <v>999</v>
          </cell>
          <cell r="I24">
            <v>249.75</v>
          </cell>
          <cell r="J24" t="str">
            <v>Delight</v>
          </cell>
          <cell r="K24" t="str">
            <v>Received on 25th Aug (25/07) HDTNP (11/06) HDTNP (18/06) HDTNP (25/06)</v>
          </cell>
          <cell r="N24" t="str">
            <v>3  del of this cycle   -  0-cycles pmnt   Completed - Collect 0</v>
          </cell>
          <cell r="O24" t="str">
            <v>P n W Glad ( 14 Inch ) 9     Grass</v>
          </cell>
          <cell r="P24" t="e">
            <v>#N/A</v>
          </cell>
          <cell r="Q24" t="e">
            <v>#N/A</v>
          </cell>
          <cell r="R24" t="e">
            <v>#N/A</v>
          </cell>
          <cell r="S24" t="str">
            <v xml:space="preserve">Collect 250 n Close      </v>
          </cell>
          <cell r="T24" t="str">
            <v>Pur n P Car ( 14 Inch ) 9     FF Sachet + Grass</v>
          </cell>
        </row>
        <row r="25">
          <cell r="A25">
            <v>236</v>
          </cell>
          <cell r="B25" t="str">
            <v>Dr. Arti Gupta 1</v>
          </cell>
          <cell r="C25">
            <v>8860079525</v>
          </cell>
          <cell r="D25" t="str">
            <v>Mayom Hospital, D block south city 1</v>
          </cell>
          <cell r="E25" t="str">
            <v>South City 1</v>
          </cell>
          <cell r="F25" t="str">
            <v>Mondau</v>
          </cell>
          <cell r="G25" t="str">
            <v>9 AM - 12 PM</v>
          </cell>
          <cell r="H25">
            <v>1450</v>
          </cell>
          <cell r="I25">
            <v>362.5</v>
          </cell>
          <cell r="J25" t="str">
            <v>Corporate</v>
          </cell>
          <cell r="K25" t="str">
            <v>Pls send a replacement of Asiatic tomorrow(23/08)NO GERBERA(22/09) Start special Pack(13/04) Send Del on Monday this week(20/03) NEVER BUT DAISIES(29/10) Hold today (22/01) HDTNP (19/02) Sent one xtra del today (29/06)</v>
          </cell>
          <cell r="N25" t="str">
            <v>4  del of this cycle   -  0-cycles pmnt   In Process - Collect 0</v>
          </cell>
          <cell r="O25" t="str">
            <v>Mix Alstroemeria ( 12 Inch ) 16     FF Sachet + Grass</v>
          </cell>
          <cell r="P25" t="str">
            <v>Pur n P Car ( 14 inch ) 16     FF Sachet + Grass</v>
          </cell>
          <cell r="Q25" t="str">
            <v>P n W Glad ( 14 Inch ) 16     Grass</v>
          </cell>
          <cell r="R25" t="str">
            <v>Rajni ( 14 Inch ) 16     Grass</v>
          </cell>
          <cell r="S25" t="str">
            <v>B Daisy ( 12 Inch ) 10     Grass</v>
          </cell>
          <cell r="T25" t="str">
            <v>P n W Car ( 14 Inch ) 16     FF Sachet + Grass</v>
          </cell>
        </row>
        <row r="26">
          <cell r="A26">
            <v>2204</v>
          </cell>
          <cell r="B26" t="str">
            <v>Bidisha Dey</v>
          </cell>
          <cell r="C26">
            <v>9811969982</v>
          </cell>
          <cell r="D26" t="str">
            <v>C-24, Carlton Estate-1, Club Drive</v>
          </cell>
          <cell r="E26" t="str">
            <v>DLF Phase 5</v>
          </cell>
          <cell r="F26" t="str">
            <v>Thursday</v>
          </cell>
          <cell r="G26" t="str">
            <v>9:30 Am to 2 PM</v>
          </cell>
          <cell r="H26">
            <v>1450</v>
          </cell>
          <cell r="I26">
            <v>362.5</v>
          </cell>
          <cell r="J26" t="str">
            <v>Bliss</v>
          </cell>
          <cell r="K26" t="str">
            <v>Skip 1 week (03/06) Returned send next week (11/07) Skip 1 week (08/01) Skip 1 week (26/03) Skip tom (02/07) Today Returned (20/11) HDTNP (25/06)</v>
          </cell>
          <cell r="N26" t="str">
            <v>1  del of this cycle   -  0-cycles pmnt   Completed - Collect 0</v>
          </cell>
          <cell r="O26" t="str">
            <v>P n W Glad ( 14 Inch ) 16     Grass</v>
          </cell>
          <cell r="P26" t="str">
            <v>Pur n P Car ( 14 inch ) 16     FF Sachet + Grass</v>
          </cell>
          <cell r="Q26" t="str">
            <v>Sunflower ( 12 Inch ) 4     FF Sachet + Grass</v>
          </cell>
          <cell r="R26" t="e">
            <v>#N/A</v>
          </cell>
          <cell r="S26" t="str">
            <v>P Asiatic ( 14 Inch ) 3    Collect payment Grass</v>
          </cell>
          <cell r="T26" t="str">
            <v>Rajni ( 14 Inch ) 16     Grass</v>
          </cell>
        </row>
        <row r="27">
          <cell r="A27">
            <v>366</v>
          </cell>
          <cell r="B27" t="str">
            <v>Dr. Arti Gupta 1</v>
          </cell>
          <cell r="C27">
            <v>8860079525</v>
          </cell>
          <cell r="D27" t="str">
            <v>Mayom Hospital, D block south city 1</v>
          </cell>
          <cell r="E27" t="str">
            <v>South City 1</v>
          </cell>
          <cell r="F27" t="str">
            <v>Monday</v>
          </cell>
          <cell r="G27" t="str">
            <v>9 AM - 12 PM</v>
          </cell>
          <cell r="H27">
            <v>1450</v>
          </cell>
          <cell r="I27">
            <v>362.5</v>
          </cell>
          <cell r="J27" t="str">
            <v>Corporate</v>
          </cell>
          <cell r="K27" t="str">
            <v>NO GERBERA(22/09)Start special Pack(13/04) Extend 1 ddlivery as we are sending 1 Nargis Today(22/12) Send Del on Monday this week(20/03) Send Replacemenmt of Car(20/09/20) NEVER BUT DAISIES(29/10) Spray daisy Next(03/03) Sent Replacement today(01/08) Hold today (22/01) HDTNP (19/02) Sent one extra del today (29/06)</v>
          </cell>
          <cell r="N27" t="str">
            <v>4  del of this cycle   -  0-cycles pmnt   In Process - Collect 0</v>
          </cell>
          <cell r="O27" t="str">
            <v>P Asiatic ( 14 Inch ) 3     Grass</v>
          </cell>
          <cell r="P27" t="str">
            <v>Y Asiatic ( 14 Inch ) 3     Grass</v>
          </cell>
          <cell r="Q27" t="str">
            <v>O Asiatic ( 14 Inch ) 3     Grass</v>
          </cell>
          <cell r="R27" t="str">
            <v>Pur Eustoma ( 12 Inch ) 3     FF Sachet + Grass</v>
          </cell>
          <cell r="S27" t="str">
            <v>P Asiatic ( 14 Inch ) 3     Grass</v>
          </cell>
          <cell r="T27" t="str">
            <v>W Asiatic ( 14 Inch ) 3     Grass</v>
          </cell>
        </row>
        <row r="28">
          <cell r="A28">
            <v>922</v>
          </cell>
          <cell r="B28" t="str">
            <v>Dr. Deepa Gupta</v>
          </cell>
          <cell r="C28">
            <v>8860079525</v>
          </cell>
          <cell r="D28" t="str">
            <v>Mayom Hospital, D block south city 1</v>
          </cell>
          <cell r="E28" t="str">
            <v>South City 1</v>
          </cell>
          <cell r="F28" t="str">
            <v>Thursday</v>
          </cell>
          <cell r="G28" t="str">
            <v>4 PM to 7 PM</v>
          </cell>
          <cell r="H28">
            <v>1450</v>
          </cell>
          <cell r="I28">
            <v>362.5</v>
          </cell>
          <cell r="J28" t="str">
            <v>Corporate</v>
          </cell>
          <cell r="K28" t="str">
            <v>1 del Missed(07/10) Return-send next week(31/12) Send replacement of Gerbera(30/10) Send on Monday this week(20/03) Return- hold package(08/07) Today returned-send next week(02/06) HDTNP (19/02)</v>
          </cell>
          <cell r="N28" t="str">
            <v>2  del of this cycle   -  0-cycles pmnt   In Process - Collect 0</v>
          </cell>
          <cell r="O28" t="str">
            <v>P Asiatic ( 14 Inch ) 3     Grass</v>
          </cell>
          <cell r="P28" t="str">
            <v>Y Asiatic ( 14 Inch ) 3     Grass</v>
          </cell>
          <cell r="Q28" t="str">
            <v>O Asiatic ( 14 Inch ) 3     Grass</v>
          </cell>
          <cell r="R28" t="str">
            <v>Pur Eustoma ( 12 Inch ) 3     FF Sachet + Grass</v>
          </cell>
          <cell r="S28" t="str">
            <v>P Asiatic ( 14 Inch ) 3     Grass</v>
          </cell>
          <cell r="T28" t="str">
            <v>W Asiatic ( 14 Inch ) 3     Grass</v>
          </cell>
        </row>
        <row r="29">
          <cell r="A29">
            <v>396</v>
          </cell>
          <cell r="B29" t="str">
            <v>Dr. Deepa Gupta</v>
          </cell>
          <cell r="C29">
            <v>8860079525</v>
          </cell>
          <cell r="D29" t="str">
            <v>Mayom Hospital, D block south city 1</v>
          </cell>
          <cell r="E29" t="str">
            <v>South City 1</v>
          </cell>
          <cell r="F29" t="str">
            <v>Thursday</v>
          </cell>
          <cell r="G29" t="str">
            <v>4 PM to 7 PM</v>
          </cell>
          <cell r="H29">
            <v>1450</v>
          </cell>
          <cell r="I29">
            <v>362.5</v>
          </cell>
          <cell r="J29" t="str">
            <v>Corporate</v>
          </cell>
          <cell r="K29" t="str">
            <v>1 del Missed(07/10) Return-send next week(31/12) Send replacement of Gerbera(30/10) Send on Monday this week(20/03) Return- hold package(08/07) Today returned-send next week(02/06) HDTNP (19/02)</v>
          </cell>
          <cell r="N29" t="str">
            <v>2  del of this cycle   -  0-cycles pmnt   In Process - Collect 0</v>
          </cell>
          <cell r="O29" t="str">
            <v>Mix Alstroemeria ( 12 Inch ) 16     FF Sachet + Grass</v>
          </cell>
          <cell r="P29" t="str">
            <v>P n W Glad ( 14 Inch ) 16     Grass</v>
          </cell>
          <cell r="Q29" t="str">
            <v>Pur n P Car ( 14 inch ) 16     FF Sachet + Grass</v>
          </cell>
          <cell r="R29" t="str">
            <v>Rajni ( 14 Inch ) 16     Grass</v>
          </cell>
          <cell r="S29" t="str">
            <v>P n W Glad ( 14 Inch ) 16     Grass</v>
          </cell>
          <cell r="T29" t="str">
            <v>P n W Car ( 14 Inch ) 16     FF Sachet + Grass</v>
          </cell>
        </row>
        <row r="30">
          <cell r="A30">
            <v>3071</v>
          </cell>
          <cell r="B30" t="str">
            <v>Divya Rawat</v>
          </cell>
          <cell r="C30">
            <v>8390310325</v>
          </cell>
          <cell r="D30" t="str">
            <v>D-13/14, 1st Floor, DLF Exclusive Floor</v>
          </cell>
          <cell r="E30" t="str">
            <v>DLF Phase 5</v>
          </cell>
          <cell r="F30" t="str">
            <v>Thursday</v>
          </cell>
          <cell r="G30" t="str">
            <v>9 AM - 12 PM</v>
          </cell>
          <cell r="H30">
            <v>1450</v>
          </cell>
          <cell r="I30">
            <v>362.5</v>
          </cell>
          <cell r="J30" t="str">
            <v>Bliss</v>
          </cell>
          <cell r="K30" t="str">
            <v>Return today (04/12) Hold today (05/03) Returned today (28/05) HDTNP (25/06)</v>
          </cell>
          <cell r="N30" t="str">
            <v>4  del of this cycle   -  0-cycles pmnt   Completed - Collect 0</v>
          </cell>
          <cell r="O30" t="str">
            <v>Pur Eustoma ( 14 Inch ) 2 Pur n P Car ( 14 Inch ) 7   FF Sachet + Grass</v>
          </cell>
          <cell r="P30" t="str">
            <v>P Spray Daisy ( 14 Inch ) 3 Mix Alstroemeria ( 12 Inch ) 7   FF Sachet + Grass</v>
          </cell>
          <cell r="Q30" t="str">
            <v>Sunflower ( 12 Inch ) 2 P n W Glad ( 14 Inch ) 7   FF Sachet + Grass</v>
          </cell>
          <cell r="R30" t="e">
            <v>#N/A</v>
          </cell>
          <cell r="S30" t="str">
            <v>P Asiatic ( 14 Inch ) 2 Rajni ( 14 Inch ) 7  Collect Payment Grass</v>
          </cell>
          <cell r="T30" t="str">
            <v>P Spray Daisy ( 14 Inch ) 3 P n W Car ( 14 Inch ) 7   FF Sachet + Grass</v>
          </cell>
        </row>
        <row r="31">
          <cell r="A31">
            <v>3273</v>
          </cell>
          <cell r="B31" t="str">
            <v>Sharmishtha Jhulka</v>
          </cell>
          <cell r="C31">
            <v>9810010615</v>
          </cell>
          <cell r="D31" t="str">
            <v>817-B, The Camelias</v>
          </cell>
          <cell r="E31" t="str">
            <v>Golf Course Road</v>
          </cell>
          <cell r="F31" t="str">
            <v>Thursday</v>
          </cell>
          <cell r="G31" t="str">
            <v>9 AM to 2 PM</v>
          </cell>
          <cell r="H31">
            <v>5800</v>
          </cell>
          <cell r="I31">
            <v>1450</v>
          </cell>
          <cell r="J31" t="str">
            <v>Customized</v>
          </cell>
          <cell r="K31" t="str">
            <v>send on 19th, 26th Mar, 23rd April and may 26 // Now start from 18th June (15/05) 10 Asiatic Lilies // 20 Spray Daisies // 10 Sunflowers// 10 Eustoma Pack (20/05) No Sunflowers ( 02/07)</v>
          </cell>
          <cell r="L31" t="str">
            <v>Sunflower</v>
          </cell>
          <cell r="N31" t="str">
            <v>3  del of this cycle   -  0-cycles pmnt   Completed - Collect 0</v>
          </cell>
          <cell r="O31" t="str">
            <v xml:space="preserve">Pur n P Eustoma ( 12 Inch ) 10     </v>
          </cell>
          <cell r="P31" t="e">
            <v>#N/A</v>
          </cell>
          <cell r="Q31" t="str">
            <v xml:space="preserve">P n Y Spray Daisy ( 14 Inch ) 20     </v>
          </cell>
          <cell r="R31" t="str">
            <v>O n W Asiatic ( 14 Inch ) 10     3 Areca Palm + 2 Limonium</v>
          </cell>
          <cell r="S31" t="str">
            <v>Sunflower ( 12 Inch ) 10     2 Gypsola</v>
          </cell>
          <cell r="T31" t="str">
            <v xml:space="preserve">P n W Spray Daisy ( 14 Inch ) 10     </v>
          </cell>
        </row>
        <row r="32">
          <cell r="A32">
            <v>1140</v>
          </cell>
          <cell r="B32" t="str">
            <v>Nidhi Singh</v>
          </cell>
          <cell r="C32" t="str">
            <v>8383036664//9899389873</v>
          </cell>
          <cell r="D32" t="str">
            <v>D-8/3, Ground Floor DLF Exclusive Floors</v>
          </cell>
          <cell r="E32" t="str">
            <v>DLF Phase 5</v>
          </cell>
          <cell r="F32" t="str">
            <v>Thursday</v>
          </cell>
          <cell r="G32" t="str">
            <v>9 AM - 12 PM</v>
          </cell>
          <cell r="H32">
            <v>2300</v>
          </cell>
          <cell r="I32">
            <v>287.5</v>
          </cell>
          <cell r="J32" t="str">
            <v>Felicity</v>
          </cell>
          <cell r="K32" t="str">
            <v>Sunday n thursday //Monday n Thursday//Send Change of 200 Next(22/10) NO ROSE(22/11) Send Oriental next and send change of 2000 Next(27/11) NO ROSE // Heliconia Next(30/11) Send Change Next(13/04) 350 Received today via paytm(15/04) Flower Food Next(16/04) Send replacement of gerbera tom(20/04) Received 250 today(20/04) Send Replacement tom(20/04) Do Not Count 1 Del(22/04) Days-- Monday and Thursday(30/05) Gpay from Vivek Singh// Paytm from 9372779905-- Viveka(30/07) 1 Flower food next(01/04) Sent a replacement today(05/04) FF Next()8/04) Today del missed(02/06) REceived 1650 extra (28/12) Send replacement tom (29/08) Skip 1 week (17/10) 13th Flower Missed (17/11) Today Returned (18/12) Skip Tom (17/01) No Del from 21st to 27th July (10/07) Skip 1 week (03/12) Hold till 15th Dec (09/12) Skip this thursday (24/12) Skip on sunday (10/01) Hold till 31st Jan after 18th Del (17/01)</v>
          </cell>
          <cell r="L32" t="str">
            <v>ROSE</v>
          </cell>
          <cell r="N32" t="str">
            <v>3  del of this cycle   -  0-cycles pmnt   Completed - Collect 0</v>
          </cell>
          <cell r="O32" t="str">
            <v>P Spray Daisy ( 14 Inch ) 3     FF Sachet + Grass</v>
          </cell>
          <cell r="P32" t="str">
            <v>Pur Eustoma ( 12 Inch ) 3     FF Sachet + Grass</v>
          </cell>
          <cell r="Q32" t="str">
            <v>Rajni ( 14 Inch ) 11     Grass</v>
          </cell>
          <cell r="R32" t="str">
            <v>P n W Glad ( 14 Inch ) 11     Grass</v>
          </cell>
          <cell r="S32" t="str">
            <v>Pur n P Car ( 14 Inch ) 11     FF Sachet + Grass</v>
          </cell>
          <cell r="T32" t="str">
            <v>Rajni ( 14 Inch ) 11     Grass</v>
          </cell>
        </row>
        <row r="33">
          <cell r="A33">
            <v>179</v>
          </cell>
          <cell r="B33" t="str">
            <v>Sarita Dosaj</v>
          </cell>
          <cell r="C33">
            <v>9810077026</v>
          </cell>
          <cell r="D33" t="str">
            <v>B-24, Trinity Towers</v>
          </cell>
          <cell r="E33" t="str">
            <v>DLF Phase 5</v>
          </cell>
          <cell r="F33" t="str">
            <v>Thursday</v>
          </cell>
          <cell r="G33" t="str">
            <v>9 AM - 12 PM</v>
          </cell>
          <cell r="H33">
            <v>1450</v>
          </cell>
          <cell r="I33">
            <v>362.5</v>
          </cell>
          <cell r="J33" t="str">
            <v>Bliss</v>
          </cell>
          <cell r="K33" t="str">
            <v>One Color Flower ( 06/06) HDTNP (25/06)</v>
          </cell>
          <cell r="M33" t="str">
            <v>One Color Flower ( 06/06)</v>
          </cell>
          <cell r="N33" t="str">
            <v>4  del of this cycle   -  0-cycles pmnt   Completed - Collect 0</v>
          </cell>
          <cell r="O33" t="str">
            <v>P n W Spray Daisy ( 14 Inch ) 5     FF Sachet + Grass</v>
          </cell>
          <cell r="P33" t="str">
            <v>P Glad ( 14 Inch ) 16 One Color Flower Only    Grass</v>
          </cell>
          <cell r="Q33" t="str">
            <v>O Asiatic ( 14 Inch ) 3 Collect Cash Collect Cash    Grass</v>
          </cell>
          <cell r="R33" t="e">
            <v>#N/A</v>
          </cell>
          <cell r="S33" t="str">
            <v>Sunflower ( 12 Inch ) 4    Collect payment FF Sachet + Grass</v>
          </cell>
          <cell r="T33" t="str">
            <v>P n W Car ( 14 Inch ) 16     FF Sachet + Grass</v>
          </cell>
        </row>
        <row r="34">
          <cell r="A34">
            <v>237</v>
          </cell>
          <cell r="B34" t="str">
            <v>Mayom Hospital</v>
          </cell>
          <cell r="C34">
            <v>8860079525</v>
          </cell>
          <cell r="D34" t="str">
            <v>Mayom Hospital, D block south city 1</v>
          </cell>
          <cell r="H34">
            <v>3000</v>
          </cell>
          <cell r="I34">
            <v>750</v>
          </cell>
          <cell r="J34" t="str">
            <v>Corporate</v>
          </cell>
          <cell r="T34" t="str">
            <v>P n W Car ( 14 Inch ) 16     FF Sachet + Grass</v>
          </cell>
        </row>
        <row r="35">
          <cell r="A35">
            <v>14</v>
          </cell>
          <cell r="B35" t="str">
            <v>Ms. Neelam Bhalla </v>
          </cell>
          <cell r="C35">
            <v>9810546046</v>
          </cell>
          <cell r="D35" t="str">
            <v>H4, 4th Floor, Olive Residency, Mayfield Garden, Sec 57</v>
          </cell>
          <cell r="E35" t="str">
            <v>Artemis</v>
          </cell>
          <cell r="F35" t="str">
            <v>Thursday</v>
          </cell>
          <cell r="G35" t="str">
            <v>9 AM - 12 PM</v>
          </cell>
          <cell r="H35">
            <v>1950</v>
          </cell>
          <cell r="I35">
            <v>487.5</v>
          </cell>
          <cell r="J35" t="str">
            <v>Joy</v>
          </cell>
          <cell r="K35" t="str">
            <v>No Glad (19/05) Pls send Daisy in next del with Asiatic(11/12)  Orchids Next(26/06) Send Gerbera Next with Flower Food902/07)  Orchids next(21/11)  Oriental next(20/03) Y Spray Daisy tom(25/03) Only 1 kind of flowers now(20/05) S NO GLAD n BOP (30/12) Today returned-send tom (21/01) Skip 2 weeks (27/01) Send 1 Flower Food next (13/06) Skip 1 week (06/07) Skip 1 week (20/08) Aster in Del (19/10) Hold today -send tom (03/11) Skip 1 week (01/02) Skip 1 week (29/02) Hold till 1st July (15/06) Skip 1 week (24/07) Skip 29th (26/11) Skip tom (23/01) Skip tom (27/02) Skip 1 week (11/03) Skip 1 week (17/06) Skip 1 week (20/01) Skip 1 week (04/02) Skip thursday (24/02) Skip 1 week (16/06)</v>
          </cell>
          <cell r="L35" t="str">
            <v>GLAD n BOP n GERBERA</v>
          </cell>
          <cell r="N35" t="str">
            <v>4  del of this cycle   -  0-cycles pmnt   Completed - Collect 0</v>
          </cell>
          <cell r="O35" t="str">
            <v>P n W Car ( 14 Inch ) 22     FF Sachet + Grass</v>
          </cell>
          <cell r="P35" t="str">
            <v>Pur n P Eustoma ( 12 Inch ) 4     FF Sachet + Grass</v>
          </cell>
          <cell r="Q35" t="e">
            <v>#N/A</v>
          </cell>
          <cell r="R35" t="str">
            <v>Pur n P Eustoma ( 12 Inch ) 4     FF Sachet + Grass</v>
          </cell>
          <cell r="S35" t="str">
            <v>Sunflower ( 12 Inch ) 5     FF Sachet + Grass</v>
          </cell>
          <cell r="T35" t="str">
            <v>Rajni ( 14 Inch ) 22     Grass</v>
          </cell>
        </row>
        <row r="36">
          <cell r="A36">
            <v>1098</v>
          </cell>
          <cell r="B36" t="str">
            <v>Rahul Sehgal</v>
          </cell>
          <cell r="C36">
            <v>9810022182</v>
          </cell>
          <cell r="D36" t="str">
            <v>418-A, Hamilton Court</v>
          </cell>
          <cell r="E36" t="str">
            <v>DLF Phase 4</v>
          </cell>
          <cell r="F36" t="str">
            <v>Thursday</v>
          </cell>
          <cell r="G36" t="str">
            <v>4 Pm to 7 PM</v>
          </cell>
          <cell r="H36">
            <v>1950</v>
          </cell>
          <cell r="I36">
            <v>487.5</v>
          </cell>
          <cell r="J36" t="str">
            <v>Joy</v>
          </cell>
          <cell r="K36" t="str">
            <v>P Glad First(02/09/20) Next Oriental and send only Glad/Oriental and asiatic(17/09/20)  Only Oriental and Gladioli(26/10) Now Send-- Glad // BOP + Guldawari // Oriental Lily// Heliconia(19/12) Send Glad tom -- No White(23/12) Send all flowesr now and mixed always but NO RAJNI(19/01) NO WHITE COLOR(04/03) NO BOP(21/03) NO ORCHID(02/04) Shift to Friday now(04/04) Sent 1 Flower Food today(06/06) Send on sat this week only(10/10) Y Chrysanthemum nextr and Lilies after that(23/10) NO HELICONIA(26/10) NO GERBERA(18/02) Skip thsi week(25/02) Day chang eto thursday evening slot(08/03) Do not count last delivery(20/03) Send replacement tomorrow (05/07)</v>
          </cell>
          <cell r="L36" t="str">
            <v>ROSE n RAJNI</v>
          </cell>
          <cell r="N36" t="str">
            <v>4  del of this cycle   -  0-cycles pmnt   Completed - Collect 0</v>
          </cell>
          <cell r="O36" t="str">
            <v>Sunflower ( 12 Inch ) 5     FF Sachet + Grass</v>
          </cell>
          <cell r="P36" t="str">
            <v>Pur n P Car ( 14 inch ) 22     FF Sachet + Grass</v>
          </cell>
          <cell r="Q36" t="str">
            <v>P n W Spray Daisy ( 14 Inch ) 7     FF Sachet + Grass</v>
          </cell>
          <cell r="R36" t="str">
            <v>O Asiatic ( 14 Inch ) 4     Grass</v>
          </cell>
          <cell r="S36" t="str">
            <v>P n W Glad ( 14 Inch ) 22     Grass</v>
          </cell>
          <cell r="T36" t="str">
            <v>Mix Alstroemeria ( 12Inch ) 22     FF Sachet + Grass</v>
          </cell>
        </row>
        <row r="37">
          <cell r="A37">
            <v>2294</v>
          </cell>
          <cell r="B37" t="str">
            <v>Sonal Verma</v>
          </cell>
          <cell r="C37">
            <v>9711499808</v>
          </cell>
          <cell r="D37" t="str">
            <v>H. No. 19, 1st Floor, Cedar Crest</v>
          </cell>
          <cell r="E37" t="str">
            <v>Nirvana Country</v>
          </cell>
          <cell r="F37" t="str">
            <v>Thursday</v>
          </cell>
          <cell r="G37" t="str">
            <v>9 AM - 12 PM</v>
          </cell>
          <cell r="H37">
            <v>1450</v>
          </cell>
          <cell r="I37">
            <v>362.5</v>
          </cell>
          <cell r="J37" t="str">
            <v>Collection Only</v>
          </cell>
          <cell r="K37" t="str">
            <v>Skip 1 week (11/03) Skip 1 week (21/05) Pls skip 1 week (18/06) Sent one del today (10/12) Hold due to non payment (29/01) Hold due to non payment (04/02) HDTNP (19/02) HDTNP (26/02) HDTNP (21/05) HDTNP (28/05) HDTNP (04/06) HDTNP (11/06) HDTNP (18/06) HDTNP (25/06)</v>
          </cell>
          <cell r="N37" t="str">
            <v>3  del of this cycle   -  1-cycles pmnt   Pending - Collect 1450</v>
          </cell>
          <cell r="O37" t="e">
            <v>#N/A</v>
          </cell>
          <cell r="P37" t="e">
            <v>#N/A</v>
          </cell>
          <cell r="Q37" t="e">
            <v>#N/A</v>
          </cell>
          <cell r="R37" t="e">
            <v>#N/A</v>
          </cell>
          <cell r="S37" t="str">
            <v xml:space="preserve">Collect Rs 725 Carry Reciept Book     </v>
          </cell>
          <cell r="T37" t="str">
            <v xml:space="preserve">Collect 725  Carry Receipt Bookl     </v>
          </cell>
        </row>
        <row r="38">
          <cell r="A38">
            <v>1455</v>
          </cell>
          <cell r="B38" t="str">
            <v>Gagan Ahluwalia</v>
          </cell>
          <cell r="C38">
            <v>9811105056</v>
          </cell>
          <cell r="D38" t="str">
            <v>C-82, The Summit</v>
          </cell>
          <cell r="E38" t="str">
            <v>Golf Course Road</v>
          </cell>
          <cell r="F38" t="str">
            <v>Thursday</v>
          </cell>
          <cell r="G38" t="str">
            <v>9 AM - 12 PM</v>
          </cell>
          <cell r="H38">
            <v>2300</v>
          </cell>
          <cell r="I38">
            <v>287.5</v>
          </cell>
          <cell r="J38" t="str">
            <v>Felicity</v>
          </cell>
          <cell r="K38" t="str">
            <v>Thursday n Sunday //Gift From Ragini Ahluwalia// Flowers-- Guldawari/Orchids/Car and Asiatic(27/07) Hold n start from 2nd week of July(02/06) NO ORCHIDS (23/12) Hold till june end (07/06) Today returned (20/06) Replacement today (07/07) Hold today and start after 12th Oct (03/10) No Flowers tull 17th Nov (11/11) Hold from 15th may to 17th June (14/05) Skip 1 wek (24/06) Hold today due to non payment (02/10) Hold due to non payment (05/10) Hold due to non payment (09/10) Start from today (12/10) Skip 1 week (29/11) Hold due to non payment (11/01) Hold due to non payment (01/.02) HDTNP (15/02) HDTNP (22/02) HDTNP (26/02) HDTNP (04/03) HDTNP (08/03) HDTNP (12/03) HDTNP (14/03) No after 1st June (14/05) Hold n start after 1st June (14/05) Hold till 1st June (15/05)</v>
          </cell>
          <cell r="N38" t="str">
            <v>1  del of this cycle   -  1-cycles pmnt   Pending - Collect 2300</v>
          </cell>
          <cell r="O38" t="str">
            <v>P n W Glad ( 14 Inch ) 11     Grass</v>
          </cell>
          <cell r="P38" t="str">
            <v>Rajni ( 14 Inch ) 11     Grass</v>
          </cell>
          <cell r="Q38" t="str">
            <v>Pur n P Car ( 14 inch ) 11     FF Sachet + Grass</v>
          </cell>
          <cell r="R38" t="str">
            <v>P Spray Daisy ( 14 Inch ) 3     FF Sachet + Grass</v>
          </cell>
          <cell r="S38" t="str">
            <v>Sunflower ( 12 Inch ) 3     FF Sachet + Grass</v>
          </cell>
          <cell r="T38" t="str">
            <v>P Asiatic ( 14 Inch ) 2     Grass</v>
          </cell>
        </row>
        <row r="39">
          <cell r="A39">
            <v>3107</v>
          </cell>
          <cell r="B39" t="str">
            <v>Richa -- Icon</v>
          </cell>
          <cell r="C39">
            <v>9811394916</v>
          </cell>
          <cell r="D39" t="str">
            <v>B-173, the Icon</v>
          </cell>
          <cell r="E39" t="str">
            <v>DLF Phase 5</v>
          </cell>
          <cell r="F39" t="str">
            <v>Thursday</v>
          </cell>
          <cell r="G39" t="str">
            <v>10 AM to 2:30 PM</v>
          </cell>
          <cell r="H39">
            <v>1450</v>
          </cell>
          <cell r="I39">
            <v>362.5</v>
          </cell>
          <cell r="J39" t="str">
            <v>Bliss</v>
          </cell>
          <cell r="K39" t="str">
            <v>Paytm From Ankit Gupta (01/11) Skip 08th and 15th Jan (16/12) Hold till 16th Jan (19/12) Skip 1 week (12/02) Skip 1 week (11/03) Skip 1 week (01/04) Hold n strat from 02nd July (28/05)</v>
          </cell>
          <cell r="N39" t="str">
            <v>2  del of this cycle   -  0-cycles pmnt   Completed - Collect 0</v>
          </cell>
          <cell r="O39" t="e">
            <v>#N/A</v>
          </cell>
          <cell r="P39" t="e">
            <v>#N/A</v>
          </cell>
          <cell r="Q39" t="e">
            <v>#N/A</v>
          </cell>
          <cell r="R39" t="e">
            <v>#N/A</v>
          </cell>
          <cell r="S39" t="str">
            <v>Pur n P Car ( 14 Inch ) 16     FF Sachet + Grass</v>
          </cell>
          <cell r="T39" t="str">
            <v>P Asiatic ( 14 Inch ) 3     Grass</v>
          </cell>
        </row>
        <row r="40">
          <cell r="A40">
            <v>2307</v>
          </cell>
          <cell r="B40" t="str">
            <v>Alpna Jain</v>
          </cell>
          <cell r="C40">
            <v>9599336609</v>
          </cell>
          <cell r="D40" t="str">
            <v>C-64, The Icon</v>
          </cell>
          <cell r="E40" t="str">
            <v>DLF Phase 5</v>
          </cell>
          <cell r="F40" t="str">
            <v>Thursday</v>
          </cell>
          <cell r="G40" t="str">
            <v>10 AM to 2:30 PM</v>
          </cell>
          <cell r="H40">
            <v>3000</v>
          </cell>
          <cell r="I40">
            <v>375</v>
          </cell>
          <cell r="J40" t="str">
            <v>Charm</v>
          </cell>
          <cell r="K40" t="str">
            <v>Thursday n Sunday // Hold today (08/02) Keep flowers outside of Door (17/05)</v>
          </cell>
          <cell r="M40" t="str">
            <v>Keep flowers outside of door always</v>
          </cell>
          <cell r="N40" t="str">
            <v>6  del of this cycle   -  0-cycles pmnt   Completed - Collect 0</v>
          </cell>
          <cell r="O40" t="str">
            <v>Mix Alstroemeria ( 12 Inch ) 15 ( 12 Inch ) Leave outside of door don’t ring bell and no call   FF Sachet + Grass</v>
          </cell>
          <cell r="P40" t="str">
            <v>Sunflower ( 12 Inch ) 4 Leave Outside of door-- Don’t Call and Don’t Ring Bell    FF Sachet + Grass</v>
          </cell>
          <cell r="Q40" t="str">
            <v>Pur n P Eustoma ( 12 Inch ) 4 Leave Outside of door -- Don’t call n don’t ring bell    FF Sachet + Grass</v>
          </cell>
          <cell r="R40" t="str">
            <v>Pur n P Car ( 14 Inch ) 15 Keep Flowers at door-- Don’t call or don’t ring Bell    FF Sachet + Grass</v>
          </cell>
          <cell r="S40" t="str">
            <v>B Daisy ( 12 Inch ) 15    Collect Payment Grass</v>
          </cell>
          <cell r="T40" t="str">
            <v>Sunflower ( 12 Inch ) 3 Keep Flowers at Door -- Don’t call or Ring the bell    FF Sachet + Grass</v>
          </cell>
        </row>
        <row r="41">
          <cell r="A41" t="str">
            <v>G-00015</v>
          </cell>
          <cell r="B41" t="str">
            <v>Harsh  - Unikon</v>
          </cell>
          <cell r="C41">
            <v>9015463811</v>
          </cell>
          <cell r="D41" t="str">
            <v>AR-903B, 3rd Floor, Aralias</v>
          </cell>
          <cell r="E41" t="str">
            <v>Golf Course Road</v>
          </cell>
          <cell r="F41" t="str">
            <v>Thursday</v>
          </cell>
          <cell r="G41" t="str">
            <v>4 Pm to 7 PM</v>
          </cell>
          <cell r="H41">
            <v>2750</v>
          </cell>
          <cell r="I41">
            <v>687.5</v>
          </cell>
          <cell r="J41" t="str">
            <v>Elation</v>
          </cell>
          <cell r="K41" t="str">
            <v>From Deep Bajaj // Message = Your boyfriend:p (05/11) Paytm from Simran Dhawan (04/03) Send 1 delivery tomorrow (17/03) Skip 1 week (10/04) Add change request from Jasjit -- 9560611229</v>
          </cell>
          <cell r="M41" t="str">
            <v>One time Single n One Time Mixed</v>
          </cell>
          <cell r="N41" t="str">
            <v>2  del of this cycle   -  0-cycles pmnt   In Process - Collect 0</v>
          </cell>
          <cell r="O41" t="str">
            <v>Sunflower ( 12 Inch ) 4 Mix Alstroemeria ( 12 Inch ) 16   2 Gypsola + FF Sachet</v>
          </cell>
          <cell r="P41" t="str">
            <v>Pur n P Eustoma ( 12 Inch ) 4 P n W Glad ( 14 Inch ) 16   2 Limonium + FF Sachet</v>
          </cell>
          <cell r="Q41" t="str">
            <v>P n W Spray Daisy ( 14 Inch ) 5 Pur n P Car ( 14 Inch ) 16   2 Gypsola + FF Sachet</v>
          </cell>
          <cell r="R41" t="str">
            <v>P Asiatic ( 14 Inch ) 3 B Daisy ( 12 Inch ) 16   2 Limonium</v>
          </cell>
          <cell r="S41" t="str">
            <v xml:space="preserve">Eustoma 4 Rajni ( 14 Inch ) 16   2 Gypsola + FF Sachet </v>
          </cell>
          <cell r="T41" t="str">
            <v>Sunflower ( 12 Inch ) 4 B Daisy ( 12 Inch ) 16   2 Limonium + FF Sachet</v>
          </cell>
        </row>
        <row r="42">
          <cell r="A42">
            <v>3241</v>
          </cell>
          <cell r="B42" t="str">
            <v>Sunanda</v>
          </cell>
          <cell r="C42">
            <v>8800994226</v>
          </cell>
          <cell r="D42" t="str">
            <v>C-084, The Icon</v>
          </cell>
          <cell r="E42" t="str">
            <v>DLF Phase 5</v>
          </cell>
          <cell r="F42" t="str">
            <v>Thursday</v>
          </cell>
          <cell r="G42" t="str">
            <v>9 AM - 12 PM</v>
          </cell>
          <cell r="H42">
            <v>1450</v>
          </cell>
          <cell r="I42">
            <v>362.5</v>
          </cell>
          <cell r="J42" t="str">
            <v>Bliss</v>
          </cell>
          <cell r="K42" t="str">
            <v>One Kind // Skip 1 week (13/01) HDTNP (26/02) HDTNP (04/03) HDTNP (12/03)</v>
          </cell>
          <cell r="M42" t="str">
            <v>One Kind</v>
          </cell>
          <cell r="N42" t="str">
            <v>3  del of this cycle   -  0-cycles pmnt   Completed - Collect 0</v>
          </cell>
          <cell r="O42" t="str">
            <v>P n W Glad ( 14 Inch ) 16     Grass</v>
          </cell>
          <cell r="P42" t="str">
            <v>Pur Eustoma ( 12 Inch ) 3     FF Sachet + Grass</v>
          </cell>
          <cell r="Q42" t="str">
            <v>Pur n P Car ( 14 inch ) 16     FF Sachet + Grass</v>
          </cell>
          <cell r="R42" t="str">
            <v>O Asiatic ( 14 Inch ) 3     Grass</v>
          </cell>
          <cell r="S42" t="str">
            <v>Sunflower ( 12 Inch ) 4    Collect Payment FF Sachet + Grass</v>
          </cell>
          <cell r="T42" t="str">
            <v>Rajni ( 14 Inch ) 16     Grass</v>
          </cell>
        </row>
        <row r="43">
          <cell r="A43">
            <v>2076</v>
          </cell>
          <cell r="B43" t="str">
            <v>Divya Jain Midas</v>
          </cell>
          <cell r="C43">
            <v>9910172233</v>
          </cell>
          <cell r="D43" t="str">
            <v>Midas Touch, 1st Floor, A Block, Nirvana Courtyard</v>
          </cell>
          <cell r="E43" t="str">
            <v>Nirvana Country</v>
          </cell>
          <cell r="F43" t="str">
            <v>Thursday</v>
          </cell>
          <cell r="G43" t="str">
            <v>9 AM - 12 PM</v>
          </cell>
          <cell r="H43">
            <v>1450</v>
          </cell>
          <cell r="I43">
            <v>362.5</v>
          </cell>
          <cell r="J43" t="str">
            <v>Bliss</v>
          </cell>
          <cell r="K43" t="str">
            <v>Sent replacement today (01/06) Send 1 Vase with next delivery (10/10) Send 1 Rassee Vase and Flowers tom (29/11) Sent 1 vase today (30/1) 1500 cash and 100 via paytm (07/01) One deliv sent today (26/02) Sent one del today (10/06) sent one del today (21/07) GMom Quiz Voucher Added (07/08) 1 Vase sent today (11/11) Send one del tom and with either rose or Car (02/12) Sent one del today (28/04)</v>
          </cell>
          <cell r="N43" t="str">
            <v>3  del of this cycle   -  0-cycles pmnt   CompletedNO COLLECTION-we have extra money - Collect -50</v>
          </cell>
          <cell r="O43" t="str">
            <v>P n W Glad ( 14 Inch ) 16     Grass</v>
          </cell>
          <cell r="P43" t="str">
            <v>P n Y Spray Daisy ( 14 Inch ) 5     FF Sachet + Grass</v>
          </cell>
          <cell r="Q43" t="str">
            <v>Sunflower ( 12 Inch ) 4     FF Sachet + Grass</v>
          </cell>
          <cell r="R43" t="str">
            <v>Pur Eustoma ( 12 Inch ) 3     FF Sachet + Grass</v>
          </cell>
          <cell r="S43" t="str">
            <v>O Asiatic ( 14 Inch ) 3     Grass</v>
          </cell>
          <cell r="T43" t="str">
            <v>Rajni ( 14 Inch ) 16     Grass</v>
          </cell>
        </row>
        <row r="44">
          <cell r="A44">
            <v>2779</v>
          </cell>
          <cell r="B44" t="str">
            <v>Riddhi Desai</v>
          </cell>
          <cell r="C44">
            <v>8130497969</v>
          </cell>
          <cell r="D44" t="str">
            <v>D-71, The Icon</v>
          </cell>
          <cell r="E44" t="str">
            <v>Golf Course Road</v>
          </cell>
          <cell r="F44" t="str">
            <v>Sunday</v>
          </cell>
          <cell r="G44" t="str">
            <v>9 AM to 2 PM</v>
          </cell>
          <cell r="H44">
            <v>1600</v>
          </cell>
          <cell r="I44">
            <v>200</v>
          </cell>
          <cell r="J44" t="str">
            <v>Bloom</v>
          </cell>
          <cell r="K44" t="str">
            <v>Send this week on Saturday (14/08) Skip 1 week (21/12) Hold till 2nd June (20/05)</v>
          </cell>
          <cell r="N44" t="str">
            <v>8  del of this cycle   -  0-cycles pmnt   Completed - Collect 0</v>
          </cell>
          <cell r="O44" t="str">
            <v>P n W Car ( 14 Inch ) 7     FF Sachet + Grass</v>
          </cell>
          <cell r="P44" t="str">
            <v>Y Spray Daisy ( 14 Inch ) 2     Grass</v>
          </cell>
          <cell r="Q44" t="str">
            <v>Sunflower ( 12 Inch ) 2     FF Sachet + Grass</v>
          </cell>
          <cell r="R44" t="str">
            <v>Rajni ( 14 Inch ) 7     Grass</v>
          </cell>
          <cell r="S44" t="str">
            <v>Pur n P Car ( 14 Inch ) 7     FF Sachet + Grass</v>
          </cell>
          <cell r="T44" t="str">
            <v>P Spray Daisy ( 14 Inch ) 2     FF Sachet + Grass</v>
          </cell>
        </row>
        <row r="45">
          <cell r="A45">
            <v>326</v>
          </cell>
          <cell r="B45" t="str">
            <v>Radhika Surana-- Before 10</v>
          </cell>
          <cell r="C45">
            <v>9871132800</v>
          </cell>
          <cell r="D45" t="str">
            <v>1204, The Magnolias</v>
          </cell>
          <cell r="E45" t="str">
            <v>Golf Course Road</v>
          </cell>
          <cell r="F45" t="str">
            <v>Thursday</v>
          </cell>
          <cell r="G45" t="str">
            <v>9 AM - 12 PM</v>
          </cell>
          <cell r="H45">
            <v>2750</v>
          </cell>
          <cell r="I45">
            <v>687.5</v>
          </cell>
          <cell r="J45" t="str">
            <v>Elation</v>
          </cell>
          <cell r="K45" t="str">
            <v>NO ORCHIDS, Prefer Lilies,Rajni and Gerbera(04/10) 1 week(22/04) Paytm from Anurag Surana(06/06) Paytm from Anurag Surana(02/07)  NO Orchid n BOP (25/01)  Skip 1 week (28/06) Hold 3rd aug and send on 7th Aug (03/08) Today returned (07/08) Skip this thursday and send on Monday (15/08) After 2nd Oct now (27/09) Skip 1 week (21/10) Hold n send after 8th Jan (13/12) Skip 1 week (30/01) Skip tom n sned on 19th (13/03) Skip 23rd and 30th (16/05) Skip 2 weeks and send mext del on 22nd June (12/06) Skip this week n start from tuesday (24/07) Skip 1 week (20/08) Skip 1 week (03/09) Skip 7th n 14th (06/11) Skip 5th Dec Del (02/12) skip 2 week (21/12) Today Returned (23/01) Skip 1 week and send on sunday (22/02) Skip tom and send on monday (05/03) Skip 1 week (19/03) Skip 2 weeks (05/04) Skip 2 weeks (31/05) Skip 1 week (19/08)  No Del on 18th, 25th and 2nd Oct (14/09) Returned today (09/10) Send this week on sunday and then thursday (05/11) Hold today n next weeks (27/11) Skip 1 week (25/12) Skip 1 week (30/03) Skip 4th n 11th June (28/05)</v>
          </cell>
          <cell r="L45" t="str">
            <v>BOP n ORCHID</v>
          </cell>
          <cell r="N45" t="str">
            <v>2  del of this cycle   -  1-cycles pmnt   Pending - Collect 2750</v>
          </cell>
          <cell r="O45" t="e">
            <v>#N/A</v>
          </cell>
          <cell r="P45" t="e">
            <v>#N/A</v>
          </cell>
          <cell r="Q45" t="str">
            <v>Pur n P Car ( 14 inch ) 32     2 Gypsola + FF Sachet</v>
          </cell>
          <cell r="R45" t="str">
            <v>P n W Glad ( 14 Inch ) 32     2 Limonium</v>
          </cell>
          <cell r="S45" t="str">
            <v>Pur n P Car ( 14 Inch ) 32     2 Gypsola</v>
          </cell>
          <cell r="T45" t="str">
            <v>P Asiatic ( 14 Inch ) 6  Gate Pass Wahab Ke Pass Hai Collect Payment Collect Payment 2 Limonium</v>
          </cell>
        </row>
        <row r="46">
          <cell r="A46">
            <v>2774</v>
          </cell>
          <cell r="B46" t="str">
            <v>Vandana Thakran</v>
          </cell>
          <cell r="C46">
            <v>9899589964</v>
          </cell>
          <cell r="D46" t="str">
            <v>H. No. 35, Cedar Crest</v>
          </cell>
          <cell r="E46" t="str">
            <v>Nirvana Country</v>
          </cell>
          <cell r="F46" t="str">
            <v>Sunday</v>
          </cell>
          <cell r="G46" t="str">
            <v>9 AM - 12 PM</v>
          </cell>
          <cell r="H46">
            <v>1600</v>
          </cell>
          <cell r="I46">
            <v>200</v>
          </cell>
          <cell r="J46" t="str">
            <v>Bloom</v>
          </cell>
          <cell r="N46" t="str">
            <v>4  del of this cycle   -  0-cycles pmnt   Completed - Collect 0</v>
          </cell>
          <cell r="O46" t="str">
            <v>P Spray Daisy ( 14 Inch ) 2     FF Sachet + Grass</v>
          </cell>
          <cell r="P46" t="str">
            <v>Sunflower ( 12 Inch ) 2     FF Sachet + Grass</v>
          </cell>
          <cell r="Q46" t="str">
            <v>Pur n P Car ( 14 inch ) 7     FF Sachet + Grass</v>
          </cell>
          <cell r="R46" t="str">
            <v>P n W Glad ( 14 Inch ) 7     Grass</v>
          </cell>
          <cell r="S46" t="str">
            <v>Rajni ( 14 Inch ) 7     Grass</v>
          </cell>
          <cell r="T46" t="str">
            <v>P n W Car ( 14 Inch ) 7     FF Sachet + Grass</v>
          </cell>
        </row>
        <row r="47">
          <cell r="A47">
            <v>884</v>
          </cell>
          <cell r="B47" t="str">
            <v>Bhavna Taneja</v>
          </cell>
          <cell r="C47">
            <v>9811192021</v>
          </cell>
          <cell r="D47" t="str">
            <v>F-214, DLF The Crest,Sec-54</v>
          </cell>
          <cell r="E47" t="str">
            <v>Golf Course Road</v>
          </cell>
          <cell r="F47" t="str">
            <v>Thursday</v>
          </cell>
          <cell r="G47" t="str">
            <v>9:30 AM to 2 PM</v>
          </cell>
          <cell r="H47">
            <v>1450</v>
          </cell>
          <cell r="I47">
            <v>362.5</v>
          </cell>
          <cell r="J47" t="str">
            <v>Bliss</v>
          </cell>
          <cell r="K47" t="str">
            <v>Send 2 Stick exytra next(14/09) Send lilies next(27/09) Send Tom instead of Sat and send Lilies(22/10) Send del tom with Orchids(30/10) Send 2 Asiatic on Friday instead of satirday(21/11) Google Pay from Harsh Taneja(08/02) Send on 20th and don’t send on 22nd(15/02) Hold n start from 7th Mar (20/02) TRY FOR WEDNESDAY(19/05/20) Send next del on friday with 2 extra Asiatic lily for 200Rs.(27/05/2020) Sending 30th Del on 29th May(28/05/2020) UPI From Harsh Vir Taneja(05/06/2020) Upgrade to 850 (30/07/20) Send Tom instead of 30th Oct)(27/10) Sending tom due to Diwali(11/11) Change to Bloom Pack(08/04) Next del on Monday (23/12) Send Lilies Next (24/12) Dont send on thursday -- send on Monday (04/01) NO BOP n GULDAWARI (29/01) Skip this monday and send on tuesday this week (16/05) Skip this wek and send on Thursday (26/08) Skip next thursday and sned on sunday (22/03) Skip 2 wek (02/06) Skip tom n send on sunday (26/06) No GERBERA (01/08) 1000 cash and 250 via paytm (21/11) Send on tuesday this week (22/12) Paytm from Harshveer Taneja (16/05) Payment REceived on 08th May also via Cash(18/05) skip 1 week (31/05) Skip 1 week (20/12) Start from 25th June (12/06)</v>
          </cell>
          <cell r="L47" t="str">
            <v>GULDAWARI n BOP n GERBERA</v>
          </cell>
          <cell r="M47" t="str">
            <v>Mixed Now</v>
          </cell>
          <cell r="N47" t="str">
            <v>3  del of this cycle   -  0-cycles pmnt   CompletedNO COLLECTION-we have extra money - Collect -50</v>
          </cell>
          <cell r="O47" t="str">
            <v>P n W Spray Daisy ( 14 Inch ) 5     FF Sachet + Grass</v>
          </cell>
          <cell r="P47" t="str">
            <v>P n W Glad ( 14 Inch ) 16     Grass</v>
          </cell>
          <cell r="Q47" t="e">
            <v>#N/A</v>
          </cell>
          <cell r="R47" t="str">
            <v>Pur n P Car ( 14 Inch ) 16     FF Sachet + Grass</v>
          </cell>
          <cell r="S47" t="str">
            <v>Sunflower ( 12 Inch ) 4    Collect Payment FF Sachet + Grass</v>
          </cell>
          <cell r="T47" t="str">
            <v>Rajni ( 14 Inch ) 16     Grass</v>
          </cell>
        </row>
        <row r="48">
          <cell r="A48">
            <v>1438</v>
          </cell>
          <cell r="B48" t="str">
            <v>Aishwarya G Aiyar</v>
          </cell>
          <cell r="C48">
            <v>9884857311</v>
          </cell>
          <cell r="D48" t="str">
            <v>A-173, The Pinnacle</v>
          </cell>
          <cell r="E48" t="str">
            <v>DLF Phase 5</v>
          </cell>
          <cell r="F48" t="str">
            <v>Thursday</v>
          </cell>
          <cell r="G48" t="str">
            <v>9 AM - 12 PM</v>
          </cell>
          <cell r="H48">
            <v>1600</v>
          </cell>
          <cell r="I48">
            <v>200</v>
          </cell>
          <cell r="J48" t="str">
            <v>Bloom</v>
          </cell>
          <cell r="K48" t="str">
            <v>Sunday n Thursday//Changed to Thursday//Ref By Vidya Raja(29/06) 10 Rajni and 10 Glad Next(03/07) Bop and car Next(10/07) Asiatic n car Next(17/07) Oriental and Rajni next(24/07) 3 Anthurium and 15 Glad tom(31/07) Mix of 2 flowers next(07/08) Sent replacement of Oriental today(26/08) NO HELICONIA and BOP and send Spray daisy(02/10) Skip 1 week(11/10) Now JOY(30/03) Skip 1 week(06/04) Holdn n skip this week(21/04) Skip 1 week(30/05) Hold n start from July(11/06) Skip this sunday delivery(05/08) Skip 1 week(30/08) Skip this sunday delivery(16/09) Paytm From Vivek Raja// Skip 1 week (26/04) Now bloom (01/05) Hold till 11th June (31/05) Hold n start from Aug and inform before sending (11/07) Skip 1 week (26/09) Today Retirned (02/11) Today Hold (16/11) Hold today 928/12) Hold for Thursday (05/03) Returned (10/03) Skip this sunday (24/05) Skip 1 week (02/06) Returned ltoday (29/08) Today Returned (05/09) Hols today (31/10) Skip 1 week (18/01) Skip this week (07/03) Skip 19th and 23rd (19/10) Hold 25th Del ( 23/01) Skip sunday (18/02) Skip sunday (27/03) Dont ring bell -- keep at Door (17/05) Skip thursday (15/06)</v>
          </cell>
          <cell r="N48" t="str">
            <v>3  del of this cycle   -  1-cycles pmnt   Pending - Collect 1600</v>
          </cell>
          <cell r="O48" t="str">
            <v>Mix Alstroemeria ( 12 Inch ) 7     FF Sachet + Grass</v>
          </cell>
          <cell r="P48" t="str">
            <v>P n W Glad ( 14 Inch ) 7     Grass</v>
          </cell>
          <cell r="Q48" t="e">
            <v>#N/A</v>
          </cell>
          <cell r="R48" t="str">
            <v>P n W Car ( 14 inch ) 7     FF Sachet + Grass</v>
          </cell>
          <cell r="S48" t="str">
            <v>P n W Glad ( 14 Inch ) 7     Grass</v>
          </cell>
          <cell r="T48" t="str">
            <v>Rajni ( 14 Inch ) 7   Collect Payment Collect Payment Grass</v>
          </cell>
        </row>
        <row r="49">
          <cell r="A49">
            <v>2246</v>
          </cell>
          <cell r="B49" t="str">
            <v>Amita Gupta</v>
          </cell>
          <cell r="C49">
            <v>9811985450</v>
          </cell>
          <cell r="D49" t="str">
            <v>146, Cedar Crest</v>
          </cell>
          <cell r="E49" t="str">
            <v>Nirvana Country</v>
          </cell>
          <cell r="F49" t="str">
            <v>Thursday</v>
          </cell>
          <cell r="G49" t="str">
            <v>9 AM - 12 PM</v>
          </cell>
          <cell r="H49">
            <v>1600</v>
          </cell>
          <cell r="I49">
            <v>200</v>
          </cell>
          <cell r="J49" t="str">
            <v>Bloom</v>
          </cell>
          <cell r="K49" t="str">
            <v>Return today (03/10) Change to bliss (23/10) No Orchid (24/10) Send a vase tom (20/08) Upgrade to bliss (17/12)</v>
          </cell>
          <cell r="L49" t="str">
            <v>Orchid</v>
          </cell>
          <cell r="M49" t="str">
            <v>1 Vase Tom (20/08)</v>
          </cell>
          <cell r="N49" t="str">
            <v>3  del of this cycle   -   0 -cycles pmnt  Completed - Collect 0</v>
          </cell>
          <cell r="O49" t="str">
            <v>Mix Alstroemeria ( 12 Inch ) 7     FF Sachet + Grass</v>
          </cell>
          <cell r="P49" t="str">
            <v>Pur n P Car ( 14 inch ) 7     FF Sachet + Grass</v>
          </cell>
          <cell r="Q49" t="str">
            <v>Sunflower ( 12 Inch ) 2     FF Sachet + Grass</v>
          </cell>
          <cell r="R49" t="str">
            <v>P n W Glad ( 14 Inch ) 7     Grass</v>
          </cell>
          <cell r="S49" t="str">
            <v>P n W Car ( 14 Inch ) 7     FF Sachet + Grass</v>
          </cell>
          <cell r="T49" t="str">
            <v>Sunflower ( 12 Inch ) 2     FF Sachet + Grass</v>
          </cell>
        </row>
        <row r="50">
          <cell r="A50">
            <v>1898</v>
          </cell>
          <cell r="B50" t="str">
            <v>Shipra</v>
          </cell>
          <cell r="C50">
            <v>8447778677</v>
          </cell>
          <cell r="D50" t="str">
            <v xml:space="preserve">C-94 Trinity </v>
          </cell>
          <cell r="E50" t="str">
            <v>DLF Phase 5</v>
          </cell>
          <cell r="F50" t="str">
            <v>Saturday</v>
          </cell>
          <cell r="G50" t="str">
            <v>4 Pm to 7 PM</v>
          </cell>
          <cell r="H50">
            <v>1600</v>
          </cell>
          <cell r="I50">
            <v>200</v>
          </cell>
          <cell r="J50" t="str">
            <v>Bloom</v>
          </cell>
          <cell r="K50" t="str">
            <v>Thursday and Sunday// Rajni 1st(02/04) Changed to evening slot(07/04) Today Returned(17/04) Skip Sunday del(17/06) Skip this Thursday(28/06) Skip 1 week(13/08) Skip Tom Flowers(01/10) Paytm From Shipra Rastogi (20/02) Skip 1 wek (22/03) Skip Thursday delivery (04/04) Today Returned (09/04) Skip sunday delivery (29/09) Yesterday returned (22/12) Return today (28/01) Skip tom (23/03) Skip 1 week (10/04) Eustoma Next (26/05) Hold for 10 days (06/06) Sennd one del Tom (05/08) Hold today and skip next (15/08) Hold today n skip 1 week (21/11) Skip this sunday (21/12) Paytm from Shipra Rastogi (02/03) Hold today (23/03) 250 received via paytm (30/03) 1000 cash and 250 paytm (31/03) Hold from 10th to 21st June-25(11/06) Hold today due to nonpayment (02/10) Hold due to non payment (05/10) Yesterday returned (24/10) Skip 1 week (24/12) Hold due to non payment (07/01) Hold due to non payment (11/01) Hold due to non payment (14/01) Hold due to non payment (18/01) HDTNP (15/02) HDTNP(22/02) HDTNP (26/02) HDTNP (01/03) HDTNP (04/03) HDTNP (08/03) HDTNP (12/03) HDTNP (14/03) HDTNP (10/05) hdtnp (14/05) No Flowers from 17th to 24th (17/06)</v>
          </cell>
          <cell r="N50" t="str">
            <v>2  del of this cycle   -  1-cycles pmnt   Pending - Collect 1600</v>
          </cell>
          <cell r="O50" t="str">
            <v>Mix Alstroemeria ( 12 Inch ) 7     FF Sachet + Grass</v>
          </cell>
          <cell r="P50" t="str">
            <v>Rajni ( 14 Inch ) 7     Grass</v>
          </cell>
          <cell r="Q50" t="e">
            <v>#N/A</v>
          </cell>
          <cell r="R50" t="str">
            <v>Sunflower ( 12 Inch) 2     FF Sachet + Grass</v>
          </cell>
          <cell r="S50" t="str">
            <v>Rajni ( 14 Inch ) 7     Grass</v>
          </cell>
          <cell r="T50" t="str">
            <v>Sunflower ( 12 Inch ) 2   Collect Payment Collect Payment Grass</v>
          </cell>
        </row>
        <row r="51">
          <cell r="A51">
            <v>3326</v>
          </cell>
          <cell r="B51" t="str">
            <v>Ms. Rani</v>
          </cell>
          <cell r="C51">
            <v>9313104941</v>
          </cell>
          <cell r="D51" t="str">
            <v>J-151, Park Place</v>
          </cell>
          <cell r="E51" t="str">
            <v>DLF Phase 5</v>
          </cell>
          <cell r="F51" t="str">
            <v>Thursday</v>
          </cell>
          <cell r="G51" t="str">
            <v>9 AM to 2 PM</v>
          </cell>
          <cell r="H51">
            <v>1450</v>
          </cell>
          <cell r="I51">
            <v>362.5</v>
          </cell>
          <cell r="J51" t="str">
            <v>Bliss</v>
          </cell>
          <cell r="K51" t="str">
            <v>Start From July (06/06)</v>
          </cell>
          <cell r="N51" t="str">
            <v>2  del of this cycle   -  1-cycles pmnt   Pending - Collect 1450</v>
          </cell>
          <cell r="O51" t="str">
            <v>P n Y Spray Dausy ( 14 Inch ) 5     FF Sachet + Grass</v>
          </cell>
          <cell r="P51" t="e">
            <v>#N/A</v>
          </cell>
          <cell r="Q51" t="e">
            <v>#N/A</v>
          </cell>
          <cell r="R51" t="e">
            <v>#N/A</v>
          </cell>
          <cell r="S51" t="str">
            <v>Pur n P Car ( 14 Inch ) 16     FF Sachet + Grass</v>
          </cell>
          <cell r="T51" t="str">
            <v>W Asiatic ( 14 Inch ) 3   Collect Payment Collect Payment Grass</v>
          </cell>
        </row>
        <row r="52">
          <cell r="A52">
            <v>870</v>
          </cell>
          <cell r="B52" t="str">
            <v>Himabindu Kanchan</v>
          </cell>
          <cell r="C52">
            <v>9892501292</v>
          </cell>
          <cell r="D52" t="str">
            <v xml:space="preserve">D -13, Pinnacle Dlf Phase - 5 </v>
          </cell>
          <cell r="E52" t="str">
            <v>DLF Phase 5</v>
          </cell>
          <cell r="F52" t="str">
            <v>Thursday</v>
          </cell>
          <cell r="G52" t="str">
            <v>9 AM - 12 PM</v>
          </cell>
          <cell r="H52">
            <v>1600</v>
          </cell>
          <cell r="I52">
            <v>200</v>
          </cell>
          <cell r="J52" t="str">
            <v>Bloom</v>
          </cell>
          <cell r="K52" t="str">
            <v>Sunday n Thursday//Fri to Thurs//FF Sold today(19/07) Skip n start from 23rd(08/08) P n Y Rose Next(15/11) 2 Stick Extra next(17/01) Hold-send tom(14/02) Orchids Next (18/08/20) Send 3 Sponge for 120 Rs.(19/08/20) Sending tom due to Diwali(11/11) Today returned-send next week(08/01) Skip 1 week(25/02) Skip 1 week(28/04) Glad Next(09/09) Skip 1 week(21/12) Skip 1 week(20/01) Hold Tom and skip 1 week(28/01) Skip 1 week(06/07) Receibved 695v extra today(23/07) Skip 2 weeks (21/12) Skip 1 week (08/02) No Renewal without payment (04/05) Hold today (28/12) Skip 1 week 902/01) Skip 1 week (07/02) Skip this sunday (16/02) Skip 1 week (06/04) Skip sunday del (09/05) Today hold (07/07) Hold HDTNP (12/03) tom (08/12) In form before sending (27/12) Skip next del (26/06) Hold today due to non payment (02/10) Skip week (22/12) HDTNP (01/03) HDTNP (04/03) HDTNP (08/03) HDTNP (14/03)</v>
          </cell>
          <cell r="N52" t="str">
            <v>6  del of this cycle   -  0-cycles pmnt   Completed - Collect 0</v>
          </cell>
          <cell r="O52" t="str">
            <v>P n W Glad ( 14 Inch ) 7     Grass</v>
          </cell>
          <cell r="P52" t="str">
            <v>Pur n P Car ( 14 inch ) 7     FF Sachet + Grass</v>
          </cell>
          <cell r="Q52" t="str">
            <v>Sunflower ( 12 Inch ) 2     FF Sachet + Grass</v>
          </cell>
          <cell r="R52" t="str">
            <v>Rajni ( 14 Inch ) 7     Grass</v>
          </cell>
          <cell r="S52" t="str">
            <v>P n W Car ( 14 Inch ) 7     FF Sachet + Grass</v>
          </cell>
          <cell r="T52" t="str">
            <v>Y Spray Daisy ( 14 Inch ) 2     FF Sachet + Grass</v>
          </cell>
        </row>
        <row r="53">
          <cell r="A53">
            <v>571</v>
          </cell>
          <cell r="B53" t="str">
            <v>Mrs. Singh</v>
          </cell>
          <cell r="C53">
            <v>9873099320</v>
          </cell>
          <cell r="D53" t="str">
            <v>D 42, pinnacle, Dlf ph 5, Golf course road</v>
          </cell>
          <cell r="E53" t="str">
            <v>DLF Phase 5</v>
          </cell>
          <cell r="F53" t="str">
            <v>Thursday</v>
          </cell>
          <cell r="G53" t="str">
            <v>9 AM - 12 PM</v>
          </cell>
          <cell r="H53">
            <v>1600</v>
          </cell>
          <cell r="I53">
            <v>200</v>
          </cell>
          <cell r="J53" t="str">
            <v>Bloom</v>
          </cell>
          <cell r="K53" t="str">
            <v>Thursday n Sunday//Send 3 stems extra in next del(09/10)Return-send Friday(01/01/19) NO CAR(05/06) 1 stick extra next week(11/06) Paytm from Sharad Kumar(13/08) Return-send next week(02/10) Send Tom instead of this week with gerbera(19/10) Return-send next week(31/12) SENDING ON 9TH DUE TO HOLI (08/03) Send on 4th (03/10) Return today (23/10) Do not count last delivery (22/04) Hold ans start after 10th (02/08)</v>
          </cell>
          <cell r="N53" t="str">
            <v>8  del of this cycle   -  0-cycles pmnt   Completed - Collect 0</v>
          </cell>
          <cell r="O53" t="str">
            <v>Mix Alstroemeria ( 12 Inch ) 7     FF Sachet + Grass</v>
          </cell>
          <cell r="P53" t="str">
            <v>Pur n P Car ( 14 inch ) 7     FF Sachet + Grass</v>
          </cell>
          <cell r="Q53" t="str">
            <v>Sunflower ( 12 Inch ) 2     FF Sachet + Grass</v>
          </cell>
          <cell r="R53" t="str">
            <v>P n W Glad ( 14 Inch ) 7     Grass</v>
          </cell>
          <cell r="S53" t="str">
            <v>P n W Car ( 14 Inch ) 7     FF Sachet + Grass</v>
          </cell>
          <cell r="T53" t="str">
            <v>O Asiatic ( ( 14 inch ) 2     Grass</v>
          </cell>
        </row>
        <row r="54">
          <cell r="A54">
            <v>58</v>
          </cell>
          <cell r="B54" t="str">
            <v>Ms. Anupma Chandna</v>
          </cell>
          <cell r="C54">
            <v>8130077970</v>
          </cell>
          <cell r="D54" t="str">
            <v>32, aspen greens, nirvana</v>
          </cell>
          <cell r="E54" t="str">
            <v>Nirvana Country</v>
          </cell>
          <cell r="F54" t="str">
            <v>Thursday</v>
          </cell>
          <cell r="G54" t="str">
            <v>9 AM - 12 PM</v>
          </cell>
          <cell r="H54">
            <v>1950</v>
          </cell>
          <cell r="I54">
            <v>487.5</v>
          </cell>
          <cell r="J54" t="str">
            <v>Joy</v>
          </cell>
          <cell r="K54" t="str">
            <v>No Rose // Hold n start from 04th Dec (03/11) No Greens</v>
          </cell>
          <cell r="L54" t="str">
            <v>Rose</v>
          </cell>
          <cell r="M54" t="str">
            <v>No Greens</v>
          </cell>
          <cell r="N54" t="str">
            <v>1  del of this cycle   -  1-cycles pmnt   Pending - Collect 1950</v>
          </cell>
          <cell r="O54" t="str">
            <v>W Asiatic ( 14 Inch ) 2 Mix Alstroemeria ( 12 Inch ) 11   Grass</v>
          </cell>
          <cell r="P54" t="str">
            <v>Pur Eustoma ( 12 Inch ) 3 P n W Glad ( 14 Inch ) 11   FF Sachet + Grass</v>
          </cell>
          <cell r="Q54" t="str">
            <v>Sunflower ( 12 Inch ) 3 Pur n P Car ( 14 Inch ) 11   FF Sachet + Grass</v>
          </cell>
          <cell r="R54" t="str">
            <v>P Asiatic ( 14 Inch ) 2 B Daisy ( 12 Inch ) 11   Grass</v>
          </cell>
          <cell r="S54" t="str">
            <v>P n Y Spray Daisy ( 14 Inch ) 5 Rajni ( 14 Inch ) 16   FF Sachet + Grass</v>
          </cell>
          <cell r="T54" t="str">
            <v>BOP ( 15 Inch ) 2 Mix Alstroemeria ( 12 Inch ) 11   FF Sachet + Grass</v>
          </cell>
        </row>
        <row r="55">
          <cell r="A55">
            <v>3393</v>
          </cell>
          <cell r="B55" t="str">
            <v>Runul Vashishtha</v>
          </cell>
          <cell r="C55">
            <v>9871812384</v>
          </cell>
          <cell r="D55" t="str">
            <v>C-84, DLF Park Place, Park Drive, GCR</v>
          </cell>
          <cell r="E55" t="str">
            <v>Golf Course Road</v>
          </cell>
          <cell r="F55" t="str">
            <v>Thursday</v>
          </cell>
          <cell r="G55" t="str">
            <v>9 AM to 2 PM</v>
          </cell>
          <cell r="H55">
            <v>1450</v>
          </cell>
          <cell r="I55">
            <v>362.5</v>
          </cell>
          <cell r="J55" t="str">
            <v>Bliss</v>
          </cell>
          <cell r="N55" t="str">
            <v>2  del of this cycle   -  0-cycles pmnt   Completed - Collect 0</v>
          </cell>
          <cell r="O55" t="e">
            <v>#N/A</v>
          </cell>
          <cell r="P55" t="e">
            <v>#N/A</v>
          </cell>
          <cell r="Q55" t="e">
            <v>#N/A</v>
          </cell>
          <cell r="R55" t="e">
            <v>#N/A</v>
          </cell>
          <cell r="S55" t="str">
            <v>Pur n P Car ( 14 Inch ) 16     FF Sachet + Grass</v>
          </cell>
          <cell r="T55" t="str">
            <v>P Asiatic ( 14 Inch ) 3     Grass</v>
          </cell>
        </row>
        <row r="56">
          <cell r="A56">
            <v>3063</v>
          </cell>
          <cell r="B56" t="str">
            <v>Shinjini Mehrotra</v>
          </cell>
          <cell r="C56">
            <v>9810198315</v>
          </cell>
          <cell r="D56" t="str">
            <v>F-109, 2nd Floor, Suncity</v>
          </cell>
          <cell r="E56" t="str">
            <v>Golf Course Road</v>
          </cell>
          <cell r="F56" t="str">
            <v>Thursday</v>
          </cell>
          <cell r="G56" t="str">
            <v>9 AM - 12 PM</v>
          </cell>
          <cell r="H56">
            <v>1450</v>
          </cell>
          <cell r="I56">
            <v>362.5</v>
          </cell>
          <cell r="J56" t="str">
            <v>Bliss</v>
          </cell>
          <cell r="K56" t="str">
            <v>Hold 4 Weeks (04/12) Skip 1 week (14/02) Skip 2 week (28/02) Skip 1 week  (01/04) Hold till 29th Apr (06/04)</v>
          </cell>
          <cell r="N56" t="str">
            <v>1  del of this cycle   -  1-cycles pmnt   Pending - Collect 1400</v>
          </cell>
          <cell r="O56" t="str">
            <v>R n W Car ( 14 inch ) 16     FF Sachet + Grass</v>
          </cell>
          <cell r="P56" t="str">
            <v>Pur Eustoma ( 12 Inch ) 3     FF Sachet + Grass</v>
          </cell>
          <cell r="Q56" t="str">
            <v>Sunflower ( 12 Inch ) 4     FF Sachet + Grass</v>
          </cell>
          <cell r="R56" t="str">
            <v>P n W Glad ( 14 Inch ) 16     Grass</v>
          </cell>
          <cell r="S56" t="str">
            <v>P Asiatic ( 14 Inch ) 3     Grass</v>
          </cell>
          <cell r="T56" t="str">
            <v>Rajni ( 14 Inch ) 16     Grass</v>
          </cell>
        </row>
        <row r="57">
          <cell r="A57">
            <v>826</v>
          </cell>
          <cell r="B57" t="str">
            <v>Anuradha M Agarwal</v>
          </cell>
          <cell r="C57">
            <v>9811201606</v>
          </cell>
          <cell r="D57" t="str">
            <v>A-82, Westend Heights</v>
          </cell>
          <cell r="E57" t="str">
            <v>DLF Phase 5</v>
          </cell>
          <cell r="F57" t="str">
            <v>Thursday</v>
          </cell>
          <cell r="G57" t="str">
            <v>9 AM to 2 PM</v>
          </cell>
          <cell r="H57">
            <v>999</v>
          </cell>
          <cell r="I57">
            <v>249.75</v>
          </cell>
          <cell r="J57" t="str">
            <v>Delight</v>
          </cell>
          <cell r="K57" t="str">
            <v>Sending on 20th instaed of 21st,bcoz of Holi(18/03) This Cycle flowers -- Lilies / Orchids / Carnations/Gladioli(07/04) Orchid Next(25/04) Skip 2 week(11/06) Send on Friday this week(12/08) NO ORCHID, today returned-send glad tom(22/08)ASIATIC AND  ORCHID ONCE A CYCLE WITHOUT PLASTIC CAP(22/12) Returned-send Tom(16/01) Day chenged to saturday n ORCHID NEXT(18/01) Do not consider this week del and AVOID YELLOW COLOR FOR SOME WEEK, Send Orchid Next(23/02) Orchid next (27/05) Orchid next (09/06) Hold after current cycle (09/06) Return today (10/10) Skip 1 week (25/10) Skip this thursday (16/02) Skip 1 week (23/03) Today Returned and skip next week Laos (14/08) Skip 2 week (11/10) Skip 2 week (21/12)</v>
          </cell>
          <cell r="N57" t="str">
            <v>4  del of this cycle   -  0-cycles pmnt   Completed - Collect 0</v>
          </cell>
          <cell r="O57" t="str">
            <v>P Spray Daisy ( 14 Inch ) 3     FF Sachet + Grass</v>
          </cell>
          <cell r="P57" t="str">
            <v>P n W Glad ( 14 Inch ) 9     Gras</v>
          </cell>
          <cell r="Q57" t="str">
            <v>O Asiatic ( 14 Inch ) 3     Grass</v>
          </cell>
          <cell r="R57" t="str">
            <v>B Daisy ( 12 Inch ) 9     Grass</v>
          </cell>
          <cell r="S57" t="str">
            <v>P n W Car ( 14 Inch ) 9     FF Sachet + Grass</v>
          </cell>
          <cell r="T57" t="str">
            <v>Rajni ( 14 Inch ) 9     Grass</v>
          </cell>
        </row>
        <row r="58">
          <cell r="A58">
            <v>921</v>
          </cell>
          <cell r="B58" t="str">
            <v>Anumeha</v>
          </cell>
          <cell r="C58" t="str">
            <v>9899901949// 9953511987</v>
          </cell>
          <cell r="D58" t="str">
            <v>T-04/1701, South Close</v>
          </cell>
          <cell r="E58" t="str">
            <v>Nirvana Country</v>
          </cell>
          <cell r="F58" t="str">
            <v>Thursday</v>
          </cell>
          <cell r="G58" t="str">
            <v>9 AM - 12 PM</v>
          </cell>
          <cell r="H58">
            <v>1450</v>
          </cell>
          <cell r="I58">
            <v>362.5</v>
          </cell>
          <cell r="J58" t="str">
            <v>Bliss</v>
          </cell>
          <cell r="K58" t="str">
            <v>Pls send Orchid 1st del(20/11)Send a replacement tom(25/11) Only Rajni,Asiatic and Roses(28/12) Lilies next(01/01) Lilies next(22/01) Lily Next(19/10) Send Replacement on Thursday(05/11) Lilies next-- Orange Or Yellow(17/11) Last Del Missed-Sending Tom(12/12) Returned-send from next week(16/12) Send Gerbera Tom(19/01) Daisy Next(01/02) Roses Tom(16/02) Received 50 today(02/03) Gerbera Next(08/03) Gerbera Tom(22/01) Lilies twice in cycle and Daisy/ Rajnigandha Only// Lily Next (01/02) O Asiatic Next(14/02) NO DAISY// NO SPRAY DAISY(06/03) Yel Gerbera Next(17/03) Spray Daisy with Purple in centre tom in evening slot(09/04) send on 3rd now(02/05) W n Yellow Gerbera Tom(02/03) Gpay from Lallan Singh(17/03) Recieved payment from Anumeha account today(07/04) Received Gpay from Joy Deep(28/04) Paytm From Joydeep Mukherjee(08/09) Hold for 3 weeks (19/12) Hold for 2 weeks (25/01) Skip 1 week (02/03) No rajni till oct (31/08) Send replacement tom (01/11) Skip tom (10/12) Skip 5th Del (28/02) Today Hold (28/05)</v>
          </cell>
          <cell r="M58" t="str">
            <v>No rajni till Oct (31/08)</v>
          </cell>
          <cell r="N58" t="str">
            <v>1  del of this cycle   -  1-cycles pmnt   Pending - Collect 1450</v>
          </cell>
          <cell r="O58" t="str">
            <v>P n W Glad ( 14 Inch ) 16     Grass</v>
          </cell>
          <cell r="P58" t="str">
            <v>P n W Spray Daisy ( 14 Inch ) 5     FF Sachet + Grass</v>
          </cell>
          <cell r="Q58" t="str">
            <v>Sunflower ( 12 Inch ) 4     FF Sachet + Grass</v>
          </cell>
          <cell r="R58" t="str">
            <v>Pur n P Car ( 14 Inch ) 16     FF Sachet + Grass</v>
          </cell>
          <cell r="S58" t="str">
            <v>O Asiatic ( 14 Inch ) 3     Grass</v>
          </cell>
          <cell r="T58" t="str">
            <v>P n Y Gerbera ( 12 Inch ) 16     FF Sachet + Grass</v>
          </cell>
        </row>
        <row r="59">
          <cell r="A59">
            <v>484</v>
          </cell>
          <cell r="B59" t="str">
            <v>Deepti Chhabra</v>
          </cell>
          <cell r="C59">
            <v>9811230451</v>
          </cell>
          <cell r="D59" t="str">
            <v>A-061, Westend Heights</v>
          </cell>
          <cell r="E59" t="str">
            <v>DLF Phase 5</v>
          </cell>
          <cell r="F59" t="str">
            <v>Thursday</v>
          </cell>
          <cell r="G59" t="str">
            <v>4 PM to 7PM</v>
          </cell>
          <cell r="H59">
            <v>1950</v>
          </cell>
          <cell r="I59">
            <v>487.5</v>
          </cell>
          <cell r="J59" t="str">
            <v>Joy</v>
          </cell>
          <cell r="K59" t="str">
            <v>Sat to Thursday//Hold n start from 23rd Nov(31/10) Add changed(01/02) Paytm from Vishal Chabra(22/02) Send Replacement(03/03) Skip this week(18/03) Skip next del(14/06) 1 stick extra next Del(12/07 FF Sold Today(19/07) Send rajni Tom(02/08) Send FF Next(13/09) Next Asiatic n 2 sticks extra(25/09) Rajni Next(05/12) Skip 1 week(20/12) Hold-send tom(14/02) Upgraded to 1250, send remaining 5 sticks tom(04/09) Skip1 week(05/11) Skip 1 week(18/11)  Hold today and skip 1 week(11/12) Skip 1 week(20/03) Sent replacement today(08/04) Skip 2 weeks(21/06) Skip 1 week (09/11) Skip 1 more week (16/11) NO ROSE (29/12) Send replacemet tom (08/04) Pink n green Spray Car Tom (03/05) Skip 2 weeks (01/06) Skip 1 week (23/10) Skip 1 week (15/11) Today hold (11/01) Skip 1 week (16/03) Skip 2 week (22/10) Paytm from Arti Lakra (17/01) Skip 1 week(12/04) Skip 1 week912/04) Yesterday Returned (24/10) Skip tom (07/01) Hold due to non payment (04/02) Skip 2 week (16/05) Hod n start from July (04/06)</v>
          </cell>
          <cell r="L59" t="str">
            <v>ROSE</v>
          </cell>
          <cell r="N59" t="str">
            <v>2  del of this cycle   -  1-cycles pmnt   Pending - Collect 1950</v>
          </cell>
          <cell r="O59" t="str">
            <v>P n Y Spray Dausy ( 14 Inch ) 7     FF Sachet + Grass</v>
          </cell>
          <cell r="P59" t="e">
            <v>#N/A</v>
          </cell>
          <cell r="Q59" t="e">
            <v>#N/A</v>
          </cell>
          <cell r="R59" t="e">
            <v>#N/A</v>
          </cell>
          <cell r="S59" t="str">
            <v>Pur n P Car ( 14 Inch ) 22     FF Sachet + Grass</v>
          </cell>
          <cell r="T59" t="str">
            <v>Rajni ( 14 Inch ) 22   Collect Payment Collect Payment Grass</v>
          </cell>
        </row>
        <row r="60">
          <cell r="A60">
            <v>2104</v>
          </cell>
          <cell r="B60" t="str">
            <v>Arun Gupta</v>
          </cell>
          <cell r="C60">
            <v>9999072697</v>
          </cell>
          <cell r="D60" t="str">
            <v>C-22m Arc Stationary</v>
          </cell>
          <cell r="E60" t="str">
            <v>Nirvana Country</v>
          </cell>
          <cell r="F60" t="str">
            <v>Thursday</v>
          </cell>
          <cell r="G60" t="str">
            <v>9 AM to 2 PM</v>
          </cell>
          <cell r="H60">
            <v>400</v>
          </cell>
          <cell r="I60">
            <v>100</v>
          </cell>
          <cell r="J60" t="str">
            <v>Customized</v>
          </cell>
          <cell r="K60" t="str">
            <v>4 Flowers at both Shop</v>
          </cell>
          <cell r="N60" t="str">
            <v>2  del of this cycle   -  0-cycles pmnt   In Process - Collect 0</v>
          </cell>
          <cell r="O60" t="str">
            <v>Broken Flowers  5 1 Shop    Grass</v>
          </cell>
          <cell r="P60" t="str">
            <v>Broken Flowers  5 1 Shop    Grass</v>
          </cell>
          <cell r="Q60" t="str">
            <v xml:space="preserve">      </v>
          </cell>
          <cell r="R60" t="str">
            <v xml:space="preserve">Broken Flowers  5 1 Shop    </v>
          </cell>
          <cell r="S60" t="str">
            <v xml:space="preserve">Broken Flowers  5     </v>
          </cell>
          <cell r="T60" t="str">
            <v xml:space="preserve">Broken Flowers  5 1 Shop    </v>
          </cell>
        </row>
        <row r="61">
          <cell r="A61">
            <v>3128</v>
          </cell>
          <cell r="B61" t="str">
            <v>Shikha Malhotra</v>
          </cell>
          <cell r="C61">
            <v>9873498869</v>
          </cell>
          <cell r="D61" t="str">
            <v>M-254, Park Place</v>
          </cell>
          <cell r="E61" t="str">
            <v>Golf Course Road</v>
          </cell>
          <cell r="F61" t="str">
            <v>Thursday</v>
          </cell>
          <cell r="G61" t="str">
            <v>4 PM to 7 PM</v>
          </cell>
          <cell r="H61">
            <v>1450</v>
          </cell>
          <cell r="I61">
            <v>362.5</v>
          </cell>
          <cell r="J61" t="str">
            <v>Bliss</v>
          </cell>
          <cell r="K61" t="str">
            <v>Skip 2 week after 13th (07/11) Today Hold (04/12) Paytm From Vivek Malhotra //</v>
          </cell>
          <cell r="N61" t="str">
            <v>4  del of this cycle   -  0-cycles pmnt   Completed - Collect 0</v>
          </cell>
          <cell r="O61" t="e">
            <v>#N/A</v>
          </cell>
          <cell r="P61" t="e">
            <v>#N/A</v>
          </cell>
          <cell r="Q61" t="str">
            <v>Pur n P Car ( 14 inch ) 16     FF Sachet + Grass</v>
          </cell>
          <cell r="R61" t="str">
            <v>P Asiatic ( 14 Inch ) 3  Collect Payment Collect Payment Collect Payment Grass</v>
          </cell>
          <cell r="S61" t="str">
            <v>Rajni ( 14 Inch ) 16     Grass</v>
          </cell>
          <cell r="T61" t="str">
            <v>P n Y Spray Daisy ( 14 Inch ) 5     FF Sachet + Grass</v>
          </cell>
        </row>
        <row r="62">
          <cell r="A62">
            <v>2578</v>
          </cell>
          <cell r="B62" t="str">
            <v>Suchit Agarwal</v>
          </cell>
          <cell r="C62">
            <v>9999404880</v>
          </cell>
          <cell r="D62" t="str">
            <v>T-A/702, Kanchanjunga Towers, Sec 56</v>
          </cell>
          <cell r="E62" t="str">
            <v>Sector 56</v>
          </cell>
          <cell r="F62" t="str">
            <v>Thursday</v>
          </cell>
          <cell r="G62" t="str">
            <v>4 Pm to 7 PM</v>
          </cell>
          <cell r="H62">
            <v>999</v>
          </cell>
          <cell r="I62">
            <v>249.75</v>
          </cell>
          <cell r="J62" t="str">
            <v>Delight</v>
          </cell>
          <cell r="K62" t="str">
            <v>Paytm From Richa Handa (20/06) Skip Thursday and send on Sunday (23/02) Skip tom n send on Sunday this week (01/04) HDTNP (25/06)</v>
          </cell>
          <cell r="N62" t="str">
            <v>3  del of this cycle   -  0-cycles pmnt   Completed - Collect 0</v>
          </cell>
          <cell r="O62" t="str">
            <v>P n W Glad ( 14 Inch ) 9     Grass</v>
          </cell>
          <cell r="P62" t="str">
            <v>Mix Alstroemeria ( 12 Inch ) 9     Grass</v>
          </cell>
          <cell r="Q62" t="str">
            <v>Sunflower ( 12 Inch ) 2     FF Sachet + Grass</v>
          </cell>
          <cell r="R62" t="e">
            <v>#N/A</v>
          </cell>
          <cell r="S62" t="str">
            <v xml:space="preserve">Collect 500 n Close      </v>
          </cell>
          <cell r="T62" t="str">
            <v>Pur n P Car ( 14 Inch ) 9     FF Sachet + Grass</v>
          </cell>
        </row>
        <row r="63">
          <cell r="A63">
            <v>2666</v>
          </cell>
          <cell r="B63" t="str">
            <v>Gunjan Malhotra</v>
          </cell>
          <cell r="C63">
            <v>9971518253</v>
          </cell>
          <cell r="D63" t="str">
            <v>H. No. 298C, 1st Floor, Block G, Sushant Lok-2</v>
          </cell>
          <cell r="E63" t="str">
            <v>Artemis</v>
          </cell>
          <cell r="F63" t="str">
            <v>Thursday</v>
          </cell>
          <cell r="G63" t="str">
            <v>4 PM to 7 PM</v>
          </cell>
          <cell r="H63">
            <v>1450</v>
          </cell>
          <cell r="I63">
            <v>362.5</v>
          </cell>
          <cell r="J63" t="str">
            <v>Bliss</v>
          </cell>
          <cell r="K63" t="str">
            <v>Paytm From Gunjan Malhotra // Hold n start from 04th Sep (02/08) Change day to Thursday (31/08) Do not count last Del (20/12) Skip 1 week (02/02) Skip 1 week (25/03)</v>
          </cell>
          <cell r="N63" t="str">
            <v>4  del of this cycle   -  0-cycles pmnt   Completed - Collect 0</v>
          </cell>
          <cell r="O63" t="str">
            <v>P n W Glad ( 14 Inch ) 9     Grass</v>
          </cell>
          <cell r="P63" t="str">
            <v>Pur n P Car ( 14 inch ) 9     Grass</v>
          </cell>
          <cell r="Q63" t="str">
            <v>Mix Alstroemeria ( 12 Inch ) 16     FF Sachet + Grass</v>
          </cell>
          <cell r="R63" t="str">
            <v>Pur Eustoma ( 12 Inch ) 3     FF Sachet + Grass</v>
          </cell>
          <cell r="S63" t="str">
            <v>P Asiatic ( 14 Inch ) 3     Grass</v>
          </cell>
          <cell r="T63" t="str">
            <v>Rajni ( 14 Inch ) 16     Grass</v>
          </cell>
        </row>
        <row r="64">
          <cell r="A64">
            <v>2716</v>
          </cell>
          <cell r="B64" t="str">
            <v>Simmi Chopra</v>
          </cell>
          <cell r="C64">
            <v>9891744488</v>
          </cell>
          <cell r="D64" t="str">
            <v>B/145, Suncity, Golf Course Road</v>
          </cell>
          <cell r="E64" t="str">
            <v>Golf Course Road</v>
          </cell>
          <cell r="F64" t="str">
            <v>Thursday</v>
          </cell>
          <cell r="G64" t="str">
            <v>9 AM - 12 PM</v>
          </cell>
          <cell r="H64">
            <v>2750</v>
          </cell>
          <cell r="I64">
            <v>687.5</v>
          </cell>
          <cell r="J64" t="str">
            <v>Elation</v>
          </cell>
          <cell r="K64" t="str">
            <v>Upgrade to Elation (27/08) Send 10 B daisy next extra (04/10) Today Hold (04/12) Send one Del Tom (30/12)</v>
          </cell>
          <cell r="M64" t="str">
            <v>Send on del tom and no del on 1st Jan (30/12)</v>
          </cell>
          <cell r="N64" t="str">
            <v>3  del of this cycle   -  0-cycles pmnt   Completed - Collect 0</v>
          </cell>
          <cell r="O64" t="str">
            <v>P n Y Spray Dausy ( 14 Inch ) 5 P n W Car  ( 14 Inch ) 16   2 Gypsola + FF Sachet</v>
          </cell>
          <cell r="P64" t="str">
            <v>Sunflower ( 12 Inch ) 4 Mix Alstroemeria ( 12 Inch ) 16   2 Limonium + FF Sachet</v>
          </cell>
          <cell r="Q64" t="str">
            <v xml:space="preserve">P Asiatic ( 14 Inch ) 3 P n W Glad ( 14 Inch ) 16   2 Gypsola </v>
          </cell>
          <cell r="R64" t="str">
            <v>Pur n P Eustoma ( 12 Inch ) 4 Pur n P Car ( 14 Inch ) 16   2 Limonium + FF Sachet</v>
          </cell>
          <cell r="S64" t="str">
            <v xml:space="preserve">P n W Spray Daisy ( 14 Inch ) 5 Rajni ( 14 Inch ) 16   2 Gypsola + FF Sachet </v>
          </cell>
          <cell r="T64" t="str">
            <v>Sunflower ( 12 Inch ) 4 Mix Alstroemeria ( 12 Inch ) 16   2 Limonium + FF Sachet</v>
          </cell>
        </row>
        <row r="65">
          <cell r="A65">
            <v>442</v>
          </cell>
          <cell r="B65" t="str">
            <v>Ruchi Mathure--Before 10:30 AM</v>
          </cell>
          <cell r="C65">
            <v>9871265555</v>
          </cell>
          <cell r="D65" t="str">
            <v>D-013, Westend height, DLF-5</v>
          </cell>
          <cell r="E65" t="str">
            <v>DLF Phase 5</v>
          </cell>
          <cell r="F65" t="str">
            <v>Thursday</v>
          </cell>
          <cell r="G65" t="str">
            <v>9 AM - 12 PM</v>
          </cell>
          <cell r="H65">
            <v>1450</v>
          </cell>
          <cell r="I65">
            <v>362.5</v>
          </cell>
          <cell r="J65" t="str">
            <v>Bliss</v>
          </cell>
          <cell r="K65" t="str">
            <v>No White Flowers(22/08)Skip this week n start from Thursday(26/09)Skip this week(29/11) Skip n sned on Monday(27/01) Return-send tom(17/02) NO P CAR(18/02)Return-send on Friday(24/02) Return-doesn't need Special Pack(14/04) Upgrade to 650 Plan(02/05) Skip this week n send on Monday(07/06) Skip 1 week(13/09) Skip 1 week(26/10) Skip 1 week(14/12) 150 adjusted against extra paid in Nargis to be delivered on 1st jan(30/12) Skip 1 week(26/01) Last week del was missed- pls send tom(07/03) Skip 2 weeks(18/03)NO WHITE FLOWERS(30/12) Send on saturdya this week instead of Thursday(12/11) Send on saturday this week(21/12) Getting only Car and asiatic-- Pls send all flowers(07/01) 10th Del missed-send them on saturday(11/03) NO WHITE FLOWERS(01/04) Hold n start from 2nd June(29/04) Last Thursday Missed(04/06) Skip this week n send on Sunday this week(22/06) Send Tom 1 Del with Rajni (11/07) Send 1 Del Tom(17/07) Today returned (28/07) NO GOLDEN GRASS(11/08) Sent 1 del Today(13/09) Skip tom and sned on Sunday (24/11) nEXT DEL SEND ON 31ST INSTEAD OF 30TH (24/12) Skip 1 week (20/01) Sent replacement today (14/04) send on monday this week only (21/04) Hold till 2nd Aug (07/07) Sent 1 del today and dont send tom (30/08) Skip tom Del n Send on Sunday (01/11) Today returned (09/11) No Del del till 3rd DEc (15/12) Skip 1 week (30/01) Skip on 14th and send on Sunday (12/03) Skip n sned on sunday (08/05) Hold today (30/05) Payment from Kapil M (16/06) Paytm From Kapil M (14/07) Skip 1 week (26/11) Skip nexty del (03/12) Hold till 15th Apr (18/04) No Sunflower (13/03) Skip this thursday and sned on sunday (20/04) Skip 1 week (20/05)</v>
          </cell>
          <cell r="L65" t="str">
            <v>Sunflower</v>
          </cell>
          <cell r="M65" t="str">
            <v>No White even in mixed // Skip 23rd and sned on 26th (20/04)</v>
          </cell>
          <cell r="N65" t="str">
            <v>2  del of this cycle   -  0-cycles pmnt   Completed - Collect 0</v>
          </cell>
          <cell r="O65" t="str">
            <v>W Asiatic ( 14 Inch ) 3     Grass</v>
          </cell>
          <cell r="P65" t="str">
            <v>P Glad ( 14 Inch ) 16 No White     Grass</v>
          </cell>
          <cell r="Q65" t="str">
            <v>P n Y Spray Daisy ( 14 Inch ) 5 No White Flower  No White Flower   FF Sachet + Grass</v>
          </cell>
          <cell r="R65" t="str">
            <v>Pur n P Car ( 14 Inch ) 16     FF Sachet + Grass</v>
          </cell>
          <cell r="S65" t="str">
            <v>Pur Eustoma ( 12 Inch ) 3     FF Sachet + Grass</v>
          </cell>
          <cell r="T65" t="str">
            <v>Rajni ( 14 Inch ) 16     Grass</v>
          </cell>
        </row>
        <row r="66">
          <cell r="A66">
            <v>19</v>
          </cell>
          <cell r="B66" t="str">
            <v>Mrs. Geeta Chopra</v>
          </cell>
          <cell r="C66">
            <v>9811373448</v>
          </cell>
          <cell r="D66" t="str">
            <v>E-64,Ground Floor,Suncity,Sec-54</v>
          </cell>
          <cell r="E66" t="str">
            <v>Golf Course Road</v>
          </cell>
          <cell r="F66" t="str">
            <v>Thursday</v>
          </cell>
          <cell r="G66" t="str">
            <v>9 AM - 12 PM</v>
          </cell>
          <cell r="H66">
            <v>1450</v>
          </cell>
          <cell r="I66">
            <v>362.5</v>
          </cell>
          <cell r="J66" t="str">
            <v>Bliss</v>
          </cell>
          <cell r="K66" t="str">
            <v>Sunday to Thurs//No Rajni (22/05)NO GERBERA(11/08), next time 3 sticks extra (30/3) Send replacement with 3 sticks extra tom and send special pack too(14/04) NO GLAD(22/06) NO ORCHID(13/07) Send FF Next Week(20/07) FF Sold today(27/07) Add Changed(20/12) SEND ALL FLOWERS(18/02) START WITH 650 PLAN(19/05/20) Send Replacement(14/07) Send Replacement (04/11) Hold due to non payment (02/01) Hold due to non payment (08/01) today missed send on sunday (28/05)</v>
          </cell>
          <cell r="N66" t="str">
            <v>4  del of this cycle   -  0-cycles pmnt   Completed - Collect 0</v>
          </cell>
          <cell r="O66" t="str">
            <v>P n W Glad ( 14 Inch ) 16     Grass</v>
          </cell>
          <cell r="P66" t="str">
            <v>Mix Alstroemeria ( 12 Inch ) 16     FF Sachet + Grass</v>
          </cell>
          <cell r="Q66" t="str">
            <v>O Asiatic ( 14 Inch ) 3     Grass</v>
          </cell>
          <cell r="R66" t="str">
            <v>B Daisy ( 12 Inch ) 16  Collect Payment Collect Payment Collect Payment Grass</v>
          </cell>
          <cell r="S66" t="str">
            <v>Pur n P Car ( 14 Inch ) 16    Collect Payment FF Sachet + Grass</v>
          </cell>
          <cell r="T66" t="str">
            <v>Sunflower ( 12 Inch ) 4     FF Sachet + Grass</v>
          </cell>
        </row>
        <row r="67">
          <cell r="A67">
            <v>2868</v>
          </cell>
          <cell r="B67" t="str">
            <v>Group Captain Prabal Bir Singh</v>
          </cell>
          <cell r="C67">
            <v>7827468667</v>
          </cell>
          <cell r="D67" t="str">
            <v>603, Shivshakti CGHS, Plot-94, Near Ati Chowk</v>
          </cell>
          <cell r="E67" t="str">
            <v>DLF Phase 5</v>
          </cell>
          <cell r="F67" t="str">
            <v>Thursday</v>
          </cell>
          <cell r="G67" t="str">
            <v>9 AM to 2 PM</v>
          </cell>
          <cell r="H67">
            <v>1450</v>
          </cell>
          <cell r="I67">
            <v>362.5</v>
          </cell>
          <cell r="J67" t="str">
            <v>Bliss</v>
          </cell>
          <cell r="N67" t="str">
            <v>1  del of this cycle   -  0-cycles pmnt   Completed - Collect 0</v>
          </cell>
          <cell r="O67" t="str">
            <v>R n W Car ( 14 inch ) 9     FF Sachet + Grass</v>
          </cell>
          <cell r="P67" t="str">
            <v>P n W Glad ( 14 Inch ) 9     Gras</v>
          </cell>
          <cell r="Q67" t="str">
            <v>Sunflower ( 12 Inch ) 2     FF Sachet + Grass</v>
          </cell>
          <cell r="R67" t="str">
            <v>Rajni ( 14 Inch ) 9     Grass</v>
          </cell>
          <cell r="S67" t="str">
            <v>P Asiatic ( 14 Inch ) 2     Grass</v>
          </cell>
          <cell r="T67" t="str">
            <v>P n W Car ( 14 Inch ) 16     FF Sachet + Grass</v>
          </cell>
        </row>
        <row r="68">
          <cell r="A68">
            <v>849</v>
          </cell>
          <cell r="B68" t="str">
            <v>Shalini Sharma</v>
          </cell>
          <cell r="C68">
            <v>7838500808</v>
          </cell>
          <cell r="D68" t="str">
            <v>208, Espace</v>
          </cell>
          <cell r="E68" t="str">
            <v>Nirvana Country</v>
          </cell>
          <cell r="F68" t="str">
            <v>Thursday</v>
          </cell>
          <cell r="G68" t="str">
            <v>9:30 Am to 2 PM</v>
          </cell>
          <cell r="H68">
            <v>1450</v>
          </cell>
          <cell r="I68">
            <v>362.5</v>
          </cell>
          <cell r="J68" t="str">
            <v>Bliss</v>
          </cell>
          <cell r="K68" t="str">
            <v>W n R Car Tom(25/04)  GERBERA NEXT(16/09) NO ORCHIDS(24/01)  Sent a replacement today(17/04) Ros enext (26/11) NO GULDAWARI n ORCHIDS ()6/01) Skip 1 week (05/01) Replacement tom (12/02) Send Tom and skip 30th Mar (25/03) Replacement tom (06/07) Will Pick on 30th -- Dont Send on 02nd Nov (28/10) Send this week del on tuesday 925/01) Send W Asiatic on 11th this week instead of 15th Feb (08/02) Skip 1 week (14/03) Lilies Next (20/05) Hold after current cycle (04/12) Four plus 1 Pack //</v>
          </cell>
          <cell r="L68" t="str">
            <v>GULDAWARI n ORCHID</v>
          </cell>
          <cell r="M68" t="str">
            <v>Lilies Next (20/05)</v>
          </cell>
          <cell r="N68" t="str">
            <v>4  del of this cycle   -  0-cycles pmnt   Completed - Collect 0</v>
          </cell>
          <cell r="O68" t="str">
            <v>P n W Glad ( 14 Inch ) 16     Grass</v>
          </cell>
          <cell r="P68" t="str">
            <v>P Asiatic ( 14 Inch )  3     Grass</v>
          </cell>
          <cell r="Q68" t="str">
            <v>P n Y Spray Daisy ( 14 Inch ) 5     FF Sachet + Grass</v>
          </cell>
          <cell r="R68" t="str">
            <v>Pur n P Car ( 14 Inch ) 16  Collect Payment Collect Payment Collect Payment FF Sachet + Grass</v>
          </cell>
          <cell r="S68" t="str">
            <v>Sunflower ( 12 Inch ) 4     FF Sachet + Grass</v>
          </cell>
          <cell r="T68" t="str">
            <v>Rajni ( 14 Inch ) 16     Grass</v>
          </cell>
        </row>
        <row r="69">
          <cell r="A69">
            <v>2250</v>
          </cell>
          <cell r="B69" t="str">
            <v>Saloni Gupta</v>
          </cell>
          <cell r="C69">
            <v>9810796682</v>
          </cell>
          <cell r="D69" t="str">
            <v>338, 3rd Floor, Espace</v>
          </cell>
          <cell r="E69" t="str">
            <v>Nirvana Country</v>
          </cell>
          <cell r="F69" t="str">
            <v>Sunday</v>
          </cell>
          <cell r="G69" t="str">
            <v>9 AM - 12 PM</v>
          </cell>
          <cell r="H69">
            <v>3088</v>
          </cell>
          <cell r="I69">
            <v>386</v>
          </cell>
          <cell r="J69" t="str">
            <v>Cutsomized-Biweekly</v>
          </cell>
          <cell r="K69" t="str">
            <v>Sunday n Thursday//Pls Keep Flowers in Vase// Paytm from Mayank G (17/03) Sent replacememnt today (23/03) Skip 1 week (10/04) 2 Asiatic and 5 Rajni (27/07) Paytm friom Mayank Gupta (16/09) 2 Asiatic Lily in each delivery (16/10) Today returned (17/11) Skip this sunday (03/01) Thursday -- 10 Rose and 4 Rajni // Sunday - 2 Asiatic (19/01) Whenever possible-send red Roses (23/01) Skip tom (29/01) Today returned (22/05) Send replacement tom (27/07) Hold today (14/08) Do not count last delivery (04/09) Hold today (02/10) Hold today (12/10) Hold after this cycle (27/10) Do not count last del (31/10) 2 Asiatic + 4 Rajni + 4 Glad -- thrice in a week (30/12) 2 Asiatic and 4 Rajni bi weekly pack (08/03) 2 Asiatic and 8 Rajni Every time and send 8 Rajni tom (26/03) Today returned-send tom (19/04) Skip sunday (04/07)</v>
          </cell>
          <cell r="N69" t="str">
            <v>5  del of this cycle   -  0-cycles pmnt   Completed - Collect 0</v>
          </cell>
          <cell r="O69" t="e">
            <v>#N/A</v>
          </cell>
          <cell r="P69" t="e">
            <v>#N/A</v>
          </cell>
          <cell r="Q69" t="e">
            <v>#N/A</v>
          </cell>
          <cell r="R69" t="str">
            <v>W Asiatic ( 14 Inch ) 3     Grass</v>
          </cell>
          <cell r="S69" t="str">
            <v>O Asiatic ( 14 Inch ) 3     Grass</v>
          </cell>
          <cell r="T69" t="str">
            <v>P Asiatic ( 14 Inch ) 2     Grass</v>
          </cell>
        </row>
        <row r="70">
          <cell r="A70">
            <v>2569</v>
          </cell>
          <cell r="B70" t="str">
            <v>Mrs. Verma</v>
          </cell>
          <cell r="C70">
            <v>9971135993</v>
          </cell>
          <cell r="D70" t="str">
            <v>A1/192, 1st Floor, Sec 55, Sushant Lok-2, Near Orchid International School</v>
          </cell>
          <cell r="E70" t="str">
            <v>Sector 56</v>
          </cell>
          <cell r="F70" t="str">
            <v>Thursday</v>
          </cell>
          <cell r="G70" t="str">
            <v>9 AM - 12 PM</v>
          </cell>
          <cell r="H70">
            <v>1450</v>
          </cell>
          <cell r="I70">
            <v>362.5</v>
          </cell>
          <cell r="J70" t="str">
            <v>Bliss</v>
          </cell>
          <cell r="K70" t="str">
            <v>Return today (01/05) Return today (05/06) Send on Sunday This week (05/06) Upgrade to bliss from next cycle (20/09) Skip 1 week (04/02) Send Replacement tom of Asiatic Lily (16/04) Send Replacement tom (21/05) No Sunflower (21/05)</v>
          </cell>
          <cell r="L70" t="str">
            <v>Sunflower</v>
          </cell>
          <cell r="N70" t="str">
            <v>2  del of this cycle   -  0-cycles pmnt   CompletedNO COLLECTION-we have extra money - Collect -100</v>
          </cell>
          <cell r="O70" t="str">
            <v>W Asiatic ( 14 Inch ) 2 Mix Alstroemeria ( 12 Inch ) 7   Grass</v>
          </cell>
          <cell r="P70" t="str">
            <v>Pur Eustoma ( 12 Inch ) 2 Pur n P Car ( 14 inch ) 7   FF Sachet + Grass</v>
          </cell>
          <cell r="Q70" t="str">
            <v>Sunflower ( 12 Inch ) 2 P n W Glad ( 14 Inch ) 7   FF Sachet + Grass</v>
          </cell>
          <cell r="R70" t="str">
            <v>O Asiatic ( 14 Inch ) 2 B Daisy ( 12 Inch ) 7   Grass</v>
          </cell>
          <cell r="S70" t="str">
            <v>P Spray Daisy ( 14 Inch ) 3 Rajni ( 14 Inch ) 7   FF Sachet + Grass</v>
          </cell>
          <cell r="T70" t="str">
            <v>Sunflower ( 12 Inch ) 2 P n W Car ( 14 Inch ) 7   FF Sachet + Grass</v>
          </cell>
        </row>
        <row r="71">
          <cell r="A71" t="str">
            <v>B56121</v>
          </cell>
          <cell r="B71" t="str">
            <v> 95996 97063‬</v>
          </cell>
          <cell r="C71" t="str">
            <v> 95996 97063‬</v>
          </cell>
          <cell r="D71" t="str">
            <v>M23 B, Adani Samsara 
Sector 60 , Gurgaon
Opp ireo skyon</v>
          </cell>
          <cell r="H71">
            <v>600</v>
          </cell>
          <cell r="J71" t="str">
            <v>Bouquet</v>
          </cell>
          <cell r="K71" t="str">
            <v>Send today 
15 Rajnigandha with greens to 
Poonam Sriram 
+91 95996 97063</v>
          </cell>
          <cell r="T71" t="str">
            <v>Rajnigandha  15     Arica+Grass</v>
          </cell>
        </row>
        <row r="72">
          <cell r="A72">
            <v>3212</v>
          </cell>
          <cell r="B72" t="str">
            <v>Sheeba Rana</v>
          </cell>
          <cell r="C72">
            <v>9958849523</v>
          </cell>
          <cell r="D72" t="str">
            <v>T-14/1202, The Close North</v>
          </cell>
          <cell r="E72" t="str">
            <v>Nirvana Country</v>
          </cell>
          <cell r="F72" t="str">
            <v>Thursday</v>
          </cell>
          <cell r="G72" t="str">
            <v>4 Pm to 7 PM</v>
          </cell>
          <cell r="H72">
            <v>1450</v>
          </cell>
          <cell r="I72">
            <v>1450</v>
          </cell>
          <cell r="J72" t="str">
            <v>Bliss</v>
          </cell>
          <cell r="K72" t="str">
            <v>Skip 1 week (31/12)</v>
          </cell>
          <cell r="N72" t="str">
            <v>3  del of this cycle   -  0-cycles pmnt   Completed - Collect 0</v>
          </cell>
          <cell r="O72" t="str">
            <v>R n W Car ( 14 inch ) 9     FF Sachet + Grass</v>
          </cell>
          <cell r="P72" t="str">
            <v>P n W Glad ( 14 Inch ) 9     Gras</v>
          </cell>
          <cell r="Q72" t="str">
            <v>P Asiatic ( 14 Inch ) 2     Grass</v>
          </cell>
          <cell r="R72" t="str">
            <v>Pur n P Car ( 14 Inch ) 16     FF Sachet + Grass</v>
          </cell>
          <cell r="S72" t="str">
            <v>P n Y Spray Daisy ( 14 Inch ) 5     FF Sachet + Grass</v>
          </cell>
          <cell r="T72" t="str">
            <v>Rajni ( 14 Inch ) 16     Grass</v>
          </cell>
        </row>
        <row r="73">
          <cell r="A73">
            <v>3122</v>
          </cell>
          <cell r="B73" t="str">
            <v>Abha Ghosh</v>
          </cell>
          <cell r="C73">
            <v>9650001674</v>
          </cell>
          <cell r="D73" t="str">
            <v>6A, Galicia, Raisina Residency, Sec 59</v>
          </cell>
          <cell r="E73" t="str">
            <v>Ghata</v>
          </cell>
          <cell r="F73" t="str">
            <v>Thursday</v>
          </cell>
          <cell r="G73" t="str">
            <v>9 AM - 12 PM</v>
          </cell>
          <cell r="H73">
            <v>1450</v>
          </cell>
          <cell r="I73">
            <v>362.5</v>
          </cell>
          <cell r="J73" t="str">
            <v>Bliss</v>
          </cell>
          <cell r="K73" t="str">
            <v>Returned yesterday (07/11)</v>
          </cell>
          <cell r="N73" t="str">
            <v>4  del of this cycle   -  0-cycles pmnt   Completed - Collect 0</v>
          </cell>
          <cell r="O73" t="str">
            <v>P n W Glad ( 14 Inch ) 16     Grass</v>
          </cell>
          <cell r="P73" t="str">
            <v>Pur n P Car ( 14 inch ) 16     FF Sachet + Grass</v>
          </cell>
          <cell r="Q73" t="str">
            <v>Sunflower ( 12 Inch ) 4     FF Sachet + Grass</v>
          </cell>
          <cell r="R73" t="str">
            <v>B Daisy ( 12 Inch ) 16     Grass</v>
          </cell>
          <cell r="S73" t="str">
            <v>P Asiatic ( 14 Inch ) 3     Grass</v>
          </cell>
          <cell r="T73" t="str">
            <v>Rajni ( 14 Inch ) 16     Grass</v>
          </cell>
        </row>
        <row r="74">
          <cell r="A74">
            <v>2205</v>
          </cell>
          <cell r="B74" t="str">
            <v>Shubhra Gupta</v>
          </cell>
          <cell r="C74">
            <v>9811981626</v>
          </cell>
          <cell r="D74" t="str">
            <v>ES-245, Espace</v>
          </cell>
          <cell r="E74" t="str">
            <v>Nirvana Country</v>
          </cell>
          <cell r="F74" t="str">
            <v>Thursday</v>
          </cell>
          <cell r="G74" t="str">
            <v>9 AM - 12 PM</v>
          </cell>
          <cell r="H74">
            <v>1450</v>
          </cell>
          <cell r="I74">
            <v>362.5</v>
          </cell>
          <cell r="J74" t="str">
            <v>Bliss</v>
          </cell>
          <cell r="K74" t="str">
            <v>Paytm From 9811656524 // No Orchids // Skip 1 week (01/10) Same flowers from last  2weeks, pls Check (06/11) Paytm from Gaurav Gupta (0703)</v>
          </cell>
          <cell r="L74" t="str">
            <v>ORCHID</v>
          </cell>
          <cell r="M74" t="str">
            <v>Same Flowers from 2 week, Pls Check (06/11)</v>
          </cell>
          <cell r="N74" t="str">
            <v>2  del of this cycle   -  0-cycles pmnt   Completed - Collect 0</v>
          </cell>
          <cell r="O74" t="str">
            <v>P n W Glad ( 14 Inch ) 16     Grass</v>
          </cell>
          <cell r="P74" t="str">
            <v>Pur n P Car ( 14 inch ) 16     FF Sachet + Grass</v>
          </cell>
          <cell r="Q74" t="str">
            <v>P n W Spray Daisy ( 14 Inch ) 5     FF Sachet + Grass</v>
          </cell>
          <cell r="R74" t="str">
            <v>B Daisy ( 12 Inch ) 16     Grass</v>
          </cell>
          <cell r="S74" t="str">
            <v>P Asiatic ( 14 Inch ) 3     Grass</v>
          </cell>
          <cell r="T74" t="str">
            <v>Rajni ( 14 Inch ) 16     Grass</v>
          </cell>
        </row>
        <row r="75">
          <cell r="A75">
            <v>949</v>
          </cell>
          <cell r="B75" t="str">
            <v>Meenu Amrith-- Evening Only</v>
          </cell>
          <cell r="C75">
            <v>9891350735</v>
          </cell>
          <cell r="D75" t="str">
            <v>H. No. 579, Ground Floor,Near Dell-- Sec-43</v>
          </cell>
          <cell r="E75" t="str">
            <v>DLF Phase 5</v>
          </cell>
          <cell r="F75" t="str">
            <v>Thursday</v>
          </cell>
          <cell r="G75" t="str">
            <v>10 AM to 2:30 PM</v>
          </cell>
          <cell r="H75">
            <v>1450</v>
          </cell>
          <cell r="I75">
            <v>362.5</v>
          </cell>
          <cell r="J75" t="str">
            <v>Bliss</v>
          </cell>
          <cell r="K75" t="str">
            <v>Sunday to Thurs//Skip next week(21/01) Skip 1 week(12/02) Hold n start from 1st week of May(06/03) Pls start from coming Tuesday(14/03)  Send Sunday Del on Sat This week(12/11) Skip 1 week(29/01) today hold and skip 1 more week(27/02) Start from 24th Mar(08/03) Hold n start from 16th June(18/05) Hold 3 Weeks(13/07) she saying that 10th Del Not received(11/11) Not avaible till 25th (14/11) Hold today(19/01) Skip 2 weeks (22/02) Skip 2 weeks (26/06) Hold n start after 15th Sep (18/08) Skip Tom (28/02) Hold n start from 13th June (24/05) Skip 1 week (23/07) Skip 1 week (04/12) Skip 1 week (12/03) Skip 1 week (18/01) Skip 1 weeek (13/05)</v>
          </cell>
          <cell r="N75" t="str">
            <v>4  del of this cycle   -  0-cycles pmnt   Completed - Collect 0</v>
          </cell>
          <cell r="O75" t="str">
            <v>P n Y Spray Dausy ( 14 Inch ) 5     FF Sachet + Grass</v>
          </cell>
          <cell r="P75" t="str">
            <v>P Asiatic ( 14 Inch )  3     Grass</v>
          </cell>
          <cell r="Q75" t="str">
            <v>Pur n P Car ( 14 inch ) 16     FF Sachet + Grass</v>
          </cell>
          <cell r="R75" t="str">
            <v>Pur Eustoma ( 12 Inch ) 3     FF Sachet + Grass</v>
          </cell>
          <cell r="S75" t="str">
            <v>P n W Glad ( 14 Inch ) 16     Grass</v>
          </cell>
          <cell r="T75" t="str">
            <v>Sunflower ( 12 Inch ) 4     FF Sachet + Grass</v>
          </cell>
        </row>
        <row r="76">
          <cell r="A76">
            <v>172</v>
          </cell>
          <cell r="B76" t="str">
            <v>Rachna Rathee</v>
          </cell>
          <cell r="C76">
            <v>9811779661</v>
          </cell>
          <cell r="D76" t="str">
            <v xml:space="preserve">DX-106 flat no,Kendriya vihar Sector 56
</v>
          </cell>
          <cell r="E76" t="str">
            <v>Sector 56</v>
          </cell>
          <cell r="F76" t="str">
            <v>Thursday</v>
          </cell>
          <cell r="G76" t="str">
            <v>9 AM - 12 PM</v>
          </cell>
          <cell r="H76">
            <v>1450</v>
          </cell>
          <cell r="I76">
            <v>362.5</v>
          </cell>
          <cell r="J76" t="str">
            <v>Bliss</v>
          </cell>
          <cell r="K76" t="str">
            <v>Sendng rtrnd of 30 th on 1st(30/06)Retrnd pls send white Orchid(30/06) NO GERBERA(04/08) Paytm from raj Singh(08/12) Skip 1 week(21/12) NO Daisy(12/01) Hold n sned after 15th Apr(29/03) Hold n start after 10th Sep(30/08) NO DAISY(09/11) NO ROSE(21/12) Today return-send tom(10/10/20) Sending Del Tom due to Diwali(11/11) Referal payout of 162 added against Mr. Shoran(030/11) Referal credit added with ref to Apala das Gupta(29/03) Today hold and send after 11th May and ask before del(30/04) Hold till 28th Feb (10/02) Hold 3 Weeks (10/07) No Blue Orchid (23/10) Extra added against less mogra in Diwali Flowers (26/11) send replacement tom (04/07) Hold she will confirm when to start (13/05) No Gerbera (07/08) Send replacement tom (27/03)</v>
          </cell>
          <cell r="L76" t="str">
            <v>BLUE ORCHID n GERBERA</v>
          </cell>
          <cell r="N76" t="str">
            <v>3  del of this cycle   -  0-cycles pmnt   Completed - Collect 0</v>
          </cell>
          <cell r="O76" t="e">
            <v>#N/A</v>
          </cell>
          <cell r="P76" t="e">
            <v>#N/A</v>
          </cell>
          <cell r="Q76" t="e">
            <v>#N/A</v>
          </cell>
          <cell r="R76" t="e">
            <v>#N/A</v>
          </cell>
          <cell r="S76" t="str">
            <v>Pur n P Car ( 14 Inch ) 16     FF Sachet + Grass</v>
          </cell>
          <cell r="T76" t="str">
            <v>Sunflower ( 12 Inch ) 4     FF Sachet + Grass</v>
          </cell>
        </row>
        <row r="77">
          <cell r="A77">
            <v>2481</v>
          </cell>
          <cell r="B77" t="str">
            <v>Puneet Mahajan</v>
          </cell>
          <cell r="C77">
            <v>9810110847</v>
          </cell>
          <cell r="D77" t="str">
            <v>D-19, 4th Floor, Siuth City -2, Opp Arcadia Mall</v>
          </cell>
          <cell r="E77" t="str">
            <v>Nirvana Country</v>
          </cell>
          <cell r="F77" t="str">
            <v>Sunday</v>
          </cell>
          <cell r="G77" t="str">
            <v>9 AM - 12 PM</v>
          </cell>
          <cell r="H77">
            <v>2300</v>
          </cell>
          <cell r="I77">
            <v>287.5</v>
          </cell>
          <cell r="J77" t="str">
            <v>Felicity</v>
          </cell>
          <cell r="K77" t="str">
            <v>Send Sponge// Day Changed to Sunday (16/04) Paytm From Sri Sai makers (20/04) Change to felicity (17/05)</v>
          </cell>
          <cell r="N77" t="str">
            <v>8  del of this cycle   -  0-cycles pmnt   Completed - Collect 0</v>
          </cell>
          <cell r="O77" t="str">
            <v>Mix Alstroemeria ( 12 Inch ) 11     FF Sachet + Grass</v>
          </cell>
          <cell r="P77" t="str">
            <v>Pur n P Car ( 14 inch ) 11     FF Sachet + Grass</v>
          </cell>
          <cell r="Q77" t="str">
            <v>P Spray Daisy ( 14 Inch ) 3     FF Sachet + Grass</v>
          </cell>
          <cell r="R77" t="str">
            <v>P Asiatic ( 14 Inch ) 2     Grass</v>
          </cell>
          <cell r="S77" t="str">
            <v>Sunflower ( 12 Inch ) 3     FF Sachet + Grass</v>
          </cell>
          <cell r="T77" t="str">
            <v>Rajni ( 14 Inch ) 11     Grass</v>
          </cell>
        </row>
        <row r="78">
          <cell r="A78">
            <v>2406</v>
          </cell>
          <cell r="B78" t="str">
            <v>Vermeen Kapoor</v>
          </cell>
          <cell r="C78">
            <v>9873458198</v>
          </cell>
          <cell r="D78" t="str">
            <v>B-59, South City 2</v>
          </cell>
          <cell r="E78" t="str">
            <v>Nirvana Country</v>
          </cell>
          <cell r="F78" t="str">
            <v>Thursday</v>
          </cell>
          <cell r="G78" t="str">
            <v>9:30 Am to 2 PM</v>
          </cell>
          <cell r="H78">
            <v>1450</v>
          </cell>
          <cell r="I78">
            <v>362.5</v>
          </cell>
          <cell r="J78" t="str">
            <v>Bliss</v>
          </cell>
          <cell r="K78" t="str">
            <v>Referred by Swati Khandelwal?/ Mixed Flowers // Send replace,ent tom (19/02) Day Changed to Thursday (08/04) today returned-send tom (24/07)</v>
          </cell>
          <cell r="M78" t="str">
            <v>Mixed Flowers</v>
          </cell>
          <cell r="N78" t="str">
            <v>3  del of this cycle   -  0-cycles pmnt   Completed - Collect 0</v>
          </cell>
          <cell r="O78" t="str">
            <v>W Asiatic ( 14 Inch ) 2 Mix Alstroemeria ( 12 Inch ) 7   Grass</v>
          </cell>
          <cell r="P78" t="str">
            <v>Pur Eustoma ( 12 Inch ) 2 Pur n P Car ( 14 inch ) 7   FF Sachet + Grass</v>
          </cell>
          <cell r="Q78" t="str">
            <v>Sunflower ( 12 Inch ) 2 P n W Glad ( 14 Inch ) 7   FF Sachet + Grass</v>
          </cell>
          <cell r="R78" t="str">
            <v>P Asiatic ( 14 Inch ) 2 B Daisy ( 12 Inch ) 7   Grass</v>
          </cell>
          <cell r="S78" t="str">
            <v>P Spray Daisy ( 14 Inch ) 3 Rajni ( 14 Inch ) 7   FF Sachet + Grass</v>
          </cell>
          <cell r="T78" t="str">
            <v>Sunflower ( 12 Inch ) 2 P n W Car ( 14 Inch ) 7   FF Sachet + Grass</v>
          </cell>
        </row>
        <row r="79">
          <cell r="A79">
            <v>244</v>
          </cell>
          <cell r="B79" t="str">
            <v>Garima jain</v>
          </cell>
          <cell r="C79">
            <v>9958581403</v>
          </cell>
          <cell r="D79" t="str">
            <v xml:space="preserve"> G-901, Central Park 1, Golf Course Road    Sec 42 Gurgaon  122002</v>
          </cell>
          <cell r="E79" t="str">
            <v>Golf Course Road</v>
          </cell>
          <cell r="F79" t="str">
            <v>Thursday</v>
          </cell>
          <cell r="G79" t="str">
            <v>9 AM - 12 PM</v>
          </cell>
          <cell r="H79">
            <v>1450</v>
          </cell>
          <cell r="I79">
            <v>1450</v>
          </cell>
          <cell r="J79" t="str">
            <v>Bliss</v>
          </cell>
          <cell r="K79" t="str">
            <v>Sat to Thurs//Flowers other than Car pl (21/07)Send on Sunday instead of sat this week(19/10) Upgrade to 650 Plan(03/05) Add changed(13/07) NO CAR(07/09) Send a replacement (06/10) NO CAR(13/12) 200 Paytm Done(14/12) paytm of 200 from Anuj sarin(14/12) Sending 30th Del on 29th May(28/05/2020) ONLY LILIES(23/08/20) Day Changed to Saturday(14/10) Skip this week an semd next week(13/03) Hold n start from 29th Jan(25/12 ) Received 200 today via Gpay(26/12) Diff Flowesr every week(08/04)  Sent replacement today(22/04) Skip 1 week(17/06) Today Returned (13/06) Do not Count last Del (17/08) Skip 1 week (22/12) Skip 2 week (23/05) Send on sunday this week (01/10) Return-not at home (23/10) One Payment of 1000 received on 05th Feb (06/03) Returned (04/06)</v>
          </cell>
          <cell r="N79" t="str">
            <v>3  del of this cycle   -  0-cycles pmnt   Completed - Collect 0</v>
          </cell>
          <cell r="O79" t="str">
            <v>P Asiatic ( 14 Inch ) 2 Pls Insure Collection    Grass</v>
          </cell>
          <cell r="P79" t="str">
            <v>Mix Alstroemeria ( 12 Inch ) 9 Pls Collect Cash     Grass</v>
          </cell>
          <cell r="Q79" t="str">
            <v>Pur n P Car ( 14 inch ) 9     Grass</v>
          </cell>
          <cell r="R79" t="str">
            <v>Pur Eustoma ( 12 Inch ) 3     FF Sachet + Grass</v>
          </cell>
          <cell r="S79" t="str">
            <v>Rajni ( 14 Inch ) 16     Grass</v>
          </cell>
          <cell r="T79" t="str">
            <v>O Asiatic ( 14 Inch ) 3     Grass</v>
          </cell>
        </row>
        <row r="80">
          <cell r="A80">
            <v>61</v>
          </cell>
          <cell r="B80" t="str">
            <v>Megha Manchanda -- Bliss Pack</v>
          </cell>
          <cell r="C80">
            <v>9871919500</v>
          </cell>
          <cell r="D80" t="str">
            <v>T-3/302, Unitech Harmony</v>
          </cell>
          <cell r="E80" t="str">
            <v>Nirvana Country</v>
          </cell>
          <cell r="F80" t="str">
            <v>Thursday</v>
          </cell>
          <cell r="G80" t="str">
            <v>9 AM - 12 PM</v>
          </cell>
          <cell r="H80">
            <v>1450</v>
          </cell>
          <cell r="I80">
            <v>362.5</v>
          </cell>
          <cell r="J80" t="str">
            <v>Bliss</v>
          </cell>
          <cell r="K80" t="str">
            <v>No rajni n Rose(22/05) 1Stick extra in next del(27/08)Today not delivered-pls send on 6th(04/09) Return-send next week(04/03)  NO GLAD(19/10) Always send areca palm with BOP(28/01) Add Changed(30/07) Skip 1 week (21/12) Don't deliver tom-- Send on Sunday (14/06) Send on Sunday instead of Thursday (03/01) Skip 2 weeks (12/06) Payment from Amardeep S R (13/07) Skip 1 week (18/03) Today TReturned (11/06) Skip n send on sunday this week (23/06)</v>
          </cell>
          <cell r="N80" t="str">
            <v>1  del of this cycle   -  1-cycles pmnt   Pending - Collect 1450</v>
          </cell>
          <cell r="O80" t="str">
            <v>Y Asiatic ( 14 Inch ) 2     Grass</v>
          </cell>
          <cell r="P80" t="str">
            <v>Pur n P Car ( 14 inch ) 9     Grass</v>
          </cell>
          <cell r="Q80" t="str">
            <v>Sunflower ( 12 Inch ) 2     FF Sachet + Grass</v>
          </cell>
          <cell r="R80" t="e">
            <v>#N/A</v>
          </cell>
          <cell r="S80" t="str">
            <v>Rajni ( 14 Inch ) 9     Grass</v>
          </cell>
          <cell r="T80" t="str">
            <v>P Asiatic ( 14 Inch ) 3     Grass</v>
          </cell>
        </row>
        <row r="81">
          <cell r="A81">
            <v>2644</v>
          </cell>
          <cell r="B81" t="str">
            <v>Sanjeet Kaur</v>
          </cell>
          <cell r="C81">
            <v>7889438209</v>
          </cell>
          <cell r="D81" t="str">
            <v>601, Emerald Green, Sector 52</v>
          </cell>
          <cell r="E81" t="str">
            <v>Artemis</v>
          </cell>
          <cell r="F81" t="str">
            <v>Thursday</v>
          </cell>
          <cell r="G81" t="str">
            <v>9:30 Am to 2 PM</v>
          </cell>
          <cell r="H81">
            <v>1450</v>
          </cell>
          <cell r="I81">
            <v>362.5</v>
          </cell>
          <cell r="J81" t="str">
            <v>Bliss</v>
          </cell>
          <cell r="K81" t="str">
            <v>1 Gypsola in each Del (16/05) Paytm From Arshia Kaur (13/06) Paytm From Yogpal Singh (20/12) Do not count todays delivery (30/04)</v>
          </cell>
          <cell r="M81" t="str">
            <v>1 Gyposla in each Del</v>
          </cell>
          <cell r="N81" t="str">
            <v>1  del of this cycle   -  1-cycles pmnt   Pending - Collect 1450</v>
          </cell>
          <cell r="O81" t="str">
            <v>R n W Car ( 14 inch ) 9     FF Sachet + Grass</v>
          </cell>
          <cell r="P81" t="str">
            <v>P n W Glad ( 14 Inch ) 9     Gras</v>
          </cell>
          <cell r="Q81" t="str">
            <v>Y Spray Daisy ( 14 Inch ) 3     1 Gypsola + FF Sachet</v>
          </cell>
          <cell r="R81" t="str">
            <v>B Daisy ( 12 Inch ) 9     Grass</v>
          </cell>
          <cell r="S81" t="str">
            <v>P Asiatic ( 14 Inch ) 2     Grass</v>
          </cell>
          <cell r="T81" t="str">
            <v>Pur n P Car ( 14 Inch ) 16     FF Sachet + Grass</v>
          </cell>
        </row>
        <row r="82">
          <cell r="A82">
            <v>3133</v>
          </cell>
          <cell r="B82" t="str">
            <v>Anastasiia Liapicheva</v>
          </cell>
          <cell r="C82" t="str">
            <v>7678659573 // '+79029329098</v>
          </cell>
          <cell r="D82" t="str">
            <v>B1/602, Palm Groove Heights, Ardee City Sec 52</v>
          </cell>
          <cell r="E82" t="str">
            <v>Sushant Estate</v>
          </cell>
          <cell r="F82" t="str">
            <v>Thursday</v>
          </cell>
          <cell r="G82" t="str">
            <v>9 AM - 12 PM</v>
          </cell>
          <cell r="H82">
            <v>1450</v>
          </cell>
          <cell r="I82">
            <v>362.5</v>
          </cell>
          <cell r="J82" t="str">
            <v>Bliss</v>
          </cell>
          <cell r="K82" t="str">
            <v>No Lilies (02/11) No White Greens (02/12) Skip 1 week (07/01) skip 1 week (27/01) No Sunflower (06/03) Skip 1 week (06/06)</v>
          </cell>
          <cell r="L82" t="str">
            <v>Lily n Sunflower n White Greens</v>
          </cell>
          <cell r="M82" t="str">
            <v>No White Greens n Mixed Flowers</v>
          </cell>
          <cell r="N82" t="str">
            <v>1  del of this cycle   -  1-cycles pmnt   Pending - Collect 1450</v>
          </cell>
          <cell r="O82" t="str">
            <v>Pur Eustoma ( 14 Inch ) 2 Mix Alstroemeria ( 12 Inch ) 7   FF Sachet + Grass</v>
          </cell>
          <cell r="P82" t="e">
            <v>#N/A</v>
          </cell>
          <cell r="Q82" t="str">
            <v>O Asiatic ( 14 Inch ) 2 P n W Glad ( 14 Inch ) 7   Grass</v>
          </cell>
          <cell r="R82" t="str">
            <v>Y Spray Daisy 3 P n W Car ( 14 Inch ) 7   FF Sachet + Grass</v>
          </cell>
          <cell r="S82" t="str">
            <v>P Eustoma ( 12 Inch ) 2 Rajni ( 14 Inch ) 7   FF Sachet + Grass</v>
          </cell>
          <cell r="T82" t="str">
            <v>W Asiatic ( 14 Inch ) 2 Mix Alstroemeria ( 12 Inch ) 7   Grass</v>
          </cell>
        </row>
        <row r="83">
          <cell r="A83">
            <v>2200</v>
          </cell>
          <cell r="B83" t="str">
            <v>Naina Gandhi</v>
          </cell>
          <cell r="C83">
            <v>9811188863</v>
          </cell>
          <cell r="D83" t="str">
            <v>K2/105, Central Park -1</v>
          </cell>
          <cell r="E83" t="str">
            <v>Golf Course Road</v>
          </cell>
          <cell r="F83" t="str">
            <v>Thursday</v>
          </cell>
          <cell r="G83" t="str">
            <v>9 AM - 12 PM</v>
          </cell>
          <cell r="H83">
            <v>2300</v>
          </cell>
          <cell r="I83">
            <v>287.5</v>
          </cell>
          <cell r="J83" t="str">
            <v>Felicity</v>
          </cell>
          <cell r="K83" t="str">
            <v>Thursday n Sunday//Send Replacement tom (17/01) No Spray Daisy (19/02) Skip 4th Del (07/05) Do not count last del (29/08) No Flowers Tom (28/09) Skip this Thursday (01/10) Hold till 10th Nov (25/10) Hold this Sunday (13/12) Skip 1 week (01/02) Skip 1 week (16/02) Hold and start from May(28/03) Hold n start from 1st June (22/05) Skip 2 week (22/06) Skip tom (26/07) Skip 1 week (04/10) Hold tom (25/10) Skip 2 week (31/10) Skip 1 week 1 week (22/11) Skip this thursday (10/12) Skip 2 week (20/12) Skip sunday (07/01) Hold from 23rd May to 14th JUne (19/05) Skip 1 week and send on Monday (23/06)</v>
          </cell>
          <cell r="L83" t="str">
            <v>SPRAY DAISY</v>
          </cell>
          <cell r="M83" t="str">
            <v>Check for Bi weekly package</v>
          </cell>
          <cell r="N83" t="str">
            <v>3  del of this cycle   -  0-cycles pmnt   Completed - Collect 0</v>
          </cell>
          <cell r="O83" t="e">
            <v>#N/A</v>
          </cell>
          <cell r="P83" t="e">
            <v>#N/A</v>
          </cell>
          <cell r="Q83" t="str">
            <v>P n W Glad ( 14 Inch ) 11     Grass</v>
          </cell>
          <cell r="R83" t="e">
            <v>#N/A</v>
          </cell>
          <cell r="S83" t="str">
            <v>Pur n P Car ( 14 Inch ) 11     FF Sachet + Grass</v>
          </cell>
          <cell r="T83" t="str">
            <v>B Daisy ( 12 Inch ) 11     Grass</v>
          </cell>
        </row>
        <row r="84">
          <cell r="A84">
            <v>2961</v>
          </cell>
          <cell r="B84" t="str">
            <v>Vishal Sagar</v>
          </cell>
          <cell r="C84">
            <v>9990720203</v>
          </cell>
          <cell r="D84" t="str">
            <v>E-002, The Residency, Aardee City, Gate No. 2</v>
          </cell>
          <cell r="E84" t="str">
            <v>Sushant Estate</v>
          </cell>
          <cell r="F84" t="str">
            <v>Thursday</v>
          </cell>
          <cell r="G84" t="str">
            <v>9 AM to 2 PM</v>
          </cell>
          <cell r="H84">
            <v>999</v>
          </cell>
          <cell r="I84">
            <v>249.75</v>
          </cell>
          <cell r="J84" t="str">
            <v>Collection Only</v>
          </cell>
          <cell r="K84" t="str">
            <v>Paytm From Vasudha Rana (26/02) Send 4 FF Sachet Next (27/02) HDTNP (21/05) Send on sat this week (22/05) HDTNP (25/06)</v>
          </cell>
          <cell r="M84" t="str">
            <v>4 FF Next (27/02)</v>
          </cell>
          <cell r="N84" t="str">
            <v>3  del of this cycle   -  1-cycles pmnt   Pending - Collect 999</v>
          </cell>
          <cell r="O84" t="str">
            <v>Y Spray Daisy ( 15 Inch ) 3     FF Sachet + Grass</v>
          </cell>
          <cell r="P84" t="str">
            <v>P n W Glad ( 14 Inch ) 9     Gras</v>
          </cell>
          <cell r="Q84" t="str">
            <v>Sunflower ( 12 Inch ) 2     FF Sachet + Grass</v>
          </cell>
          <cell r="R84" t="e">
            <v>#N/A</v>
          </cell>
          <cell r="S84" t="str">
            <v xml:space="preserve">Collect 500 n Close      </v>
          </cell>
          <cell r="T84" t="str">
            <v xml:space="preserve">Collect 500  n Close Carry Receipt Book     </v>
          </cell>
        </row>
        <row r="85">
          <cell r="A85" t="str">
            <v>CP00001</v>
          </cell>
          <cell r="B85" t="str">
            <v>Nidhi Sharma Malhotra -- BPTP -- Centra 1</v>
          </cell>
          <cell r="C85">
            <v>9999016333</v>
          </cell>
          <cell r="D85" t="str">
            <v>BPTP, Sec 61</v>
          </cell>
          <cell r="E85" t="str">
            <v>Ghata</v>
          </cell>
          <cell r="F85" t="str">
            <v>Thursday</v>
          </cell>
          <cell r="G85" t="str">
            <v>By 5 PM</v>
          </cell>
          <cell r="H85">
            <v>24600</v>
          </cell>
          <cell r="I85">
            <v>24600</v>
          </cell>
          <cell r="J85" t="str">
            <v>Corporate</v>
          </cell>
          <cell r="T85" t="str">
            <v xml:space="preserve">Hydrangea + W Asiatic       </v>
          </cell>
        </row>
        <row r="86">
          <cell r="A86">
            <v>1978</v>
          </cell>
          <cell r="B86" t="str">
            <v>Anu-- After 6 PM</v>
          </cell>
          <cell r="C86" t="str">
            <v>98103 39602</v>
          </cell>
          <cell r="D86" t="str">
            <v xml:space="preserve">Tower 6, 901 Fresco </v>
          </cell>
          <cell r="E86" t="str">
            <v>Nirvana Country</v>
          </cell>
          <cell r="F86" t="str">
            <v>Thursday</v>
          </cell>
          <cell r="G86" t="str">
            <v>4 Pm to 7 PM</v>
          </cell>
          <cell r="H86">
            <v>4850</v>
          </cell>
          <cell r="I86">
            <v>606.25</v>
          </cell>
          <cell r="J86" t="str">
            <v>Poise</v>
          </cell>
          <cell r="K86" t="str">
            <v xml:space="preserve"> Thursday n Sunday//No Rajni (14/03) No Rose n Gerbera n RAJNI// Skip this week n send on Tuesday evening slot (18/06) Send this Thursday to Friday (04/09) NO HELICONIA (13/09) Skip Thursday delivery (12/11) Send tom in morning (16/11) Skip Thursday del (19/11) Skip tom (23/11) Hold till 11th  (30/11) Dont send on Sunday (13/12) Skip sunday (20/12) Skip tom (08/02) Hold today (23/02) Skip 1 Week (01/06) Skip thursday Delivery (18/06) Skip this thursday and send on sunday after 6 PM (06/08) No BOP also (06/10) Do not count today del and sned on sat next (04/12) Skip saturda and sunday also (05/12) Hold today n send tom (11/12) Hold today (05/04) Hold today (16/04)</v>
          </cell>
          <cell r="L86" t="str">
            <v>ROSE n RAJNI n HELICONIA n BOP</v>
          </cell>
          <cell r="M86" t="str">
            <v>after 6 pm on 19th (16/04)</v>
          </cell>
          <cell r="N86" t="str">
            <v>8  del of this cycle   -  0-cycles pmnt   Completed - Collect 0</v>
          </cell>
          <cell r="O86" t="str">
            <v>P Asiatic ( 14 Inch ) 2 P n W Spray Dausy ( 14 Inch ) 4 P n W Glad ( 14 Inch ) 12 Grass</v>
          </cell>
          <cell r="P86" t="str">
            <v>Y Asiatic ( 14 Inch ) 2 Mix Eustoma ( 12 Inch ) 4 P n W Car ( 14 Inch ) 12 Grass</v>
          </cell>
          <cell r="Q86" t="str">
            <v>P Asiatic ( 14 Inch ) 2 Mix Alstroemeria ( 12 inch )  8 P n W Glad ( 14 Inch ) 8 Grass</v>
          </cell>
          <cell r="R86" t="str">
            <v>W Asiatic ( 14 Inch ) 2 P n Y Spray Daisy ( 14 Inch ) 4 Rajni ( 14 Inch ) 12 Grass</v>
          </cell>
          <cell r="S86" t="str">
            <v>O Asiatic ( 14 Inch ) 2 Sunflower ( 12 Inch ) 4 Pur n P Car ( 14 Inch ) 12 Grass</v>
          </cell>
          <cell r="T86" t="str">
            <v>W Asiatic ( 14 Inch ) 2 Mix Alstroemeria ( 12 Inch ) 8 B Daisy 10 Grass</v>
          </cell>
        </row>
        <row r="87">
          <cell r="A87" t="str">
            <v>B56397</v>
          </cell>
          <cell r="B87" t="str">
            <v>Preeti Khosla</v>
          </cell>
          <cell r="C87">
            <v>9873156750</v>
          </cell>
          <cell r="D87" t="str">
            <v>H-702, Ireo Grand Arch</v>
          </cell>
          <cell r="E87" t="str">
            <v>Ghata</v>
          </cell>
          <cell r="F87" t="str">
            <v>Thursday</v>
          </cell>
          <cell r="G87" t="str">
            <v>By 6 PM</v>
          </cell>
          <cell r="H87">
            <v>600</v>
          </cell>
          <cell r="I87">
            <v>600</v>
          </cell>
          <cell r="J87" t="str">
            <v>Bouquet</v>
          </cell>
          <cell r="T87" t="str">
            <v xml:space="preserve">Yel Alstroemeria 10     </v>
          </cell>
        </row>
        <row r="88">
          <cell r="B88" t="str">
            <v xml:space="preserve">Sameeksha jain </v>
          </cell>
          <cell r="C88" t="str">
            <v>99300 32211‬</v>
          </cell>
          <cell r="D88" t="str">
            <v>Tower 5 flat no 602
Tata Primanti sector 72 
Gurgaon  122101</v>
          </cell>
          <cell r="G88" t="str">
            <v>Before 2 Pm</v>
          </cell>
          <cell r="H88">
            <v>1325</v>
          </cell>
          <cell r="J88" t="str">
            <v>Bouquet</v>
          </cell>
          <cell r="K88" t="str">
            <v>Sameeksha jain 
Tower 5 flat no 602
Tata Primanti sector 72 
Gurgaon  122101
Happy Anniversary Sameeksha nd Neeraj
From
Preeti n Vinod
Send today from —‪+91 99300 32211‬ before 2pm</v>
          </cell>
          <cell r="T88" t="str">
            <v xml:space="preserve">P Car+ B Orchid  Fish Bowl Arrangement Message   </v>
          </cell>
        </row>
        <row r="89">
          <cell r="A89">
            <v>2135</v>
          </cell>
          <cell r="B89" t="str">
            <v>Ritika- Ireo</v>
          </cell>
          <cell r="C89">
            <v>9711196560</v>
          </cell>
          <cell r="D89" t="str">
            <v>B-2701, Ireo Victory Valley, Sec 67</v>
          </cell>
          <cell r="G89" t="str">
            <v xml:space="preserve"> Before 8</v>
          </cell>
          <cell r="H89">
            <v>1450</v>
          </cell>
          <cell r="J89" t="str">
            <v>Bouquet</v>
          </cell>
          <cell r="K89" t="str">
            <v>Send a bouquet before 8 of Asiatic lilies and carnations to Ritika Ireo
+91 97111 96560</v>
          </cell>
          <cell r="T89" t="str">
            <v xml:space="preserve">Asiatic +  Car  + Rose  + Spary Daisy  3 + 6+ 6+5 Walkin Tissue Wrap     </v>
          </cell>
        </row>
      </sheetData>
      <sheetData sheetId="9"/>
      <sheetData sheetId="10"/>
      <sheetData sheetId="11"/>
      <sheetData sheetId="12"/>
      <sheetData sheetId="13"/>
      <sheetData sheetId="14"/>
      <sheetData sheetId="15">
        <row r="2">
          <cell r="A2">
            <v>3396</v>
          </cell>
          <cell r="B2" t="str">
            <v>Shivani Gogia</v>
          </cell>
          <cell r="C2">
            <v>7838568324</v>
          </cell>
          <cell r="D2" t="str">
            <v>A-105, 1st Floor, Siushant Lok 3, Sec 57</v>
          </cell>
          <cell r="E2" t="str">
            <v>Sector 56</v>
          </cell>
          <cell r="F2" t="str">
            <v>Thursday</v>
          </cell>
          <cell r="G2" t="str">
            <v>9:30 Am to 2 PM</v>
          </cell>
          <cell r="H2">
            <v>1450</v>
          </cell>
          <cell r="I2">
            <v>362.5</v>
          </cell>
          <cell r="J2" t="str">
            <v>Customized</v>
          </cell>
          <cell r="K2" t="str">
            <v>14 rajni</v>
          </cell>
          <cell r="N2" t="str">
            <v>3  del of this cycle   -  0-cycles pmnt   Completed - Collect 0</v>
          </cell>
          <cell r="O2" t="e">
            <v>#N/A</v>
          </cell>
          <cell r="P2" t="e">
            <v>#N/A</v>
          </cell>
          <cell r="Q2" t="e">
            <v>#N/A</v>
          </cell>
          <cell r="R2" t="str">
            <v>Rajni ( 14 Inch ) 14     Grass</v>
          </cell>
          <cell r="S2" t="str">
            <v>O Asiatic ( ( 14 inch ) 3     FF Sachet + Grass</v>
          </cell>
          <cell r="T2" t="str">
            <v>G n W Car ( 14 Inch ) 16     FF Sachet + Grass</v>
          </cell>
        </row>
        <row r="3">
          <cell r="A3">
            <v>3410</v>
          </cell>
          <cell r="B3" t="str">
            <v>Tarishka Gupta</v>
          </cell>
          <cell r="C3">
            <v>9870128711</v>
          </cell>
          <cell r="D3" t="str">
            <v>A1/804, Unitech The Residences</v>
          </cell>
          <cell r="E3" t="str">
            <v>Sohna Road 2</v>
          </cell>
          <cell r="F3" t="str">
            <v>Thursday</v>
          </cell>
          <cell r="G3" t="str">
            <v>4 PM to 7 PM</v>
          </cell>
          <cell r="H3">
            <v>1450</v>
          </cell>
          <cell r="I3">
            <v>362.5</v>
          </cell>
          <cell r="J3" t="str">
            <v>Bliss</v>
          </cell>
          <cell r="N3" t="str">
            <v>1  del of this cycle   -  0-cycles pmnt   Completed - Collect 0</v>
          </cell>
          <cell r="O3" t="e">
            <v>#N/A</v>
          </cell>
          <cell r="P3" t="e">
            <v>#N/A</v>
          </cell>
          <cell r="Q3" t="e">
            <v>#N/A</v>
          </cell>
          <cell r="R3" t="e">
            <v>#N/A</v>
          </cell>
          <cell r="S3" t="e">
            <v>#N/A</v>
          </cell>
          <cell r="T3" t="str">
            <v>G n W Car ( 14 Inch ) 16     FF Sachet + Grass</v>
          </cell>
        </row>
        <row r="4">
          <cell r="A4">
            <v>401</v>
          </cell>
          <cell r="B4" t="str">
            <v>Nameesha Verma -- Before 12PM</v>
          </cell>
          <cell r="C4">
            <v>9899240454</v>
          </cell>
          <cell r="D4" t="str">
            <v>D-4/102, Parsvanath Exotica</v>
          </cell>
          <cell r="E4" t="str">
            <v>DLF Phase 5</v>
          </cell>
          <cell r="F4" t="str">
            <v>Thursday</v>
          </cell>
          <cell r="G4" t="str">
            <v>Before 12 PM</v>
          </cell>
          <cell r="H4">
            <v>1600</v>
          </cell>
          <cell r="I4">
            <v>200</v>
          </cell>
          <cell r="J4" t="str">
            <v>Bloom</v>
          </cell>
          <cell r="K4" t="str">
            <v>Thursday n Sunday//Sat to Thurs//Send a repacement and No Rajni till it has fragrance(24/09)Skip 1 week(12/10)send  a replacement(22/11) Returne-send next week(13/12) Star 650 Pack(15/10) 17th Oct Del returned-pls update(07/11) Send Tom instead of sat this week(12/08) Sent a replacement today(01/09) Skip 1 week(12/11) Send on Monday this week(24/11) Skip this sunday (03/12) Sent replacement today (18/03) Send replacement tom (31/03) Skip 1 week (25/04) Now Bloom (19/05) Today returned (18/06) Skip 1 week (08/08) Hold n start after 8th Oct )(20/09) Skip next del (18/11) No Del till 2nd Jan (25/12) Skip tom (24/01) Hold till 17th Jube (05/06) Skip this sunday (18/07) Skip 1 week (13/08) Today returnde (16/01) Skip tom (15/02) Today returned as flowers got late (30/03) Hold till 12th Apr (02/04)Today Returned (11/05) Hold till 18th June (02/06) Hold till 18th June (02/06) Today Returned (13/09) Do not count last del (08/11) No Del till next wednesday (09/12) Hold todxay (28/12) Skip 1 week (04/02) 3 Car extra next (20/03) Skip 1 week (09/06)</v>
          </cell>
          <cell r="M4" t="str">
            <v>3 Car extra next (20/03)</v>
          </cell>
          <cell r="N4" t="str">
            <v>6  del of this cycle   -  0-cycles pmnt   Completed - Collect 0</v>
          </cell>
          <cell r="O4" t="e">
            <v>#N/A</v>
          </cell>
          <cell r="P4" t="str">
            <v>P Spray Daisy ( 14 Inch ) 2     FF Sachet + Grass</v>
          </cell>
          <cell r="Q4" t="str">
            <v>Sunflower ( 12 Inch) 2     Grass</v>
          </cell>
          <cell r="R4" t="str">
            <v>P n W Car ( 14 Inch ) 7    Collect Payment FF Sachet + Grass</v>
          </cell>
          <cell r="S4" t="str">
            <v>Mix Alstroemeria ( 12Inch ) 7     FF Sachet + Grass</v>
          </cell>
          <cell r="T4" t="str">
            <v>Rajni ( 14 Inch ) 7     Grass</v>
          </cell>
        </row>
        <row r="5">
          <cell r="A5">
            <v>2761</v>
          </cell>
          <cell r="B5" t="str">
            <v>Gyan</v>
          </cell>
          <cell r="C5">
            <v>9560719191</v>
          </cell>
          <cell r="D5" t="str">
            <v>J7, 2nd Floor, Signature Global City, Sec 37 D</v>
          </cell>
          <cell r="E5" t="str">
            <v>Dwarka Expressway</v>
          </cell>
          <cell r="F5" t="str">
            <v>Thursday</v>
          </cell>
          <cell r="G5" t="str">
            <v>4 PM to 7 PM</v>
          </cell>
          <cell r="H5">
            <v>1450</v>
          </cell>
          <cell r="I5">
            <v>362.5</v>
          </cell>
          <cell r="J5" t="str">
            <v>Bliss</v>
          </cell>
          <cell r="K5" t="str">
            <v>Upgraded as per scheme to Bliss for 5 Deliveries (22/08) No delivered today-send tom (02/10) Skip 1 week (26/11) Skip 2 week (28/01) Skip 2 week (10/03) No Sunflower ( 17/06)</v>
          </cell>
          <cell r="L5" t="str">
            <v>Sunflower</v>
          </cell>
          <cell r="N5" t="str">
            <v>1  del of this cycle   -  1-cycles pmnt   Pending - Collect 1450</v>
          </cell>
          <cell r="O5" t="str">
            <v>Sunflower ( 12 Inch ) 2 P n W Glad ( 14 Inch ) 7   FF Sachet + Grass</v>
          </cell>
          <cell r="P5" t="str">
            <v>P Asiatic ( 14 Inch ) 2 Pur n P Car ( 14 Inch ) 7   Grass</v>
          </cell>
          <cell r="Q5" t="str">
            <v>Pur Eustoma ( 12 Inch ) 2 Rajni ( 14 Inch ) 7   FF Sachet + Grass</v>
          </cell>
          <cell r="R5" t="str">
            <v>Spray Daisy 3 B Daisy ( 12 Inch ) 7   FF Sachet + Grass</v>
          </cell>
          <cell r="S5" t="str">
            <v>O Asiatic ( ( 14 inch ) 2 Mix Car 7   Grass</v>
          </cell>
          <cell r="T5" t="str">
            <v>P Spray Daisy ( 14 Inch ) 3 P n W Glad ( 14 Inch ) 7   FF Sachet + Grass</v>
          </cell>
        </row>
        <row r="6">
          <cell r="A6">
            <v>2355</v>
          </cell>
          <cell r="B6" t="str">
            <v>Convinience Enterprises-Veena Anand</v>
          </cell>
          <cell r="C6">
            <v>9810031208</v>
          </cell>
          <cell r="D6" t="str">
            <v>307, Aralyas, DLF 5</v>
          </cell>
          <cell r="E6" t="str">
            <v>Golf Course Road</v>
          </cell>
          <cell r="F6" t="str">
            <v>Thursday</v>
          </cell>
          <cell r="G6" t="str">
            <v>By 10 AM</v>
          </cell>
          <cell r="H6">
            <v>2750</v>
          </cell>
          <cell r="I6">
            <v>687.5</v>
          </cell>
          <cell r="J6" t="str">
            <v>Corporate</v>
          </cell>
          <cell r="K6" t="str">
            <v>Skip this Thursday and send on Sunday (20/11)Hold and send on 12th Now (31/12) Do Not count last Del (02/07) Skip 1 week (10/09) Skip 2 week (18/05)</v>
          </cell>
          <cell r="N6" t="str">
            <v>3  del of this cycle   -  0-cycles pmnt   In Process - Collect 0</v>
          </cell>
          <cell r="O6" t="str">
            <v>Pur n P Car ( 14 inch ) 32     2 Limonium + FF Sachet</v>
          </cell>
          <cell r="P6" t="str">
            <v xml:space="preserve">O Asiatic ( 14 Inch ) 6     2 Gypsola </v>
          </cell>
          <cell r="Q6" t="e">
            <v>#N/A</v>
          </cell>
          <cell r="R6" t="e">
            <v>#N/A</v>
          </cell>
          <cell r="S6" t="str">
            <v>Rajni ( 14 Inch ) 32     2 Limonium</v>
          </cell>
          <cell r="T6" t="str">
            <v>P n Y Spray Daisy ( 14 Inch ) 10     2 Gypsola + FF Sachet</v>
          </cell>
        </row>
        <row r="7">
          <cell r="A7" t="str">
            <v>G-00066</v>
          </cell>
          <cell r="B7" t="str">
            <v>Aastha Vernma</v>
          </cell>
          <cell r="C7">
            <v>8581860035</v>
          </cell>
          <cell r="D7" t="str">
            <v>T-3/604, Takshila Heights, Sec 37 C</v>
          </cell>
          <cell r="E7" t="str">
            <v>Old Gurgaon</v>
          </cell>
          <cell r="F7" t="str">
            <v>Thursday</v>
          </cell>
          <cell r="G7" t="str">
            <v>4 PM to 7PM</v>
          </cell>
          <cell r="H7">
            <v>1450</v>
          </cell>
          <cell r="I7">
            <v>362.5</v>
          </cell>
          <cell r="J7" t="str">
            <v>Bliss</v>
          </cell>
          <cell r="K7" t="str">
            <v>From Srishti Verma</v>
          </cell>
          <cell r="N7" t="str">
            <v>1  del of this cycle   -  0-cycles pmnt   Completed - Collect 0</v>
          </cell>
          <cell r="O7" t="e">
            <v>#N/A</v>
          </cell>
          <cell r="P7" t="e">
            <v>#N/A</v>
          </cell>
          <cell r="Q7" t="e">
            <v>#N/A</v>
          </cell>
          <cell r="R7" t="e">
            <v>#N/A</v>
          </cell>
          <cell r="S7" t="e">
            <v>#N/A</v>
          </cell>
          <cell r="T7" t="str">
            <v>G n W Car ( 14 Inch ) 16     FF Sachet + Grass</v>
          </cell>
        </row>
        <row r="8">
          <cell r="A8">
            <v>326</v>
          </cell>
          <cell r="B8" t="str">
            <v>Radhika Surana-- Before 10</v>
          </cell>
          <cell r="C8">
            <v>9871132800</v>
          </cell>
          <cell r="D8" t="str">
            <v>1204, The Magnolias</v>
          </cell>
          <cell r="E8" t="str">
            <v>Golf Course Road</v>
          </cell>
          <cell r="F8" t="str">
            <v>Thursday</v>
          </cell>
          <cell r="G8" t="str">
            <v>9 AM - 12 PM</v>
          </cell>
          <cell r="H8">
            <v>2750</v>
          </cell>
          <cell r="I8">
            <v>687.5</v>
          </cell>
          <cell r="J8" t="str">
            <v>Elation</v>
          </cell>
          <cell r="K8" t="str">
            <v>NO ORCHIDS, Prefer Lilies,Rajni and Gerbera(04/10) 1 week(22/04) Paytm from Anurag Surana(06/06) Paytm from Anurag Surana(02/07)  NO Orchid n BOP (25/01)  Skip 1 week (28/06) Hold 3rd aug and send on 7th Aug (03/08) Today returned (07/08) Skip this thursday and send on Monday (15/08) After 2nd Oct now (27/09) Skip 1 week (21/10) Hold n send after 8th Jan (13/12) Skip 1 week (30/01) Skip tom n sned on 19th (13/03) Skip 23rd and 30th (16/05) Skip 2 weeks and send mext del on 22nd June (12/06) Skip this week n start from tuesday (24/07) Skip 1 week (20/08) Skip 1 week (03/09) Skip 7th n 14th (06/11) Skip 5th Dec Del (02/12) skip 2 week (21/12) Today Returned (23/01) Skip 1 week and send on sunday (22/02) Skip tom and send on monday (05/03) Skip 1 week (19/03) Skip 2 weeks (05/04) Skip 2 weeks (31/05) Skip 1 week (19/08)  No Del on 18th, 25th and 2nd Oct (14/09) Returned today (09/10) Send this week on sunday and then thursday (05/11) Hold today n next weeks (27/11) Skip 1 week (25/12) Skip 1 week (30/03) Skip 4th n 11th June (28/05)</v>
          </cell>
          <cell r="L8" t="str">
            <v>BOP n ORCHID</v>
          </cell>
          <cell r="N8" t="str">
            <v>3  del of this cycle   -  1-cycles pmnt   Pending - Collect 5800</v>
          </cell>
          <cell r="O8" t="e">
            <v>#N/A</v>
          </cell>
          <cell r="P8" t="str">
            <v>Pur n P Car ( 14 inch ) 32     2 Gypsola + FF Sachet</v>
          </cell>
          <cell r="Q8" t="str">
            <v>P n W Glad ( 14 Inch ) 32     2 Limonium</v>
          </cell>
          <cell r="R8" t="str">
            <v>Pur n P Car ( 14 Inch ) 32     2 Gypsola</v>
          </cell>
          <cell r="S8" t="str">
            <v>P Asiatic ( 14 Inch ) 6  Gate Pass Wahab Ke Pass Hai Collect Payment Collect Payment 2 Limonium</v>
          </cell>
          <cell r="T8" t="str">
            <v>P n W Spray Daisy ( 14 Inch ) 10     2 Gypsola + FF Sachet</v>
          </cell>
        </row>
        <row r="9">
          <cell r="A9" t="str">
            <v>G-00036</v>
          </cell>
          <cell r="B9" t="str">
            <v>Aanchal Boora</v>
          </cell>
          <cell r="C9">
            <v>9654700022</v>
          </cell>
          <cell r="D9" t="str">
            <v>Flat - 1171, Ats Triumph, Wing B, Tower 1, 17th Floor, Sec 104</v>
          </cell>
          <cell r="E9" t="str">
            <v>Dwarka Expressway</v>
          </cell>
          <cell r="F9" t="str">
            <v>Thursday</v>
          </cell>
          <cell r="G9" t="str">
            <v>4 Pm to 7 PM</v>
          </cell>
          <cell r="H9">
            <v>1450</v>
          </cell>
          <cell r="I9">
            <v>362.5</v>
          </cell>
          <cell r="J9" t="str">
            <v>Bliss</v>
          </cell>
          <cell r="K9" t="str">
            <v>From Avni Ahuja // Skip tom (10/12) Paytm From Nitin Kunka // No Orchids (27/01) Skip 1 week (27/02) No Sunflowers (02/05)</v>
          </cell>
          <cell r="L9" t="str">
            <v xml:space="preserve">Orchid n Sunflowers </v>
          </cell>
          <cell r="M9" t="str">
            <v>One Kind</v>
          </cell>
          <cell r="N9" t="str">
            <v>4  del of this cycle   -  0-cycles pmnt   Completed - Collect 0</v>
          </cell>
          <cell r="O9" t="e">
            <v>#N/A</v>
          </cell>
          <cell r="P9" t="e">
            <v>#N/A</v>
          </cell>
          <cell r="Q9" t="e">
            <v>#N/A</v>
          </cell>
          <cell r="R9" t="str">
            <v>P Asiatic ( 14 Inch ) 3    Collect Payment Grass</v>
          </cell>
          <cell r="S9" t="str">
            <v>Rajni ( 14 Inch ) 16     Grass</v>
          </cell>
          <cell r="T9" t="str">
            <v>P n Y Spray Daisy ( 14 Inch ) 5     FF Sachet + Grass</v>
          </cell>
        </row>
        <row r="10">
          <cell r="A10">
            <v>2024</v>
          </cell>
          <cell r="B10" t="str">
            <v>Priyanka Katyal</v>
          </cell>
          <cell r="C10">
            <v>9958565556</v>
          </cell>
          <cell r="D10" t="str">
            <v>1487, Saraswati Kunj, Sector 53</v>
          </cell>
          <cell r="E10" t="str">
            <v>DLF Phase 5</v>
          </cell>
          <cell r="F10" t="str">
            <v>Thursday</v>
          </cell>
          <cell r="G10" t="str">
            <v>9 AM - 12 PM</v>
          </cell>
          <cell r="H10">
            <v>1950</v>
          </cell>
          <cell r="I10">
            <v>487.5</v>
          </cell>
          <cell r="J10" t="str">
            <v>Joy</v>
          </cell>
          <cell r="K10" t="str">
            <v>Sunday n Thursday//NO Oriental and Guldawari (29/12) Paytm From Sanjay Katyal (28/03) Hold till 8th June-- she will confirm the package (24/05)' Shift to felicity// Today hold --send tom (09/07) Lilies Tom (08/11) Paytm From Ace Promoters and Developers Pvt. Ltd (26/01) Send Replacement tom (17/02) Skip 1 week (10/07) Couldn't deliver due to water logging-send on sunday (29/08) Paytm from Sanjay Katyal (20/10) Skip 2 week (21/05) Hold till 13th Aiug (26/07) Premium Flwer extra Next (09/01)</v>
          </cell>
          <cell r="L10" t="str">
            <v>ORIENTAL n GULDAWARI</v>
          </cell>
          <cell r="M10" t="str">
            <v>Premium Flwer extra Next (09/01)</v>
          </cell>
          <cell r="N10" t="str">
            <v>1  del of this cycle   -  1-cycles pmnt   Pending - Collect 1950</v>
          </cell>
          <cell r="O10" t="str">
            <v>P n W Glad ( 14 Inch ) 22     Grass</v>
          </cell>
          <cell r="P10" t="str">
            <v>P n W Spray Daisy ( 14 Inch ) 7     FF Sachet + Grass</v>
          </cell>
          <cell r="Q10" t="str">
            <v>O Asiatic ( 14 Inch ) 4     Grass</v>
          </cell>
          <cell r="R10" t="str">
            <v>P n W Car ( 14 Inch ) 22     FF Sachet + Grass</v>
          </cell>
          <cell r="S10" t="str">
            <v>Rajni ( 14 Inch ) 22     Grass</v>
          </cell>
          <cell r="T10" t="str">
            <v>Mix Alstroemeria ( 12 Inch ) 22     FF Sachet + Grass</v>
          </cell>
        </row>
        <row r="11">
          <cell r="A11">
            <v>1181</v>
          </cell>
          <cell r="B11" t="str">
            <v>Parul Sharma --Elation</v>
          </cell>
          <cell r="C11">
            <v>8800895944</v>
          </cell>
          <cell r="D11" t="str">
            <v>Villa-27, The Legend</v>
          </cell>
          <cell r="E11" t="str">
            <v>Artemis</v>
          </cell>
          <cell r="F11" t="str">
            <v>Thursday</v>
          </cell>
          <cell r="G11" t="str">
            <v>9 AM to 2 PM</v>
          </cell>
          <cell r="H11">
            <v>1950</v>
          </cell>
          <cell r="I11">
            <v>487.5</v>
          </cell>
          <cell r="J11" t="str">
            <v>Joy</v>
          </cell>
          <cell r="K11" t="str">
            <v>Tuesday and Thursday//Change day to Thursday(21/12) Car Next(18/01) NO ORCHIDS(20/01) Car Next(02/02) Sending on 20th instaed of 21st,bcoz of Holi(18/03) Today FF Sent(11/04) Paytm from ritu Kaur(12/04) Send replacement(12/04) Send Special Pack(08/05) Received payment of special pack(10/05) Hold n start from 2nd week of july(04/060 Inform Before sending(01/07) Start from next week(10/07) Sending on 14th instrad of 15th Aug(13/08) Today Hold-send tom(26/09) Send double del tom(23/10) R car Tom(15/01) Send Replacement tom(27/02) Hold n start from 3rd week of April(18/03) NO Rose n NO Orchids----Send R Car Next(21/12) Rajnigandha Next(12/01) Replace ment next and send Flower food(10/04) Recvd 250 from Gpay(15/07) Return-not at home(14/09) Shift to Elation(18/10) Skip 1 week(27/06) Hold n start from July (12/06) Hold due to non Payment (15/01) Paytm From Vinay Deopujari (26/02)</v>
          </cell>
          <cell r="M11" t="str">
            <v>Before 11:30 AM</v>
          </cell>
          <cell r="N11" t="str">
            <v>2  del of this cycle   -  1-cycles pmnt   Pending - Collect 1950</v>
          </cell>
          <cell r="O11" t="str">
            <v>Pur n P Eustoma ( 12 Inch ) 4     FF Sachet + Grass</v>
          </cell>
          <cell r="P11" t="str">
            <v>P n Y Spray Daisy ( 14 Inch ) 7     FF Sachet + Grass</v>
          </cell>
          <cell r="Q11" t="str">
            <v>P n W Car ( 14 inch ) 22     FF Sachet + Grass</v>
          </cell>
          <cell r="R11" t="str">
            <v>Sunflower ( 12 Inch ) 5     FF Sachet + Grass</v>
          </cell>
          <cell r="S11" t="str">
            <v>W Asiatic ( 14 Inch ) 4     Grass</v>
          </cell>
          <cell r="T11" t="str">
            <v>Mix Alstroemeria ( 12 Inch ) 22     FF Sachet + Grass</v>
          </cell>
        </row>
        <row r="12">
          <cell r="A12">
            <v>14</v>
          </cell>
          <cell r="B12" t="str">
            <v>Ms. Neelam Bhalla </v>
          </cell>
          <cell r="C12">
            <v>9810546046</v>
          </cell>
          <cell r="D12" t="str">
            <v>H4, 4th Floor, Olive Residency, Mayfield Garden, Sec 57</v>
          </cell>
          <cell r="E12" t="str">
            <v>Artemis</v>
          </cell>
          <cell r="F12" t="str">
            <v>Thursday</v>
          </cell>
          <cell r="G12" t="str">
            <v>9 AM - 12 PM</v>
          </cell>
          <cell r="H12">
            <v>1950</v>
          </cell>
          <cell r="I12">
            <v>487.5</v>
          </cell>
          <cell r="J12" t="str">
            <v>Joy</v>
          </cell>
          <cell r="K12" t="str">
            <v>No Glad (19/05) Pls send Daisy in next del with Asiatic(11/12)  Orchids Next(26/06) Send Gerbera Next with Flower Food902/07)  Orchids next(21/11)  Oriental next(20/03) Y Spray Daisy tom(25/03) Only 1 kind of flowers now(20/05) S NO GLAD n BOP (30/12) Today returned-send tom (21/01) Skip 2 weeks (27/01) Send 1 Flower Food next (13/06) Skip 1 week (06/07) Skip 1 week (20/08) Aster in Del (19/10) Hold today -send tom (03/11) Skip 1 week (01/02) Skip 1 week (29/02) Hold till 1st July (15/06) Skip 1 week (24/07) Skip 29th (26/11) Skip tom (23/01) Skip tom (27/02) Skip 1 week (11/03) Skip 1 week (17/06) Skip 1 week (20/01) Skip 1 week (04/02) Skip thursday (24/02) Skip 1 week (16/06)</v>
          </cell>
          <cell r="L12" t="str">
            <v>GLAD n BOP n GERBERA</v>
          </cell>
          <cell r="N12" t="str">
            <v>1  del of this cycle   -  1-cycles pmnt   Pending - Collect 1950</v>
          </cell>
          <cell r="O12" t="str">
            <v>Pur n P Eustoma ( 12 Inch ) 4     FF Sachet + Grass</v>
          </cell>
          <cell r="P12" t="e">
            <v>#N/A</v>
          </cell>
          <cell r="Q12" t="str">
            <v>Pur n P Eustoma ( 12 Inch ) 4     FF Sachet + Grass</v>
          </cell>
          <cell r="R12" t="str">
            <v>Sunflower ( 12 Inch ) 5     FF Sachet + Grass</v>
          </cell>
          <cell r="S12" t="str">
            <v>Rajni ( 14 Inch ) 22     Grass</v>
          </cell>
          <cell r="T12" t="str">
            <v>G n W Car ( 14 Inch ) 22     FF Sachet + Grass</v>
          </cell>
        </row>
        <row r="13">
          <cell r="A13">
            <v>2294</v>
          </cell>
          <cell r="B13" t="str">
            <v>Sonal Verma</v>
          </cell>
          <cell r="C13">
            <v>9711499808</v>
          </cell>
          <cell r="D13" t="str">
            <v>H. No. 19, 1st Floor, Cedar Crest</v>
          </cell>
          <cell r="E13" t="str">
            <v>Nirvana Country</v>
          </cell>
          <cell r="F13" t="str">
            <v>Thursday</v>
          </cell>
          <cell r="G13" t="str">
            <v>9 AM - 12 PM</v>
          </cell>
          <cell r="H13">
            <v>1450</v>
          </cell>
          <cell r="I13">
            <v>362.5</v>
          </cell>
          <cell r="J13" t="str">
            <v>Bliss</v>
          </cell>
          <cell r="K13" t="str">
            <v>Skip 1 week (11/03) Skip 1 week (21/05) Pls skip 1 week (18/06) Sent one del today (10/12) Hold due to non payment (29/01) Hold due to non payment (04/02) HDTNP (19/02) HDTNP (26/02) HDTNP (21/05) HDTNP (28/05) HDTNP (04/06) HDTNP (11/06) HDTNP (18/06) HDTNP (25/06) HDTNP (02/07) Paytm From Sandeep Verma (09/07)</v>
          </cell>
          <cell r="N13" t="str">
            <v>3  del of this cycle   -  0-cycles pmnt   Completed - Collect 0</v>
          </cell>
          <cell r="O13" t="e">
            <v>#N/A</v>
          </cell>
          <cell r="P13" t="e">
            <v>#N/A</v>
          </cell>
          <cell r="Q13" t="e">
            <v>#N/A</v>
          </cell>
          <cell r="R13" t="str">
            <v xml:space="preserve">Collect Rs 725 Carry Reciept Book     </v>
          </cell>
          <cell r="S13" t="str">
            <v xml:space="preserve">Collect 725  Carry Receipt Bookl     </v>
          </cell>
          <cell r="T13" t="str">
            <v>G n W Car ( 14 Inch ) 16     FF Sachet + Grass</v>
          </cell>
        </row>
        <row r="14">
          <cell r="A14">
            <v>1998</v>
          </cell>
          <cell r="B14" t="str">
            <v>Shivani Katyal</v>
          </cell>
          <cell r="C14">
            <v>9811053756</v>
          </cell>
          <cell r="D14" t="str">
            <v>H. No. 1486, Sarsawati Kunj</v>
          </cell>
          <cell r="E14" t="str">
            <v>DLF Phase 5</v>
          </cell>
          <cell r="F14" t="str">
            <v>Thursday</v>
          </cell>
          <cell r="G14" t="str">
            <v>9:30 Am to 2 PM</v>
          </cell>
          <cell r="H14">
            <v>1950</v>
          </cell>
          <cell r="I14">
            <v>487.5</v>
          </cell>
          <cell r="J14" t="str">
            <v>Joy</v>
          </cell>
          <cell r="K14" t="str">
            <v>Rose//Orchid//Asiatic//Anthurium//Heliconia//BOP (28/10) NO Guldawari n Anthurium (09/02) Paytm From Manish K M K (08/09) Paytm from Manish Katyal // Gpay From Palak Katyal (22/03) No Glad Also (18/04) Couldn't deliver due to watrelogging--send on Sunday (29/08) Skip n send on sunday (01/10)</v>
          </cell>
          <cell r="L14" t="str">
            <v>GULDAWARI n ANTHURIUM n GLAD</v>
          </cell>
          <cell r="N14" t="str">
            <v>2  del of this cycle   -  0-cycles pmnt   CompletedNO COLLECTION-we have extra money - Collect -100</v>
          </cell>
          <cell r="O14" t="str">
            <v>Pur n P Car ( 14 inch ) 22     FF Sachet + Grass</v>
          </cell>
          <cell r="P14" t="str">
            <v>Mix Alstroemeria ( 12 Inch ) 22     FF Sachet + Grass</v>
          </cell>
          <cell r="Q14" t="str">
            <v>P n W Spray Daisy 7     FF Sachet + Grass</v>
          </cell>
          <cell r="R14" t="str">
            <v>P Asiatic ( 14 Inch ) 4     Grass</v>
          </cell>
          <cell r="S14" t="str">
            <v>Rajni ( 14 Inch ) 22     Grass</v>
          </cell>
          <cell r="T14" t="str">
            <v>G n W Car ( 14 Inch ) 22     FF Sachet + Grass</v>
          </cell>
        </row>
        <row r="15">
          <cell r="A15">
            <v>2774</v>
          </cell>
          <cell r="B15" t="str">
            <v>Vandana Thakran</v>
          </cell>
          <cell r="C15">
            <v>9899589964</v>
          </cell>
          <cell r="D15" t="str">
            <v>H. No. 35, Cedar Crest</v>
          </cell>
          <cell r="E15" t="str">
            <v>Nirvana Country</v>
          </cell>
          <cell r="F15" t="str">
            <v>Sunday</v>
          </cell>
          <cell r="G15" t="str">
            <v>9 AM - 12 PM</v>
          </cell>
          <cell r="H15">
            <v>1600</v>
          </cell>
          <cell r="I15">
            <v>200</v>
          </cell>
          <cell r="J15" t="str">
            <v>Bloom</v>
          </cell>
          <cell r="N15" t="str">
            <v>6  del of this cycle   -  0-cycles pmnt   Completed - Collect 0</v>
          </cell>
          <cell r="O15" t="str">
            <v>Sunflower ( 12 Inch ) 2     FF Sachet + Grass</v>
          </cell>
          <cell r="P15" t="str">
            <v>Pur n P Car ( 14 inch ) 7     FF Sachet + Grass</v>
          </cell>
          <cell r="Q15" t="str">
            <v>P n W Glad ( 14 Inch ) 7     Grass</v>
          </cell>
          <cell r="R15" t="str">
            <v>Rajni ( 14 Inch ) 7     Grass</v>
          </cell>
          <cell r="S15" t="str">
            <v>P n W Car ( 14 Inch ) 7     FF Sachet + Grass</v>
          </cell>
          <cell r="T15" t="str">
            <v>Mix Alstroemeria ( 12 Inch ) 7     FF Sachet + Grass</v>
          </cell>
        </row>
        <row r="16">
          <cell r="A16">
            <v>3273</v>
          </cell>
          <cell r="B16" t="str">
            <v>Sharmishtha Jhulka</v>
          </cell>
          <cell r="C16">
            <v>9810010615</v>
          </cell>
          <cell r="D16" t="str">
            <v>817-B, The Camelias</v>
          </cell>
          <cell r="E16" t="str">
            <v>Golf Course Road</v>
          </cell>
          <cell r="F16" t="str">
            <v>Thursday</v>
          </cell>
          <cell r="G16" t="str">
            <v>9 AM to 2 PM</v>
          </cell>
          <cell r="H16">
            <v>5800</v>
          </cell>
          <cell r="I16">
            <v>1450</v>
          </cell>
          <cell r="J16" t="str">
            <v>Customized</v>
          </cell>
          <cell r="K16" t="str">
            <v>send on 19th, 26th Mar, 23rd April and may 26 // Now start from 18th June (15/05) 10 Asiatic Lilies // 20 Spray Daisies // 10 Sunflowers// 10 Eustoma Pack (20/05) No Sunflowers ( 02/07) 6 Bright Oriental Next (09/07)</v>
          </cell>
          <cell r="L16" t="str">
            <v>Sunflower</v>
          </cell>
          <cell r="M16" t="str">
            <v>Bright 6 P Orientel Next (09/07)</v>
          </cell>
          <cell r="N16" t="str">
            <v>4  del of this cycle   -  0-cycles pmnt   Completed - Collect 0</v>
          </cell>
          <cell r="O16" t="e">
            <v>#N/A</v>
          </cell>
          <cell r="P16" t="str">
            <v xml:space="preserve">P n Y Spray Daisy ( 14 Inch ) 20     </v>
          </cell>
          <cell r="Q16" t="str">
            <v>O n W Asiatic ( 14 Inch ) 10     3 Areca Palm + 2 Limonium</v>
          </cell>
          <cell r="R16" t="str">
            <v>Sunflower ( 12 Inch ) 10     2 Gypsola</v>
          </cell>
          <cell r="S16" t="str">
            <v xml:space="preserve">P n W Spray Daisy ( 14 Inch ) 10     </v>
          </cell>
          <cell r="T16" t="str">
            <v>Semi Bloom P Oriental 6     3 Limonium</v>
          </cell>
        </row>
        <row r="17">
          <cell r="A17">
            <v>3107</v>
          </cell>
          <cell r="B17" t="str">
            <v>Richa -- Icon</v>
          </cell>
          <cell r="C17">
            <v>9811394916</v>
          </cell>
          <cell r="D17" t="str">
            <v>B-173, the Icon</v>
          </cell>
          <cell r="E17" t="str">
            <v>DLF Phase 5</v>
          </cell>
          <cell r="F17" t="str">
            <v>Thursday</v>
          </cell>
          <cell r="G17" t="str">
            <v>10 AM to 2:30 PM</v>
          </cell>
          <cell r="H17">
            <v>1450</v>
          </cell>
          <cell r="I17">
            <v>362.5</v>
          </cell>
          <cell r="J17" t="str">
            <v>Bliss</v>
          </cell>
          <cell r="K17" t="str">
            <v>Paytm From Ankit Gupta (01/11) Skip 08th and 15th Jan (16/12) Hold till 16th Jan (19/12) Skip 1 week (12/02) Skip 1 week (11/03) Skip 1 week (01/04) Hold n strat from 02nd July (28/05)</v>
          </cell>
          <cell r="N17" t="str">
            <v>3  del of this cycle   -  0-cycles pmnt   Completed - Collect 0</v>
          </cell>
          <cell r="O17" t="e">
            <v>#N/A</v>
          </cell>
          <cell r="P17" t="e">
            <v>#N/A</v>
          </cell>
          <cell r="Q17" t="e">
            <v>#N/A</v>
          </cell>
          <cell r="R17" t="str">
            <v>Pur n P Car ( 14 Inch ) 16     FF Sachet + Grass</v>
          </cell>
          <cell r="S17" t="str">
            <v>P Asiatic ( 14 Inch ) 3     Grass</v>
          </cell>
          <cell r="T17" t="str">
            <v>P n W Glad ( 14 Inch ) 16     Grass</v>
          </cell>
        </row>
        <row r="18">
          <cell r="A18">
            <v>2307</v>
          </cell>
          <cell r="B18" t="str">
            <v>Alpna Jain</v>
          </cell>
          <cell r="C18">
            <v>9599336609</v>
          </cell>
          <cell r="D18" t="str">
            <v>C-64, The Icon</v>
          </cell>
          <cell r="E18" t="str">
            <v>DLF Phase 5</v>
          </cell>
          <cell r="F18" t="str">
            <v>Thursday</v>
          </cell>
          <cell r="G18" t="str">
            <v>10 AM to 2:30 PM</v>
          </cell>
          <cell r="H18">
            <v>3000</v>
          </cell>
          <cell r="I18">
            <v>375</v>
          </cell>
          <cell r="J18" t="str">
            <v>Charm</v>
          </cell>
          <cell r="K18" t="str">
            <v>Thursday n Sunday // Hold today (08/02) Keep flowers outside of Door (17/05)</v>
          </cell>
          <cell r="M18" t="str">
            <v>Keep flowers outside of door always</v>
          </cell>
          <cell r="N18" t="str">
            <v>8  del of this cycle   -  0-cycles pmnt   Completed - Collect 0</v>
          </cell>
          <cell r="O18" t="str">
            <v>Sunflower ( 12 Inch ) 4 Leave Outside of door-- Don’t Call and Don’t Ring Bell    FF Sachet + Grass</v>
          </cell>
          <cell r="P18" t="str">
            <v>Pur n P Eustoma ( 12 Inch ) 4 Leave Outside of door -- Don’t call n don’t ring bell    FF Sachet + Grass</v>
          </cell>
          <cell r="Q18" t="str">
            <v>Pur n P Car ( 14 Inch ) 15 Keep Flowers at door-- Don’t call or don’t ring Bell    FF Sachet + Grass</v>
          </cell>
          <cell r="R18" t="str">
            <v>B Daisy ( 12 Inch ) 15    Collect Payment Grass</v>
          </cell>
          <cell r="S18" t="str">
            <v>Sunflower ( 12 Inch ) 3 Keep Flowers at Door -- Don’t call or Ring the bell    FF Sachet + Grass</v>
          </cell>
          <cell r="T18" t="str">
            <v>P n Y Spray Daisy ( 14 Inch ) 4 Pls Keep at door -- Don’t Call 0r Ring Bell    FF Sachet + Grass</v>
          </cell>
        </row>
        <row r="19">
          <cell r="A19">
            <v>2502</v>
          </cell>
          <cell r="B19" t="str">
            <v>Amrita Sarup</v>
          </cell>
          <cell r="C19">
            <v>7028026940</v>
          </cell>
          <cell r="D19" t="str">
            <v>D1/802, Experion Heartsong, Sec 108</v>
          </cell>
          <cell r="E19" t="str">
            <v>Dwarka Expressway</v>
          </cell>
          <cell r="F19" t="str">
            <v>Thursday</v>
          </cell>
          <cell r="G19" t="str">
            <v>4 Pm to 7 PM</v>
          </cell>
          <cell r="H19">
            <v>1450</v>
          </cell>
          <cell r="I19">
            <v>362.5</v>
          </cell>
          <cell r="J19" t="str">
            <v>Bliss</v>
          </cell>
          <cell r="K19" t="str">
            <v>No Asiatic n Spray Daisy // Today Hold (14/08) Replacement tom (04/12) No Orchid (11/12) No BOP n Orchid (12/12) Today Returned -send on Sunday (18/12) Returned today (01/01/26) Next 3 Deliveries with Premium (11/.04)</v>
          </cell>
          <cell r="L19" t="str">
            <v>BOP n Orchid</v>
          </cell>
          <cell r="M19" t="str">
            <v>Next 3 Deliveries with Premium (11/.04)</v>
          </cell>
          <cell r="N19" t="str">
            <v>3  del of this cycle   -  0-cycles pmnt   Completed - Collect 0</v>
          </cell>
          <cell r="O19" t="e">
            <v>#N/A</v>
          </cell>
          <cell r="P19" t="e">
            <v>#N/A</v>
          </cell>
          <cell r="Q19" t="e">
            <v>#N/A</v>
          </cell>
          <cell r="R19" t="str">
            <v>Pur n P Car ( 14 Inch ) 16     FF Sachet + Grass</v>
          </cell>
          <cell r="S19" t="str">
            <v>O Asiatic ( ( 14 inch ) 3     Grass</v>
          </cell>
          <cell r="T19" t="str">
            <v>Mix Car ( 14 Inch ) 16     Grass</v>
          </cell>
        </row>
        <row r="20">
          <cell r="A20">
            <v>3241</v>
          </cell>
          <cell r="B20" t="str">
            <v>Sunanda</v>
          </cell>
          <cell r="C20">
            <v>8800994226</v>
          </cell>
          <cell r="D20" t="str">
            <v>C-084, The Icon</v>
          </cell>
          <cell r="E20" t="str">
            <v>DLF Phase 5</v>
          </cell>
          <cell r="F20" t="str">
            <v>Thursday</v>
          </cell>
          <cell r="G20" t="str">
            <v>9 AM - 12 PM</v>
          </cell>
          <cell r="H20">
            <v>1450</v>
          </cell>
          <cell r="I20">
            <v>362.5</v>
          </cell>
          <cell r="J20" t="str">
            <v>Bliss</v>
          </cell>
          <cell r="K20" t="str">
            <v>One Kind // Skip 1 week (13/01) HDTNP (26/02) HDTNP (04/03) HDTNP (12/03)</v>
          </cell>
          <cell r="M20" t="str">
            <v>One Kind</v>
          </cell>
          <cell r="N20" t="str">
            <v>4  del of this cycle   -  0-cycles pmnt   Completed - Collect 0</v>
          </cell>
          <cell r="O20" t="str">
            <v>Pur Eustoma ( 12 Inch ) 3     FF Sachet + Grass</v>
          </cell>
          <cell r="P20" t="str">
            <v>Pur n P Car ( 14 inch ) 16     FF Sachet + Grass</v>
          </cell>
          <cell r="Q20" t="str">
            <v>O Asiatic ( 14 Inch ) 3     Grass</v>
          </cell>
          <cell r="R20" t="str">
            <v>Sunflower ( 12 Inch ) 4    Collect Payment FF Sachet + Grass</v>
          </cell>
          <cell r="S20" t="str">
            <v>Rajni ( 14 Inch ) 16     Grass</v>
          </cell>
          <cell r="T20" t="str">
            <v>P n Y Spray Daisy ( 14 Inch ) 5     FF Sachet + Grass</v>
          </cell>
        </row>
        <row r="21">
          <cell r="A21">
            <v>2076</v>
          </cell>
          <cell r="B21" t="str">
            <v>Divya Jain Midas</v>
          </cell>
          <cell r="C21">
            <v>9910172233</v>
          </cell>
          <cell r="D21" t="str">
            <v>Midas Touch, 1st Floor, A Block, Nirvana Courtyard</v>
          </cell>
          <cell r="E21" t="str">
            <v>Nirvana Country</v>
          </cell>
          <cell r="F21" t="str">
            <v>Thursday</v>
          </cell>
          <cell r="G21" t="str">
            <v>9 AM - 12 PM</v>
          </cell>
          <cell r="H21">
            <v>1450</v>
          </cell>
          <cell r="I21">
            <v>362.5</v>
          </cell>
          <cell r="J21" t="str">
            <v>Bliss</v>
          </cell>
          <cell r="K21" t="str">
            <v>Sent replacement today (01/06) Send 1 Vase with next delivery (10/10) Send 1 Rassee Vase and Flowers tom (29/11) Sent 1 vase today (30/1) 1500 cash and 100 via paytm (07/01) One deliv sent today (26/02) Sent one del today (10/06) sent one del today (21/07) GMom Quiz Voucher Added (07/08) 1 Vase sent today (11/11) Send one del tom and with either rose or Car (02/12) Sent one del today (28/04)</v>
          </cell>
          <cell r="N21" t="str">
            <v>4  del of this cycle   -  0-cycles pmnt   CompletedNO COLLECTION-we have extra money - Collect -50</v>
          </cell>
          <cell r="O21" t="str">
            <v>P n Y Spray Daisy ( 14 Inch ) 5     FF Sachet + Grass</v>
          </cell>
          <cell r="P21" t="str">
            <v>Sunflower ( 12 Inch ) 4     FF Sachet + Grass</v>
          </cell>
          <cell r="Q21" t="str">
            <v>Pur Eustoma ( 12 Inch ) 3     FF Sachet + Grass</v>
          </cell>
          <cell r="R21" t="str">
            <v>O Asiatic ( 14 Inch ) 3     Grass</v>
          </cell>
          <cell r="S21" t="str">
            <v>Rajni ( 14 Inch ) 16     Grass</v>
          </cell>
          <cell r="T21" t="str">
            <v>G n W Car ( 14 Inch ) 16     FF Sachet + Grass</v>
          </cell>
        </row>
        <row r="22">
          <cell r="A22">
            <v>2779</v>
          </cell>
          <cell r="B22" t="str">
            <v>Riddhi Desai</v>
          </cell>
          <cell r="C22">
            <v>8130497969</v>
          </cell>
          <cell r="D22" t="str">
            <v>D-71, The Icon</v>
          </cell>
          <cell r="E22" t="str">
            <v>Golf Course Road</v>
          </cell>
          <cell r="F22" t="str">
            <v>Sunday</v>
          </cell>
          <cell r="G22" t="str">
            <v>9 AM to 2 PM</v>
          </cell>
          <cell r="H22">
            <v>1600</v>
          </cell>
          <cell r="I22">
            <v>200</v>
          </cell>
          <cell r="J22" t="str">
            <v>Bloom</v>
          </cell>
          <cell r="K22" t="str">
            <v>Send this week on Saturday (14/08) Skip 1 week (21/12) Hold till 2nd June (20/05)</v>
          </cell>
          <cell r="N22" t="str">
            <v>2  del of this cycle   -  0-cycles pmnt   Completed - Collect 0</v>
          </cell>
          <cell r="O22" t="str">
            <v>Y Spray Daisy ( 14 Inch ) 2     Grass</v>
          </cell>
          <cell r="P22" t="str">
            <v>Sunflower ( 12 Inch ) 2     FF Sachet + Grass</v>
          </cell>
          <cell r="Q22" t="str">
            <v>Rajni ( 14 Inch ) 7     Grass</v>
          </cell>
          <cell r="R22" t="str">
            <v>Pur n P Car ( 14 Inch ) 7     FF Sachet + Grass</v>
          </cell>
          <cell r="S22" t="str">
            <v>P Spray Daisy ( 14 Inch ) 2     FF Sachet + Grass</v>
          </cell>
          <cell r="T22" t="str">
            <v>P n W Glad ( 14 Inch ) 7     Grass</v>
          </cell>
        </row>
        <row r="23">
          <cell r="A23">
            <v>2246</v>
          </cell>
          <cell r="B23" t="str">
            <v>Amita Gupta</v>
          </cell>
          <cell r="C23">
            <v>9811985450</v>
          </cell>
          <cell r="D23" t="str">
            <v>146, Cedar Crest</v>
          </cell>
          <cell r="E23" t="str">
            <v>Nirvana Country</v>
          </cell>
          <cell r="F23" t="str">
            <v>Thursday</v>
          </cell>
          <cell r="G23" t="str">
            <v>9 AM - 12 PM</v>
          </cell>
          <cell r="H23">
            <v>1600</v>
          </cell>
          <cell r="I23">
            <v>200</v>
          </cell>
          <cell r="J23" t="str">
            <v>Bloom</v>
          </cell>
          <cell r="K23" t="str">
            <v>Return today (03/10) Change to bliss (23/10) No Orchid (24/10) Send a vase tom (20/08) Upgrade to bliss (17/12)</v>
          </cell>
          <cell r="L23" t="str">
            <v>Orchid</v>
          </cell>
          <cell r="M23" t="str">
            <v>1 Vase Tom (20/08)</v>
          </cell>
          <cell r="N23" t="str">
            <v>5  del of this cycle   -  0-cycles pmnt   Completed - Collect 0</v>
          </cell>
          <cell r="O23" t="str">
            <v>Pur n P Car ( 14 inch ) 7     FF Sachet + Grass</v>
          </cell>
          <cell r="P23" t="str">
            <v>Sunflower ( 12 Inch ) 2     FF Sachet + Grass</v>
          </cell>
          <cell r="Q23" t="str">
            <v>P n W Glad ( 14 Inch ) 7     Grass</v>
          </cell>
          <cell r="R23" t="str">
            <v>P n W Car ( 14 Inch ) 7     FF Sachet + Grass</v>
          </cell>
          <cell r="S23" t="str">
            <v>Sunflower ( 12 Inch ) 2     FF Sachet + Grass</v>
          </cell>
          <cell r="T23" t="str">
            <v>P n W Glad ( 14 Inch ) 7     Grass</v>
          </cell>
        </row>
        <row r="24">
          <cell r="A24">
            <v>3247</v>
          </cell>
          <cell r="B24" t="str">
            <v>V P Singh</v>
          </cell>
          <cell r="C24">
            <v>9717986555</v>
          </cell>
          <cell r="D24" t="str">
            <v>WT04/701, Experion Windchantsm Sec 112</v>
          </cell>
          <cell r="E24" t="str">
            <v>Dwarka Expressway</v>
          </cell>
          <cell r="F24" t="str">
            <v>Thursday</v>
          </cell>
          <cell r="G24" t="str">
            <v>4 Pm to 7 PM</v>
          </cell>
          <cell r="H24">
            <v>1450</v>
          </cell>
          <cell r="I24">
            <v>362.5</v>
          </cell>
          <cell r="J24" t="str">
            <v>Bliss</v>
          </cell>
          <cell r="K24" t="str">
            <v>Paytm From Vijay Pratap Singh</v>
          </cell>
          <cell r="N24" t="str">
            <v>4  del of this cycle   -  0-cycles pmnt   Completed - Collect 0</v>
          </cell>
          <cell r="O24" t="str">
            <v>P n W Glad ( 14 Inch ) 16     Grass</v>
          </cell>
          <cell r="P24" t="str">
            <v>Sunflower ( 12 Inch ) 4 With Bouquet in Morning Pls With Bouquet in Morning Pls With Bouquet in Morning Pls  FF Sachet + Grass</v>
          </cell>
          <cell r="Q24" t="str">
            <v>Pur Eustoma ( 12 Inch ) 3     FF Sachet + Grass</v>
          </cell>
          <cell r="R24" t="str">
            <v>O Asiatic ( 14 Inch ) 3     Grass</v>
          </cell>
          <cell r="S24" t="str">
            <v>Rajni ( 14 Inch ) 16     Grass</v>
          </cell>
          <cell r="T24" t="str">
            <v>G n W Car ( 14 Inch ) 16     FF Sachet + Grass</v>
          </cell>
        </row>
        <row r="25">
          <cell r="A25">
            <v>2037</v>
          </cell>
          <cell r="B25" t="str">
            <v>Sharwan Chopra</v>
          </cell>
          <cell r="C25">
            <v>9971066995</v>
          </cell>
          <cell r="D25" t="str">
            <v>A-223, The Belaire</v>
          </cell>
          <cell r="E25" t="str">
            <v>Golf Course Road</v>
          </cell>
          <cell r="F25" t="str">
            <v>Thursday</v>
          </cell>
          <cell r="G25" t="str">
            <v>10 AM to 2:30 PM</v>
          </cell>
          <cell r="H25">
            <v>1950</v>
          </cell>
          <cell r="I25">
            <v>487.5</v>
          </cell>
          <cell r="J25" t="str">
            <v>Joy</v>
          </cell>
          <cell r="K25" t="str">
            <v>NO Car (15/02) Skip 3 Weeks (12/06) Skip 1 week (28/12) Hold all deliveries till 1st July (12/06) Skip 25th Dec (23/12) Hold due to non payment (29/01) Returned today (04/06) Skip 1 week (16/06)</v>
          </cell>
          <cell r="L25" t="str">
            <v>CAR</v>
          </cell>
          <cell r="N25" t="str">
            <v>3  del of this cycle   -  0-cycles pmnt   Completed - Collect 0</v>
          </cell>
          <cell r="O25" t="str">
            <v>P n W Glad ( 14 Inch ) 22     Grass</v>
          </cell>
          <cell r="P25" t="e">
            <v>#N/A</v>
          </cell>
          <cell r="Q25" t="str">
            <v>Pur n P Eustoma ( 12 Inch ) 4     FF Sachet + Grass</v>
          </cell>
          <cell r="R25" t="str">
            <v>Rajni ( 14 Inch ) 22     Grass</v>
          </cell>
          <cell r="S25" t="str">
            <v>O Asiatic ( ( 14 inch ) 4     Grass</v>
          </cell>
          <cell r="T25" t="str">
            <v>P n W Spray Daisy ( 14 Inch ) 7     FF Sachet + Grass</v>
          </cell>
        </row>
        <row r="26">
          <cell r="A26">
            <v>1438</v>
          </cell>
          <cell r="B26" t="str">
            <v>Aishwarya G Aiyar</v>
          </cell>
          <cell r="C26">
            <v>9884857311</v>
          </cell>
          <cell r="D26" t="str">
            <v>A-173, The Pinnacle</v>
          </cell>
          <cell r="E26" t="str">
            <v>DLF Phase 5</v>
          </cell>
          <cell r="F26" t="str">
            <v>Thursday</v>
          </cell>
          <cell r="G26" t="str">
            <v>9 AM - 12 PM</v>
          </cell>
          <cell r="H26">
            <v>1600</v>
          </cell>
          <cell r="I26">
            <v>200</v>
          </cell>
          <cell r="J26" t="str">
            <v>Bloom</v>
          </cell>
          <cell r="K26" t="str">
            <v>Sunday n Thursday//Changed to Thursday//Ref By Vidya Raja(29/06) 10 Rajni and 10 Glad Next(03/07) Bop and car Next(10/07) Asiatic n car Next(17/07) Oriental and Rajni next(24/07) 3 Anthurium and 15 Glad tom(31/07) Mix of 2 flowers next(07/08) Sent replacement of Oriental today(26/08) NO HELICONIA and BOP and send Spray daisy(02/10) Skip 1 week(11/10) Now JOY(30/03) Skip 1 week(06/04) Holdn n skip this week(21/04) Skip 1 week(30/05) Hold n start from July(11/06) Skip this sunday delivery(05/08) Skip 1 week(30/08) Skip this sunday delivery(16/09) Paytm From Vivek Raja// Skip 1 week (26/04) Now bloom (01/05) Hold till 11th June (31/05) Hold n start from Aug and inform before sending (11/07) Skip 1 week (26/09) Today Retirned (02/11) Today Hold (16/11) Hold today 928/12) Hold for Thursday (05/03) Returned (10/03) Skip this sunday (24/05) Skip 1 week (02/06) Returned ltoday (29/08) Today Returned (05/09) Hols today (31/10) Skip 1 week (18/01) Skip this week (07/03) Skip 19th and 23rd (19/10) Hold 25th Del ( 23/01) Skip sunday (18/02) Skip sunday (27/03) Dont ring bell -- keep at Door (17/05) Skip thursday (15/06)</v>
          </cell>
          <cell r="N26" t="str">
            <v>5  del of this cycle   -  0-cycles pmnt   Completed - Collect 0</v>
          </cell>
          <cell r="O26" t="str">
            <v>P n W Glad ( 14 Inch ) 7     Grass</v>
          </cell>
          <cell r="P26" t="e">
            <v>#N/A</v>
          </cell>
          <cell r="Q26" t="str">
            <v>P n W Car ( 14 inch ) 7     FF Sachet + Grass</v>
          </cell>
          <cell r="R26" t="str">
            <v>P n W Glad ( 14 Inch ) 7     Grass</v>
          </cell>
          <cell r="S26" t="str">
            <v>Rajni ( 14 Inch ) 7   Collect Payment Collect Payment Grass</v>
          </cell>
          <cell r="T26" t="str">
            <v>Y Spray Daisy ( 14 Inch ) 2     FF Sachet + Grass</v>
          </cell>
        </row>
        <row r="27">
          <cell r="A27">
            <v>58</v>
          </cell>
          <cell r="B27" t="str">
            <v>Ms. Anupma Chandna</v>
          </cell>
          <cell r="C27">
            <v>8130077970</v>
          </cell>
          <cell r="D27" t="str">
            <v>32, aspen greens, nirvana</v>
          </cell>
          <cell r="E27" t="str">
            <v>Nirvana Country</v>
          </cell>
          <cell r="F27" t="str">
            <v>Thursday</v>
          </cell>
          <cell r="G27" t="str">
            <v>9 AM - 12 PM</v>
          </cell>
          <cell r="H27">
            <v>1950</v>
          </cell>
          <cell r="I27">
            <v>487.5</v>
          </cell>
          <cell r="J27" t="str">
            <v>Joy</v>
          </cell>
          <cell r="K27" t="str">
            <v>No Rose // Hold n start from 04th Dec (03/11) No Greens</v>
          </cell>
          <cell r="L27" t="str">
            <v>Rose</v>
          </cell>
          <cell r="M27" t="str">
            <v>No Greens</v>
          </cell>
          <cell r="N27" t="str">
            <v>2  del of this cycle   -  0-cycles pmnt   Completed - Collect 30</v>
          </cell>
          <cell r="O27" t="str">
            <v>Pur Eustoma ( 12 Inch ) 3 P n W Glad ( 14 Inch ) 11   FF Sachet + Grass</v>
          </cell>
          <cell r="P27" t="str">
            <v>Sunflower ( 12 Inch ) 3 Pur n P Car ( 14 Inch ) 11   FF Sachet + Grass</v>
          </cell>
          <cell r="Q27" t="str">
            <v>P Asiatic ( 14 Inch ) 2 B Daisy ( 12 Inch ) 11   Grass</v>
          </cell>
          <cell r="R27" t="str">
            <v>P n Y Spray Daisy ( 14 Inch ) 5 Rajni ( 14 Inch ) 16   FF Sachet + Grass</v>
          </cell>
          <cell r="S27" t="str">
            <v>BOP ( 15 Inch ) 2 Mix Alstroemeria ( 12 Inch ) 11   FF Sachet + Grass</v>
          </cell>
          <cell r="T27" t="str">
            <v>O Asiatic ( 14 Inch ) 2 G n W Car ( 14 Inch ) 11   Grass</v>
          </cell>
        </row>
        <row r="28">
          <cell r="A28">
            <v>3270</v>
          </cell>
          <cell r="B28" t="str">
            <v>Tanya Sharma</v>
          </cell>
          <cell r="C28">
            <v>7022251818</v>
          </cell>
          <cell r="D28" t="str">
            <v>T-8/202, Chintel Serenity, Sec 109</v>
          </cell>
          <cell r="E28" t="str">
            <v>Dwarka Expressway</v>
          </cell>
          <cell r="F28" t="str">
            <v>Thursday</v>
          </cell>
          <cell r="G28" t="str">
            <v>4 Pm to 7 PM</v>
          </cell>
          <cell r="H28">
            <v>1950</v>
          </cell>
          <cell r="I28">
            <v>487.5</v>
          </cell>
          <cell r="J28" t="str">
            <v>Joy</v>
          </cell>
          <cell r="K28" t="str">
            <v>No Yellow wn Purple // no Rajni (02/02) No ALstroemeria and do not count last del(19/06) Pls Don’t count last del (26/06)</v>
          </cell>
          <cell r="L28" t="str">
            <v>Rajni n Alstroemeria</v>
          </cell>
          <cell r="M28" t="str">
            <v>No Yellow wn Purple // Stock Next (02/03)</v>
          </cell>
          <cell r="N28" t="str">
            <v>1  del of this cycle   -  1-cycles pmnt   Pending - Collect 1950</v>
          </cell>
          <cell r="O28" t="str">
            <v>G n W Spray Daisy ( 14 Inch ) 4 P n W Car ( 14 Inch ) 11   FF Sachet + Grass</v>
          </cell>
          <cell r="P28" t="str">
            <v>P Eustoma ( 12 Inch ) 2 Mix Alstroemeria ( 12 inch )  11   FF Sachet + Grass</v>
          </cell>
          <cell r="Q28" t="str">
            <v>O Asiatic ( 14 Inch ) 2 Rajni ( 14 Inch ) 11   Grass</v>
          </cell>
          <cell r="R28" t="str">
            <v>P n Y Spray Daisy ( 14 Inch ) 4 P n W Glad ( 14 Inch ) 11   FF Sachet + Grass</v>
          </cell>
          <cell r="S28" t="str">
            <v>P Asiatic ( 14 Inch ) 2 P n W Car ( 14 Inch ) 11   Grass</v>
          </cell>
          <cell r="T28" t="str">
            <v>Asiatic  2 Mix Car ( 12 Inch ) 11   FF Sachet + Grass</v>
          </cell>
        </row>
        <row r="29">
          <cell r="A29">
            <v>849</v>
          </cell>
          <cell r="B29" t="str">
            <v>Shalini Sharma</v>
          </cell>
          <cell r="C29">
            <v>7838500808</v>
          </cell>
          <cell r="D29" t="str">
            <v>208, Espace</v>
          </cell>
          <cell r="E29" t="str">
            <v>Nirvana Country</v>
          </cell>
          <cell r="F29" t="str">
            <v>Thursday</v>
          </cell>
          <cell r="G29" t="str">
            <v>9:30 Am to 2 PM</v>
          </cell>
          <cell r="H29">
            <v>1450</v>
          </cell>
          <cell r="I29">
            <v>362.5</v>
          </cell>
          <cell r="J29" t="str">
            <v>Bliss</v>
          </cell>
          <cell r="K29" t="str">
            <v>W n R Car Tom(25/04)  GERBERA NEXT(16/09) NO ORCHIDS(24/01)  Sent a replacement today(17/04) Ros enext (26/11) NO GULDAWARI n ORCHIDS ()6/01) Skip 1 week (05/01) Replacement tom (12/02) Send Tom and skip 30th Mar (25/03) Replacement tom (06/07) Will Pick on 30th -- Dont Send on 02nd Nov (28/10) Send this week del on tuesday 925/01) Send W Asiatic on 11th this week instead of 15th Feb (08/02) Skip 1 week (14/03) Lilies Next (20/05) Hold after current cycle (04/12) Four plus 1 Pack //</v>
          </cell>
          <cell r="L29" t="str">
            <v>GULDAWARI n ORCHID</v>
          </cell>
          <cell r="M29" t="str">
            <v>Lilies Next (20/05)</v>
          </cell>
          <cell r="N29" t="str">
            <v>1  del of this cycle   -  1-cycles pmnt   Pending - Collect 1450</v>
          </cell>
          <cell r="O29" t="str">
            <v>P Asiatic ( 14 Inch )  3     Grass</v>
          </cell>
          <cell r="P29" t="str">
            <v>P n Y Spray Daisy ( 14 Inch ) 5     FF Sachet + Grass</v>
          </cell>
          <cell r="Q29" t="str">
            <v>Pur n P Car ( 14 Inch ) 16  Collect Payment Collect Payment Collect Payment FF Sachet + Grass</v>
          </cell>
          <cell r="R29" t="str">
            <v>Sunflower ( 12 Inch ) 4     FF Sachet + Grass</v>
          </cell>
          <cell r="S29" t="str">
            <v>Rajni ( 14 Inch ) 16     Grass</v>
          </cell>
          <cell r="T29" t="str">
            <v>O Asiatic ( 14 Inch ) 3     Grass</v>
          </cell>
        </row>
        <row r="30">
          <cell r="A30">
            <v>1656</v>
          </cell>
          <cell r="B30" t="str">
            <v>Eva-Pinnacle</v>
          </cell>
          <cell r="C30">
            <v>9560609907</v>
          </cell>
          <cell r="D30" t="str">
            <v>C-93, The Pinnacle</v>
          </cell>
          <cell r="E30" t="str">
            <v>DLF Phase 5</v>
          </cell>
          <cell r="F30" t="str">
            <v>Thursday</v>
          </cell>
          <cell r="G30" t="str">
            <v>9:30 Am to 2 PM</v>
          </cell>
          <cell r="H30">
            <v>1450</v>
          </cell>
          <cell r="I30">
            <v>362.5</v>
          </cell>
          <cell r="J30" t="str">
            <v>Bliss</v>
          </cell>
          <cell r="K30" t="str">
            <v>Paytm From Arvind Pachhapur(24/02) 750 pack-- Car//Guldawari//Rajni//Orchid//Asiatic(23/03) Hold today and send next6 week(14/04) Hold n start from 19th June(16/06) Skip 1 week (05/01) Received one more payment today (26/01) Payment was in process (20/03) Skip 1 week (28/06) Skip 1 week (29/06) Skip 3 week (21/05)</v>
          </cell>
          <cell r="N30" t="str">
            <v>2  del of this cycle   -  0-cycles pmnt   Completed - Collect 0</v>
          </cell>
          <cell r="O30" t="str">
            <v>Pur n P Car ( 14 inch ) 9     Grass</v>
          </cell>
          <cell r="P30" t="str">
            <v>Sunflower ( 12 Inch ) 2     FF Sachet + Grass</v>
          </cell>
          <cell r="Q30" t="str">
            <v>Rajni ( 14 Inch ) 9     Grass</v>
          </cell>
          <cell r="R30" t="str">
            <v>O Asiatic ( 14 Inch ) 2     Grass</v>
          </cell>
          <cell r="S30" t="e">
            <v>#N/A</v>
          </cell>
          <cell r="T30" t="str">
            <v>O Asiatic ( 14 Inch ) 3     Grass</v>
          </cell>
        </row>
        <row r="31">
          <cell r="A31">
            <v>870</v>
          </cell>
          <cell r="B31" t="str">
            <v>Himabindu Kanchan</v>
          </cell>
          <cell r="C31">
            <v>9892501292</v>
          </cell>
          <cell r="D31" t="str">
            <v xml:space="preserve">D -13, Pinnacle Dlf Phase - 5 </v>
          </cell>
          <cell r="E31" t="str">
            <v>DLF Phase 5</v>
          </cell>
          <cell r="F31" t="str">
            <v>Thursday</v>
          </cell>
          <cell r="G31" t="str">
            <v>9 AM - 12 PM</v>
          </cell>
          <cell r="H31">
            <v>1600</v>
          </cell>
          <cell r="I31">
            <v>200</v>
          </cell>
          <cell r="J31" t="str">
            <v>Bloom</v>
          </cell>
          <cell r="K31" t="str">
            <v>Sunday n Thursday//Fri to Thurs//FF Sold today(19/07) Skip n start from 23rd(08/08) P n Y Rose Next(15/11) 2 Stick Extra next(17/01) Hold-send tom(14/02) Orchids Next (18/08/20) Send 3 Sponge for 120 Rs.(19/08/20) Sending tom due to Diwali(11/11) Today returned-send next week(08/01) Skip 1 week(25/02) Skip 1 week(28/04) Glad Next(09/09) Skip 1 week(21/12) Skip 1 week(20/01) Hold Tom and skip 1 week(28/01) Skip 1 week(06/07) Receibved 695v extra today(23/07) Skip 2 weeks (21/12) Skip 1 week (08/02) No Renewal without payment (04/05) Hold today (28/12) Skip 1 week 902/01) Skip 1 week (07/02) Skip this sunday (16/02) Skip 1 week (06/04) Skip sunday del (09/05) Today hold (07/07) Hold HDTNP (12/03) tom (08/12) In form before sending (27/12) Skip next del (26/06) Hold today due to non payment (02/10) Skip week (22/12) HDTNP (01/03) HDTNP (04/03) HDTNP (08/03) HDTNP (14/03)</v>
          </cell>
          <cell r="N31" t="str">
            <v>8  del of this cycle   -  0-cycles pmnt   Completed - Collect 0</v>
          </cell>
          <cell r="O31" t="str">
            <v>Pur n P Car ( 14 inch ) 7     FF Sachet + Grass</v>
          </cell>
          <cell r="P31" t="str">
            <v>Sunflower ( 12 Inch ) 2     FF Sachet + Grass</v>
          </cell>
          <cell r="Q31" t="str">
            <v>Rajni ( 14 Inch ) 7     Grass</v>
          </cell>
          <cell r="R31" t="str">
            <v>P n W Car ( 14 Inch ) 7     FF Sachet + Grass</v>
          </cell>
          <cell r="S31" t="str">
            <v>Y Spray Daisy ( 14 Inch ) 2     FF Sachet + Grass</v>
          </cell>
          <cell r="T31" t="str">
            <v>Sunflower ( 12 Inch ) 2     FF Sachet + Grass</v>
          </cell>
        </row>
        <row r="32">
          <cell r="A32">
            <v>2118</v>
          </cell>
          <cell r="B32" t="str">
            <v>Shantanu</v>
          </cell>
          <cell r="C32">
            <v>8800631116</v>
          </cell>
          <cell r="D32" t="str">
            <v>172, 1st Floor, Espace</v>
          </cell>
          <cell r="E32" t="str">
            <v>Nirvana Country</v>
          </cell>
          <cell r="F32" t="str">
            <v>Saturday</v>
          </cell>
          <cell r="G32" t="str">
            <v>9 AM - 12 PM</v>
          </cell>
          <cell r="H32">
            <v>6880</v>
          </cell>
          <cell r="I32">
            <v>1720</v>
          </cell>
          <cell r="J32" t="str">
            <v>Customized</v>
          </cell>
          <cell r="K32" t="str">
            <v>2 Asiatic + 1 Oriental + 1 Sunflower + 10 Guldawari + 10 Roses + 8 Spray Daisy + 10 Stems from Seasonal 0r Nargis ( 07/02) Yesterday Returned (23/02) 2 Asiatic + 1 Oriental + 1 Sunflower + 10 Guldawari + 10 car + 6 Spray Daisy + Seasonal Flower of Rs . 250 (04/03) Today returned-send on 3rd (28/06) No Flowers till 31st Oct (22/10) Today Returned (16/11)</v>
          </cell>
          <cell r="N32" t="str">
            <v>3  del of this cycle   -  1-cycles pmnt   Pending - Collect 6880</v>
          </cell>
          <cell r="O32" t="str">
            <v>P Asiatic + W Oriental + Sunflower  + Glad  + Pur n P Car + P n Y Spray Daisy + Mix Alstroemeria 2 + 1 + 1 + 10 + 10 + 6 + 5     4 Areca Palm + 2 Gypsola + 2 Limonium</v>
          </cell>
          <cell r="P32" t="e">
            <v>#N/A</v>
          </cell>
          <cell r="Q32" t="str">
            <v>O Asiatic + P Oriental + Glad + P n W Car + G n Y Spray Daisy + Mix Alstroemeria 2 + 1 + 10 + 10 + 6 + 5     4 Areca Palm + 2 Gypsola + 2 Limonium</v>
          </cell>
          <cell r="R32" t="e">
            <v>#N/A</v>
          </cell>
          <cell r="S32" t="e">
            <v>#N/A</v>
          </cell>
          <cell r="T32" t="str">
            <v>O Asiatic + P Oriental + Sunflower + Mix Glad + G n W Car + P n W Spray Daisy + Mix Alstroemeria 2 + 1 + 1 + 10 + 10 + 6 + 6 Pls Check With us before sending Pls Check With us before sending   5 Areca Palm + 2 Gypsola + 2 Limonium</v>
          </cell>
        </row>
        <row r="33">
          <cell r="A33">
            <v>2359</v>
          </cell>
          <cell r="B33" t="str">
            <v>Roshni Achpal</v>
          </cell>
          <cell r="C33">
            <v>9711170252</v>
          </cell>
          <cell r="D33" t="str">
            <v>A-102, Belaire</v>
          </cell>
          <cell r="H33">
            <v>1450</v>
          </cell>
          <cell r="J33" t="str">
            <v>Bliss</v>
          </cell>
          <cell r="T33" t="str">
            <v>G n W Car ( 14 Inch ) 16     FF Sachet + Grass</v>
          </cell>
        </row>
        <row r="34">
          <cell r="A34" t="str">
            <v>B56465</v>
          </cell>
          <cell r="B34" t="str">
            <v>Anju Sandhu</v>
          </cell>
          <cell r="C34">
            <v>9997124824</v>
          </cell>
          <cell r="D34" t="str">
            <v>A-402, Connoisseur , Twin Tower, Sec 43</v>
          </cell>
          <cell r="E34" t="str">
            <v>DLF Phase 5</v>
          </cell>
          <cell r="F34" t="str">
            <v>Thursday</v>
          </cell>
          <cell r="G34" t="str">
            <v>By 10:30 AM</v>
          </cell>
          <cell r="H34">
            <v>2100</v>
          </cell>
          <cell r="I34">
            <v>2100</v>
          </cell>
          <cell r="J34" t="str">
            <v>Bouquet</v>
          </cell>
          <cell r="K34" t="str">
            <v>6 P Oriental</v>
          </cell>
          <cell r="T34" t="str">
            <v>P Oriental 6     2 Gypsola</v>
          </cell>
        </row>
        <row r="35">
          <cell r="A35">
            <v>571</v>
          </cell>
          <cell r="B35" t="str">
            <v>Mrs. Singh</v>
          </cell>
          <cell r="C35">
            <v>9873099320</v>
          </cell>
          <cell r="D35" t="str">
            <v>D 42, pinnacle, Dlf ph 5, Golf course road</v>
          </cell>
          <cell r="E35" t="str">
            <v>DLF Phase 5</v>
          </cell>
          <cell r="F35" t="str">
            <v>Thursday</v>
          </cell>
          <cell r="G35" t="str">
            <v>9 AM - 12 PM</v>
          </cell>
          <cell r="H35">
            <v>1600</v>
          </cell>
          <cell r="I35">
            <v>200</v>
          </cell>
          <cell r="J35" t="str">
            <v>Bloom</v>
          </cell>
          <cell r="K35" t="str">
            <v>Thursday n Sunday//Send 3 stems extra in next del(09/10)Return-send Friday(01/01/19) NO CAR(05/06) 1 stick extra next week(11/06) Paytm from Sharad Kumar(13/08) Return-send next week(02/10) Send Tom instead of this week with gerbera(19/10) Return-send next week(31/12) SENDING ON 9TH DUE TO HOLI (08/03) Send on 4th (03/10) Return today (23/10) Do not count last delivery (22/04) Hold ans start after 10th (02/08)</v>
          </cell>
          <cell r="N35" t="str">
            <v>2  del of this cycle   -  1-cycles pmnt   Pending - Collect 1600</v>
          </cell>
          <cell r="O35" t="str">
            <v>Pur n P Car ( 14 inch ) 7     FF Sachet + Grass</v>
          </cell>
          <cell r="P35" t="str">
            <v>Sunflower ( 12 Inch ) 2     FF Sachet + Grass</v>
          </cell>
          <cell r="Q35" t="str">
            <v>P n W Glad ( 14 Inch ) 7     Grass</v>
          </cell>
          <cell r="R35" t="str">
            <v>P n W Car ( 14 Inch ) 7     FF Sachet + Grass</v>
          </cell>
          <cell r="S35" t="str">
            <v>O Asiatic ( ( 14 inch ) 2     Grass</v>
          </cell>
          <cell r="T35" t="str">
            <v>P n W Glad ( 14 Inch ) 7     Grass</v>
          </cell>
        </row>
        <row r="36">
          <cell r="A36">
            <v>2250</v>
          </cell>
          <cell r="B36" t="str">
            <v>Saloni Gupta</v>
          </cell>
          <cell r="C36">
            <v>9810796682</v>
          </cell>
          <cell r="D36" t="str">
            <v>338, 3rd Floor, Espace</v>
          </cell>
          <cell r="E36" t="str">
            <v>Nirvana Country</v>
          </cell>
          <cell r="F36" t="str">
            <v>Sunday</v>
          </cell>
          <cell r="G36" t="str">
            <v>9 AM - 12 PM</v>
          </cell>
          <cell r="H36">
            <v>3088</v>
          </cell>
          <cell r="I36">
            <v>386</v>
          </cell>
          <cell r="J36" t="str">
            <v>Cutsomized-Biweekly</v>
          </cell>
          <cell r="K36" t="str">
            <v>Sunday n Thursday//Pls Keep Flowers in Vase// Paytm from Mayank G (17/03) Sent replacememnt today (23/03) Skip 1 week (10/04) 2 Asiatic and 5 Rajni (27/07) Paytm friom Mayank Gupta (16/09) 2 Asiatic Lily in each delivery (16/10) Today returned (17/11) Skip this sunday (03/01) Thursday -- 10 Rose and 4 Rajni // Sunday - 2 Asiatic (19/01) Whenever possible-send red Roses (23/01) Skip tom (29/01) Today returned (22/05) Send replacement tom (27/07) Hold today (14/08) Do not count last delivery (04/09) Hold today (02/10) Hold today (12/10) Hold after this cycle (27/10) Do not count last del (31/10) 2 Asiatic + 4 Rajni + 4 Glad -- thrice in a week (30/12) 2 Asiatic and 4 Rajni bi weekly pack (08/03) 2 Asiatic and 8 Rajni Every time and send 8 Rajni tom (26/03) Today returned-send tom (19/04) Skip sunday (04/07)</v>
          </cell>
          <cell r="N36" t="str">
            <v>7  del of this cycle   -  0-cycles pmnt   Completed - Collect 0</v>
          </cell>
          <cell r="O36" t="e">
            <v>#N/A</v>
          </cell>
          <cell r="P36" t="e">
            <v>#N/A</v>
          </cell>
          <cell r="Q36" t="str">
            <v>W Asiatic ( 14 Inch ) 3     Grass</v>
          </cell>
          <cell r="R36" t="str">
            <v>O Asiatic ( 14 Inch ) 3     Grass</v>
          </cell>
          <cell r="S36" t="str">
            <v>P Asiatic ( 14 Inch ) 2     Grass</v>
          </cell>
          <cell r="T36" t="str">
            <v>O Asiatic ( 14 Inch ) 3     Grass</v>
          </cell>
        </row>
        <row r="37">
          <cell r="A37">
            <v>2665</v>
          </cell>
          <cell r="B37" t="str">
            <v>Shaivya Rai</v>
          </cell>
          <cell r="C37">
            <v>9532096763</v>
          </cell>
          <cell r="D37" t="str">
            <v>4221, ATS Kocoon, Sec 109</v>
          </cell>
          <cell r="E37" t="str">
            <v>Dwarka Expressway</v>
          </cell>
          <cell r="F37" t="str">
            <v>Thursday</v>
          </cell>
          <cell r="G37" t="str">
            <v>4 Pm to 7 PM</v>
          </cell>
          <cell r="H37">
            <v>999</v>
          </cell>
          <cell r="I37">
            <v>249.75</v>
          </cell>
          <cell r="J37" t="str">
            <v>Delight</v>
          </cell>
          <cell r="K37" t="str">
            <v>Received on 25th Aug (25/07) HDTNP (11/06) HDTNP (18/06) HDTNP (25/06)</v>
          </cell>
          <cell r="N37" t="str">
            <v>4  del of this cycle   -  0-cycles pmnt   Completed - Collect 0</v>
          </cell>
          <cell r="O37" t="e">
            <v>#N/A</v>
          </cell>
          <cell r="P37" t="e">
            <v>#N/A</v>
          </cell>
          <cell r="Q37" t="e">
            <v>#N/A</v>
          </cell>
          <cell r="R37" t="str">
            <v xml:space="preserve">Collect 250 n Close      </v>
          </cell>
          <cell r="S37" t="str">
            <v>Pur n P Car ( 14 Inch ) 9     FF Sachet + Grass</v>
          </cell>
          <cell r="T37" t="str">
            <v>P Asiatic ( 14 Inch ) 2     Grass</v>
          </cell>
        </row>
        <row r="38">
          <cell r="A38">
            <v>2104</v>
          </cell>
          <cell r="B38" t="str">
            <v>Arun Gupta</v>
          </cell>
          <cell r="C38">
            <v>9999072697</v>
          </cell>
          <cell r="D38" t="str">
            <v>C-22m Arc Stationary</v>
          </cell>
          <cell r="E38" t="str">
            <v>Nirvana Country</v>
          </cell>
          <cell r="F38" t="str">
            <v>Thursday</v>
          </cell>
          <cell r="G38" t="str">
            <v>9 AM to 2 PM</v>
          </cell>
          <cell r="H38">
            <v>400</v>
          </cell>
          <cell r="I38">
            <v>100</v>
          </cell>
          <cell r="J38" t="str">
            <v>Customized</v>
          </cell>
          <cell r="K38" t="str">
            <v>4 Flowers at both Shop</v>
          </cell>
          <cell r="N38" t="str">
            <v>3  del of this cycle   -  0-cycles pmnt   In Process - Collect 0</v>
          </cell>
          <cell r="O38" t="str">
            <v>Broken Flowers  5 1 Shop    Grass</v>
          </cell>
          <cell r="P38" t="str">
            <v xml:space="preserve">      </v>
          </cell>
          <cell r="Q38" t="str">
            <v xml:space="preserve">Broken Flowers  5 1 Shop    </v>
          </cell>
          <cell r="R38" t="str">
            <v xml:space="preserve">Broken Flowers  5     </v>
          </cell>
          <cell r="S38" t="str">
            <v xml:space="preserve">Broken Flowers  5 1 Shop    </v>
          </cell>
          <cell r="T38" t="str">
            <v xml:space="preserve">Broken Flowers  5 1 Shop    </v>
          </cell>
        </row>
        <row r="39">
          <cell r="A39" t="str">
            <v>B56454</v>
          </cell>
          <cell r="B39" t="str">
            <v>Sharmishtha Jhulka</v>
          </cell>
          <cell r="C39">
            <v>9810010615</v>
          </cell>
          <cell r="D39" t="str">
            <v>817-B, The Camelias</v>
          </cell>
          <cell r="E39" t="str">
            <v>Golf Course Road</v>
          </cell>
          <cell r="F39" t="str">
            <v>Thursday</v>
          </cell>
          <cell r="G39" t="str">
            <v>9 AM to 2 PM</v>
          </cell>
          <cell r="H39">
            <v>2150</v>
          </cell>
          <cell r="I39">
            <v>2150</v>
          </cell>
          <cell r="J39" t="str">
            <v>Bouquet</v>
          </cell>
          <cell r="K39" t="str">
            <v>2 Oriental + 1 Pack Mogra + 4 BOP + 6 Lotus</v>
          </cell>
          <cell r="N39" t="str">
            <v>1  del of this cycle   -  1-cycles pmnt   Pending - Collect 2150</v>
          </cell>
          <cell r="O39" t="e">
            <v>#N/A</v>
          </cell>
          <cell r="P39" t="e">
            <v>#N/A</v>
          </cell>
          <cell r="Q39" t="e">
            <v>#N/A</v>
          </cell>
          <cell r="R39" t="e">
            <v>#N/A</v>
          </cell>
          <cell r="S39" t="e">
            <v>#N/A</v>
          </cell>
          <cell r="T39" t="str">
            <v>Srmi Bloom P Oriental + Mogra + BOP + Lotus 2 + 100 Gm + 4 + 6     2 Limonium</v>
          </cell>
        </row>
        <row r="40">
          <cell r="A40">
            <v>396</v>
          </cell>
          <cell r="B40" t="str">
            <v>Dr. Deepa Gupta</v>
          </cell>
          <cell r="C40">
            <v>8860079525</v>
          </cell>
          <cell r="D40" t="str">
            <v>Mayom Hospital, D block south city 1</v>
          </cell>
          <cell r="E40" t="str">
            <v>South City 1</v>
          </cell>
          <cell r="F40" t="str">
            <v>Thursday</v>
          </cell>
          <cell r="G40" t="str">
            <v>4 PM to 7 PM</v>
          </cell>
          <cell r="H40">
            <v>1450</v>
          </cell>
          <cell r="I40">
            <v>362.5</v>
          </cell>
          <cell r="J40" t="str">
            <v>Corporate</v>
          </cell>
          <cell r="K40" t="str">
            <v>1 del Missed(07/10) Return-send next week(31/12) Send replacement of Gerbera(30/10) Send on Monday this week(20/03) Return- hold package(08/07) Today returned-send next week(02/06) HDTNP (19/02)</v>
          </cell>
          <cell r="N40" t="str">
            <v>3  del of this cycle   -  0-cycles pmnt   In Process - Collect 0</v>
          </cell>
          <cell r="O40" t="str">
            <v>P n W Glad ( 14 Inch ) 16     Grass</v>
          </cell>
          <cell r="P40" t="str">
            <v>Pur n P Car ( 14 inch ) 16     FF Sachet + Grass</v>
          </cell>
          <cell r="Q40" t="str">
            <v>Rajni ( 14 Inch ) 16     Grass</v>
          </cell>
          <cell r="R40" t="str">
            <v>P n W Glad ( 14 Inch ) 16     Grass</v>
          </cell>
          <cell r="S40" t="str">
            <v>P n W Car ( 14 Inch ) 16     FF Sachet + Grass</v>
          </cell>
          <cell r="T40" t="str">
            <v>Rajni ( 14 Inch ) 16     Grass</v>
          </cell>
        </row>
        <row r="41">
          <cell r="A41">
            <v>3212</v>
          </cell>
          <cell r="B41" t="str">
            <v>Sheeba Rana</v>
          </cell>
          <cell r="C41">
            <v>9958849523</v>
          </cell>
          <cell r="D41" t="str">
            <v>T-14/1202, The Close North</v>
          </cell>
          <cell r="E41" t="str">
            <v>Nirvana Country</v>
          </cell>
          <cell r="F41" t="str">
            <v>Thursday</v>
          </cell>
          <cell r="G41" t="str">
            <v>4 Pm to 7 PM</v>
          </cell>
          <cell r="H41">
            <v>1450</v>
          </cell>
          <cell r="I41">
            <v>1450</v>
          </cell>
          <cell r="J41" t="str">
            <v>Bliss</v>
          </cell>
          <cell r="K41" t="str">
            <v>Skip 1 week (31/12)</v>
          </cell>
          <cell r="N41" t="str">
            <v>4  del of this cycle   -  0-cycles pmnt   Completed - Collect 0</v>
          </cell>
          <cell r="O41" t="str">
            <v>P n W Glad ( 14 Inch ) 9     Gras</v>
          </cell>
          <cell r="P41" t="str">
            <v>P Asiatic ( 14 Inch ) 2     Grass</v>
          </cell>
          <cell r="Q41" t="str">
            <v>Pur n P Car ( 14 Inch ) 16     FF Sachet + Grass</v>
          </cell>
          <cell r="R41" t="str">
            <v>P n Y Spray Daisy ( 14 Inch ) 5     FF Sachet + Grass</v>
          </cell>
          <cell r="S41" t="str">
            <v>Rajni ( 14 Inch ) 16     Grass</v>
          </cell>
          <cell r="T41" t="str">
            <v>O Asiatic 2     Grass</v>
          </cell>
        </row>
        <row r="42">
          <cell r="A42">
            <v>203</v>
          </cell>
          <cell r="B42" t="str">
            <v>Alok divatia -- After 10 AM</v>
          </cell>
          <cell r="C42">
            <v>9819355743</v>
          </cell>
          <cell r="D42" t="str">
            <v>BLC 263, 26th Floor, Tower C, The Belaire</v>
          </cell>
          <cell r="E42" t="str">
            <v>Golf Course Road</v>
          </cell>
          <cell r="F42" t="str">
            <v>Thursday</v>
          </cell>
          <cell r="G42" t="str">
            <v>9 AM - 12 PM</v>
          </cell>
          <cell r="H42">
            <v>8648</v>
          </cell>
          <cell r="I42">
            <v>2162</v>
          </cell>
          <cell r="J42" t="str">
            <v>Customized</v>
          </cell>
          <cell r="K42" t="str">
            <v>Tues to Thurs//After 10 AM, Lilis only and 12 lilies + 24 carnations, Never combo of Red n white, all flowers shd be of diff color(12/06)Skip tom n then on Tuesday(08/09) Return-send tom(16/12) NO ROSE(20/12) 14 Lily and 24 Car(24/09) Send 18 spray daisy instead of Asiatic next(30/03) Change package cost to 6300(20/07) Hold from today (05/12)</v>
          </cell>
          <cell r="N42" t="str">
            <v>3  del of this cycle   -  0-cycles pmnt   Completed - Collect 0</v>
          </cell>
          <cell r="O42" t="str">
            <v xml:space="preserve">P n W Asiatic ( 14 Inch ) 14 Pur n P Car ( 14 inch ) 24   </v>
          </cell>
          <cell r="P42" t="str">
            <v xml:space="preserve">O n P Asiatic ( 14 Inch ) 14 P n W Car ( 14 Inch ) 24   </v>
          </cell>
          <cell r="Q42" t="str">
            <v>O n W Asiatic ( 14 Inch ) 14 R n P Car ( 14 Inch ) 24   4 Areca Palm + 2 Gypsola + 2 Limonim</v>
          </cell>
          <cell r="R42" t="str">
            <v>Y n P Asiatic ( 14 Inch ) 14 Pur n W Car ( 14 Inch ) 24   4 Areca Palm + 2 Gypsola + 2 Limonium</v>
          </cell>
          <cell r="S42" t="str">
            <v xml:space="preserve">O n W Asiatic ( 14 inch ) 14 P n W Car ( 14 Inch ) 24   </v>
          </cell>
          <cell r="T42" t="str">
            <v>O n P Asiatic  ( 14 Inch ) 14 G n W Car ( 14 Inch ) 24   4 Areca Palm + 2 Gypsola + 2 Limonium</v>
          </cell>
        </row>
        <row r="43">
          <cell r="A43">
            <v>888</v>
          </cell>
          <cell r="B43" t="str">
            <v>Ankita Mehta</v>
          </cell>
          <cell r="C43">
            <v>9868169896</v>
          </cell>
          <cell r="D43" t="str">
            <v>1B-71, Wellington Estate</v>
          </cell>
          <cell r="E43" t="str">
            <v>DLF Phase 5</v>
          </cell>
          <cell r="F43" t="str">
            <v>Thursday</v>
          </cell>
          <cell r="G43" t="str">
            <v>9 AM - 12 PM</v>
          </cell>
          <cell r="H43">
            <v>1450</v>
          </cell>
          <cell r="I43">
            <v>362.5</v>
          </cell>
          <cell r="J43" t="str">
            <v>Bliss</v>
          </cell>
          <cell r="K43" t="str">
            <v>Mix of Asiatic n Car(29/07) Send tom instead of Thursday(12/08) GLAD n ORCHID THIS CYCLE(28/08) ONLY LILY n CAR TILL SHE REVOKES n skip this week (04/09) Rajni n Rose Next(28/11) Lilies and Rose in this cycle(11/12)) Mixed Flowers only(30/08) Want Car// Orchid// Lily//Spray Daisy//Glad(19/09)  Flowers only from Car// Orchid// Lily//Spray Daisy//Glad(11/10) This cycle--Glad//BOP//Orchid//Lily(15/10) This cycle-- Glad//BOP//Orchid// Lily(14/11) This cycle-- Rose/Asiatic/BOP/G;ad/Guldawari and Orchid (25/09) No Upgrade-send lilies (19/10) Send nily next and always once in a cycle (15/12) NO SPRAY DAISY n GULDAWARI and sned Asiatic once in 1 cycle (19/01) Skip 1 week (24/01) Skip 1 week (06/03) Skip 1 week (05/ Skip 1 week 916/04)03) Skip 1 week (04/03) Skip 2 week (18/05) Send reaplacement tom (04/07) Sent replacememt todau (26/10) Skip 1 week (13/11) Skip 1 week (24/03) Skip 1 week (16/04) Return today (05/06) Skip 1 week (17/06) Skip 1 week (02/07) Skip 1 week (08/07) Send tom instaed of thursday this week (14/10) Send 1 del of ankita mehra today (21/10) Hold till 14th Jan (18/12) Change to Delight (30/01) Hold today (16/04) Send Replacement Tom (19/06) Skip 1 week (03/07)</v>
          </cell>
          <cell r="L43" t="str">
            <v xml:space="preserve">SPRAY DAISY n GULDAWARI </v>
          </cell>
          <cell r="M43" t="str">
            <v>Change to Deligh next (30/01)</v>
          </cell>
          <cell r="N43" t="str">
            <v>4  del of this cycle   -  0-cycles pmnt   Completed - Collect 0</v>
          </cell>
          <cell r="O43" t="str">
            <v>Sunflower ( 12 Inch ) 2     Grass</v>
          </cell>
          <cell r="P43" t="str">
            <v>Mix Alstroemeria ( 12 Inch ) 16     FF Sachet + Grass</v>
          </cell>
          <cell r="Q43" t="str">
            <v>P n W Glad ( 14 Inch ) 16  Collect Payment Collect Payment Collect Payment Grass</v>
          </cell>
          <cell r="R43" t="str">
            <v>P Asiatic ( 14 Inch ) 3     Grass</v>
          </cell>
          <cell r="S43" t="e">
            <v>#N/A</v>
          </cell>
          <cell r="T43" t="str">
            <v>G n W Car ( 14 Inch ) 16     FF Sachet + Grass</v>
          </cell>
        </row>
        <row r="44">
          <cell r="A44">
            <v>221</v>
          </cell>
          <cell r="B44" t="str">
            <v>Convinience Enterprises-Sonali anand</v>
          </cell>
          <cell r="C44">
            <v>9810524040</v>
          </cell>
          <cell r="D44" t="str">
            <v>E-243 belaire apartments</v>
          </cell>
          <cell r="E44" t="str">
            <v>Golf Course Road</v>
          </cell>
          <cell r="F44" t="str">
            <v>Thursday</v>
          </cell>
          <cell r="G44" t="str">
            <v>9 AM - 12 PM</v>
          </cell>
          <cell r="H44">
            <v>2750</v>
          </cell>
          <cell r="I44">
            <v>687.5</v>
          </cell>
          <cell r="J44" t="str">
            <v>Corporate</v>
          </cell>
          <cell r="K44" t="str">
            <v>No Roses (21/06) Pls send red glad to her in next del(07/07) Never send Glad(13/07)  Skip 1 week(01/06) Collect cheque tom(10/06) Send Replacement tom(23/06) Skip this week(23/08) Skip 1 week (16/11) Skip this week and send on 8th (27/12) Don’t send on 9th-send on 13th (07/02) Skip this week and send on Tuesday(26/02) Due to Mar end Cycle broken (20/03) Hold today send on sunday (06/04) Skip 1 week (09/05) Hold till 26th June (07/06) Skip 1 week (24/10) Skip 2 week (21/11) Skip 2 week (02/01) Skip 1 week (26/03) Skip Tom (22/05) No Flowers till 9th July (23/06) Skip 1 week (04/11) Hold n sned on 12th now (31/12) Hold n start from // Skip 1 week (19/08) Skip this thursday and send on sunday (12/11) Skip 1 week (30/03) Next del on 21st and then every thursday (08/06)</v>
          </cell>
          <cell r="N44" t="str">
            <v>1  del of this cycle   -  0-cycles pmnt   In Process - Collect 0</v>
          </cell>
          <cell r="O44" t="e">
            <v>#N/A</v>
          </cell>
          <cell r="P44" t="e">
            <v>#N/A</v>
          </cell>
          <cell r="Q44" t="e">
            <v>#N/A</v>
          </cell>
          <cell r="R44" t="str">
            <v xml:space="preserve">P Asiatic ( 14 Inch ) 6     </v>
          </cell>
          <cell r="S44" t="str">
            <v>R n W Car ( 14 Inch ) 32     2 Limonium + FF Sachet</v>
          </cell>
          <cell r="T44" t="str">
            <v>P n Y Spray Daisy ( 14 Inch ) 10     2 Gypsola + FF Sachet</v>
          </cell>
        </row>
        <row r="45">
          <cell r="A45">
            <v>922</v>
          </cell>
          <cell r="B45" t="str">
            <v>Dr. Deepa Gupta</v>
          </cell>
          <cell r="C45">
            <v>8860079525</v>
          </cell>
          <cell r="D45" t="str">
            <v>Mayom Hospital, D block south city 1</v>
          </cell>
          <cell r="E45" t="str">
            <v>South City 1</v>
          </cell>
          <cell r="F45" t="str">
            <v>Thursday</v>
          </cell>
          <cell r="G45" t="str">
            <v>4 PM to 7 PM</v>
          </cell>
          <cell r="H45">
            <v>1450</v>
          </cell>
          <cell r="I45">
            <v>362.5</v>
          </cell>
          <cell r="J45" t="str">
            <v>Corporate</v>
          </cell>
          <cell r="K45" t="str">
            <v>1 del Missed(07/10) Return-send next week(31/12) Send replacement of Gerbera(30/10) Send on Monday this week(20/03) Return- hold package(08/07) Today returned-send next week(02/06) HDTNP (19/02)</v>
          </cell>
          <cell r="N45" t="str">
            <v>3  del of this cycle   -  0-cycles pmnt   In Process - Collect 0</v>
          </cell>
          <cell r="O45" t="str">
            <v>Y Asiatic ( 14 Inch ) 3     Grass</v>
          </cell>
          <cell r="P45" t="str">
            <v>O Asiatic ( 14 Inch ) 3     Grass</v>
          </cell>
          <cell r="Q45" t="str">
            <v>Pur Eustoma ( 12 Inch ) 3     FF Sachet + Grass</v>
          </cell>
          <cell r="R45" t="str">
            <v>P Asiatic ( 14 Inch ) 3     Grass</v>
          </cell>
          <cell r="S45" t="str">
            <v>W Asiatic ( 14 Inch ) 3     Grass</v>
          </cell>
          <cell r="T45" t="str">
            <v>O Asiatic ( 14 Inch ) 3     Grass</v>
          </cell>
        </row>
        <row r="46">
          <cell r="A46">
            <v>236</v>
          </cell>
          <cell r="B46" t="str">
            <v>Dr. Arti Gupta 1</v>
          </cell>
          <cell r="C46">
            <v>8860079525</v>
          </cell>
          <cell r="D46" t="str">
            <v>Mayom Hospital, D block south city 1</v>
          </cell>
          <cell r="E46" t="str">
            <v>South City 1</v>
          </cell>
          <cell r="F46" t="str">
            <v>Mondau</v>
          </cell>
          <cell r="G46" t="str">
            <v>9 AM - 12 PM</v>
          </cell>
          <cell r="H46">
            <v>1450</v>
          </cell>
          <cell r="I46">
            <v>362.5</v>
          </cell>
          <cell r="J46" t="str">
            <v>Corporate</v>
          </cell>
          <cell r="K46" t="str">
            <v>Pls send a replacement of Asiatic tomorrow(23/08)NO GERBERA(22/09) Start special Pack(13/04) Send Del on Monday this week(20/03) NEVER BUT DAISIES(29/10) Hold today (22/01) HDTNP (19/02) Sent one xtra del today (29/06) Hold today (09/07)</v>
          </cell>
          <cell r="N46" t="str">
            <v>4  del of this cycle   -  0-cycles pmnt   In Process - Collect 0</v>
          </cell>
          <cell r="O46" t="str">
            <v>Pur n P Car ( 14 inch ) 16     FF Sachet + Grass</v>
          </cell>
          <cell r="P46" t="str">
            <v>P n W Glad ( 14 Inch ) 16     Grass</v>
          </cell>
          <cell r="Q46" t="str">
            <v>Rajni ( 14 Inch ) 16     Grass</v>
          </cell>
          <cell r="R46" t="str">
            <v>B Daisy ( 12 Inch ) 10     Grass</v>
          </cell>
          <cell r="S46" t="str">
            <v>P n W Car ( 14 Inch ) 16     FF Sachet + Grass</v>
          </cell>
          <cell r="T46" t="str">
            <v>Rajni ( 14 Inch ) 16     Grass</v>
          </cell>
        </row>
        <row r="47">
          <cell r="A47">
            <v>2205</v>
          </cell>
          <cell r="B47" t="str">
            <v>Shubhra Gupta</v>
          </cell>
          <cell r="C47">
            <v>9811981626</v>
          </cell>
          <cell r="D47" t="str">
            <v>ES-245, Espace</v>
          </cell>
          <cell r="E47" t="str">
            <v>Nirvana Country</v>
          </cell>
          <cell r="F47" t="str">
            <v>Thursday</v>
          </cell>
          <cell r="G47" t="str">
            <v>9 AM - 12 PM</v>
          </cell>
          <cell r="H47">
            <v>1450</v>
          </cell>
          <cell r="I47">
            <v>362.5</v>
          </cell>
          <cell r="J47" t="str">
            <v>Bliss</v>
          </cell>
          <cell r="K47" t="str">
            <v>Paytm From 9811656524 // No Orchids // Skip 1 week (01/10) Same flowers from last  2weeks, pls Check (06/11) Paytm from Gaurav Gupta (0703)</v>
          </cell>
          <cell r="L47" t="str">
            <v>ORCHID</v>
          </cell>
          <cell r="M47" t="str">
            <v>Same Flowers from 2 week, Pls Check (06/11)</v>
          </cell>
          <cell r="N47" t="str">
            <v>3  del of this cycle   -  0-cycles pmnt   Completed - Collect 0</v>
          </cell>
          <cell r="O47" t="str">
            <v>Pur n P Car ( 14 inch ) 16     FF Sachet + Grass</v>
          </cell>
          <cell r="P47" t="str">
            <v>P n W Spray Daisy ( 14 Inch ) 5     FF Sachet + Grass</v>
          </cell>
          <cell r="Q47" t="str">
            <v>B Daisy ( 12 Inch ) 16     Grass</v>
          </cell>
          <cell r="R47" t="str">
            <v>P Asiatic ( 14 Inch ) 3     Grass</v>
          </cell>
          <cell r="S47" t="str">
            <v>Rajni ( 14 Inch ) 16     Grass</v>
          </cell>
          <cell r="T47" t="str">
            <v>G n W Car ( 14 Inch ) 16     FF Sachet + Grass</v>
          </cell>
        </row>
        <row r="48">
          <cell r="A48">
            <v>1455</v>
          </cell>
          <cell r="B48" t="str">
            <v>Gagan Ahluwalia</v>
          </cell>
          <cell r="C48">
            <v>9811105056</v>
          </cell>
          <cell r="D48" t="str">
            <v>C-82, The Summit</v>
          </cell>
          <cell r="E48" t="str">
            <v>Golf Course Road</v>
          </cell>
          <cell r="F48" t="str">
            <v>Thursday</v>
          </cell>
          <cell r="G48" t="str">
            <v>9 AM - 12 PM</v>
          </cell>
          <cell r="H48">
            <v>2300</v>
          </cell>
          <cell r="I48">
            <v>287.5</v>
          </cell>
          <cell r="J48" t="str">
            <v>Felicity</v>
          </cell>
          <cell r="K48" t="str">
            <v>Thursday n Sunday //Gift From Ragini Ahluwalia// Flowers-- Guldawari/Orchids/Car and Asiatic(27/07) Hold n start from 2nd week of July(02/06) NO ORCHIDS (23/12) Hold till june end (07/06) Today returned (20/06) Replacement today (07/07) Hold today and start after 12th Oct (03/10) No Flowers tull 17th Nov (11/11) Hold from 15th may to 17th June (14/05) Skip 1 wek (24/06) Hold today due to non payment (02/10) Hold due to non payment (05/10) Hold due to non payment (09/10) Start from today (12/10) Skip 1 week (29/11) Hold due to non payment (11/01) Hold due to non payment (01/.02) HDTNP (15/02) HDTNP (22/02) HDTNP (26/02) HDTNP (04/03) HDTNP (08/03) HDTNP (12/03) HDTNP (14/03) No after 1st June (14/05) Hold n start after 1st June (14/05) Hold till 1st June (15/05)</v>
          </cell>
          <cell r="N48" t="str">
            <v>3  del of this cycle   -  1-cycles pmnt   Pending - Collect 2300</v>
          </cell>
          <cell r="O48" t="str">
            <v>Rajni ( 14 Inch ) 11     Grass</v>
          </cell>
          <cell r="P48" t="str">
            <v>Pur n P Car ( 14 inch ) 11     FF Sachet + Grass</v>
          </cell>
          <cell r="Q48" t="str">
            <v>P Spray Daisy ( 14 Inch ) 3     FF Sachet + Grass</v>
          </cell>
          <cell r="R48" t="str">
            <v>Sunflower ( 12 Inch ) 3     FF Sachet + Grass</v>
          </cell>
          <cell r="S48" t="str">
            <v>P Asiatic ( 14 Inch ) 2     Grass</v>
          </cell>
          <cell r="T48" t="str">
            <v>Y Spray Daisy ( 14 Inch ) 3     FF Sachet + Grass</v>
          </cell>
        </row>
        <row r="49">
          <cell r="A49">
            <v>3393</v>
          </cell>
          <cell r="B49" t="str">
            <v>Runul Vashishtha</v>
          </cell>
          <cell r="C49">
            <v>9871812384</v>
          </cell>
          <cell r="D49" t="str">
            <v>C-84, DLF Park Place, Park Drive, GCR</v>
          </cell>
          <cell r="E49" t="str">
            <v>Golf Course Road</v>
          </cell>
          <cell r="F49" t="str">
            <v>Thursday</v>
          </cell>
          <cell r="G49" t="str">
            <v>9 AM to 2 PM</v>
          </cell>
          <cell r="H49">
            <v>1450</v>
          </cell>
          <cell r="I49">
            <v>362.5</v>
          </cell>
          <cell r="J49" t="str">
            <v>Bliss</v>
          </cell>
          <cell r="N49" t="str">
            <v>3  del of this cycle   -  0-cycles pmnt   Completed - Collect 0</v>
          </cell>
          <cell r="O49" t="e">
            <v>#N/A</v>
          </cell>
          <cell r="P49" t="e">
            <v>#N/A</v>
          </cell>
          <cell r="Q49" t="e">
            <v>#N/A</v>
          </cell>
          <cell r="R49" t="str">
            <v>Pur n P Car ( 14 Inch ) 16     FF Sachet + Grass</v>
          </cell>
          <cell r="S49" t="str">
            <v>P Asiatic ( 14 Inch ) 3     Grass</v>
          </cell>
          <cell r="T49" t="str">
            <v>P n W Glad ( 14 Inch ) 16     Grass</v>
          </cell>
        </row>
        <row r="50">
          <cell r="A50">
            <v>366</v>
          </cell>
          <cell r="B50" t="str">
            <v>Dr. Arti Gupta 1</v>
          </cell>
          <cell r="C50">
            <v>8860079525</v>
          </cell>
          <cell r="D50" t="str">
            <v>Mayom Hospital, D block south city 1</v>
          </cell>
          <cell r="E50" t="str">
            <v>South City 1</v>
          </cell>
          <cell r="F50" t="str">
            <v>Monday</v>
          </cell>
          <cell r="G50" t="str">
            <v>9 AM - 12 PM</v>
          </cell>
          <cell r="H50">
            <v>1450</v>
          </cell>
          <cell r="I50">
            <v>362.5</v>
          </cell>
          <cell r="J50" t="str">
            <v>Corporate</v>
          </cell>
          <cell r="K50" t="str">
            <v>NO GERBERA(22/09)Start special Pack(13/04) Extend 1 ddlivery as we are sending 1 Nargis Today(22/12) Send Del on Monday this week(20/03) Send Replacemenmt of Car(20/09/20) NEVER BUT DAISIES(29/10) Spray daisy Next(03/03) Sent Replacement today(01/08) Hold today (22/01) HDTNP (19/02) Sent one extra del today (29/06) Hold today (09/07)</v>
          </cell>
          <cell r="N50" t="str">
            <v>4  del of this cycle   -  0-cycles pmnt   In Process - Collect 0</v>
          </cell>
          <cell r="O50" t="str">
            <v>Y Asiatic ( 14 Inch ) 3     Grass</v>
          </cell>
          <cell r="P50" t="str">
            <v>O Asiatic ( 14 Inch ) 3     Grass</v>
          </cell>
          <cell r="Q50" t="str">
            <v>Pur Eustoma ( 12 Inch ) 3     FF Sachet + Grass</v>
          </cell>
          <cell r="R50" t="str">
            <v>P Asiatic ( 14 Inch ) 3     Grass</v>
          </cell>
          <cell r="S50" t="str">
            <v>W Asiatic ( 14 Inch ) 3     Grass</v>
          </cell>
          <cell r="T50" t="str">
            <v>O Asiatic ( 14 Inch ) 3     Grass</v>
          </cell>
        </row>
        <row r="51">
          <cell r="A51">
            <v>3235</v>
          </cell>
          <cell r="B51" t="str">
            <v>Nishant -- Wellington</v>
          </cell>
          <cell r="C51">
            <v>9833057481</v>
          </cell>
          <cell r="D51" t="str">
            <v>Flat-1B/101, Wellington Estate</v>
          </cell>
          <cell r="E51" t="str">
            <v>DLF Phase 5</v>
          </cell>
          <cell r="F51" t="str">
            <v>Thursday</v>
          </cell>
          <cell r="G51" t="str">
            <v>9 AM - 12 PM</v>
          </cell>
          <cell r="H51">
            <v>1450</v>
          </cell>
          <cell r="I51">
            <v>362.5</v>
          </cell>
          <cell r="J51" t="str">
            <v>Bliss</v>
          </cell>
          <cell r="K51" t="str">
            <v>Paytm From Nishant Pandita // HDTNP (05/03) No Glad or Rajni (06/06)</v>
          </cell>
          <cell r="L51" t="str">
            <v>Glad n Rajni</v>
          </cell>
          <cell r="N51" t="str">
            <v>2  del of this cycle   -  1-cycles pmnt   Pending - Collect 1450</v>
          </cell>
          <cell r="O51" t="str">
            <v>Pur n P Car ( 14 inch ) 16     FF Sachet + Grass</v>
          </cell>
          <cell r="P51" t="str">
            <v>P Asiatic ( 14 Inch ) 3     Grass</v>
          </cell>
          <cell r="Q51" t="str">
            <v>Pur Eustoma ( 12 Inch ) 3     FF Sachet + Grass</v>
          </cell>
          <cell r="R51" t="str">
            <v>P n Y Spray Daisy ( 14 Inch ) 5     FF Sachet + Grass</v>
          </cell>
          <cell r="S51" t="str">
            <v>Mix Alstroemeria ( 12Inch ) 16     FF Sachet + Grass</v>
          </cell>
          <cell r="T51" t="str">
            <v>G n W Car ( 14 Inch ) 16     FF Sachet + Grass</v>
          </cell>
        </row>
        <row r="52">
          <cell r="A52">
            <v>3326</v>
          </cell>
          <cell r="B52" t="str">
            <v>Ms. Rani</v>
          </cell>
          <cell r="C52">
            <v>9313104941</v>
          </cell>
          <cell r="D52" t="str">
            <v>J-151, Park Place</v>
          </cell>
          <cell r="E52" t="str">
            <v>DLF Phase 5</v>
          </cell>
          <cell r="F52" t="str">
            <v>Thursday</v>
          </cell>
          <cell r="G52" t="str">
            <v>9 AM to 2 PM</v>
          </cell>
          <cell r="H52">
            <v>1450</v>
          </cell>
          <cell r="I52">
            <v>362.5</v>
          </cell>
          <cell r="J52" t="str">
            <v>Bliss</v>
          </cell>
          <cell r="K52" t="str">
            <v>Start From July (06/06)</v>
          </cell>
          <cell r="N52" t="str">
            <v>3  del of this cycle   -  0-cycles pmnt   Completed - Collect 0</v>
          </cell>
          <cell r="O52" t="e">
            <v>#N/A</v>
          </cell>
          <cell r="P52" t="e">
            <v>#N/A</v>
          </cell>
          <cell r="Q52" t="e">
            <v>#N/A</v>
          </cell>
          <cell r="R52" t="str">
            <v>Pur n P Car ( 14 Inch ) 16     FF Sachet + Grass</v>
          </cell>
          <cell r="S52" t="str">
            <v>W Asiatic ( 14 Inch ) 3   Collect Payment Collect Payment Grass</v>
          </cell>
          <cell r="T52" t="str">
            <v>P n W Glad ( 14 Inch ) 16     Grass</v>
          </cell>
        </row>
        <row r="53">
          <cell r="A53">
            <v>2481</v>
          </cell>
          <cell r="B53" t="str">
            <v>Puneet Mahajan</v>
          </cell>
          <cell r="C53">
            <v>9810110847</v>
          </cell>
          <cell r="D53" t="str">
            <v>D-19, 4th Floor, Siuth City -2, Opp Arcadia Mall</v>
          </cell>
          <cell r="E53" t="str">
            <v>Nirvana Country</v>
          </cell>
          <cell r="F53" t="str">
            <v>Sunday</v>
          </cell>
          <cell r="G53" t="str">
            <v>9 AM - 12 PM</v>
          </cell>
          <cell r="H53">
            <v>2300</v>
          </cell>
          <cell r="I53">
            <v>287.5</v>
          </cell>
          <cell r="J53" t="str">
            <v>Felicity</v>
          </cell>
          <cell r="K53" t="str">
            <v>Send Sponge// Day Changed to Sunday (16/04) Paytm From Sri Sai makers (20/04) Change to felicity (17/05)</v>
          </cell>
          <cell r="N53" t="str">
            <v>2  del of this cycle   -  1-cycles pmnt   Pending - Collect 2300</v>
          </cell>
          <cell r="O53" t="str">
            <v>Pur n P Car ( 14 inch ) 11     FF Sachet + Grass</v>
          </cell>
          <cell r="P53" t="str">
            <v>P Spray Daisy ( 14 Inch ) 3     FF Sachet + Grass</v>
          </cell>
          <cell r="Q53" t="str">
            <v>P Asiatic ( 14 Inch ) 2     Grass</v>
          </cell>
          <cell r="R53" t="str">
            <v>Sunflower ( 12 Inch ) 3     FF Sachet + Grass</v>
          </cell>
          <cell r="S53" t="str">
            <v>Rajni ( 14 Inch ) 11     Grass</v>
          </cell>
          <cell r="T53" t="str">
            <v>O Asiatic ( 14 Inch ) 2     Grass</v>
          </cell>
        </row>
        <row r="54">
          <cell r="A54">
            <v>2406</v>
          </cell>
          <cell r="B54" t="str">
            <v>Vermeen Kapoor</v>
          </cell>
          <cell r="C54">
            <v>9873458198</v>
          </cell>
          <cell r="D54" t="str">
            <v>B-59, South City 2</v>
          </cell>
          <cell r="E54" t="str">
            <v>Nirvana Country</v>
          </cell>
          <cell r="F54" t="str">
            <v>Thursday</v>
          </cell>
          <cell r="G54" t="str">
            <v>9:30 Am to 2 PM</v>
          </cell>
          <cell r="H54">
            <v>1450</v>
          </cell>
          <cell r="I54">
            <v>362.5</v>
          </cell>
          <cell r="J54" t="str">
            <v>Bliss</v>
          </cell>
          <cell r="K54" t="str">
            <v>Referred by Swati Khandelwal?/ Mixed Flowers // Send replace,ent tom (19/02) Day Changed to Thursday (08/04) today returned-send tom (24/07)</v>
          </cell>
          <cell r="M54" t="str">
            <v>Mixed Flowers</v>
          </cell>
          <cell r="N54" t="str">
            <v>4  del of this cycle   -  0-cycles pmnt   Completed - Collect 0</v>
          </cell>
          <cell r="O54" t="str">
            <v>Pur Eustoma ( 12 Inch ) 2 Pur n P Car ( 14 inch ) 7   FF Sachet + Grass</v>
          </cell>
          <cell r="P54" t="str">
            <v>Sunflower ( 12 Inch ) 2 P n W Glad ( 14 Inch ) 7   FF Sachet + Grass</v>
          </cell>
          <cell r="Q54" t="str">
            <v>P Asiatic ( 14 Inch ) 2 B Daisy ( 12 Inch ) 7   Grass</v>
          </cell>
          <cell r="R54" t="str">
            <v>P Spray Daisy ( 14 Inch ) 3 Rajni ( 14 Inch ) 7   FF Sachet + Grass</v>
          </cell>
          <cell r="S54" t="str">
            <v>Sunflower ( 12 Inch ) 2 P n W Car ( 14 Inch ) 7   FF Sachet + Grass</v>
          </cell>
          <cell r="T54" t="str">
            <v>O Asiatic ( 14 Inch ) 2 P n W Glad ( 14 Inch ) 7   Grass</v>
          </cell>
        </row>
        <row r="55">
          <cell r="A55">
            <v>2204</v>
          </cell>
          <cell r="B55" t="str">
            <v>Bidisha Dey</v>
          </cell>
          <cell r="C55">
            <v>9811969982</v>
          </cell>
          <cell r="D55" t="str">
            <v>C-24, Carlton Estate-1, Club Drive</v>
          </cell>
          <cell r="E55" t="str">
            <v>DLF Phase 5</v>
          </cell>
          <cell r="F55" t="str">
            <v>Thursday</v>
          </cell>
          <cell r="G55" t="str">
            <v>9:30 Am to 2 PM</v>
          </cell>
          <cell r="H55">
            <v>1450</v>
          </cell>
          <cell r="I55">
            <v>362.5</v>
          </cell>
          <cell r="J55" t="str">
            <v>Bliss</v>
          </cell>
          <cell r="K55" t="str">
            <v>Skip 1 week (03/06) Returned send next week (11/07) Skip 1 week (08/01) Skip 1 week (26/03) Skip tom (02/07) Today Returned (20/11) HDTNP (25/06)</v>
          </cell>
          <cell r="N55" t="str">
            <v>2  del of this cycle   -  0-cycles pmnt   Completed - Collect 0</v>
          </cell>
          <cell r="O55" t="str">
            <v>Pur n P Car ( 14 inch ) 16     FF Sachet + Grass</v>
          </cell>
          <cell r="P55" t="str">
            <v>Sunflower ( 12 Inch ) 4     FF Sachet + Grass</v>
          </cell>
          <cell r="Q55" t="e">
            <v>#N/A</v>
          </cell>
          <cell r="R55" t="str">
            <v>P Asiatic ( 14 Inch ) 3    Collect payment Grass</v>
          </cell>
          <cell r="S55" t="str">
            <v>Rajni ( 14 Inch ) 16     Grass</v>
          </cell>
          <cell r="T55" t="str">
            <v>G n W Car ( 14 Inch ) 16     FF Sachet + Grass</v>
          </cell>
        </row>
        <row r="56">
          <cell r="A56">
            <v>884</v>
          </cell>
          <cell r="B56" t="str">
            <v>Bhavna Taneja</v>
          </cell>
          <cell r="C56">
            <v>9811192021</v>
          </cell>
          <cell r="D56" t="str">
            <v>F-214, DLF The Crest,Sec-54</v>
          </cell>
          <cell r="E56" t="str">
            <v>Golf Course Road</v>
          </cell>
          <cell r="F56" t="str">
            <v>Thursday</v>
          </cell>
          <cell r="G56" t="str">
            <v>9:30 AM to 2 PM</v>
          </cell>
          <cell r="H56">
            <v>1450</v>
          </cell>
          <cell r="I56">
            <v>362.5</v>
          </cell>
          <cell r="J56" t="str">
            <v>Bliss</v>
          </cell>
          <cell r="K56" t="str">
            <v>Send 2 Stick exytra next(14/09) Send lilies next(27/09) Send Tom instead of Sat and send Lilies(22/10) Send del tom with Orchids(30/10) Send 2 Asiatic on Friday instead of satirday(21/11) Google Pay from Harsh Taneja(08/02) Send on 20th and don’t send on 22nd(15/02) Hold n start from 7th Mar (20/02) TRY FOR WEDNESDAY(19/05/20) Send next del on friday with 2 extra Asiatic lily for 200Rs.(27/05/2020) Sending 30th Del on 29th May(28/05/2020) UPI From Harsh Vir Taneja(05/06/2020) Upgrade to 850 (30/07/20) Send Tom instead of 30th Oct)(27/10) Sending tom due to Diwali(11/11) Change to Bloom Pack(08/04) Next del on Monday (23/12) Send Lilies Next (24/12) Dont send on thursday -- send on Monday (04/01) NO BOP n GULDAWARI (29/01) Skip this monday and send on tuesday this week (16/05) Skip this wek and send on Thursday (26/08) Skip next thursday and sned on sunday (22/03) Skip 2 wek (02/06) Skip tom n send on sunday (26/06) No GERBERA (01/08) 1000 cash and 250 via paytm (21/11) Send on tuesday this week (22/12) Paytm from Harshveer Taneja (16/05) Payment REceived on 08th May also via Cash(18/05) skip 1 week (31/05) Skip 1 week (20/12) Start from 25th June (12/06)</v>
          </cell>
          <cell r="L56" t="str">
            <v>GULDAWARI n BOP n GERBERA</v>
          </cell>
          <cell r="M56" t="str">
            <v>Mixed Now</v>
          </cell>
          <cell r="N56" t="str">
            <v>4  del of this cycle   -  0-cycles pmnt   CompletedNO COLLECTION-we have extra money - Collect -50</v>
          </cell>
          <cell r="O56" t="str">
            <v>P n W Glad ( 14 Inch ) 16     Grass</v>
          </cell>
          <cell r="P56" t="e">
            <v>#N/A</v>
          </cell>
          <cell r="Q56" t="str">
            <v>Pur n P Car ( 14 Inch ) 16     FF Sachet + Grass</v>
          </cell>
          <cell r="R56" t="str">
            <v>Sunflower ( 12 Inch ) 4    Collect Payment FF Sachet + Grass</v>
          </cell>
          <cell r="S56" t="str">
            <v>Rajni ( 14 Inch ) 16     Grass</v>
          </cell>
          <cell r="T56" t="str">
            <v>P Asiatic ( 14 Inch ) 3     Grass</v>
          </cell>
        </row>
        <row r="57">
          <cell r="A57">
            <v>237</v>
          </cell>
          <cell r="B57" t="str">
            <v>Mayom Hospital</v>
          </cell>
          <cell r="C57">
            <v>8860079525</v>
          </cell>
          <cell r="D57" t="str">
            <v>Mayom Hospital, D block south city 1</v>
          </cell>
          <cell r="G57" t="str">
            <v>9 AM - 12 PM</v>
          </cell>
          <cell r="H57">
            <v>1450</v>
          </cell>
          <cell r="I57">
            <v>362.5</v>
          </cell>
          <cell r="J57" t="str">
            <v>Corporate</v>
          </cell>
          <cell r="T57" t="str">
            <v>P n W Glad ( 14 Inch ) 16     Grass</v>
          </cell>
        </row>
        <row r="58">
          <cell r="A58">
            <v>309</v>
          </cell>
          <cell r="B58" t="str">
            <v>Ms Swati Bhise--before 10</v>
          </cell>
          <cell r="C58">
            <v>9811806611</v>
          </cell>
          <cell r="D58" t="str">
            <v xml:space="preserve">TG-5/4B Orchid Garden Sun city Sec - 54 </v>
          </cell>
          <cell r="E58" t="str">
            <v>Golf Course Road</v>
          </cell>
          <cell r="F58" t="str">
            <v>Thursday</v>
          </cell>
          <cell r="G58" t="str">
            <v>9 AM - 12 PM</v>
          </cell>
          <cell r="H58">
            <v>2750</v>
          </cell>
          <cell r="I58">
            <v>687.5</v>
          </cell>
          <cell r="J58" t="str">
            <v>Elation</v>
          </cell>
          <cell r="K58" t="str">
            <v>Sunday to thurs//Orchid in 1st Del and no Rose/Rajni/Gerbera till they come in good shape(08/07) Next B or W Orchid(02/12) Car Next(09/12) Next Orchid(06/01) Orchid Next(10/02)  Gerbera tom(13/08)NEVER PURPLE ORCHID--SEND W n B ORCHID Next(22/09) Y Asiatic Next(03/11)  Send 1 Del tom (02/07) Orchid Next (27/07) Skip 1 week (20/11) Send 1 Del Tom (10/02) Skip next Del (16/02) Hold n start from 10th June (20/03) Today Returned again (04/07) Returned again (11/07) Send this thursday and then skip 1 week (23/07) Hold today (08/08) Skip 2 more weeks (09/08) Today Returned (21/11) Skip 1 week (11/12) Skip 1 week (24/12) Skip 1 more week (25/01) Skip 1 week (18/02) Hold till 9th Mar (24/02) Hold now (11/09) Skip next week (27/11) Return today (18/12) Today Returned again (25/12) Skip tom (18/02) Skip 1 week (28/02) Skip 1 week (19/03) Skip 1 week (21/03)  Skip tom (09/04) Skip next week (16/04) Skip 3 week (20/04) Skip 1 week (14/05) Skip 1 week (17/05) Skip 1 week (03/06) Skip next week (02/07)</v>
          </cell>
          <cell r="M58" t="str">
            <v>Upgrade to Elation next (14/08)</v>
          </cell>
          <cell r="N58" t="str">
            <v>4  del of this cycle   -  0-cycles pmnt   Completed - Collect 0</v>
          </cell>
          <cell r="O58" t="str">
            <v>P Asiatic ( 14 Inch )  6     2 Gypsola</v>
          </cell>
          <cell r="P58" t="str">
            <v>P n W Glad ( 14 Inch ) 32     2 Limonium</v>
          </cell>
          <cell r="Q58" t="str">
            <v>Pur n P Eustoma ( 12 Inch ) 6  Collect Payment Collect Payment Collect Payment 2 Limonium + FF Sachet</v>
          </cell>
          <cell r="R58" t="str">
            <v xml:space="preserve">Pur n P Car ( 14 Inch ) 32     2 Gypsola + FF Sachet </v>
          </cell>
          <cell r="S58" t="e">
            <v>#N/A</v>
          </cell>
          <cell r="T58" t="str">
            <v>O Asiatic ( 14 Inch ) 6     2 Gypsola</v>
          </cell>
        </row>
        <row r="59">
          <cell r="A59" t="str">
            <v>G-00028</v>
          </cell>
          <cell r="B59" t="str">
            <v>Niharika Mohanty</v>
          </cell>
          <cell r="C59">
            <v>9711098608</v>
          </cell>
          <cell r="D59" t="str">
            <v>W2A-151, Wellington Estate</v>
          </cell>
          <cell r="E59" t="str">
            <v>DLF Phase 5</v>
          </cell>
          <cell r="F59" t="str">
            <v>Thursday</v>
          </cell>
          <cell r="G59" t="str">
            <v>10 AM to 2:30 PM</v>
          </cell>
          <cell r="H59">
            <v>1950</v>
          </cell>
          <cell r="I59">
            <v>487.5</v>
          </cell>
          <cell r="J59" t="str">
            <v>Joy</v>
          </cell>
          <cell r="K59" t="str">
            <v>From Akriti Chopra // Mixed Flowers // Skip this week (11/03) Skip 1 week (11/03)  Skip 2 week (18/06) Skip 1 week (13/08) Skip 1 week (14/10) Skip 2 weeks (12/11) Skip 1 week (03/12) Skip 1 week (03/01) Hold today (21/05) Skip tom (03/06) Skip today and next week (18/06(</v>
          </cell>
          <cell r="M59" t="str">
            <v>Mixed Flowers</v>
          </cell>
          <cell r="N59" t="str">
            <v>3  del of this cycle   -  1-cycles pmnt   Pending - Collect 1950</v>
          </cell>
          <cell r="O59" t="str">
            <v>Y Asiatic ( 14 Inch ) 2 P n W Glad ( 14 Inch ) 11   2 Gypsola</v>
          </cell>
          <cell r="P59" t="str">
            <v>Sunflower ( 12 Inch ) 3 Mix Alstroemeria ( 12 inch )  11   FF Sachet + Grass</v>
          </cell>
          <cell r="Q59" t="e">
            <v>#N/A</v>
          </cell>
          <cell r="R59" t="str">
            <v>P Eustoma ( 12 Inch ) 2 Pur n W Car ( 14 Inch ) 11   FF Sachet + Grass</v>
          </cell>
          <cell r="S59" t="str">
            <v>P Asiatic ( 14 Inch ) 2 Rajni ( 14 Inch ) 11 Collect Payment Collect Payment Grass</v>
          </cell>
          <cell r="T59" t="str">
            <v>P n W Spray Daisy ( 14 Inch ) 4 P n W Glad ( 14 Inch ) 11   FF Sachet + Grass</v>
          </cell>
        </row>
        <row r="60">
          <cell r="A60">
            <v>3133</v>
          </cell>
          <cell r="B60" t="str">
            <v>Anastasiia Liapicheva</v>
          </cell>
          <cell r="C60" t="str">
            <v>7678659573 // '+79029329098</v>
          </cell>
          <cell r="D60" t="str">
            <v>B1/602, Palm Groove Heights, Ardee City Sec 52</v>
          </cell>
          <cell r="E60" t="str">
            <v>Sushant Estate</v>
          </cell>
          <cell r="F60" t="str">
            <v>Thursday</v>
          </cell>
          <cell r="G60" t="str">
            <v>9 AM - 12 PM</v>
          </cell>
          <cell r="H60">
            <v>1450</v>
          </cell>
          <cell r="I60">
            <v>362.5</v>
          </cell>
          <cell r="J60" t="str">
            <v>Bliss</v>
          </cell>
          <cell r="K60" t="str">
            <v>No Lilies (02/11) No White Greens (02/12) Skip 1 week (07/01) skip 1 week (27/01) No Sunflower (06/03) Skip 1 week (06/06)</v>
          </cell>
          <cell r="L60" t="str">
            <v>Lily n Sunflower n White Greens</v>
          </cell>
          <cell r="M60" t="str">
            <v>No White Greens n Mixed Flowers</v>
          </cell>
          <cell r="N60" t="str">
            <v>2  del of this cycle   -  0-cycles pmnt   Completed - Collect 0</v>
          </cell>
          <cell r="O60" t="e">
            <v>#N/A</v>
          </cell>
          <cell r="P60" t="str">
            <v>O Asiatic ( 14 Inch ) 2 P n W Glad ( 14 Inch ) 7   Grass</v>
          </cell>
          <cell r="Q60" t="str">
            <v>Y Spray Daisy 3 P n W Car ( 14 Inch ) 7   FF Sachet + Grass</v>
          </cell>
          <cell r="R60" t="str">
            <v>P Eustoma ( 12 Inch ) 2 Rajni ( 14 Inch ) 7   FF Sachet + Grass</v>
          </cell>
          <cell r="S60" t="str">
            <v>W Asiatic ( 14 Inch ) 2 Mix Alstroemeria ( 12 Inch ) 7   Grass</v>
          </cell>
          <cell r="T60" t="str">
            <v>P Spray Daisy ( 14 Inch ) 3 P n W Glad ( 14 Inch ) 7   FF Sachet + Grass</v>
          </cell>
        </row>
        <row r="61">
          <cell r="A61">
            <v>1978</v>
          </cell>
          <cell r="B61" t="str">
            <v>Anu-- After 6 PM</v>
          </cell>
          <cell r="C61" t="str">
            <v>98103 39602</v>
          </cell>
          <cell r="D61" t="str">
            <v xml:space="preserve">Tower 6, 901 Fresco </v>
          </cell>
          <cell r="E61" t="str">
            <v>Nirvana Country</v>
          </cell>
          <cell r="F61" t="str">
            <v>Thursday</v>
          </cell>
          <cell r="G61" t="str">
            <v>4 Pm to 7 PM</v>
          </cell>
          <cell r="H61">
            <v>4850</v>
          </cell>
          <cell r="I61">
            <v>606.25</v>
          </cell>
          <cell r="J61" t="str">
            <v>Poise</v>
          </cell>
          <cell r="K61" t="str">
            <v xml:space="preserve"> Thursday n Sunday//No Rajni (14/03) No Rose n Gerbera n RAJNI// Skip this week n send on Tuesday evening slot (18/06) Send this Thursday to Friday (04/09) NO HELICONIA (13/09) Skip Thursday delivery (12/11) Send tom in morning (16/11) Skip Thursday del (19/11) Skip tom (23/11) Hold till 11th  (30/11) Dont send on Sunday (13/12) Skip sunday (20/12) Skip tom (08/02) Hold today (23/02) Skip 1 Week (01/06) Skip thursday Delivery (18/06) Skip this thursday and send on sunday after 6 PM (06/08) No BOP also (06/10) Do not count today del and sned on sat next (04/12) Skip saturda and sunday also (05/12) Hold today n send tom (11/12) Hold today (05/04) Hold today (16/04)</v>
          </cell>
          <cell r="L61" t="str">
            <v>ROSE n RAJNI n HELICONIA n BOP</v>
          </cell>
          <cell r="M61" t="str">
            <v>after 6 pm on 19th (16/04)</v>
          </cell>
          <cell r="N61" t="str">
            <v>2  del of this cycle   -  1-cycles pmnt   Pending - Collect 4850</v>
          </cell>
          <cell r="O61" t="str">
            <v>Y Asiatic ( 14 Inch ) 2 Mix Eustoma ( 12 Inch ) 4 P n W Car ( 14 Inch ) 12 Grass</v>
          </cell>
          <cell r="P61" t="str">
            <v>P Asiatic ( 14 Inch ) 2 Mix Alstroemeria ( 12 inch )  8 P n W Glad ( 14 Inch ) 8 Grass</v>
          </cell>
          <cell r="Q61" t="str">
            <v>W Asiatic ( 14 Inch ) 2 P n Y Spray Daisy ( 14 Inch ) 4 Rajni ( 14 Inch ) 12 Grass</v>
          </cell>
          <cell r="R61" t="str">
            <v>O Asiatic ( 14 Inch ) 2 Sunflower ( 12 Inch ) 4 Pur n P Car ( 14 Inch ) 12 Grass</v>
          </cell>
          <cell r="S61" t="str">
            <v>W Asiatic ( 14 Inch ) 2 Mix Alstroemeria ( 12 Inch ) 8 B Daisy 10 Grass</v>
          </cell>
          <cell r="T61" t="str">
            <v>P Asiatic ( 14 Inch ) 2 Sunflower 3 P n W  Car ( 14 Inch ) 12 Grass</v>
          </cell>
        </row>
        <row r="62">
          <cell r="A62">
            <v>179</v>
          </cell>
          <cell r="B62" t="str">
            <v>Sarita Dosaj</v>
          </cell>
          <cell r="C62">
            <v>9810077026</v>
          </cell>
          <cell r="D62" t="str">
            <v>B-24, Trinity Towers</v>
          </cell>
          <cell r="E62" t="str">
            <v>DLF Phase 5</v>
          </cell>
          <cell r="F62" t="str">
            <v>Thursday</v>
          </cell>
          <cell r="G62" t="str">
            <v>9 AM - 12 PM</v>
          </cell>
          <cell r="H62">
            <v>1450</v>
          </cell>
          <cell r="I62">
            <v>362.5</v>
          </cell>
          <cell r="J62" t="str">
            <v>Bliss</v>
          </cell>
          <cell r="K62" t="str">
            <v>One Color Flower ( 06/06) HDTNP (25/06)</v>
          </cell>
          <cell r="M62" t="str">
            <v>One Color Flower ( 06/06)</v>
          </cell>
          <cell r="N62" t="str">
            <v>1  del of this cycle   -  1-cycles pmnt   Pending - Collect 1450</v>
          </cell>
          <cell r="O62" t="str">
            <v>P Glad ( 14 Inch ) 16 One Color Flower Only    Grass</v>
          </cell>
          <cell r="P62" t="str">
            <v>O Asiatic ( 14 Inch ) 3 Collect Cash Collect Cash    Grass</v>
          </cell>
          <cell r="Q62" t="e">
            <v>#N/A</v>
          </cell>
          <cell r="R62" t="str">
            <v>Sunflower ( 12 Inch ) 4    Collect payment FF Sachet + Grass</v>
          </cell>
          <cell r="S62" t="str">
            <v>P n W Car ( 14 Inch ) 16     FF Sachet + Grass</v>
          </cell>
          <cell r="T62" t="str">
            <v>P n W Spray Daisy ( 14 Inch ) 5     FF Sachet + Grass</v>
          </cell>
        </row>
        <row r="63">
          <cell r="A63">
            <v>3071</v>
          </cell>
          <cell r="B63" t="str">
            <v>Divya Rawat</v>
          </cell>
          <cell r="C63">
            <v>8390310325</v>
          </cell>
          <cell r="D63" t="str">
            <v>D-13/14, 1st Floor, DLF Exclusive Floor</v>
          </cell>
          <cell r="E63" t="str">
            <v>DLF Phase 5</v>
          </cell>
          <cell r="F63" t="str">
            <v>Thursday</v>
          </cell>
          <cell r="G63" t="str">
            <v>9 AM - 12 PM</v>
          </cell>
          <cell r="H63">
            <v>1450</v>
          </cell>
          <cell r="I63">
            <v>362.5</v>
          </cell>
          <cell r="J63" t="str">
            <v>Bliss</v>
          </cell>
          <cell r="K63" t="str">
            <v>Return today (04/12) Hold today (05/03) Returned today (28/05) HDTNP (25/06)</v>
          </cell>
          <cell r="N63" t="str">
            <v>1  del of this cycle   -  1-cycles pmnt   Pending - Collect 1450</v>
          </cell>
          <cell r="O63" t="str">
            <v>P Spray Daisy ( 14 Inch ) 3 Mix Alstroemeria ( 12 Inch ) 7   FF Sachet + Grass</v>
          </cell>
          <cell r="P63" t="str">
            <v>Sunflower ( 12 Inch ) 2 P n W Glad ( 14 Inch ) 7   FF Sachet + Grass</v>
          </cell>
          <cell r="Q63" t="e">
            <v>#N/A</v>
          </cell>
          <cell r="R63" t="str">
            <v>P Asiatic ( 14 Inch ) 2 Rajni ( 14 Inch ) 7  Collect Payment Grass</v>
          </cell>
          <cell r="S63" t="str">
            <v>P Spray Daisy ( 14 Inch ) 3 P n W Car ( 14 Inch ) 7   FF Sachet + Grass</v>
          </cell>
          <cell r="T63" t="str">
            <v>Sunflower ( 12 Inch ) 2 Mix Alstroemeria ( 12 Inch ) 7   FF Sachet + Grass</v>
          </cell>
        </row>
        <row r="64">
          <cell r="A64">
            <v>61</v>
          </cell>
          <cell r="B64" t="str">
            <v>Megha Manchanda -- Bliss Pack</v>
          </cell>
          <cell r="C64">
            <v>9871919500</v>
          </cell>
          <cell r="D64" t="str">
            <v>T-3/302, Unitech Harmony</v>
          </cell>
          <cell r="E64" t="str">
            <v>Nirvana Country</v>
          </cell>
          <cell r="F64" t="str">
            <v>Thursday</v>
          </cell>
          <cell r="G64" t="str">
            <v>9 AM - 12 PM</v>
          </cell>
          <cell r="H64">
            <v>1450</v>
          </cell>
          <cell r="I64">
            <v>362.5</v>
          </cell>
          <cell r="J64" t="str">
            <v>Bliss</v>
          </cell>
          <cell r="K64" t="str">
            <v>No rajni n Rose(22/05) 1Stick extra in next del(27/08)Today not delivered-pls send on 6th(04/09) Return-send next week(04/03)  NO GLAD(19/10) Always send areca palm with BOP(28/01) Add Changed(30/07) Skip 1 week (21/12) Don't deliver tom-- Send on Sunday (14/06) Send on Sunday instead of Thursday (03/01) Skip 2 weeks (12/06) Payment from Amardeep S R (13/07) Skip 1 week (18/03) Today TReturned (11/06) Skip n send on sunday this week (23/06)</v>
          </cell>
          <cell r="N64" t="str">
            <v>2  del of this cycle   -  1-cycles pmnt   Pending - Collect 1450</v>
          </cell>
          <cell r="O64" t="str">
            <v>Pur n P Car ( 14 inch ) 9     Grass</v>
          </cell>
          <cell r="P64" t="str">
            <v>Sunflower ( 12 Inch ) 2     FF Sachet + Grass</v>
          </cell>
          <cell r="Q64" t="e">
            <v>#N/A</v>
          </cell>
          <cell r="R64" t="str">
            <v>Rajni ( 14 Inch ) 9     Grass</v>
          </cell>
          <cell r="S64" t="str">
            <v>P Asiatic ( 14 Inch ) 3     Grass</v>
          </cell>
          <cell r="T64" t="str">
            <v>G n W Car ( 14 Inch ) 16     FF Sachet + Grass</v>
          </cell>
        </row>
        <row r="65">
          <cell r="A65">
            <v>1140</v>
          </cell>
          <cell r="B65" t="str">
            <v>Nidhi Singh</v>
          </cell>
          <cell r="C65" t="str">
            <v>8383036664//9899389873</v>
          </cell>
          <cell r="D65" t="str">
            <v>D-8/3, Ground Floor DLF Exclusive Floors</v>
          </cell>
          <cell r="E65" t="str">
            <v>DLF Phase 5</v>
          </cell>
          <cell r="F65" t="str">
            <v>Thursday</v>
          </cell>
          <cell r="G65" t="str">
            <v>9 AM - 12 PM</v>
          </cell>
          <cell r="H65">
            <v>2300</v>
          </cell>
          <cell r="I65">
            <v>287.5</v>
          </cell>
          <cell r="J65" t="str">
            <v>Felicity</v>
          </cell>
          <cell r="K65" t="str">
            <v>Sunday n thursday //Monday n Thursday//Send Change of 200 Next(22/10) NO ROSE(22/11) Send Oriental next and send change of 2000 Next(27/11) NO ROSE // Heliconia Next(30/11) Send Change Next(13/04) 350 Received today via paytm(15/04) Flower Food Next(16/04) Send replacement of gerbera tom(20/04) Received 250 today(20/04) Send Replacement tom(20/04) Do Not Count 1 Del(22/04) Days-- Monday and Thursday(30/05) Gpay from Vivek Singh// Paytm from 9372779905-- Viveka(30/07) 1 Flower food next(01/04) Sent a replacement today(05/04) FF Next()8/04) Today del missed(02/06) REceived 1650 extra (28/12) Send replacement tom (29/08) Skip 1 week (17/10) 13th Flower Missed (17/11) Today Returned (18/12) Skip Tom (17/01) No Del from 21st to 27th July (10/07) Skip 1 week (03/12) Hold till 15th Dec (09/12) Skip this thursday (24/12) Skip on sunday (10/01) Hold till 31st Jan after 18th Del (17/01)</v>
          </cell>
          <cell r="L65" t="str">
            <v>ROSE</v>
          </cell>
          <cell r="N65" t="str">
            <v>5  del of this cycle   -  0-cycles pmnt   Completed - Collect 0</v>
          </cell>
          <cell r="O65" t="str">
            <v>Pur Eustoma ( 12 Inch ) 3     FF Sachet + Grass</v>
          </cell>
          <cell r="P65" t="str">
            <v>Rajni ( 14 Inch ) 11     Grass</v>
          </cell>
          <cell r="Q65" t="str">
            <v>P n W Glad ( 14 Inch ) 11     Grass</v>
          </cell>
          <cell r="R65" t="str">
            <v>Pur n P Car ( 14 Inch ) 11     FF Sachet + Grass</v>
          </cell>
          <cell r="S65" t="str">
            <v>Rajni ( 14 Inch ) 11     Grass</v>
          </cell>
          <cell r="T65" t="str">
            <v>P n W Glad ( 14 Inch ) 11     Grass</v>
          </cell>
        </row>
        <row r="66">
          <cell r="A66">
            <v>826</v>
          </cell>
          <cell r="B66" t="str">
            <v>Anuradha M Agarwal</v>
          </cell>
          <cell r="C66">
            <v>9811201606</v>
          </cell>
          <cell r="D66" t="str">
            <v>A-82, Westend Heights</v>
          </cell>
          <cell r="E66" t="str">
            <v>DLF Phase 5</v>
          </cell>
          <cell r="F66" t="str">
            <v>Thursday</v>
          </cell>
          <cell r="G66" t="str">
            <v>9 AM to 2 PM</v>
          </cell>
          <cell r="H66">
            <v>1450</v>
          </cell>
          <cell r="I66">
            <v>362.5</v>
          </cell>
          <cell r="J66" t="str">
            <v>Bliss</v>
          </cell>
          <cell r="K66" t="str">
            <v>Sending on 20th instaed of 21st,bcoz of Holi(18/03) This Cycle flowers -- Lilies / Orchids / Carnations/Gladioli(07/04) Orchid Next(25/04) Skip 2 week(11/06) Send on Friday this week(12/08) NO ORCHID, today returned-send glad tom(22/08)ASIATIC AND  ORCHID ONCE A CYCLE WITHOUT PLASTIC CAP(22/12) Returned-send Tom(16/01) Day chenged to saturday n ORCHID NEXT(18/01) Do not consider this week del and AVOID YELLOW COLOR FOR SOME WEEK, Send Orchid Next(23/02) Orchid next (27/05) Orchid next (09/06) Hold after current cycle (09/06) Return today (10/10) Skip 1 week (25/10) Skip this thursday (16/02) Skip 1 week (23/03) Today Returned and skip next week Laos (14/08) Skip 2 week (11/10) Skip 2 week (21/12)</v>
          </cell>
          <cell r="N66" t="str">
            <v>1  del of this cycle   -  1-cycles pmnt   Pending - Collect 1450</v>
          </cell>
          <cell r="O66" t="str">
            <v>P n W Glad ( 14 Inch ) 9     Gras</v>
          </cell>
          <cell r="P66" t="str">
            <v>O Asiatic ( 14 Inch ) 3     Grass</v>
          </cell>
          <cell r="Q66" t="str">
            <v>B Daisy ( 12 Inch ) 9     Grass</v>
          </cell>
          <cell r="R66" t="str">
            <v>P n W Car ( 14 Inch ) 9     FF Sachet + Grass</v>
          </cell>
          <cell r="S66" t="str">
            <v>Rajni ( 14 Inch ) 9     Grass</v>
          </cell>
          <cell r="T66" t="str">
            <v>P n Y Spray Daisy ( 14 Inch ) 5     FF Sachet + Grass</v>
          </cell>
        </row>
        <row r="67">
          <cell r="A67">
            <v>2666</v>
          </cell>
          <cell r="B67" t="str">
            <v>Gunjan Malhotra</v>
          </cell>
          <cell r="C67">
            <v>9971518253</v>
          </cell>
          <cell r="D67" t="str">
            <v>H. No. 298C, 1st Floor, Block G, Sushant Lok-2</v>
          </cell>
          <cell r="E67" t="str">
            <v>Artemis</v>
          </cell>
          <cell r="F67" t="str">
            <v>Thursday</v>
          </cell>
          <cell r="G67" t="str">
            <v>4 PM to 7 PM</v>
          </cell>
          <cell r="H67">
            <v>1450</v>
          </cell>
          <cell r="I67">
            <v>362.5</v>
          </cell>
          <cell r="J67" t="str">
            <v>Bliss</v>
          </cell>
          <cell r="K67" t="str">
            <v>Paytm From Gunjan Malhotra // Hold n start from 04th Sep (02/08) Change day to Thursday (31/08) Do not count last Del (20/12) Skip 1 week (02/02) Skip 1 week (25/03)</v>
          </cell>
          <cell r="N67" t="str">
            <v>1  del of this cycle   -  1-cycles pmnt   Pending - Collect 1450</v>
          </cell>
          <cell r="O67" t="str">
            <v>Pur n P Car ( 14 inch ) 9     Grass</v>
          </cell>
          <cell r="P67" t="str">
            <v>Mix Alstroemeria ( 12 Inch ) 16     FF Sachet + Grass</v>
          </cell>
          <cell r="Q67" t="str">
            <v>Pur Eustoma ( 12 Inch ) 3     FF Sachet + Grass</v>
          </cell>
          <cell r="R67" t="str">
            <v>P Asiatic ( 14 Inch ) 3     Grass</v>
          </cell>
          <cell r="S67" t="str">
            <v>Rajni ( 14 Inch ) 16     Grass</v>
          </cell>
          <cell r="T67" t="str">
            <v>G n W Car ( 14 Inch ) 16     FF Sachet + Grass</v>
          </cell>
        </row>
        <row r="68">
          <cell r="A68">
            <v>2578</v>
          </cell>
          <cell r="B68" t="str">
            <v>Suchit Agarwal</v>
          </cell>
          <cell r="C68">
            <v>9999404880</v>
          </cell>
          <cell r="D68" t="str">
            <v>T-A/702, Kanchanjunga Towers, Sec 56</v>
          </cell>
          <cell r="E68" t="str">
            <v>Sector 56</v>
          </cell>
          <cell r="F68" t="str">
            <v>Thursday</v>
          </cell>
          <cell r="G68" t="str">
            <v>4 Pm to 7 PM</v>
          </cell>
          <cell r="H68">
            <v>999</v>
          </cell>
          <cell r="I68">
            <v>249.75</v>
          </cell>
          <cell r="J68" t="str">
            <v>Delight</v>
          </cell>
          <cell r="K68" t="str">
            <v>Paytm From Richa Handa (20/06) Skip Thursday and send on Sunday (23/02) Skip tom n send on Sunday this week (01/04) HDTNP (25/06)</v>
          </cell>
          <cell r="N68" t="str">
            <v>4  del of this cycle   -  0-cycles pmnt   Completed - Collect 0</v>
          </cell>
          <cell r="O68" t="str">
            <v>Mix Alstroemeria ( 12 Inch ) 9     Grass</v>
          </cell>
          <cell r="P68" t="str">
            <v>Sunflower ( 12 Inch ) 2     FF Sachet + Grass</v>
          </cell>
          <cell r="Q68" t="e">
            <v>#N/A</v>
          </cell>
          <cell r="R68" t="str">
            <v xml:space="preserve">Collect 500 n Close      </v>
          </cell>
          <cell r="S68" t="str">
            <v>Pur n P Car ( 14 Inch ) 9     FF Sachet + Grass</v>
          </cell>
          <cell r="T68" t="str">
            <v>O Asiatic ( 14 Inch ) 2     Grass</v>
          </cell>
        </row>
        <row r="69">
          <cell r="A69">
            <v>2644</v>
          </cell>
          <cell r="B69" t="str">
            <v>Sanjeet Kaur</v>
          </cell>
          <cell r="C69">
            <v>7889438209</v>
          </cell>
          <cell r="D69" t="str">
            <v>601, Emerald Green, Sector 52</v>
          </cell>
          <cell r="E69" t="str">
            <v>Artemis</v>
          </cell>
          <cell r="F69" t="str">
            <v>Thursday</v>
          </cell>
          <cell r="G69" t="str">
            <v>9:30 Am to 2 PM</v>
          </cell>
          <cell r="H69">
            <v>1450</v>
          </cell>
          <cell r="I69">
            <v>362.5</v>
          </cell>
          <cell r="J69" t="str">
            <v>Bliss</v>
          </cell>
          <cell r="K69" t="str">
            <v>1 Gypsola in each Del (16/05) Paytm From Arshia Kaur (13/06) Paytm From Yogpal Singh (20/12) Do not count todays delivery (30/04)</v>
          </cell>
          <cell r="M69" t="str">
            <v>1 Gyposla in each Del</v>
          </cell>
          <cell r="N69" t="str">
            <v>2  del of this cycle   -  0-cycles pmnt   Completed - Collect 0</v>
          </cell>
          <cell r="O69" t="str">
            <v>P n W Glad ( 14 Inch ) 9     Gras</v>
          </cell>
          <cell r="P69" t="str">
            <v>Y Spray Daisy ( 14 Inch ) 3     1 Gypsola + FF Sachet</v>
          </cell>
          <cell r="Q69" t="str">
            <v>B Daisy ( 12 Inch ) 9     Grass</v>
          </cell>
          <cell r="R69" t="str">
            <v>P Asiatic ( 14 Inch ) 2     Grass</v>
          </cell>
          <cell r="S69" t="str">
            <v>Pur n P Car ( 14 Inch ) 16     FF Sachet + Grass</v>
          </cell>
          <cell r="T69" t="str">
            <v>P n Y Spray Daisy ( 14 Inch ) 5     FF Sachet + Grass</v>
          </cell>
        </row>
        <row r="70">
          <cell r="A70">
            <v>3144</v>
          </cell>
          <cell r="B70" t="str">
            <v>Samar Singh</v>
          </cell>
          <cell r="C70">
            <v>9582363043</v>
          </cell>
          <cell r="D70" t="str">
            <v>C-13, DLF Icon</v>
          </cell>
          <cell r="H70">
            <v>1450</v>
          </cell>
          <cell r="J70" t="str">
            <v>Bliss</v>
          </cell>
          <cell r="T70" t="str">
            <v>P Spray Daisy ( 14 Inch ) 3 Carnation 7   FF Sachet + Grass</v>
          </cell>
        </row>
        <row r="71">
          <cell r="A71">
            <v>1982</v>
          </cell>
          <cell r="B71" t="str">
            <v>Manvi Bajpai</v>
          </cell>
          <cell r="C71">
            <v>8860046280</v>
          </cell>
          <cell r="D71" t="str">
            <v>A-43, Westend Heights</v>
          </cell>
          <cell r="E71" t="str">
            <v>DLF Phase 5</v>
          </cell>
          <cell r="F71" t="str">
            <v>Thursday</v>
          </cell>
          <cell r="G71" t="str">
            <v>9 AM - 12 PM</v>
          </cell>
          <cell r="H71">
            <v>1450</v>
          </cell>
          <cell r="I71">
            <v>362.5</v>
          </cell>
          <cell r="J71" t="str">
            <v>Bliss</v>
          </cell>
          <cell r="K71" t="str">
            <v>Preferred Flowers-- Car//Rose//Guldawari//Gerbera//Orchid//Spray Daisy (27/09) 4th Del was on Hold (10/10) Skip 1 week (21/10) Skip 1 week (02/03) No Orchid (27/04) Hold n start after 15th Sep (18/08) Skip 1 week (19/10) Skip 1 week (17/12) Skip 2 week (17/03) Sending del today instead of tom (26/04) Skip 1 week (13/08) Skip 1 week (10/10) Return today (26/10) Today Hold (28/12) Skip 2 week (27/01) Skip 1 week (14/03) Skip 2 weks (17/04) Skip 2 week (01/06) Payment from Sreyansh Updhyay (19/07) Skip 18th to 25th (02/10) Skip 1 week (06/020</v>
          </cell>
          <cell r="L71" t="str">
            <v>ORCHID</v>
          </cell>
          <cell r="N71" t="str">
            <v>1  del of this cycle   -  0-cycles pmnt   Completed - Collect 0</v>
          </cell>
          <cell r="O71" t="e">
            <v>#N/A</v>
          </cell>
          <cell r="P71" t="e">
            <v>#N/A</v>
          </cell>
          <cell r="Q71" t="e">
            <v>#N/A</v>
          </cell>
          <cell r="R71" t="e">
            <v>#N/A</v>
          </cell>
          <cell r="S71" t="e">
            <v>#N/A</v>
          </cell>
          <cell r="T71" t="str">
            <v>G n W Car ( 14 Inch ) 16     FF Sachet + Grass</v>
          </cell>
        </row>
        <row r="72">
          <cell r="A72">
            <v>3063</v>
          </cell>
          <cell r="B72" t="str">
            <v>Shinjini Mehrotra</v>
          </cell>
          <cell r="C72">
            <v>9810198315</v>
          </cell>
          <cell r="D72" t="str">
            <v>F-109, 2nd Floor, Suncity</v>
          </cell>
          <cell r="E72" t="str">
            <v>Golf Course Road</v>
          </cell>
          <cell r="F72" t="str">
            <v>Thursday</v>
          </cell>
          <cell r="G72" t="str">
            <v>9 AM - 12 PM</v>
          </cell>
          <cell r="H72">
            <v>1450</v>
          </cell>
          <cell r="I72">
            <v>362.5</v>
          </cell>
          <cell r="J72" t="str">
            <v>Bliss</v>
          </cell>
          <cell r="K72" t="str">
            <v>Hold 4 Weeks (04/12) Skip 1 week (14/02) Skip 2 week (28/02) Skip 1 week  (01/04) Hold till 29th Apr (06/04)</v>
          </cell>
          <cell r="N72" t="str">
            <v>2  del of this cycle   -  0-cycles pmnt   CompletedNO COLLECTION-we have extra money - Collect -100</v>
          </cell>
          <cell r="O72" t="str">
            <v>Pur Eustoma ( 12 Inch ) 3     FF Sachet + Grass</v>
          </cell>
          <cell r="P72" t="str">
            <v>Sunflower ( 12 Inch ) 4     FF Sachet + Grass</v>
          </cell>
          <cell r="Q72" t="str">
            <v>P n W Glad ( 14 Inch ) 16     Grass</v>
          </cell>
          <cell r="R72" t="str">
            <v>P Asiatic ( 14 Inch ) 3     Grass</v>
          </cell>
          <cell r="S72" t="str">
            <v>Rajni ( 14 Inch ) 16     Grass</v>
          </cell>
          <cell r="T72" t="str">
            <v>G n W Car ( 14 Inch ) 16     FF Sachet + Grass</v>
          </cell>
        </row>
        <row r="73">
          <cell r="A73">
            <v>442</v>
          </cell>
          <cell r="B73" t="str">
            <v>Ruchi Mathure--Before 10:30 AM</v>
          </cell>
          <cell r="C73">
            <v>9871265555</v>
          </cell>
          <cell r="D73" t="str">
            <v>D-013, Westend height, DLF-5</v>
          </cell>
          <cell r="E73" t="str">
            <v>DLF Phase 5</v>
          </cell>
          <cell r="F73" t="str">
            <v>Thursday</v>
          </cell>
          <cell r="G73" t="str">
            <v>9 AM - 12 PM</v>
          </cell>
          <cell r="H73">
            <v>1450</v>
          </cell>
          <cell r="I73">
            <v>362.5</v>
          </cell>
          <cell r="J73" t="str">
            <v>Bliss</v>
          </cell>
          <cell r="K73" t="str">
            <v>No White Flowers(22/08)Skip this week n start from Thursday(26/09)Skip this week(29/11) Skip n sned on Monday(27/01) Return-send tom(17/02) NO P CAR(18/02)Return-send on Friday(24/02) Return-doesn't need Special Pack(14/04) Upgrade to 650 Plan(02/05) Skip this week n send on Monday(07/06) Skip 1 week(13/09) Skip 1 week(26/10) Skip 1 week(14/12) 150 adjusted against extra paid in Nargis to be delivered on 1st jan(30/12) Skip 1 week(26/01) Last week del was missed- pls send tom(07/03) Skip 2 weeks(18/03)NO WHITE FLOWERS(30/12) Send on saturdya this week instead of Thursday(12/11) Send on saturday this week(21/12) Getting only Car and asiatic-- Pls send all flowers(07/01) 10th Del missed-send them on saturday(11/03) NO WHITE FLOWERS(01/04) Hold n start from 2nd June(29/04) Last Thursday Missed(04/06) Skip this week n send on Sunday this week(22/06) Send Tom 1 Del with Rajni (11/07) Send 1 Del Tom(17/07) Today returned (28/07) NO GOLDEN GRASS(11/08) Sent 1 del Today(13/09) Skip tom and sned on Sunday (24/11) nEXT DEL SEND ON 31ST INSTEAD OF 30TH (24/12) Skip 1 week (20/01) Sent replacement today (14/04) send on monday this week only (21/04) Hold till 2nd Aug (07/07) Sent 1 del today and dont send tom (30/08) Skip tom Del n Send on Sunday (01/11) Today returned (09/11) No Del del till 3rd DEc (15/12) Skip 1 week (30/01) Skip on 14th and send on Sunday (12/03) Skip n sned on sunday (08/05) Hold today (30/05) Payment from Kapil M (16/06) Paytm From Kapil M (14/07) Skip 1 week (26/11) Skip nexty del (03/12) Hold till 15th Apr (18/04) No Sunflower (13/03) Skip this thursday and sned on sunday (20/04) Skip 1 week (20/05)</v>
          </cell>
          <cell r="L73" t="str">
            <v>Sunflower</v>
          </cell>
          <cell r="M73" t="str">
            <v>No White even in mixed // Skip 23rd and sned on 26th (20/04)</v>
          </cell>
          <cell r="N73" t="str">
            <v>3  del of this cycle   -  0-cycles pmnt   Completed - Collect 0</v>
          </cell>
          <cell r="O73" t="str">
            <v>P Glad ( 14 Inch ) 16 No White     Grass</v>
          </cell>
          <cell r="P73" t="str">
            <v>P n Y Spray Daisy ( 14 Inch ) 5 No White Flower  No White Flower   FF Sachet + Grass</v>
          </cell>
          <cell r="Q73" t="str">
            <v>Pur n P Car ( 14 Inch ) 16     FF Sachet + Grass</v>
          </cell>
          <cell r="R73" t="str">
            <v>Pur Eustoma ( 12 Inch ) 3     FF Sachet + Grass</v>
          </cell>
          <cell r="S73" t="str">
            <v>Rajni ( 14 Inch ) 16     Grass</v>
          </cell>
          <cell r="T73" t="str">
            <v>P n W Glad ( 14 Inch ) 16     Grass</v>
          </cell>
        </row>
        <row r="74">
          <cell r="A74">
            <v>484</v>
          </cell>
          <cell r="B74" t="str">
            <v>Deepti Chhabra</v>
          </cell>
          <cell r="C74">
            <v>9811230451</v>
          </cell>
          <cell r="D74" t="str">
            <v>A-061, Westend Heights</v>
          </cell>
          <cell r="E74" t="str">
            <v>DLF Phase 5</v>
          </cell>
          <cell r="F74" t="str">
            <v>Thursday</v>
          </cell>
          <cell r="G74" t="str">
            <v>4 PM to 7PM</v>
          </cell>
          <cell r="H74">
            <v>1950</v>
          </cell>
          <cell r="I74">
            <v>487.5</v>
          </cell>
          <cell r="J74" t="str">
            <v>Joy</v>
          </cell>
          <cell r="K74" t="str">
            <v>Sat to Thursday//Hold n start from 23rd Nov(31/10) Add changed(01/02) Paytm from Vishal Chabra(22/02) Send Replacement(03/03) Skip this week(18/03) Skip next del(14/06) 1 stick extra next Del(12/07 FF Sold Today(19/07) Send rajni Tom(02/08) Send FF Next(13/09) Next Asiatic n 2 sticks extra(25/09) Rajni Next(05/12) Skip 1 week(20/12) Hold-send tom(14/02) Upgraded to 1250, send remaining 5 sticks tom(04/09) Skip1 week(05/11) Skip 1 week(18/11)  Hold today and skip 1 week(11/12) Skip 1 week(20/03) Sent replacement today(08/04) Skip 2 weeks(21/06) Skip 1 week (09/11) Skip 1 more week (16/11) NO ROSE (29/12) Send replacemet tom (08/04) Pink n green Spray Car Tom (03/05) Skip 2 weeks (01/06) Skip 1 week (23/10) Skip 1 week (15/11) Today hold (11/01) Skip 1 week (16/03) Skip 2 week (22/10) Paytm from Arti Lakra (17/01) Skip 1 week(12/04) Skip 1 week912/04) Yesterday Returned (24/10) Skip tom (07/01) Hold due to non payment (04/02) Skip 2 week (16/05) Hod n start from July (04/06)</v>
          </cell>
          <cell r="L74" t="str">
            <v>ROSE</v>
          </cell>
          <cell r="N74" t="str">
            <v>3  del of this cycle   -  0-cycles pmnt   Completed - Collect 0</v>
          </cell>
          <cell r="O74" t="e">
            <v>#N/A</v>
          </cell>
          <cell r="P74" t="e">
            <v>#N/A</v>
          </cell>
          <cell r="Q74" t="e">
            <v>#N/A</v>
          </cell>
          <cell r="R74" t="str">
            <v>Pur n P Car ( 14 Inch ) 22     FF Sachet + Grass</v>
          </cell>
          <cell r="S74" t="str">
            <v>Rajni ( 14 Inch ) 22   Collect Payment Collect Payment Grass</v>
          </cell>
          <cell r="T74" t="str">
            <v>O Asiatic ( 14 Inch ) 4     Grass</v>
          </cell>
        </row>
        <row r="75">
          <cell r="A75">
            <v>3385</v>
          </cell>
          <cell r="B75" t="str">
            <v>Srishti Verma</v>
          </cell>
          <cell r="C75">
            <v>9604584926</v>
          </cell>
          <cell r="D75" t="str">
            <v>H. No. 126, Flat No. 302, Road D3, Indira Colony, Sec 52</v>
          </cell>
          <cell r="E75" t="str">
            <v>Artemis</v>
          </cell>
          <cell r="F75" t="str">
            <v>Thursday</v>
          </cell>
          <cell r="G75" t="str">
            <v>4 Pm to 7 PM</v>
          </cell>
          <cell r="H75">
            <v>1950</v>
          </cell>
          <cell r="I75">
            <v>487.5</v>
          </cell>
          <cell r="J75" t="str">
            <v>Joy</v>
          </cell>
          <cell r="K75" t="str">
            <v>Skip 1 Week (06/07)</v>
          </cell>
          <cell r="N75" t="str">
            <v>3  del of this cycle   -  0-cycles pmnt   Completed - Collect 0</v>
          </cell>
          <cell r="O75" t="e">
            <v>#N/A</v>
          </cell>
          <cell r="P75" t="e">
            <v>#N/A</v>
          </cell>
          <cell r="Q75" t="str">
            <v>Pur n P Car ( 14 Inch ) 22     FF Sachet + Grass</v>
          </cell>
          <cell r="R75" t="str">
            <v>O Asiatic ( 14 Inch ) 4     Grass</v>
          </cell>
          <cell r="S75" t="e">
            <v>#N/A</v>
          </cell>
          <cell r="T75" t="str">
            <v>Mix Car ( 14 Inch ) 22     FF Sachet + Grass</v>
          </cell>
        </row>
        <row r="76">
          <cell r="A76">
            <v>949</v>
          </cell>
          <cell r="B76" t="str">
            <v>Meenu Amrith-- Evening Only</v>
          </cell>
          <cell r="C76">
            <v>9891350735</v>
          </cell>
          <cell r="D76" t="str">
            <v>H. No. 579, Ground Floor,Near Dell-- Sec-43</v>
          </cell>
          <cell r="E76" t="str">
            <v>DLF Phase 5</v>
          </cell>
          <cell r="F76" t="str">
            <v>Thursday</v>
          </cell>
          <cell r="G76" t="str">
            <v>10 AM to 2:30 PM</v>
          </cell>
          <cell r="H76">
            <v>1450</v>
          </cell>
          <cell r="I76">
            <v>362.5</v>
          </cell>
          <cell r="J76" t="str">
            <v>Bliss</v>
          </cell>
          <cell r="K76" t="str">
            <v>Sunday to Thurs//Skip next week(21/01) Skip 1 week(12/02) Hold n start from 1st week of May(06/03) Pls start from coming Tuesday(14/03)  Send Sunday Del on Sat This week(12/11) Skip 1 week(29/01) today hold and skip 1 more week(27/02) Start from 24th Mar(08/03) Hold n start from 16th June(18/05) Hold 3 Weeks(13/07) she saying that 10th Del Not received(11/11) Not avaible till 25th (14/11) Hold today(19/01) Skip 2 weeks (22/02) Skip 2 weeks (26/06) Hold n start after 15th Sep (18/08) Skip Tom (28/02) Hold n start from 13th June (24/05) Skip 1 week (23/07) Skip 1 week (04/12) Skip 1 week (12/03) Skip 1 week (18/01) Skip 1 weeek (13/05)</v>
          </cell>
          <cell r="N76" t="str">
            <v>1  del of this cycle   -  1-cycles pmnt   Pending - Collect 1450</v>
          </cell>
          <cell r="O76" t="str">
            <v>P Asiatic ( 14 Inch )  3     Grass</v>
          </cell>
          <cell r="P76" t="str">
            <v>Pur n P Car ( 14 inch ) 16     FF Sachet + Grass</v>
          </cell>
          <cell r="Q76" t="str">
            <v>Pur Eustoma ( 12 Inch ) 3     FF Sachet + Grass</v>
          </cell>
          <cell r="R76" t="str">
            <v>P n W Glad ( 14 Inch ) 16     Grass</v>
          </cell>
          <cell r="S76" t="str">
            <v>Sunflower ( 12 Inch ) 4     FF Sachet + Grass</v>
          </cell>
          <cell r="T76" t="str">
            <v>O Asiatic ( 14 Inch ) 3     Grass</v>
          </cell>
        </row>
        <row r="77">
          <cell r="A77">
            <v>2716</v>
          </cell>
          <cell r="B77" t="str">
            <v>Simmi Chopra</v>
          </cell>
          <cell r="C77">
            <v>9891744488</v>
          </cell>
          <cell r="D77" t="str">
            <v>B/145, Suncity, Golf Course Road</v>
          </cell>
          <cell r="E77" t="str">
            <v>Golf Course Road</v>
          </cell>
          <cell r="F77" t="str">
            <v>Thursday</v>
          </cell>
          <cell r="G77" t="str">
            <v>9 AM - 12 PM</v>
          </cell>
          <cell r="H77">
            <v>2750</v>
          </cell>
          <cell r="I77">
            <v>687.5</v>
          </cell>
          <cell r="J77" t="str">
            <v>Elation</v>
          </cell>
          <cell r="K77" t="str">
            <v>Upgrade to Elation (27/08) Send 10 B daisy next extra (04/10) Today Hold (04/12) Send one Del Tom (30/12)</v>
          </cell>
          <cell r="M77" t="str">
            <v>Send on del tom and no del on 1st Jan (30/12)</v>
          </cell>
          <cell r="N77" t="str">
            <v>4  del of this cycle   -  0-cycles pmnt   Completed - Collect 0</v>
          </cell>
          <cell r="O77" t="str">
            <v>Sunflower ( 12 Inch ) 4 Mix Alstroemeria ( 12 Inch ) 16   2 Limonium + FF Sachet</v>
          </cell>
          <cell r="P77" t="str">
            <v xml:space="preserve">P Asiatic ( 14 Inch ) 3 P n W Glad ( 14 Inch ) 16   2 Gypsola </v>
          </cell>
          <cell r="Q77" t="str">
            <v>Pur n P Eustoma ( 12 Inch ) 4 Pur n P Car ( 14 Inch ) 16   2 Limonium + FF Sachet</v>
          </cell>
          <cell r="R77" t="str">
            <v xml:space="preserve">P n W Spray Daisy ( 14 Inch ) 5 Rajni ( 14 Inch ) 16   2 Gypsola + FF Sachet </v>
          </cell>
          <cell r="S77" t="str">
            <v>Sunflower ( 12 Inch ) 4 Mix Alstroemeria ( 12 Inch ) 16   2 Limonium + FF Sachet</v>
          </cell>
          <cell r="T77" t="str">
            <v>O Asiatic ( 14 Inch ) 3 P n W Glad ( 14 Inch ) 16   2 Gypsola</v>
          </cell>
        </row>
        <row r="78">
          <cell r="A78">
            <v>19</v>
          </cell>
          <cell r="B78" t="str">
            <v>Mrs. Geeta Chopra</v>
          </cell>
          <cell r="C78">
            <v>9811373448</v>
          </cell>
          <cell r="D78" t="str">
            <v>E-64,Ground Floor,Suncity,Sec-54</v>
          </cell>
          <cell r="E78" t="str">
            <v>Golf Course Road</v>
          </cell>
          <cell r="F78" t="str">
            <v>Thursday</v>
          </cell>
          <cell r="G78" t="str">
            <v>9 AM - 12 PM</v>
          </cell>
          <cell r="H78">
            <v>1450</v>
          </cell>
          <cell r="I78">
            <v>362.5</v>
          </cell>
          <cell r="J78" t="str">
            <v>Bliss</v>
          </cell>
          <cell r="K78" t="str">
            <v>Sunday to Thurs//No Rajni (22/05)NO GERBERA(11/08), next time 3 sticks extra (30/3) Send replacement with 3 sticks extra tom and send special pack too(14/04) NO GLAD(22/06) NO ORCHID(13/07) Send FF Next Week(20/07) FF Sold today(27/07) Add Changed(20/12) SEND ALL FLOWERS(18/02) START WITH 650 PLAN(19/05/20) Send Replacement(14/07) Send Replacement (04/11) Hold due to non payment (02/01) Hold due to non payment (08/01) today missed send on sunday (28/05)</v>
          </cell>
          <cell r="N78" t="str">
            <v>1  del of this cycle   -  1-cycles pmnt   Pending - Collect 1450</v>
          </cell>
          <cell r="O78" t="str">
            <v>Mix Alstroemeria ( 12 Inch ) 16     FF Sachet + Grass</v>
          </cell>
          <cell r="P78" t="str">
            <v>O Asiatic ( 14 Inch ) 3     Grass</v>
          </cell>
          <cell r="Q78" t="str">
            <v>B Daisy ( 12 Inch ) 16  Collect Payment Collect Payment Collect Payment Grass</v>
          </cell>
          <cell r="R78" t="str">
            <v>Pur n P Car ( 14 Inch ) 16    Collect Payment FF Sachet + Grass</v>
          </cell>
          <cell r="S78" t="str">
            <v>Sunflower ( 12 Inch ) 4     FF Sachet + Grass</v>
          </cell>
          <cell r="T78" t="str">
            <v>P n W Glad ( 14 Inch ) 16     Grass</v>
          </cell>
        </row>
        <row r="79">
          <cell r="A79">
            <v>244</v>
          </cell>
          <cell r="B79" t="str">
            <v>Garima jain</v>
          </cell>
          <cell r="C79">
            <v>9958581403</v>
          </cell>
          <cell r="D79" t="str">
            <v xml:space="preserve"> G-901, Central Park 1, Golf Course Road    Sec 42 Gurgaon  122002</v>
          </cell>
          <cell r="E79" t="str">
            <v>Golf Course Road</v>
          </cell>
          <cell r="F79" t="str">
            <v>Thursday</v>
          </cell>
          <cell r="G79" t="str">
            <v>9 AM - 12 PM</v>
          </cell>
          <cell r="H79">
            <v>1450</v>
          </cell>
          <cell r="I79">
            <v>1450</v>
          </cell>
          <cell r="J79" t="str">
            <v>Bliss</v>
          </cell>
          <cell r="K79" t="str">
            <v>Sat to Thurs//Flowers other than Car pl (21/07)Send on Sunday instead of sat this week(19/10) Upgrade to 650 Plan(03/05) Add changed(13/07) NO CAR(07/09) Send a replacement (06/10) NO CAR(13/12) 200 Paytm Done(14/12) paytm of 200 from Anuj sarin(14/12) Sending 30th Del on 29th May(28/05/2020) ONLY LILIES(23/08/20) Day Changed to Saturday(14/10) Skip this week an semd next week(13/03) Hold n start from 29th Jan(25/12 ) Received 200 today via Gpay(26/12) Diff Flowesr every week(08/04)  Sent replacement today(22/04) Skip 1 week(17/06) Today Returned (13/06) Do not Count last Del (17/08) Skip 1 week (22/12) Skip 2 week (23/05) Send on sunday this week (01/10) Return-not at home (23/10) One Payment of 1000 received on 05th Feb (06/03) Returned (04/06)</v>
          </cell>
          <cell r="N79" t="str">
            <v>4  del of this cycle   -  0-cycles pmnt   Completed - Collect 0</v>
          </cell>
          <cell r="O79" t="str">
            <v>Mix Alstroemeria ( 12 Inch ) 9 Pls Collect Cash     Grass</v>
          </cell>
          <cell r="P79" t="str">
            <v>Pur n P Car ( 14 inch ) 9     Grass</v>
          </cell>
          <cell r="Q79" t="str">
            <v>Pur Eustoma ( 12 Inch ) 3     FF Sachet + Grass</v>
          </cell>
          <cell r="R79" t="str">
            <v>Rajni ( 14 Inch ) 16     Grass</v>
          </cell>
          <cell r="S79" t="str">
            <v>O Asiatic ( 14 Inch ) 3     Grass</v>
          </cell>
          <cell r="T79" t="str">
            <v>P n Y Spray Daisy ( 14 Inch ) 5     FF Sachet + Grass</v>
          </cell>
        </row>
        <row r="80">
          <cell r="A80">
            <v>3128</v>
          </cell>
          <cell r="B80" t="str">
            <v>Shikha Malhotra</v>
          </cell>
          <cell r="C80">
            <v>9873498869</v>
          </cell>
          <cell r="D80" t="str">
            <v>M-254, Park Place</v>
          </cell>
          <cell r="E80" t="str">
            <v>Golf Course Road</v>
          </cell>
          <cell r="F80" t="str">
            <v>Thursday</v>
          </cell>
          <cell r="G80" t="str">
            <v>4 PM to 7 PM</v>
          </cell>
          <cell r="H80">
            <v>1450</v>
          </cell>
          <cell r="I80">
            <v>362.5</v>
          </cell>
          <cell r="J80" t="str">
            <v>Bliss</v>
          </cell>
          <cell r="K80" t="str">
            <v>Skip 2 week after 13th (07/11) Today Hold (04/12) Paytm From Vivek Malhotra //</v>
          </cell>
          <cell r="N80" t="str">
            <v>1  del of this cycle   -  1-cycles pmnt   Pending - Collect 1450</v>
          </cell>
          <cell r="O80" t="e">
            <v>#N/A</v>
          </cell>
          <cell r="P80" t="str">
            <v>Pur n P Car ( 14 inch ) 16     FF Sachet + Grass</v>
          </cell>
          <cell r="Q80" t="str">
            <v>P Asiatic ( 14 Inch ) 3  Collect Payment Collect Payment Collect Payment Grass</v>
          </cell>
          <cell r="R80" t="str">
            <v>Rajni ( 14 Inch ) 16     Grass</v>
          </cell>
          <cell r="S80" t="str">
            <v>P n Y Spray Daisy ( 14 Inch ) 5     FF Sachet + Grass</v>
          </cell>
          <cell r="T80" t="str">
            <v>Asiatic 3     Grass</v>
          </cell>
        </row>
        <row r="81">
          <cell r="A81">
            <v>2200</v>
          </cell>
          <cell r="B81" t="str">
            <v>Naina Gandhi</v>
          </cell>
          <cell r="C81">
            <v>9811188863</v>
          </cell>
          <cell r="D81" t="str">
            <v>K2/105, Central Park -1</v>
          </cell>
          <cell r="E81" t="str">
            <v>Golf Course Road</v>
          </cell>
          <cell r="F81" t="str">
            <v>Thursday</v>
          </cell>
          <cell r="G81" t="str">
            <v>9 AM - 12 PM</v>
          </cell>
          <cell r="H81">
            <v>2300</v>
          </cell>
          <cell r="I81">
            <v>287.5</v>
          </cell>
          <cell r="J81" t="str">
            <v>Felicity</v>
          </cell>
          <cell r="K81" t="str">
            <v>Thursday n Sunday//Send Replacement tom (17/01) No Spray Daisy (19/02) Skip 4th Del (07/05) Do not count last del (29/08) No Flowers Tom (28/09) Skip this Thursday (01/10) Hold till 10th Nov (25/10) Hold this Sunday (13/12) Skip 1 week (01/02) Skip 1 week (16/02) Hold and start from May(28/03) Hold n start from 1st June (22/05) Skip 2 week (22/06) Skip tom (26/07) Skip 1 week (04/10) Hold tom (25/10) Skip 2 week (31/10) Skip 1 week 1 week (22/11) Skip this thursday (10/12) Skip 2 week (20/12) Skip sunday (07/01) Hold from 23rd May to 14th JUne (19/05) Skip 1 week and send on Monday (23/06)</v>
          </cell>
          <cell r="L81" t="str">
            <v>SPRAY DAISY</v>
          </cell>
          <cell r="M81" t="str">
            <v>Check for Bi weekly package</v>
          </cell>
          <cell r="N81" t="str">
            <v>5  del of this cycle   -  0-cycles pmnt   Completed - Collect 0</v>
          </cell>
          <cell r="O81" t="e">
            <v>#N/A</v>
          </cell>
          <cell r="P81" t="str">
            <v>P n W Glad ( 14 Inch ) 11     Grass</v>
          </cell>
          <cell r="Q81" t="e">
            <v>#N/A</v>
          </cell>
          <cell r="R81" t="str">
            <v>Pur n P Car ( 14 Inch ) 11     FF Sachet + Grass</v>
          </cell>
          <cell r="S81" t="str">
            <v>B Daisy ( 12 Inch ) 11     Grass</v>
          </cell>
          <cell r="T81" t="str">
            <v>P n W Glad ( 14 Inch ) 11     Grass</v>
          </cell>
        </row>
        <row r="82">
          <cell r="A82">
            <v>2868</v>
          </cell>
          <cell r="B82" t="str">
            <v>Group Captain Prabal Bir Singh</v>
          </cell>
          <cell r="C82">
            <v>7827468667</v>
          </cell>
          <cell r="D82" t="str">
            <v>603, Shivshakti CGHS, Plot-94, Near Ati Chowk</v>
          </cell>
          <cell r="E82" t="str">
            <v>DLF Phase 5</v>
          </cell>
          <cell r="F82" t="str">
            <v>Thursday</v>
          </cell>
          <cell r="G82" t="str">
            <v>9 AM to 2 PM</v>
          </cell>
          <cell r="H82">
            <v>1450</v>
          </cell>
          <cell r="I82">
            <v>362.5</v>
          </cell>
          <cell r="J82" t="str">
            <v>Bliss</v>
          </cell>
          <cell r="N82" t="str">
            <v>2  del of this cycle   -  0-cycles pmnt   Completed - Collect 0</v>
          </cell>
          <cell r="O82" t="str">
            <v>P n W Glad ( 14 Inch ) 9     Gras</v>
          </cell>
          <cell r="P82" t="str">
            <v>Sunflower ( 12 Inch ) 2     FF Sachet + Grass</v>
          </cell>
          <cell r="Q82" t="str">
            <v>Rajni ( 14 Inch ) 9     Grass</v>
          </cell>
          <cell r="R82" t="str">
            <v>P Asiatic ( 14 Inch ) 2     Grass</v>
          </cell>
          <cell r="S82" t="str">
            <v>P n W Car ( 14 Inch ) 16     FF Sachet + Grass</v>
          </cell>
          <cell r="T82" t="str">
            <v>P n Y Spray Daisy ( 14 Inch ) 5     FF Sachet + Grass</v>
          </cell>
        </row>
        <row r="83">
          <cell r="A83">
            <v>836</v>
          </cell>
          <cell r="B83" t="str">
            <v>Namrata Khandelwal -- After 5 PM</v>
          </cell>
          <cell r="C83">
            <v>9818392977</v>
          </cell>
          <cell r="D83" t="str">
            <v>1119, Magnolia</v>
          </cell>
          <cell r="E83" t="str">
            <v>DLF Phase 5</v>
          </cell>
          <cell r="F83" t="str">
            <v>Thursday</v>
          </cell>
          <cell r="G83" t="str">
            <v>After 5 PM</v>
          </cell>
          <cell r="H83">
            <v>4750</v>
          </cell>
          <cell r="I83">
            <v>1187.5</v>
          </cell>
          <cell r="J83" t="str">
            <v>Enchantment</v>
          </cell>
          <cell r="K83" t="str">
            <v>Sunday n Thursday//Tuesday and Satirday(20/04)Monday and Thursday(22/01)Friday and Sunday Now//Monday and Friday// AVOID CAR(09/05)  NO RAJNI TILL IT HAS FRAGRANCE(03/10)  NO CAR N GLAD(15/12)  Send Gerbera next(02/09/20) Preferred Flowers-- Car + Guldawari + Heliconia(30/11) Send Asiatic Lily and BOP or Anthurium(03/12) Hold n start after 20th Dec(09/12) Skip 1 week(07/05) Hold n send on 23rd n after(10/08) 2 Pack of 2850(01/09) Skip next delivery(09/09) Skip tom Delivery(12/09) Skip coming delivery (06/10) Next Del from tuesday (28/10) Skip tom del (11/11) Skip next del (18/11) No wchange to Weekly Plan (28/11) Hold n start from 4th Feb (04/01) Hold tom (24/02) Skip 1 week (02/03) Skip 2 weeks (25/03) Hold till 19th May (24/04) Skip thursday Del (02/10) Skip tom Del (07/10) Skip tom also (11/10) Skip tom (21/10) NO ROSE (04/01) Skip 1 week (08/01) Start from 1st Feb (24/01) Skip 1 Week (21/02) Skip 1 week (29/02) Skip 1 week (06/03). NO POLLEN FLOWERS EVER (27/04) Skip 1 week (12/05) Skip next Del (15/06) Skip this thursday (28/07) Skip 1 week (14/08) Skip 1 week (20/08) Skip tom (28/08) Skip tom (31/08) Hold today (08/09) No Asiatic/Gerbera and Rose (17/09) No Lily (19/10) Skip 1 week (30/10) Skip 1 week (11/12) Hold today and send tom (10/04) Send this week del on wednesday (21/04) Skip this week (29/05) Send on wednsday this week (02/06) Skip 1 week (03/09) Skip 1  Skip tom (07/01)week (11/09) No Gerbera (28/11) Skip 1 week (11/02) Skip 1 week (18/02) Skip tom (04/03) Skip 2 weeks (24/05)</v>
          </cell>
          <cell r="L83" t="str">
            <v>Pllen Flowers and Gerbera</v>
          </cell>
          <cell r="M83" t="str">
            <v>No Polen Flowers (20/08)</v>
          </cell>
          <cell r="N83" t="str">
            <v>2  del of this cycle   -  0-cycles pmnt   Completed - Collect 0</v>
          </cell>
          <cell r="O83" t="str">
            <v>Pur n P Eustoma ( 12 Inch ) 6 Pur n P Car ( 14 inch ) 30   3 Areca Palm + 3 Limonium + FF Sachet</v>
          </cell>
          <cell r="P83" t="e">
            <v>#N/A</v>
          </cell>
          <cell r="Q83" t="e">
            <v>#N/A</v>
          </cell>
          <cell r="R83" t="e">
            <v>#N/A</v>
          </cell>
          <cell r="S83" t="e">
            <v>#N/A</v>
          </cell>
          <cell r="T83" t="str">
            <v>P n Y Spray Daisy ( 14 Inch ) 10 G n W Car ( 14 Inch ) 30   3 Areca Palm + 3 Gypsola</v>
          </cell>
        </row>
        <row r="84">
          <cell r="A84" t="str">
            <v>B56466</v>
          </cell>
          <cell r="B84" t="str">
            <v>Lakshmi</v>
          </cell>
          <cell r="C84">
            <v>9810075054</v>
          </cell>
          <cell r="D84" t="str">
            <v>T-11/2C, Central Park Resort</v>
          </cell>
          <cell r="E84" t="str">
            <v>Sohna Road 2</v>
          </cell>
          <cell r="F84" t="str">
            <v>Thursday</v>
          </cell>
          <cell r="G84" t="str">
            <v>By 10 AM</v>
          </cell>
          <cell r="H84">
            <v>1800</v>
          </cell>
          <cell r="I84">
            <v>1800</v>
          </cell>
          <cell r="J84" t="str">
            <v>Bouquet</v>
          </cell>
          <cell r="K84" t="str">
            <v>8 Red n W Asiatic // Happy Birthday 🎉:)</v>
          </cell>
          <cell r="T84" t="str">
            <v xml:space="preserve">Semi Bloom Red n W Asiatic 8 Single Wrap Message   </v>
          </cell>
        </row>
        <row r="85">
          <cell r="A85" t="str">
            <v>G-00015</v>
          </cell>
          <cell r="B85" t="str">
            <v>Harsh  - Unikon</v>
          </cell>
          <cell r="C85">
            <v>9015463811</v>
          </cell>
          <cell r="D85" t="str">
            <v>AR-903B, 3rd Floor, Aralias</v>
          </cell>
          <cell r="E85" t="str">
            <v>Golf Course Road</v>
          </cell>
          <cell r="F85" t="str">
            <v>Thursday</v>
          </cell>
          <cell r="G85" t="str">
            <v>4 Pm to 7 PM</v>
          </cell>
          <cell r="H85">
            <v>2750</v>
          </cell>
          <cell r="I85">
            <v>687.5</v>
          </cell>
          <cell r="J85" t="str">
            <v>Elation</v>
          </cell>
          <cell r="K85" t="str">
            <v>From Deep Bajaj // Message = Your boyfriend:p (05/11) Paytm from Simran Dhawan (04/03) Send 1 delivery tomorrow (17/03) Skip 1 week (10/04) Add change request from Jasjit -- 9560611229</v>
          </cell>
          <cell r="M85" t="str">
            <v>One time Single n One Time Mixed</v>
          </cell>
          <cell r="N85" t="str">
            <v>3  del of this cycle   -  0-cycles pmnt   In Process - Collect 0</v>
          </cell>
          <cell r="O85" t="str">
            <v>Pur n P Eustoma ( 12 Inch ) 4 P n W Glad ( 14 Inch ) 16   2 Limonium + FF Sachet</v>
          </cell>
          <cell r="P85" t="str">
            <v>P n W Spray Daisy ( 14 Inch ) 5 Pur n P Car ( 14 Inch ) 16   2 Gypsola + FF Sachet</v>
          </cell>
          <cell r="Q85" t="str">
            <v>P Asiatic ( 14 Inch ) 3 B Daisy ( 12 Inch ) 16   2 Limonium</v>
          </cell>
          <cell r="R85" t="str">
            <v xml:space="preserve">Eustoma 4 Rajni ( 14 Inch ) 16   2 Gypsola + FF Sachet </v>
          </cell>
          <cell r="S85" t="str">
            <v>Sunflower ( 12 Inch ) 4 B Daisy ( 12 Inch ) 16   2 Limonium + FF Sachet</v>
          </cell>
          <cell r="T85" t="str">
            <v>P n W Spray Daisy ( 14 Inch ) 5 P n W Car ( 14 Inch ) 16   2 Gypsola + FF Sachet</v>
          </cell>
        </row>
        <row r="86">
          <cell r="A86">
            <v>172</v>
          </cell>
          <cell r="B86" t="str">
            <v>Rachna Rathee</v>
          </cell>
          <cell r="C86">
            <v>9811779661</v>
          </cell>
          <cell r="D86" t="str">
            <v xml:space="preserve">DX-106 flat no,Kendriya vihar Sector 56
</v>
          </cell>
          <cell r="E86" t="str">
            <v>Sector 56</v>
          </cell>
          <cell r="F86" t="str">
            <v>Thursday</v>
          </cell>
          <cell r="G86" t="str">
            <v>9 AM - 12 PM</v>
          </cell>
          <cell r="H86">
            <v>1450</v>
          </cell>
          <cell r="I86">
            <v>362.5</v>
          </cell>
          <cell r="J86" t="str">
            <v>Bliss</v>
          </cell>
          <cell r="K86" t="str">
            <v>Sendng rtrnd of 30 th on 1st(30/06)Retrnd pls send white Orchid(30/06) NO GERBERA(04/08) Paytm from raj Singh(08/12) Skip 1 week(21/12) NO Daisy(12/01) Hold n sned after 15th Apr(29/03) Hold n start after 10th Sep(30/08) NO DAISY(09/11) NO ROSE(21/12) Today return-send tom(10/10/20) Sending Del Tom due to Diwali(11/11) Referal payout of 162 added against Mr. Shoran(030/11) Referal credit added with ref to Apala das Gupta(29/03) Today hold and send after 11th May and ask before del(30/04) Hold till 28th Feb (10/02) Hold 3 Weeks (10/07) No Blue Orchid (23/10) Extra added against less mogra in Diwali Flowers (26/11) send replacement tom (04/07) Hold she will confirm when to start (13/05) No Gerbera (07/08) Send replacement tom (27/03)</v>
          </cell>
          <cell r="L86" t="str">
            <v>BLUE ORCHID n GERBERA</v>
          </cell>
          <cell r="N86" t="str">
            <v>4  del of this cycle   -  0-cycles pmnt   Completed - Collect 0</v>
          </cell>
          <cell r="O86" t="e">
            <v>#N/A</v>
          </cell>
          <cell r="P86" t="e">
            <v>#N/A</v>
          </cell>
          <cell r="Q86" t="e">
            <v>#N/A</v>
          </cell>
          <cell r="R86" t="str">
            <v>Pur n P Car ( 14 Inch ) 16     FF Sachet + Grass</v>
          </cell>
          <cell r="S86" t="str">
            <v>Sunflower ( 12 Inch ) 4     FF Sachet + Grass</v>
          </cell>
          <cell r="T86" t="str">
            <v>P n Y Spray Daisy ( 14 Inch ) 5     FF Sachet + Grass</v>
          </cell>
        </row>
        <row r="87">
          <cell r="A87" t="str">
            <v>CP00003</v>
          </cell>
          <cell r="B87" t="str">
            <v>Sumeet -- Anantraj</v>
          </cell>
          <cell r="C87">
            <v>9650468891</v>
          </cell>
          <cell r="D87" t="str">
            <v>Anatraj Estates, Sector 63</v>
          </cell>
          <cell r="E87" t="str">
            <v>Ghata</v>
          </cell>
          <cell r="F87" t="str">
            <v>Friday</v>
          </cell>
          <cell r="G87" t="str">
            <v>By 9 AM</v>
          </cell>
          <cell r="H87">
            <v>28000</v>
          </cell>
          <cell r="I87">
            <v>7000</v>
          </cell>
          <cell r="J87" t="str">
            <v>Corporate</v>
          </cell>
          <cell r="N87" t="str">
            <v>1  del of this cycle   -  0-cycles pmnt   In Process - Collect 0</v>
          </cell>
          <cell r="O87" t="e">
            <v>#N/A</v>
          </cell>
          <cell r="P87" t="e">
            <v>#N/A</v>
          </cell>
          <cell r="Q87" t="e">
            <v>#N/A</v>
          </cell>
          <cell r="R87" t="e">
            <v>#N/A</v>
          </cell>
          <cell r="S87" t="e">
            <v>#N/A</v>
          </cell>
          <cell r="T87" t="str">
            <v xml:space="preserve">5 Different Flower Arrangement in Rectangle Vase 5 All Different Arrangements  Pls Send on 17th Morning  Pls Make in Evening of 16th  </v>
          </cell>
        </row>
        <row r="88">
          <cell r="A88">
            <v>3122</v>
          </cell>
          <cell r="B88" t="str">
            <v>Abha Ghosh</v>
          </cell>
          <cell r="C88">
            <v>9650001674</v>
          </cell>
          <cell r="D88" t="str">
            <v>6A, Galicia, Raisina Residency, Sec 59</v>
          </cell>
          <cell r="E88" t="str">
            <v>Ghata</v>
          </cell>
          <cell r="F88" t="str">
            <v>Thursday</v>
          </cell>
          <cell r="G88" t="str">
            <v>9 AM - 12 PM</v>
          </cell>
          <cell r="H88">
            <v>1450</v>
          </cell>
          <cell r="I88">
            <v>362.5</v>
          </cell>
          <cell r="J88" t="str">
            <v>Bliss</v>
          </cell>
          <cell r="K88" t="str">
            <v>Returned yesterday (07/11)</v>
          </cell>
          <cell r="N88" t="str">
            <v>1  del of this cycle   -  0-cycles pmnt   Completed - Collect 0</v>
          </cell>
          <cell r="O88" t="str">
            <v>Pur n P Car ( 14 inch ) 16     FF Sachet + Grass</v>
          </cell>
          <cell r="P88" t="str">
            <v>Sunflower ( 12 Inch ) 4     FF Sachet + Grass</v>
          </cell>
          <cell r="Q88" t="str">
            <v>B Daisy ( 12 Inch ) 16     Grass</v>
          </cell>
          <cell r="R88" t="str">
            <v>P Asiatic ( 14 Inch ) 3     Grass</v>
          </cell>
          <cell r="S88" t="str">
            <v>Rajni ( 14 Inch ) 16     Grass</v>
          </cell>
          <cell r="T88" t="str">
            <v>G n W Car ( 14 Inch ) 16     FF Sachet + Grass</v>
          </cell>
        </row>
        <row r="89">
          <cell r="A89">
            <v>2569</v>
          </cell>
          <cell r="B89" t="str">
            <v>Mrs. Verma</v>
          </cell>
          <cell r="C89">
            <v>9971135993</v>
          </cell>
          <cell r="D89" t="str">
            <v>A1/192, 1st Floor, Sec 55, Sushant Lok-2, Near Orchid International School</v>
          </cell>
          <cell r="E89" t="str">
            <v>Sector 56</v>
          </cell>
          <cell r="F89" t="str">
            <v>Thursday</v>
          </cell>
          <cell r="G89" t="str">
            <v>9 AM - 12 PM</v>
          </cell>
          <cell r="H89">
            <v>1450</v>
          </cell>
          <cell r="I89">
            <v>362.5</v>
          </cell>
          <cell r="J89" t="str">
            <v>Bliss</v>
          </cell>
          <cell r="K89" t="str">
            <v>Return today (01/05) Return today (05/06) Send on Sunday This week (05/06) Upgrade to bliss from next cycle (20/09) Skip 1 week (04/02) Send Replacement tom of Asiatic Lily (16/04) Send Replacement tom (21/05) No Sunflower (21/05)</v>
          </cell>
          <cell r="L89" t="str">
            <v>Sunflower</v>
          </cell>
          <cell r="N89" t="str">
            <v>3  del of this cycle   -  0-cycles pmnt   CompletedNO COLLECTION-we have extra money - Collect -100</v>
          </cell>
          <cell r="O89" t="str">
            <v>Pur Eustoma ( 12 Inch ) 2 Pur n P Car ( 14 inch ) 7   FF Sachet + Grass</v>
          </cell>
          <cell r="P89" t="str">
            <v>Sunflower ( 12 Inch ) 2 P n W Glad ( 14 Inch ) 7   FF Sachet + Grass</v>
          </cell>
          <cell r="Q89" t="str">
            <v>O Asiatic ( 14 Inch ) 2 B Daisy ( 12 Inch ) 7   Grass</v>
          </cell>
          <cell r="R89" t="str">
            <v>P Spray Daisy ( 14 Inch ) 3 Rajni ( 14 Inch ) 7   FF Sachet + Grass</v>
          </cell>
          <cell r="S89" t="str">
            <v>Sunflower ( 12 Inch ) 2 P n W Car ( 14 Inch ) 7   FF Sachet + Grass</v>
          </cell>
          <cell r="T89" t="str">
            <v>P Asiatic ( 14 Inch ) 2 P n W Glad ( 14 Inch ) 7   Grass</v>
          </cell>
        </row>
        <row r="90">
          <cell r="B90" t="str">
            <v>88007 36794‬</v>
          </cell>
          <cell r="C90" t="str">
            <v>88007 36794‬</v>
          </cell>
          <cell r="D90" t="str">
            <v>IndiGo
Ifly Tower C Global Business Park
Near Guru Dronacharya Metro Station Gurgaon</v>
          </cell>
          <cell r="G90" t="str">
            <v>between 2 to 3pm,</v>
          </cell>
          <cell r="H90">
            <v>1500</v>
          </cell>
          <cell r="J90" t="str">
            <v>Bouquet</v>
          </cell>
          <cell r="K90" t="str">
            <v>IndiGo
Ifly Tower C Global Business Park
Near Guru Dronacharya Metro Station Gurgaon
‪+91 88007 36794‬
Pls send today 3 semibloom Asiatic lily , 5 blue orchids, 4 white carnations in same wrap today between 2 to 3pm, amount 1500, don’t ask for payment..</v>
          </cell>
          <cell r="N90" t="str">
            <v>don’t ask for payment..</v>
          </cell>
          <cell r="T90" t="str">
            <v xml:space="preserve">Semi bloom Asiatic lily + blue orchids,+ white carnations  3+5+4 Tissue Wrap    </v>
          </cell>
        </row>
        <row r="91">
          <cell r="B91" t="str">
            <v>Archana</v>
          </cell>
          <cell r="C91">
            <v>9821033196</v>
          </cell>
          <cell r="D91" t="str">
            <v>12C Belgravia Apartments, Tower-10, Central Park Resorts, Sec-48, Gurgaon ,</v>
          </cell>
          <cell r="G91" t="str">
            <v xml:space="preserve">Before 3 Pm </v>
          </cell>
          <cell r="H91">
            <v>3000</v>
          </cell>
          <cell r="J91" t="str">
            <v>Bouquet</v>
          </cell>
          <cell r="K91" t="str">
            <v>Pls send Today to Archana — +91 98210 33196 before 3pm for 3000</v>
          </cell>
          <cell r="T91" t="str">
            <v xml:space="preserve">Peach Rose+Pink Oreintal 10+5 Basket    </v>
          </cell>
        </row>
        <row r="92">
          <cell r="A92">
            <v>1098</v>
          </cell>
          <cell r="B92" t="str">
            <v>Rahul Sehgal</v>
          </cell>
          <cell r="C92">
            <v>9810022182</v>
          </cell>
          <cell r="D92" t="str">
            <v>418-A, Hamilton Court</v>
          </cell>
          <cell r="E92" t="str">
            <v>DLF Phase 4</v>
          </cell>
          <cell r="F92" t="str">
            <v>Thursday</v>
          </cell>
          <cell r="G92" t="str">
            <v>4 Pm to 7 PM</v>
          </cell>
          <cell r="H92">
            <v>1950</v>
          </cell>
          <cell r="I92">
            <v>487.5</v>
          </cell>
          <cell r="J92" t="str">
            <v>Joy</v>
          </cell>
          <cell r="K92" t="str">
            <v>P Glad First(02/09/20) Next Oriental and send only Glad/Oriental and asiatic(17/09/20)  Only Oriental and Gladioli(26/10) Now Send-- Glad // BOP + Guldawari // Oriental Lily// Heliconia(19/12) Send Glad tom -- No White(23/12) Send all flowesr now and mixed always but NO RAJNI(19/01) NO WHITE COLOR(04/03) NO BOP(21/03) NO ORCHID(02/04) Shift to Friday now(04/04) Sent 1 Flower Food today(06/06) Send on sat this week only(10/10) Y Chrysanthemum nextr and Lilies after that(23/10) NO HELICONIA(26/10) NO GERBERA(18/02) Skip thsi week(25/02) Day chang eto thursday evening slot(08/03) Do not count last delivery(20/03) Send replacement tomorrow (05/07)</v>
          </cell>
          <cell r="L92" t="str">
            <v>ROSE n RAJNI</v>
          </cell>
          <cell r="N92" t="str">
            <v>1  del of this cycle   -  1-cycles pmnt   Pending - Collect 1950</v>
          </cell>
          <cell r="O92" t="str">
            <v>Pur n P Car ( 14 inch ) 22     FF Sachet + Grass</v>
          </cell>
          <cell r="P92" t="str">
            <v>P n W Spray Daisy ( 14 Inch ) 7     FF Sachet + Grass</v>
          </cell>
          <cell r="Q92" t="str">
            <v>O Asiatic ( 14 Inch ) 4     Grass</v>
          </cell>
          <cell r="R92" t="str">
            <v>P n W Glad ( 14 Inch ) 22     Grass</v>
          </cell>
          <cell r="S92" t="str">
            <v>Mix Alstroemeria ( 12Inch ) 22     FF Sachet + Grass</v>
          </cell>
          <cell r="T92" t="str">
            <v>G n W Car ( 14 Inch ) 22     FF Sachet + Grass</v>
          </cell>
        </row>
        <row r="93">
          <cell r="A93" t="str">
            <v>B51008</v>
          </cell>
          <cell r="B93" t="str">
            <v>Sandeep Bansal</v>
          </cell>
          <cell r="C93">
            <v>9910164630</v>
          </cell>
          <cell r="D93" t="str">
            <v>EHF-350-Coral-046-GF
Emaar Emerald Hills 
Sector 65</v>
          </cell>
          <cell r="H93">
            <v>450</v>
          </cell>
          <cell r="J93" t="str">
            <v>Bouquet</v>
          </cell>
          <cell r="K93" t="str">
            <v>Send 1 stems of each color of Aisatic and orientak to Sandeep —+91 99101 64630 today with Areca palm n greens</v>
          </cell>
          <cell r="T93" t="str">
            <v>Asiatic O P Y +Oreintal P W 1+1+1+1+1     Areca palm n greens</v>
          </cell>
        </row>
        <row r="94">
          <cell r="A94">
            <v>3154</v>
          </cell>
          <cell r="B94" t="str">
            <v>Ramjot kaur</v>
          </cell>
          <cell r="C94">
            <v>9711000358</v>
          </cell>
          <cell r="D94" t="str">
            <v>Plot no. 447, The Palm Crest, 3rd Floor, Behind Lotus School</v>
          </cell>
          <cell r="H94">
            <v>600</v>
          </cell>
          <cell r="J94" t="str">
            <v>Bouquet</v>
          </cell>
          <cell r="K94" t="str">
            <v>Send today 8 stems of 1 ft bamboo- thodi roots ho jisme aur patte fresh ho
To Ramjot kaur
+91 97110 00358
Collect 600</v>
          </cell>
          <cell r="T94" t="str">
            <v xml:space="preserve">1 ft bamboo 8 thodi roots ho jisme aur patte fresh ho    </v>
          </cell>
        </row>
        <row r="95">
          <cell r="B95" t="str">
            <v>Anju Sandhu</v>
          </cell>
          <cell r="C95">
            <v>9997124824</v>
          </cell>
          <cell r="D95" t="str">
            <v>A-402, Connoisseur , Twin Tower, Sec 43</v>
          </cell>
          <cell r="I95">
            <v>2200</v>
          </cell>
          <cell r="J95" t="str">
            <v>Bouquet</v>
          </cell>
          <cell r="K95" t="str">
            <v>Send 4 dancing bamboo to Anju Sandhu today</v>
          </cell>
          <cell r="T95" t="str">
            <v xml:space="preserve">dancing bamboo 4     </v>
          </cell>
        </row>
      </sheetData>
      <sheetData sheetId="16"/>
      <sheetData sheetId="17"/>
      <sheetData sheetId="18"/>
      <sheetData sheetId="19"/>
      <sheetData sheetId="20"/>
      <sheetData sheetId="21"/>
      <sheetData sheetId="22">
        <row r="2">
          <cell r="A2" t="str">
            <v>B56500</v>
          </cell>
          <cell r="B2" t="str">
            <v>Sonia Kalra</v>
          </cell>
          <cell r="C2">
            <v>9810512391</v>
          </cell>
          <cell r="D2" t="str">
            <v>C-264, Sushant Lok-1</v>
          </cell>
          <cell r="E2" t="str">
            <v>M G Road</v>
          </cell>
          <cell r="F2" t="str">
            <v>Thursday</v>
          </cell>
          <cell r="G2" t="str">
            <v>By 7 PM</v>
          </cell>
          <cell r="H2">
            <v>21500</v>
          </cell>
          <cell r="I2">
            <v>21500</v>
          </cell>
          <cell r="J2" t="str">
            <v>Special Project</v>
          </cell>
          <cell r="K2" t="str">
            <v>8 Yel Marigold Lari + 4 Rajni Lari + 500 Gm Rose Petal + 3 Arrangements with Lily + Car + Orchid (19/07)</v>
          </cell>
          <cell r="N2" t="str">
            <v>1  del of this cycle   -  1-cycles pmnt   Pending - Collect 21500</v>
          </cell>
          <cell r="O2" t="e">
            <v>#N/A</v>
          </cell>
          <cell r="P2" t="e">
            <v>#N/A</v>
          </cell>
          <cell r="Q2" t="e">
            <v>#N/A</v>
          </cell>
          <cell r="R2" t="e">
            <v>#N/A</v>
          </cell>
          <cell r="S2" t="e">
            <v>#N/A</v>
          </cell>
          <cell r="T2" t="str">
            <v xml:space="preserve">Y Marigold Lari + Big Rajni Lari + B Orchid + P n W n Pur Car + Y Asiatic  8 Bunch + 4 Bunch + 10 + 40 + 8 Rose Petal + Mogra  500 Gm + 200 Gm   </v>
          </cell>
        </row>
        <row r="3">
          <cell r="A3" t="str">
            <v>B56516</v>
          </cell>
          <cell r="B3" t="str">
            <v>Ridhi Heritage</v>
          </cell>
          <cell r="C3">
            <v>9873038855</v>
          </cell>
          <cell r="D3" t="str">
            <v xml:space="preserve"> Flat-704 tower -C  Heritage One sector 62</v>
          </cell>
          <cell r="E3" t="str">
            <v>Ghata</v>
          </cell>
          <cell r="F3" t="str">
            <v>Thursday</v>
          </cell>
          <cell r="G3" t="str">
            <v>By 10 AM</v>
          </cell>
          <cell r="H3">
            <v>700</v>
          </cell>
          <cell r="I3">
            <v>700</v>
          </cell>
          <cell r="J3" t="str">
            <v>Bouquet</v>
          </cell>
          <cell r="K3" t="str">
            <v>2 P Oriental</v>
          </cell>
          <cell r="N3" t="str">
            <v>1  del of this cycle   -  1-cycles pmnt   Pending - Collect 700</v>
          </cell>
          <cell r="O3" t="e">
            <v>#N/A</v>
          </cell>
          <cell r="P3" t="e">
            <v>#N/A</v>
          </cell>
          <cell r="Q3" t="e">
            <v>#N/A</v>
          </cell>
          <cell r="R3" t="e">
            <v>#N/A</v>
          </cell>
          <cell r="S3" t="e">
            <v>#N/A</v>
          </cell>
          <cell r="T3" t="str">
            <v xml:space="preserve">Semi Bloom P Oriental 2     </v>
          </cell>
        </row>
        <row r="4">
          <cell r="A4">
            <v>3122</v>
          </cell>
          <cell r="B4" t="str">
            <v>Abha Ghosh</v>
          </cell>
          <cell r="C4">
            <v>9650001674</v>
          </cell>
          <cell r="D4" t="str">
            <v>6A, Galicia, Raisina Residency, Sec 59</v>
          </cell>
          <cell r="E4" t="str">
            <v>Ghata</v>
          </cell>
          <cell r="F4" t="str">
            <v>Thursday</v>
          </cell>
          <cell r="G4" t="str">
            <v>9 AM - 12 PM</v>
          </cell>
          <cell r="H4">
            <v>1450</v>
          </cell>
          <cell r="I4">
            <v>362.5</v>
          </cell>
          <cell r="J4" t="str">
            <v>Bliss</v>
          </cell>
          <cell r="K4" t="str">
            <v>Returned yesterday (07/11)</v>
          </cell>
          <cell r="N4" t="str">
            <v>2  del of this cycle   -  0-cycles pmnt   Completed - Collect 0</v>
          </cell>
          <cell r="O4" t="str">
            <v>Sunflower ( 12 Inch ) 4     FF Sachet + Grass</v>
          </cell>
          <cell r="P4" t="str">
            <v>B Daisy ( 12 Inch ) 16     Grass</v>
          </cell>
          <cell r="Q4" t="str">
            <v>P Asiatic ( 14 Inch ) 3     Grass</v>
          </cell>
          <cell r="R4" t="str">
            <v>Rajni ( 14 Inch ) 16     Grass</v>
          </cell>
          <cell r="S4" t="str">
            <v>G n W Car ( 14 Inch ) 16     FF Sachet + Grass</v>
          </cell>
          <cell r="T4" t="str">
            <v>P n Y Spray Daisy ( 14 Inch ) 5     FF Sachet + Grass</v>
          </cell>
        </row>
        <row r="5">
          <cell r="A5" t="str">
            <v>B56527</v>
          </cell>
          <cell r="B5" t="str">
            <v>Jasbir Singh</v>
          </cell>
          <cell r="C5" t="str">
            <v>9997092561 // 999453496</v>
          </cell>
          <cell r="D5" t="str">
            <v>Amber, 4th Floor, Universal Trade Centre</v>
          </cell>
          <cell r="E5" t="str">
            <v>Sohna Road 1</v>
          </cell>
          <cell r="F5" t="str">
            <v>Friday</v>
          </cell>
          <cell r="G5" t="str">
            <v>By 11 AM</v>
          </cell>
          <cell r="H5">
            <v>0</v>
          </cell>
          <cell r="I5">
            <v>30000</v>
          </cell>
          <cell r="J5" t="str">
            <v>Chcek Flowers</v>
          </cell>
          <cell r="K5" t="str">
            <v>White n Blue color theme// Need to check about wooden basket with orchids</v>
          </cell>
          <cell r="N5" t="str">
            <v>1  del of this cycle   -  0-cycles pmnt   In Process - Collect 0</v>
          </cell>
          <cell r="O5" t="e">
            <v>#N/A</v>
          </cell>
          <cell r="P5" t="e">
            <v>#N/A</v>
          </cell>
          <cell r="Q5" t="e">
            <v>#N/A</v>
          </cell>
          <cell r="R5" t="e">
            <v>#N/A</v>
          </cell>
          <cell r="S5" t="e">
            <v>#N/A</v>
          </cell>
          <cell r="T5" t="str">
            <v xml:space="preserve">Check Wooden Basket with Orchids with Om Prakash      </v>
          </cell>
        </row>
        <row r="6">
          <cell r="A6">
            <v>3270</v>
          </cell>
          <cell r="B6" t="str">
            <v>Tanya Sharma</v>
          </cell>
          <cell r="C6">
            <v>7022251818</v>
          </cell>
          <cell r="D6" t="str">
            <v>T-8/202, Chintel Serenity, Sec 109</v>
          </cell>
          <cell r="E6" t="str">
            <v>Dwarka Expressway</v>
          </cell>
          <cell r="F6" t="str">
            <v>Thursday</v>
          </cell>
          <cell r="G6" t="str">
            <v>4 Pm to 7 PM</v>
          </cell>
          <cell r="H6">
            <v>1950</v>
          </cell>
          <cell r="I6">
            <v>487.5</v>
          </cell>
          <cell r="J6" t="str">
            <v>Joy</v>
          </cell>
          <cell r="K6" t="str">
            <v>No Yellow wn Purple // no Rajni (02/02) No ALstroemeria and do not count last del(19/06) Pls Don’t count last del (26/06)</v>
          </cell>
          <cell r="L6" t="str">
            <v>Rajni n Alstroemeria</v>
          </cell>
          <cell r="M6" t="str">
            <v>No Yellow wn Purple // Stock Next (02/03)</v>
          </cell>
          <cell r="N6" t="str">
            <v>2  del of this cycle   -  0-cycles pmnt   Completed - Collect 0</v>
          </cell>
          <cell r="O6" t="str">
            <v>P Eustoma ( 12 Inch ) 2 Mix Alstroemeria ( 12 inch )  11   FF Sachet + Grass</v>
          </cell>
          <cell r="P6" t="str">
            <v>O Asiatic ( 14 Inch ) 2 Rajni ( 14 Inch ) 11   Grass</v>
          </cell>
          <cell r="Q6" t="str">
            <v>P n Y Spray Daisy ( 14 Inch ) 4 P n W Glad ( 14 Inch ) 11   FF Sachet + Grass</v>
          </cell>
          <cell r="R6" t="str">
            <v>P Asiatic ( 14 Inch ) 2 P n W Car ( 14 Inch ) 11   Grass</v>
          </cell>
          <cell r="S6" t="str">
            <v>Asiatic  2 Mix Car ( 12 Inch ) 11   FF Sachet + Grass</v>
          </cell>
          <cell r="T6" t="str">
            <v>P Eustoma ( 12 Inch ) 2 Mix Glad ( 14 Inch ) 11 NO Yellow n Purple Color  FF Sachet + Grass</v>
          </cell>
        </row>
        <row r="7">
          <cell r="A7">
            <v>3396</v>
          </cell>
          <cell r="B7" t="str">
            <v>Shivani Gogia</v>
          </cell>
          <cell r="C7">
            <v>7838568324</v>
          </cell>
          <cell r="D7" t="str">
            <v>A-105, 1st Floor, Siushant Lok 3, Sec 57</v>
          </cell>
          <cell r="E7" t="str">
            <v>Sector 56</v>
          </cell>
          <cell r="F7" t="str">
            <v>Thursday</v>
          </cell>
          <cell r="G7" t="str">
            <v>9:30 Am to 2 PM</v>
          </cell>
          <cell r="H7">
            <v>1450</v>
          </cell>
          <cell r="I7">
            <v>362.5</v>
          </cell>
          <cell r="J7" t="str">
            <v>Customized</v>
          </cell>
          <cell r="K7" t="str">
            <v>14 rajni</v>
          </cell>
          <cell r="N7" t="str">
            <v>4  del of this cycle   -  0-cycles pmnt   Completed - Collect 0</v>
          </cell>
          <cell r="O7" t="e">
            <v>#N/A</v>
          </cell>
          <cell r="P7" t="e">
            <v>#N/A</v>
          </cell>
          <cell r="Q7" t="str">
            <v>Rajni ( 14 Inch ) 14     Grass</v>
          </cell>
          <cell r="R7" t="str">
            <v>O Asiatic ( ( 14 inch ) 3     FF Sachet + Grass</v>
          </cell>
          <cell r="S7" t="str">
            <v>G n W Car ( 14 Inch ) 16     FF Sachet + Grass</v>
          </cell>
          <cell r="T7" t="str">
            <v>P n Y Spray Daisy ( 14 Inch ) 5     FF Sachet + Grass</v>
          </cell>
        </row>
        <row r="8">
          <cell r="A8">
            <v>2355</v>
          </cell>
          <cell r="B8" t="str">
            <v>Convinience Enterprises-Veena Anand</v>
          </cell>
          <cell r="C8">
            <v>9810031208</v>
          </cell>
          <cell r="D8" t="str">
            <v>307, Aralyas, DLF 5</v>
          </cell>
          <cell r="E8" t="str">
            <v>Golf Course Road</v>
          </cell>
          <cell r="F8" t="str">
            <v>Thursday</v>
          </cell>
          <cell r="G8" t="str">
            <v>By 10 AM</v>
          </cell>
          <cell r="H8">
            <v>2750</v>
          </cell>
          <cell r="I8">
            <v>687.5</v>
          </cell>
          <cell r="J8" t="str">
            <v>Corporate</v>
          </cell>
          <cell r="K8" t="str">
            <v>Skip this Thursday and send on Sunday (20/11)Hold and send on 12th Now (31/12) Do Not count last Del (02/07) Skip 1 week (10/09) Skip 2 week (18/05)</v>
          </cell>
          <cell r="N8" t="str">
            <v>4  del of this cycle   -  0-cycles pmnt   In Process - Collect 0</v>
          </cell>
          <cell r="O8" t="str">
            <v xml:space="preserve">O Asiatic ( 14 Inch ) 6     2 Gypsola </v>
          </cell>
          <cell r="P8" t="e">
            <v>#N/A</v>
          </cell>
          <cell r="Q8" t="e">
            <v>#N/A</v>
          </cell>
          <cell r="R8" t="str">
            <v>Rajni ( 14 Inch ) 32     2 Limonium</v>
          </cell>
          <cell r="S8" t="str">
            <v>P n Y Spray Daisy ( 14 Inch ) 10     2 Gypsola + FF Sachet</v>
          </cell>
          <cell r="T8" t="str">
            <v>O Asiatic ( 14 Inch ) 6     2 Limonium</v>
          </cell>
        </row>
        <row r="9">
          <cell r="A9">
            <v>1181</v>
          </cell>
          <cell r="B9" t="str">
            <v>Parul Sharma --Elation</v>
          </cell>
          <cell r="C9">
            <v>8800895944</v>
          </cell>
          <cell r="D9" t="str">
            <v>Villa-27, The Legend</v>
          </cell>
          <cell r="E9" t="str">
            <v>Artemis</v>
          </cell>
          <cell r="F9" t="str">
            <v>Thursday</v>
          </cell>
          <cell r="G9" t="str">
            <v>9 AM to 2 PM</v>
          </cell>
          <cell r="H9">
            <v>1950</v>
          </cell>
          <cell r="I9">
            <v>487.5</v>
          </cell>
          <cell r="J9" t="str">
            <v>Joy</v>
          </cell>
          <cell r="K9" t="str">
            <v>Tuesday and Thursday//Change day to Thursday(21/12) Car Next(18/01) NO ORCHIDS(20/01) Car Next(02/02) Sending on 20th instaed of 21st,bcoz of Holi(18/03) Today FF Sent(11/04) Paytm from ritu Kaur(12/04) Send replacement(12/04) Send Special Pack(08/05) Received payment of special pack(10/05) Hold n start from 2nd week of july(04/060 Inform Before sending(01/07) Start from next week(10/07) Sending on 14th instrad of 15th Aug(13/08) Today Hold-send tom(26/09) Send double del tom(23/10) R car Tom(15/01) Send Replacement tom(27/02) Hold n start from 3rd week of April(18/03) NO Rose n NO Orchids----Send R Car Next(21/12) Rajnigandha Next(12/01) Replace ment next and send Flower food(10/04) Recvd 250 from Gpay(15/07) Return-not at home(14/09) Shift to Elation(18/10) Skip 1 week(27/06) Hold n start from July (12/06) Hold due to non Payment (15/01) Paytm From Vinay Deopujari (26/02)</v>
          </cell>
          <cell r="M9" t="str">
            <v>Before 11:30 AM</v>
          </cell>
          <cell r="N9" t="str">
            <v>3  del of this cycle   -  0-cycles pmnt   Completed - Collect 0</v>
          </cell>
          <cell r="O9" t="str">
            <v>P n Y Spray Daisy ( 14 Inch ) 7     FF Sachet + Grass</v>
          </cell>
          <cell r="P9" t="str">
            <v>P n W Car ( 14 inch ) 22     FF Sachet + Grass</v>
          </cell>
          <cell r="Q9" t="str">
            <v>Sunflower ( 12 Inch ) 5     FF Sachet + Grass</v>
          </cell>
          <cell r="R9" t="str">
            <v>W Asiatic ( 14 Inch ) 4     Grass</v>
          </cell>
          <cell r="S9" t="str">
            <v>Mix Alstroemeria ( 12 Inch ) 22     FF Sachet + Grass</v>
          </cell>
          <cell r="T9" t="str">
            <v>G n W Car ( 14 inch ) 22     FF Sachet + Grass</v>
          </cell>
        </row>
        <row r="10">
          <cell r="A10" t="str">
            <v>G-00066</v>
          </cell>
          <cell r="B10" t="str">
            <v>Aastha Vernma</v>
          </cell>
          <cell r="C10">
            <v>8581860035</v>
          </cell>
          <cell r="D10" t="str">
            <v>T-3/604, Takshila Heights, Sec 37 C</v>
          </cell>
          <cell r="E10" t="str">
            <v>Old Gurgaon</v>
          </cell>
          <cell r="F10" t="str">
            <v>Thursday</v>
          </cell>
          <cell r="G10" t="str">
            <v>4 PM to 7PM</v>
          </cell>
          <cell r="H10">
            <v>1450</v>
          </cell>
          <cell r="I10">
            <v>362.5</v>
          </cell>
          <cell r="J10" t="str">
            <v>Bliss</v>
          </cell>
          <cell r="K10" t="str">
            <v>From Srishti Verma</v>
          </cell>
          <cell r="N10" t="str">
            <v>2  del of this cycle   -  0-cycles pmnt   Completed - Collect 0</v>
          </cell>
          <cell r="O10" t="e">
            <v>#N/A</v>
          </cell>
          <cell r="P10" t="e">
            <v>#N/A</v>
          </cell>
          <cell r="Q10" t="e">
            <v>#N/A</v>
          </cell>
          <cell r="R10" t="e">
            <v>#N/A</v>
          </cell>
          <cell r="S10" t="str">
            <v>G n W Car ( 14 Inch ) 16     FF Sachet + Grass</v>
          </cell>
          <cell r="T10" t="str">
            <v>O Asiatic ( 14 Inch ) 3     Grass</v>
          </cell>
        </row>
        <row r="11">
          <cell r="A11">
            <v>3411</v>
          </cell>
          <cell r="B11" t="str">
            <v>Chetna Bhardwaj</v>
          </cell>
          <cell r="C11">
            <v>8810598664</v>
          </cell>
          <cell r="D11" t="str">
            <v>A1/22C, ILD Grand Sec 37 C</v>
          </cell>
          <cell r="E11" t="str">
            <v>Dwarka Expressway</v>
          </cell>
          <cell r="F11" t="str">
            <v>Thursday</v>
          </cell>
          <cell r="G11" t="str">
            <v>4 PM to 7 PM</v>
          </cell>
          <cell r="H11">
            <v>1450</v>
          </cell>
          <cell r="I11">
            <v>362.5</v>
          </cell>
          <cell r="J11" t="str">
            <v>Bliss</v>
          </cell>
          <cell r="N11" t="str">
            <v>2  del of this cycle   -  0-cycles pmnt   Completed - Collect 0</v>
          </cell>
          <cell r="O11" t="e">
            <v>#N/A</v>
          </cell>
          <cell r="P11" t="e">
            <v>#N/A</v>
          </cell>
          <cell r="Q11" t="e">
            <v>#N/A</v>
          </cell>
          <cell r="R11" t="e">
            <v>#N/A</v>
          </cell>
          <cell r="S11" t="e">
            <v>#N/A</v>
          </cell>
          <cell r="T11" t="str">
            <v>O Asiatic ( 14 Inch ) 3     Grass</v>
          </cell>
        </row>
        <row r="12">
          <cell r="A12">
            <v>3144</v>
          </cell>
          <cell r="B12" t="str">
            <v>Samar Singh</v>
          </cell>
          <cell r="C12">
            <v>9582363043</v>
          </cell>
          <cell r="D12" t="str">
            <v>C-13, DLF Icon</v>
          </cell>
          <cell r="E12" t="str">
            <v>DLF Phase 5</v>
          </cell>
          <cell r="F12" t="str">
            <v>Thursday</v>
          </cell>
          <cell r="G12" t="str">
            <v>9 AM to 2 PM</v>
          </cell>
          <cell r="H12">
            <v>1450</v>
          </cell>
          <cell r="I12">
            <v>362.5</v>
          </cell>
          <cell r="J12" t="str">
            <v>Bliss</v>
          </cell>
          <cell r="K12" t="str">
            <v>Mixed Flowers // Day Changed to Sunday (20/12) Day Changed to Thursday (10/01) Skip 2 week (11/02) Send one Del tom (07/07)</v>
          </cell>
          <cell r="M12" t="str">
            <v>Mixed Flowers</v>
          </cell>
          <cell r="N12" t="str">
            <v>4  del of this cycle   -  0-cycles pmnt   Completed - Collect 0</v>
          </cell>
          <cell r="O12" t="e">
            <v>#N/A</v>
          </cell>
          <cell r="P12" t="str">
            <v>Sunflower ( 12 Inch) 2 P n W Car ( 14 Inch ) 7   FF Sachet + Grass</v>
          </cell>
          <cell r="Q12" t="str">
            <v>Pur Eustoma ( 12 Inch ) 2 Rajni ( 14 Inch ) 7   FF Sachet + Grass</v>
          </cell>
          <cell r="R12" t="e">
            <v>#N/A</v>
          </cell>
          <cell r="S12" t="str">
            <v>P Spray Daisy ( 14 Inch ) 3 Carnation 7   FF Sachet + Grass</v>
          </cell>
          <cell r="T12" t="str">
            <v>O Asiatic ( 14 Inch ) 2 Mix Glad ( 14 Inch ) 7   Grass</v>
          </cell>
        </row>
        <row r="13">
          <cell r="A13">
            <v>3051</v>
          </cell>
          <cell r="B13" t="str">
            <v>Ishita Sinha</v>
          </cell>
          <cell r="C13">
            <v>8587979620</v>
          </cell>
          <cell r="D13" t="str">
            <v>C1/102, Unitech The Residencies, Sec 33</v>
          </cell>
          <cell r="E13" t="str">
            <v>Sohna Road 2</v>
          </cell>
          <cell r="F13" t="str">
            <v>Thursday</v>
          </cell>
          <cell r="G13" t="str">
            <v>4 PM to 7 PM</v>
          </cell>
          <cell r="H13">
            <v>1740</v>
          </cell>
          <cell r="I13">
            <v>435</v>
          </cell>
          <cell r="J13" t="str">
            <v>Collection Only</v>
          </cell>
          <cell r="K13" t="str">
            <v>4 Sunflowers every week (17/12) 3 Asiatic every week (16/01) HDTNP (26/02) HDTNP (11/06) HDTNP ( 18 /6) HDTNP ( 25 /06) HDTNP (02/07) HDTNP (09/07)</v>
          </cell>
          <cell r="N13" t="str">
            <v>3  del of this cycle   -  1-cycles pmnt   Pending - Collect 1740</v>
          </cell>
          <cell r="O13" t="str">
            <v xml:space="preserve">Sunflower ( 12 Inch ) 4 G Spray Daisy ( 14 Inch ) 4   </v>
          </cell>
          <cell r="P13" t="e">
            <v>#N/A</v>
          </cell>
          <cell r="Q13" t="e">
            <v>#N/A</v>
          </cell>
          <cell r="R13" t="e">
            <v>#N/A</v>
          </cell>
          <cell r="S13" t="e">
            <v>#N/A</v>
          </cell>
          <cell r="T13" t="str">
            <v xml:space="preserve">Collect Rs 435 Carry Receipt Book Pls Ensure Collection Pls Ensure Collection Pls Ensure Collection Pls Ensure Collection </v>
          </cell>
        </row>
        <row r="14">
          <cell r="A14">
            <v>244</v>
          </cell>
          <cell r="B14" t="str">
            <v>Garima jain</v>
          </cell>
          <cell r="C14">
            <v>9958581403</v>
          </cell>
          <cell r="D14" t="str">
            <v xml:space="preserve"> G-901, Central Park 1, Golf Course Road    Sec 42 Gurgaon  122002</v>
          </cell>
          <cell r="E14" t="str">
            <v>Golf Course Road</v>
          </cell>
          <cell r="F14" t="str">
            <v>Thursday</v>
          </cell>
          <cell r="G14" t="str">
            <v>9 AM - 12 PM</v>
          </cell>
          <cell r="H14">
            <v>1450</v>
          </cell>
          <cell r="I14">
            <v>1450</v>
          </cell>
          <cell r="J14" t="str">
            <v>Bliss</v>
          </cell>
          <cell r="K14" t="str">
            <v>Sat to Thurs//Flowers other than Car pl (21/07)Send on Sunday instead of sat this week(19/10) Upgrade to 650 Plan(03/05) Add changed(13/07) NO CAR(07/09) Send a replacement (06/10) NO CAR(13/12) 200 Paytm Done(14/12) paytm of 200 from Anuj sarin(14/12) Sending 30th Del on 29th May(28/05/2020) ONLY LILIES(23/08/20) Day Changed to Saturday(14/10) Skip this week an semd next week(13/03) Hold n start from 29th Jan(25/12 ) Received 200 today via Gpay(26/12) Diff Flowesr every week(08/04)  Sent replacement today(22/04) Skip 1 week(17/06) Today Returned (13/06) Do not Count last Del (17/08) Skip 1 week (22/12) Skip 2 week (23/05) Send on sunday this week (01/10) Return-not at home (23/10) One Payment of 1000 received on 05th Feb (06/03) Returned (04/06)</v>
          </cell>
          <cell r="N14" t="str">
            <v>1  del of this cycle   -  1-cycles pmnt   Pending - Collect 1450</v>
          </cell>
          <cell r="O14" t="str">
            <v>Pur n P Car ( 14 inch ) 9     Grass</v>
          </cell>
          <cell r="P14" t="str">
            <v>Pur Eustoma ( 12 Inch ) 3     FF Sachet + Grass</v>
          </cell>
          <cell r="Q14" t="str">
            <v>Rajni ( 14 Inch ) 16     Grass</v>
          </cell>
          <cell r="R14" t="str">
            <v>O Asiatic ( 14 Inch ) 3     Grass</v>
          </cell>
          <cell r="S14" t="str">
            <v>P n Y Spray Daisy ( 14 Inch ) 5     FF Sachet + Grass</v>
          </cell>
          <cell r="T14" t="str">
            <v>Mix Glad ( 14 Inch ) 16     Grass</v>
          </cell>
        </row>
        <row r="15">
          <cell r="A15">
            <v>221</v>
          </cell>
          <cell r="B15" t="str">
            <v>Convinience Enterprises-Sonali anand</v>
          </cell>
          <cell r="C15">
            <v>9810524040</v>
          </cell>
          <cell r="D15" t="str">
            <v>E-243 belaire apartments</v>
          </cell>
          <cell r="E15" t="str">
            <v>Golf Course Road</v>
          </cell>
          <cell r="F15" t="str">
            <v>Thursday</v>
          </cell>
          <cell r="G15" t="str">
            <v>9 AM - 12 PM</v>
          </cell>
          <cell r="H15">
            <v>2750</v>
          </cell>
          <cell r="I15">
            <v>687.5</v>
          </cell>
          <cell r="J15" t="str">
            <v>Corporate</v>
          </cell>
          <cell r="K15" t="str">
            <v>No Roses (21/06) Pls send red glad to her in next del(07/07) Never send Glad(13/07)  Skip 1 week(01/06) Collect cheque tom(10/06) Send Replacement tom(23/06) Skip this week(23/08) Skip 1 week (16/11) Skip this week and send on 8th (27/12) Don’t send on 9th-send on 13th (07/02) Skip this week and send on Tuesday(26/02) Due to Mar end Cycle broken (20/03) Hold today send on sunday (06/04) Skip 1 week (09/05) Hold till 26th June (07/06) Skip 1 week (24/10) Skip 2 week (21/11) Skip 2 week (02/01) Skip 1 week (26/03) Skip Tom (22/05) No Flowers till 9th July (23/06) Skip 1 week (04/11) Hold n sned on 12th now (31/12) Hold n start from // Skip 1 week (19/08) Skip this thursday and send on sunday (12/11) Skip 1 week (30/03) Next del on 21st and then every thursday (08/06)</v>
          </cell>
          <cell r="N15" t="str">
            <v>2  del of this cycle   -  0-cycles pmnt   In Process - Collect 0</v>
          </cell>
          <cell r="O15" t="e">
            <v>#N/A</v>
          </cell>
          <cell r="P15" t="e">
            <v>#N/A</v>
          </cell>
          <cell r="Q15" t="str">
            <v xml:space="preserve">P Asiatic ( 14 Inch ) 6     </v>
          </cell>
          <cell r="R15" t="str">
            <v>R n W Car ( 14 Inch ) 32     2 Limonium + FF Sachet</v>
          </cell>
          <cell r="S15" t="str">
            <v>P n Y Spray Daisy ( 14 Inch ) 10     2 Gypsola + FF Sachet</v>
          </cell>
          <cell r="T15" t="str">
            <v>O Asiatic ( 14 Inch ) 6     2 Limonium</v>
          </cell>
        </row>
        <row r="16">
          <cell r="A16">
            <v>3133</v>
          </cell>
          <cell r="B16" t="str">
            <v>Anastasiia Liapicheva</v>
          </cell>
          <cell r="C16" t="str">
            <v>7678659573 // '+79029329098</v>
          </cell>
          <cell r="D16" t="str">
            <v>B1/602, Palm Groove Heights, Ardee City Sec 52</v>
          </cell>
          <cell r="E16" t="str">
            <v>Sushant Estate</v>
          </cell>
          <cell r="F16" t="str">
            <v>Thursday</v>
          </cell>
          <cell r="G16" t="str">
            <v>9 AM - 12 PM</v>
          </cell>
          <cell r="H16">
            <v>1450</v>
          </cell>
          <cell r="I16">
            <v>362.5</v>
          </cell>
          <cell r="J16" t="str">
            <v>Bliss</v>
          </cell>
          <cell r="K16" t="str">
            <v>No Lilies (02/11) No White Greens (02/12) Skip 1 week (07/01) skip 1 week (27/01) No Sunflower (06/03) Skip 1 week (06/06)</v>
          </cell>
          <cell r="L16" t="str">
            <v>Lily n Sunflower n White Greens</v>
          </cell>
          <cell r="M16" t="str">
            <v>No White Greens n Mixed Flowers</v>
          </cell>
          <cell r="N16" t="str">
            <v>3  del of this cycle   -  0-cycles pmnt   Completed - Collect 0</v>
          </cell>
          <cell r="O16" t="str">
            <v>O Asiatic ( 14 Inch ) 2 P n W Glad ( 14 Inch ) 7   Grass</v>
          </cell>
          <cell r="P16" t="str">
            <v>Y Spray Daisy 3 P n W Car ( 14 Inch ) 7   FF Sachet + Grass</v>
          </cell>
          <cell r="Q16" t="str">
            <v>P Eustoma ( 12 Inch ) 2 Rajni ( 14 Inch ) 7   FF Sachet + Grass</v>
          </cell>
          <cell r="R16" t="str">
            <v>W Asiatic ( 14 Inch ) 2 Mix Alstroemeria ( 12 Inch ) 7   Grass</v>
          </cell>
          <cell r="S16" t="str">
            <v>P Spray Daisy ( 14 Inch ) 3 P n W Glad ( 14 Inch ) 7   FF Sachet + Grass</v>
          </cell>
          <cell r="T16" t="str">
            <v>Pur Eustoma ( 12 Inch ) 2 G n W Car ( 14 Inch ) 7   FF Sachet + Grass</v>
          </cell>
        </row>
        <row r="17">
          <cell r="A17" t="str">
            <v>G-00028</v>
          </cell>
          <cell r="B17" t="str">
            <v>Niharika Mohanty</v>
          </cell>
          <cell r="C17">
            <v>9711098608</v>
          </cell>
          <cell r="D17" t="str">
            <v>W2A-151, Wellington Estate</v>
          </cell>
          <cell r="E17" t="str">
            <v>DLF Phase 5</v>
          </cell>
          <cell r="F17" t="str">
            <v>Thursday</v>
          </cell>
          <cell r="G17" t="str">
            <v>10 AM to 2:30 PM</v>
          </cell>
          <cell r="H17">
            <v>1950</v>
          </cell>
          <cell r="I17">
            <v>487.5</v>
          </cell>
          <cell r="J17" t="str">
            <v>Joy</v>
          </cell>
          <cell r="K17" t="str">
            <v>From Akriti Chopra // Mixed Flowers // Skip this week (11/03) Skip 1 week (11/03)  Skip 2 week (18/06) Skip 1 week (13/08) Skip 1 week (14/10) Skip 2 weeks (12/11) Skip 1 week (03/12) Skip 1 week (03/01) Hold today (21/05) Skip tom (03/06) Skip today and next week (18/06(</v>
          </cell>
          <cell r="M17" t="str">
            <v>Mixed Flowers</v>
          </cell>
          <cell r="N17" t="str">
            <v>4  del of this cycle   -  1-cycles pmnt   Pending - Collect 1950</v>
          </cell>
          <cell r="O17" t="str">
            <v>Sunflower ( 12 Inch ) 3 Mix Alstroemeria ( 12 inch )  11   FF Sachet + Grass</v>
          </cell>
          <cell r="P17" t="e">
            <v>#N/A</v>
          </cell>
          <cell r="Q17" t="str">
            <v>P Eustoma ( 12 Inch ) 2 Pur n W Car ( 14 Inch ) 11   FF Sachet + Grass</v>
          </cell>
          <cell r="R17" t="str">
            <v>P Asiatic ( 14 Inch ) 2 Rajni ( 14 Inch ) 11 Collect Payment Collect Payment Grass</v>
          </cell>
          <cell r="S17" t="str">
            <v>P n W Spray Daisy ( 14 Inch ) 4 P n W Glad ( 14 Inch ) 11   FF Sachet + Grass</v>
          </cell>
          <cell r="T17" t="str">
            <v>Sunflower ( 12 Inch ) 3 Mix Alstroemeria ( 12 Inch ) 11 Ensure Collection Ensure Collection FF Sachet + Grass</v>
          </cell>
        </row>
        <row r="18">
          <cell r="A18">
            <v>2204</v>
          </cell>
          <cell r="B18" t="str">
            <v>Bidisha Dey</v>
          </cell>
          <cell r="C18">
            <v>9811969982</v>
          </cell>
          <cell r="D18" t="str">
            <v>C-24, Carlton Estate-1, Club Drive</v>
          </cell>
          <cell r="E18" t="str">
            <v>DLF Phase 5</v>
          </cell>
          <cell r="F18" t="str">
            <v>Thursday</v>
          </cell>
          <cell r="G18" t="str">
            <v>9:30 Am to 2 PM</v>
          </cell>
          <cell r="H18">
            <v>1450</v>
          </cell>
          <cell r="I18">
            <v>362.5</v>
          </cell>
          <cell r="J18" t="str">
            <v>Bliss</v>
          </cell>
          <cell r="K18" t="str">
            <v>Skip 1 week (03/06) Returned send next week (11/07) Skip 1 week (08/01) Skip 1 week (26/03) Skip tom (02/07) Today Returned (20/11) HDTNP (25/06)</v>
          </cell>
          <cell r="N18" t="str">
            <v>3  del of this cycle   -  0-cycles pmnt   Completed - Collect 0</v>
          </cell>
          <cell r="O18" t="str">
            <v>Sunflower ( 12 Inch ) 4     FF Sachet + Grass</v>
          </cell>
          <cell r="P18" t="e">
            <v>#N/A</v>
          </cell>
          <cell r="Q18" t="str">
            <v>P Asiatic ( 14 Inch ) 3    Collect payment Grass</v>
          </cell>
          <cell r="R18" t="str">
            <v>Rajni ( 14 Inch ) 16     Grass</v>
          </cell>
          <cell r="S18" t="str">
            <v>G n W Car ( 14 Inch ) 16     FF Sachet + Grass</v>
          </cell>
          <cell r="T18" t="str">
            <v>P n Y Spray Daisy ( 14 Inch ) 5     FF Sachet + Grass</v>
          </cell>
        </row>
        <row r="19">
          <cell r="A19">
            <v>2644</v>
          </cell>
          <cell r="B19" t="str">
            <v>Sanjeet Kaur</v>
          </cell>
          <cell r="C19">
            <v>7889438209</v>
          </cell>
          <cell r="D19" t="str">
            <v>601, Emerald Green, Sector 52</v>
          </cell>
          <cell r="E19" t="str">
            <v>Artemis</v>
          </cell>
          <cell r="F19" t="str">
            <v>Thursday</v>
          </cell>
          <cell r="G19" t="str">
            <v>9:30 Am to 2 PM</v>
          </cell>
          <cell r="H19">
            <v>1450</v>
          </cell>
          <cell r="I19">
            <v>362.5</v>
          </cell>
          <cell r="J19" t="str">
            <v>Bliss</v>
          </cell>
          <cell r="K19" t="str">
            <v>1 Gypsola in each Del (16/05) Paytm From Arshia Kaur (13/06) Paytm From Yogpal Singh (20/12) Do not count todays delivery (30/04)</v>
          </cell>
          <cell r="M19" t="str">
            <v>1 Gyposla in each Del</v>
          </cell>
          <cell r="N19" t="str">
            <v>3  del of this cycle   -  0-cycles pmnt   Completed - Collect 0</v>
          </cell>
          <cell r="O19" t="str">
            <v>Y Spray Daisy ( 14 Inch ) 3     1 Gypsola + FF Sachet</v>
          </cell>
          <cell r="P19" t="str">
            <v>B Daisy ( 12 Inch ) 9     Grass</v>
          </cell>
          <cell r="Q19" t="str">
            <v>P Asiatic ( 14 Inch ) 2     Grass</v>
          </cell>
          <cell r="R19" t="str">
            <v>Pur n P Car ( 14 Inch ) 16     FF Sachet + Grass</v>
          </cell>
          <cell r="S19" t="str">
            <v>P n Y Spray Daisy ( 14 Inch ) 5     FF Sachet + Grass</v>
          </cell>
          <cell r="T19" t="str">
            <v>Mix Glad ( 14 Inch ) 16     Grass</v>
          </cell>
        </row>
        <row r="20">
          <cell r="A20">
            <v>2200</v>
          </cell>
          <cell r="B20" t="str">
            <v>Naina Gandhi</v>
          </cell>
          <cell r="C20">
            <v>9811188863</v>
          </cell>
          <cell r="D20" t="str">
            <v>K2/105, Central Park -1</v>
          </cell>
          <cell r="E20" t="str">
            <v>Golf Course Road</v>
          </cell>
          <cell r="F20" t="str">
            <v>Thursday</v>
          </cell>
          <cell r="G20" t="str">
            <v>9 AM - 12 PM</v>
          </cell>
          <cell r="H20">
            <v>2300</v>
          </cell>
          <cell r="I20">
            <v>287.5</v>
          </cell>
          <cell r="J20" t="str">
            <v>Felicity</v>
          </cell>
          <cell r="K20" t="str">
            <v>Thursday n Sunday//Send Replacement tom (17/01) No Spray Daisy (19/02) Skip 4th Del (07/05) Do not count last del (29/08) No Flowers Tom (28/09) Skip this Thursday (01/10) Hold till 10th Nov (25/10) Hold this Sunday (13/12) Skip 1 week (01/02) Skip 1 week (16/02) Hold and start from May(28/03) Hold n start from 1st June (22/05) Skip 2 week (22/06) Skip tom (26/07) Skip 1 week (04/10) Hold tom (25/10) Skip 2 week (31/10) Skip 1 week 1 week (22/11) Skip this thursday (10/12) Skip 2 week (20/12) Skip sunday (07/01) Hold from 23rd May to 14th JUne (19/05) Skip 1 week and send on Monday (23/06)</v>
          </cell>
          <cell r="L20" t="str">
            <v>SPRAY DAISY</v>
          </cell>
          <cell r="M20" t="str">
            <v>Check for Bi weekly package</v>
          </cell>
          <cell r="N20" t="str">
            <v>7  del of this cycle   -  0-cycles pmnt   Completed - Collect 0</v>
          </cell>
          <cell r="O20" t="str">
            <v>P n W Glad ( 14 Inch ) 11     Grass</v>
          </cell>
          <cell r="P20" t="e">
            <v>#N/A</v>
          </cell>
          <cell r="Q20" t="str">
            <v>Pur n P Car ( 14 Inch ) 11     FF Sachet + Grass</v>
          </cell>
          <cell r="R20" t="str">
            <v>B Daisy ( 12 Inch ) 11     Grass</v>
          </cell>
          <cell r="S20" t="str">
            <v>P n W Glad ( 14 Inch ) 11     Grass</v>
          </cell>
          <cell r="T20" t="str">
            <v>G n W Car ( 14 inch ) 11     FF Sachet + Grass</v>
          </cell>
        </row>
        <row r="21">
          <cell r="A21">
            <v>179</v>
          </cell>
          <cell r="B21" t="str">
            <v>Sarita Dosaj</v>
          </cell>
          <cell r="C21">
            <v>9810077026</v>
          </cell>
          <cell r="D21" t="str">
            <v>B-24, Trinity Towers</v>
          </cell>
          <cell r="E21" t="str">
            <v>DLF Phase 5</v>
          </cell>
          <cell r="F21" t="str">
            <v>Thursday</v>
          </cell>
          <cell r="G21" t="str">
            <v>9 AM - 12 PM</v>
          </cell>
          <cell r="H21">
            <v>1450</v>
          </cell>
          <cell r="I21">
            <v>362.5</v>
          </cell>
          <cell r="J21" t="str">
            <v>Bliss</v>
          </cell>
          <cell r="K21" t="str">
            <v>One Color Flower ( 06/06) HDTNP (25/06)</v>
          </cell>
          <cell r="M21" t="str">
            <v>One Color Flower ( 06/06)</v>
          </cell>
          <cell r="N21" t="str">
            <v>2  del of this cycle   -  1-cycles pmnt   Pending - Collect 1450</v>
          </cell>
          <cell r="O21" t="str">
            <v>O Asiatic ( 14 Inch ) 3 Collect Cash Collect Cash    Grass</v>
          </cell>
          <cell r="P21" t="e">
            <v>#N/A</v>
          </cell>
          <cell r="Q21" t="str">
            <v>Sunflower ( 12 Inch ) 4    Collect payment FF Sachet + Grass</v>
          </cell>
          <cell r="R21" t="str">
            <v>P n W Car ( 14 Inch ) 16     FF Sachet + Grass</v>
          </cell>
          <cell r="S21" t="str">
            <v>P n W Spray Daisy ( 14 Inch ) 5     FF Sachet + Grass</v>
          </cell>
          <cell r="T21" t="str">
            <v>P Glad ( 14 Inch ) 16 Ensure Collection Ensure Collection Ensure Collection  Grass</v>
          </cell>
        </row>
        <row r="22">
          <cell r="A22">
            <v>172</v>
          </cell>
          <cell r="B22" t="str">
            <v>Rachna Rathee</v>
          </cell>
          <cell r="C22">
            <v>9811779661</v>
          </cell>
          <cell r="D22" t="str">
            <v xml:space="preserve">DX-106 flat no,Kendriya vihar Sector 56
</v>
          </cell>
          <cell r="E22" t="str">
            <v>Sector 56</v>
          </cell>
          <cell r="F22" t="str">
            <v>Thursday</v>
          </cell>
          <cell r="G22" t="str">
            <v>9 AM - 12 PM</v>
          </cell>
          <cell r="H22">
            <v>1450</v>
          </cell>
          <cell r="I22">
            <v>362.5</v>
          </cell>
          <cell r="J22" t="str">
            <v>Bliss</v>
          </cell>
          <cell r="K22" t="str">
            <v>Sendng rtrnd of 30 th on 1st(30/06)Retrnd pls send white Orchid(30/06) NO GERBERA(04/08) Paytm from raj Singh(08/12) Skip 1 week(21/12) NO Daisy(12/01) Hold n sned after 15th Apr(29/03) Hold n start after 10th Sep(30/08) NO DAISY(09/11) NO ROSE(21/12) Today return-send tom(10/10/20) Sending Del Tom due to Diwali(11/11) Referal payout of 162 added against Mr. Shoran(030/11) Referal credit added with ref to Apala das Gupta(29/03) Today hold and send after 11th May and ask before del(30/04) Hold till 28th Feb (10/02) Hold 3 Weeks (10/07) No Blue Orchid (23/10) Extra added against less mogra in Diwali Flowers (26/11) send replacement tom (04/07) Hold she will confirm when to start (13/05) No Gerbera (07/08) Send replacement tom (27/03)</v>
          </cell>
          <cell r="L22" t="str">
            <v>BLUE ORCHID n GERBERA</v>
          </cell>
          <cell r="N22" t="str">
            <v>1  del of this cycle   -  0-cycles pmnt   Completed - Collect 0</v>
          </cell>
          <cell r="O22" t="e">
            <v>#N/A</v>
          </cell>
          <cell r="P22" t="e">
            <v>#N/A</v>
          </cell>
          <cell r="Q22" t="str">
            <v>Pur n P Car ( 14 Inch ) 16     FF Sachet + Grass</v>
          </cell>
          <cell r="R22" t="str">
            <v>Sunflower ( 12 Inch ) 4     FF Sachet + Grass</v>
          </cell>
          <cell r="S22" t="str">
            <v>P n Y Spray Daisy ( 14 Inch ) 5     FF Sachet + Grass</v>
          </cell>
          <cell r="T22" t="str">
            <v>Mix Glad ( 14 Inch ) 16     Grass</v>
          </cell>
        </row>
        <row r="23">
          <cell r="A23">
            <v>2307</v>
          </cell>
          <cell r="B23" t="str">
            <v>Alpna Jain</v>
          </cell>
          <cell r="C23">
            <v>9599336609</v>
          </cell>
          <cell r="D23" t="str">
            <v>C-64, The Icon</v>
          </cell>
          <cell r="E23" t="str">
            <v>DLF Phase 5</v>
          </cell>
          <cell r="F23" t="str">
            <v>Thursday</v>
          </cell>
          <cell r="G23" t="str">
            <v>10 AM to 2:30 PM</v>
          </cell>
          <cell r="H23">
            <v>3000</v>
          </cell>
          <cell r="I23">
            <v>375</v>
          </cell>
          <cell r="J23" t="str">
            <v>Charm</v>
          </cell>
          <cell r="K23" t="str">
            <v>Thursday n Sunday // Hold today (08/02) Keep flowers outside of Door (17/05)</v>
          </cell>
          <cell r="M23" t="str">
            <v>Keep flowers outside of door always</v>
          </cell>
          <cell r="N23" t="str">
            <v>2  del of this cycle   -  1-cycles pmnt   Pending - Collect 3000</v>
          </cell>
          <cell r="O23" t="str">
            <v>Pur n P Eustoma ( 12 Inch ) 4 Leave Outside of door -- Don’t call n don’t ring bell    FF Sachet + Grass</v>
          </cell>
          <cell r="P23" t="str">
            <v>Pur n P Car ( 14 Inch ) 15 Keep Flowers at door-- Don’t call or don’t ring Bell    FF Sachet + Grass</v>
          </cell>
          <cell r="Q23" t="str">
            <v>B Daisy ( 12 Inch ) 15    Collect Payment Grass</v>
          </cell>
          <cell r="R23" t="str">
            <v>Sunflower ( 12 Inch ) 3 Keep Flowers at Door -- Don’t call or Ring the bell    FF Sachet + Grass</v>
          </cell>
          <cell r="S23" t="str">
            <v>P n Y Spray Daisy ( 14 Inch ) 4 Pls Keep at door -- Don’t Call 0r Ring Bell    FF Sachet + Grass</v>
          </cell>
          <cell r="T23" t="str">
            <v>O Asiatic ( 14 Inch ) 2   Ensure Collection Ensure Collection Grass</v>
          </cell>
        </row>
        <row r="24">
          <cell r="A24">
            <v>326</v>
          </cell>
          <cell r="B24" t="str">
            <v>Radhika Surana-- Before 10</v>
          </cell>
          <cell r="C24">
            <v>9871132800</v>
          </cell>
          <cell r="D24" t="str">
            <v>1204, The Magnolias</v>
          </cell>
          <cell r="E24" t="str">
            <v>Golf Course Road</v>
          </cell>
          <cell r="F24" t="str">
            <v>Thursday</v>
          </cell>
          <cell r="G24" t="str">
            <v>9 AM - 12 PM</v>
          </cell>
          <cell r="H24">
            <v>2750</v>
          </cell>
          <cell r="I24">
            <v>687.5</v>
          </cell>
          <cell r="J24" t="str">
            <v>Elation</v>
          </cell>
          <cell r="K24" t="str">
            <v>NO ORCHIDS, Prefer Lilies,Rajni and Gerbera(04/10) 1 week(22/04) Paytm from Anurag Surana(06/06) Paytm from Anurag Surana(02/07)  NO Orchid n BOP (25/01)  Skip 1 week (28/06) Hold 3rd aug and send on 7th Aug (03/08) Today returned (07/08) Skip this thursday and send on Monday (15/08) After 2nd Oct now (27/09) Skip 1 week (21/10) Hold n send after 8th Jan (13/12) Skip 1 week (30/01) Skip tom n sned on 19th (13/03) Skip 23rd and 30th (16/05) Skip 2 weeks and send mext del on 22nd June (12/06) Skip this week n start from tuesday (24/07) Skip 1 week (20/08) Skip 1 week (03/09) Skip 7th n 14th (06/11) Skip 5th Dec Del (02/12) skip 2 week (21/12) Today Returned (23/01) Skip 1 week and send on sunday (22/02) Skip tom and send on monday (05/03) Skip 1 week (19/03) Skip 2 weeks (05/04) Skip 2 weeks (31/05) Skip 1 week (19/08)  No Del on 18th, 25th and 2nd Oct (14/09) Returned today (09/10) Send this week on sunday and then thursday (05/11) Hold today n next weeks (27/11) Skip 1 week (25/12) Skip 1 week (30/03) Skip 4th n 11th June (28/05)</v>
          </cell>
          <cell r="L24" t="str">
            <v>BOP n ORCHID</v>
          </cell>
          <cell r="N24" t="str">
            <v>4  del of this cycle   -  0-cycles pmnt   Completed - Collect 0</v>
          </cell>
          <cell r="O24" t="str">
            <v>Pur n P Car ( 14 inch ) 32     2 Gypsola + FF Sachet</v>
          </cell>
          <cell r="P24" t="str">
            <v>P n W Glad ( 14 Inch ) 32     2 Limonium</v>
          </cell>
          <cell r="Q24" t="str">
            <v>Pur n P Car ( 14 Inch ) 32     2 Gypsola</v>
          </cell>
          <cell r="R24" t="str">
            <v>P Asiatic ( 14 Inch ) 6  Gate Pass Wahab Ke Pass Hai Collect Payment Collect Payment 2 Limonium</v>
          </cell>
          <cell r="S24" t="str">
            <v>P n W Spray Daisy ( 14 Inch ) 10     2 Gypsola + FF Sachet</v>
          </cell>
          <cell r="T24" t="str">
            <v>Mix Alstroemeria ( 12 Inch ) 30     2 Limonium + FF Sachet</v>
          </cell>
        </row>
        <row r="25">
          <cell r="A25">
            <v>888</v>
          </cell>
          <cell r="B25" t="str">
            <v>Ankita Mehta</v>
          </cell>
          <cell r="C25">
            <v>9868169896</v>
          </cell>
          <cell r="D25" t="str">
            <v>1B-71, Wellington Estate</v>
          </cell>
          <cell r="E25" t="str">
            <v>DLF Phase 5</v>
          </cell>
          <cell r="F25" t="str">
            <v>Thursday</v>
          </cell>
          <cell r="G25" t="str">
            <v>9 AM - 12 PM</v>
          </cell>
          <cell r="H25">
            <v>1450</v>
          </cell>
          <cell r="I25">
            <v>362.5</v>
          </cell>
          <cell r="J25" t="str">
            <v>Bliss</v>
          </cell>
          <cell r="K25" t="str">
            <v>Mix of Asiatic n Car(29/07) Send tom instead of Thursday(12/08) GLAD n ORCHID THIS CYCLE(28/08) ONLY LILY n CAR TILL SHE REVOKES n skip this week (04/09) Rajni n Rose Next(28/11) Lilies and Rose in this cycle(11/12)) Mixed Flowers only(30/08) Want Car// Orchid// Lily//Spray Daisy//Glad(19/09)  Flowers only from Car// Orchid// Lily//Spray Daisy//Glad(11/10) This cycle--Glad//BOP//Orchid//Lily(15/10) This cycle-- Glad//BOP//Orchid// Lily(14/11) This cycle-- Rose/Asiatic/BOP/G;ad/Guldawari and Orchid (25/09) No Upgrade-send lilies (19/10) Send nily next and always once in a cycle (15/12) NO SPRAY DAISY n GULDAWARI and sned Asiatic once in 1 cycle (19/01) Skip 1 week (24/01) Skip 1 week (06/03) Skip 1 week (05/ Skip 1 week 916/04)03) Skip 1 week (04/03) Skip 2 week (18/05) Send reaplacement tom (04/07) Sent replacememt todau (26/10) Skip 1 week (13/11) Skip 1 week (24/03) Skip 1 week (16/04) Return today (05/06) Skip 1 week (17/06) Skip 1 week (02/07) Skip 1 week (08/07) Send tom instaed of thursday this week (14/10) Send 1 del of ankita mehra today (21/10) Hold till 14th Jan (18/12) Change to Delight (30/01) Hold today (16/04) Send Replacement Tom (19/06) Skip 1 week (03/07)</v>
          </cell>
          <cell r="L25" t="str">
            <v xml:space="preserve">SPRAY DAISY n GULDAWARI </v>
          </cell>
          <cell r="M25" t="str">
            <v>Change to Deligh next (30/01)</v>
          </cell>
          <cell r="N25" t="str">
            <v>1  del of this cycle   -  1-cycles pmnt   Pending - Collect 1450</v>
          </cell>
          <cell r="O25" t="str">
            <v>Mix Alstroemeria ( 12 Inch ) 16     FF Sachet + Grass</v>
          </cell>
          <cell r="P25" t="str">
            <v>P n W Glad ( 14 Inch ) 16  Collect Payment Collect Payment Collect Payment Grass</v>
          </cell>
          <cell r="Q25" t="str">
            <v>P Asiatic ( 14 Inch ) 3     Grass</v>
          </cell>
          <cell r="R25" t="e">
            <v>#N/A</v>
          </cell>
          <cell r="S25" t="str">
            <v>G n W Car ( 14 Inch ) 16     FF Sachet + Grass</v>
          </cell>
          <cell r="T25" t="str">
            <v>Pur Eustoma ( 12 Inch ) 3     FF Sachet + Grass</v>
          </cell>
        </row>
        <row r="26">
          <cell r="A26">
            <v>2502</v>
          </cell>
          <cell r="B26" t="str">
            <v>Amrita Sarup</v>
          </cell>
          <cell r="C26">
            <v>7028026940</v>
          </cell>
          <cell r="D26" t="str">
            <v>D1/802, Experion Heartsong, Sec 108</v>
          </cell>
          <cell r="E26" t="str">
            <v>Dwarka Expressway</v>
          </cell>
          <cell r="F26" t="str">
            <v>Thursday</v>
          </cell>
          <cell r="G26" t="str">
            <v>4 Pm to 7 PM</v>
          </cell>
          <cell r="H26">
            <v>1450</v>
          </cell>
          <cell r="I26">
            <v>362.5</v>
          </cell>
          <cell r="J26" t="str">
            <v>Bliss</v>
          </cell>
          <cell r="K26" t="str">
            <v>No Asiatic n Spray Daisy // Today Hold (14/08) Replacement tom (04/12) No Orchid (11/12) No BOP n Orchid (12/12) Today Returned -send on Sunday (18/12) Returned today (01/01/26) Next 3 Deliveries with Premium (11/.04)</v>
          </cell>
          <cell r="L26" t="str">
            <v>BOP n Orchid</v>
          </cell>
          <cell r="M26" t="str">
            <v>Next 3 Deliveries with Premium (11/.04)</v>
          </cell>
          <cell r="N26" t="str">
            <v>4  del of this cycle   -  0-cycles pmnt   Completed - Collect 0</v>
          </cell>
          <cell r="O26" t="e">
            <v>#N/A</v>
          </cell>
          <cell r="P26" t="e">
            <v>#N/A</v>
          </cell>
          <cell r="Q26" t="str">
            <v>Pur n P Car ( 14 Inch ) 16     FF Sachet + Grass</v>
          </cell>
          <cell r="R26" t="str">
            <v>O Asiatic ( ( 14 inch ) 3     Grass</v>
          </cell>
          <cell r="S26" t="str">
            <v>Mix Car ( 14 Inch ) 16     Grass</v>
          </cell>
          <cell r="T26" t="str">
            <v>P n Y Spray Daisy ( 14 Inch ) 5     FF Sachet + Grass</v>
          </cell>
        </row>
        <row r="27">
          <cell r="A27">
            <v>2250</v>
          </cell>
          <cell r="B27" t="str">
            <v>Saloni Gupta</v>
          </cell>
          <cell r="C27">
            <v>9810796682</v>
          </cell>
          <cell r="D27" t="str">
            <v>338, 3rd Floor, Espace</v>
          </cell>
          <cell r="E27" t="str">
            <v>Nirvana Country</v>
          </cell>
          <cell r="F27" t="str">
            <v>Sunday</v>
          </cell>
          <cell r="G27" t="str">
            <v>9 AM - 12 PM</v>
          </cell>
          <cell r="H27">
            <v>3088</v>
          </cell>
          <cell r="I27">
            <v>386</v>
          </cell>
          <cell r="J27" t="str">
            <v>Cutsomized-Biweekly</v>
          </cell>
          <cell r="K27" t="str">
            <v>Sunday n Thursday//Pls Keep Flowers in Vase// Paytm from Mayank G (17/03) Sent replacememnt today (23/03) Skip 1 week (10/04) 2 Asiatic and 5 Rajni (27/07) Paytm friom Mayank Gupta (16/09) 2 Asiatic Lily in each delivery (16/10) Today returned (17/11) Skip this sunday (03/01) Thursday -- 10 Rose and 4 Rajni // Sunday - 2 Asiatic (19/01) Whenever possible-send red Roses (23/01) Skip tom (29/01) Today returned (22/05) Send replacement tom (27/07) Hold today (14/08) Do not count last delivery (04/09) Hold today (02/10) Hold today (12/10) Hold after this cycle (27/10) Do not count last del (31/10) 2 Asiatic + 4 Rajni + 4 Glad -- thrice in a week (30/12) 2 Asiatic and 4 Rajni bi weekly pack (08/03) 2 Asiatic and 8 Rajni Every time and send 8 Rajni tom (26/03) Today returned-send tom (19/04) Skip sunday (04/07) Do not count todays del (19/07)</v>
          </cell>
          <cell r="N27" t="str">
            <v>1  del of this cycle   -  1-cycles pmnt   Pending - Collect 3088</v>
          </cell>
          <cell r="O27" t="e">
            <v>#N/A</v>
          </cell>
          <cell r="P27" t="str">
            <v>W Asiatic ( 14 Inch ) 3     Grass</v>
          </cell>
          <cell r="Q27" t="str">
            <v>O Asiatic ( 14 Inch ) 3     Grass</v>
          </cell>
          <cell r="R27" t="str">
            <v>P Asiatic ( 14 Inch ) 2     Grass</v>
          </cell>
          <cell r="S27" t="str">
            <v>O Asiatic ( 14 Inch ) 3     Grass</v>
          </cell>
          <cell r="T27" t="str">
            <v>O Asiatic ( 14 Inch ) 3     Grass</v>
          </cell>
        </row>
        <row r="28">
          <cell r="A28">
            <v>2104</v>
          </cell>
          <cell r="B28" t="str">
            <v>Arun Gupta</v>
          </cell>
          <cell r="C28">
            <v>9999072697</v>
          </cell>
          <cell r="D28" t="str">
            <v>C-22m Arc Stationary</v>
          </cell>
          <cell r="E28" t="str">
            <v>Nirvana Country</v>
          </cell>
          <cell r="F28" t="str">
            <v>Thursday</v>
          </cell>
          <cell r="G28" t="str">
            <v>9 AM to 2 PM</v>
          </cell>
          <cell r="H28">
            <v>400</v>
          </cell>
          <cell r="I28">
            <v>100</v>
          </cell>
          <cell r="J28" t="str">
            <v>Customized</v>
          </cell>
          <cell r="K28" t="str">
            <v>4 Flowers at both Shop</v>
          </cell>
          <cell r="N28" t="str">
            <v>4  del of this cycle   -  0-cycles pmnt   In Process - Collect 0</v>
          </cell>
          <cell r="O28" t="str">
            <v xml:space="preserve">      </v>
          </cell>
          <cell r="P28" t="str">
            <v xml:space="preserve">Broken Flowers  5 1 Shop    </v>
          </cell>
          <cell r="Q28" t="str">
            <v xml:space="preserve">Broken Flowers  5     </v>
          </cell>
          <cell r="R28" t="str">
            <v xml:space="preserve">Broken Flowers  5 1 Shop    </v>
          </cell>
          <cell r="S28" t="str">
            <v xml:space="preserve">Broken Flowers  5 1 Shop    </v>
          </cell>
          <cell r="T28" t="str">
            <v>Broken Flowers  5 1 Shop    Grass</v>
          </cell>
        </row>
        <row r="29">
          <cell r="A29">
            <v>3247</v>
          </cell>
          <cell r="B29" t="str">
            <v>V P Singh</v>
          </cell>
          <cell r="C29">
            <v>9717986555</v>
          </cell>
          <cell r="D29" t="str">
            <v>WT04/701, Experion Windchantsm Sec 112</v>
          </cell>
          <cell r="E29" t="str">
            <v>Dwarka Expressway</v>
          </cell>
          <cell r="F29" t="str">
            <v>Thursday</v>
          </cell>
          <cell r="G29" t="str">
            <v>4 Pm to 7 PM</v>
          </cell>
          <cell r="H29">
            <v>1450</v>
          </cell>
          <cell r="I29">
            <v>362.5</v>
          </cell>
          <cell r="J29" t="str">
            <v>Bliss</v>
          </cell>
          <cell r="K29" t="str">
            <v>Paytm From Vijay Pratap Singh</v>
          </cell>
          <cell r="N29" t="str">
            <v>1  del of this cycle   -  0-cycles pmnt   Completed - Collect 0</v>
          </cell>
          <cell r="O29" t="str">
            <v>Sunflower ( 12 Inch ) 4 With Bouquet in Morning Pls With Bouquet in Morning Pls With Bouquet in Morning Pls  FF Sachet + Grass</v>
          </cell>
          <cell r="P29" t="str">
            <v>Pur Eustoma ( 12 Inch ) 3     FF Sachet + Grass</v>
          </cell>
          <cell r="Q29" t="str">
            <v>O Asiatic ( 14 Inch ) 3     Grass</v>
          </cell>
          <cell r="R29" t="str">
            <v>Rajni ( 14 Inch ) 16     Grass</v>
          </cell>
          <cell r="S29" t="str">
            <v>G n W Car ( 14 Inch ) 16     FF Sachet + Grass</v>
          </cell>
          <cell r="T29" t="str">
            <v>P n Y Spray Daisy ( 14 Inch ) 5     FF Sachet + Grass</v>
          </cell>
        </row>
        <row r="30">
          <cell r="A30" t="str">
            <v>G-00036</v>
          </cell>
          <cell r="B30" t="str">
            <v>Aanchal Boora</v>
          </cell>
          <cell r="C30">
            <v>9654700022</v>
          </cell>
          <cell r="D30" t="str">
            <v>Flat - 1171, Ats Triumph, Wing B, Tower 1, 17th Floor, Sec 104</v>
          </cell>
          <cell r="E30" t="str">
            <v>Dwarka Expressway</v>
          </cell>
          <cell r="F30" t="str">
            <v>Thursday</v>
          </cell>
          <cell r="G30" t="str">
            <v>4 Pm to 7 PM</v>
          </cell>
          <cell r="H30">
            <v>1450</v>
          </cell>
          <cell r="I30">
            <v>362.5</v>
          </cell>
          <cell r="J30" t="str">
            <v>Bliss</v>
          </cell>
          <cell r="K30" t="str">
            <v>From Avni Ahuja // Skip tom (10/12) Paytm From Nitin Kunka // No Orchids (27/01) Skip 1 week (27/02) No Sunflowers (02/05)</v>
          </cell>
          <cell r="L30" t="str">
            <v xml:space="preserve">Orchid n Sunflowers </v>
          </cell>
          <cell r="M30" t="str">
            <v>One Kind</v>
          </cell>
          <cell r="N30" t="str">
            <v>1  del of this cycle   -  1-cycles pmnt   Pending - Collect 1450</v>
          </cell>
          <cell r="O30" t="e">
            <v>#N/A</v>
          </cell>
          <cell r="P30" t="e">
            <v>#N/A</v>
          </cell>
          <cell r="Q30" t="str">
            <v>P Asiatic ( 14 Inch ) 3    Collect Payment Grass</v>
          </cell>
          <cell r="R30" t="str">
            <v>Rajni ( 14 Inch ) 16     Grass</v>
          </cell>
          <cell r="S30" t="str">
            <v>P n Y Spray Daisy ( 14 Inch ) 5     FF Sachet + Grass</v>
          </cell>
          <cell r="T30" t="str">
            <v>G n W Car ( 14 inch ) 16     FF Sachet + Grass</v>
          </cell>
        </row>
        <row r="31">
          <cell r="A31">
            <v>3107</v>
          </cell>
          <cell r="B31" t="str">
            <v>Richa -- Icon</v>
          </cell>
          <cell r="C31">
            <v>9811394916</v>
          </cell>
          <cell r="D31" t="str">
            <v>B-173, the Icon</v>
          </cell>
          <cell r="E31" t="str">
            <v>DLF Phase 5</v>
          </cell>
          <cell r="F31" t="str">
            <v>Thursday</v>
          </cell>
          <cell r="G31" t="str">
            <v>10 AM to 2:30 PM</v>
          </cell>
          <cell r="H31">
            <v>1450</v>
          </cell>
          <cell r="I31">
            <v>362.5</v>
          </cell>
          <cell r="J31" t="str">
            <v>Bliss</v>
          </cell>
          <cell r="K31" t="str">
            <v>Paytm From Ankit Gupta (01/11) Skip 08th and 15th Jan (16/12) Hold till 16th Jan (19/12) Skip 1 week (12/02) Skip 1 week (11/03) Skip 1 week (01/04) Hold n strat from 02nd July (28/05)</v>
          </cell>
          <cell r="N31" t="str">
            <v>4  del of this cycle   -  0-cycles pmnt   Completed - Collect 0</v>
          </cell>
          <cell r="O31" t="e">
            <v>#N/A</v>
          </cell>
          <cell r="P31" t="e">
            <v>#N/A</v>
          </cell>
          <cell r="Q31" t="str">
            <v>Pur n P Car ( 14 Inch ) 16     FF Sachet + Grass</v>
          </cell>
          <cell r="R31" t="str">
            <v>P Asiatic ( 14 Inch ) 3     Grass</v>
          </cell>
          <cell r="S31" t="str">
            <v>P n W Glad ( 14 Inch ) 16     Grass</v>
          </cell>
          <cell r="T31" t="str">
            <v>P n Y Spray Daisy ( 14 Inch ) 5     FF Sachet + Grass</v>
          </cell>
        </row>
        <row r="32">
          <cell r="A32">
            <v>2395</v>
          </cell>
          <cell r="B32" t="str">
            <v>Anupma Katyal</v>
          </cell>
          <cell r="C32">
            <v>9999967563</v>
          </cell>
          <cell r="D32" t="str">
            <v>1484, Saraswati Kunj</v>
          </cell>
          <cell r="E32" t="str">
            <v>DLF Phase 5</v>
          </cell>
          <cell r="F32" t="str">
            <v>Thursday</v>
          </cell>
          <cell r="G32" t="str">
            <v>10 AM to 2:30 PM</v>
          </cell>
          <cell r="H32">
            <v>1950</v>
          </cell>
          <cell r="I32">
            <v>487.5</v>
          </cell>
          <cell r="J32" t="str">
            <v>Joy</v>
          </cell>
          <cell r="K32" t="str">
            <v>Return today (22/05) Hold today due to non payment (02/10) HDTNP (02/07) HDTNP (09/07)</v>
          </cell>
          <cell r="M32" t="str">
            <v>Mixed Flowers</v>
          </cell>
          <cell r="N32" t="str">
            <v>3  del of this cycle   -  1-cycles pmnt   Pending - Collect 1950</v>
          </cell>
          <cell r="O32" t="str">
            <v>Sunflower ( 12 Inch ) 5     FF Sachet + Grass</v>
          </cell>
          <cell r="P32" t="str">
            <v>P Asiatic ( 14 Inch ) 4     Grass</v>
          </cell>
          <cell r="Q32" t="e">
            <v>#N/A</v>
          </cell>
          <cell r="R32" t="e">
            <v>#N/A</v>
          </cell>
          <cell r="S32" t="e">
            <v>#N/A</v>
          </cell>
          <cell r="T32" t="str">
            <v>G n W Car ( 14 inch ) 22 Check with us before sending Check with us before sending Check with us before sending  FF Sachet + Grass</v>
          </cell>
        </row>
        <row r="33">
          <cell r="A33" t="str">
            <v>G-00015</v>
          </cell>
          <cell r="B33" t="str">
            <v>Harsh  - Unikon</v>
          </cell>
          <cell r="C33">
            <v>9015463811</v>
          </cell>
          <cell r="D33" t="str">
            <v>AR-903B, 3rd Floor, Aralias</v>
          </cell>
          <cell r="E33" t="str">
            <v>Golf Course Road</v>
          </cell>
          <cell r="F33" t="str">
            <v>Thursday</v>
          </cell>
          <cell r="G33" t="str">
            <v>4 Pm to 7 PM</v>
          </cell>
          <cell r="H33">
            <v>2750</v>
          </cell>
          <cell r="I33">
            <v>687.5</v>
          </cell>
          <cell r="J33" t="str">
            <v>Elation</v>
          </cell>
          <cell r="K33" t="str">
            <v>From Deep Bajaj // Message = Your boyfriend:p (05/11) Paytm from Simran Dhawan (04/03) Send 1 delivery tomorrow (17/03) Skip 1 week (10/04) Add change request from Jasjit -- 9560611229</v>
          </cell>
          <cell r="M33" t="str">
            <v>One time Single n One Time Mixed</v>
          </cell>
          <cell r="N33" t="str">
            <v>4  del of this cycle   -  0-cycles pmnt   In Process - Collect 0</v>
          </cell>
          <cell r="O33" t="str">
            <v>P n W Spray Daisy ( 14 Inch ) 5 Pur n P Car ( 14 Inch ) 16   2 Gypsola + FF Sachet</v>
          </cell>
          <cell r="P33" t="str">
            <v>P Asiatic ( 14 Inch ) 3 B Daisy ( 12 Inch ) 16   2 Limonium</v>
          </cell>
          <cell r="Q33" t="str">
            <v xml:space="preserve">Eustoma 4 Rajni ( 14 Inch ) 16   2 Gypsola + FF Sachet </v>
          </cell>
          <cell r="R33" t="str">
            <v>Sunflower ( 12 Inch ) 4 B Daisy ( 12 Inch ) 16   2 Limonium + FF Sachet</v>
          </cell>
          <cell r="S33" t="str">
            <v>P n W Spray Daisy ( 14 Inch ) 5 P n W Car ( 14 Inch ) 16   2 Gypsola + FF Sachet</v>
          </cell>
          <cell r="T33" t="str">
            <v>O Asiatic ( 14 Inch ) 3 Rajni 16   2 Limonium</v>
          </cell>
        </row>
        <row r="34">
          <cell r="A34">
            <v>2037</v>
          </cell>
          <cell r="B34" t="str">
            <v>Sharwan Chopra</v>
          </cell>
          <cell r="C34">
            <v>9971066995</v>
          </cell>
          <cell r="D34" t="str">
            <v>A-223, The Belaire</v>
          </cell>
          <cell r="E34" t="str">
            <v>Golf Course Road</v>
          </cell>
          <cell r="F34" t="str">
            <v>Thursday</v>
          </cell>
          <cell r="G34" t="str">
            <v>10 AM to 2:30 PM</v>
          </cell>
          <cell r="H34">
            <v>1950</v>
          </cell>
          <cell r="I34">
            <v>487.5</v>
          </cell>
          <cell r="J34" t="str">
            <v>Joy</v>
          </cell>
          <cell r="K34" t="str">
            <v>NO Car (15/02) Skip 3 Weeks (12/06) Skip 1 week (28/12) Hold all deliveries till 1st July (12/06) Skip 25th Dec (23/12) Hold due to non payment (29/01) Returned today (04/06) Skip 1 week (16/06)</v>
          </cell>
          <cell r="L34" t="str">
            <v>CAR</v>
          </cell>
          <cell r="N34" t="str">
            <v>4  del of this cycle   -  0-cycles pmnt   Completed - Collect 0</v>
          </cell>
          <cell r="O34" t="e">
            <v>#N/A</v>
          </cell>
          <cell r="P34" t="str">
            <v>Pur n P Eustoma ( 12 Inch ) 4     FF Sachet + Grass</v>
          </cell>
          <cell r="Q34" t="str">
            <v>Rajni ( 14 Inch ) 22     Grass</v>
          </cell>
          <cell r="R34" t="str">
            <v>O Asiatic ( ( 14 inch ) 4     Grass</v>
          </cell>
          <cell r="S34" t="str">
            <v>P n W Spray Daisy ( 14 Inch ) 7     FF Sachet + Grass</v>
          </cell>
          <cell r="T34" t="str">
            <v>Mix Glad ( 14 Inch ) 22     Grass</v>
          </cell>
        </row>
        <row r="35">
          <cell r="A35">
            <v>922</v>
          </cell>
          <cell r="B35" t="str">
            <v>Dr. Deepa Gupta</v>
          </cell>
          <cell r="C35">
            <v>8860079525</v>
          </cell>
          <cell r="D35" t="str">
            <v>Mayom Hospital, D block south city 1</v>
          </cell>
          <cell r="E35" t="str">
            <v>South City 1</v>
          </cell>
          <cell r="F35" t="str">
            <v>Thursday</v>
          </cell>
          <cell r="G35" t="str">
            <v>4 PM to 7 PM</v>
          </cell>
          <cell r="H35">
            <v>1450</v>
          </cell>
          <cell r="I35">
            <v>362.5</v>
          </cell>
          <cell r="J35" t="str">
            <v>Corporate</v>
          </cell>
          <cell r="K35" t="str">
            <v>1 del Missed(07/10) Return-send next week(31/12) Send replacement of Gerbera(30/10) Send on Monday this week(20/03) Return- hold package(08/07) Today returned-send next week(02/06) HDTNP (19/02)</v>
          </cell>
          <cell r="N35" t="str">
            <v>4  del of this cycle   -  0-cycles pmnt   In Process - Collect 0</v>
          </cell>
          <cell r="O35" t="str">
            <v>O Asiatic ( 14 Inch ) 3     Grass</v>
          </cell>
          <cell r="P35" t="str">
            <v>Pur Eustoma ( 12 Inch ) 3     FF Sachet + Grass</v>
          </cell>
          <cell r="Q35" t="str">
            <v>P Asiatic ( 14 Inch ) 3     Grass</v>
          </cell>
          <cell r="R35" t="str">
            <v>W Asiatic ( 14 Inch ) 3     Grass</v>
          </cell>
          <cell r="S35" t="str">
            <v>O Asiatic ( 14 Inch ) 3     Grass</v>
          </cell>
          <cell r="T35" t="str">
            <v>P n Y Spray Daisy ( 14 Inch ) 5     FF Sachet + Grass</v>
          </cell>
        </row>
        <row r="36">
          <cell r="A36">
            <v>2359</v>
          </cell>
          <cell r="B36" t="str">
            <v>Roshni Achpal</v>
          </cell>
          <cell r="C36">
            <v>9711170252</v>
          </cell>
          <cell r="D36" t="str">
            <v>A-102, Belaire</v>
          </cell>
          <cell r="E36" t="str">
            <v>Golf Course Road</v>
          </cell>
          <cell r="F36" t="str">
            <v>Thursday</v>
          </cell>
          <cell r="G36" t="str">
            <v>9 AM - 12 PM</v>
          </cell>
          <cell r="H36">
            <v>1450</v>
          </cell>
          <cell r="I36">
            <v>362.5</v>
          </cell>
          <cell r="J36" t="str">
            <v>Bliss</v>
          </cell>
          <cell r="K36" t="str">
            <v>Gift From Ankita Mehta  // Shift to Delight(04/12) Gpay from Alok Asrani (04/12) Skip 2 week (19/12) No car (01/05) Skip 2 weeks (19/08) No rajni (08/09) Skip 2 week (18/12) No Button Daisy 912/02) Skip 1 week (14/03) Do not count last del (13/05) Skip 1 week (11/06) Skip 1 week (25/07)</v>
          </cell>
          <cell r="L36" t="str">
            <v>Car n Rajni n Buttn Daisies</v>
          </cell>
          <cell r="N36" t="str">
            <v>2  del of this cycle   -  0-cycles pmnt   Completed - Collect 0</v>
          </cell>
          <cell r="O36" t="e">
            <v>#N/A</v>
          </cell>
          <cell r="P36" t="str">
            <v>Pur n P Car ( 14 Inch ) 9     FF Sachet + Grass</v>
          </cell>
          <cell r="Q36" t="str">
            <v>O Asiatic ( 14 Inch ) 2     Grass</v>
          </cell>
          <cell r="R36" t="str">
            <v>Mix Alstroemeria ( 12Inch ) 9     FF Sachet + Grass</v>
          </cell>
          <cell r="S36" t="str">
            <v>G n W Car ( 14 Inch ) 16     FF Sachet + Grass</v>
          </cell>
          <cell r="T36" t="str">
            <v>Mix Glad ( 14 Inch ) 16     Grass</v>
          </cell>
        </row>
        <row r="37">
          <cell r="A37">
            <v>2774</v>
          </cell>
          <cell r="B37" t="str">
            <v>Vandana Thakran</v>
          </cell>
          <cell r="C37">
            <v>9899589964</v>
          </cell>
          <cell r="D37" t="str">
            <v>H. No. 35, Cedar Crest</v>
          </cell>
          <cell r="E37" t="str">
            <v>Nirvana Country</v>
          </cell>
          <cell r="F37" t="str">
            <v>Sunday</v>
          </cell>
          <cell r="G37" t="str">
            <v>9 AM - 12 PM</v>
          </cell>
          <cell r="H37">
            <v>1600</v>
          </cell>
          <cell r="I37">
            <v>200</v>
          </cell>
          <cell r="J37" t="str">
            <v>Bloom</v>
          </cell>
          <cell r="N37" t="str">
            <v>8  del of this cycle   -  0-cycles pmnt   Completed - Collect 0</v>
          </cell>
          <cell r="O37" t="str">
            <v>Pur n P Car ( 14 inch ) 7     FF Sachet + Grass</v>
          </cell>
          <cell r="P37" t="str">
            <v>P n W Glad ( 14 Inch ) 7     Grass</v>
          </cell>
          <cell r="Q37" t="str">
            <v>Rajni ( 14 Inch ) 7     Grass</v>
          </cell>
          <cell r="R37" t="str">
            <v>P n W Car ( 14 Inch ) 7     FF Sachet + Grass</v>
          </cell>
          <cell r="S37" t="str">
            <v>Mix Alstroemeria ( 12 Inch ) 7     FF Sachet + Grass</v>
          </cell>
          <cell r="T37" t="str">
            <v>Rajni ( 14 Inch ) 7     Grass</v>
          </cell>
        </row>
        <row r="38">
          <cell r="A38">
            <v>3071</v>
          </cell>
          <cell r="B38" t="str">
            <v>Divya Rawat</v>
          </cell>
          <cell r="C38">
            <v>8390310325</v>
          </cell>
          <cell r="D38" t="str">
            <v>D-13/14, 1st Floor, DLF Exclusive Floor</v>
          </cell>
          <cell r="E38" t="str">
            <v>DLF Phase 5</v>
          </cell>
          <cell r="F38" t="str">
            <v>Thursday</v>
          </cell>
          <cell r="G38" t="str">
            <v>9 AM - 12 PM</v>
          </cell>
          <cell r="H38">
            <v>1450</v>
          </cell>
          <cell r="I38">
            <v>362.5</v>
          </cell>
          <cell r="J38" t="str">
            <v>Bliss</v>
          </cell>
          <cell r="K38" t="str">
            <v>Return today (04/12) Hold today (05/03) Returned today (28/05) HDTNP (25/06)</v>
          </cell>
          <cell r="N38" t="str">
            <v>2  del of this cycle   -  0-cycles pmnt   Completed - Collect 0</v>
          </cell>
          <cell r="O38" t="str">
            <v>Sunflower ( 12 Inch ) 2 P n W Glad ( 14 Inch ) 7   FF Sachet + Grass</v>
          </cell>
          <cell r="P38" t="e">
            <v>#N/A</v>
          </cell>
          <cell r="Q38" t="str">
            <v>P Asiatic ( 14 Inch ) 2 Rajni ( 14 Inch ) 7  Collect Payment Grass</v>
          </cell>
          <cell r="R38" t="str">
            <v>P Spray Daisy ( 14 Inch ) 3 P n W Car ( 14 Inch ) 7   FF Sachet + Grass</v>
          </cell>
          <cell r="S38" t="str">
            <v>Sunflower ( 12 Inch ) 2 Mix Alstroemeria ( 12 Inch ) 7   FF Sachet + Grass</v>
          </cell>
          <cell r="T38" t="str">
            <v>Pur Eustoma ( 12 Inch ) 2 Mix Glad ( 14 Inch ) 7   FF Sachet + Grass</v>
          </cell>
        </row>
        <row r="39">
          <cell r="A39">
            <v>1982</v>
          </cell>
          <cell r="B39" t="str">
            <v>Manvi Bajpai</v>
          </cell>
          <cell r="C39">
            <v>8860046280</v>
          </cell>
          <cell r="D39" t="str">
            <v>A-43, Westend Heights</v>
          </cell>
          <cell r="E39" t="str">
            <v>DLF Phase 5</v>
          </cell>
          <cell r="F39" t="str">
            <v>Thursday</v>
          </cell>
          <cell r="G39" t="str">
            <v>9 AM - 12 PM</v>
          </cell>
          <cell r="H39">
            <v>1450</v>
          </cell>
          <cell r="I39">
            <v>362.5</v>
          </cell>
          <cell r="J39" t="str">
            <v>Bliss</v>
          </cell>
          <cell r="K39" t="str">
            <v>Preferred Flowers-- Car//Rose//Guldawari//Gerbera//Orchid//Spray Daisy (27/09) 4th Del was on Hold (10/10) Skip 1 week (21/10) Skip 1 week (02/03) No Orchid (27/04) Hold n start after 15th Sep (18/08) Skip 1 week (19/10) Skip 1 week (17/12) Skip 2 week (17/03) Sending del today instead of tom (26/04) Skip 1 week (13/08) Skip 1 week (10/10) Return today (26/10) Today Hold (28/12) Skip 2 week (27/01) Skip 1 week (14/03) Skip 2 weks (17/04) Skip 2 week (01/06) Payment from Sreyansh Updhyay (19/07) Skip 18th to 25th (02/10) Skip 1 week (06/020</v>
          </cell>
          <cell r="L39" t="str">
            <v>ORCHID</v>
          </cell>
          <cell r="N39" t="str">
            <v>2  del of this cycle   -  0-cycles pmnt   Completed - Collect 0</v>
          </cell>
          <cell r="O39" t="e">
            <v>#N/A</v>
          </cell>
          <cell r="P39" t="e">
            <v>#N/A</v>
          </cell>
          <cell r="Q39" t="e">
            <v>#N/A</v>
          </cell>
          <cell r="R39" t="e">
            <v>#N/A</v>
          </cell>
          <cell r="S39" t="str">
            <v>G n W Car ( 14 Inch ) 16     FF Sachet + Grass</v>
          </cell>
          <cell r="T39" t="str">
            <v>O Asiatic ( 14 Inch ) 3     Grass</v>
          </cell>
        </row>
        <row r="40">
          <cell r="A40">
            <v>1998</v>
          </cell>
          <cell r="B40" t="str">
            <v>Shivani Katyal</v>
          </cell>
          <cell r="C40">
            <v>9811053756</v>
          </cell>
          <cell r="D40" t="str">
            <v>H. No. 1486, Sarsawati Kunj</v>
          </cell>
          <cell r="E40" t="str">
            <v>DLF Phase 5</v>
          </cell>
          <cell r="F40" t="str">
            <v>Thursday</v>
          </cell>
          <cell r="G40" t="str">
            <v>9:30 Am to 2 PM</v>
          </cell>
          <cell r="H40">
            <v>1950</v>
          </cell>
          <cell r="I40">
            <v>487.5</v>
          </cell>
          <cell r="J40" t="str">
            <v>Joy</v>
          </cell>
          <cell r="K40" t="str">
            <v>Rose//Orchid//Asiatic//Anthurium//Heliconia//BOP (28/10) NO Guldawari n Anthurium (09/02) Paytm From Manish K M K (08/09) Paytm from Manish Katyal // Gpay From Palak Katyal (22/03) No Glad Also (18/04) Couldn't deliver due to watrelogging--send on Sunday (29/08) Skip n send on sunday (01/10)</v>
          </cell>
          <cell r="L40" t="str">
            <v>GULDAWARI n ANTHURIUM n GLAD</v>
          </cell>
          <cell r="N40" t="str">
            <v>3  del of this cycle   -  0-cycles pmnt   CompletedNO COLLECTION-we have extra money - Collect -100</v>
          </cell>
          <cell r="O40" t="str">
            <v>Mix Alstroemeria ( 12 Inch ) 22     FF Sachet + Grass</v>
          </cell>
          <cell r="P40" t="str">
            <v>P n W Spray Daisy 7     FF Sachet + Grass</v>
          </cell>
          <cell r="Q40" t="str">
            <v>P Asiatic ( 14 Inch ) 4     Grass</v>
          </cell>
          <cell r="R40" t="str">
            <v>Rajni ( 14 Inch ) 22     Grass</v>
          </cell>
          <cell r="S40" t="str">
            <v>G n W Car ( 14 Inch ) 22     FF Sachet + Grass</v>
          </cell>
          <cell r="T40" t="str">
            <v>Mix Glad ( 14 Inch ) 22     Grass</v>
          </cell>
        </row>
        <row r="41">
          <cell r="A41">
            <v>20</v>
          </cell>
          <cell r="B41" t="str">
            <v>Mrs. Vandana Dutt Before 10</v>
          </cell>
          <cell r="C41">
            <v>9810771057</v>
          </cell>
          <cell r="D41" t="str">
            <v>15/002,South Close, Nirvana country</v>
          </cell>
          <cell r="E41" t="str">
            <v>Nirvana Country</v>
          </cell>
          <cell r="F41" t="str">
            <v>Thursday</v>
          </cell>
          <cell r="G41" t="str">
            <v>9 AM - 12 PM</v>
          </cell>
          <cell r="H41">
            <v>1450</v>
          </cell>
          <cell r="I41">
            <v>362.5</v>
          </cell>
          <cell r="J41" t="str">
            <v>Bliss</v>
          </cell>
          <cell r="K41" t="str">
            <v>Before -10-Asiatic Lily-white/pink/red (19/05) HoPur Orchid n Rajni in next del(21/09)1 week extended due to Diwali(08/11)  R n W Car Next(27/02)Spray Daisy instead of car now(09/04) P Or W Asiatic Only(27/02)  Asiatic n Car now -- White /Pink Red(04/07) Red n White Spray Daisy and Car (13/10)  Now Send Car/Rajni/Glad/Asiatic Lily/ Spray Daisy/Gerbera/Guldawari -- NO Orange and Yellow Color-- Pink n White are preferred-- RED n purple is also ok (25/08) Send 1 Del Tom (16/10) Skip 1 week (02/11) Skip 1 week (11/01) Skip 1 week (25/01) Dont snend tom -send on Monday (08/02) Had 350 Extra from pasyment of 2000 on 11th May, 250 adjusted, now have 100 extra with us(18/05) Sent replacement today (10/06) Spray Daisy -- white or Yellow and Glad white (06/09) 250 extra added against received walkin bouquet (12/09) Skip 1 week (13/10) Sending 1 Del today (22/10) Skip 2 week (19/05) Star from 19th (17/07) NO Flowers from 15th Aug to 29th Aug (27/07) Skip this 8th Del (02/08) Return today send tom (07/11) Skip 1 week (17/11) Skip 12th (09/12) Today returned (26/12) Skip 1 week (11/03) Skip 1 week (23/03) Skip 1 week (31/03) Today Returned (10/04) Today Returned (18/04) Skip 1 week (28/04) Skip 2 week (02/06) Hold , she will confirm (28/07) No delivery on 21st Aug (19/08) No flowers from 11th Sep to 25th Sep (05/09) Hold till 20th (10/11) Last cycle 950 was less received (06/11) Send one del tom (22/11) Skip 1 week (23/12) Skip 1 week (11/02) From Sunflower/Spray dausy/Eustoma (18/04) Hol dtill 15th July (30/06)</v>
          </cell>
          <cell r="M41" t="str">
            <v>From Sunflower/Spray dausy/Eustoma (18/04)</v>
          </cell>
          <cell r="N41" t="str">
            <v>3  del of this cycle   -  1-cycles pmnt   Pending - Collect 1450</v>
          </cell>
          <cell r="O41" t="e">
            <v>#N/A</v>
          </cell>
          <cell r="P41" t="str">
            <v>Mix Car 16     FF Sachet + Grass</v>
          </cell>
          <cell r="Q41" t="e">
            <v>#N/A</v>
          </cell>
          <cell r="R41" t="e">
            <v>#N/A</v>
          </cell>
          <cell r="S41" t="e">
            <v>#N/A</v>
          </cell>
          <cell r="T41" t="str">
            <v>G n W Car ( 14 inch ) 16     FF Sachet + Grass</v>
          </cell>
        </row>
        <row r="42">
          <cell r="A42">
            <v>3393</v>
          </cell>
          <cell r="B42" t="str">
            <v>Runul Vashishtha</v>
          </cell>
          <cell r="C42">
            <v>9871812384</v>
          </cell>
          <cell r="D42" t="str">
            <v>C-84, DLF Park Place, Park Drive, GCR</v>
          </cell>
          <cell r="E42" t="str">
            <v>Golf Course Road</v>
          </cell>
          <cell r="F42" t="str">
            <v>Thursday</v>
          </cell>
          <cell r="G42" t="str">
            <v>9 AM to 2 PM</v>
          </cell>
          <cell r="H42">
            <v>1450</v>
          </cell>
          <cell r="I42">
            <v>362.5</v>
          </cell>
          <cell r="J42" t="str">
            <v>Bliss</v>
          </cell>
          <cell r="N42" t="str">
            <v>4  del of this cycle   -  0-cycles pmnt   Completed - Collect 0</v>
          </cell>
          <cell r="O42" t="e">
            <v>#N/A</v>
          </cell>
          <cell r="P42" t="e">
            <v>#N/A</v>
          </cell>
          <cell r="Q42" t="str">
            <v>Pur n P Car ( 14 Inch ) 16     FF Sachet + Grass</v>
          </cell>
          <cell r="R42" t="str">
            <v>P Asiatic ( 14 Inch ) 3     Grass</v>
          </cell>
          <cell r="S42" t="str">
            <v>P n W Glad ( 14 Inch ) 16     Grass</v>
          </cell>
          <cell r="T42" t="str">
            <v>P n Y Spray Daisy ( 14 Inch ) 5     FF Sachet + Grass</v>
          </cell>
        </row>
        <row r="43">
          <cell r="A43">
            <v>2024</v>
          </cell>
          <cell r="B43" t="str">
            <v>Priyanka Katyal</v>
          </cell>
          <cell r="C43">
            <v>9958565556</v>
          </cell>
          <cell r="D43" t="str">
            <v>1487, Saraswati Kunj, Sector 53</v>
          </cell>
          <cell r="E43" t="str">
            <v>DLF Phase 5</v>
          </cell>
          <cell r="F43" t="str">
            <v>Thursday</v>
          </cell>
          <cell r="G43" t="str">
            <v>9 AM - 12 PM</v>
          </cell>
          <cell r="H43">
            <v>1950</v>
          </cell>
          <cell r="I43">
            <v>487.5</v>
          </cell>
          <cell r="J43" t="str">
            <v>Joy</v>
          </cell>
          <cell r="K43" t="str">
            <v>Sunday n Thursday//NO Oriental and Guldawari (29/12) Paytm From Sanjay Katyal (28/03) Hold till 8th June-- she will confirm the package (24/05)' Shift to felicity// Today hold --send tom (09/07) Lilies Tom (08/11) Paytm From Ace Promoters and Developers Pvt. Ltd (26/01) Send Replacement tom (17/02) Skip 1 week (10/07) Couldn't deliver due to water logging-send on sunday (29/08) Paytm from Sanjay Katyal (20/10) Skip 2 week (21/05) Hold till 13th Aiug (26/07) Premium Flwer extra Next (09/01)</v>
          </cell>
          <cell r="L43" t="str">
            <v>ORIENTAL n GULDAWARI</v>
          </cell>
          <cell r="M43" t="str">
            <v>Premium Flwer extra Next (09/01)</v>
          </cell>
          <cell r="N43" t="str">
            <v>2  del of this cycle   -   0 -cycles pmnt   Completed - Collect 0</v>
          </cell>
          <cell r="O43" t="str">
            <v>P n W Spray Daisy ( 14 Inch ) 7     FF Sachet + Grass</v>
          </cell>
          <cell r="P43" t="str">
            <v>O Asiatic ( 14 Inch ) 4     Grass</v>
          </cell>
          <cell r="Q43" t="str">
            <v>P n W Car ( 14 Inch ) 22     FF Sachet + Grass</v>
          </cell>
          <cell r="R43" t="str">
            <v>Rajni ( 14 Inch ) 22     Grass</v>
          </cell>
          <cell r="S43" t="str">
            <v>Mix Alstroemeria ( 12 Inch ) 22     FF Sachet + Grass</v>
          </cell>
          <cell r="T43" t="str">
            <v>Mix Glad ( 14 Inch ) 22     Grass</v>
          </cell>
        </row>
        <row r="44">
          <cell r="A44">
            <v>1978</v>
          </cell>
          <cell r="B44" t="str">
            <v>Anu-- After 6 PM</v>
          </cell>
          <cell r="C44" t="str">
            <v>98103 39602</v>
          </cell>
          <cell r="D44" t="str">
            <v xml:space="preserve">Tower 6, 901 Fresco </v>
          </cell>
          <cell r="E44" t="str">
            <v>Nirvana Country</v>
          </cell>
          <cell r="F44" t="str">
            <v>Thursday</v>
          </cell>
          <cell r="G44" t="str">
            <v>4 Pm to 7 PM</v>
          </cell>
          <cell r="H44">
            <v>4850</v>
          </cell>
          <cell r="I44">
            <v>606.25</v>
          </cell>
          <cell r="J44" t="str">
            <v>Poise</v>
          </cell>
          <cell r="K44" t="str">
            <v xml:space="preserve"> Thursday n Sunday//No Rajni (14/03) No Rose n Gerbera n RAJNI// Skip this week n send on Tuesday evening slot (18/06) Send this Thursday to Friday (04/09) NO HELICONIA (13/09) Skip Thursday delivery (12/11) Send tom in morning (16/11) Skip Thursday del (19/11) Skip tom (23/11) Hold till 11th  (30/11) Dont send on Sunday (13/12) Skip sunday (20/12) Skip tom (08/02) Hold today (23/02) Skip 1 Week (01/06) Skip thursday Delivery (18/06) Skip this thursday and send on sunday after 6 PM (06/08) No BOP also (06/10) Do not count today del and sned on sat next (04/12) Skip saturda and sunday also (05/12) Hold today n send tom (11/12) Hold today (05/04) Hold today (16/04)</v>
          </cell>
          <cell r="L44" t="str">
            <v>ROSE n RAJNI n HELICONIA n BOP</v>
          </cell>
          <cell r="M44" t="str">
            <v>after 6 pm on 19th (16/04)</v>
          </cell>
          <cell r="N44" t="str">
            <v>4  del of this cycle   -  0-cycles pmnt   Completed - Collect 0</v>
          </cell>
          <cell r="O44" t="str">
            <v>P Asiatic ( 14 Inch ) 2 Mix Alstroemeria ( 12 inch )  8 P n W Glad ( 14 Inch ) 8 Grass</v>
          </cell>
          <cell r="P44" t="str">
            <v>W Asiatic ( 14 Inch ) 2 P n Y Spray Daisy ( 14 Inch ) 4 Rajni ( 14 Inch ) 12 Grass</v>
          </cell>
          <cell r="Q44" t="str">
            <v>O Asiatic ( 14 Inch ) 2 Sunflower ( 12 Inch ) 4 Pur n P Car ( 14 Inch ) 12 Grass</v>
          </cell>
          <cell r="R44" t="str">
            <v>W Asiatic ( 14 Inch ) 2 Mix Alstroemeria ( 12 Inch ) 8 B Daisy 10 Grass</v>
          </cell>
          <cell r="S44" t="str">
            <v>P Asiatic ( 14 Inch ) 2 Sunflower 3 P n W  Car ( 14 Inch ) 12 Grass</v>
          </cell>
          <cell r="T44" t="str">
            <v>O Asiatic ( 14 Inch ) 2 P n Y Spray Daisy ( 14 Inch ) 4 Green n W  Car 12 Grass</v>
          </cell>
        </row>
        <row r="45">
          <cell r="A45">
            <v>14</v>
          </cell>
          <cell r="B45" t="str">
            <v>Ms. Neelam Bhalla </v>
          </cell>
          <cell r="C45">
            <v>9810546046</v>
          </cell>
          <cell r="D45" t="str">
            <v>H4, 4th Floor, Olive Residency, Mayfield Garden, Sec 57</v>
          </cell>
          <cell r="E45" t="str">
            <v>Artemis</v>
          </cell>
          <cell r="F45" t="str">
            <v>Thursday</v>
          </cell>
          <cell r="G45" t="str">
            <v>9 AM - 12 PM</v>
          </cell>
          <cell r="H45">
            <v>1950</v>
          </cell>
          <cell r="I45">
            <v>487.5</v>
          </cell>
          <cell r="J45" t="str">
            <v>Joy</v>
          </cell>
          <cell r="K45" t="str">
            <v>No Glad (19/05) Pls send Daisy in next del with Asiatic(11/12)  Orchids Next(26/06) Send Gerbera Next with Flower Food902/07)  Orchids next(21/11)  Oriental next(20/03) Y Spray Daisy tom(25/03) Only 1 kind of flowers now(20/05) S NO GLAD n BOP (30/12) Today returned-send tom (21/01) Skip 2 weeks (27/01) Send 1 Flower Food next (13/06) Skip 1 week (06/07) Skip 1 week (20/08) Aster in Del (19/10) Hold today -send tom (03/11) Skip 1 week (01/02) Skip 1 week (29/02) Hold till 1st July (15/06) Skip 1 week (24/07) Skip 29th (26/11) Skip tom (23/01) Skip tom (27/02) Skip 1 week (11/03) Skip 1 week (17/06) Skip 1 week (20/01) Skip 1 week (04/02) Skip thursday (24/02) Skip 1 week (16/06)</v>
          </cell>
          <cell r="L45" t="str">
            <v>GLAD n BOP n GERBERA</v>
          </cell>
          <cell r="N45" t="str">
            <v>2  del of this cycle   -  0-cycles pmnt   Completed - Collect 0</v>
          </cell>
          <cell r="O45" t="e">
            <v>#N/A</v>
          </cell>
          <cell r="P45" t="str">
            <v>Pur n P Eustoma ( 12 Inch ) 4     FF Sachet + Grass</v>
          </cell>
          <cell r="Q45" t="str">
            <v>Sunflower ( 12 Inch ) 5     FF Sachet + Grass</v>
          </cell>
          <cell r="R45" t="str">
            <v>Rajni ( 14 Inch ) 22     Grass</v>
          </cell>
          <cell r="S45" t="str">
            <v>G n W Car ( 14 Inch ) 22     FF Sachet + Grass</v>
          </cell>
          <cell r="T45" t="str">
            <v>W Asiatic 4     Grass</v>
          </cell>
        </row>
        <row r="46">
          <cell r="A46">
            <v>401</v>
          </cell>
          <cell r="B46" t="str">
            <v>Nameesha Verma -- Before 12PM</v>
          </cell>
          <cell r="C46">
            <v>9899240454</v>
          </cell>
          <cell r="D46" t="str">
            <v>D-4/102, Parsvanath Exotica</v>
          </cell>
          <cell r="E46" t="str">
            <v>DLF Phase 5</v>
          </cell>
          <cell r="F46" t="str">
            <v>Thursday</v>
          </cell>
          <cell r="G46" t="str">
            <v>Before 12 PM</v>
          </cell>
          <cell r="H46">
            <v>1600</v>
          </cell>
          <cell r="I46">
            <v>200</v>
          </cell>
          <cell r="J46" t="str">
            <v>Bloom</v>
          </cell>
          <cell r="K46" t="str">
            <v>Thursday n Sunday//Sat to Thurs//Send a repacement and No Rajni till it has fragrance(24/09)Skip 1 week(12/10)send  a replacement(22/11) Returne-send next week(13/12) Star 650 Pack(15/10) 17th Oct Del returned-pls update(07/11) Send Tom instead of sat this week(12/08) Sent a replacement today(01/09) Skip 1 week(12/11) Send on Monday this week(24/11) Skip this sunday (03/12) Sent replacement today (18/03) Send replacement tom (31/03) Skip 1 week (25/04) Now Bloom (19/05) Today returned (18/06) Skip 1 week (08/08) Hold n start after 8th Oct )(20/09) Skip next del (18/11) No Del till 2nd Jan (25/12) Skip tom (24/01) Hold till 17th Jube (05/06) Skip this sunday (18/07) Skip 1 week (13/08) Today returnde (16/01) Skip tom (15/02) Today returned as flowers got late (30/03) Hold till 12th Apr (02/04)Today Returned (11/05) Hold till 18th June (02/06) Hold till 18th June (02/06) Today Returned (13/09) Do not count last del (08/11) No Del till next wednesday (09/12) Hold todxay (28/12) Skip 1 week (04/02) 3 Car extra next (20/03) Skip 1 week (09/06)</v>
          </cell>
          <cell r="M46" t="str">
            <v>3 Car extra next (20/03)</v>
          </cell>
          <cell r="N46" t="str">
            <v>8  del of this cycle   -  0-cycles pmnt   Completed - Collect 0</v>
          </cell>
          <cell r="O46" t="str">
            <v>P Spray Daisy ( 14 Inch ) 2     FF Sachet + Grass</v>
          </cell>
          <cell r="P46" t="str">
            <v>Sunflower ( 12 Inch) 2     Grass</v>
          </cell>
          <cell r="Q46" t="str">
            <v>P n W Car ( 14 Inch ) 7    Collect Payment FF Sachet + Grass</v>
          </cell>
          <cell r="R46" t="str">
            <v>Mix Alstroemeria ( 12Inch ) 7     FF Sachet + Grass</v>
          </cell>
          <cell r="S46" t="str">
            <v>Rajni ( 14 Inch ) 7     Grass</v>
          </cell>
          <cell r="T46" t="str">
            <v>G n W Car ( 14 inch ) 7     FF Sachet + Grass</v>
          </cell>
        </row>
        <row r="47">
          <cell r="A47">
            <v>1319</v>
          </cell>
          <cell r="B47" t="str">
            <v>Mrs. Vandana Dutt Before 10</v>
          </cell>
          <cell r="C47">
            <v>9810771057</v>
          </cell>
          <cell r="D47" t="str">
            <v>15/002,South Close, Nirvana country</v>
          </cell>
          <cell r="E47" t="str">
            <v>Nirvana Country</v>
          </cell>
          <cell r="F47" t="str">
            <v>Thursday</v>
          </cell>
          <cell r="G47" t="str">
            <v>9 AM - 12 PM</v>
          </cell>
          <cell r="H47">
            <v>1950</v>
          </cell>
          <cell r="I47">
            <v>487.5</v>
          </cell>
          <cell r="J47" t="str">
            <v>Joy</v>
          </cell>
          <cell r="K47" t="str">
            <v>Before -10-Asiatic Lily-white/pink/red (19/05) HoPur Orchid n Rajni in next del(21/09)1 week extended due to Diwali(08/11)  R n W Car Next(27/02)Spray Daisy instead of car now(09/04) P Or W Asiatic Only(27/02)  Asiatic n Car now -- White /Pink Red(04/07) Red n White Spray Daisy and Car (13/10)  Now Send Car/Rajni/Glad/Asiatic Lily/ Spray Daisy/Gerbera/Guldawari -- NO Orange and Yellow Color-- Pink n White are preferred-- RED n purple is also ok (25/08) Send 1 Del Tom (16/10) Skip 1 week (02/11) Skip 1 week (11/01) Skip 1 week (25/01) No Flowers tom --send on Monday (08/02) Had 350 Extra from pasyment of 2000 on 11th May, 250 adjusted, now have 100 extra with us(18/05) Spray Daisy -- white or Yellow and Glad white (06/09) Skip 1 week (13/10) Sending 1 Del today (22/10) No Flowers till 4th Jan (17/12) Start from 19th (17/07) Hold till 5th Sep (14/08) Return today-send tom (07/11) Skip 1 week (17/11) Skip 12th (09/12) Today Returned (26/12) Skip 1 week (11/03) Skip 1 week (23/03) Skip 1 week (31/03) Today Returned (10/04) Today Returned (18/04) Skip 1 week (28/04) Skip 2 week (02/06) Hold she will confirm (28/07) Dont Send on 21st (19/08) No Flowers from 11th Sep to 25th Sep (05/09) Hold till 20th Oct (10/11) 1 Bouquet of Rajni on 31st and 500 gm Rose Petal on 8th Nov -- Total pf 1200 added (20/11) Send one delivery tom (22/11) Skip 1 week (23/12) Skip 1 week (1/02) From Sunflower/Spray dausy/Eustoma (18/04) Hold till 15th July (30/06)</v>
          </cell>
          <cell r="M47" t="str">
            <v>From Sunflower/Spray dausy/Eustoma (18/04)</v>
          </cell>
          <cell r="N47" t="str">
            <v>3  del of this cycle   -  1-cycles pmnt   Pending - Collect 1950</v>
          </cell>
          <cell r="O47" t="e">
            <v>#N/A</v>
          </cell>
          <cell r="P47" t="str">
            <v>P Asiatic 4     Grass</v>
          </cell>
          <cell r="Q47" t="e">
            <v>#N/A</v>
          </cell>
          <cell r="R47" t="e">
            <v>#N/A</v>
          </cell>
          <cell r="S47" t="e">
            <v>#N/A</v>
          </cell>
          <cell r="T47" t="str">
            <v>W Asiatic 4     Grass</v>
          </cell>
        </row>
        <row r="48">
          <cell r="A48">
            <v>849</v>
          </cell>
          <cell r="B48" t="str">
            <v>Shalini Sharma</v>
          </cell>
          <cell r="C48">
            <v>7838500808</v>
          </cell>
          <cell r="D48" t="str">
            <v>208, Espace</v>
          </cell>
          <cell r="E48" t="str">
            <v>Nirvana Country</v>
          </cell>
          <cell r="F48" t="str">
            <v>Thursday</v>
          </cell>
          <cell r="G48" t="str">
            <v>9:30 Am to 2 PM</v>
          </cell>
          <cell r="H48">
            <v>1450</v>
          </cell>
          <cell r="I48">
            <v>362.5</v>
          </cell>
          <cell r="J48" t="str">
            <v>Bliss</v>
          </cell>
          <cell r="K48" t="str">
            <v>W n R Car Tom(25/04)  GERBERA NEXT(16/09) NO ORCHIDS(24/01)  Sent a replacement today(17/04) Ros enext (26/11) NO GULDAWARI n ORCHIDS ()6/01) Skip 1 week (05/01) Replacement tom (12/02) Send Tom and skip 30th Mar (25/03) Replacement tom (06/07) Will Pick on 30th -- Dont Send on 02nd Nov (28/10) Send this week del on tuesday 925/01) Send W Asiatic on 11th this week instead of 15th Feb (08/02) Skip 1 week (14/03) Lilies Next (20/05) Hold after current cycle (04/12) Four plus 1 Pack //</v>
          </cell>
          <cell r="L48" t="str">
            <v>GULDAWARI n ORCHID</v>
          </cell>
          <cell r="M48" t="str">
            <v>Lilies Next (20/05)</v>
          </cell>
          <cell r="N48" t="str">
            <v>2  del of this cycle   -  0-cycles pmnt   Completed - Collect 0</v>
          </cell>
          <cell r="O48" t="str">
            <v>P n Y Spray Daisy ( 14 Inch ) 5     FF Sachet + Grass</v>
          </cell>
          <cell r="P48" t="str">
            <v>Pur n P Car ( 14 Inch ) 16  Collect Payment Collect Payment Collect Payment FF Sachet + Grass</v>
          </cell>
          <cell r="Q48" t="str">
            <v>Sunflower ( 12 Inch ) 4     FF Sachet + Grass</v>
          </cell>
          <cell r="R48" t="str">
            <v>Rajni ( 14 Inch ) 16     Grass</v>
          </cell>
          <cell r="S48" t="str">
            <v>O Asiatic ( 14 Inch ) 3     Grass</v>
          </cell>
          <cell r="T48" t="str">
            <v>Mix Glad ( 14 Inch ) 16     Grass</v>
          </cell>
        </row>
        <row r="49">
          <cell r="A49">
            <v>870</v>
          </cell>
          <cell r="B49" t="str">
            <v>Himabindu Kanchan</v>
          </cell>
          <cell r="C49">
            <v>9892501292</v>
          </cell>
          <cell r="D49" t="str">
            <v xml:space="preserve">D -13, Pinnacle Dlf Phase - 5 </v>
          </cell>
          <cell r="E49" t="str">
            <v>DLF Phase 5</v>
          </cell>
          <cell r="F49" t="str">
            <v>Thursday</v>
          </cell>
          <cell r="G49" t="str">
            <v>9 AM - 12 PM</v>
          </cell>
          <cell r="H49">
            <v>1600</v>
          </cell>
          <cell r="I49">
            <v>200</v>
          </cell>
          <cell r="J49" t="str">
            <v>Bloom</v>
          </cell>
          <cell r="K49" t="str">
            <v>Sunday n Thursday//Fri to Thurs//FF Sold today(19/07) Skip n start from 23rd(08/08) P n Y Rose Next(15/11) 2 Stick Extra next(17/01) Hold-send tom(14/02) Orchids Next (18/08/20) Send 3 Sponge for 120 Rs.(19/08/20) Sending tom due to Diwali(11/11) Today returned-send next week(08/01) Skip 1 week(25/02) Skip 1 week(28/04) Glad Next(09/09) Skip 1 week(21/12) Skip 1 week(20/01) Hold Tom and skip 1 week(28/01) Skip 1 week(06/07) Receibved 695v extra today(23/07) Skip 2 weeks (21/12) Skip 1 week (08/02) No Renewal without payment (04/05) Hold today (28/12) Skip 1 week 902/01) Skip 1 week (07/02) Skip this sunday (16/02) Skip 1 week (06/04) Skip sunday del (09/05) Today hold (07/07) Hold HDTNP (12/03) tom (08/12) In form before sending (27/12) Skip next del (26/06) Hold today due to non payment (02/10) Skip week (22/12) HDTNP (01/03) HDTNP (04/03) HDTNP (08/03) HDTNP (14/03)</v>
          </cell>
          <cell r="N49" t="str">
            <v>2  del of this cycle   -  1-cycles pmnt   Pending - Collect 1600</v>
          </cell>
          <cell r="O49" t="str">
            <v>Sunflower ( 12 Inch ) 2     FF Sachet + Grass</v>
          </cell>
          <cell r="P49" t="str">
            <v>Rajni ( 14 Inch ) 7     Grass</v>
          </cell>
          <cell r="Q49" t="str">
            <v>P n W Car ( 14 Inch ) 7     FF Sachet + Grass</v>
          </cell>
          <cell r="R49" t="str">
            <v>Y Spray Daisy ( 14 Inch ) 2     FF Sachet + Grass</v>
          </cell>
          <cell r="S49" t="str">
            <v>Sunflower ( 12 Inch ) 2     FF Sachet + Grass</v>
          </cell>
          <cell r="T49" t="str">
            <v>G n W Car ( 14 inch ) 7   Ensure Collection Ensure Collection FF Sachet + Grass</v>
          </cell>
        </row>
        <row r="50">
          <cell r="A50">
            <v>1455</v>
          </cell>
          <cell r="B50" t="str">
            <v>Gagan Ahluwalia</v>
          </cell>
          <cell r="C50">
            <v>9811105056</v>
          </cell>
          <cell r="D50" t="str">
            <v>C-82, The Summit</v>
          </cell>
          <cell r="E50" t="str">
            <v>Golf Course Road</v>
          </cell>
          <cell r="F50" t="str">
            <v>Thursday</v>
          </cell>
          <cell r="G50" t="str">
            <v>9 AM - 12 PM</v>
          </cell>
          <cell r="H50">
            <v>2300</v>
          </cell>
          <cell r="I50">
            <v>287.5</v>
          </cell>
          <cell r="J50" t="str">
            <v>Felicity</v>
          </cell>
          <cell r="K50" t="str">
            <v>Thursday n Sunday //Gift From Ragini Ahluwalia// Flowers-- Guldawari/Orchids/Car and Asiatic(27/07) Hold n start from 2nd week of July(02/06) NO ORCHIDS (23/12) Hold till june end (07/06) Today returned (20/06) Replacement today (07/07) Hold today and start after 12th Oct (03/10) No Flowers tull 17th Nov (11/11) Hold from 15th may to 17th June (14/05) Skip 1 wek (24/06) Hold today due to non payment (02/10) Hold due to non payment (05/10) Hold due to non payment (09/10) Start from today (12/10) Skip 1 week (29/11) Hold due to non payment (11/01) Hold due to non payment (01/.02) HDTNP (15/02) HDTNP (22/02) HDTNP (26/02) HDTNP (04/03) HDTNP (08/03) HDTNP (12/03) HDTNP (14/03) No after 1st June (14/05) Hold n start after 1st June (14/05) Hold till 1st June (15/05)</v>
          </cell>
          <cell r="N50" t="str">
            <v>5  del of this cycle   -  0-cycles pmnt   Completed - Collect 0</v>
          </cell>
          <cell r="O50" t="str">
            <v>Pur n P Car ( 14 inch ) 11     FF Sachet + Grass</v>
          </cell>
          <cell r="P50" t="str">
            <v>P Spray Daisy ( 14 Inch ) 3     FF Sachet + Grass</v>
          </cell>
          <cell r="Q50" t="str">
            <v>Sunflower ( 12 Inch ) 3     FF Sachet + Grass</v>
          </cell>
          <cell r="R50" t="str">
            <v>P Asiatic ( 14 Inch ) 2     Grass</v>
          </cell>
          <cell r="S50" t="str">
            <v>Y Spray Daisy ( 14 Inch ) 3     FF Sachet + Grass</v>
          </cell>
          <cell r="T50" t="str">
            <v>Rajni ( 14 Inch ) 11     Grass</v>
          </cell>
        </row>
        <row r="51">
          <cell r="A51">
            <v>2868</v>
          </cell>
          <cell r="B51" t="str">
            <v>Group Captain Prabal Bir Singh</v>
          </cell>
          <cell r="C51">
            <v>7827468667</v>
          </cell>
          <cell r="D51" t="str">
            <v>603, Shivshakti CGHS, Plot-94, Near Ati Chowk</v>
          </cell>
          <cell r="E51" t="str">
            <v>DLF Phase 5</v>
          </cell>
          <cell r="F51" t="str">
            <v>Thursday</v>
          </cell>
          <cell r="G51" t="str">
            <v>9 AM to 2 PM</v>
          </cell>
          <cell r="H51">
            <v>1450</v>
          </cell>
          <cell r="I51">
            <v>362.5</v>
          </cell>
          <cell r="J51" t="str">
            <v>Bliss</v>
          </cell>
          <cell r="N51" t="str">
            <v>3  del of this cycle   -  0-cycles pmnt   Completed - Collect 0</v>
          </cell>
          <cell r="O51" t="str">
            <v>Sunflower ( 12 Inch ) 2     FF Sachet + Grass</v>
          </cell>
          <cell r="P51" t="str">
            <v>Rajni ( 14 Inch ) 9     Grass</v>
          </cell>
          <cell r="Q51" t="str">
            <v>P Asiatic ( 14 Inch ) 2     Grass</v>
          </cell>
          <cell r="R51" t="str">
            <v>P n W Car ( 14 Inch ) 16     FF Sachet + Grass</v>
          </cell>
          <cell r="S51" t="str">
            <v>P n Y Spray Daisy ( 14 Inch ) 5     FF Sachet + Grass</v>
          </cell>
          <cell r="T51" t="str">
            <v>Mix Glad ( 14 Inch ) 16     Grass</v>
          </cell>
        </row>
        <row r="52">
          <cell r="A52">
            <v>2569</v>
          </cell>
          <cell r="B52" t="str">
            <v>Mrs. Verma</v>
          </cell>
          <cell r="C52">
            <v>9971135993</v>
          </cell>
          <cell r="D52" t="str">
            <v>A1/192, 1st Floor, Sec 55, Sushant Lok-2, Near Orchid International School</v>
          </cell>
          <cell r="E52" t="str">
            <v>Sector 56</v>
          </cell>
          <cell r="F52" t="str">
            <v>Thursday</v>
          </cell>
          <cell r="G52" t="str">
            <v>9 AM - 12 PM</v>
          </cell>
          <cell r="H52">
            <v>1450</v>
          </cell>
          <cell r="I52">
            <v>362.5</v>
          </cell>
          <cell r="J52" t="str">
            <v>Bliss</v>
          </cell>
          <cell r="K52" t="str">
            <v>Return today (01/05) Return today (05/06) Send on Sunday This week (05/06) Upgrade to bliss from next cycle (20/09) Skip 1 week (04/02) Send Replacement tom of Asiatic Lily (16/04) Send Replacement tom (21/05) No Sunflower (21/05)</v>
          </cell>
          <cell r="L52" t="str">
            <v>Sunflower</v>
          </cell>
          <cell r="N52" t="str">
            <v>4  del of this cycle   -  0-cycles pmnt   CompletedNO COLLECTION-we have extra money - Collect -100</v>
          </cell>
          <cell r="O52" t="str">
            <v>Sunflower ( 12 Inch ) 2 P n W Glad ( 14 Inch ) 7   FF Sachet + Grass</v>
          </cell>
          <cell r="P52" t="str">
            <v>O Asiatic ( 14 Inch ) 2 B Daisy ( 12 Inch ) 7   Grass</v>
          </cell>
          <cell r="Q52" t="str">
            <v>P Spray Daisy ( 14 Inch ) 3 Rajni ( 14 Inch ) 7   FF Sachet + Grass</v>
          </cell>
          <cell r="R52" t="str">
            <v>Sunflower ( 12 Inch ) 2 P n W Car ( 14 Inch ) 7   FF Sachet + Grass</v>
          </cell>
          <cell r="S52" t="str">
            <v>P Asiatic ( 14 Inch ) 2 P n W Glad ( 14 Inch ) 7   Grass</v>
          </cell>
          <cell r="T52" t="str">
            <v>Sunflower ( 12 Inch ) 2 Mix Alstroemeria ( 12 Inch ) 7   Grass</v>
          </cell>
        </row>
        <row r="53">
          <cell r="A53">
            <v>58</v>
          </cell>
          <cell r="B53" t="str">
            <v>Ms. Anupma Chandna</v>
          </cell>
          <cell r="C53">
            <v>8130077970</v>
          </cell>
          <cell r="D53" t="str">
            <v>32, aspen greens, nirvana</v>
          </cell>
          <cell r="E53" t="str">
            <v>Nirvana Country</v>
          </cell>
          <cell r="F53" t="str">
            <v>Thursday</v>
          </cell>
          <cell r="G53" t="str">
            <v>9 AM - 12 PM</v>
          </cell>
          <cell r="H53">
            <v>1950</v>
          </cell>
          <cell r="I53">
            <v>487.5</v>
          </cell>
          <cell r="J53" t="str">
            <v>Joy</v>
          </cell>
          <cell r="K53" t="str">
            <v>No Rose // Hold n start from 04th Dec (03/11) No Greens</v>
          </cell>
          <cell r="L53" t="str">
            <v>Rose</v>
          </cell>
          <cell r="M53" t="str">
            <v>No Greens</v>
          </cell>
          <cell r="N53" t="str">
            <v>3  del of this cycle   -  0-cycles pmnt   Completed - Collect 30</v>
          </cell>
          <cell r="O53" t="str">
            <v>Sunflower ( 12 Inch ) 3 Pur n P Car ( 14 Inch ) 11   FF Sachet + Grass</v>
          </cell>
          <cell r="P53" t="str">
            <v>P Asiatic ( 14 Inch ) 2 B Daisy ( 12 Inch ) 11   Grass</v>
          </cell>
          <cell r="Q53" t="str">
            <v>P n Y Spray Daisy ( 14 Inch ) 5 Rajni ( 14 Inch ) 16   FF Sachet + Grass</v>
          </cell>
          <cell r="R53" t="str">
            <v>BOP ( 15 Inch ) 2 Mix Alstroemeria ( 12 Inch ) 11   FF Sachet + Grass</v>
          </cell>
          <cell r="S53" t="str">
            <v>O Asiatic ( 14 Inch ) 2 G n W Car ( 14 Inch ) 11   Grass</v>
          </cell>
          <cell r="T53" t="str">
            <v>Pur Eustoma ( 12 Inch ) 2 Mix Glad ( 14 Inch ) 11   FF Sachet + Grass</v>
          </cell>
        </row>
        <row r="54">
          <cell r="A54">
            <v>3410</v>
          </cell>
          <cell r="B54" t="str">
            <v>Tarishka Gupta</v>
          </cell>
          <cell r="C54">
            <v>9870128711</v>
          </cell>
          <cell r="D54" t="str">
            <v>A1/804, Unitech The Residences</v>
          </cell>
          <cell r="E54" t="str">
            <v>Sohna Road 2</v>
          </cell>
          <cell r="F54" t="str">
            <v>Thursday</v>
          </cell>
          <cell r="G54" t="str">
            <v>4 PM to 7 PM</v>
          </cell>
          <cell r="H54">
            <v>1450</v>
          </cell>
          <cell r="I54">
            <v>362.5</v>
          </cell>
          <cell r="J54" t="str">
            <v>Bliss</v>
          </cell>
          <cell r="N54" t="str">
            <v>2  del of this cycle   -  0-cycles pmnt   Completed - Collect 0</v>
          </cell>
          <cell r="O54" t="e">
            <v>#N/A</v>
          </cell>
          <cell r="P54" t="e">
            <v>#N/A</v>
          </cell>
          <cell r="Q54" t="e">
            <v>#N/A</v>
          </cell>
          <cell r="R54" t="e">
            <v>#N/A</v>
          </cell>
          <cell r="S54" t="str">
            <v>G n W Car ( 14 Inch ) 16     FF Sachet + Grass</v>
          </cell>
          <cell r="T54" t="str">
            <v>Y Asiatic ( 14 inch ) 3     Grass</v>
          </cell>
        </row>
        <row r="55">
          <cell r="A55">
            <v>3241</v>
          </cell>
          <cell r="B55" t="str">
            <v>Sunanda</v>
          </cell>
          <cell r="C55">
            <v>8800994226</v>
          </cell>
          <cell r="D55" t="str">
            <v>C-084, The Icon</v>
          </cell>
          <cell r="E55" t="str">
            <v>DLF Phase 5</v>
          </cell>
          <cell r="F55" t="str">
            <v>Thursday</v>
          </cell>
          <cell r="G55" t="str">
            <v>9 AM - 12 PM</v>
          </cell>
          <cell r="H55">
            <v>1450</v>
          </cell>
          <cell r="I55">
            <v>362.5</v>
          </cell>
          <cell r="J55" t="str">
            <v>Bliss</v>
          </cell>
          <cell r="K55" t="str">
            <v>One Kind // Skip 1 week (13/01) HDTNP (26/02) HDTNP (04/03) HDTNP (12/03)</v>
          </cell>
          <cell r="M55" t="str">
            <v>One Kind</v>
          </cell>
          <cell r="N55" t="str">
            <v>1  del of this cycle   -  1-cycles pmnt   Pending - Collect 1450</v>
          </cell>
          <cell r="O55" t="str">
            <v>Pur n P Car ( 14 inch ) 16     FF Sachet + Grass</v>
          </cell>
          <cell r="P55" t="str">
            <v>O Asiatic ( 14 Inch ) 3     Grass</v>
          </cell>
          <cell r="Q55" t="str">
            <v>Sunflower ( 12 Inch ) 4    Collect Payment FF Sachet + Grass</v>
          </cell>
          <cell r="R55" t="str">
            <v>Rajni ( 14 Inch ) 16     Grass</v>
          </cell>
          <cell r="S55" t="str">
            <v>P n Y Spray Daisy ( 14 Inch ) 5     FF Sachet + Grass</v>
          </cell>
          <cell r="T55" t="str">
            <v>Mix Glad ( 14 Inch ) 16     Grass</v>
          </cell>
        </row>
        <row r="56">
          <cell r="A56">
            <v>1656</v>
          </cell>
          <cell r="B56" t="str">
            <v>Eva-Pinnacle</v>
          </cell>
          <cell r="C56">
            <v>9560609907</v>
          </cell>
          <cell r="D56" t="str">
            <v>C-93, The Pinnacle</v>
          </cell>
          <cell r="E56" t="str">
            <v>DLF Phase 5</v>
          </cell>
          <cell r="F56" t="str">
            <v>Thursday</v>
          </cell>
          <cell r="G56" t="str">
            <v>9:30 Am to 2 PM</v>
          </cell>
          <cell r="H56">
            <v>1450</v>
          </cell>
          <cell r="I56">
            <v>362.5</v>
          </cell>
          <cell r="J56" t="str">
            <v>Bliss</v>
          </cell>
          <cell r="K56" t="str">
            <v>Paytm From Arvind Pachhapur(24/02) 750 pack-- Car//Guldawari//Rajni//Orchid//Asiatic(23/03) Hold today and send next6 week(14/04) Hold n start from 19th June(16/06) Skip 1 week (05/01) Received one more payment today (26/01) Payment was in process (20/03) Skip 1 week (28/06) Skip 1 week (29/06) Skip 3 week (21/05)</v>
          </cell>
          <cell r="N56" t="str">
            <v>3  del of this cycle   -  0-cycles pmnt   Completed - Collect 0</v>
          </cell>
          <cell r="O56" t="str">
            <v>Sunflower ( 12 Inch ) 2     FF Sachet + Grass</v>
          </cell>
          <cell r="P56" t="str">
            <v>Rajni ( 14 Inch ) 9     Grass</v>
          </cell>
          <cell r="Q56" t="str">
            <v>O Asiatic ( 14 Inch ) 2     Grass</v>
          </cell>
          <cell r="R56" t="e">
            <v>#N/A</v>
          </cell>
          <cell r="S56" t="str">
            <v>O Asiatic ( 14 Inch ) 3     Grass</v>
          </cell>
          <cell r="T56" t="str">
            <v>Mix Glad ( 14 Inch ) 16     Grass</v>
          </cell>
        </row>
        <row r="57">
          <cell r="A57">
            <v>396</v>
          </cell>
          <cell r="B57" t="str">
            <v>Dr. Deepa Gupta</v>
          </cell>
          <cell r="C57">
            <v>8860079525</v>
          </cell>
          <cell r="D57" t="str">
            <v>Mayom Hospital, D block south city 1</v>
          </cell>
          <cell r="E57" t="str">
            <v>South City 1</v>
          </cell>
          <cell r="F57" t="str">
            <v>Thursday</v>
          </cell>
          <cell r="G57" t="str">
            <v>4 PM to 7 PM</v>
          </cell>
          <cell r="H57">
            <v>1450</v>
          </cell>
          <cell r="I57">
            <v>362.5</v>
          </cell>
          <cell r="J57" t="str">
            <v>Corporate</v>
          </cell>
          <cell r="K57" t="str">
            <v>1 del Missed(07/10) Return-send next week(31/12) Send replacement of Gerbera(30/10) Send on Monday this week(20/03) Return- hold package(08/07) Today returned-send next week(02/06) HDTNP (19/02)</v>
          </cell>
          <cell r="N57" t="str">
            <v>4  del of this cycle   -  0-cycles pmnt   In Process - Collect 0</v>
          </cell>
          <cell r="O57" t="str">
            <v>Pur n P Car ( 14 inch ) 16     FF Sachet + Grass</v>
          </cell>
          <cell r="P57" t="str">
            <v>Rajni ( 14 Inch ) 16     Grass</v>
          </cell>
          <cell r="Q57" t="str">
            <v>P n W Glad ( 14 Inch ) 16     Grass</v>
          </cell>
          <cell r="R57" t="str">
            <v>P n W Car ( 14 Inch ) 16     FF Sachet + Grass</v>
          </cell>
          <cell r="S57" t="str">
            <v>Rajni ( 14 Inch ) 16     Grass</v>
          </cell>
          <cell r="T57" t="str">
            <v>B Daisy 10     Grass</v>
          </cell>
        </row>
        <row r="58">
          <cell r="A58">
            <v>237</v>
          </cell>
          <cell r="B58" t="str">
            <v>Mayom Hospital</v>
          </cell>
          <cell r="C58">
            <v>8860079525</v>
          </cell>
          <cell r="D58" t="str">
            <v>Mayom Hospital, D block south city 1</v>
          </cell>
          <cell r="H58">
            <v>3000</v>
          </cell>
          <cell r="I58">
            <v>375</v>
          </cell>
          <cell r="J58" t="str">
            <v>Corporate</v>
          </cell>
          <cell r="T58" t="str">
            <v>P n Y Spray Daisy ( 14 Inch )      FF Sachet + Grass</v>
          </cell>
        </row>
        <row r="59">
          <cell r="A59">
            <v>236</v>
          </cell>
          <cell r="B59" t="str">
            <v>Dr. Arti Gupta 1</v>
          </cell>
          <cell r="C59">
            <v>8860079525</v>
          </cell>
          <cell r="D59" t="str">
            <v>Mayom Hospital, D block south city 1</v>
          </cell>
          <cell r="E59" t="str">
            <v>South City 1</v>
          </cell>
          <cell r="F59" t="str">
            <v>Mondau</v>
          </cell>
          <cell r="G59" t="str">
            <v>9 AM - 12 PM</v>
          </cell>
          <cell r="H59">
            <v>1450</v>
          </cell>
          <cell r="I59">
            <v>362.5</v>
          </cell>
          <cell r="J59" t="str">
            <v>Corporate</v>
          </cell>
          <cell r="K59" t="str">
            <v>Pls send a replacement of Asiatic tomorrow(23/08)NO GERBERA(22/09) Start special Pack(13/04) Send Del on Monday this week(20/03) NEVER BUT DAISIES(29/10) Hold today (22/01) HDTNP (19/02) Sent one xtra del today (29/06) Hold today (09/07)</v>
          </cell>
          <cell r="N59" t="str">
            <v>1  del of this cycle   -  0-cycles pmnt   In Process - Collect 0</v>
          </cell>
          <cell r="O59" t="str">
            <v>P n W Glad ( 14 Inch ) 16     Grass</v>
          </cell>
          <cell r="P59" t="str">
            <v>Rajni ( 14 Inch ) 16     Grass</v>
          </cell>
          <cell r="Q59" t="str">
            <v>B Daisy ( 12 Inch ) 10     Grass</v>
          </cell>
          <cell r="R59" t="str">
            <v>P n W Car ( 14 Inch ) 16     FF Sachet + Grass</v>
          </cell>
          <cell r="S59" t="str">
            <v>Rajni ( 14 Inch ) 16     Grass</v>
          </cell>
          <cell r="T59" t="str">
            <v>B Daisy 10     Grass</v>
          </cell>
        </row>
        <row r="60">
          <cell r="A60">
            <v>3363</v>
          </cell>
          <cell r="B60" t="str">
            <v>Shipra Malhotra -- Same Flowers</v>
          </cell>
          <cell r="C60">
            <v>9819952391</v>
          </cell>
          <cell r="D60" t="str">
            <v>F-12, First Floor, Galacy Apartments</v>
          </cell>
          <cell r="E60" t="str">
            <v>DLF Phase 5</v>
          </cell>
          <cell r="F60" t="str">
            <v>Thursday</v>
          </cell>
          <cell r="G60" t="str">
            <v>3:30 PM to 7:30 PM</v>
          </cell>
          <cell r="H60">
            <v>1450</v>
          </cell>
          <cell r="I60">
            <v>362.5</v>
          </cell>
          <cell r="J60" t="str">
            <v>Bliss</v>
          </cell>
          <cell r="K60" t="str">
            <v>Same Flowers in her Both subscription</v>
          </cell>
          <cell r="M60" t="str">
            <v>Same Flowers in Both Pack (13/05)</v>
          </cell>
          <cell r="N60" t="str">
            <v>1  del of this cycle   -  0-cycles pmnt   Completed - Collect 0</v>
          </cell>
          <cell r="O60" t="e">
            <v>#N/A</v>
          </cell>
          <cell r="P60" t="e">
            <v>#N/A</v>
          </cell>
          <cell r="Q60" t="e">
            <v>#N/A</v>
          </cell>
          <cell r="R60" t="e">
            <v>#N/A</v>
          </cell>
          <cell r="S60" t="e">
            <v>#N/A</v>
          </cell>
          <cell r="T60" t="str">
            <v>G n W Car ( 14 inch ) 16     FF Sachet + Grass</v>
          </cell>
        </row>
        <row r="61">
          <cell r="A61">
            <v>3326</v>
          </cell>
          <cell r="B61" t="str">
            <v>Ms. Rani</v>
          </cell>
          <cell r="C61">
            <v>9313104941</v>
          </cell>
          <cell r="D61" t="str">
            <v>J-151, Park Place</v>
          </cell>
          <cell r="E61" t="str">
            <v>DLF Phase 5</v>
          </cell>
          <cell r="F61" t="str">
            <v>Thursday</v>
          </cell>
          <cell r="G61" t="str">
            <v>9 AM to 2 PM</v>
          </cell>
          <cell r="H61">
            <v>1450</v>
          </cell>
          <cell r="I61">
            <v>362.5</v>
          </cell>
          <cell r="J61" t="str">
            <v>Bliss</v>
          </cell>
          <cell r="K61" t="str">
            <v>Start From July (06/06)</v>
          </cell>
          <cell r="N61" t="str">
            <v>4  del of this cycle   -  0-cycles pmnt   Completed - Collect 0</v>
          </cell>
          <cell r="O61" t="e">
            <v>#N/A</v>
          </cell>
          <cell r="P61" t="e">
            <v>#N/A</v>
          </cell>
          <cell r="Q61" t="str">
            <v>Pur n P Car ( 14 Inch ) 16     FF Sachet + Grass</v>
          </cell>
          <cell r="R61" t="str">
            <v>W Asiatic ( 14 Inch ) 3   Collect Payment Collect Payment Grass</v>
          </cell>
          <cell r="S61" t="str">
            <v>P n W Glad ( 14 Inch ) 16     Grass</v>
          </cell>
          <cell r="T61" t="str">
            <v>P n Y Spray Daisy ( 14 Inch ) 5     FF Sachet + Grass</v>
          </cell>
        </row>
        <row r="62">
          <cell r="A62">
            <v>2779</v>
          </cell>
          <cell r="B62" t="str">
            <v>Riddhi Desai</v>
          </cell>
          <cell r="C62">
            <v>8130497969</v>
          </cell>
          <cell r="D62" t="str">
            <v>D-71, The Icon</v>
          </cell>
          <cell r="E62" t="str">
            <v>Golf Course Road</v>
          </cell>
          <cell r="F62" t="str">
            <v>Sunday</v>
          </cell>
          <cell r="G62" t="str">
            <v>9 AM to 2 PM</v>
          </cell>
          <cell r="H62">
            <v>1600</v>
          </cell>
          <cell r="I62">
            <v>200</v>
          </cell>
          <cell r="J62" t="str">
            <v>Bloom</v>
          </cell>
          <cell r="K62" t="str">
            <v>Send this week on Saturday (14/08) Skip 1 week (21/12) Hold till 2nd June (20/05)</v>
          </cell>
          <cell r="N62" t="str">
            <v>4  del of this cycle   -  0-cycles pmnt   Completed - Collect 0</v>
          </cell>
          <cell r="O62" t="str">
            <v>Sunflower ( 12 Inch ) 2     FF Sachet + Grass</v>
          </cell>
          <cell r="P62" t="str">
            <v>Rajni ( 14 Inch ) 7     Grass</v>
          </cell>
          <cell r="Q62" t="str">
            <v>Pur n P Car ( 14 Inch ) 7     FF Sachet + Grass</v>
          </cell>
          <cell r="R62" t="str">
            <v>P Spray Daisy ( 14 Inch ) 2     FF Sachet + Grass</v>
          </cell>
          <cell r="S62" t="str">
            <v>P n W Glad ( 14 Inch ) 7     Grass</v>
          </cell>
          <cell r="T62" t="str">
            <v>Rajni ( 14 Inch ) 7     Grass</v>
          </cell>
        </row>
        <row r="63">
          <cell r="A63">
            <v>894</v>
          </cell>
          <cell r="B63" t="str">
            <v>Dr. Roma Kumar</v>
          </cell>
          <cell r="C63" t="str">
            <v>98110 87708</v>
          </cell>
          <cell r="D63" t="str">
            <v>RT-181, Royalton Tower
Inside Princeton Estate
DLF City Phase-V
Gurgaon-122009
Haryana</v>
          </cell>
          <cell r="E63" t="str">
            <v>DLF Phase 5</v>
          </cell>
          <cell r="F63" t="str">
            <v>Thursday</v>
          </cell>
          <cell r="G63" t="str">
            <v>9 AM - 12 PM</v>
          </cell>
          <cell r="H63">
            <v>3000</v>
          </cell>
          <cell r="I63">
            <v>375</v>
          </cell>
          <cell r="J63" t="str">
            <v>Charm</v>
          </cell>
          <cell r="K63" t="str">
            <v>Sun to Thursday//NO Roses(Old) PREFER-- WHITE ROSE/RAJNIGANDHA/CHRYSANTHEMUM(18/11) Skip 1 Week(25/12) Day Changed to Monday till Lovkdown(23/08/20) Send replacement of Lilies(20/10) Day Changed to Sunday-send 1 del today and then every Sunday(30/11) Paytm from Pooja M Tripathi(26/04) Sent replacement today(30/07) Paytm of Gignger lily and eustoma added(06/11) Skip 1 week(06/11)  20 Rajnio sent in Subscription(06/02) Skip today(13/02) Rajni Next(19/02) Rajni next(02/03) Skip 1 week(02/06) Skip Sunday Delivery(13/08) Skip this thursday Delivery (28/02) Skip 1 week (28/02) No Blue Orchid (06/04) Hold today and next Sunday also (12/09) Hold today n one more del (19/09) Skip 1 week (22/02) Skip this thursday (12/03) Send replacement tom (04/05) Skip on sunday (01/06) Skip today (01/06) Skip 1 week (24/11) Hold n start from 29th Jan (18/01) Hold today (02/07) Today Hold (12/07)</v>
          </cell>
          <cell r="L63" t="str">
            <v>ORCHID</v>
          </cell>
          <cell r="N63" t="str">
            <v>1  del of this cycle   -  1-cycles pmnt   Pending - Collect 3000</v>
          </cell>
          <cell r="O63" t="str">
            <v>P Asiatic ( 14 Inch ) 3     Grass</v>
          </cell>
          <cell r="P63" t="str">
            <v>Rajni ( 14 Inch ) 15     Grass</v>
          </cell>
          <cell r="Q63" t="str">
            <v>B Daisy ( 12 Inch ) 15     Grass</v>
          </cell>
          <cell r="R63" t="str">
            <v>G Anthurium 3     Grass</v>
          </cell>
          <cell r="S63" t="e">
            <v>#N/A</v>
          </cell>
          <cell r="T63" t="str">
            <v>Y Asiatic ( 14 inch ) 3     Grass</v>
          </cell>
        </row>
        <row r="64">
          <cell r="A64">
            <v>1098</v>
          </cell>
          <cell r="B64" t="str">
            <v>Rahul Sehgal</v>
          </cell>
          <cell r="C64">
            <v>9810022182</v>
          </cell>
          <cell r="D64" t="str">
            <v>418-A, Hamilton Court</v>
          </cell>
          <cell r="E64" t="str">
            <v>DLF Phase 4</v>
          </cell>
          <cell r="F64" t="str">
            <v>Thursday</v>
          </cell>
          <cell r="G64" t="str">
            <v>4 Pm to 7 PM</v>
          </cell>
          <cell r="H64">
            <v>1950</v>
          </cell>
          <cell r="I64">
            <v>487.5</v>
          </cell>
          <cell r="J64" t="str">
            <v>Joy</v>
          </cell>
          <cell r="K64" t="str">
            <v>P Glad First(02/09/20) Next Oriental and send only Glad/Oriental and asiatic(17/09/20)  Only Oriental and Gladioli(26/10) Now Send-- Glad // BOP + Guldawari // Oriental Lily// Heliconia(19/12) Send Glad tom -- No White(23/12) Send all flowesr now and mixed always but NO RAJNI(19/01) NO WHITE COLOR(04/03) NO BOP(21/03) NO ORCHID(02/04) Shift to Friday now(04/04) Sent 1 Flower Food today(06/06) Send on sat this week only(10/10) Y Chrysanthemum nextr and Lilies after that(23/10) NO HELICONIA(26/10) NO GERBERA(18/02) Skip thsi week(25/02) Day chang eto thursday evening slot(08/03) Do not count last delivery(20/03) Send replacement tomorrow (05/07)</v>
          </cell>
          <cell r="L64" t="str">
            <v>ROSE n RAJNI</v>
          </cell>
          <cell r="N64" t="str">
            <v>2  del of this cycle   -  0-cycles pmnt   Completed - Collect 0</v>
          </cell>
          <cell r="O64" t="str">
            <v>P n W Spray Daisy ( 14 Inch ) 7     FF Sachet + Grass</v>
          </cell>
          <cell r="P64" t="str">
            <v>O Asiatic ( 14 Inch ) 4     Grass</v>
          </cell>
          <cell r="Q64" t="str">
            <v>P n W Glad ( 14 Inch ) 22     Grass</v>
          </cell>
          <cell r="R64" t="str">
            <v>Mix Alstroemeria ( 12Inch ) 22     FF Sachet + Grass</v>
          </cell>
          <cell r="S64" t="str">
            <v>G n W Car ( 14 Inch ) 22     FF Sachet + Grass</v>
          </cell>
          <cell r="T64" t="str">
            <v>P n Y Spray Daisy ( 14 Inch ) 7     FF Sachet + Grass</v>
          </cell>
        </row>
        <row r="65">
          <cell r="A65">
            <v>2076</v>
          </cell>
          <cell r="B65" t="str">
            <v>Divya Jain Midas</v>
          </cell>
          <cell r="C65">
            <v>9910172233</v>
          </cell>
          <cell r="D65" t="str">
            <v>Midas Touch, 1st Floor, A Block, Nirvana Courtyard</v>
          </cell>
          <cell r="E65" t="str">
            <v>Nirvana Country</v>
          </cell>
          <cell r="F65" t="str">
            <v>Thursday</v>
          </cell>
          <cell r="G65" t="str">
            <v>9 AM - 12 PM</v>
          </cell>
          <cell r="H65">
            <v>1450</v>
          </cell>
          <cell r="I65">
            <v>362.5</v>
          </cell>
          <cell r="J65" t="str">
            <v>Bliss</v>
          </cell>
          <cell r="K65" t="str">
            <v>Sent replacement today (01/06) Send 1 Vase with next delivery (10/10) Send 1 Rassee Vase and Flowers tom (29/11) Sent 1 vase today (30/1) 1500 cash and 100 via paytm (07/01) One deliv sent today (26/02) Sent one del today (10/06) sent one del today (21/07) GMom Quiz Voucher Added (07/08) 1 Vase sent today (11/11) Send one del tom and with either rose or Car (02/12) Sent one del today (28/04)</v>
          </cell>
          <cell r="N65" t="str">
            <v>1  del of this cycle   -  1-cycles pmnt   Pending - Collect 1400</v>
          </cell>
          <cell r="O65" t="str">
            <v>Sunflower ( 12 Inch ) 4     FF Sachet + Grass</v>
          </cell>
          <cell r="P65" t="str">
            <v>Pur Eustoma ( 12 Inch ) 3     FF Sachet + Grass</v>
          </cell>
          <cell r="Q65" t="str">
            <v>O Asiatic ( 14 Inch ) 3     Grass</v>
          </cell>
          <cell r="R65" t="str">
            <v>Rajni ( 14 Inch ) 16     Grass</v>
          </cell>
          <cell r="S65" t="str">
            <v>G n W Car ( 14 Inch ) 16     FF Sachet + Grass</v>
          </cell>
          <cell r="T65" t="str">
            <v>P n Y Spray Daisy ( 14 Inch ) 5     FF Sachet + Grass</v>
          </cell>
        </row>
        <row r="66">
          <cell r="A66">
            <v>2294</v>
          </cell>
          <cell r="B66" t="str">
            <v>Sonal Verma</v>
          </cell>
          <cell r="C66">
            <v>9711499808</v>
          </cell>
          <cell r="D66" t="str">
            <v>H. No. 19, 1st Floor, Cedar Crest</v>
          </cell>
          <cell r="E66" t="str">
            <v>Nirvana Country</v>
          </cell>
          <cell r="F66" t="str">
            <v>Thursday</v>
          </cell>
          <cell r="G66" t="str">
            <v>9 AM - 12 PM</v>
          </cell>
          <cell r="H66">
            <v>1450</v>
          </cell>
          <cell r="I66">
            <v>362.5</v>
          </cell>
          <cell r="J66" t="str">
            <v>Bliss</v>
          </cell>
          <cell r="K66" t="str">
            <v>Skip 1 week (11/03) Skip 1 week (21/05) Pls skip 1 week (18/06) Sent one del today (10/12) Hold due to non payment (29/01) Hold due to non payment (04/02) HDTNP (19/02) HDTNP (26/02) HDTNP (21/05) HDTNP (28/05) HDTNP (04/06) HDTNP (11/06) HDTNP (18/06) HDTNP (25/06) HDTNP (02/07) Paytm From Sandeep Verma (09/07)</v>
          </cell>
          <cell r="N66" t="str">
            <v>4  del of this cycle   -  0-cycles pmnt   Completed - Collect 0</v>
          </cell>
          <cell r="O66" t="e">
            <v>#N/A</v>
          </cell>
          <cell r="P66" t="e">
            <v>#N/A</v>
          </cell>
          <cell r="Q66" t="str">
            <v xml:space="preserve">Collect Rs 725 Carry Reciept Book     </v>
          </cell>
          <cell r="R66" t="str">
            <v xml:space="preserve">Collect 725  Carry Receipt Bookl     </v>
          </cell>
          <cell r="S66" t="str">
            <v>G n W Car ( 14 Inch ) 16     FF Sachet + Grass</v>
          </cell>
          <cell r="T66" t="str">
            <v>Y Asiatic ( 14 inch ) 3     Grass</v>
          </cell>
        </row>
        <row r="67">
          <cell r="A67">
            <v>1140</v>
          </cell>
          <cell r="B67" t="str">
            <v>Nidhi Singh</v>
          </cell>
          <cell r="C67" t="str">
            <v>8383036664//9899389873</v>
          </cell>
          <cell r="D67" t="str">
            <v>D-8/3, Ground Floor DLF Exclusive Floors</v>
          </cell>
          <cell r="E67" t="str">
            <v>DLF Phase 5</v>
          </cell>
          <cell r="F67" t="str">
            <v>Thursday</v>
          </cell>
          <cell r="G67" t="str">
            <v>9 AM - 12 PM</v>
          </cell>
          <cell r="H67">
            <v>2300</v>
          </cell>
          <cell r="I67">
            <v>287.5</v>
          </cell>
          <cell r="J67" t="str">
            <v>Felicity</v>
          </cell>
          <cell r="K67" t="str">
            <v>Sunday n thursday //Monday n Thursday//Send Change of 200 Next(22/10) NO ROSE(22/11) Send Oriental next and send change of 2000 Next(27/11) NO ROSE // Heliconia Next(30/11) Send Change Next(13/04) 350 Received today via paytm(15/04) Flower Food Next(16/04) Send replacement of gerbera tom(20/04) Received 250 today(20/04) Send Replacement tom(20/04) Do Not Count 1 Del(22/04) Days-- Monday and Thursday(30/05) Gpay from Vivek Singh// Paytm from 9372779905-- Viveka(30/07) 1 Flower food next(01/04) Sent a replacement today(05/04) FF Next()8/04) Today del missed(02/06) REceived 1650 extra (28/12) Send replacement tom (29/08) Skip 1 week (17/10) 13th Flower Missed (17/11) Today Returned (18/12) Skip Tom (17/01) No Del from 21st to 27th July (10/07) Skip 1 week (03/12) Hold till 15th Dec (09/12) Skip this thursday (24/12) Skip on sunday (10/01) Hold till 31st Jan after 18th Del (17/01)</v>
          </cell>
          <cell r="L67" t="str">
            <v>ROSE</v>
          </cell>
          <cell r="N67" t="str">
            <v>7  del of this cycle   -  0-cycles pmnt   Completed - Collect 0</v>
          </cell>
          <cell r="O67" t="str">
            <v>Rajni ( 14 Inch ) 11     Grass</v>
          </cell>
          <cell r="P67" t="str">
            <v>P n W Glad ( 14 Inch ) 11     Grass</v>
          </cell>
          <cell r="Q67" t="str">
            <v>Pur n P Car ( 14 Inch ) 11     FF Sachet + Grass</v>
          </cell>
          <cell r="R67" t="str">
            <v>Rajni ( 14 Inch ) 11     Grass</v>
          </cell>
          <cell r="S67" t="str">
            <v>P n W Glad ( 14 Inch ) 11     Grass</v>
          </cell>
          <cell r="T67" t="str">
            <v>Y Asiatic ( 14 inch ) 2     Grass</v>
          </cell>
        </row>
        <row r="68">
          <cell r="A68" t="str">
            <v>B56528</v>
          </cell>
          <cell r="B68" t="str">
            <v>Suhina Banga</v>
          </cell>
          <cell r="C68">
            <v>9810699839</v>
          </cell>
          <cell r="D68" t="str">
            <v>D1-903 Ireo Skyon, sector 60 gurgaon</v>
          </cell>
          <cell r="E68" t="str">
            <v>Ghata</v>
          </cell>
          <cell r="F68" t="str">
            <v>Thursday</v>
          </cell>
          <cell r="G68" t="str">
            <v>By 9:30 AM</v>
          </cell>
          <cell r="H68">
            <v>2500</v>
          </cell>
          <cell r="I68">
            <v>2500</v>
          </cell>
          <cell r="J68" t="str">
            <v>Bouquet</v>
          </cell>
          <cell r="K68" t="str">
            <v>From Raunak Banga // Happy Birthday Suhina</v>
          </cell>
          <cell r="N68" t="str">
            <v>1  del of this cycle   -  0-cycles pmnt   In Process - Collect 0</v>
          </cell>
          <cell r="O68" t="e">
            <v>#N/A</v>
          </cell>
          <cell r="P68" t="e">
            <v>#N/A</v>
          </cell>
          <cell r="Q68" t="e">
            <v>#N/A</v>
          </cell>
          <cell r="R68" t="e">
            <v>#N/A</v>
          </cell>
          <cell r="S68" t="e">
            <v>#N/A</v>
          </cell>
          <cell r="T68" t="str">
            <v xml:space="preserve">Semi Bloom P n W Oriental + P n W Car + Y Spray Daisy 4 + 15 + 5 Single Wrap Message   </v>
          </cell>
        </row>
        <row r="69">
          <cell r="A69">
            <v>484</v>
          </cell>
          <cell r="B69" t="str">
            <v>Deepti Chhabra</v>
          </cell>
          <cell r="C69">
            <v>9811230451</v>
          </cell>
          <cell r="D69" t="str">
            <v>A-061, Westend Heights</v>
          </cell>
          <cell r="E69" t="str">
            <v>DLF Phase 5</v>
          </cell>
          <cell r="F69" t="str">
            <v>Thursday</v>
          </cell>
          <cell r="G69" t="str">
            <v>4 PM to 7PM</v>
          </cell>
          <cell r="H69">
            <v>1950</v>
          </cell>
          <cell r="I69">
            <v>487.5</v>
          </cell>
          <cell r="J69" t="str">
            <v>Joy</v>
          </cell>
          <cell r="K69" t="str">
            <v>Sat to Thursday//Hold n start from 23rd Nov(31/10) Add changed(01/02) Paytm from Vishal Chabra(22/02) Send Replacement(03/03) Skip this week(18/03) Skip next del(14/06) 1 stick extra next Del(12/07 FF Sold Today(19/07) Send rajni Tom(02/08) Send FF Next(13/09) Next Asiatic n 2 sticks extra(25/09) Rajni Next(05/12) Skip 1 week(20/12) Hold-send tom(14/02) Upgraded to 1250, send remaining 5 sticks tom(04/09) Skip1 week(05/11) Skip 1 week(18/11)  Hold today and skip 1 week(11/12) Skip 1 week(20/03) Sent replacement today(08/04) Skip 2 weeks(21/06) Skip 1 week (09/11) Skip 1 more week (16/11) NO ROSE (29/12) Send replacemet tom (08/04) Pink n green Spray Car Tom (03/05) Skip 2 weeks (01/06) Skip 1 week (23/10) Skip 1 week (15/11) Today hold (11/01) Skip 1 week (16/03) Skip 2 week (22/10) Paytm from Arti Lakra (17/01) Skip 1 week(12/04) Skip 1 week912/04) Yesterday Returned (24/10) Skip tom (07/01) Hold due to non payment (04/02) Skip 2 week (16/05) Hod n start from July (04/06)</v>
          </cell>
          <cell r="L69" t="str">
            <v>ROSE</v>
          </cell>
          <cell r="N69" t="str">
            <v>4  del of this cycle   -  0-cycles pmnt   Completed - Collect 0</v>
          </cell>
          <cell r="O69" t="e">
            <v>#N/A</v>
          </cell>
          <cell r="P69" t="e">
            <v>#N/A</v>
          </cell>
          <cell r="Q69" t="str">
            <v>Pur n P Car ( 14 Inch ) 22     FF Sachet + Grass</v>
          </cell>
          <cell r="R69" t="str">
            <v>Rajni ( 14 Inch ) 22   Collect Payment Collect Payment Grass</v>
          </cell>
          <cell r="S69" t="str">
            <v>O Asiatic ( 14 Inch ) 4     Grass</v>
          </cell>
          <cell r="T69" t="str">
            <v>P n Y Spray Daisy ( 14 Inch ) 7     FF Sachet + Grass</v>
          </cell>
        </row>
        <row r="70">
          <cell r="A70">
            <v>2406</v>
          </cell>
          <cell r="B70" t="str">
            <v>Vermeen Kapoor</v>
          </cell>
          <cell r="C70">
            <v>9873458198</v>
          </cell>
          <cell r="D70" t="str">
            <v>B-59, South City 2</v>
          </cell>
          <cell r="E70" t="str">
            <v>Nirvana Country</v>
          </cell>
          <cell r="F70" t="str">
            <v>Thursday</v>
          </cell>
          <cell r="G70" t="str">
            <v>9:30 Am to 2 PM</v>
          </cell>
          <cell r="H70">
            <v>1450</v>
          </cell>
          <cell r="I70">
            <v>362.5</v>
          </cell>
          <cell r="J70" t="str">
            <v>Bliss</v>
          </cell>
          <cell r="K70" t="str">
            <v>Referred by Swati Khandelwal?/ Mixed Flowers // Send replace,ent tom (19/02) Day Changed to Thursday (08/04) today returned-send tom (24/07)</v>
          </cell>
          <cell r="M70" t="str">
            <v>Mixed Flowers</v>
          </cell>
          <cell r="N70" t="str">
            <v>1  del of this cycle   -  0-cycles pmnt   Completed - Collect 0</v>
          </cell>
          <cell r="O70" t="str">
            <v>Sunflower ( 12 Inch ) 2 P n W Glad ( 14 Inch ) 7   FF Sachet + Grass</v>
          </cell>
          <cell r="P70" t="str">
            <v>P Asiatic ( 14 Inch ) 2 B Daisy ( 12 Inch ) 7   Grass</v>
          </cell>
          <cell r="Q70" t="str">
            <v>P Spray Daisy ( 14 Inch ) 3 Rajni ( 14 Inch ) 7   FF Sachet + Grass</v>
          </cell>
          <cell r="R70" t="str">
            <v>Sunflower ( 12 Inch ) 2 P n W Car ( 14 Inch ) 7   FF Sachet + Grass</v>
          </cell>
          <cell r="S70" t="str">
            <v>O Asiatic ( 14 Inch ) 2 P n W Glad ( 14 Inch ) 7   Grass</v>
          </cell>
          <cell r="T70" t="str">
            <v>Pur Eustoma ( 12 Inch ) 2 Mix Alstroemeria ( 12 Inch ) 7   FF Sachet + Grass</v>
          </cell>
        </row>
        <row r="71">
          <cell r="A71">
            <v>61</v>
          </cell>
          <cell r="B71" t="str">
            <v>Megha Manchanda -- Bliss Pack</v>
          </cell>
          <cell r="C71">
            <v>9871919500</v>
          </cell>
          <cell r="D71" t="str">
            <v>T-3/302, Unitech Harmony</v>
          </cell>
          <cell r="E71" t="str">
            <v>Nirvana Country</v>
          </cell>
          <cell r="F71" t="str">
            <v>Thursday</v>
          </cell>
          <cell r="G71" t="str">
            <v>9 AM - 12 PM</v>
          </cell>
          <cell r="H71">
            <v>1450</v>
          </cell>
          <cell r="I71">
            <v>362.5</v>
          </cell>
          <cell r="J71" t="str">
            <v>Bliss</v>
          </cell>
          <cell r="K71" t="str">
            <v>No rajni n Rose(22/05) 1Stick extra in next del(27/08)Today not delivered-pls send on 6th(04/09) Return-send next week(04/03)  NO GLAD(19/10) Always send areca palm with BOP(28/01) Add Changed(30/07) Skip 1 week (21/12) Don't deliver tom-- Send on Sunday (14/06) Send on Sunday instead of Thursday (03/01) Skip 2 weeks (12/06) Payment from Amardeep S R (13/07) Skip 1 week (18/03) Today TReturned (11/06) Skip n send on sunday this week (23/06)</v>
          </cell>
          <cell r="N71" t="str">
            <v>3  del of this cycle   -  0-cycles pmnt   Completed - Collect 0</v>
          </cell>
          <cell r="O71" t="str">
            <v>Sunflower ( 12 Inch ) 2     FF Sachet + Grass</v>
          </cell>
          <cell r="P71" t="e">
            <v>#N/A</v>
          </cell>
          <cell r="Q71" t="str">
            <v>Rajni ( 14 Inch ) 9     Grass</v>
          </cell>
          <cell r="R71" t="str">
            <v>P Asiatic ( 14 Inch ) 3     Grass</v>
          </cell>
          <cell r="S71" t="str">
            <v>G n W Car ( 14 Inch ) 16     FF Sachet + Grass</v>
          </cell>
          <cell r="T71" t="str">
            <v>P n Y Spray Daisy ( 14 Inch ) 5     FF Sachet + Grass</v>
          </cell>
        </row>
        <row r="72">
          <cell r="A72">
            <v>2205</v>
          </cell>
          <cell r="B72" t="str">
            <v>Shubhra Gupta</v>
          </cell>
          <cell r="C72">
            <v>9811981626</v>
          </cell>
          <cell r="D72" t="str">
            <v>ES-245, Espace</v>
          </cell>
          <cell r="E72" t="str">
            <v>Nirvana Country</v>
          </cell>
          <cell r="F72" t="str">
            <v>Thursday</v>
          </cell>
          <cell r="G72" t="str">
            <v>9 AM - 12 PM</v>
          </cell>
          <cell r="H72">
            <v>1450</v>
          </cell>
          <cell r="I72">
            <v>362.5</v>
          </cell>
          <cell r="J72" t="str">
            <v>Bliss</v>
          </cell>
          <cell r="K72" t="str">
            <v>Paytm From 9811656524 // No Orchids // Skip 1 week (01/10) Same flowers from last  2weeks, pls Check (06/11) Paytm from Gaurav Gupta (0703)</v>
          </cell>
          <cell r="L72" t="str">
            <v>ORCHID</v>
          </cell>
          <cell r="M72" t="str">
            <v>Same Flowers from 2 week, Pls Check (06/11)</v>
          </cell>
          <cell r="N72" t="str">
            <v>4  del of this cycle   -  0-cycles pmnt   Completed - Collect 0</v>
          </cell>
          <cell r="O72" t="str">
            <v>P n W Spray Daisy ( 14 Inch ) 5     FF Sachet + Grass</v>
          </cell>
          <cell r="P72" t="str">
            <v>B Daisy ( 12 Inch ) 16     Grass</v>
          </cell>
          <cell r="Q72" t="str">
            <v>P Asiatic ( 14 Inch ) 3     Grass</v>
          </cell>
          <cell r="R72" t="str">
            <v>Rajni ( 14 Inch ) 16     Grass</v>
          </cell>
          <cell r="S72" t="str">
            <v>G n W Car ( 14 Inch ) 16     FF Sachet + Grass</v>
          </cell>
          <cell r="T72" t="str">
            <v>Mix Glad ( 14 Inch ) 16     Grass</v>
          </cell>
        </row>
        <row r="73">
          <cell r="A73">
            <v>2684</v>
          </cell>
          <cell r="B73" t="str">
            <v>Meenakshi Bhatia</v>
          </cell>
          <cell r="C73">
            <v>9958428097</v>
          </cell>
          <cell r="D73" t="str">
            <v>T-E/244, The Crest</v>
          </cell>
          <cell r="E73" t="str">
            <v>Golf Course Road</v>
          </cell>
          <cell r="F73" t="str">
            <v>Thursday</v>
          </cell>
          <cell r="G73" t="str">
            <v>9 AM - 12 PM</v>
          </cell>
          <cell r="H73">
            <v>2750</v>
          </cell>
          <cell r="I73">
            <v>687.5</v>
          </cell>
          <cell r="J73" t="str">
            <v>Elation</v>
          </cell>
          <cell r="K73" t="str">
            <v>Hold she will confirm (17/05) Send on Sunday this week (23/05) Next Del on Sunday (29/05) 1 Spray daisy next (22/06) Send anthurium n BOP too (19/07) Skip 1 week (02/08) Skip 1 week and confirm before sending (24/08) Change day to Thursday (25/10) Today Hold (06/11) Send del on sunday and then from 18th (12/12) Skip 1 week (07/04)</v>
          </cell>
          <cell r="M73" t="str">
            <v>Send BOP and Anthuriums too (10/07) Chcek before sending (24/08)</v>
          </cell>
          <cell r="N73" t="str">
            <v>4  del of this cycle   -  0-cycles pmnt   Completed - Collect 0</v>
          </cell>
          <cell r="O73" t="str">
            <v xml:space="preserve">O Asiatic ( 14 Inch ) 3 P n W Glad ( 14 Inch ) 16   2 Gypsola </v>
          </cell>
          <cell r="P73" t="str">
            <v>P n Y Spray Daisy ( 14 Inch ) 4 B Daisy ( 12 Inch ) 16   2 Limonium + FF Sachet</v>
          </cell>
          <cell r="Q73" t="e">
            <v>#N/A</v>
          </cell>
          <cell r="R73" t="e">
            <v>#N/A</v>
          </cell>
          <cell r="S73" t="e">
            <v>#N/A</v>
          </cell>
          <cell r="T73" t="str">
            <v>Y Asiatic ( 14 inch ) 3 G n W Car ( 14 Inch ) 16   2 Gypsola</v>
          </cell>
        </row>
        <row r="74">
          <cell r="A74">
            <v>2716</v>
          </cell>
          <cell r="B74" t="str">
            <v>Simmi Chopra</v>
          </cell>
          <cell r="C74">
            <v>9891744488</v>
          </cell>
          <cell r="D74" t="str">
            <v>B/145, Suncity, Golf Course Road</v>
          </cell>
          <cell r="E74" t="str">
            <v>Golf Course Road</v>
          </cell>
          <cell r="F74" t="str">
            <v>Thursday</v>
          </cell>
          <cell r="G74" t="str">
            <v>9 AM - 12 PM</v>
          </cell>
          <cell r="H74">
            <v>2750</v>
          </cell>
          <cell r="I74">
            <v>687.5</v>
          </cell>
          <cell r="J74" t="str">
            <v>Elation</v>
          </cell>
          <cell r="K74" t="str">
            <v>Upgrade to Elation (27/08) Send 10 B daisy next extra (04/10) Today Hold (04/12) Send one Del Tom (30/12)</v>
          </cell>
          <cell r="M74" t="str">
            <v>Send on del tom and no del on 1st Jan (30/12)</v>
          </cell>
          <cell r="N74" t="str">
            <v>1  del of this cycle   -  1-cycles pmnt   Pending - Collect 2750</v>
          </cell>
          <cell r="O74" t="str">
            <v xml:space="preserve">P Asiatic ( 14 Inch ) 3 P n W Glad ( 14 Inch ) 16   2 Gypsola </v>
          </cell>
          <cell r="P74" t="str">
            <v>Pur n P Eustoma ( 12 Inch ) 4 Pur n P Car ( 14 Inch ) 16   2 Limonium + FF Sachet</v>
          </cell>
          <cell r="Q74" t="str">
            <v xml:space="preserve">P n W Spray Daisy ( 14 Inch ) 5 Rajni ( 14 Inch ) 16   2 Gypsola + FF Sachet </v>
          </cell>
          <cell r="R74" t="str">
            <v>Sunflower ( 12 Inch ) 4 Mix Alstroemeria ( 12 Inch ) 16   2 Limonium + FF Sachet</v>
          </cell>
          <cell r="S74" t="str">
            <v>O Asiatic ( 14 Inch ) 3 P n W Glad ( 14 Inch ) 16   2 Gypsola</v>
          </cell>
          <cell r="T74" t="str">
            <v>Pur n P Eustoma ( 12 Inch ) 4 G n W Car ( 14 Inch ) 16   2 Limonium + FF Sachet</v>
          </cell>
        </row>
        <row r="75">
          <cell r="A75">
            <v>3364</v>
          </cell>
          <cell r="B75" t="str">
            <v>Shipra Malhotra -- Same Flowers</v>
          </cell>
          <cell r="C75">
            <v>9819952391</v>
          </cell>
          <cell r="D75" t="str">
            <v>F-12, First Floor, Galacy Apartments</v>
          </cell>
          <cell r="E75" t="str">
            <v>DLF Phase 5</v>
          </cell>
          <cell r="F75" t="str">
            <v>Sunday</v>
          </cell>
          <cell r="G75" t="str">
            <v>3:30 PM to 7:30 PM</v>
          </cell>
          <cell r="H75">
            <v>1450</v>
          </cell>
          <cell r="I75">
            <v>362.5</v>
          </cell>
          <cell r="J75" t="str">
            <v>Bliss</v>
          </cell>
          <cell r="K75" t="str">
            <v>Same Flowers in her Both subscription // Skip 1 week and next week send after 5 PM (17/06)</v>
          </cell>
          <cell r="M75" t="str">
            <v>After 5 PM on 28th (17/06)</v>
          </cell>
          <cell r="N75" t="str">
            <v>1  del of this cycle   -  0-cycles pmnt   Completed - Collect 0</v>
          </cell>
          <cell r="O75" t="e">
            <v>#N/A</v>
          </cell>
          <cell r="P75" t="e">
            <v>#N/A</v>
          </cell>
          <cell r="Q75" t="e">
            <v>#N/A</v>
          </cell>
          <cell r="R75" t="e">
            <v>#N/A</v>
          </cell>
          <cell r="S75" t="e">
            <v>#N/A</v>
          </cell>
          <cell r="T75" t="str">
            <v>G n W Car ( 14 inch ) 16     FF Sachet + Grass</v>
          </cell>
        </row>
        <row r="76">
          <cell r="A76">
            <v>826</v>
          </cell>
          <cell r="B76" t="str">
            <v>Anuradha M Agarwal</v>
          </cell>
          <cell r="C76">
            <v>9811201606</v>
          </cell>
          <cell r="D76" t="str">
            <v>A-82, Westend Heights</v>
          </cell>
          <cell r="E76" t="str">
            <v>DLF Phase 5</v>
          </cell>
          <cell r="F76" t="str">
            <v>Thursday</v>
          </cell>
          <cell r="G76" t="str">
            <v>9 AM to 2 PM</v>
          </cell>
          <cell r="H76">
            <v>1450</v>
          </cell>
          <cell r="I76">
            <v>362.5</v>
          </cell>
          <cell r="J76" t="str">
            <v>Bliss</v>
          </cell>
          <cell r="K76" t="str">
            <v>Sending on 20th instaed of 21st,bcoz of Holi(18/03) This Cycle flowers -- Lilies / Orchids / Carnations/Gladioli(07/04) Orchid Next(25/04) Skip 2 week(11/06) Send on Friday this week(12/08) NO ORCHID, today returned-send glad tom(22/08)ASIATIC AND  ORCHID ONCE A CYCLE WITHOUT PLASTIC CAP(22/12) Returned-send Tom(16/01) Day chenged to saturday n ORCHID NEXT(18/01) Do not consider this week del and AVOID YELLOW COLOR FOR SOME WEEK, Send Orchid Next(23/02) Orchid next (27/05) Orchid next (09/06) Hold after current cycle (09/06) Return today (10/10) Skip 1 week (25/10) Skip this thursday (16/02) Skip 1 week (23/03) Today Returned and skip next week Laos (14/08) Skip 2 week (11/10) Skip 2 week (21/12)</v>
          </cell>
          <cell r="N76" t="str">
            <v>2  del of this cycle   -  0-cycles pmnt   Completed - Collect 0</v>
          </cell>
          <cell r="O76" t="str">
            <v>O Asiatic ( 14 Inch ) 3     Grass</v>
          </cell>
          <cell r="P76" t="str">
            <v>B Daisy ( 12 Inch ) 9     Grass</v>
          </cell>
          <cell r="Q76" t="str">
            <v>P n W Car ( 14 Inch ) 9     FF Sachet + Grass</v>
          </cell>
          <cell r="R76" t="str">
            <v>Rajni ( 14 Inch ) 9     Grass</v>
          </cell>
          <cell r="S76" t="str">
            <v>P n Y Spray Daisy ( 14 Inch ) 5     FF Sachet + Grass</v>
          </cell>
          <cell r="T76" t="str">
            <v>Mix Glad ( 14 Inch ) 16     Grass</v>
          </cell>
        </row>
        <row r="77">
          <cell r="A77">
            <v>366</v>
          </cell>
          <cell r="B77" t="str">
            <v>Dr. Arti Gupta 1</v>
          </cell>
          <cell r="C77">
            <v>8860079525</v>
          </cell>
          <cell r="D77" t="str">
            <v>Mayom Hospital, D block south city 1</v>
          </cell>
          <cell r="E77" t="str">
            <v>South City 1</v>
          </cell>
          <cell r="F77" t="str">
            <v>Monday</v>
          </cell>
          <cell r="G77" t="str">
            <v>9 AM - 12 PM</v>
          </cell>
          <cell r="H77">
            <v>1450</v>
          </cell>
          <cell r="I77">
            <v>362.5</v>
          </cell>
          <cell r="J77" t="str">
            <v>Corporate</v>
          </cell>
          <cell r="K77" t="str">
            <v>NO GERBERA(22/09)Start special Pack(13/04) Extend 1 ddlivery as we are sending 1 Nargis Today(22/12) Send Del on Monday this week(20/03) Send Replacemenmt of Car(20/09/20) NEVER BUT DAISIES(29/10) Spray daisy Next(03/03) Sent Replacement today(01/08) Hold today (22/01) HDTNP (19/02) Sent one extra del today (29/06) Hold today (09/07)</v>
          </cell>
          <cell r="N77" t="str">
            <v>1  del of this cycle   -  0-cycles pmnt   In Process - Collect 0</v>
          </cell>
          <cell r="O77" t="str">
            <v>O Asiatic ( 14 Inch ) 3     Grass</v>
          </cell>
          <cell r="P77" t="str">
            <v>Pur Eustoma ( 12 Inch ) 3     FF Sachet + Grass</v>
          </cell>
          <cell r="Q77" t="str">
            <v>P Asiatic ( 14 Inch ) 3     Grass</v>
          </cell>
          <cell r="R77" t="str">
            <v>W Asiatic ( 14 Inch ) 3     Grass</v>
          </cell>
          <cell r="S77" t="str">
            <v>O Asiatic ( 14 Inch ) 3     Grass</v>
          </cell>
          <cell r="T77" t="str">
            <v>Y Asiatic ( 14 inch ) 3     Grass</v>
          </cell>
        </row>
        <row r="78">
          <cell r="A78">
            <v>949</v>
          </cell>
          <cell r="B78" t="str">
            <v>Meenu Amrith-- Evening Only</v>
          </cell>
          <cell r="C78">
            <v>9891350735</v>
          </cell>
          <cell r="D78" t="str">
            <v>H. No. 579, Ground Floor,Near Dell-- Sec-43</v>
          </cell>
          <cell r="E78" t="str">
            <v>DLF Phase 5</v>
          </cell>
          <cell r="F78" t="str">
            <v>Thursday</v>
          </cell>
          <cell r="G78" t="str">
            <v>10 AM to 2:30 PM</v>
          </cell>
          <cell r="H78">
            <v>1450</v>
          </cell>
          <cell r="I78">
            <v>362.5</v>
          </cell>
          <cell r="J78" t="str">
            <v>Bliss</v>
          </cell>
          <cell r="K78" t="str">
            <v>Sunday to Thurs//Skip next week(21/01) Skip 1 week(12/02) Hold n start from 1st week of May(06/03) Pls start from coming Tuesday(14/03)  Send Sunday Del on Sat This week(12/11) Skip 1 week(29/01) today hold and skip 1 more week(27/02) Start from 24th Mar(08/03) Hold n start from 16th June(18/05) Hold 3 Weeks(13/07) she saying that 10th Del Not received(11/11) Not avaible till 25th (14/11) Hold today(19/01) Skip 2 weeks (22/02) Skip 2 weeks (26/06) Hold n start after 15th Sep (18/08) Skip Tom (28/02) Hold n start from 13th June (24/05) Skip 1 week (23/07) Skip 1 week (04/12) Skip 1 week (12/03) Skip 1 week (18/01) Skip 1 weeek (13/05)</v>
          </cell>
          <cell r="N78" t="str">
            <v>2  del of this cycle   -  0-cycles pmnt   Completed - Collect 0</v>
          </cell>
          <cell r="O78" t="str">
            <v>Pur n P Car ( 14 inch ) 16     FF Sachet + Grass</v>
          </cell>
          <cell r="P78" t="str">
            <v>Pur Eustoma ( 12 Inch ) 3     FF Sachet + Grass</v>
          </cell>
          <cell r="Q78" t="str">
            <v>P n W Glad ( 14 Inch ) 16     Grass</v>
          </cell>
          <cell r="R78" t="str">
            <v>Sunflower ( 12 Inch ) 4     FF Sachet + Grass</v>
          </cell>
          <cell r="S78" t="str">
            <v>O Asiatic ( 14 Inch ) 3     Grass</v>
          </cell>
          <cell r="T78" t="str">
            <v>G n W Car ( 14 inch ) 16     FF Sachet + Grass</v>
          </cell>
        </row>
        <row r="79">
          <cell r="A79">
            <v>3097</v>
          </cell>
          <cell r="B79" t="str">
            <v>Jamie Miller</v>
          </cell>
          <cell r="C79">
            <v>7428737502</v>
          </cell>
          <cell r="D79" t="str">
            <v>D-072, The DLF Crest</v>
          </cell>
          <cell r="E79" t="str">
            <v>Golf Course Road</v>
          </cell>
          <cell r="F79" t="str">
            <v>Thursday</v>
          </cell>
          <cell r="G79" t="str">
            <v>9:30 Am to 2 PM</v>
          </cell>
          <cell r="H79">
            <v>2750</v>
          </cell>
          <cell r="I79">
            <v>687.5</v>
          </cell>
          <cell r="J79" t="str">
            <v>Elation</v>
          </cell>
          <cell r="K79" t="str">
            <v>From James Brittan // Skip 2 week (20/12) Today Returned (22/01) Skip 3 weeks (26/01) Skip 1 week (17/03) Skip 2 week (31/05) Skip 2 weeks (03/07)</v>
          </cell>
          <cell r="N79" t="str">
            <v>4  del of this cycle   -  0-cycles pmnt   Completed - Collect 0</v>
          </cell>
          <cell r="O79" t="str">
            <v xml:space="preserve">P Asiatic ( 14 Inch ) 3 Pur n P Car ( 14 Inch ) 16   2 Gypsola </v>
          </cell>
          <cell r="P79" t="str">
            <v>Sunflower ( 12 Inch) 4 B Daisy ( 12 Inch ) 16   2 Limonium + FF Sachet</v>
          </cell>
          <cell r="Q79" t="str">
            <v xml:space="preserve">Pur n P Eustoma ( 12 Inch ) 4 Rajni ( 14 Inch ) 16   </v>
          </cell>
          <cell r="R79" t="e">
            <v>#N/A</v>
          </cell>
          <cell r="S79" t="e">
            <v>#N/A</v>
          </cell>
          <cell r="T79" t="str">
            <v>Y Asiatic ( 14 inch ) 3 G n W Car ( 14 Inch ) 16   2 Limonium</v>
          </cell>
        </row>
        <row r="80">
          <cell r="A80">
            <v>884</v>
          </cell>
          <cell r="B80" t="str">
            <v>Bhavna Taneja</v>
          </cell>
          <cell r="C80">
            <v>9811192021</v>
          </cell>
          <cell r="D80" t="str">
            <v>F-214, DLF The Crest,Sec-54</v>
          </cell>
          <cell r="E80" t="str">
            <v>Golf Course Road</v>
          </cell>
          <cell r="F80" t="str">
            <v>Thursday</v>
          </cell>
          <cell r="G80" t="str">
            <v>9:30 AM to 2 PM</v>
          </cell>
          <cell r="H80">
            <v>1950</v>
          </cell>
          <cell r="I80">
            <v>487.5</v>
          </cell>
          <cell r="J80" t="str">
            <v>Joy</v>
          </cell>
          <cell r="K80" t="str">
            <v>Send 2 Stick exytra next(14/09) Send lilies next(27/09) Send Tom instead of Sat and send Lilies(22/10) Send del tom with Orchids(30/10) Send 2 Asiatic on Friday instead of satirday(21/11) Google Pay from Harsh Taneja(08/02) Send on 20th and don’t send on 22nd(15/02) Hold n start from 7th Mar (20/02) TRY FOR WEDNESDAY(19/05/20) Send next del on friday with 2 extra Asiatic lily for 200Rs.(27/05/2020) Sending 30th Del on 29th May(28/05/2020) UPI From Harsh Vir Taneja(05/06/2020) Upgrade to 850 (30/07/20) Send Tom instead of 30th Oct)(27/10) Sending tom due to Diwali(11/11) Change to Bloom Pack(08/04) Next del on Monday (23/12) Send Lilies Next (24/12) Dont send on thursday -- send on Monday (04/01) NO BOP n GULDAWARI (29/01) Skip this monday and send on tuesday this week (16/05) Skip this wek and send on Thursday (26/08) Skip next thursday and sned on sunday (22/03) Skip 2 wek (02/06) Skip tom n send on sunday (26/06) No GERBERA (01/08) 1000 cash and 250 via paytm (21/11) Send on tuesday this week (22/12) Paytm from Harshveer Taneja (16/05) Payment REceived on 08th May also via Cash(18/05) skip 1 week (31/05) Skip 1 week (20/12) Start from 25th June (12/06)</v>
          </cell>
          <cell r="L80" t="str">
            <v>GULDAWARI n BOP n GERBERA</v>
          </cell>
          <cell r="M80" t="str">
            <v>Mixed Now</v>
          </cell>
          <cell r="N80" t="str">
            <v>1  del of this cycle   -  1-cycles pmnt   Pending - Collect 1900</v>
          </cell>
          <cell r="O80" t="e">
            <v>#N/A</v>
          </cell>
          <cell r="P80" t="str">
            <v>Pur n P Car ( 14 Inch ) 16     FF Sachet + Grass</v>
          </cell>
          <cell r="Q80" t="str">
            <v>Sunflower ( 12 Inch ) 4    Collect Payment FF Sachet + Grass</v>
          </cell>
          <cell r="R80" t="str">
            <v>Rajni ( 14 Inch ) 16     Grass</v>
          </cell>
          <cell r="S80" t="str">
            <v>P Asiatic ( 14 Inch ) 3     Grass</v>
          </cell>
          <cell r="T80" t="str">
            <v>Mix Glad ( 14 Inch ) 22     Grass</v>
          </cell>
        </row>
        <row r="81">
          <cell r="A81">
            <v>2666</v>
          </cell>
          <cell r="B81" t="str">
            <v>Gunjan Malhotra</v>
          </cell>
          <cell r="C81">
            <v>9971518253</v>
          </cell>
          <cell r="D81" t="str">
            <v>H. No. 298C, 1st Floor, Block G, Sushant Lok-2</v>
          </cell>
          <cell r="E81" t="str">
            <v>Artemis</v>
          </cell>
          <cell r="F81" t="str">
            <v>Thursday</v>
          </cell>
          <cell r="G81" t="str">
            <v>4 PM to 7 PM</v>
          </cell>
          <cell r="H81">
            <v>1450</v>
          </cell>
          <cell r="I81">
            <v>362.5</v>
          </cell>
          <cell r="J81" t="str">
            <v>Bliss</v>
          </cell>
          <cell r="K81" t="str">
            <v>Paytm From Gunjan Malhotra // Hold n start from 04th Sep (02/08) Change day to Thursday (31/08) Do not count last Del (20/12) Skip 1 week (02/02) Skip 1 week (25/03)</v>
          </cell>
          <cell r="N81" t="str">
            <v>2  del of this cycle   -  0-cycles pmnt   Completed - Collect 0</v>
          </cell>
          <cell r="O81" t="str">
            <v>Mix Alstroemeria ( 12 Inch ) 16     FF Sachet + Grass</v>
          </cell>
          <cell r="P81" t="str">
            <v>Pur Eustoma ( 12 Inch ) 3     FF Sachet + Grass</v>
          </cell>
          <cell r="Q81" t="str">
            <v>P Asiatic ( 14 Inch ) 3     Grass</v>
          </cell>
          <cell r="R81" t="str">
            <v>Rajni ( 14 Inch ) 16     Grass</v>
          </cell>
          <cell r="S81" t="str">
            <v>G n W Car ( 14 Inch ) 16     FF Sachet + Grass</v>
          </cell>
          <cell r="T81" t="str">
            <v>P n Y Spray Daisy ( 14 Inch ) 5     FF Sachet + Grass</v>
          </cell>
        </row>
        <row r="82">
          <cell r="A82">
            <v>1898</v>
          </cell>
          <cell r="B82" t="str">
            <v>Shipra</v>
          </cell>
          <cell r="C82">
            <v>8447778677</v>
          </cell>
          <cell r="D82" t="str">
            <v xml:space="preserve">C-94 Trinity </v>
          </cell>
          <cell r="E82" t="str">
            <v>DLF Phase 5</v>
          </cell>
          <cell r="F82" t="str">
            <v>Saturday</v>
          </cell>
          <cell r="G82" t="str">
            <v>4 Pm to 7 PM</v>
          </cell>
          <cell r="H82">
            <v>1600</v>
          </cell>
          <cell r="I82">
            <v>200</v>
          </cell>
          <cell r="J82" t="str">
            <v>Bloom</v>
          </cell>
          <cell r="K82" t="str">
            <v>Thursday and Sunday// Rajni 1st(02/04) Changed to evening slot(07/04) Today Returned(17/04) Skip Sunday del(17/06) Skip this Thursday(28/06) Skip 1 week(13/08) Skip Tom Flowers(01/10) Paytm From Shipra Rastogi (20/02) Skip 1 wek (22/03) Skip Thursday delivery (04/04) Today Returned (09/04) Skip sunday delivery (29/09) Yesterday returned (22/12) Return today (28/01) Skip tom (23/03) Skip 1 week (10/04) Eustoma Next (26/05) Hold for 10 days (06/06) Sennd one del Tom (05/08) Hold today and skip next (15/08) Hold today n skip 1 week (21/11) Skip this sunday (21/12) Paytm from Shipra Rastogi (02/03) Hold today (23/03) 250 received via paytm (30/03) 1000 cash and 250 paytm (31/03) Hold from 10th to 21st June-25(11/06) Hold today due to nonpayment (02/10) Hold due to non payment (05/10) Yesterday returned (24/10) Skip 1 week (24/12) Hold due to non payment (07/01) Hold due to non payment (11/01) Hold due to non payment (14/01) Hold due to non payment (18/01) HDTNP (15/02) HDTNP(22/02) HDTNP (26/02) HDTNP (01/03) HDTNP (04/03) HDTNP (08/03) HDTNP (12/03) HDTNP (14/03) HDTNP (10/05) hdtnp (14/05) No Flowers from 17th to 24th (17/06) HDTNP (12/07) HDTNP (16/07) HDTNP (19/07)</v>
          </cell>
          <cell r="N82" t="str">
            <v>3  del of this cycle   -  1-cycles pmnt   Pending - Collect 1600</v>
          </cell>
          <cell r="O82" t="e">
            <v>#N/A</v>
          </cell>
          <cell r="P82" t="str">
            <v>Sunflower ( 12 Inch) 2     FF Sachet + Grass</v>
          </cell>
          <cell r="Q82" t="str">
            <v>Rajni ( 14 Inch ) 7     Grass</v>
          </cell>
          <cell r="R82" t="str">
            <v>Sunflower ( 12 Inch ) 2   Collect Payment Collect Payment Grass</v>
          </cell>
          <cell r="S82" t="e">
            <v>#N/A</v>
          </cell>
          <cell r="T82" t="str">
            <v>Rajni ( 14 Inch ) 7 Check with us before sending Check with us before sending Check with us before sending  Grass</v>
          </cell>
        </row>
        <row r="83">
          <cell r="A83">
            <v>3385</v>
          </cell>
          <cell r="B83" t="str">
            <v>Srishti Verma</v>
          </cell>
          <cell r="C83">
            <v>9604584926</v>
          </cell>
          <cell r="D83" t="str">
            <v>H. No. 126, Flat No. 302, Road D3, Indira Colony, Sec 52</v>
          </cell>
          <cell r="E83" t="str">
            <v>Artemis</v>
          </cell>
          <cell r="F83" t="str">
            <v>Thursday</v>
          </cell>
          <cell r="G83" t="str">
            <v>4 Pm to 7 PM</v>
          </cell>
          <cell r="H83">
            <v>1950</v>
          </cell>
          <cell r="I83">
            <v>487.5</v>
          </cell>
          <cell r="J83" t="str">
            <v>Joy</v>
          </cell>
          <cell r="K83" t="str">
            <v>Skip 1 Week (06/07)</v>
          </cell>
          <cell r="N83" t="str">
            <v>4  del of this cycle   -  0-cycles pmnt   Completed - Collect 0</v>
          </cell>
          <cell r="O83" t="e">
            <v>#N/A</v>
          </cell>
          <cell r="P83" t="str">
            <v>Pur n P Car ( 14 Inch ) 22     FF Sachet + Grass</v>
          </cell>
          <cell r="Q83" t="str">
            <v>O Asiatic ( 14 Inch ) 4     Grass</v>
          </cell>
          <cell r="R83" t="e">
            <v>#N/A</v>
          </cell>
          <cell r="S83" t="str">
            <v>Mix Car ( 14 Inch ) 22     FF Sachet + Grass</v>
          </cell>
          <cell r="T83" t="str">
            <v>P n Y Spray Daisy ( 14 Inch ) 7     FF Sachet + Grass</v>
          </cell>
        </row>
        <row r="84">
          <cell r="A84">
            <v>3128</v>
          </cell>
          <cell r="B84" t="str">
            <v>Shikha Malhotra</v>
          </cell>
          <cell r="C84">
            <v>9873498869</v>
          </cell>
          <cell r="D84" t="str">
            <v>M-254, Park Place</v>
          </cell>
          <cell r="E84" t="str">
            <v>Golf Course Road</v>
          </cell>
          <cell r="F84" t="str">
            <v>Thursday</v>
          </cell>
          <cell r="G84" t="str">
            <v>4 PM to 7 PM</v>
          </cell>
          <cell r="H84">
            <v>1450</v>
          </cell>
          <cell r="I84">
            <v>362.5</v>
          </cell>
          <cell r="J84" t="str">
            <v>Bliss</v>
          </cell>
          <cell r="K84" t="str">
            <v>Skip 2 week after 13th (07/11) Today Hold (04/12) Paytm From Vivek Malhotra //</v>
          </cell>
          <cell r="N84" t="str">
            <v>2  del of this cycle   -  0-cycles pmnt   Completed - Collect 0</v>
          </cell>
          <cell r="O84" t="str">
            <v>Pur n P Car ( 14 inch ) 16     FF Sachet + Grass</v>
          </cell>
          <cell r="P84" t="str">
            <v>P Asiatic ( 14 Inch ) 3  Collect Payment Collect Payment Collect Payment Grass</v>
          </cell>
          <cell r="Q84" t="str">
            <v>Rajni ( 14 Inch ) 16     Grass</v>
          </cell>
          <cell r="R84" t="str">
            <v>P n Y Spray Daisy ( 14 Inch ) 5     FF Sachet + Grass</v>
          </cell>
          <cell r="S84" t="str">
            <v>Asiatic 3     Grass</v>
          </cell>
          <cell r="T84" t="str">
            <v>G n W Car ( 14 inch ) 16     FF Sachet + Grass</v>
          </cell>
        </row>
        <row r="85">
          <cell r="A85">
            <v>309</v>
          </cell>
          <cell r="B85" t="str">
            <v>Ms Swati Bhise--before 10</v>
          </cell>
          <cell r="C85">
            <v>9811806611</v>
          </cell>
          <cell r="D85" t="str">
            <v xml:space="preserve">TG-5/4B Orchid Garden Sun city Sec - 54 </v>
          </cell>
          <cell r="E85" t="str">
            <v>Golf Course Road</v>
          </cell>
          <cell r="F85" t="str">
            <v>Thursday</v>
          </cell>
          <cell r="G85" t="str">
            <v>9 AM - 12 PM</v>
          </cell>
          <cell r="H85">
            <v>2750</v>
          </cell>
          <cell r="I85">
            <v>687.5</v>
          </cell>
          <cell r="J85" t="str">
            <v>Elation</v>
          </cell>
          <cell r="K85" t="str">
            <v>Sunday to thurs//Orchid in 1st Del and no Rose/Rajni/Gerbera till they come in good shape(08/07) Next B or W Orchid(02/12) Car Next(09/12) Next Orchid(06/01) Orchid Next(10/02)  Gerbera tom(13/08)NEVER PURPLE ORCHID--SEND W n B ORCHID Next(22/09) Y Asiatic Next(03/11)  Send 1 Del tom (02/07) Orchid Next (27/07) Skip 1 week (20/11) Send 1 Del Tom (10/02) Skip next Del (16/02) Hold n start from 10th June (20/03) Today Returned again (04/07) Returned again (11/07) Send this thursday and then skip 1 week (23/07) Hold today (08/08) Skip 2 more weeks (09/08) Today Returned (21/11) Skip 1 week (11/12) Skip 1 week (24/12) Skip 1 more week (25/01) Skip 1 week (18/02) Hold till 9th Mar (24/02) Hold now (11/09) Skip next week (27/11) Return today (18/12) Today Returned again (25/12) Skip tom (18/02) Skip 1 week (28/02) Skip 1 week (19/03) Skip 1 week (21/03)  Skip tom (09/04) Skip next week (16/04) Skip 3 week (20/04) Skip 1 week (14/05) Skip 1 week (17/05) Skip 1 week (03/06) Skip next week (02/07)</v>
          </cell>
          <cell r="M85" t="str">
            <v>Upgrade to Elation next (14/08)</v>
          </cell>
          <cell r="N85" t="str">
            <v>1  del of this cycle   -  1-cycles pmnt   Pending - Collect 2750</v>
          </cell>
          <cell r="O85" t="str">
            <v>P n W Glad ( 14 Inch ) 32     2 Limonium</v>
          </cell>
          <cell r="P85" t="str">
            <v>Pur n P Eustoma ( 12 Inch ) 6  Collect Payment Collect Payment Collect Payment 2 Limonium + FF Sachet</v>
          </cell>
          <cell r="Q85" t="str">
            <v xml:space="preserve">Pur n P Car ( 14 Inch ) 32     2 Gypsola + FF Sachet </v>
          </cell>
          <cell r="R85" t="e">
            <v>#N/A</v>
          </cell>
          <cell r="S85" t="str">
            <v>O Asiatic ( 14 Inch ) 6     2 Gypsola</v>
          </cell>
          <cell r="T85" t="str">
            <v>B Orchid  10     2 Limonium + FF Sachet</v>
          </cell>
        </row>
        <row r="86">
          <cell r="A86">
            <v>442</v>
          </cell>
          <cell r="B86" t="str">
            <v>Ruchi Mathure--Before 10:30 AM</v>
          </cell>
          <cell r="C86">
            <v>9871265555</v>
          </cell>
          <cell r="D86" t="str">
            <v>D-013, Westend height, DLF-5</v>
          </cell>
          <cell r="E86" t="str">
            <v>DLF Phase 5</v>
          </cell>
          <cell r="F86" t="str">
            <v>Thursday</v>
          </cell>
          <cell r="G86" t="str">
            <v>9 AM - 12 PM</v>
          </cell>
          <cell r="H86">
            <v>1450</v>
          </cell>
          <cell r="I86">
            <v>362.5</v>
          </cell>
          <cell r="J86" t="str">
            <v>Bliss</v>
          </cell>
          <cell r="K86" t="str">
            <v>No White Flowers(22/08)Skip this week n start from Thursday(26/09)Skip this week(29/11) Skip n sned on Monday(27/01) Return-send tom(17/02) NO P CAR(18/02)Return-send on Friday(24/02) Return-doesn't need Special Pack(14/04) Upgrade to 650 Plan(02/05) Skip this week n send on Monday(07/06) Skip 1 week(13/09) Skip 1 week(26/10) Skip 1 week(14/12) 150 adjusted against extra paid in Nargis to be delivered on 1st jan(30/12) Skip 1 week(26/01) Last week del was missed- pls send tom(07/03) Skip 2 weeks(18/03)NO WHITE FLOWERS(30/12) Send on saturdya this week instead of Thursday(12/11) Send on saturday this week(21/12) Getting only Car and asiatic-- Pls send all flowers(07/01) 10th Del missed-send them on saturday(11/03) NO WHITE FLOWERS(01/04) Hold n start from 2nd June(29/04) Last Thursday Missed(04/06) Skip this week n send on Sunday this week(22/06) Send Tom 1 Del with Rajni (11/07) Send 1 Del Tom(17/07) Today returned (28/07) NO GOLDEN GRASS(11/08) Sent 1 del Today(13/09) Skip tom and sned on Sunday (24/11) nEXT DEL SEND ON 31ST INSTEAD OF 30TH (24/12) Skip 1 week (20/01) Sent replacement today (14/04) send on monday this week only (21/04) Hold till 2nd Aug (07/07) Sent 1 del today and dont send tom (30/08) Skip tom Del n Send on Sunday (01/11) Today returned (09/11) No Del del till 3rd DEc (15/12) Skip 1 week (30/01) Skip on 14th and send on Sunday (12/03) Skip n sned on sunday (08/05) Hold today (30/05) Payment from Kapil M (16/06) Paytm From Kapil M (14/07) Skip 1 week (26/11) Skip nexty del (03/12) Hold till 15th Apr (18/04) No Sunflower (13/03) Skip this thursday and sned on sunday (20/04) Skip 1 week (20/05)</v>
          </cell>
          <cell r="L86" t="str">
            <v>Sunflower</v>
          </cell>
          <cell r="M86" t="str">
            <v>No White even in mixed // Skip 23rd and sned on 26th (20/04)</v>
          </cell>
          <cell r="N86" t="str">
            <v>4  del of this cycle   -  0-cycles pmnt   Completed - Collect 0</v>
          </cell>
          <cell r="O86" t="str">
            <v>P n Y Spray Daisy ( 14 Inch ) 5 No White Flower  No White Flower   FF Sachet + Grass</v>
          </cell>
          <cell r="P86" t="str">
            <v>Pur n P Car ( 14 Inch ) 16     FF Sachet + Grass</v>
          </cell>
          <cell r="Q86" t="str">
            <v>Pur Eustoma ( 12 Inch ) 3     FF Sachet + Grass</v>
          </cell>
          <cell r="R86" t="str">
            <v>Rajni ( 14 Inch ) 16     Grass</v>
          </cell>
          <cell r="S86" t="str">
            <v>P n W Glad ( 14 Inch ) 16     Grass</v>
          </cell>
          <cell r="T86" t="str">
            <v>Y Asiatic ( 14 inch ) 3     Grass</v>
          </cell>
        </row>
        <row r="87">
          <cell r="A87" t="str">
            <v>B56526</v>
          </cell>
          <cell r="B87" t="str">
            <v>Abhijeet Mukherjee</v>
          </cell>
          <cell r="C87" t="str">
            <v xml:space="preserve"> 88029 99303</v>
          </cell>
          <cell r="D87" t="str">
            <v xml:space="preserve">Tower 6 Apartment no 401, Palm Terrace Select, Sector 66, </v>
          </cell>
          <cell r="E87" t="str">
            <v>Badshahpur</v>
          </cell>
          <cell r="F87" t="str">
            <v>Saturday</v>
          </cell>
          <cell r="G87" t="str">
            <v>By 9:30 AM</v>
          </cell>
          <cell r="H87">
            <v>800</v>
          </cell>
          <cell r="I87">
            <v>800</v>
          </cell>
          <cell r="J87" t="str">
            <v>Bouquet</v>
          </cell>
          <cell r="K87" t="str">
            <v>Happy Birthday Namrata!</v>
          </cell>
          <cell r="N87" t="str">
            <v>1  del of this cycle   -  0-cycles pmnt   In Process - Collect 0</v>
          </cell>
          <cell r="O87" t="e">
            <v>#N/A</v>
          </cell>
          <cell r="P87" t="e">
            <v>#N/A</v>
          </cell>
          <cell r="Q87" t="e">
            <v>#N/A</v>
          </cell>
          <cell r="R87" t="e">
            <v>#N/A</v>
          </cell>
          <cell r="S87" t="e">
            <v>#N/A</v>
          </cell>
          <cell r="T87" t="str">
            <v xml:space="preserve">Y Asiatic ( 14 inch ) 4 Walkin Tissue Wrap Message   </v>
          </cell>
        </row>
        <row r="88">
          <cell r="A88">
            <v>3063</v>
          </cell>
          <cell r="B88" t="str">
            <v>Shinjini Mehrotra</v>
          </cell>
          <cell r="C88">
            <v>9810198315</v>
          </cell>
          <cell r="D88" t="str">
            <v>F-109, 2nd Floor, Suncity</v>
          </cell>
          <cell r="E88" t="str">
            <v>Golf Course Road</v>
          </cell>
          <cell r="F88" t="str">
            <v>Thursday</v>
          </cell>
          <cell r="G88" t="str">
            <v>9 AM - 12 PM</v>
          </cell>
          <cell r="H88">
            <v>1450</v>
          </cell>
          <cell r="I88">
            <v>362.5</v>
          </cell>
          <cell r="J88" t="str">
            <v>Bliss</v>
          </cell>
          <cell r="K88" t="str">
            <v>Hold 4 Weeks (04/12) Skip 1 week (14/02) Skip 2 week (28/02) Skip 1 week  (01/04) Hold till 29th Apr (06/04)</v>
          </cell>
          <cell r="N88" t="str">
            <v>3  del of this cycle   -  0-cycles pmnt   CompletedNO COLLECTION-we have extra money - Collect -100</v>
          </cell>
          <cell r="O88" t="str">
            <v>Sunflower ( 12 Inch ) 4     FF Sachet + Grass</v>
          </cell>
          <cell r="P88" t="str">
            <v>P n W Glad ( 14 Inch ) 16     Grass</v>
          </cell>
          <cell r="Q88" t="str">
            <v>P Asiatic ( 14 Inch ) 3     Grass</v>
          </cell>
          <cell r="R88" t="str">
            <v>Rajni ( 14 Inch ) 16     Grass</v>
          </cell>
          <cell r="S88" t="str">
            <v>G n W Car ( 14 Inch ) 16     FF Sachet + Grass</v>
          </cell>
          <cell r="T88" t="str">
            <v>P n Y Spray Daisy ( 14 Inch ) 5     FF Sachet + Grass</v>
          </cell>
        </row>
        <row r="89">
          <cell r="A89">
            <v>3212</v>
          </cell>
          <cell r="B89" t="str">
            <v>Sheeba Rana</v>
          </cell>
          <cell r="C89">
            <v>9958849523</v>
          </cell>
          <cell r="D89" t="str">
            <v>T-14/1202, The Close North</v>
          </cell>
          <cell r="E89" t="str">
            <v>Nirvana Country</v>
          </cell>
          <cell r="F89" t="str">
            <v>Thursday</v>
          </cell>
          <cell r="G89" t="str">
            <v>4 Pm to 7 PM</v>
          </cell>
          <cell r="H89">
            <v>1450</v>
          </cell>
          <cell r="I89">
            <v>1450</v>
          </cell>
          <cell r="J89" t="str">
            <v>Bliss</v>
          </cell>
          <cell r="K89" t="str">
            <v>Skip 1 week (31/12)</v>
          </cell>
          <cell r="N89" t="str">
            <v>1  del of this cycle   -  1-cycles pmnt   Pending - Collect 1450</v>
          </cell>
          <cell r="O89" t="str">
            <v>P Asiatic ( 14 Inch ) 2     Grass</v>
          </cell>
          <cell r="P89" t="str">
            <v>Pur n P Car ( 14 Inch ) 16     FF Sachet + Grass</v>
          </cell>
          <cell r="Q89" t="str">
            <v>P n Y Spray Daisy ( 14 Inch ) 5     FF Sachet + Grass</v>
          </cell>
          <cell r="R89" t="str">
            <v>Rajni ( 14 Inch ) 16     Grass</v>
          </cell>
          <cell r="S89" t="str">
            <v>O Asiatic 2     Grass</v>
          </cell>
          <cell r="T89" t="str">
            <v>G n W Car ( 14 inch ) 16     Grass</v>
          </cell>
        </row>
        <row r="90">
          <cell r="A90">
            <v>19</v>
          </cell>
          <cell r="B90" t="str">
            <v>Mrs. Geeta Chopra</v>
          </cell>
          <cell r="C90">
            <v>9811373448</v>
          </cell>
          <cell r="D90" t="str">
            <v>E-64,Ground Floor,Suncity,Sec-54</v>
          </cell>
          <cell r="E90" t="str">
            <v>Golf Course Road</v>
          </cell>
          <cell r="F90" t="str">
            <v>Thursday</v>
          </cell>
          <cell r="G90" t="str">
            <v>9 AM - 12 PM</v>
          </cell>
          <cell r="H90">
            <v>1450</v>
          </cell>
          <cell r="I90">
            <v>362.5</v>
          </cell>
          <cell r="J90" t="str">
            <v>Bliss</v>
          </cell>
          <cell r="K90" t="str">
            <v>Sunday to Thurs//No Rajni (22/05)NO GERBERA(11/08), next time 3 sticks extra (30/3) Send replacement with 3 sticks extra tom and send special pack too(14/04) NO GLAD(22/06) NO ORCHID(13/07) Send FF Next Week(20/07) FF Sold today(27/07) Add Changed(20/12) SEND ALL FLOWERS(18/02) START WITH 650 PLAN(19/05/20) Send Replacement(14/07) Send Replacement (04/11) Hold due to non payment (02/01) Hold due to non payment (08/01) today missed send on sunday (28/05)</v>
          </cell>
          <cell r="N90" t="str">
            <v>2  del of this cycle   -  1-cycles pmnt   Pending - Collect 1450</v>
          </cell>
          <cell r="O90" t="str">
            <v>O Asiatic ( 14 Inch ) 3     Grass</v>
          </cell>
          <cell r="P90" t="str">
            <v>B Daisy ( 12 Inch ) 16  Collect Payment Collect Payment Collect Payment Grass</v>
          </cell>
          <cell r="Q90" t="str">
            <v>Pur n P Car ( 14 Inch ) 16    Collect Payment FF Sachet + Grass</v>
          </cell>
          <cell r="R90" t="str">
            <v>Sunflower ( 12 Inch ) 4     FF Sachet + Grass</v>
          </cell>
          <cell r="S90" t="str">
            <v>P n W Glad ( 14 Inch ) 16     Grass</v>
          </cell>
          <cell r="T90" t="str">
            <v>P n Y Spray Daisy ( 14 Inch ) 5   Ensure Collection Ensure Collection FF Sachet + Grass</v>
          </cell>
        </row>
        <row r="91">
          <cell r="A91">
            <v>2246</v>
          </cell>
          <cell r="B91" t="str">
            <v>Amita Gupta</v>
          </cell>
          <cell r="C91">
            <v>9811985450</v>
          </cell>
          <cell r="D91" t="str">
            <v>146, Cedar Crest</v>
          </cell>
          <cell r="E91" t="str">
            <v>Nirvana Country</v>
          </cell>
          <cell r="F91" t="str">
            <v>Thursday</v>
          </cell>
          <cell r="G91" t="str">
            <v>9 AM - 12 PM</v>
          </cell>
          <cell r="H91">
            <v>1600</v>
          </cell>
          <cell r="I91">
            <v>200</v>
          </cell>
          <cell r="J91" t="str">
            <v>Bloom</v>
          </cell>
          <cell r="K91" t="str">
            <v>Return today (03/10) Change to bliss (23/10) No Orchid (24/10) Send a vase tom (20/08) Upgrade to bliss (17/12)</v>
          </cell>
          <cell r="L91" t="str">
            <v>Orchid</v>
          </cell>
          <cell r="M91" t="str">
            <v>1 Vase Tom (20/08)</v>
          </cell>
          <cell r="N91" t="str">
            <v>7  del of this cycle   -  0-cycles pmnt   Completed - Collect 0</v>
          </cell>
          <cell r="O91" t="str">
            <v>Sunflower ( 12 Inch ) 2     FF Sachet + Grass</v>
          </cell>
          <cell r="P91" t="str">
            <v>P n W Glad ( 14 Inch ) 7     Grass</v>
          </cell>
          <cell r="Q91" t="str">
            <v>P n W Car ( 14 Inch ) 7     FF Sachet + Grass</v>
          </cell>
          <cell r="R91" t="str">
            <v>Sunflower ( 12 Inch ) 2     FF Sachet + Grass</v>
          </cell>
          <cell r="S91" t="str">
            <v>P n W Glad ( 14 Inch ) 7     Grass</v>
          </cell>
          <cell r="T91" t="str">
            <v>Y Spray Daisy ( 14 Inch ) 2     FF Sachet + Grass</v>
          </cell>
        </row>
        <row r="92">
          <cell r="A92">
            <v>3415</v>
          </cell>
          <cell r="B92" t="str">
            <v>Sanjay Singh</v>
          </cell>
          <cell r="C92">
            <v>9868216569</v>
          </cell>
          <cell r="D92" t="str">
            <v>WT-1/1902, Experion Windchants, Sec 112</v>
          </cell>
          <cell r="E92" t="str">
            <v>Dwarka Expressway</v>
          </cell>
          <cell r="F92" t="str">
            <v>Thursday</v>
          </cell>
          <cell r="G92" t="str">
            <v>4 Pm to 7 PM</v>
          </cell>
          <cell r="H92">
            <v>1450</v>
          </cell>
          <cell r="I92">
            <v>362.5</v>
          </cell>
          <cell r="J92" t="str">
            <v>Bliss</v>
          </cell>
          <cell r="K92" t="str">
            <v>From 9575027271</v>
          </cell>
          <cell r="N92" t="str">
            <v>1  del of this cycle   -  0-cycles pmnt   Completed - Collect 0</v>
          </cell>
          <cell r="O92" t="e">
            <v>#N/A</v>
          </cell>
          <cell r="P92" t="e">
            <v>#N/A</v>
          </cell>
          <cell r="Q92" t="e">
            <v>#N/A</v>
          </cell>
          <cell r="R92" t="e">
            <v>#N/A</v>
          </cell>
          <cell r="S92" t="e">
            <v>#N/A</v>
          </cell>
          <cell r="T92" t="str">
            <v>P n W Car ( 14 Inch ) 16     FF Sachet + Grass</v>
          </cell>
        </row>
        <row r="93">
          <cell r="A93">
            <v>2761</v>
          </cell>
          <cell r="B93" t="str">
            <v>Gyan</v>
          </cell>
          <cell r="C93">
            <v>9560719191</v>
          </cell>
          <cell r="D93" t="str">
            <v>J7, 2nd Floor, Signature Global City, Sec 37 D</v>
          </cell>
          <cell r="E93" t="str">
            <v>Dwarka Expressway</v>
          </cell>
          <cell r="F93" t="str">
            <v>Thursday</v>
          </cell>
          <cell r="G93" t="str">
            <v>4 PM to 7 PM</v>
          </cell>
          <cell r="H93">
            <v>1450</v>
          </cell>
          <cell r="I93">
            <v>362.5</v>
          </cell>
          <cell r="J93" t="str">
            <v>Bliss</v>
          </cell>
          <cell r="K93" t="str">
            <v>Upgraded as per scheme to Bliss for 5 Deliveries (22/08) No delivered today-send tom (02/10) Skip 1 week (26/11) Skip 2 week (28/01) Skip 2 week (10/03) No Sunflower ( 17/06)</v>
          </cell>
          <cell r="L93" t="str">
            <v>Sunflower</v>
          </cell>
          <cell r="N93" t="str">
            <v>2  del of this cycle   -  1-cycles pmnt   Pending - Collect 1450</v>
          </cell>
          <cell r="O93" t="str">
            <v>P Asiatic ( 14 Inch ) 2 Pur n P Car ( 14 Inch ) 7   Grass</v>
          </cell>
          <cell r="P93" t="str">
            <v>Pur Eustoma ( 12 Inch ) 2 Rajni ( 14 Inch ) 7   FF Sachet + Grass</v>
          </cell>
          <cell r="Q93" t="str">
            <v>Spray Daisy 3 B Daisy ( 12 Inch ) 7   FF Sachet + Grass</v>
          </cell>
          <cell r="R93" t="str">
            <v>O Asiatic ( ( 14 inch ) 2 Mix Car 7   Grass</v>
          </cell>
          <cell r="S93" t="str">
            <v>P Spray Daisy ( 14 Inch ) 3 P n W Glad ( 14 Inch ) 7   FF Sachet + Grass</v>
          </cell>
          <cell r="T93" t="str">
            <v>Y Spray Daisy ( 14 Inch ) 3 Mix Alstroemeria ( 12 Inch ) 7 Ensure Collection Ensure Collection FF Sachet + Grass</v>
          </cell>
        </row>
        <row r="94">
          <cell r="A94">
            <v>2525</v>
          </cell>
          <cell r="B94" t="str">
            <v>Sonia Kalra</v>
          </cell>
          <cell r="C94">
            <v>9810512391</v>
          </cell>
          <cell r="D94" t="str">
            <v>C-264, Sushant Lok-1</v>
          </cell>
          <cell r="E94" t="str">
            <v>M G Road</v>
          </cell>
          <cell r="F94" t="str">
            <v>Tuesday</v>
          </cell>
          <cell r="G94" t="str">
            <v>10 AM to 2:30 PM</v>
          </cell>
          <cell r="H94">
            <v>1450</v>
          </cell>
          <cell r="I94">
            <v>362.5</v>
          </cell>
          <cell r="J94" t="str">
            <v>Bliss</v>
          </cell>
          <cell r="K94" t="str">
            <v>Change Rs 50// Hold today n skip 1 week(29/07) Paytm from harsonia Kalra (03/09) Skip Tuesday and sned on Thursday this week (19/07)</v>
          </cell>
          <cell r="N94" t="str">
            <v>3  del of this cycle   -  0-cycles pmnt   CompletedNO COLLECTION-we have extra money - Collect -57</v>
          </cell>
          <cell r="O94" t="e">
            <v>#N/A</v>
          </cell>
          <cell r="P94" t="e">
            <v>#N/A</v>
          </cell>
          <cell r="Q94" t="e">
            <v>#N/A</v>
          </cell>
          <cell r="R94" t="e">
            <v>#N/A</v>
          </cell>
          <cell r="S94" t="e">
            <v>#N/A</v>
          </cell>
          <cell r="T94" t="str">
            <v>Mix Glad ( 14 Inch ) 16     Grass</v>
          </cell>
        </row>
        <row r="95">
          <cell r="A95">
            <v>836</v>
          </cell>
          <cell r="B95" t="str">
            <v>Namrata Khandelwal -- After 5 PM</v>
          </cell>
          <cell r="C95">
            <v>9818392977</v>
          </cell>
          <cell r="D95" t="str">
            <v>1119, Magnolia</v>
          </cell>
          <cell r="E95" t="str">
            <v>DLF Phase 5</v>
          </cell>
          <cell r="F95" t="str">
            <v>Thursday</v>
          </cell>
          <cell r="G95" t="str">
            <v>After 5 PM</v>
          </cell>
          <cell r="H95">
            <v>4750</v>
          </cell>
          <cell r="I95">
            <v>1187.5</v>
          </cell>
          <cell r="J95" t="str">
            <v>Enchantment</v>
          </cell>
          <cell r="K95" t="str">
            <v>Sunday n Thursday//Tuesday and Satirday(20/04)Monday and Thursday(22/01)Friday and Sunday Now//Monday and Friday// AVOID CAR(09/05)  NO RAJNI TILL IT HAS FRAGRANCE(03/10)  NO CAR N GLAD(15/12)  Send Gerbera next(02/09/20) Preferred Flowers-- Car + Guldawari + Heliconia(30/11) Send Asiatic Lily and BOP or Anthurium(03/12) Hold n start after 20th Dec(09/12) Skip 1 week(07/05) Hold n send on 23rd n after(10/08) 2 Pack of 2850(01/09) Skip next delivery(09/09) Skip tom Delivery(12/09) Skip coming delivery (06/10) Next Del from tuesday (28/10) Skip tom del (11/11) Skip next del (18/11) No wchange to Weekly Plan (28/11) Hold n start from 4th Feb (04/01) Hold tom (24/02) Skip 1 week (02/03) Skip 2 weeks (25/03) Hold till 19th May (24/04) Skip thursday Del (02/10) Skip tom Del (07/10) Skip tom also (11/10) Skip tom (21/10) NO ROSE (04/01) Skip 1 week (08/01) Start from 1st Feb (24/01) Skip 1 Week (21/02) Skip 1 week (29/02) Skip 1 week (06/03). NO POLLEN FLOWERS EVER (27/04) Skip 1 week (12/05) Skip next Del (15/06) Skip this thursday (28/07) Skip 1 week (14/08) Skip 1 week (20/08) Skip tom (28/08) Skip tom (31/08) Hold today (08/09) No Asiatic/Gerbera and Rose (17/09) No Lily (19/10) Skip 1 week (30/10) Skip 1 week (11/12) Hold today and send tom (10/04) Send this week del on wednesday (21/04) Skip this week (29/05) Send on wednsday this week (02/06) Skip 1 week (03/09) Skip 1  Skip tom (07/01)week (11/09) No Gerbera (28/11) Skip 1 week (11/02) Skip 1 week (18/02) Skip tom (04/03) Skip 2 weeks (24/05)</v>
          </cell>
          <cell r="L95" t="str">
            <v>Pllen Flowers and Gerbera</v>
          </cell>
          <cell r="M95" t="str">
            <v>No Polen Flowers (20/08)</v>
          </cell>
          <cell r="N95" t="str">
            <v>3  del of this cycle   -  0-cycles pmnt   Completed - Collect 0</v>
          </cell>
          <cell r="O95" t="e">
            <v>#N/A</v>
          </cell>
          <cell r="P95" t="e">
            <v>#N/A</v>
          </cell>
          <cell r="Q95" t="e">
            <v>#N/A</v>
          </cell>
          <cell r="R95" t="e">
            <v>#N/A</v>
          </cell>
          <cell r="S95" t="str">
            <v>P n Y Spray Daisy ( 14 Inch ) 10 G n W Car ( 14 Inch ) 30   3 Areca Palm + 3 Gypsola</v>
          </cell>
          <cell r="T95" t="str">
            <v>Pur n P Eustoma ( 12 Inch ) 6 Mix Glad ( 14 Inch ) 30   3 Areca Palm + 3 3 Limonium</v>
          </cell>
        </row>
        <row r="96">
          <cell r="A96">
            <v>1438</v>
          </cell>
          <cell r="B96" t="str">
            <v>Aishwarya G Aiyar</v>
          </cell>
          <cell r="C96">
            <v>9884857311</v>
          </cell>
          <cell r="D96" t="str">
            <v>A-173, The Pinnacle</v>
          </cell>
          <cell r="E96" t="str">
            <v>DLF Phase 5</v>
          </cell>
          <cell r="F96" t="str">
            <v>Thursday</v>
          </cell>
          <cell r="G96" t="str">
            <v>9 AM - 12 PM</v>
          </cell>
          <cell r="H96">
            <v>1600</v>
          </cell>
          <cell r="I96">
            <v>200</v>
          </cell>
          <cell r="J96" t="str">
            <v>Bloom</v>
          </cell>
          <cell r="K96" t="str">
            <v>Sunday n Thursday//Changed to Thursday//Ref By Vidya Raja(29/06) 10 Rajni and 10 Glad Next(03/07) Bop and car Next(10/07) Asiatic n car Next(17/07) Oriental and Rajni next(24/07) 3 Anthurium and 15 Glad tom(31/07) Mix of 2 flowers next(07/08) Sent replacement of Oriental today(26/08) NO HELICONIA and BOP and send Spray daisy(02/10) Skip 1 week(11/10) Now JOY(30/03) Skip 1 week(06/04) Holdn n skip this week(21/04) Skip 1 week(30/05) Hold n start from July(11/06) Skip this sunday delivery(05/08) Skip 1 week(30/08) Skip this sunday delivery(16/09) Paytm From Vivek Raja// Skip 1 week (26/04) Now bloom (01/05) Hold till 11th June (31/05) Hold n start from Aug and inform before sending (11/07) Skip 1 week (26/09) Today Retirned (02/11) Today Hold (16/11) Hold today 928/12) Hold for Thursday (05/03) Returned (10/03) Skip this sunday (24/05) Skip 1 week (02/06) Returned ltoday (29/08) Today Returned (05/09) Hols today (31/10) Skip 1 week (18/01) Skip this week (07/03) Skip 19th and 23rd (19/10) Hold 25th Del ( 23/01) Skip sunday (18/02) Skip sunday (27/03) Dont ring bell -- keep at Door (17/05) Skip thursday (15/06)</v>
          </cell>
          <cell r="N96" t="str">
            <v>7  del of this cycle   -  0-cycles pmnt   Completed - Collect 0</v>
          </cell>
          <cell r="O96" t="e">
            <v>#N/A</v>
          </cell>
          <cell r="P96" t="str">
            <v>P n W Car ( 14 inch ) 7     FF Sachet + Grass</v>
          </cell>
          <cell r="Q96" t="str">
            <v>P n W Glad ( 14 Inch ) 7     Grass</v>
          </cell>
          <cell r="R96" t="str">
            <v>Rajni ( 14 Inch ) 7   Collect Payment Collect Payment Grass</v>
          </cell>
          <cell r="S96" t="str">
            <v>Y Spray Daisy ( 14 Inch ) 2     FF Sachet + Grass</v>
          </cell>
          <cell r="T96" t="str">
            <v>Y Spray Daisy ( 14 Inch ) 2     FF Sachet + Grass</v>
          </cell>
        </row>
        <row r="97">
          <cell r="A97">
            <v>203</v>
          </cell>
          <cell r="B97" t="str">
            <v>Alok divatia -- After 10 AM</v>
          </cell>
          <cell r="C97">
            <v>9819355743</v>
          </cell>
          <cell r="D97" t="str">
            <v>BLC 263, 26th Floor, Tower C, The Belaire</v>
          </cell>
          <cell r="E97" t="str">
            <v>Golf Course Road</v>
          </cell>
          <cell r="F97" t="str">
            <v>Thursday</v>
          </cell>
          <cell r="G97" t="str">
            <v>9 AM - 12 PM</v>
          </cell>
          <cell r="H97">
            <v>8648</v>
          </cell>
          <cell r="I97">
            <v>2162</v>
          </cell>
          <cell r="J97" t="str">
            <v>Customized</v>
          </cell>
          <cell r="K97" t="str">
            <v>Tues to Thurs//After 10 AM, Lilis only and 12 lilies + 24 carnations, Never combo of Red n white, all flowers shd be of diff color(12/06)Skip tom n then on Tuesday(08/09) Return-send tom(16/12) NO ROSE(20/12) 14 Lily and 24 Car(24/09) Send 18 spray daisy instead of Asiatic next(30/03) Change package cost to 6300(20/07) Hold from today (05/12)</v>
          </cell>
          <cell r="N97" t="str">
            <v>4  del of this cycle   -  0-cycles pmnt   Completed - Collect 0</v>
          </cell>
          <cell r="O97" t="str">
            <v xml:space="preserve">O n P Asiatic ( 14 Inch ) 14 P n W Car ( 14 Inch ) 24   </v>
          </cell>
          <cell r="P97" t="str">
            <v>O n W Asiatic ( 14 Inch ) 14 R n P Car ( 14 Inch ) 24   4 Areca Palm + 2 Gypsola + 2 Limonim</v>
          </cell>
          <cell r="Q97" t="str">
            <v>Y n P Asiatic ( 14 Inch ) 14 Pur n W Car ( 14 Inch ) 24   4 Areca Palm + 2 Gypsola + 2 Limonium</v>
          </cell>
          <cell r="R97" t="str">
            <v xml:space="preserve">O n W Asiatic ( 14 inch ) 14 P n W Car ( 14 Inch ) 24   </v>
          </cell>
          <cell r="S97" t="str">
            <v>O n P Asiatic  ( 14 Inch ) 14 G n W Car ( 14 Inch ) 24   4 Areca Palm + 2 Gypsola + 2 Limonium</v>
          </cell>
          <cell r="T97" t="str">
            <v>Y n W Asiatic ( 14 Inch ) 14 Pur n P Car ( 14 Inch ) 24   4 Areca Palm + 2 Gypsola + 2 Limonium</v>
          </cell>
        </row>
        <row r="98">
          <cell r="B98" t="str">
            <v xml:space="preserve"> Awaneesh Sharma</v>
          </cell>
          <cell r="C98">
            <v>8586000561</v>
          </cell>
          <cell r="D98" t="str">
            <v>Flat No 124 , Ground Floor , M2K Aura Society , Infront of Hilton Hotel , Sector -47 , Gurugram</v>
          </cell>
          <cell r="G98" t="str">
            <v xml:space="preserve">Before 12 </v>
          </cell>
          <cell r="H98">
            <v>600</v>
          </cell>
          <cell r="J98" t="str">
            <v>Bouquet</v>
          </cell>
          <cell r="K98" t="str">
            <v>Send today from Srishti Makhija 
Before 12 
10 glad and 5 Rajnigandha in walkin tissue wrap to 
Name Awaneesh Sharma
Number 8586000561
Address
Flat No 124 , Ground Floor , M2K Aura Society , Infront of Hilton Hotel , Sector -47 , Gurugram</v>
          </cell>
          <cell r="T98" t="str">
            <v xml:space="preserve">Glad and Rajnigandha 10+5 walkin tissue wrap     </v>
          </cell>
        </row>
        <row r="99">
          <cell r="B99" t="str">
            <v>Mukti Aggarwal</v>
          </cell>
          <cell r="C99" t="str">
            <v xml:space="preserve"> 99100 49851</v>
          </cell>
          <cell r="D99" t="str">
            <v>G- 201
GPL Eden Heights,
Darbaripur Road
Sector 70,
Gurgaon</v>
          </cell>
          <cell r="G99" t="str">
            <v xml:space="preserve"> before 12:30pm</v>
          </cell>
          <cell r="H99">
            <v>1350</v>
          </cell>
          <cell r="J99" t="str">
            <v>Bouquet</v>
          </cell>
          <cell r="K99" t="str">
            <v>Today from Deepa Kulkarni
To 
Mukti Aggarwal
G- 201
GPL Eden Heights,
Darbaripur Road
Sector 70,
Gurgaon
+91 99100 49851
Message: 
Dearest Mukti:
Last few weeks ko bhoolane ka prayaas. Hope the colours brighten up your day and ease the aches and pain when you see them. 
Love and light always,
Deepa
Today from Deepa Kulkarni
To 
Mukti Aggarwal
G- 201
GPL Eden Heights,
Darbaripur Road
Sector 70,
Gurgaon
+91 99100 49851
Message: 
Dearest Mukti:
Last few weeks ko bhoolane ka prayaas. Hope the colours brighten up your day and ease the aches and pain when you see them. 
Love and light always,
Deepa
Pls send 7 sunflowers and 6 blue daisy in tissue wrap today before 12:30pm</v>
          </cell>
          <cell r="T99" t="str">
            <v xml:space="preserve">Sunflowers and  blue daisy 7+6 tissue wrap Message   </v>
          </cell>
        </row>
        <row r="100">
          <cell r="B100" t="str">
            <v>Pooja Mullik BPTP Amstoria</v>
          </cell>
          <cell r="D100" t="str">
            <v>BPTP Amstoria, Sec 102</v>
          </cell>
          <cell r="G100" t="str">
            <v xml:space="preserve"> before 1:30pm</v>
          </cell>
          <cell r="H100">
            <v>1450</v>
          </cell>
          <cell r="J100" t="str">
            <v>Bouquet</v>
          </cell>
          <cell r="K100" t="str">
            <v>Pls send one bouquet with 3 pink or white semi bloom oriental and 10 pink n white carnations in tissue wrap to bptp amstoria at reception.. pls carry delivery challan, order by pooja mallik bptp , pls deliver before 1:30pm</v>
          </cell>
          <cell r="T100" t="str">
            <v xml:space="preserve">Pink or white semi bloom oriental and pink n white carnations 3+10 tissue wrap    </v>
          </cell>
        </row>
        <row r="101">
          <cell r="B101" t="str">
            <v>Sonan Chauhan</v>
          </cell>
          <cell r="C101">
            <v>9810440637</v>
          </cell>
          <cell r="D101" t="str">
            <v>T-7 Flat No 202 The North Close</v>
          </cell>
          <cell r="G101" t="str">
            <v>Before 3 Pm</v>
          </cell>
          <cell r="H101">
            <v>1200</v>
          </cell>
          <cell r="J101" t="str">
            <v>Bouquet</v>
          </cell>
          <cell r="T101" t="str">
            <v xml:space="preserve">Asiatic+ Mix Car 4+10 Single Wrap    </v>
          </cell>
        </row>
        <row r="102">
          <cell r="A102" t="str">
            <v>B55243</v>
          </cell>
          <cell r="B102" t="str">
            <v>Manisha Dilawari</v>
          </cell>
          <cell r="C102">
            <v>9810653326</v>
          </cell>
          <cell r="D102" t="str">
            <v>Building-6/5B, The Hibiscus</v>
          </cell>
          <cell r="H102" t="str">
            <v>Only Payment</v>
          </cell>
          <cell r="I102" t="str">
            <v>Only Payment</v>
          </cell>
          <cell r="J102" t="str">
            <v>Only Payment</v>
          </cell>
          <cell r="K102" t="str">
            <v>Only Payment</v>
          </cell>
          <cell r="L102" t="str">
            <v>Only Payment</v>
          </cell>
          <cell r="M102" t="str">
            <v>Only Payment</v>
          </cell>
          <cell r="N102" t="str">
            <v>Only Payment</v>
          </cell>
          <cell r="O102" t="str">
            <v>Only Payment</v>
          </cell>
          <cell r="P102" t="str">
            <v>Only Payment</v>
          </cell>
          <cell r="Q102" t="str">
            <v>Only Payment</v>
          </cell>
          <cell r="R102" t="str">
            <v>Only Payment</v>
          </cell>
          <cell r="S102" t="str">
            <v>Only Payment</v>
          </cell>
          <cell r="T102" t="str">
            <v xml:space="preserve">Only Payment Only Payment Only Payment Only Payment Only Payment Only Payment </v>
          </cell>
        </row>
        <row r="103">
          <cell r="B103" t="str">
            <v>Arushi Kukreja</v>
          </cell>
          <cell r="C103" t="str">
            <v>70328 07468‬</v>
          </cell>
          <cell r="D103" t="str">
            <v>B 801 , emaar palm drive, golf course extension road sector 66 gurgaon</v>
          </cell>
          <cell r="G103" t="str">
            <v>Before 4 Pm</v>
          </cell>
          <cell r="H103">
            <v>1360</v>
          </cell>
          <cell r="J103" t="str">
            <v>Bouquet</v>
          </cell>
          <cell r="K103" t="str">
            <v>Pls send 2 arrangement 
One with 6 pink n white carnations and baby’s breath in sponge and cover the sponge with white sheet
Other with 12 pink n white carnations with baby’s breath in sponge and cover sponge with white sheet 
To Arushi Kukreja — +91 70328 07468 before 4pm for 1360</v>
          </cell>
          <cell r="T103" t="str">
            <v xml:space="preserve">One with 6 pink n white carnations and baby’s breath in sponge and cover the sponge with white sheet 1 12 pink n white carnations with baby’s breath in sponge and cover sponge with white sheet  1   </v>
          </cell>
        </row>
        <row r="104">
          <cell r="A104">
            <v>2716</v>
          </cell>
          <cell r="B104" t="str">
            <v>Simmi Chopra</v>
          </cell>
          <cell r="C104">
            <v>9891744488</v>
          </cell>
          <cell r="D104" t="str">
            <v>B/145, Suncity, Golf Course Road</v>
          </cell>
          <cell r="G104" t="str">
            <v>Complemenyty</v>
          </cell>
          <cell r="H104" t="str">
            <v>Complemenyty</v>
          </cell>
          <cell r="I104" t="str">
            <v>Complemenyty</v>
          </cell>
          <cell r="J104" t="str">
            <v>Complemenyty</v>
          </cell>
          <cell r="K104" t="str">
            <v>Complemenyty</v>
          </cell>
          <cell r="L104" t="str">
            <v>Complemenyty</v>
          </cell>
          <cell r="M104" t="str">
            <v>Complemenyty</v>
          </cell>
          <cell r="N104" t="str">
            <v>Complemenyty</v>
          </cell>
          <cell r="T104" t="str">
            <v>G n W Car ( 14 Inch ) 7     Grass</v>
          </cell>
        </row>
        <row r="105">
          <cell r="A105">
            <v>3307</v>
          </cell>
          <cell r="B105" t="str">
            <v>Amit Jindal</v>
          </cell>
          <cell r="C105">
            <v>8860400001</v>
          </cell>
          <cell r="D105" t="str">
            <v>T-5/1401, Vipul Greens</v>
          </cell>
          <cell r="G105" t="str">
            <v>before 6:30 pm</v>
          </cell>
          <cell r="H105">
            <v>2100</v>
          </cell>
          <cell r="J105" t="str">
            <v>Bouquet</v>
          </cell>
          <cell r="K105" t="str">
            <v>Pls send today a mix of semi bloom pink n white orinetal lilies in walkin tissue wrap to Amit Jindal —  +91 88604 00001, before 6:30 pm — pls failakar thoda bada banana aur Gypso thoda jyada use kar lena 
Message 
Happy Birthday Rajeev</v>
          </cell>
          <cell r="T105" t="str">
            <v xml:space="preserve">mix of semi bloom pink n white orinetal lilies 7 walkin tissue wrap+Massage    </v>
          </cell>
        </row>
        <row r="106">
          <cell r="B106" t="str">
            <v xml:space="preserve">Mandeep kaur </v>
          </cell>
          <cell r="C106">
            <v>8872082463</v>
          </cell>
          <cell r="D106" t="str">
            <v>Flate no 125   T 2B Princeton Estate</v>
          </cell>
          <cell r="G106" t="str">
            <v>By 7 PM</v>
          </cell>
          <cell r="H106">
            <v>1600</v>
          </cell>
          <cell r="J106" t="str">
            <v xml:space="preserve">Arrengment </v>
          </cell>
          <cell r="T106" t="str">
            <v xml:space="preserve">Oriental + Asiatic + car + Rose  1 + 3 + 6 +5 Bunch + 10inch Vase     </v>
          </cell>
        </row>
      </sheetData>
      <sheetData sheetId="23"/>
      <sheetData sheetId="24"/>
      <sheetData sheetId="25"/>
      <sheetData sheetId="26"/>
      <sheetData sheetId="27"/>
      <sheetData sheetId="28"/>
      <sheetData sheetId="29"/>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0A4634-DE55-459C-947C-6C4F6830DC8A}">
  <dimension ref="A1:AD97"/>
  <sheetViews>
    <sheetView tabSelected="1" topLeftCell="L95" zoomScale="60" zoomScaleNormal="60" workbookViewId="0">
      <selection activeCell="V97" sqref="V97"/>
    </sheetView>
  </sheetViews>
  <sheetFormatPr defaultRowHeight="14" x14ac:dyDescent="0.3"/>
  <cols>
    <col min="3" max="7" width="8.796875" customWidth="1"/>
    <col min="8" max="8" width="7.09765625" customWidth="1"/>
    <col min="9" max="9" width="8.796875" customWidth="1"/>
    <col min="10" max="10" width="8.09765625" customWidth="1"/>
    <col min="11" max="11" width="140" customWidth="1"/>
  </cols>
  <sheetData>
    <row r="1" spans="1:30" ht="103.2" customHeight="1" x14ac:dyDescent="0.3">
      <c r="A1" s="1" t="s">
        <v>0</v>
      </c>
      <c r="B1" s="2" t="s">
        <v>1</v>
      </c>
      <c r="C1" s="3" t="s">
        <v>2</v>
      </c>
      <c r="D1" s="4" t="s">
        <v>3</v>
      </c>
      <c r="E1" s="4" t="s">
        <v>4</v>
      </c>
      <c r="F1" s="4" t="s">
        <v>5</v>
      </c>
      <c r="G1" s="4" t="s">
        <v>6</v>
      </c>
      <c r="H1" s="5" t="s">
        <v>7</v>
      </c>
      <c r="I1" s="5" t="s">
        <v>8</v>
      </c>
      <c r="J1" s="2" t="s">
        <v>9</v>
      </c>
      <c r="K1" s="4" t="s">
        <v>10</v>
      </c>
      <c r="L1" s="6" t="s">
        <v>11</v>
      </c>
      <c r="M1" s="6" t="s">
        <v>12</v>
      </c>
      <c r="N1" s="7" t="s">
        <v>13</v>
      </c>
      <c r="O1" s="39" t="s">
        <v>414</v>
      </c>
      <c r="P1" s="39" t="s">
        <v>415</v>
      </c>
      <c r="Q1" s="39" t="s">
        <v>416</v>
      </c>
      <c r="R1" s="39" t="s">
        <v>417</v>
      </c>
      <c r="S1" s="39" t="s">
        <v>418</v>
      </c>
      <c r="T1" s="39" t="s">
        <v>419</v>
      </c>
      <c r="U1" s="39" t="s">
        <v>420</v>
      </c>
      <c r="V1" s="39" t="s">
        <v>421</v>
      </c>
      <c r="W1" s="39" t="s">
        <v>422</v>
      </c>
      <c r="X1" s="39" t="s">
        <v>423</v>
      </c>
      <c r="Y1" s="39" t="s">
        <v>422</v>
      </c>
      <c r="Z1" s="39" t="s">
        <v>424</v>
      </c>
      <c r="AA1" s="39" t="s">
        <v>425</v>
      </c>
      <c r="AB1" s="39" t="s">
        <v>426</v>
      </c>
      <c r="AC1" s="39" t="s">
        <v>427</v>
      </c>
      <c r="AD1" s="39" t="s">
        <v>428</v>
      </c>
    </row>
    <row r="2" spans="1:30" ht="117.7" customHeight="1" x14ac:dyDescent="0.3">
      <c r="A2" s="1">
        <v>20</v>
      </c>
      <c r="B2" s="8" t="s">
        <v>14</v>
      </c>
      <c r="C2" s="1">
        <v>9810771057</v>
      </c>
      <c r="D2" s="9" t="s">
        <v>15</v>
      </c>
      <c r="E2" s="10" t="s">
        <v>16</v>
      </c>
      <c r="F2" s="9" t="s">
        <v>17</v>
      </c>
      <c r="G2" s="11" t="s">
        <v>18</v>
      </c>
      <c r="H2" s="12">
        <v>1450</v>
      </c>
      <c r="I2" s="12">
        <v>362.5</v>
      </c>
      <c r="J2" s="10" t="s">
        <v>19</v>
      </c>
      <c r="K2" s="9" t="s">
        <v>20</v>
      </c>
      <c r="L2" s="12"/>
      <c r="M2" s="12" t="s">
        <v>21</v>
      </c>
      <c r="N2" s="13" t="s">
        <v>24</v>
      </c>
      <c r="O2" s="38" t="str">
        <f>VLOOKUP(A2,'[1]25-06-26'!$A$2:$T$86,20,0)</f>
        <v>Mix Car 16     FF Sachet + Grass</v>
      </c>
      <c r="P2" s="38" t="e">
        <f>VLOOKUP(A2,'[2]02-07-26'!$A$2:$T$106,20,0)</f>
        <v>#N/A</v>
      </c>
      <c r="Q2" s="38" t="e">
        <f>VLOOKUP(A2,'[2]09-07-26'!$A$2:$T$89,20,0)</f>
        <v>#N/A</v>
      </c>
      <c r="R2" s="38" t="e">
        <f>VLOOKUP(A2,'[2]16-07-26'!$A$2:$T$95,20,0)</f>
        <v>#N/A</v>
      </c>
      <c r="S2" s="38" t="str">
        <f>VLOOKUP(A2,'[2]23-07-26'!$A$2:$T$106,20,0)</f>
        <v>G n W Car ( 14 inch ) 16     FF Sachet + Grass</v>
      </c>
      <c r="T2" s="38" t="s">
        <v>458</v>
      </c>
      <c r="U2" s="38">
        <v>16</v>
      </c>
      <c r="V2" s="38"/>
      <c r="W2" s="38"/>
      <c r="X2" s="38"/>
      <c r="Y2" s="38"/>
      <c r="Z2" s="38" t="s">
        <v>446</v>
      </c>
      <c r="AA2" s="38"/>
      <c r="AB2" s="38"/>
      <c r="AC2" s="38"/>
      <c r="AD2" s="38"/>
    </row>
    <row r="3" spans="1:30" ht="117.7" customHeight="1" x14ac:dyDescent="0.3">
      <c r="A3" s="1">
        <v>1319</v>
      </c>
      <c r="B3" s="8" t="s">
        <v>14</v>
      </c>
      <c r="C3" s="1">
        <v>9810771057</v>
      </c>
      <c r="D3" s="9" t="s">
        <v>15</v>
      </c>
      <c r="E3" s="10" t="s">
        <v>16</v>
      </c>
      <c r="F3" s="9" t="s">
        <v>17</v>
      </c>
      <c r="G3" s="11" t="s">
        <v>18</v>
      </c>
      <c r="H3" s="12">
        <v>1950</v>
      </c>
      <c r="I3" s="12">
        <v>487.5</v>
      </c>
      <c r="J3" s="10" t="s">
        <v>22</v>
      </c>
      <c r="K3" s="9" t="s">
        <v>23</v>
      </c>
      <c r="L3" s="12"/>
      <c r="M3" s="12" t="s">
        <v>21</v>
      </c>
      <c r="N3" s="13" t="s">
        <v>24</v>
      </c>
      <c r="O3" s="38" t="str">
        <f>VLOOKUP(A3,'[1]25-06-26'!$A$2:$T$86,20,0)</f>
        <v>P Asiatic 4     Grass</v>
      </c>
      <c r="P3" s="38" t="e">
        <f>VLOOKUP(A3,'[2]02-07-26'!$A$2:$T$106,20,0)</f>
        <v>#N/A</v>
      </c>
      <c r="Q3" s="38" t="e">
        <f>VLOOKUP(A3,'[2]09-07-26'!$A$2:$T$89,20,0)</f>
        <v>#N/A</v>
      </c>
      <c r="R3" s="38" t="e">
        <f>VLOOKUP(A3,'[2]16-07-26'!$A$2:$T$95,20,0)</f>
        <v>#N/A</v>
      </c>
      <c r="S3" s="38" t="str">
        <f>VLOOKUP(A3,'[2]23-07-26'!$A$2:$T$106,20,0)</f>
        <v>W Asiatic 4     Grass</v>
      </c>
      <c r="T3" s="38" t="s">
        <v>445</v>
      </c>
      <c r="U3" s="38">
        <v>4</v>
      </c>
      <c r="V3" s="38"/>
      <c r="W3" s="38"/>
      <c r="X3" s="38"/>
      <c r="Y3" s="38"/>
      <c r="Z3" s="38" t="s">
        <v>447</v>
      </c>
      <c r="AA3" s="38"/>
      <c r="AB3" s="38"/>
      <c r="AC3" s="38"/>
      <c r="AD3" s="38"/>
    </row>
    <row r="4" spans="1:30" ht="117.7" customHeight="1" x14ac:dyDescent="0.3">
      <c r="A4" s="1">
        <v>2395</v>
      </c>
      <c r="B4" s="14" t="s">
        <v>25</v>
      </c>
      <c r="C4" s="12">
        <v>9999967563</v>
      </c>
      <c r="D4" s="10" t="s">
        <v>26</v>
      </c>
      <c r="E4" s="10" t="s">
        <v>27</v>
      </c>
      <c r="F4" s="10" t="s">
        <v>17</v>
      </c>
      <c r="G4" s="11" t="s">
        <v>28</v>
      </c>
      <c r="H4" s="12">
        <v>1950</v>
      </c>
      <c r="I4" s="12">
        <v>487.5</v>
      </c>
      <c r="J4" s="10" t="s">
        <v>468</v>
      </c>
      <c r="K4" s="10" t="s">
        <v>29</v>
      </c>
      <c r="L4" s="10"/>
      <c r="M4" s="10" t="s">
        <v>30</v>
      </c>
      <c r="N4" s="13" t="s">
        <v>31</v>
      </c>
      <c r="O4" s="38" t="str">
        <f>VLOOKUP(A4,'[1]25-06-26'!$A$2:$T$86,20,0)</f>
        <v>P Asiatic ( 14 Inch ) 4     Grass</v>
      </c>
      <c r="P4" s="38" t="e">
        <f>VLOOKUP(A4,'[2]02-07-26'!$A$2:$T$106,20,0)</f>
        <v>#N/A</v>
      </c>
      <c r="Q4" s="38" t="e">
        <f>VLOOKUP(A4,'[2]09-07-26'!$A$2:$T$89,20,0)</f>
        <v>#N/A</v>
      </c>
      <c r="R4" s="38" t="e">
        <f>VLOOKUP(A4,'[2]16-07-26'!$A$2:$T$95,20,0)</f>
        <v>#N/A</v>
      </c>
      <c r="S4" s="38" t="str">
        <f>VLOOKUP(A4,'[2]23-07-26'!$A$2:$T$106,20,0)</f>
        <v>G n W Car ( 14 inch ) 22 Check with us before sending Check with us before sending Check with us before sending  FF Sachet + Grass</v>
      </c>
      <c r="T4" s="38" t="s">
        <v>433</v>
      </c>
      <c r="U4" s="38" t="s">
        <v>434</v>
      </c>
      <c r="V4" s="38"/>
      <c r="W4" s="38"/>
      <c r="X4" s="38"/>
      <c r="Y4" s="38"/>
      <c r="Z4" s="38"/>
      <c r="AA4" s="38"/>
      <c r="AB4" s="38"/>
      <c r="AC4" s="38"/>
      <c r="AD4" s="38"/>
    </row>
    <row r="5" spans="1:30" ht="117.7" customHeight="1" x14ac:dyDescent="0.3">
      <c r="A5" s="1">
        <v>2509</v>
      </c>
      <c r="B5" s="15" t="s">
        <v>32</v>
      </c>
      <c r="C5" s="16">
        <v>8910369663</v>
      </c>
      <c r="D5" s="10" t="s">
        <v>33</v>
      </c>
      <c r="E5" s="10" t="s">
        <v>34</v>
      </c>
      <c r="F5" s="10" t="s">
        <v>17</v>
      </c>
      <c r="G5" s="10" t="s">
        <v>35</v>
      </c>
      <c r="H5" s="12">
        <v>1450</v>
      </c>
      <c r="I5" s="12">
        <v>1450</v>
      </c>
      <c r="J5" s="9" t="s">
        <v>19</v>
      </c>
      <c r="K5" s="10" t="s">
        <v>36</v>
      </c>
      <c r="L5" s="12"/>
      <c r="M5" s="10" t="s">
        <v>37</v>
      </c>
      <c r="N5" s="13" t="s">
        <v>24</v>
      </c>
      <c r="O5" s="38" t="str">
        <f>VLOOKUP(A5,'[1]25-06-26'!$A$2:$T$86,20,0)</f>
        <v>P n W Glad ( 14 Inch ) 16     Grass</v>
      </c>
      <c r="P5" s="38" t="str">
        <f>VLOOKUP(A5,'[2]02-07-26'!$A$2:$T$106,20,0)</f>
        <v>Rajni ( 14 Inch ) 16     Grass</v>
      </c>
      <c r="Q5" s="38" t="str">
        <f>VLOOKUP(A5,'[2]09-07-26'!$A$2:$T$89,20,0)</f>
        <v>R n W Car ( 14 Inch ) 16     FF Sachet + Grass</v>
      </c>
      <c r="R5" s="38" t="e">
        <f>VLOOKUP(A5,'[2]16-07-26'!$A$2:$T$95,20,0)</f>
        <v>#N/A</v>
      </c>
      <c r="S5" s="38" t="e">
        <f>VLOOKUP(A5,'[2]23-07-26'!$A$2:$T$106,20,0)</f>
        <v>#N/A</v>
      </c>
      <c r="T5" s="38" t="s">
        <v>459</v>
      </c>
      <c r="U5" s="38">
        <v>3</v>
      </c>
      <c r="V5" s="38"/>
      <c r="W5" s="38"/>
      <c r="X5" s="38"/>
      <c r="Y5" s="38"/>
      <c r="Z5" s="38" t="s">
        <v>447</v>
      </c>
      <c r="AA5" s="38"/>
      <c r="AB5" s="38"/>
      <c r="AC5" s="38"/>
      <c r="AD5" s="38"/>
    </row>
    <row r="6" spans="1:30" ht="117.7" customHeight="1" x14ac:dyDescent="0.3">
      <c r="A6" s="9">
        <v>2868</v>
      </c>
      <c r="B6" s="15" t="s">
        <v>38</v>
      </c>
      <c r="C6" s="16">
        <v>7827468667</v>
      </c>
      <c r="D6" s="10" t="s">
        <v>39</v>
      </c>
      <c r="E6" s="10" t="s">
        <v>27</v>
      </c>
      <c r="F6" s="10" t="s">
        <v>17</v>
      </c>
      <c r="G6" s="11" t="s">
        <v>40</v>
      </c>
      <c r="H6" s="12">
        <v>1450</v>
      </c>
      <c r="I6" s="12">
        <v>362.5</v>
      </c>
      <c r="J6" s="9" t="s">
        <v>19</v>
      </c>
      <c r="K6" s="12"/>
      <c r="L6" s="12"/>
      <c r="M6" s="12"/>
      <c r="N6" s="13" t="s">
        <v>24</v>
      </c>
      <c r="O6" s="38" t="str">
        <f>VLOOKUP(A6,'[1]25-06-26'!$A$2:$T$86,20,0)</f>
        <v>Rajni ( 14 Inch ) 9     Grass</v>
      </c>
      <c r="P6" s="38" t="str">
        <f>VLOOKUP(A6,'[2]02-07-26'!$A$2:$T$106,20,0)</f>
        <v>P Asiatic ( 14 Inch ) 2     Grass</v>
      </c>
      <c r="Q6" s="38" t="str">
        <f>VLOOKUP(A6,'[2]09-07-26'!$A$2:$T$89,20,0)</f>
        <v>P n W Car ( 14 Inch ) 16     FF Sachet + Grass</v>
      </c>
      <c r="R6" s="38" t="str">
        <f>VLOOKUP(A6,'[2]16-07-26'!$A$2:$T$95,20,0)</f>
        <v>P n Y Spray Daisy ( 14 Inch ) 5     FF Sachet + Grass</v>
      </c>
      <c r="S6" s="38" t="str">
        <f>VLOOKUP(A6,'[2]23-07-26'!$A$2:$T$106,20,0)</f>
        <v>Mix Glad ( 14 Inch ) 16     Grass</v>
      </c>
      <c r="T6" s="38" t="s">
        <v>439</v>
      </c>
      <c r="U6" s="38">
        <v>16</v>
      </c>
      <c r="V6" s="38"/>
      <c r="W6" s="38"/>
      <c r="X6" s="38"/>
      <c r="Y6" s="38"/>
      <c r="Z6" s="38" t="s">
        <v>446</v>
      </c>
      <c r="AA6" s="38"/>
      <c r="AB6" s="38"/>
      <c r="AC6" s="38"/>
      <c r="AD6" s="38"/>
    </row>
    <row r="7" spans="1:30" ht="117.7" customHeight="1" x14ac:dyDescent="0.3">
      <c r="A7" s="1">
        <v>1898</v>
      </c>
      <c r="B7" s="17" t="s">
        <v>41</v>
      </c>
      <c r="C7" s="12">
        <v>8447778677</v>
      </c>
      <c r="D7" s="10" t="s">
        <v>42</v>
      </c>
      <c r="E7" s="10" t="s">
        <v>27</v>
      </c>
      <c r="F7" s="10" t="s">
        <v>43</v>
      </c>
      <c r="G7" s="18" t="s">
        <v>44</v>
      </c>
      <c r="H7" s="10">
        <v>1600</v>
      </c>
      <c r="I7" s="12">
        <v>200</v>
      </c>
      <c r="J7" s="10" t="s">
        <v>45</v>
      </c>
      <c r="K7" s="10" t="s">
        <v>46</v>
      </c>
      <c r="L7" s="12"/>
      <c r="M7" s="12"/>
      <c r="N7" s="13" t="s">
        <v>429</v>
      </c>
      <c r="O7" s="38" t="str">
        <f>VLOOKUP(A7,'[1]25-06-26'!$A$2:$T$86,20,0)</f>
        <v>Sunflower ( 12 Inch) 2     FF Sachet + Grass</v>
      </c>
      <c r="P7" s="38" t="str">
        <f>VLOOKUP(A7,'[2]02-07-26'!$A$2:$T$106,20,0)</f>
        <v>Rajni ( 14 Inch ) 7     Grass</v>
      </c>
      <c r="Q7" s="38" t="str">
        <f>VLOOKUP(A7,'[2]09-07-26'!$A$2:$T$89,20,0)</f>
        <v>Sunflower ( 12 Inch ) 2   Collect Payment Collect Payment Grass</v>
      </c>
      <c r="R7" s="38" t="e">
        <f>VLOOKUP(A7,'[2]16-07-26'!$A$2:$T$95,20,0)</f>
        <v>#N/A</v>
      </c>
      <c r="S7" s="38" t="str">
        <f>VLOOKUP(A7,'[2]23-07-26'!$A$2:$T$106,20,0)</f>
        <v>Rajni ( 14 Inch ) 7 Check with us before sending Check with us before sending Check with us before sending  Grass</v>
      </c>
      <c r="T7" s="38" t="s">
        <v>437</v>
      </c>
      <c r="U7" s="38">
        <v>2</v>
      </c>
      <c r="V7" s="38"/>
      <c r="W7" s="38"/>
      <c r="X7" s="38"/>
      <c r="Y7" s="38"/>
      <c r="Z7" s="38" t="s">
        <v>446</v>
      </c>
      <c r="AA7" s="38"/>
      <c r="AB7" s="38"/>
      <c r="AC7" s="38"/>
      <c r="AD7" s="38"/>
    </row>
    <row r="8" spans="1:30" ht="117.7" customHeight="1" x14ac:dyDescent="0.3">
      <c r="A8" s="1">
        <v>1638</v>
      </c>
      <c r="B8" s="19" t="s">
        <v>48</v>
      </c>
      <c r="C8" s="12">
        <v>9717121144</v>
      </c>
      <c r="D8" s="10" t="s">
        <v>49</v>
      </c>
      <c r="E8" s="10" t="s">
        <v>16</v>
      </c>
      <c r="F8" s="10" t="s">
        <v>50</v>
      </c>
      <c r="G8" s="11" t="s">
        <v>18</v>
      </c>
      <c r="H8" s="12">
        <v>1450</v>
      </c>
      <c r="I8" s="12">
        <v>362.5</v>
      </c>
      <c r="J8" s="20" t="s">
        <v>19</v>
      </c>
      <c r="K8" s="10" t="s">
        <v>51</v>
      </c>
      <c r="L8" s="10" t="s">
        <v>52</v>
      </c>
      <c r="M8" s="12"/>
      <c r="N8" s="13" t="s">
        <v>53</v>
      </c>
      <c r="O8" s="38" t="e">
        <f>VLOOKUP(A8,'[1]25-06-26'!$A$2:$T$86,20,0)</f>
        <v>#N/A</v>
      </c>
      <c r="P8" s="38" t="e">
        <f>VLOOKUP(A8,'[2]02-07-26'!$A$2:$T$106,20,0)</f>
        <v>#N/A</v>
      </c>
      <c r="Q8" s="38" t="e">
        <f>VLOOKUP(A8,'[2]09-07-26'!$A$2:$T$89,20,0)</f>
        <v>#N/A</v>
      </c>
      <c r="R8" s="38" t="e">
        <f>VLOOKUP(A8,'[2]16-07-26'!$A$2:$T$95,20,0)</f>
        <v>#N/A</v>
      </c>
      <c r="S8" s="38" t="e">
        <f>VLOOKUP(A8,'[2]23-07-26'!$A$2:$T$106,20,0)</f>
        <v>#N/A</v>
      </c>
      <c r="T8" s="38" t="s">
        <v>440</v>
      </c>
      <c r="U8" s="38">
        <v>16</v>
      </c>
      <c r="V8" s="38"/>
      <c r="W8" s="38"/>
      <c r="X8" s="38"/>
      <c r="Y8" s="38"/>
      <c r="Z8" s="38" t="s">
        <v>446</v>
      </c>
      <c r="AA8" s="38"/>
      <c r="AB8" s="38"/>
      <c r="AC8" s="38"/>
      <c r="AD8" s="38"/>
    </row>
    <row r="9" spans="1:30" ht="117.7" customHeight="1" x14ac:dyDescent="0.3">
      <c r="A9" s="1">
        <v>3133</v>
      </c>
      <c r="B9" s="15" t="s">
        <v>54</v>
      </c>
      <c r="C9" s="10" t="s">
        <v>55</v>
      </c>
      <c r="D9" s="10" t="s">
        <v>56</v>
      </c>
      <c r="E9" s="10" t="s">
        <v>57</v>
      </c>
      <c r="F9" s="10" t="s">
        <v>17</v>
      </c>
      <c r="G9" s="11" t="s">
        <v>18</v>
      </c>
      <c r="H9" s="21">
        <v>1450</v>
      </c>
      <c r="I9" s="12">
        <v>362.5</v>
      </c>
      <c r="J9" s="10" t="s">
        <v>19</v>
      </c>
      <c r="K9" s="10" t="s">
        <v>58</v>
      </c>
      <c r="L9" s="10" t="s">
        <v>59</v>
      </c>
      <c r="M9" s="22" t="s">
        <v>60</v>
      </c>
      <c r="N9" s="13" t="s">
        <v>24</v>
      </c>
      <c r="O9" s="38" t="str">
        <f>VLOOKUP(A9,'[1]25-06-26'!$A$2:$T$86,20,0)</f>
        <v>Y Spray Daisy 3 P n W Car ( 14 Inch ) 7   FF Sachet + Grass</v>
      </c>
      <c r="P9" s="38" t="str">
        <f>VLOOKUP(A9,'[2]02-07-26'!$A$2:$T$106,20,0)</f>
        <v>P Eustoma ( 12 Inch ) 2 Rajni ( 14 Inch ) 7   FF Sachet + Grass</v>
      </c>
      <c r="Q9" s="38" t="str">
        <f>VLOOKUP(A9,'[2]09-07-26'!$A$2:$T$89,20,0)</f>
        <v>W Asiatic ( 14 Inch ) 2 Mix Alstroemeria ( 12 Inch ) 7   Grass</v>
      </c>
      <c r="R9" s="38" t="str">
        <f>VLOOKUP(A9,'[2]16-07-26'!$A$2:$T$95,20,0)</f>
        <v>P Spray Daisy ( 14 Inch ) 3 P n W Glad ( 14 Inch ) 7   FF Sachet + Grass</v>
      </c>
      <c r="S9" s="38" t="str">
        <f>VLOOKUP(A9,'[2]23-07-26'!$A$2:$T$106,20,0)</f>
        <v>Pur Eustoma ( 12 Inch ) 2 G n W Car ( 14 Inch ) 7   FF Sachet + Grass</v>
      </c>
      <c r="T9" s="38" t="s">
        <v>460</v>
      </c>
      <c r="U9" s="38">
        <v>2</v>
      </c>
      <c r="V9" s="38" t="s">
        <v>444</v>
      </c>
      <c r="W9" s="38">
        <v>7</v>
      </c>
      <c r="X9" s="38"/>
      <c r="Y9" s="38"/>
      <c r="Z9" s="38" t="s">
        <v>446</v>
      </c>
      <c r="AA9" s="38"/>
      <c r="AB9" s="38"/>
      <c r="AC9" s="38"/>
      <c r="AD9" s="38"/>
    </row>
    <row r="10" spans="1:30" ht="117.7" customHeight="1" x14ac:dyDescent="0.3">
      <c r="A10" s="1">
        <v>921</v>
      </c>
      <c r="B10" s="15" t="s">
        <v>61</v>
      </c>
      <c r="C10" s="9" t="s">
        <v>62</v>
      </c>
      <c r="D10" s="9" t="s">
        <v>63</v>
      </c>
      <c r="E10" s="10" t="s">
        <v>16</v>
      </c>
      <c r="F10" s="23" t="s">
        <v>17</v>
      </c>
      <c r="G10" s="11" t="s">
        <v>18</v>
      </c>
      <c r="H10" s="12">
        <v>1450</v>
      </c>
      <c r="I10" s="12">
        <v>362.5</v>
      </c>
      <c r="J10" s="10" t="s">
        <v>19</v>
      </c>
      <c r="K10" s="24" t="s">
        <v>64</v>
      </c>
      <c r="L10" s="12"/>
      <c r="M10" s="10" t="s">
        <v>65</v>
      </c>
      <c r="N10" s="13" t="s">
        <v>66</v>
      </c>
      <c r="O10" s="38" t="str">
        <f>VLOOKUP(A10,'[1]25-06-26'!$A$2:$T$86,20,0)</f>
        <v>Pur n P Car ( 14 Inch ) 16     FF Sachet + Grass</v>
      </c>
      <c r="P10" s="38" t="str">
        <f>VLOOKUP(A10,'[2]02-07-26'!$A$2:$T$106,20,0)</f>
        <v>O Asiatic ( 14 Inch ) 3     Grass</v>
      </c>
      <c r="Q10" s="38" t="str">
        <f>VLOOKUP(A10,'[2]09-07-26'!$A$2:$T$89,20,0)</f>
        <v>P n Y Gerbera ( 12 Inch ) 16     FF Sachet + Grass</v>
      </c>
      <c r="R10" s="38" t="e">
        <f>VLOOKUP(A10,'[2]16-07-26'!$A$2:$T$95,20,0)</f>
        <v>#N/A</v>
      </c>
      <c r="S10" s="38" t="e">
        <f>VLOOKUP(A10,'[2]23-07-26'!$A$2:$T$106,20,0)</f>
        <v>#N/A</v>
      </c>
      <c r="T10" s="38" t="s">
        <v>440</v>
      </c>
      <c r="U10" s="38">
        <v>16</v>
      </c>
      <c r="V10" s="38"/>
      <c r="W10" s="38"/>
      <c r="X10" s="38"/>
      <c r="Y10" s="38"/>
      <c r="Z10" s="38" t="s">
        <v>446</v>
      </c>
      <c r="AA10" s="38"/>
      <c r="AB10" s="38"/>
      <c r="AC10" s="38"/>
      <c r="AD10" s="38"/>
    </row>
    <row r="11" spans="1:30" ht="117.7" customHeight="1" x14ac:dyDescent="0.3">
      <c r="A11" s="1">
        <v>2204</v>
      </c>
      <c r="B11" s="15" t="s">
        <v>67</v>
      </c>
      <c r="C11" s="12">
        <v>9811969982</v>
      </c>
      <c r="D11" s="10" t="s">
        <v>68</v>
      </c>
      <c r="E11" s="10" t="s">
        <v>27</v>
      </c>
      <c r="F11" s="10" t="s">
        <v>17</v>
      </c>
      <c r="G11" s="10" t="s">
        <v>35</v>
      </c>
      <c r="H11" s="12">
        <v>1450</v>
      </c>
      <c r="I11" s="12">
        <v>362.5</v>
      </c>
      <c r="J11" s="10" t="s">
        <v>19</v>
      </c>
      <c r="K11" s="10" t="s">
        <v>69</v>
      </c>
      <c r="L11" s="12"/>
      <c r="M11" s="12"/>
      <c r="N11" s="13" t="s">
        <v>24</v>
      </c>
      <c r="O11" s="38" t="e">
        <f>VLOOKUP(A11,'[1]25-06-26'!$A$2:$T$86,20,0)</f>
        <v>#N/A</v>
      </c>
      <c r="P11" s="38" t="str">
        <f>VLOOKUP(A11,'[2]02-07-26'!$A$2:$T$106,20,0)</f>
        <v>P Asiatic ( 14 Inch ) 3    Collect payment Grass</v>
      </c>
      <c r="Q11" s="38" t="str">
        <f>VLOOKUP(A11,'[2]09-07-26'!$A$2:$T$89,20,0)</f>
        <v>Rajni ( 14 Inch ) 16     Grass</v>
      </c>
      <c r="R11" s="38" t="str">
        <f>VLOOKUP(A11,'[2]16-07-26'!$A$2:$T$95,20,0)</f>
        <v>G n W Car ( 14 Inch ) 16     FF Sachet + Grass</v>
      </c>
      <c r="S11" s="38" t="str">
        <f>VLOOKUP(A11,'[2]23-07-26'!$A$2:$T$106,20,0)</f>
        <v>P n Y Spray Daisy ( 14 Inch ) 5     FF Sachet + Grass</v>
      </c>
      <c r="T11" s="38" t="s">
        <v>441</v>
      </c>
      <c r="U11" s="38">
        <v>16</v>
      </c>
      <c r="V11" s="38"/>
      <c r="W11" s="38"/>
      <c r="X11" s="38"/>
      <c r="Y11" s="38"/>
      <c r="Z11" s="38" t="s">
        <v>446</v>
      </c>
      <c r="AA11" s="38"/>
      <c r="AB11" s="38"/>
      <c r="AC11" s="38"/>
      <c r="AD11" s="38"/>
    </row>
    <row r="12" spans="1:30" ht="117.7" customHeight="1" x14ac:dyDescent="0.3">
      <c r="A12" s="1">
        <v>61</v>
      </c>
      <c r="B12" s="25" t="s">
        <v>70</v>
      </c>
      <c r="C12" s="26">
        <v>9871919500</v>
      </c>
      <c r="D12" s="9" t="s">
        <v>71</v>
      </c>
      <c r="E12" s="10" t="s">
        <v>16</v>
      </c>
      <c r="F12" s="9" t="s">
        <v>17</v>
      </c>
      <c r="G12" s="11" t="s">
        <v>18</v>
      </c>
      <c r="H12" s="12">
        <v>1450</v>
      </c>
      <c r="I12" s="12">
        <v>362.5</v>
      </c>
      <c r="J12" s="9" t="s">
        <v>19</v>
      </c>
      <c r="K12" s="9" t="s">
        <v>72</v>
      </c>
      <c r="L12" s="12"/>
      <c r="M12" s="12"/>
      <c r="N12" s="13" t="s">
        <v>24</v>
      </c>
      <c r="O12" s="38" t="e">
        <f>VLOOKUP(A12,'[1]25-06-26'!$A$2:$T$86,20,0)</f>
        <v>#N/A</v>
      </c>
      <c r="P12" s="38" t="str">
        <f>VLOOKUP(A12,'[2]02-07-26'!$A$2:$T$106,20,0)</f>
        <v>Rajni ( 14 Inch ) 9     Grass</v>
      </c>
      <c r="Q12" s="38" t="str">
        <f>VLOOKUP(A12,'[2]09-07-26'!$A$2:$T$89,20,0)</f>
        <v>P Asiatic ( 14 Inch ) 3     Grass</v>
      </c>
      <c r="R12" s="38" t="str">
        <f>VLOOKUP(A12,'[2]16-07-26'!$A$2:$T$95,20,0)</f>
        <v>G n W Car ( 14 Inch ) 16     FF Sachet + Grass</v>
      </c>
      <c r="S12" s="38" t="str">
        <f>VLOOKUP(A12,'[2]23-07-26'!$A$2:$T$106,20,0)</f>
        <v>P n Y Spray Daisy ( 14 Inch ) 5     FF Sachet + Grass</v>
      </c>
      <c r="T12" s="38" t="s">
        <v>441</v>
      </c>
      <c r="U12" s="38">
        <v>16</v>
      </c>
      <c r="V12" s="38"/>
      <c r="W12" s="38"/>
      <c r="X12" s="38"/>
      <c r="Y12" s="38"/>
      <c r="Z12" s="38" t="s">
        <v>446</v>
      </c>
      <c r="AA12" s="38"/>
      <c r="AB12" s="38"/>
      <c r="AC12" s="38"/>
      <c r="AD12" s="38"/>
    </row>
    <row r="13" spans="1:30" ht="140.25" customHeight="1" x14ac:dyDescent="0.3">
      <c r="A13" s="1">
        <v>58</v>
      </c>
      <c r="B13" s="15" t="s">
        <v>73</v>
      </c>
      <c r="C13" s="1">
        <v>8130077970</v>
      </c>
      <c r="D13" s="1" t="s">
        <v>74</v>
      </c>
      <c r="E13" s="9" t="s">
        <v>16</v>
      </c>
      <c r="F13" s="9" t="s">
        <v>17</v>
      </c>
      <c r="G13" s="11" t="s">
        <v>18</v>
      </c>
      <c r="H13" s="12">
        <v>1950</v>
      </c>
      <c r="I13" s="12">
        <v>487.5</v>
      </c>
      <c r="J13" s="10" t="s">
        <v>22</v>
      </c>
      <c r="K13" s="10" t="s">
        <v>75</v>
      </c>
      <c r="L13" s="10" t="s">
        <v>76</v>
      </c>
      <c r="M13" s="10" t="s">
        <v>77</v>
      </c>
      <c r="N13" s="13" t="s">
        <v>78</v>
      </c>
      <c r="O13" s="38" t="str">
        <f>VLOOKUP(A13,'[1]25-06-26'!$A$2:$T$86,20,0)</f>
        <v>P Asiatic ( 14 Inch ) 2 B Daisy ( 12 Inch ) 11   Grass</v>
      </c>
      <c r="P13" s="38" t="str">
        <f>VLOOKUP(A13,'[2]02-07-26'!$A$2:$T$106,20,0)</f>
        <v>P n Y Spray Daisy ( 14 Inch ) 5 Rajni ( 14 Inch ) 16   FF Sachet + Grass</v>
      </c>
      <c r="Q13" s="38" t="str">
        <f>VLOOKUP(A13,'[2]09-07-26'!$A$2:$T$89,20,0)</f>
        <v>BOP ( 15 Inch ) 2 Mix Alstroemeria ( 12 Inch ) 11   FF Sachet + Grass</v>
      </c>
      <c r="R13" s="38" t="str">
        <f>VLOOKUP(A13,'[2]16-07-26'!$A$2:$T$95,20,0)</f>
        <v>O Asiatic ( 14 Inch ) 2 G n W Car ( 14 Inch ) 11   Grass</v>
      </c>
      <c r="S13" s="38" t="str">
        <f>VLOOKUP(A13,'[2]23-07-26'!$A$2:$T$106,20,0)</f>
        <v>Pur Eustoma ( 12 Inch ) 2 Mix Glad ( 14 Inch ) 11   FF Sachet + Grass</v>
      </c>
      <c r="T13" s="38" t="s">
        <v>469</v>
      </c>
      <c r="U13" s="38">
        <v>4</v>
      </c>
      <c r="V13" s="38" t="s">
        <v>444</v>
      </c>
      <c r="W13" s="38">
        <v>11</v>
      </c>
      <c r="X13" s="38"/>
      <c r="Y13" s="38"/>
      <c r="Z13" s="38" t="s">
        <v>446</v>
      </c>
      <c r="AA13" s="38"/>
      <c r="AB13" s="38"/>
      <c r="AC13" s="38"/>
      <c r="AD13" s="38"/>
    </row>
    <row r="14" spans="1:30" ht="117.7" customHeight="1" x14ac:dyDescent="0.3">
      <c r="A14" s="1">
        <v>1181</v>
      </c>
      <c r="B14" s="15" t="s">
        <v>79</v>
      </c>
      <c r="C14" s="12">
        <v>8800895944</v>
      </c>
      <c r="D14" s="10" t="s">
        <v>80</v>
      </c>
      <c r="E14" s="10" t="s">
        <v>34</v>
      </c>
      <c r="F14" s="10" t="s">
        <v>17</v>
      </c>
      <c r="G14" s="11" t="s">
        <v>40</v>
      </c>
      <c r="H14" s="12">
        <v>1950</v>
      </c>
      <c r="I14" s="12">
        <v>487.5</v>
      </c>
      <c r="J14" s="10" t="s">
        <v>22</v>
      </c>
      <c r="K14" s="9" t="s">
        <v>81</v>
      </c>
      <c r="L14" s="12"/>
      <c r="M14" s="10" t="s">
        <v>82</v>
      </c>
      <c r="N14" s="13" t="s">
        <v>24</v>
      </c>
      <c r="O14" s="38" t="str">
        <f>VLOOKUP(A14,'[1]25-06-26'!$A$2:$T$86,20,0)</f>
        <v>P n W Car ( 14 inch ) 22     FF Sachet + Grass</v>
      </c>
      <c r="P14" s="38" t="str">
        <f>VLOOKUP(A14,'[2]02-07-26'!$A$2:$T$106,20,0)</f>
        <v>Sunflower ( 12 Inch ) 5     FF Sachet + Grass</v>
      </c>
      <c r="Q14" s="38" t="str">
        <f>VLOOKUP(A14,'[2]09-07-26'!$A$2:$T$89,20,0)</f>
        <v>W Asiatic ( 14 Inch ) 4     Grass</v>
      </c>
      <c r="R14" s="38" t="str">
        <f>VLOOKUP(A14,'[2]16-07-26'!$A$2:$T$95,20,0)</f>
        <v>Mix Alstroemeria ( 12 Inch ) 22     FF Sachet + Grass</v>
      </c>
      <c r="S14" s="38" t="str">
        <f>VLOOKUP(A14,'[2]23-07-26'!$A$2:$T$106,20,0)</f>
        <v>G n W Car ( 14 inch ) 22     FF Sachet + Grass</v>
      </c>
      <c r="T14" s="38" t="s">
        <v>462</v>
      </c>
      <c r="U14" s="38">
        <v>7</v>
      </c>
      <c r="V14" s="38"/>
      <c r="W14" s="38"/>
      <c r="X14" s="38"/>
      <c r="Y14" s="38"/>
      <c r="Z14" s="38" t="s">
        <v>446</v>
      </c>
      <c r="AA14" s="38"/>
      <c r="AB14" s="38"/>
      <c r="AC14" s="38"/>
      <c r="AD14" s="38"/>
    </row>
    <row r="15" spans="1:30" ht="117.7" customHeight="1" x14ac:dyDescent="0.3">
      <c r="A15" s="1">
        <v>2644</v>
      </c>
      <c r="B15" s="15" t="s">
        <v>83</v>
      </c>
      <c r="C15" s="16">
        <v>7889438209</v>
      </c>
      <c r="D15" s="10" t="s">
        <v>84</v>
      </c>
      <c r="E15" s="10" t="s">
        <v>34</v>
      </c>
      <c r="F15" s="10" t="s">
        <v>17</v>
      </c>
      <c r="G15" s="10" t="s">
        <v>35</v>
      </c>
      <c r="H15" s="12">
        <v>1450</v>
      </c>
      <c r="I15" s="12">
        <v>362.5</v>
      </c>
      <c r="J15" s="9" t="s">
        <v>19</v>
      </c>
      <c r="K15" s="10" t="s">
        <v>85</v>
      </c>
      <c r="L15" s="12"/>
      <c r="M15" s="10" t="s">
        <v>86</v>
      </c>
      <c r="N15" s="13" t="s">
        <v>24</v>
      </c>
      <c r="O15" s="38" t="str">
        <f>VLOOKUP(A15,'[1]25-06-26'!$A$2:$T$86,20,0)</f>
        <v>B Daisy ( 12 Inch ) 9     Grass</v>
      </c>
      <c r="P15" s="38" t="str">
        <f>VLOOKUP(A15,'[2]02-07-26'!$A$2:$T$106,20,0)</f>
        <v>P Asiatic ( 14 Inch ) 2     Grass</v>
      </c>
      <c r="Q15" s="38" t="str">
        <f>VLOOKUP(A15,'[2]09-07-26'!$A$2:$T$89,20,0)</f>
        <v>Pur n P Car ( 14 Inch ) 16     FF Sachet + Grass</v>
      </c>
      <c r="R15" s="38" t="str">
        <f>VLOOKUP(A15,'[2]16-07-26'!$A$2:$T$95,20,0)</f>
        <v>P n Y Spray Daisy ( 14 Inch ) 5     FF Sachet + Grass</v>
      </c>
      <c r="S15" s="38" t="str">
        <f>VLOOKUP(A15,'[2]23-07-26'!$A$2:$T$106,20,0)</f>
        <v>Mix Glad ( 14 Inch ) 16     Grass</v>
      </c>
      <c r="T15" s="38" t="s">
        <v>461</v>
      </c>
      <c r="U15" s="38">
        <v>3</v>
      </c>
      <c r="V15" s="38"/>
      <c r="W15" s="38"/>
      <c r="X15" s="38"/>
      <c r="Y15" s="38"/>
      <c r="Z15" s="38" t="s">
        <v>447</v>
      </c>
      <c r="AA15" s="38"/>
      <c r="AB15" s="38"/>
      <c r="AC15" s="38"/>
      <c r="AD15" s="38"/>
    </row>
    <row r="16" spans="1:30" ht="117.7" customHeight="1" x14ac:dyDescent="0.3">
      <c r="A16" s="1">
        <v>3063</v>
      </c>
      <c r="B16" s="15" t="s">
        <v>87</v>
      </c>
      <c r="C16" s="12">
        <v>9810198315</v>
      </c>
      <c r="D16" s="10" t="s">
        <v>88</v>
      </c>
      <c r="E16" s="10" t="s">
        <v>89</v>
      </c>
      <c r="F16" s="10" t="s">
        <v>17</v>
      </c>
      <c r="G16" s="11" t="s">
        <v>18</v>
      </c>
      <c r="H16" s="12">
        <v>1450</v>
      </c>
      <c r="I16" s="12">
        <v>362.5</v>
      </c>
      <c r="J16" s="10" t="s">
        <v>19</v>
      </c>
      <c r="K16" s="10" t="s">
        <v>90</v>
      </c>
      <c r="L16" s="12"/>
      <c r="M16" s="12"/>
      <c r="N16" s="13" t="s">
        <v>91</v>
      </c>
      <c r="O16" s="38" t="str">
        <f>VLOOKUP(A16,'[1]25-06-26'!$A$2:$T$86,20,0)</f>
        <v>P n W Glad ( 14 Inch ) 16     Grass</v>
      </c>
      <c r="P16" s="38" t="str">
        <f>VLOOKUP(A16,'[2]02-07-26'!$A$2:$T$106,20,0)</f>
        <v>P Asiatic ( 14 Inch ) 3     Grass</v>
      </c>
      <c r="Q16" s="38" t="str">
        <f>VLOOKUP(A16,'[2]09-07-26'!$A$2:$T$89,20,0)</f>
        <v>Rajni ( 14 Inch ) 16     Grass</v>
      </c>
      <c r="R16" s="38" t="str">
        <f>VLOOKUP(A16,'[2]16-07-26'!$A$2:$T$95,20,0)</f>
        <v>G n W Car ( 14 Inch ) 16     FF Sachet + Grass</v>
      </c>
      <c r="S16" s="38" t="str">
        <f>VLOOKUP(A16,'[2]23-07-26'!$A$2:$T$106,20,0)</f>
        <v>P n Y Spray Daisy ( 14 Inch ) 5     FF Sachet + Grass</v>
      </c>
      <c r="T16" s="38" t="s">
        <v>439</v>
      </c>
      <c r="U16" s="38">
        <v>16</v>
      </c>
      <c r="V16" s="38"/>
      <c r="W16" s="38"/>
      <c r="X16" s="38"/>
      <c r="Y16" s="38"/>
      <c r="Z16" s="38" t="s">
        <v>446</v>
      </c>
      <c r="AA16" s="38"/>
      <c r="AB16" s="38"/>
      <c r="AC16" s="38"/>
      <c r="AD16" s="38"/>
    </row>
    <row r="17" spans="1:30" ht="117.7" customHeight="1" x14ac:dyDescent="0.3">
      <c r="A17" s="1">
        <v>1998</v>
      </c>
      <c r="B17" s="15" t="s">
        <v>92</v>
      </c>
      <c r="C17" s="12">
        <v>9811053756</v>
      </c>
      <c r="D17" s="10" t="s">
        <v>93</v>
      </c>
      <c r="E17" s="10" t="s">
        <v>27</v>
      </c>
      <c r="F17" s="9" t="s">
        <v>17</v>
      </c>
      <c r="G17" s="11" t="s">
        <v>35</v>
      </c>
      <c r="H17" s="12">
        <v>1950</v>
      </c>
      <c r="I17" s="12">
        <v>487.5</v>
      </c>
      <c r="J17" s="10" t="s">
        <v>22</v>
      </c>
      <c r="K17" s="10" t="s">
        <v>94</v>
      </c>
      <c r="L17" s="10" t="s">
        <v>95</v>
      </c>
      <c r="M17" s="12"/>
      <c r="N17" s="13" t="s">
        <v>91</v>
      </c>
      <c r="O17" s="38" t="str">
        <f>VLOOKUP(A17,'[1]25-06-26'!$A$2:$T$86,20,0)</f>
        <v>P n W Spray Daisy 7     FF Sachet + Grass</v>
      </c>
      <c r="P17" s="38" t="str">
        <f>VLOOKUP(A17,'[2]02-07-26'!$A$2:$T$106,20,0)</f>
        <v>P Asiatic ( 14 Inch ) 4     Grass</v>
      </c>
      <c r="Q17" s="38" t="str">
        <f>VLOOKUP(A17,'[2]09-07-26'!$A$2:$T$89,20,0)</f>
        <v>Rajni ( 14 Inch ) 22     Grass</v>
      </c>
      <c r="R17" s="38" t="str">
        <f>VLOOKUP(A17,'[2]16-07-26'!$A$2:$T$95,20,0)</f>
        <v>G n W Car ( 14 Inch ) 22     FF Sachet + Grass</v>
      </c>
      <c r="S17" s="38" t="str">
        <f>VLOOKUP(A17,'[2]23-07-26'!$A$2:$T$106,20,0)</f>
        <v>Mix Glad ( 14 Inch ) 22     Grass</v>
      </c>
      <c r="T17" s="38" t="s">
        <v>439</v>
      </c>
      <c r="U17" s="38">
        <v>22</v>
      </c>
      <c r="V17" s="38"/>
      <c r="W17" s="38"/>
      <c r="X17" s="38"/>
      <c r="Y17" s="38"/>
      <c r="Z17" s="38" t="s">
        <v>446</v>
      </c>
      <c r="AA17" s="38"/>
      <c r="AB17" s="38"/>
      <c r="AC17" s="38"/>
      <c r="AD17" s="38"/>
    </row>
    <row r="18" spans="1:30" ht="117.7" customHeight="1" x14ac:dyDescent="0.3">
      <c r="A18" s="1">
        <v>3122</v>
      </c>
      <c r="B18" s="15" t="s">
        <v>96</v>
      </c>
      <c r="C18" s="12">
        <v>9650001674</v>
      </c>
      <c r="D18" s="10" t="s">
        <v>97</v>
      </c>
      <c r="E18" s="10" t="s">
        <v>98</v>
      </c>
      <c r="F18" s="10" t="s">
        <v>17</v>
      </c>
      <c r="G18" s="11" t="s">
        <v>18</v>
      </c>
      <c r="H18" s="12">
        <v>1450</v>
      </c>
      <c r="I18" s="12">
        <v>362.5</v>
      </c>
      <c r="J18" s="9" t="s">
        <v>19</v>
      </c>
      <c r="K18" s="10" t="s">
        <v>99</v>
      </c>
      <c r="L18" s="12"/>
      <c r="M18" s="12"/>
      <c r="N18" s="13" t="s">
        <v>47</v>
      </c>
      <c r="O18" s="38" t="str">
        <f>VLOOKUP(A18,'[1]25-06-26'!$A$2:$T$86,20,0)</f>
        <v>B Daisy ( 12 Inch ) 16     Grass</v>
      </c>
      <c r="P18" s="38" t="str">
        <f>VLOOKUP(A18,'[2]02-07-26'!$A$2:$T$106,20,0)</f>
        <v>P Asiatic ( 14 Inch ) 3     Grass</v>
      </c>
      <c r="Q18" s="38" t="str">
        <f>VLOOKUP(A18,'[2]09-07-26'!$A$2:$T$89,20,0)</f>
        <v>Rajni ( 14 Inch ) 16     Grass</v>
      </c>
      <c r="R18" s="38" t="str">
        <f>VLOOKUP(A18,'[2]16-07-26'!$A$2:$T$95,20,0)</f>
        <v>G n W Car ( 14 Inch ) 16     FF Sachet + Grass</v>
      </c>
      <c r="S18" s="38" t="str">
        <f>VLOOKUP(A18,'[2]23-07-26'!$A$2:$T$106,20,0)</f>
        <v>P n Y Spray Daisy ( 14 Inch ) 5     FF Sachet + Grass</v>
      </c>
      <c r="T18" s="38" t="s">
        <v>441</v>
      </c>
      <c r="U18" s="38">
        <v>16</v>
      </c>
      <c r="V18" s="38"/>
      <c r="W18" s="38"/>
      <c r="X18" s="38"/>
      <c r="Y18" s="38"/>
      <c r="Z18" s="38" t="s">
        <v>446</v>
      </c>
      <c r="AA18" s="38"/>
      <c r="AB18" s="38"/>
      <c r="AC18" s="38"/>
      <c r="AD18" s="38"/>
    </row>
    <row r="19" spans="1:30" ht="117.7" customHeight="1" x14ac:dyDescent="0.3">
      <c r="A19" s="1">
        <v>1978</v>
      </c>
      <c r="B19" s="15" t="s">
        <v>100</v>
      </c>
      <c r="C19" s="12" t="s">
        <v>101</v>
      </c>
      <c r="D19" s="10" t="s">
        <v>102</v>
      </c>
      <c r="E19" s="10" t="s">
        <v>16</v>
      </c>
      <c r="F19" s="10" t="s">
        <v>17</v>
      </c>
      <c r="G19" s="27" t="s">
        <v>44</v>
      </c>
      <c r="H19" s="12">
        <v>4850</v>
      </c>
      <c r="I19" s="12">
        <v>606.25</v>
      </c>
      <c r="J19" s="28" t="s">
        <v>103</v>
      </c>
      <c r="K19" s="10" t="s">
        <v>104</v>
      </c>
      <c r="L19" s="10" t="s">
        <v>105</v>
      </c>
      <c r="M19" s="10" t="s">
        <v>106</v>
      </c>
      <c r="N19" s="13" t="s">
        <v>430</v>
      </c>
      <c r="O19" s="38" t="str">
        <f>VLOOKUP(A19,'[1]25-06-26'!$A$2:$T$86,20,0)</f>
        <v>W Asiatic ( 14 Inch ) 2 P n Y Spray Daisy ( 14 Inch ) 4 Rajni ( 14 Inch ) 12 Grass</v>
      </c>
      <c r="P19" s="38" t="str">
        <f>VLOOKUP(A19,'[2]02-07-26'!$A$2:$T$106,20,0)</f>
        <v>O Asiatic ( 14 Inch ) 2 Sunflower ( 12 Inch ) 4 Pur n P Car ( 14 Inch ) 12 Grass</v>
      </c>
      <c r="Q19" s="38" t="str">
        <f>VLOOKUP(A19,'[2]09-07-26'!$A$2:$T$89,20,0)</f>
        <v>W Asiatic ( 14 Inch ) 2 Mix Alstroemeria ( 12 Inch ) 8 B Daisy 10 Grass</v>
      </c>
      <c r="R19" s="38" t="str">
        <f>VLOOKUP(A19,'[2]16-07-26'!$A$2:$T$95,20,0)</f>
        <v>P Asiatic ( 14 Inch ) 2 Sunflower 3 P n W  Car ( 14 Inch ) 12 Grass</v>
      </c>
      <c r="S19" s="38" t="str">
        <f>VLOOKUP(A19,'[2]23-07-26'!$A$2:$T$106,20,0)</f>
        <v>O Asiatic ( 14 Inch ) 2 P n Y Spray Daisy ( 14 Inch ) 4 Green n W  Car 12 Grass</v>
      </c>
      <c r="T19" s="38" t="s">
        <v>445</v>
      </c>
      <c r="U19" s="38">
        <v>2</v>
      </c>
      <c r="V19" s="38" t="s">
        <v>438</v>
      </c>
      <c r="W19" s="38">
        <v>3</v>
      </c>
      <c r="X19" s="38" t="s">
        <v>439</v>
      </c>
      <c r="Y19" s="38">
        <v>12</v>
      </c>
      <c r="Z19" s="38" t="s">
        <v>447</v>
      </c>
      <c r="AA19" s="38"/>
      <c r="AB19" s="38"/>
      <c r="AC19" s="38"/>
      <c r="AD19" s="38"/>
    </row>
    <row r="20" spans="1:30" ht="117.7" customHeight="1" x14ac:dyDescent="0.3">
      <c r="A20" s="9" t="s">
        <v>107</v>
      </c>
      <c r="B20" s="15" t="s">
        <v>108</v>
      </c>
      <c r="C20" s="12">
        <v>9999482660</v>
      </c>
      <c r="D20" s="10" t="s">
        <v>109</v>
      </c>
      <c r="E20" s="10" t="s">
        <v>89</v>
      </c>
      <c r="F20" s="10" t="s">
        <v>110</v>
      </c>
      <c r="G20" s="10" t="s">
        <v>111</v>
      </c>
      <c r="H20" s="12">
        <v>600</v>
      </c>
      <c r="I20" s="12">
        <v>600</v>
      </c>
      <c r="J20" s="10" t="s">
        <v>112</v>
      </c>
      <c r="K20" s="10" t="s">
        <v>113</v>
      </c>
      <c r="L20" s="12"/>
      <c r="M20" s="12"/>
      <c r="N20" s="13" t="s">
        <v>114</v>
      </c>
      <c r="O20" s="38" t="e">
        <f>VLOOKUP(A20,'[1]25-06-26'!$A$2:$T$86,20,0)</f>
        <v>#N/A</v>
      </c>
      <c r="P20" s="38" t="e">
        <f>VLOOKUP(A20,'[2]02-07-26'!$A$2:$T$106,20,0)</f>
        <v>#N/A</v>
      </c>
      <c r="Q20" s="38" t="e">
        <f>VLOOKUP(A20,'[2]09-07-26'!$A$2:$T$89,20,0)</f>
        <v>#N/A</v>
      </c>
      <c r="R20" s="38" t="e">
        <f>VLOOKUP(A20,'[2]16-07-26'!$A$2:$T$95,20,0)</f>
        <v>#N/A</v>
      </c>
      <c r="S20" s="38" t="e">
        <f>VLOOKUP(A20,'[2]23-07-26'!$A$2:$T$106,20,0)</f>
        <v>#N/A</v>
      </c>
      <c r="T20" s="38" t="s">
        <v>524</v>
      </c>
      <c r="U20" s="38">
        <v>15</v>
      </c>
      <c r="V20" s="38" t="s">
        <v>448</v>
      </c>
      <c r="W20" s="38" t="s">
        <v>449</v>
      </c>
      <c r="X20" s="38"/>
      <c r="Y20" s="38"/>
      <c r="Z20" s="38"/>
      <c r="AA20" s="38"/>
      <c r="AB20" s="38"/>
      <c r="AC20" s="38"/>
      <c r="AD20" s="38"/>
    </row>
    <row r="21" spans="1:30" ht="117.7" customHeight="1" x14ac:dyDescent="0.3">
      <c r="A21" s="1">
        <v>1656</v>
      </c>
      <c r="B21" s="15" t="s">
        <v>115</v>
      </c>
      <c r="C21" s="16">
        <v>9560609907</v>
      </c>
      <c r="D21" s="10" t="s">
        <v>116</v>
      </c>
      <c r="E21" s="10" t="s">
        <v>27</v>
      </c>
      <c r="F21" s="10" t="s">
        <v>17</v>
      </c>
      <c r="G21" s="10" t="s">
        <v>35</v>
      </c>
      <c r="H21" s="12">
        <v>1450</v>
      </c>
      <c r="I21" s="12">
        <v>362.5</v>
      </c>
      <c r="J21" s="9" t="s">
        <v>19</v>
      </c>
      <c r="K21" s="10" t="s">
        <v>117</v>
      </c>
      <c r="L21" s="12"/>
      <c r="M21" s="12"/>
      <c r="N21" s="13" t="s">
        <v>24</v>
      </c>
      <c r="O21" s="38" t="str">
        <f>VLOOKUP(A21,'[1]25-06-26'!$A$2:$T$86,20,0)</f>
        <v>Rajni ( 14 Inch ) 9     Grass</v>
      </c>
      <c r="P21" s="38" t="str">
        <f>VLOOKUP(A21,'[2]02-07-26'!$A$2:$T$106,20,0)</f>
        <v>O Asiatic ( 14 Inch ) 2     Grass</v>
      </c>
      <c r="Q21" s="38" t="e">
        <f>VLOOKUP(A21,'[2]09-07-26'!$A$2:$T$89,20,0)</f>
        <v>#N/A</v>
      </c>
      <c r="R21" s="38" t="str">
        <f>VLOOKUP(A21,'[2]16-07-26'!$A$2:$T$95,20,0)</f>
        <v>O Asiatic ( 14 Inch ) 3     Grass</v>
      </c>
      <c r="S21" s="38" t="str">
        <f>VLOOKUP(A21,'[2]23-07-26'!$A$2:$T$106,20,0)</f>
        <v>Mix Glad ( 14 Inch ) 16     Grass</v>
      </c>
      <c r="T21" s="38" t="s">
        <v>462</v>
      </c>
      <c r="U21" s="38">
        <v>5</v>
      </c>
      <c r="V21" s="38"/>
      <c r="W21" s="38"/>
      <c r="X21" s="38"/>
      <c r="Y21" s="38"/>
      <c r="Z21" s="38" t="s">
        <v>446</v>
      </c>
      <c r="AA21" s="38"/>
      <c r="AB21" s="38"/>
      <c r="AC21" s="38"/>
      <c r="AD21" s="38"/>
    </row>
    <row r="22" spans="1:30" ht="117.7" customHeight="1" x14ac:dyDescent="0.3">
      <c r="A22" s="1">
        <v>2481</v>
      </c>
      <c r="B22" s="14" t="s">
        <v>118</v>
      </c>
      <c r="C22" s="12">
        <v>9810110847</v>
      </c>
      <c r="D22" s="10" t="s">
        <v>119</v>
      </c>
      <c r="E22" s="10" t="s">
        <v>16</v>
      </c>
      <c r="F22" s="10" t="s">
        <v>110</v>
      </c>
      <c r="G22" s="11" t="s">
        <v>18</v>
      </c>
      <c r="H22" s="12">
        <v>2300</v>
      </c>
      <c r="I22" s="12">
        <v>287.5</v>
      </c>
      <c r="J22" s="10" t="s">
        <v>120</v>
      </c>
      <c r="K22" s="10" t="s">
        <v>121</v>
      </c>
      <c r="L22" s="12"/>
      <c r="M22" s="12"/>
      <c r="N22" s="13" t="s">
        <v>429</v>
      </c>
      <c r="O22" s="38" t="str">
        <f>VLOOKUP(A22,'[1]25-06-26'!$A$2:$T$86,20,0)</f>
        <v>P Asiatic ( 14 Inch ) 2     Grass</v>
      </c>
      <c r="P22" s="38" t="str">
        <f>VLOOKUP(A22,'[2]02-07-26'!$A$2:$T$106,20,0)</f>
        <v>Sunflower ( 12 Inch ) 3     FF Sachet + Grass</v>
      </c>
      <c r="Q22" s="38" t="str">
        <f>VLOOKUP(A22,'[2]09-07-26'!$A$2:$T$89,20,0)</f>
        <v>Rajni ( 14 Inch ) 11     Grass</v>
      </c>
      <c r="R22" s="38" t="str">
        <f>VLOOKUP(A22,'[2]16-07-26'!$A$2:$T$95,20,0)</f>
        <v>O Asiatic ( 14 Inch ) 2     Grass</v>
      </c>
      <c r="S22" s="38" t="e">
        <f>VLOOKUP(A22,'[2]23-07-26'!$A$2:$T$106,20,0)</f>
        <v>#N/A</v>
      </c>
      <c r="T22" s="38" t="s">
        <v>440</v>
      </c>
      <c r="U22" s="38">
        <v>11</v>
      </c>
      <c r="V22" s="38"/>
      <c r="W22" s="38"/>
      <c r="X22" s="38"/>
      <c r="Y22" s="38"/>
      <c r="Z22" s="38" t="s">
        <v>446</v>
      </c>
      <c r="AA22" s="38"/>
      <c r="AB22" s="38"/>
      <c r="AC22" s="38"/>
      <c r="AD22" s="38"/>
    </row>
    <row r="23" spans="1:30" ht="117.7" customHeight="1" x14ac:dyDescent="0.3">
      <c r="A23" s="1">
        <v>2779</v>
      </c>
      <c r="B23" s="15" t="s">
        <v>122</v>
      </c>
      <c r="C23" s="12">
        <v>8130497969</v>
      </c>
      <c r="D23" s="10" t="s">
        <v>123</v>
      </c>
      <c r="E23" s="10" t="s">
        <v>89</v>
      </c>
      <c r="F23" s="10" t="s">
        <v>110</v>
      </c>
      <c r="G23" s="10" t="s">
        <v>40</v>
      </c>
      <c r="H23" s="12">
        <v>1600</v>
      </c>
      <c r="I23" s="12">
        <v>200</v>
      </c>
      <c r="J23" s="9" t="s">
        <v>45</v>
      </c>
      <c r="K23" s="10" t="s">
        <v>124</v>
      </c>
      <c r="L23" s="12"/>
      <c r="M23" s="12"/>
      <c r="N23" s="13" t="s">
        <v>430</v>
      </c>
      <c r="O23" s="38" t="str">
        <f>VLOOKUP(A23,'[1]25-06-26'!$A$2:$T$86,20,0)</f>
        <v>Rajni ( 14 Inch ) 7     Grass</v>
      </c>
      <c r="P23" s="38" t="str">
        <f>VLOOKUP(A23,'[2]02-07-26'!$A$2:$T$106,20,0)</f>
        <v>Pur n P Car ( 14 Inch ) 7     FF Sachet + Grass</v>
      </c>
      <c r="Q23" s="38" t="str">
        <f>VLOOKUP(A23,'[2]09-07-26'!$A$2:$T$89,20,0)</f>
        <v>P Spray Daisy ( 14 Inch ) 2     FF Sachet + Grass</v>
      </c>
      <c r="R23" s="38" t="str">
        <f>VLOOKUP(A23,'[2]16-07-26'!$A$2:$T$95,20,0)</f>
        <v>P n W Glad ( 14 Inch ) 7     Grass</v>
      </c>
      <c r="S23" s="38" t="str">
        <f>VLOOKUP(A23,'[2]23-07-26'!$A$2:$T$106,20,0)</f>
        <v>Rajni ( 14 Inch ) 7     Grass</v>
      </c>
      <c r="T23" s="38" t="s">
        <v>439</v>
      </c>
      <c r="U23" s="38">
        <v>7</v>
      </c>
      <c r="V23" s="38"/>
      <c r="W23" s="38"/>
      <c r="X23" s="38"/>
      <c r="Y23" s="38"/>
      <c r="Z23" s="38" t="s">
        <v>446</v>
      </c>
      <c r="AA23" s="38"/>
      <c r="AB23" s="38"/>
      <c r="AC23" s="38"/>
      <c r="AD23" s="38"/>
    </row>
    <row r="24" spans="1:30" ht="117.7" customHeight="1" x14ac:dyDescent="0.3">
      <c r="A24" s="1">
        <v>1982</v>
      </c>
      <c r="B24" s="15" t="s">
        <v>125</v>
      </c>
      <c r="C24" s="29">
        <v>8860046280</v>
      </c>
      <c r="D24" s="10" t="s">
        <v>126</v>
      </c>
      <c r="E24" s="10" t="s">
        <v>27</v>
      </c>
      <c r="F24" s="10" t="s">
        <v>17</v>
      </c>
      <c r="G24" s="11" t="s">
        <v>18</v>
      </c>
      <c r="H24" s="12">
        <v>1450</v>
      </c>
      <c r="I24" s="12">
        <v>362.5</v>
      </c>
      <c r="J24" s="9" t="s">
        <v>19</v>
      </c>
      <c r="K24" s="10" t="s">
        <v>127</v>
      </c>
      <c r="L24" s="10" t="s">
        <v>128</v>
      </c>
      <c r="M24" s="12"/>
      <c r="N24" s="13" t="s">
        <v>47</v>
      </c>
      <c r="O24" s="38" t="e">
        <f>VLOOKUP(A24,'[1]25-06-26'!$A$2:$T$86,20,0)</f>
        <v>#N/A</v>
      </c>
      <c r="P24" s="38" t="e">
        <f>VLOOKUP(A24,'[2]02-07-26'!$A$2:$T$106,20,0)</f>
        <v>#N/A</v>
      </c>
      <c r="Q24" s="38" t="e">
        <f>VLOOKUP(A24,'[2]09-07-26'!$A$2:$T$89,20,0)</f>
        <v>#N/A</v>
      </c>
      <c r="R24" s="38" t="str">
        <f>VLOOKUP(A24,'[2]16-07-26'!$A$2:$T$95,20,0)</f>
        <v>G n W Car ( 14 Inch ) 16     FF Sachet + Grass</v>
      </c>
      <c r="S24" s="38" t="str">
        <f>VLOOKUP(A24,'[2]23-07-26'!$A$2:$T$106,20,0)</f>
        <v>O Asiatic ( 14 Inch ) 3     Grass</v>
      </c>
      <c r="T24" s="38" t="s">
        <v>441</v>
      </c>
      <c r="U24" s="38">
        <v>16</v>
      </c>
      <c r="V24" s="38"/>
      <c r="W24" s="38"/>
      <c r="X24" s="38"/>
      <c r="Y24" s="38"/>
      <c r="Z24" s="38" t="s">
        <v>446</v>
      </c>
      <c r="AA24" s="38"/>
      <c r="AB24" s="38"/>
      <c r="AC24" s="38"/>
      <c r="AD24" s="38"/>
    </row>
    <row r="25" spans="1:30" ht="117.7" customHeight="1" x14ac:dyDescent="0.3">
      <c r="A25" s="1">
        <v>3410</v>
      </c>
      <c r="B25" s="15" t="s">
        <v>129</v>
      </c>
      <c r="C25" s="12">
        <v>9870128711</v>
      </c>
      <c r="D25" s="10" t="s">
        <v>130</v>
      </c>
      <c r="E25" s="10" t="s">
        <v>131</v>
      </c>
      <c r="F25" s="10" t="s">
        <v>17</v>
      </c>
      <c r="G25" s="18" t="s">
        <v>132</v>
      </c>
      <c r="H25" s="12">
        <v>1450</v>
      </c>
      <c r="I25" s="12">
        <v>362.5</v>
      </c>
      <c r="J25" s="10" t="s">
        <v>19</v>
      </c>
      <c r="K25" s="12"/>
      <c r="L25" s="12"/>
      <c r="M25" s="12"/>
      <c r="N25" s="13" t="s">
        <v>47</v>
      </c>
      <c r="O25" s="38" t="e">
        <f>VLOOKUP(A25,'[1]25-06-26'!$A$2:$T$86,20,0)</f>
        <v>#N/A</v>
      </c>
      <c r="P25" s="38" t="e">
        <f>VLOOKUP(A25,'[2]02-07-26'!$A$2:$T$106,20,0)</f>
        <v>#N/A</v>
      </c>
      <c r="Q25" s="38" t="e">
        <f>VLOOKUP(A25,'[2]09-07-26'!$A$2:$T$89,20,0)</f>
        <v>#N/A</v>
      </c>
      <c r="R25" s="38" t="str">
        <f>VLOOKUP(A25,'[2]16-07-26'!$A$2:$T$95,20,0)</f>
        <v>G n W Car ( 14 Inch ) 16     FF Sachet + Grass</v>
      </c>
      <c r="S25" s="38" t="str">
        <f>VLOOKUP(A25,'[2]23-07-26'!$A$2:$T$106,20,0)</f>
        <v>Y Asiatic ( 14 inch ) 3     Grass</v>
      </c>
      <c r="T25" s="38" t="s">
        <v>441</v>
      </c>
      <c r="U25" s="38">
        <v>16</v>
      </c>
      <c r="V25" s="38"/>
      <c r="W25" s="38"/>
      <c r="X25" s="38"/>
      <c r="Y25" s="38"/>
      <c r="Z25" s="38" t="s">
        <v>446</v>
      </c>
      <c r="AA25" s="38"/>
      <c r="AB25" s="38"/>
      <c r="AC25" s="38"/>
      <c r="AD25" s="38"/>
    </row>
    <row r="26" spans="1:30" ht="117.7" customHeight="1" x14ac:dyDescent="0.3">
      <c r="A26" s="1">
        <v>3247</v>
      </c>
      <c r="B26" s="15" t="s">
        <v>133</v>
      </c>
      <c r="C26" s="12">
        <v>9717986555</v>
      </c>
      <c r="D26" s="10" t="s">
        <v>134</v>
      </c>
      <c r="E26" s="10" t="s">
        <v>135</v>
      </c>
      <c r="F26" s="10" t="s">
        <v>17</v>
      </c>
      <c r="G26" s="27" t="s">
        <v>44</v>
      </c>
      <c r="H26" s="12">
        <v>1450</v>
      </c>
      <c r="I26" s="12">
        <v>362.5</v>
      </c>
      <c r="J26" s="10" t="s">
        <v>19</v>
      </c>
      <c r="K26" s="10" t="s">
        <v>136</v>
      </c>
      <c r="L26" s="12"/>
      <c r="M26" s="12"/>
      <c r="N26" s="13" t="s">
        <v>137</v>
      </c>
      <c r="O26" s="38" t="str">
        <f>VLOOKUP(A26,'[1]25-06-26'!$A$2:$T$86,20,0)</f>
        <v>Pur Eustoma ( 12 Inch ) 3     FF Sachet + Grass</v>
      </c>
      <c r="P26" s="38" t="str">
        <f>VLOOKUP(A26,'[2]02-07-26'!$A$2:$T$106,20,0)</f>
        <v>O Asiatic ( 14 Inch ) 3     Grass</v>
      </c>
      <c r="Q26" s="38" t="str">
        <f>VLOOKUP(A26,'[2]09-07-26'!$A$2:$T$89,20,0)</f>
        <v>Rajni ( 14 Inch ) 16     Grass</v>
      </c>
      <c r="R26" s="38" t="str">
        <f>VLOOKUP(A26,'[2]16-07-26'!$A$2:$T$95,20,0)</f>
        <v>G n W Car ( 14 Inch ) 16     FF Sachet + Grass</v>
      </c>
      <c r="S26" s="38" t="str">
        <f>VLOOKUP(A26,'[2]23-07-26'!$A$2:$T$106,20,0)</f>
        <v>P n Y Spray Daisy ( 14 Inch ) 5     FF Sachet + Grass</v>
      </c>
      <c r="T26" s="38" t="s">
        <v>439</v>
      </c>
      <c r="U26" s="38">
        <v>16</v>
      </c>
      <c r="V26" s="38"/>
      <c r="W26" s="38"/>
      <c r="X26" s="38"/>
      <c r="Y26" s="38"/>
      <c r="Z26" s="38" t="s">
        <v>446</v>
      </c>
      <c r="AA26" s="38"/>
      <c r="AB26" s="38"/>
      <c r="AC26" s="38"/>
      <c r="AD26" s="38"/>
    </row>
    <row r="27" spans="1:30" ht="117.7" customHeight="1" x14ac:dyDescent="0.3">
      <c r="A27" s="9" t="s">
        <v>138</v>
      </c>
      <c r="B27" s="15" t="s">
        <v>139</v>
      </c>
      <c r="C27" s="12">
        <v>8581860035</v>
      </c>
      <c r="D27" s="10" t="s">
        <v>140</v>
      </c>
      <c r="E27" s="10" t="s">
        <v>141</v>
      </c>
      <c r="F27" s="10" t="s">
        <v>17</v>
      </c>
      <c r="G27" s="27" t="s">
        <v>142</v>
      </c>
      <c r="H27" s="12">
        <v>1450</v>
      </c>
      <c r="I27" s="12">
        <v>362.5</v>
      </c>
      <c r="J27" s="9" t="s">
        <v>19</v>
      </c>
      <c r="K27" s="10" t="s">
        <v>143</v>
      </c>
      <c r="L27" s="12"/>
      <c r="M27" s="12"/>
      <c r="N27" s="13" t="s">
        <v>47</v>
      </c>
      <c r="O27" s="38" t="e">
        <f>VLOOKUP(A27,'[1]25-06-26'!$A$2:$T$86,20,0)</f>
        <v>#N/A</v>
      </c>
      <c r="P27" s="38" t="e">
        <f>VLOOKUP(A27,'[2]02-07-26'!$A$2:$T$106,20,0)</f>
        <v>#N/A</v>
      </c>
      <c r="Q27" s="38" t="e">
        <f>VLOOKUP(A27,'[2]09-07-26'!$A$2:$T$89,20,0)</f>
        <v>#N/A</v>
      </c>
      <c r="R27" s="38" t="str">
        <f>VLOOKUP(A27,'[2]16-07-26'!$A$2:$T$95,20,0)</f>
        <v>G n W Car ( 14 Inch ) 16     FF Sachet + Grass</v>
      </c>
      <c r="S27" s="38" t="str">
        <f>VLOOKUP(A27,'[2]23-07-26'!$A$2:$T$106,20,0)</f>
        <v>O Asiatic ( 14 Inch ) 3     Grass</v>
      </c>
      <c r="T27" s="38" t="s">
        <v>441</v>
      </c>
      <c r="U27" s="38">
        <v>16</v>
      </c>
      <c r="V27" s="38"/>
      <c r="W27" s="38"/>
      <c r="X27" s="38"/>
      <c r="Y27" s="38"/>
      <c r="Z27" s="38" t="s">
        <v>446</v>
      </c>
      <c r="AA27" s="38"/>
      <c r="AB27" s="38"/>
      <c r="AC27" s="38"/>
      <c r="AD27" s="38"/>
    </row>
    <row r="28" spans="1:30" ht="117.7" customHeight="1" x14ac:dyDescent="0.3">
      <c r="A28" s="1">
        <v>826</v>
      </c>
      <c r="B28" s="15" t="s">
        <v>144</v>
      </c>
      <c r="C28" s="26">
        <v>9811201606</v>
      </c>
      <c r="D28" s="9" t="s">
        <v>145</v>
      </c>
      <c r="E28" s="9" t="s">
        <v>27</v>
      </c>
      <c r="F28" s="9" t="s">
        <v>17</v>
      </c>
      <c r="G28" s="11" t="s">
        <v>40</v>
      </c>
      <c r="H28" s="12">
        <v>1450</v>
      </c>
      <c r="I28" s="12">
        <v>362.5</v>
      </c>
      <c r="J28" s="10" t="s">
        <v>19</v>
      </c>
      <c r="K28" s="9" t="s">
        <v>146</v>
      </c>
      <c r="L28" s="12"/>
      <c r="M28" s="12"/>
      <c r="N28" s="13" t="s">
        <v>47</v>
      </c>
      <c r="O28" s="38" t="str">
        <f>VLOOKUP(A28,'[1]25-06-26'!$A$2:$T$86,20,0)</f>
        <v>B Daisy ( 12 Inch ) 9     Grass</v>
      </c>
      <c r="P28" s="38" t="str">
        <f>VLOOKUP(A28,'[2]02-07-26'!$A$2:$T$106,20,0)</f>
        <v>P n W Car ( 14 Inch ) 9     FF Sachet + Grass</v>
      </c>
      <c r="Q28" s="38" t="str">
        <f>VLOOKUP(A28,'[2]09-07-26'!$A$2:$T$89,20,0)</f>
        <v>Rajni ( 14 Inch ) 9     Grass</v>
      </c>
      <c r="R28" s="38" t="str">
        <f>VLOOKUP(A28,'[2]16-07-26'!$A$2:$T$95,20,0)</f>
        <v>P n Y Spray Daisy ( 14 Inch ) 5     FF Sachet + Grass</v>
      </c>
      <c r="S28" s="38" t="str">
        <f>VLOOKUP(A28,'[2]23-07-26'!$A$2:$T$106,20,0)</f>
        <v>Mix Glad ( 14 Inch ) 16     Grass</v>
      </c>
      <c r="T28" s="38" t="s">
        <v>461</v>
      </c>
      <c r="U28" s="38">
        <v>3</v>
      </c>
      <c r="V28" s="38"/>
      <c r="W28" s="38"/>
      <c r="X28" s="38"/>
      <c r="Y28" s="38"/>
      <c r="Z28" s="38" t="s">
        <v>447</v>
      </c>
      <c r="AA28" s="38"/>
      <c r="AB28" s="38"/>
      <c r="AC28" s="38"/>
      <c r="AD28" s="38"/>
    </row>
    <row r="29" spans="1:30" ht="117.7" customHeight="1" x14ac:dyDescent="0.3">
      <c r="A29" s="1">
        <v>221</v>
      </c>
      <c r="B29" s="15" t="s">
        <v>147</v>
      </c>
      <c r="C29" s="1">
        <v>9810524040</v>
      </c>
      <c r="D29" s="1" t="s">
        <v>148</v>
      </c>
      <c r="E29" s="1" t="s">
        <v>89</v>
      </c>
      <c r="F29" s="9" t="s">
        <v>17</v>
      </c>
      <c r="G29" s="11" t="s">
        <v>18</v>
      </c>
      <c r="H29" s="12">
        <v>2750</v>
      </c>
      <c r="I29" s="12">
        <v>687.5</v>
      </c>
      <c r="J29" s="30" t="s">
        <v>149</v>
      </c>
      <c r="K29" s="9" t="s">
        <v>150</v>
      </c>
      <c r="L29" s="12"/>
      <c r="M29" s="12"/>
      <c r="N29" s="13" t="s">
        <v>151</v>
      </c>
      <c r="O29" s="38" t="e">
        <f>VLOOKUP(A29,'[1]25-06-26'!$A$2:$T$86,20,0)</f>
        <v>#N/A</v>
      </c>
      <c r="P29" s="38" t="str">
        <f>VLOOKUP(A29,'[2]02-07-26'!$A$2:$T$106,20,0)</f>
        <v xml:space="preserve">P Asiatic ( 14 Inch ) 6     </v>
      </c>
      <c r="Q29" s="38" t="str">
        <f>VLOOKUP(A29,'[2]09-07-26'!$A$2:$T$89,20,0)</f>
        <v>R n W Car ( 14 Inch ) 32     2 Limonium + FF Sachet</v>
      </c>
      <c r="R29" s="38" t="str">
        <f>VLOOKUP(A29,'[2]16-07-26'!$A$2:$T$95,20,0)</f>
        <v>P n Y Spray Daisy ( 14 Inch ) 10     2 Gypsola + FF Sachet</v>
      </c>
      <c r="S29" s="38" t="str">
        <f>VLOOKUP(A29,'[2]23-07-26'!$A$2:$T$106,20,0)</f>
        <v>O Asiatic ( 14 Inch ) 6     2 Limonium</v>
      </c>
      <c r="T29" s="38" t="s">
        <v>439</v>
      </c>
      <c r="U29" s="38">
        <v>32</v>
      </c>
      <c r="V29" s="38"/>
      <c r="W29" s="38"/>
      <c r="X29" s="38"/>
      <c r="Y29" s="38"/>
      <c r="Z29" s="38" t="s">
        <v>472</v>
      </c>
      <c r="AA29" s="38"/>
      <c r="AB29" s="38"/>
      <c r="AC29" s="38"/>
      <c r="AD29" s="38"/>
    </row>
    <row r="30" spans="1:30" ht="117.7" customHeight="1" x14ac:dyDescent="0.3">
      <c r="A30" s="9">
        <v>3071</v>
      </c>
      <c r="B30" s="15" t="s">
        <v>152</v>
      </c>
      <c r="C30" s="12">
        <v>8390310325</v>
      </c>
      <c r="D30" s="10" t="s">
        <v>153</v>
      </c>
      <c r="E30" s="10" t="s">
        <v>27</v>
      </c>
      <c r="F30" s="10" t="s">
        <v>17</v>
      </c>
      <c r="G30" s="11" t="s">
        <v>18</v>
      </c>
      <c r="H30" s="12">
        <v>1450</v>
      </c>
      <c r="I30" s="12">
        <v>362.5</v>
      </c>
      <c r="J30" s="10" t="s">
        <v>19</v>
      </c>
      <c r="K30" s="10" t="s">
        <v>154</v>
      </c>
      <c r="L30" s="12"/>
      <c r="M30" s="12"/>
      <c r="N30" s="13" t="s">
        <v>47</v>
      </c>
      <c r="O30" s="38" t="e">
        <f>VLOOKUP(A30,'[1]25-06-26'!$A$2:$T$86,20,0)</f>
        <v>#N/A</v>
      </c>
      <c r="P30" s="38" t="str">
        <f>VLOOKUP(A30,'[2]02-07-26'!$A$2:$T$106,20,0)</f>
        <v>P Asiatic ( 14 Inch ) 2 Rajni ( 14 Inch ) 7  Collect Payment Grass</v>
      </c>
      <c r="Q30" s="38" t="str">
        <f>VLOOKUP(A30,'[2]09-07-26'!$A$2:$T$89,20,0)</f>
        <v>P Spray Daisy ( 14 Inch ) 3 P n W Car ( 14 Inch ) 7   FF Sachet + Grass</v>
      </c>
      <c r="R30" s="38" t="str">
        <f>VLOOKUP(A30,'[2]16-07-26'!$A$2:$T$95,20,0)</f>
        <v>Sunflower ( 12 Inch ) 2 Mix Alstroemeria ( 12 Inch ) 7   FF Sachet + Grass</v>
      </c>
      <c r="S30" s="38" t="str">
        <f>VLOOKUP(A30,'[2]23-07-26'!$A$2:$T$106,20,0)</f>
        <v>Pur Eustoma ( 12 Inch ) 2 Mix Glad ( 14 Inch ) 7   FF Sachet + Grass</v>
      </c>
      <c r="T30" s="38" t="s">
        <v>445</v>
      </c>
      <c r="U30" s="38">
        <v>2</v>
      </c>
      <c r="V30" s="38" t="s">
        <v>463</v>
      </c>
      <c r="W30" s="38">
        <v>7</v>
      </c>
      <c r="X30" s="38"/>
      <c r="Y30" s="38"/>
      <c r="Z30" s="38" t="s">
        <v>447</v>
      </c>
      <c r="AA30" s="38"/>
      <c r="AB30" s="38"/>
      <c r="AC30" s="38"/>
      <c r="AD30" s="38"/>
    </row>
    <row r="31" spans="1:30" ht="117.7" customHeight="1" x14ac:dyDescent="0.3">
      <c r="A31" s="9">
        <v>2666</v>
      </c>
      <c r="B31" s="15" t="s">
        <v>155</v>
      </c>
      <c r="C31" s="16">
        <v>9971518253</v>
      </c>
      <c r="D31" s="10" t="s">
        <v>156</v>
      </c>
      <c r="E31" s="10" t="s">
        <v>34</v>
      </c>
      <c r="F31" s="10" t="s">
        <v>17</v>
      </c>
      <c r="G31" s="10" t="s">
        <v>132</v>
      </c>
      <c r="H31" s="12">
        <v>1450</v>
      </c>
      <c r="I31" s="12">
        <v>362.5</v>
      </c>
      <c r="J31" s="10" t="s">
        <v>19</v>
      </c>
      <c r="K31" s="10" t="s">
        <v>157</v>
      </c>
      <c r="L31" s="12"/>
      <c r="M31" s="12"/>
      <c r="N31" s="13" t="s">
        <v>47</v>
      </c>
      <c r="O31" s="38" t="str">
        <f>VLOOKUP(A31,'[1]25-06-26'!$A$2:$T$86,20,0)</f>
        <v>Pur Eustoma ( 12 Inch ) 3     FF Sachet + Grass</v>
      </c>
      <c r="P31" s="38" t="str">
        <f>VLOOKUP(A31,'[2]02-07-26'!$A$2:$T$106,20,0)</f>
        <v>P Asiatic ( 14 Inch ) 3     Grass</v>
      </c>
      <c r="Q31" s="38" t="str">
        <f>VLOOKUP(A31,'[2]09-07-26'!$A$2:$T$89,20,0)</f>
        <v>Rajni ( 14 Inch ) 16     Grass</v>
      </c>
      <c r="R31" s="38" t="str">
        <f>VLOOKUP(A31,'[2]16-07-26'!$A$2:$T$95,20,0)</f>
        <v>G n W Car ( 14 Inch ) 16     FF Sachet + Grass</v>
      </c>
      <c r="S31" s="38" t="str">
        <f>VLOOKUP(A31,'[2]23-07-26'!$A$2:$T$106,20,0)</f>
        <v>P n Y Spray Daisy ( 14 Inch ) 5     FF Sachet + Grass</v>
      </c>
      <c r="T31" s="38" t="s">
        <v>441</v>
      </c>
      <c r="U31" s="38">
        <v>16</v>
      </c>
      <c r="V31" s="38"/>
      <c r="W31" s="38"/>
      <c r="X31" s="38"/>
      <c r="Y31" s="38"/>
      <c r="Z31" s="38" t="s">
        <v>446</v>
      </c>
      <c r="AA31" s="38"/>
      <c r="AB31" s="38"/>
      <c r="AC31" s="38"/>
      <c r="AD31" s="38"/>
    </row>
    <row r="32" spans="1:30" ht="117.7" customHeight="1" x14ac:dyDescent="0.3">
      <c r="A32" s="1">
        <v>2761</v>
      </c>
      <c r="B32" s="15" t="s">
        <v>158</v>
      </c>
      <c r="C32" s="12">
        <v>9560719191</v>
      </c>
      <c r="D32" s="10" t="s">
        <v>159</v>
      </c>
      <c r="E32" s="10" t="s">
        <v>135</v>
      </c>
      <c r="F32" s="9" t="s">
        <v>17</v>
      </c>
      <c r="G32" s="11" t="s">
        <v>132</v>
      </c>
      <c r="H32" s="12">
        <v>1450</v>
      </c>
      <c r="I32" s="12">
        <v>362.5</v>
      </c>
      <c r="J32" s="10" t="s">
        <v>19</v>
      </c>
      <c r="K32" s="10" t="s">
        <v>160</v>
      </c>
      <c r="L32" s="10" t="s">
        <v>161</v>
      </c>
      <c r="M32" s="12"/>
      <c r="N32" s="13" t="s">
        <v>435</v>
      </c>
      <c r="O32" s="38" t="str">
        <f>VLOOKUP(A32,'[1]25-06-26'!$A$2:$T$86,20,0)</f>
        <v>Pur Eustoma ( 12 Inch ) 2 Rajni ( 14 Inch ) 7   FF Sachet + Grass</v>
      </c>
      <c r="P32" s="38" t="str">
        <f>VLOOKUP(A32,'[2]02-07-26'!$A$2:$T$106,20,0)</f>
        <v>Spray Daisy 3 B Daisy ( 12 Inch ) 7   FF Sachet + Grass</v>
      </c>
      <c r="Q32" s="38" t="str">
        <f>VLOOKUP(A32,'[2]09-07-26'!$A$2:$T$89,20,0)</f>
        <v>O Asiatic ( ( 14 inch ) 2 Mix Car 7   Grass</v>
      </c>
      <c r="R32" s="38" t="str">
        <f>VLOOKUP(A32,'[2]16-07-26'!$A$2:$T$95,20,0)</f>
        <v>P Spray Daisy ( 14 Inch ) 3 P n W Glad ( 14 Inch ) 7   FF Sachet + Grass</v>
      </c>
      <c r="S32" s="38" t="str">
        <f>VLOOKUP(A32,'[2]23-07-26'!$A$2:$T$106,20,0)</f>
        <v>Y Spray Daisy ( 14 Inch ) 3 Mix Alstroemeria ( 12 Inch ) 7 Ensure Collection Ensure Collection FF Sachet + Grass</v>
      </c>
      <c r="T32" s="38" t="s">
        <v>464</v>
      </c>
      <c r="U32" s="38">
        <v>2</v>
      </c>
      <c r="V32" s="38" t="s">
        <v>465</v>
      </c>
      <c r="W32" s="38">
        <v>7</v>
      </c>
      <c r="X32" s="38"/>
      <c r="Y32" s="38"/>
      <c r="Z32" s="38" t="s">
        <v>446</v>
      </c>
      <c r="AA32" s="38"/>
      <c r="AB32" s="38"/>
      <c r="AC32" s="38"/>
      <c r="AD32" s="38"/>
    </row>
    <row r="33" spans="1:30" ht="117.7" customHeight="1" x14ac:dyDescent="0.3">
      <c r="A33" s="1">
        <v>949</v>
      </c>
      <c r="B33" s="15" t="s">
        <v>162</v>
      </c>
      <c r="C33" s="12">
        <v>9891350735</v>
      </c>
      <c r="D33" s="10" t="s">
        <v>163</v>
      </c>
      <c r="E33" s="10" t="s">
        <v>27</v>
      </c>
      <c r="F33" s="10" t="s">
        <v>17</v>
      </c>
      <c r="G33" s="10" t="s">
        <v>28</v>
      </c>
      <c r="H33" s="12">
        <v>1450</v>
      </c>
      <c r="I33" s="12">
        <v>362.5</v>
      </c>
      <c r="J33" s="10" t="s">
        <v>19</v>
      </c>
      <c r="K33" s="9" t="s">
        <v>164</v>
      </c>
      <c r="L33" s="12"/>
      <c r="M33" s="12"/>
      <c r="N33" s="13" t="s">
        <v>47</v>
      </c>
      <c r="O33" s="38" t="str">
        <f>VLOOKUP(A33,'[1]25-06-26'!$A$2:$T$86,20,0)</f>
        <v>Pur Eustoma ( 12 Inch ) 3     FF Sachet + Grass</v>
      </c>
      <c r="P33" s="38" t="str">
        <f>VLOOKUP(A33,'[2]02-07-26'!$A$2:$T$106,20,0)</f>
        <v>P n W Glad ( 14 Inch ) 16     Grass</v>
      </c>
      <c r="Q33" s="38" t="str">
        <f>VLOOKUP(A33,'[2]09-07-26'!$A$2:$T$89,20,0)</f>
        <v>Sunflower ( 12 Inch ) 4     FF Sachet + Grass</v>
      </c>
      <c r="R33" s="38" t="str">
        <f>VLOOKUP(A33,'[2]16-07-26'!$A$2:$T$95,20,0)</f>
        <v>O Asiatic ( 14 Inch ) 3     Grass</v>
      </c>
      <c r="S33" s="38" t="str">
        <f>VLOOKUP(A33,'[2]23-07-26'!$A$2:$T$106,20,0)</f>
        <v>G n W Car ( 14 inch ) 16     FF Sachet + Grass</v>
      </c>
      <c r="T33" s="38" t="s">
        <v>462</v>
      </c>
      <c r="U33" s="38">
        <v>5</v>
      </c>
      <c r="V33" s="38"/>
      <c r="W33" s="38"/>
      <c r="X33" s="38"/>
      <c r="Y33" s="38"/>
      <c r="Z33" s="38" t="s">
        <v>446</v>
      </c>
      <c r="AA33" s="38"/>
      <c r="AB33" s="38"/>
      <c r="AC33" s="38"/>
      <c r="AD33" s="38"/>
    </row>
    <row r="34" spans="1:30" ht="117.7" customHeight="1" x14ac:dyDescent="0.3">
      <c r="A34" s="1">
        <v>14</v>
      </c>
      <c r="B34" s="15" t="s">
        <v>165</v>
      </c>
      <c r="C34" s="15">
        <v>9810546046</v>
      </c>
      <c r="D34" s="10" t="s">
        <v>166</v>
      </c>
      <c r="E34" s="10" t="s">
        <v>34</v>
      </c>
      <c r="F34" s="9" t="s">
        <v>17</v>
      </c>
      <c r="G34" s="11" t="s">
        <v>18</v>
      </c>
      <c r="H34" s="12">
        <v>1950</v>
      </c>
      <c r="I34" s="12">
        <v>487.5</v>
      </c>
      <c r="J34" s="10" t="s">
        <v>22</v>
      </c>
      <c r="K34" s="9" t="s">
        <v>167</v>
      </c>
      <c r="L34" s="10" t="s">
        <v>168</v>
      </c>
      <c r="M34" s="12"/>
      <c r="N34" s="13" t="s">
        <v>47</v>
      </c>
      <c r="O34" s="38" t="str">
        <f>VLOOKUP(A34,'[1]25-06-26'!$A$2:$T$86,20,0)</f>
        <v>Pur n P Eustoma ( 12 Inch ) 4     FF Sachet + Grass</v>
      </c>
      <c r="P34" s="38" t="str">
        <f>VLOOKUP(A34,'[2]02-07-26'!$A$2:$T$106,20,0)</f>
        <v>Sunflower ( 12 Inch ) 5     FF Sachet + Grass</v>
      </c>
      <c r="Q34" s="38" t="str">
        <f>VLOOKUP(A34,'[2]09-07-26'!$A$2:$T$89,20,0)</f>
        <v>Rajni ( 14 Inch ) 22     Grass</v>
      </c>
      <c r="R34" s="38" t="str">
        <f>VLOOKUP(A34,'[2]16-07-26'!$A$2:$T$95,20,0)</f>
        <v>G n W Car ( 14 Inch ) 22     FF Sachet + Grass</v>
      </c>
      <c r="S34" s="38" t="str">
        <f>VLOOKUP(A34,'[2]23-07-26'!$A$2:$T$106,20,0)</f>
        <v>W Asiatic 4     Grass</v>
      </c>
      <c r="T34" s="38" t="s">
        <v>462</v>
      </c>
      <c r="U34" s="38">
        <v>7</v>
      </c>
      <c r="V34" s="38"/>
      <c r="W34" s="38"/>
      <c r="X34" s="38"/>
      <c r="Y34" s="38"/>
      <c r="Z34" s="38" t="s">
        <v>446</v>
      </c>
      <c r="AA34" s="38"/>
      <c r="AB34" s="38"/>
      <c r="AC34" s="38"/>
      <c r="AD34" s="38"/>
    </row>
    <row r="35" spans="1:30" ht="117.7" customHeight="1" x14ac:dyDescent="0.3">
      <c r="A35" s="1">
        <v>2024</v>
      </c>
      <c r="B35" s="15" t="s">
        <v>169</v>
      </c>
      <c r="C35" s="12">
        <v>9958565556</v>
      </c>
      <c r="D35" s="10" t="s">
        <v>170</v>
      </c>
      <c r="E35" s="10" t="s">
        <v>27</v>
      </c>
      <c r="F35" s="10" t="s">
        <v>17</v>
      </c>
      <c r="G35" s="11" t="s">
        <v>18</v>
      </c>
      <c r="H35" s="12">
        <v>1950</v>
      </c>
      <c r="I35" s="12">
        <v>487.5</v>
      </c>
      <c r="J35" s="10" t="s">
        <v>22</v>
      </c>
      <c r="K35" s="10" t="s">
        <v>171</v>
      </c>
      <c r="L35" s="10" t="s">
        <v>172</v>
      </c>
      <c r="M35" s="12" t="s">
        <v>173</v>
      </c>
      <c r="N35" s="13" t="s">
        <v>47</v>
      </c>
      <c r="O35" s="38" t="str">
        <f>VLOOKUP(A35,'[1]25-06-26'!$A$2:$T$86,20,0)</f>
        <v>O Asiatic ( 14 Inch ) 4     Grass</v>
      </c>
      <c r="P35" s="38" t="str">
        <f>VLOOKUP(A35,'[2]02-07-26'!$A$2:$T$106,20,0)</f>
        <v>P n W Car ( 14 Inch ) 22     FF Sachet + Grass</v>
      </c>
      <c r="Q35" s="38" t="str">
        <f>VLOOKUP(A35,'[2]09-07-26'!$A$2:$T$89,20,0)</f>
        <v>Rajni ( 14 Inch ) 22     Grass</v>
      </c>
      <c r="R35" s="38" t="str">
        <f>VLOOKUP(A35,'[2]16-07-26'!$A$2:$T$95,20,0)</f>
        <v>Mix Alstroemeria ( 12 Inch ) 22     FF Sachet + Grass</v>
      </c>
      <c r="S35" s="38" t="str">
        <f>VLOOKUP(A35,'[2]23-07-26'!$A$2:$T$106,20,0)</f>
        <v>Mix Glad ( 14 Inch ) 22     Grass</v>
      </c>
      <c r="T35" s="38" t="s">
        <v>462</v>
      </c>
      <c r="U35" s="38">
        <v>7</v>
      </c>
      <c r="V35" s="38"/>
      <c r="W35" s="38"/>
      <c r="X35" s="38"/>
      <c r="Y35" s="38"/>
      <c r="Z35" s="38" t="s">
        <v>446</v>
      </c>
      <c r="AA35" s="38"/>
      <c r="AB35" s="38"/>
      <c r="AC35" s="38"/>
      <c r="AD35" s="38"/>
    </row>
    <row r="36" spans="1:30" ht="117.7" customHeight="1" x14ac:dyDescent="0.3">
      <c r="A36" s="1">
        <v>1098</v>
      </c>
      <c r="B36" s="15" t="s">
        <v>174</v>
      </c>
      <c r="C36" s="12">
        <v>9810022182</v>
      </c>
      <c r="D36" s="10" t="s">
        <v>175</v>
      </c>
      <c r="E36" s="10" t="s">
        <v>176</v>
      </c>
      <c r="F36" s="10" t="s">
        <v>17</v>
      </c>
      <c r="G36" s="27" t="s">
        <v>44</v>
      </c>
      <c r="H36" s="12">
        <v>1950</v>
      </c>
      <c r="I36" s="12">
        <v>487.5</v>
      </c>
      <c r="J36" s="10" t="s">
        <v>22</v>
      </c>
      <c r="K36" s="10" t="s">
        <v>177</v>
      </c>
      <c r="L36" s="10" t="s">
        <v>178</v>
      </c>
      <c r="M36" s="12"/>
      <c r="N36" s="13" t="s">
        <v>47</v>
      </c>
      <c r="O36" s="38" t="str">
        <f>VLOOKUP(A36,'[1]25-06-26'!$A$2:$T$86,20,0)</f>
        <v>O Asiatic ( 14 Inch ) 4     Grass</v>
      </c>
      <c r="P36" s="38" t="str">
        <f>VLOOKUP(A36,'[2]02-07-26'!$A$2:$T$106,20,0)</f>
        <v>P n W Glad ( 14 Inch ) 22     Grass</v>
      </c>
      <c r="Q36" s="38" t="str">
        <f>VLOOKUP(A36,'[2]09-07-26'!$A$2:$T$89,20,0)</f>
        <v>Mix Alstroemeria ( 12Inch ) 22     FF Sachet + Grass</v>
      </c>
      <c r="R36" s="38" t="str">
        <f>VLOOKUP(A36,'[2]16-07-26'!$A$2:$T$95,20,0)</f>
        <v>G n W Car ( 14 Inch ) 22     FF Sachet + Grass</v>
      </c>
      <c r="S36" s="38" t="str">
        <f>VLOOKUP(A36,'[2]23-07-26'!$A$2:$T$106,20,0)</f>
        <v>P n Y Spray Daisy ( 14 Inch ) 7     FF Sachet + Grass</v>
      </c>
      <c r="T36" s="38" t="s">
        <v>445</v>
      </c>
      <c r="U36" s="38">
        <v>4</v>
      </c>
      <c r="V36" s="38"/>
      <c r="W36" s="38"/>
      <c r="X36" s="38"/>
      <c r="Y36" s="38"/>
      <c r="Z36" s="38" t="s">
        <v>447</v>
      </c>
      <c r="AA36" s="38"/>
      <c r="AB36" s="38"/>
      <c r="AC36" s="38"/>
      <c r="AD36" s="38"/>
    </row>
    <row r="37" spans="1:30" ht="117.7" customHeight="1" x14ac:dyDescent="0.3">
      <c r="A37" s="1">
        <v>2359</v>
      </c>
      <c r="B37" s="15" t="s">
        <v>179</v>
      </c>
      <c r="C37" s="16">
        <v>9711170252</v>
      </c>
      <c r="D37" s="12" t="s">
        <v>180</v>
      </c>
      <c r="E37" s="12" t="s">
        <v>89</v>
      </c>
      <c r="F37" s="12" t="s">
        <v>17</v>
      </c>
      <c r="G37" s="12" t="s">
        <v>18</v>
      </c>
      <c r="H37" s="12">
        <v>1450</v>
      </c>
      <c r="I37" s="12">
        <v>362.5</v>
      </c>
      <c r="J37" s="9" t="s">
        <v>19</v>
      </c>
      <c r="K37" s="10" t="s">
        <v>181</v>
      </c>
      <c r="L37" s="10" t="s">
        <v>182</v>
      </c>
      <c r="M37" s="12"/>
      <c r="N37" s="13" t="s">
        <v>47</v>
      </c>
      <c r="O37" s="38" t="str">
        <f>VLOOKUP(A37,'[1]25-06-26'!$A$2:$T$86,20,0)</f>
        <v>Pur n P Car ( 14 Inch ) 9     FF Sachet + Grass</v>
      </c>
      <c r="P37" s="38" t="str">
        <f>VLOOKUP(A37,'[2]02-07-26'!$A$2:$T$106,20,0)</f>
        <v>O Asiatic ( 14 Inch ) 2     Grass</v>
      </c>
      <c r="Q37" s="38" t="str">
        <f>VLOOKUP(A37,'[2]09-07-26'!$A$2:$T$89,20,0)</f>
        <v>Mix Alstroemeria ( 12Inch ) 9     FF Sachet + Grass</v>
      </c>
      <c r="R37" s="38" t="str">
        <f>VLOOKUP(A37,'[2]16-07-26'!$A$2:$T$95,20,0)</f>
        <v>G n W Car ( 14 Inch ) 16     FF Sachet + Grass</v>
      </c>
      <c r="S37" s="38" t="str">
        <f>VLOOKUP(A37,'[2]23-07-26'!$A$2:$T$106,20,0)</f>
        <v>Mix Glad ( 14 Inch ) 16     Grass</v>
      </c>
      <c r="T37" s="38" t="s">
        <v>462</v>
      </c>
      <c r="U37" s="38">
        <v>5</v>
      </c>
      <c r="V37" s="38"/>
      <c r="W37" s="38"/>
      <c r="X37" s="38"/>
      <c r="Y37" s="38"/>
      <c r="Z37" s="38" t="s">
        <v>446</v>
      </c>
      <c r="AA37" s="38"/>
      <c r="AB37" s="38"/>
      <c r="AC37" s="38"/>
      <c r="AD37" s="38"/>
    </row>
    <row r="38" spans="1:30" ht="148.85" customHeight="1" x14ac:dyDescent="0.3">
      <c r="A38" s="9">
        <v>179</v>
      </c>
      <c r="B38" s="15" t="s">
        <v>183</v>
      </c>
      <c r="C38" s="1">
        <v>9810077026</v>
      </c>
      <c r="D38" s="9" t="s">
        <v>184</v>
      </c>
      <c r="E38" s="10" t="s">
        <v>27</v>
      </c>
      <c r="F38" s="9" t="s">
        <v>17</v>
      </c>
      <c r="G38" s="11" t="s">
        <v>18</v>
      </c>
      <c r="H38" s="12">
        <v>1450</v>
      </c>
      <c r="I38" s="12">
        <v>362.5</v>
      </c>
      <c r="J38" s="10" t="s">
        <v>19</v>
      </c>
      <c r="K38" s="9" t="s">
        <v>185</v>
      </c>
      <c r="L38" s="1"/>
      <c r="M38" s="9" t="s">
        <v>186</v>
      </c>
      <c r="N38" s="13" t="s">
        <v>47</v>
      </c>
      <c r="O38" s="38" t="e">
        <f>VLOOKUP(A38,'[1]25-06-26'!$A$2:$T$86,20,0)</f>
        <v>#N/A</v>
      </c>
      <c r="P38" s="38" t="str">
        <f>VLOOKUP(A38,'[2]02-07-26'!$A$2:$T$106,20,0)</f>
        <v>Sunflower ( 12 Inch ) 4    Collect payment FF Sachet + Grass</v>
      </c>
      <c r="Q38" s="38" t="str">
        <f>VLOOKUP(A38,'[2]09-07-26'!$A$2:$T$89,20,0)</f>
        <v>P n W Car ( 14 Inch ) 16     FF Sachet + Grass</v>
      </c>
      <c r="R38" s="38" t="str">
        <f>VLOOKUP(A38,'[2]16-07-26'!$A$2:$T$95,20,0)</f>
        <v>P n W Spray Daisy ( 14 Inch ) 5     FF Sachet + Grass</v>
      </c>
      <c r="S38" s="38" t="str">
        <f>VLOOKUP(A38,'[2]23-07-26'!$A$2:$T$106,20,0)</f>
        <v>P Glad ( 14 Inch ) 16 Ensure Collection Ensure Collection Ensure Collection  Grass</v>
      </c>
      <c r="T38" s="38" t="s">
        <v>445</v>
      </c>
      <c r="U38" s="38">
        <v>3</v>
      </c>
      <c r="V38" s="38"/>
      <c r="W38" s="38"/>
      <c r="X38" s="38"/>
      <c r="Y38" s="38"/>
      <c r="Z38" s="38" t="s">
        <v>447</v>
      </c>
      <c r="AA38" s="38"/>
      <c r="AB38" s="38"/>
      <c r="AC38" s="38"/>
      <c r="AD38" s="38"/>
    </row>
    <row r="39" spans="1:30" ht="117.7" customHeight="1" x14ac:dyDescent="0.3">
      <c r="A39" s="1">
        <v>849</v>
      </c>
      <c r="B39" s="15" t="s">
        <v>187</v>
      </c>
      <c r="C39" s="1">
        <v>7838500808</v>
      </c>
      <c r="D39" s="9" t="s">
        <v>188</v>
      </c>
      <c r="E39" s="10" t="s">
        <v>16</v>
      </c>
      <c r="F39" s="9" t="s">
        <v>17</v>
      </c>
      <c r="G39" s="10" t="s">
        <v>35</v>
      </c>
      <c r="H39" s="12">
        <v>1450</v>
      </c>
      <c r="I39" s="12">
        <v>362.5</v>
      </c>
      <c r="J39" s="9" t="s">
        <v>19</v>
      </c>
      <c r="K39" s="9" t="s">
        <v>189</v>
      </c>
      <c r="L39" s="10" t="s">
        <v>190</v>
      </c>
      <c r="M39" s="10" t="s">
        <v>191</v>
      </c>
      <c r="N39" s="13" t="s">
        <v>47</v>
      </c>
      <c r="O39" s="38" t="str">
        <f>VLOOKUP(A39,'[1]25-06-26'!$A$2:$T$86,20,0)</f>
        <v>Pur n P Car ( 14 Inch ) 16  Collect Payment Collect Payment Collect Payment FF Sachet + Grass</v>
      </c>
      <c r="P39" s="38" t="str">
        <f>VLOOKUP(A39,'[2]02-07-26'!$A$2:$T$106,20,0)</f>
        <v>Sunflower ( 12 Inch ) 4     FF Sachet + Grass</v>
      </c>
      <c r="Q39" s="38" t="str">
        <f>VLOOKUP(A39,'[2]09-07-26'!$A$2:$T$89,20,0)</f>
        <v>Rajni ( 14 Inch ) 16     Grass</v>
      </c>
      <c r="R39" s="38" t="str">
        <f>VLOOKUP(A39,'[2]16-07-26'!$A$2:$T$95,20,0)</f>
        <v>O Asiatic ( 14 Inch ) 3     Grass</v>
      </c>
      <c r="S39" s="38" t="str">
        <f>VLOOKUP(A39,'[2]23-07-26'!$A$2:$T$106,20,0)</f>
        <v>Mix Glad ( 14 Inch ) 16     Grass</v>
      </c>
      <c r="T39" s="38" t="s">
        <v>462</v>
      </c>
      <c r="U39" s="38">
        <v>5</v>
      </c>
      <c r="V39" s="38"/>
      <c r="W39" s="38"/>
      <c r="X39" s="38"/>
      <c r="Y39" s="38"/>
      <c r="Z39" s="38" t="s">
        <v>446</v>
      </c>
      <c r="AA39" s="38"/>
      <c r="AB39" s="38"/>
      <c r="AC39" s="38"/>
      <c r="AD39" s="38"/>
    </row>
    <row r="40" spans="1:30" ht="138.1" customHeight="1" x14ac:dyDescent="0.3">
      <c r="A40" s="1">
        <v>3128</v>
      </c>
      <c r="B40" s="15" t="s">
        <v>192</v>
      </c>
      <c r="C40" s="12">
        <v>9873498869</v>
      </c>
      <c r="D40" s="10" t="s">
        <v>193</v>
      </c>
      <c r="E40" s="10" t="s">
        <v>89</v>
      </c>
      <c r="F40" s="10" t="s">
        <v>17</v>
      </c>
      <c r="G40" s="18" t="s">
        <v>132</v>
      </c>
      <c r="H40" s="12">
        <v>1450</v>
      </c>
      <c r="I40" s="12">
        <v>362.5</v>
      </c>
      <c r="J40" s="9" t="s">
        <v>19</v>
      </c>
      <c r="K40" s="10" t="s">
        <v>194</v>
      </c>
      <c r="L40" s="12"/>
      <c r="M40" s="12"/>
      <c r="N40" s="13" t="s">
        <v>47</v>
      </c>
      <c r="O40" s="38" t="str">
        <f>VLOOKUP(A40,'[1]25-06-26'!$A$2:$T$86,20,0)</f>
        <v>P Asiatic ( 14 Inch ) 3  Collect Payment Collect Payment Collect Payment Grass</v>
      </c>
      <c r="P40" s="38" t="str">
        <f>VLOOKUP(A40,'[2]02-07-26'!$A$2:$T$106,20,0)</f>
        <v>Rajni ( 14 Inch ) 16     Grass</v>
      </c>
      <c r="Q40" s="38" t="str">
        <f>VLOOKUP(A40,'[2]09-07-26'!$A$2:$T$89,20,0)</f>
        <v>P n Y Spray Daisy ( 14 Inch ) 5     FF Sachet + Grass</v>
      </c>
      <c r="R40" s="38" t="str">
        <f>VLOOKUP(A40,'[2]16-07-26'!$A$2:$T$95,20,0)</f>
        <v>Asiatic 3     Grass</v>
      </c>
      <c r="S40" s="38" t="str">
        <f>VLOOKUP(A40,'[2]23-07-26'!$A$2:$T$106,20,0)</f>
        <v>G n W Car ( 14 inch ) 16     FF Sachet + Grass</v>
      </c>
      <c r="T40" s="38" t="s">
        <v>441</v>
      </c>
      <c r="U40" s="38">
        <v>16</v>
      </c>
      <c r="V40" s="38"/>
      <c r="W40" s="38"/>
      <c r="X40" s="38"/>
      <c r="Y40" s="38"/>
      <c r="Z40" s="38" t="s">
        <v>446</v>
      </c>
      <c r="AA40" s="38"/>
      <c r="AB40" s="38"/>
      <c r="AC40" s="38"/>
      <c r="AD40" s="38"/>
    </row>
    <row r="41" spans="1:30" ht="158" customHeight="1" x14ac:dyDescent="0.3">
      <c r="A41" s="1">
        <v>3270</v>
      </c>
      <c r="B41" s="15" t="s">
        <v>195</v>
      </c>
      <c r="C41" s="12">
        <v>7022251818</v>
      </c>
      <c r="D41" s="10" t="s">
        <v>196</v>
      </c>
      <c r="E41" s="10" t="s">
        <v>135</v>
      </c>
      <c r="F41" s="10" t="s">
        <v>17</v>
      </c>
      <c r="G41" s="18" t="s">
        <v>44</v>
      </c>
      <c r="H41" s="12">
        <v>1950</v>
      </c>
      <c r="I41" s="12">
        <v>487.5</v>
      </c>
      <c r="J41" s="10" t="s">
        <v>22</v>
      </c>
      <c r="K41" s="10" t="s">
        <v>197</v>
      </c>
      <c r="L41" s="10" t="s">
        <v>198</v>
      </c>
      <c r="M41" s="10" t="s">
        <v>199</v>
      </c>
      <c r="N41" s="13" t="s">
        <v>47</v>
      </c>
      <c r="O41" s="38" t="str">
        <f>VLOOKUP(A41,'[1]25-06-26'!$A$2:$T$86,20,0)</f>
        <v>O Asiatic ( 14 Inch ) 2 Rajni ( 14 Inch ) 11   Grass</v>
      </c>
      <c r="P41" s="38" t="str">
        <f>VLOOKUP(A41,'[2]02-07-26'!$A$2:$T$106,20,0)</f>
        <v>P n Y Spray Daisy ( 14 Inch ) 4 P n W Glad ( 14 Inch ) 11   FF Sachet + Grass</v>
      </c>
      <c r="Q41" s="38" t="str">
        <f>VLOOKUP(A41,'[2]09-07-26'!$A$2:$T$89,20,0)</f>
        <v>P Asiatic ( 14 Inch ) 2 P n W Car ( 14 Inch ) 11   Grass</v>
      </c>
      <c r="R41" s="38" t="str">
        <f>VLOOKUP(A41,'[2]16-07-26'!$A$2:$T$95,20,0)</f>
        <v>Asiatic  2 Mix Car ( 12 Inch ) 11   FF Sachet + Grass</v>
      </c>
      <c r="S41" s="38" t="str">
        <f>VLOOKUP(A41,'[2]23-07-26'!$A$2:$T$106,20,0)</f>
        <v>P Eustoma ( 12 Inch ) 2 Mix Glad ( 14 Inch ) 11 NO Yellow n Purple Color  FF Sachet + Grass</v>
      </c>
      <c r="T41" s="38" t="s">
        <v>469</v>
      </c>
      <c r="U41" s="38">
        <v>4</v>
      </c>
      <c r="V41" s="38" t="s">
        <v>463</v>
      </c>
      <c r="W41" s="38">
        <v>11</v>
      </c>
      <c r="X41" s="38"/>
      <c r="Y41" s="38"/>
      <c r="Z41" s="38" t="s">
        <v>446</v>
      </c>
      <c r="AA41" s="38"/>
      <c r="AB41" s="38"/>
      <c r="AC41" s="38"/>
      <c r="AD41" s="38"/>
    </row>
    <row r="42" spans="1:30" ht="117.7" customHeight="1" x14ac:dyDescent="0.3">
      <c r="A42" s="1">
        <v>3411</v>
      </c>
      <c r="B42" s="15" t="s">
        <v>200</v>
      </c>
      <c r="C42" s="12">
        <v>8810598664</v>
      </c>
      <c r="D42" s="10" t="s">
        <v>201</v>
      </c>
      <c r="E42" s="10" t="s">
        <v>135</v>
      </c>
      <c r="F42" s="10" t="s">
        <v>17</v>
      </c>
      <c r="G42" s="18" t="s">
        <v>132</v>
      </c>
      <c r="H42" s="12">
        <v>1450</v>
      </c>
      <c r="I42" s="12">
        <v>362.5</v>
      </c>
      <c r="J42" s="10" t="s">
        <v>19</v>
      </c>
      <c r="K42" s="12"/>
      <c r="L42" s="12"/>
      <c r="M42" s="12"/>
      <c r="N42" s="13" t="s">
        <v>47</v>
      </c>
      <c r="O42" s="38" t="e">
        <f>VLOOKUP(A42,'[1]25-06-26'!$A$2:$T$86,20,0)</f>
        <v>#N/A</v>
      </c>
      <c r="P42" s="38" t="e">
        <f>VLOOKUP(A42,'[2]02-07-26'!$A$2:$T$106,20,0)</f>
        <v>#N/A</v>
      </c>
      <c r="Q42" s="38" t="e">
        <f>VLOOKUP(A42,'[2]09-07-26'!$A$2:$T$89,20,0)</f>
        <v>#N/A</v>
      </c>
      <c r="R42" s="38" t="e">
        <f>VLOOKUP(A42,'[2]16-07-26'!$A$2:$T$95,20,0)</f>
        <v>#N/A</v>
      </c>
      <c r="S42" s="38" t="str">
        <f>VLOOKUP(A42,'[2]23-07-26'!$A$2:$T$106,20,0)</f>
        <v>O Asiatic ( 14 Inch ) 3     Grass</v>
      </c>
      <c r="T42" s="38" t="s">
        <v>441</v>
      </c>
      <c r="U42" s="38">
        <v>16</v>
      </c>
      <c r="V42" s="38"/>
      <c r="W42" s="38"/>
      <c r="X42" s="38"/>
      <c r="Y42" s="38"/>
      <c r="Z42" s="38" t="s">
        <v>446</v>
      </c>
      <c r="AA42" s="38"/>
      <c r="AB42" s="38"/>
      <c r="AC42" s="38"/>
      <c r="AD42" s="38"/>
    </row>
    <row r="43" spans="1:30" ht="117.7" customHeight="1" x14ac:dyDescent="0.3">
      <c r="A43" s="1">
        <v>2307</v>
      </c>
      <c r="B43" s="15" t="s">
        <v>202</v>
      </c>
      <c r="C43" s="12">
        <v>9599336609</v>
      </c>
      <c r="D43" s="10" t="s">
        <v>203</v>
      </c>
      <c r="E43" s="10" t="s">
        <v>27</v>
      </c>
      <c r="F43" s="10" t="s">
        <v>17</v>
      </c>
      <c r="G43" s="11" t="s">
        <v>28</v>
      </c>
      <c r="H43" s="12">
        <v>3000</v>
      </c>
      <c r="I43" s="12">
        <v>375</v>
      </c>
      <c r="J43" s="10" t="s">
        <v>204</v>
      </c>
      <c r="K43" s="10" t="s">
        <v>205</v>
      </c>
      <c r="L43" s="12"/>
      <c r="M43" s="31" t="s">
        <v>206</v>
      </c>
      <c r="N43" s="13" t="s">
        <v>24</v>
      </c>
      <c r="O43" s="38" t="str">
        <f>VLOOKUP(A43,'[1]25-06-26'!$A$2:$T$86,20,0)</f>
        <v>Pur n P Car ( 14 Inch ) 15 Keep Flowers at door-- Don’t call or don’t ring Bell    FF Sachet + Grass</v>
      </c>
      <c r="P43" s="38" t="str">
        <f>VLOOKUP(A43,'[2]02-07-26'!$A$2:$T$106,20,0)</f>
        <v>B Daisy ( 12 Inch ) 15    Collect Payment Grass</v>
      </c>
      <c r="Q43" s="38" t="str">
        <f>VLOOKUP(A43,'[2]09-07-26'!$A$2:$T$89,20,0)</f>
        <v>Sunflower ( 12 Inch ) 3 Keep Flowers at Door -- Don’t call or Ring the bell    FF Sachet + Grass</v>
      </c>
      <c r="R43" s="38" t="str">
        <f>VLOOKUP(A43,'[2]16-07-26'!$A$2:$T$95,20,0)</f>
        <v>P n Y Spray Daisy ( 14 Inch ) 4 Pls Keep at door -- Don’t Call 0r Ring Bell    FF Sachet + Grass</v>
      </c>
      <c r="S43" s="38" t="str">
        <f>VLOOKUP(A43,'[2]23-07-26'!$A$2:$T$106,20,0)</f>
        <v>O Asiatic ( 14 Inch ) 2   Ensure Collection Ensure Collection Grass</v>
      </c>
      <c r="T43" s="38" t="s">
        <v>441</v>
      </c>
      <c r="U43" s="38">
        <v>15</v>
      </c>
      <c r="V43" s="38" t="s">
        <v>442</v>
      </c>
      <c r="W43" s="38"/>
      <c r="X43" s="38"/>
      <c r="Y43" s="38"/>
      <c r="Z43" s="38" t="s">
        <v>446</v>
      </c>
      <c r="AA43" s="38"/>
      <c r="AB43" s="38"/>
      <c r="AC43" s="38"/>
      <c r="AD43" s="38"/>
    </row>
    <row r="44" spans="1:30" ht="117.7" customHeight="1" x14ac:dyDescent="0.3">
      <c r="A44" s="1">
        <v>870</v>
      </c>
      <c r="B44" s="32" t="s">
        <v>207</v>
      </c>
      <c r="C44" s="1">
        <v>9892501292</v>
      </c>
      <c r="D44" s="1" t="s">
        <v>208</v>
      </c>
      <c r="E44" s="1" t="s">
        <v>27</v>
      </c>
      <c r="F44" s="9" t="s">
        <v>17</v>
      </c>
      <c r="G44" s="11" t="s">
        <v>18</v>
      </c>
      <c r="H44" s="12">
        <v>1600</v>
      </c>
      <c r="I44" s="12">
        <v>200</v>
      </c>
      <c r="J44" s="10" t="s">
        <v>45</v>
      </c>
      <c r="K44" s="9" t="s">
        <v>209</v>
      </c>
      <c r="L44" s="12"/>
      <c r="M44" s="12"/>
      <c r="N44" s="13" t="s">
        <v>24</v>
      </c>
      <c r="O44" s="38" t="str">
        <f>VLOOKUP(A44,'[1]25-06-26'!$A$2:$T$86,20,0)</f>
        <v>Rajni ( 14 Inch ) 7     Grass</v>
      </c>
      <c r="P44" s="38" t="str">
        <f>VLOOKUP(A44,'[2]02-07-26'!$A$2:$T$106,20,0)</f>
        <v>P n W Car ( 14 Inch ) 7     FF Sachet + Grass</v>
      </c>
      <c r="Q44" s="38" t="str">
        <f>VLOOKUP(A44,'[2]09-07-26'!$A$2:$T$89,20,0)</f>
        <v>Y Spray Daisy ( 14 Inch ) 2     FF Sachet + Grass</v>
      </c>
      <c r="R44" s="38" t="str">
        <f>VLOOKUP(A44,'[2]16-07-26'!$A$2:$T$95,20,0)</f>
        <v>Sunflower ( 12 Inch ) 2     FF Sachet + Grass</v>
      </c>
      <c r="S44" s="38" t="str">
        <f>VLOOKUP(A44,'[2]23-07-26'!$A$2:$T$106,20,0)</f>
        <v>G n W Car ( 14 inch ) 7   Ensure Collection Ensure Collection FF Sachet + Grass</v>
      </c>
      <c r="T44" s="38" t="s">
        <v>443</v>
      </c>
      <c r="U44" s="38">
        <v>2</v>
      </c>
      <c r="V44" s="38"/>
      <c r="W44" s="38"/>
      <c r="X44" s="38"/>
      <c r="Y44" s="38"/>
      <c r="Z44" s="38" t="s">
        <v>446</v>
      </c>
      <c r="AA44" s="38"/>
      <c r="AB44" s="38"/>
      <c r="AC44" s="38"/>
      <c r="AD44" s="38"/>
    </row>
    <row r="45" spans="1:30" ht="117.7" customHeight="1" x14ac:dyDescent="0.3">
      <c r="A45" s="9" t="s">
        <v>210</v>
      </c>
      <c r="B45" s="15" t="s">
        <v>211</v>
      </c>
      <c r="C45" s="15">
        <v>9654700022</v>
      </c>
      <c r="D45" s="10" t="s">
        <v>212</v>
      </c>
      <c r="E45" s="10" t="s">
        <v>135</v>
      </c>
      <c r="F45" s="10" t="s">
        <v>17</v>
      </c>
      <c r="G45" s="18" t="s">
        <v>44</v>
      </c>
      <c r="H45" s="12">
        <v>1450</v>
      </c>
      <c r="I45" s="12">
        <v>362.5</v>
      </c>
      <c r="J45" s="10" t="s">
        <v>19</v>
      </c>
      <c r="K45" s="10" t="s">
        <v>213</v>
      </c>
      <c r="L45" s="10" t="s">
        <v>214</v>
      </c>
      <c r="M45" s="10" t="s">
        <v>215</v>
      </c>
      <c r="N45" s="13" t="s">
        <v>137</v>
      </c>
      <c r="O45" s="38" t="e">
        <f>VLOOKUP(A45,'[1]25-06-26'!$A$2:$T$86,20,0)</f>
        <v>#N/A</v>
      </c>
      <c r="P45" s="38" t="str">
        <f>VLOOKUP(A45,'[2]02-07-26'!$A$2:$T$106,20,0)</f>
        <v>P Asiatic ( 14 Inch ) 3    Collect Payment Grass</v>
      </c>
      <c r="Q45" s="38" t="str">
        <f>VLOOKUP(A45,'[2]09-07-26'!$A$2:$T$89,20,0)</f>
        <v>Rajni ( 14 Inch ) 16     Grass</v>
      </c>
      <c r="R45" s="38" t="str">
        <f>VLOOKUP(A45,'[2]16-07-26'!$A$2:$T$95,20,0)</f>
        <v>P n Y Spray Daisy ( 14 Inch ) 5     FF Sachet + Grass</v>
      </c>
      <c r="S45" s="38" t="str">
        <f>VLOOKUP(A45,'[2]23-07-26'!$A$2:$T$106,20,0)</f>
        <v>G n W Car ( 14 inch ) 16     FF Sachet + Grass</v>
      </c>
      <c r="T45" s="38" t="s">
        <v>439</v>
      </c>
      <c r="U45" s="38">
        <v>16</v>
      </c>
      <c r="V45" s="38"/>
      <c r="W45" s="38"/>
      <c r="X45" s="38"/>
      <c r="Y45" s="38"/>
      <c r="Z45" s="38" t="s">
        <v>446</v>
      </c>
      <c r="AA45" s="38"/>
      <c r="AB45" s="38"/>
      <c r="AC45" s="38"/>
      <c r="AD45" s="38"/>
    </row>
    <row r="46" spans="1:30" ht="117.7" customHeight="1" x14ac:dyDescent="0.3">
      <c r="A46" s="1">
        <v>888</v>
      </c>
      <c r="B46" s="15" t="s">
        <v>216</v>
      </c>
      <c r="C46" s="26">
        <v>9868169896</v>
      </c>
      <c r="D46" s="9" t="s">
        <v>217</v>
      </c>
      <c r="E46" s="9" t="s">
        <v>27</v>
      </c>
      <c r="F46" s="9" t="s">
        <v>17</v>
      </c>
      <c r="G46" s="11" t="s">
        <v>18</v>
      </c>
      <c r="H46" s="12">
        <v>1450</v>
      </c>
      <c r="I46" s="12">
        <v>362.5</v>
      </c>
      <c r="J46" s="10" t="s">
        <v>19</v>
      </c>
      <c r="K46" s="9" t="s">
        <v>218</v>
      </c>
      <c r="L46" s="10" t="s">
        <v>219</v>
      </c>
      <c r="M46" s="10" t="s">
        <v>220</v>
      </c>
      <c r="N46" s="13" t="s">
        <v>137</v>
      </c>
      <c r="O46" s="38" t="str">
        <f>VLOOKUP(A46,'[1]25-06-26'!$A$2:$T$86,20,0)</f>
        <v>P n W Glad ( 14 Inch ) 16  Collect Payment Collect Payment Collect Payment Grass</v>
      </c>
      <c r="P46" s="38" t="str">
        <f>VLOOKUP(A46,'[2]02-07-26'!$A$2:$T$106,20,0)</f>
        <v>P Asiatic ( 14 Inch ) 3     Grass</v>
      </c>
      <c r="Q46" s="38" t="e">
        <f>VLOOKUP(A46,'[2]09-07-26'!$A$2:$T$89,20,0)</f>
        <v>#N/A</v>
      </c>
      <c r="R46" s="38" t="str">
        <f>VLOOKUP(A46,'[2]16-07-26'!$A$2:$T$95,20,0)</f>
        <v>G n W Car ( 14 Inch ) 16     FF Sachet + Grass</v>
      </c>
      <c r="S46" s="38" t="str">
        <f>VLOOKUP(A46,'[2]23-07-26'!$A$2:$T$106,20,0)</f>
        <v>Pur Eustoma ( 12 Inch ) 3     FF Sachet + Grass</v>
      </c>
      <c r="T46" s="38" t="s">
        <v>439</v>
      </c>
      <c r="U46" s="38">
        <v>16</v>
      </c>
      <c r="V46" s="38"/>
      <c r="W46" s="38"/>
      <c r="X46" s="38"/>
      <c r="Y46" s="38"/>
      <c r="Z46" s="38" t="s">
        <v>446</v>
      </c>
      <c r="AA46" s="38"/>
      <c r="AB46" s="38"/>
      <c r="AC46" s="38"/>
      <c r="AD46" s="38"/>
    </row>
    <row r="47" spans="1:30" ht="117.7" customHeight="1" x14ac:dyDescent="0.3">
      <c r="A47" s="1">
        <v>884</v>
      </c>
      <c r="B47" s="15" t="s">
        <v>221</v>
      </c>
      <c r="C47" s="12">
        <v>9811192021</v>
      </c>
      <c r="D47" s="12" t="s">
        <v>222</v>
      </c>
      <c r="E47" s="12" t="s">
        <v>89</v>
      </c>
      <c r="F47" s="12" t="s">
        <v>17</v>
      </c>
      <c r="G47" s="12" t="s">
        <v>223</v>
      </c>
      <c r="H47" s="12">
        <v>1950</v>
      </c>
      <c r="I47" s="12">
        <v>487.5</v>
      </c>
      <c r="J47" s="10" t="s">
        <v>22</v>
      </c>
      <c r="K47" s="10" t="s">
        <v>224</v>
      </c>
      <c r="L47" s="12" t="s">
        <v>225</v>
      </c>
      <c r="M47" s="10" t="s">
        <v>226</v>
      </c>
      <c r="N47" s="13" t="s">
        <v>227</v>
      </c>
      <c r="O47" s="38" t="str">
        <f>VLOOKUP(A47,'[1]25-06-26'!$A$2:$T$86,20,0)</f>
        <v>Pur n P Car ( 14 Inch ) 16     FF Sachet + Grass</v>
      </c>
      <c r="P47" s="38" t="str">
        <f>VLOOKUP(A47,'[2]02-07-26'!$A$2:$T$106,20,0)</f>
        <v>Sunflower ( 12 Inch ) 4    Collect Payment FF Sachet + Grass</v>
      </c>
      <c r="Q47" s="38" t="str">
        <f>VLOOKUP(A47,'[2]09-07-26'!$A$2:$T$89,20,0)</f>
        <v>Rajni ( 14 Inch ) 16     Grass</v>
      </c>
      <c r="R47" s="38" t="str">
        <f>VLOOKUP(A47,'[2]16-07-26'!$A$2:$T$95,20,0)</f>
        <v>P Asiatic ( 14 Inch ) 3     Grass</v>
      </c>
      <c r="S47" s="38" t="str">
        <f>VLOOKUP(A47,'[2]23-07-26'!$A$2:$T$106,20,0)</f>
        <v>Mix Glad ( 14 Inch ) 22     Grass</v>
      </c>
      <c r="T47" s="38" t="s">
        <v>462</v>
      </c>
      <c r="U47" s="38">
        <v>7</v>
      </c>
      <c r="V47" s="38"/>
      <c r="W47" s="38"/>
      <c r="X47" s="38"/>
      <c r="Y47" s="38"/>
      <c r="Z47" s="38" t="s">
        <v>446</v>
      </c>
      <c r="AA47" s="38"/>
      <c r="AB47" s="38"/>
      <c r="AC47" s="38"/>
      <c r="AD47" s="38"/>
    </row>
    <row r="48" spans="1:30" ht="117.7" customHeight="1" x14ac:dyDescent="0.3">
      <c r="A48" s="1">
        <v>2076</v>
      </c>
      <c r="B48" s="15" t="s">
        <v>228</v>
      </c>
      <c r="C48" s="12">
        <v>9910172233</v>
      </c>
      <c r="D48" s="12" t="s">
        <v>229</v>
      </c>
      <c r="E48" s="10" t="s">
        <v>16</v>
      </c>
      <c r="F48" s="12" t="s">
        <v>17</v>
      </c>
      <c r="G48" s="12" t="s">
        <v>18</v>
      </c>
      <c r="H48" s="12">
        <v>1450</v>
      </c>
      <c r="I48" s="12">
        <v>362.5</v>
      </c>
      <c r="J48" s="10" t="s">
        <v>19</v>
      </c>
      <c r="K48" s="10" t="s">
        <v>230</v>
      </c>
      <c r="L48" s="12"/>
      <c r="M48" s="12"/>
      <c r="N48" s="13" t="s">
        <v>231</v>
      </c>
      <c r="O48" s="38" t="str">
        <f>VLOOKUP(A48,'[1]25-06-26'!$A$2:$T$86,20,0)</f>
        <v>Pur Eustoma ( 12 Inch ) 3     FF Sachet + Grass</v>
      </c>
      <c r="P48" s="38" t="str">
        <f>VLOOKUP(A48,'[2]02-07-26'!$A$2:$T$106,20,0)</f>
        <v>O Asiatic ( 14 Inch ) 3     Grass</v>
      </c>
      <c r="Q48" s="38" t="str">
        <f>VLOOKUP(A48,'[2]09-07-26'!$A$2:$T$89,20,0)</f>
        <v>Rajni ( 14 Inch ) 16     Grass</v>
      </c>
      <c r="R48" s="38" t="str">
        <f>VLOOKUP(A48,'[2]16-07-26'!$A$2:$T$95,20,0)</f>
        <v>G n W Car ( 14 Inch ) 16     FF Sachet + Grass</v>
      </c>
      <c r="S48" s="38" t="str">
        <f>VLOOKUP(A48,'[2]23-07-26'!$A$2:$T$106,20,0)</f>
        <v>P n Y Spray Daisy ( 14 Inch ) 5     FF Sachet + Grass</v>
      </c>
      <c r="T48" s="38" t="s">
        <v>441</v>
      </c>
      <c r="U48" s="38">
        <v>16</v>
      </c>
      <c r="V48" s="38"/>
      <c r="W48" s="38"/>
      <c r="X48" s="38"/>
      <c r="Y48" s="38"/>
      <c r="Z48" s="38" t="s">
        <v>446</v>
      </c>
      <c r="AA48" s="38"/>
      <c r="AB48" s="38"/>
      <c r="AC48" s="38"/>
      <c r="AD48" s="38"/>
    </row>
    <row r="49" spans="1:30" ht="117.7" customHeight="1" x14ac:dyDescent="0.3">
      <c r="A49" s="1">
        <v>236</v>
      </c>
      <c r="B49" s="8" t="s">
        <v>232</v>
      </c>
      <c r="C49" s="1">
        <v>8860079525</v>
      </c>
      <c r="D49" s="1" t="s">
        <v>233</v>
      </c>
      <c r="E49" s="1" t="s">
        <v>234</v>
      </c>
      <c r="F49" s="9" t="s">
        <v>235</v>
      </c>
      <c r="G49" s="11" t="s">
        <v>18</v>
      </c>
      <c r="H49" s="12">
        <v>1450</v>
      </c>
      <c r="I49" s="12">
        <v>362.5</v>
      </c>
      <c r="J49" s="28" t="s">
        <v>149</v>
      </c>
      <c r="K49" s="9" t="s">
        <v>236</v>
      </c>
      <c r="L49" s="12"/>
      <c r="M49" s="12"/>
      <c r="N49" s="13" t="s">
        <v>238</v>
      </c>
      <c r="O49" s="38" t="str">
        <f>VLOOKUP(A49,'[1]25-06-26'!$A$2:$T$86,20,0)</f>
        <v>Rajni ( 14 Inch ) 16     Grass</v>
      </c>
      <c r="P49" s="38" t="str">
        <f>VLOOKUP(A49,'[2]02-07-26'!$A$2:$T$106,20,0)</f>
        <v>B Daisy ( 12 Inch ) 10     Grass</v>
      </c>
      <c r="Q49" s="38" t="str">
        <f>VLOOKUP(A49,'[2]09-07-26'!$A$2:$T$89,20,0)</f>
        <v>P n W Car ( 14 Inch ) 16     FF Sachet + Grass</v>
      </c>
      <c r="R49" s="38" t="str">
        <f>VLOOKUP(A49,'[2]16-07-26'!$A$2:$T$95,20,0)</f>
        <v>Rajni ( 14 Inch ) 16     Grass</v>
      </c>
      <c r="S49" s="38" t="str">
        <f>VLOOKUP(A49,'[2]23-07-26'!$A$2:$T$106,20,0)</f>
        <v>B Daisy 10     Grass</v>
      </c>
      <c r="T49" s="38" t="s">
        <v>439</v>
      </c>
      <c r="U49" s="38">
        <v>16</v>
      </c>
      <c r="V49" s="38"/>
      <c r="W49" s="38"/>
      <c r="X49" s="38"/>
      <c r="Y49" s="38"/>
      <c r="Z49" s="38" t="s">
        <v>446</v>
      </c>
      <c r="AA49" s="38"/>
      <c r="AB49" s="38"/>
      <c r="AC49" s="38"/>
      <c r="AD49" s="38"/>
    </row>
    <row r="50" spans="1:30" ht="117.7" customHeight="1" x14ac:dyDescent="0.3">
      <c r="A50" s="1">
        <v>366</v>
      </c>
      <c r="B50" s="8" t="s">
        <v>232</v>
      </c>
      <c r="C50" s="1">
        <v>8860079525</v>
      </c>
      <c r="D50" s="1" t="s">
        <v>233</v>
      </c>
      <c r="E50" s="1" t="s">
        <v>234</v>
      </c>
      <c r="F50" s="9" t="s">
        <v>50</v>
      </c>
      <c r="G50" s="11" t="s">
        <v>18</v>
      </c>
      <c r="H50" s="12">
        <v>1450</v>
      </c>
      <c r="I50" s="12">
        <v>362.5</v>
      </c>
      <c r="J50" s="28" t="s">
        <v>149</v>
      </c>
      <c r="K50" s="9" t="s">
        <v>237</v>
      </c>
      <c r="L50" s="12"/>
      <c r="M50" s="12"/>
      <c r="N50" s="13" t="s">
        <v>238</v>
      </c>
      <c r="O50" s="38" t="str">
        <f>VLOOKUP(A50,'[1]25-06-26'!$A$2:$T$86,20,0)</f>
        <v>Pur Eustoma ( 12 Inch ) 3     FF Sachet + Grass</v>
      </c>
      <c r="P50" s="38" t="str">
        <f>VLOOKUP(A50,'[2]02-07-26'!$A$2:$T$106,20,0)</f>
        <v>P Asiatic ( 14 Inch ) 3     Grass</v>
      </c>
      <c r="Q50" s="38" t="str">
        <f>VLOOKUP(A50,'[2]09-07-26'!$A$2:$T$89,20,0)</f>
        <v>W Asiatic ( 14 Inch ) 3     Grass</v>
      </c>
      <c r="R50" s="38" t="str">
        <f>VLOOKUP(A50,'[2]16-07-26'!$A$2:$T$95,20,0)</f>
        <v>O Asiatic ( 14 Inch ) 3     Grass</v>
      </c>
      <c r="S50" s="38" t="str">
        <f>VLOOKUP(A50,'[2]23-07-26'!$A$2:$T$106,20,0)</f>
        <v>Y Asiatic ( 14 inch ) 3     Grass</v>
      </c>
      <c r="T50" s="38" t="s">
        <v>462</v>
      </c>
      <c r="U50" s="38">
        <v>5</v>
      </c>
      <c r="V50" s="38"/>
      <c r="W50" s="38"/>
      <c r="X50" s="38"/>
      <c r="Y50" s="38"/>
      <c r="Z50" s="38" t="s">
        <v>446</v>
      </c>
      <c r="AA50" s="38"/>
      <c r="AB50" s="38"/>
      <c r="AC50" s="38"/>
      <c r="AD50" s="38"/>
    </row>
    <row r="51" spans="1:30" ht="117.7" customHeight="1" x14ac:dyDescent="0.3">
      <c r="A51" s="9">
        <v>894</v>
      </c>
      <c r="B51" s="33" t="s">
        <v>239</v>
      </c>
      <c r="C51" s="34" t="s">
        <v>240</v>
      </c>
      <c r="D51" s="34" t="s">
        <v>241</v>
      </c>
      <c r="E51" s="9" t="s">
        <v>27</v>
      </c>
      <c r="F51" s="9" t="s">
        <v>17</v>
      </c>
      <c r="G51" s="11" t="s">
        <v>18</v>
      </c>
      <c r="H51" s="12">
        <v>3000</v>
      </c>
      <c r="I51" s="12">
        <v>375</v>
      </c>
      <c r="J51" s="10" t="s">
        <v>204</v>
      </c>
      <c r="K51" s="9" t="s">
        <v>242</v>
      </c>
      <c r="L51" s="10" t="s">
        <v>128</v>
      </c>
      <c r="M51" s="12"/>
      <c r="N51" s="13" t="s">
        <v>431</v>
      </c>
      <c r="O51" s="38" t="str">
        <f>VLOOKUP(A51,'[1]25-06-26'!$A$2:$T$86,20,0)</f>
        <v>Rajni ( 14 Inch ) 15     Grass</v>
      </c>
      <c r="P51" s="38" t="str">
        <f>VLOOKUP(A51,'[2]02-07-26'!$A$2:$T$106,20,0)</f>
        <v>B Daisy ( 12 Inch ) 15     Grass</v>
      </c>
      <c r="Q51" s="38" t="str">
        <f>VLOOKUP(A51,'[2]09-07-26'!$A$2:$T$89,20,0)</f>
        <v>G Anthurium 3     Grass</v>
      </c>
      <c r="R51" s="38" t="e">
        <f>VLOOKUP(A51,'[2]16-07-26'!$A$2:$T$95,20,0)</f>
        <v>#N/A</v>
      </c>
      <c r="S51" s="38" t="str">
        <f>VLOOKUP(A51,'[2]23-07-26'!$A$2:$T$106,20,0)</f>
        <v>Y Asiatic ( 14 inch ) 3     Grass</v>
      </c>
      <c r="T51" s="38" t="s">
        <v>444</v>
      </c>
      <c r="U51" s="38">
        <v>15</v>
      </c>
      <c r="V51" s="38"/>
      <c r="W51" s="38"/>
      <c r="X51" s="38"/>
      <c r="Y51" s="38"/>
      <c r="Z51" s="38" t="s">
        <v>447</v>
      </c>
      <c r="AA51" s="38"/>
      <c r="AB51" s="38"/>
      <c r="AC51" s="38"/>
      <c r="AD51" s="38"/>
    </row>
    <row r="52" spans="1:30" ht="117.7" customHeight="1" x14ac:dyDescent="0.3">
      <c r="A52" s="1">
        <v>244</v>
      </c>
      <c r="B52" s="15" t="s">
        <v>243</v>
      </c>
      <c r="C52" s="16">
        <v>9958581403</v>
      </c>
      <c r="D52" s="10" t="s">
        <v>244</v>
      </c>
      <c r="E52" s="10" t="s">
        <v>89</v>
      </c>
      <c r="F52" s="9" t="s">
        <v>17</v>
      </c>
      <c r="G52" s="11" t="s">
        <v>18</v>
      </c>
      <c r="H52" s="12">
        <v>1450</v>
      </c>
      <c r="I52" s="12">
        <v>1450</v>
      </c>
      <c r="J52" s="9" t="s">
        <v>19</v>
      </c>
      <c r="K52" s="9" t="s">
        <v>245</v>
      </c>
      <c r="L52" s="12"/>
      <c r="M52" s="12"/>
      <c r="N52" s="13" t="s">
        <v>137</v>
      </c>
      <c r="O52" s="38" t="str">
        <f>VLOOKUP(A52,'[1]25-06-26'!$A$2:$T$86,20,0)</f>
        <v>Pur Eustoma ( 12 Inch ) 3     FF Sachet + Grass</v>
      </c>
      <c r="P52" s="38" t="str">
        <f>VLOOKUP(A52,'[2]02-07-26'!$A$2:$T$106,20,0)</f>
        <v>Rajni ( 14 Inch ) 16     Grass</v>
      </c>
      <c r="Q52" s="38" t="str">
        <f>VLOOKUP(A52,'[2]09-07-26'!$A$2:$T$89,20,0)</f>
        <v>O Asiatic ( 14 Inch ) 3     Grass</v>
      </c>
      <c r="R52" s="38" t="str">
        <f>VLOOKUP(A52,'[2]16-07-26'!$A$2:$T$95,20,0)</f>
        <v>P n Y Spray Daisy ( 14 Inch ) 5     FF Sachet + Grass</v>
      </c>
      <c r="S52" s="38" t="str">
        <f>VLOOKUP(A52,'[2]23-07-26'!$A$2:$T$106,20,0)</f>
        <v>Mix Glad ( 14 Inch ) 16     Grass</v>
      </c>
      <c r="T52" s="38" t="s">
        <v>440</v>
      </c>
      <c r="U52" s="38">
        <v>16</v>
      </c>
      <c r="V52" s="38"/>
      <c r="W52" s="38"/>
      <c r="X52" s="38"/>
      <c r="Y52" s="38"/>
      <c r="Z52" s="38" t="s">
        <v>446</v>
      </c>
      <c r="AA52" s="38"/>
      <c r="AB52" s="38"/>
      <c r="AC52" s="38"/>
      <c r="AD52" s="38"/>
    </row>
    <row r="53" spans="1:30" ht="117.7" customHeight="1" x14ac:dyDescent="0.3">
      <c r="A53" s="1">
        <v>309</v>
      </c>
      <c r="B53" s="15" t="s">
        <v>246</v>
      </c>
      <c r="C53" s="12">
        <v>9811806611</v>
      </c>
      <c r="D53" s="10" t="s">
        <v>247</v>
      </c>
      <c r="E53" s="1" t="s">
        <v>89</v>
      </c>
      <c r="F53" s="9" t="s">
        <v>17</v>
      </c>
      <c r="G53" s="11" t="s">
        <v>18</v>
      </c>
      <c r="H53" s="12">
        <v>2750</v>
      </c>
      <c r="I53" s="12">
        <v>687.5</v>
      </c>
      <c r="J53" s="9" t="s">
        <v>248</v>
      </c>
      <c r="K53" s="9" t="s">
        <v>249</v>
      </c>
      <c r="L53" s="12"/>
      <c r="M53" s="10" t="s">
        <v>250</v>
      </c>
      <c r="N53" s="13" t="s">
        <v>137</v>
      </c>
      <c r="O53" s="38" t="str">
        <f>VLOOKUP(A53,'[1]25-06-26'!$A$2:$T$86,20,0)</f>
        <v>Pur n P Eustoma ( 12 Inch ) 6  Collect Payment Collect Payment Collect Payment 2 Limonium + FF Sachet</v>
      </c>
      <c r="P53" s="38" t="str">
        <f>VLOOKUP(A53,'[2]02-07-26'!$A$2:$T$106,20,0)</f>
        <v xml:space="preserve">Pur n P Car ( 14 Inch ) 32     2 Gypsola + FF Sachet </v>
      </c>
      <c r="Q53" s="38" t="e">
        <f>VLOOKUP(A53,'[2]09-07-26'!$A$2:$T$89,20,0)</f>
        <v>#N/A</v>
      </c>
      <c r="R53" s="38" t="str">
        <f>VLOOKUP(A53,'[2]16-07-26'!$A$2:$T$95,20,0)</f>
        <v>O Asiatic ( 14 Inch ) 6     2 Gypsola</v>
      </c>
      <c r="S53" s="38" t="str">
        <f>VLOOKUP(A53,'[2]23-07-26'!$A$2:$T$106,20,0)</f>
        <v>B Orchid  10     2 Limonium + FF Sachet</v>
      </c>
      <c r="T53" s="38" t="s">
        <v>462</v>
      </c>
      <c r="U53" s="38">
        <v>10</v>
      </c>
      <c r="V53" s="38"/>
      <c r="W53" s="38"/>
      <c r="X53" s="38"/>
      <c r="Y53" s="38"/>
      <c r="Z53" s="38" t="s">
        <v>472</v>
      </c>
      <c r="AA53" s="38"/>
      <c r="AB53" s="38"/>
      <c r="AC53" s="38"/>
      <c r="AD53" s="38"/>
    </row>
    <row r="54" spans="1:30" ht="117.7" customHeight="1" x14ac:dyDescent="0.3">
      <c r="A54" s="1">
        <v>172</v>
      </c>
      <c r="B54" s="15" t="s">
        <v>251</v>
      </c>
      <c r="C54" s="1">
        <v>9811779661</v>
      </c>
      <c r="D54" s="9" t="s">
        <v>252</v>
      </c>
      <c r="E54" s="10" t="s">
        <v>253</v>
      </c>
      <c r="F54" s="9" t="s">
        <v>17</v>
      </c>
      <c r="G54" s="11" t="s">
        <v>18</v>
      </c>
      <c r="H54" s="12">
        <v>1450</v>
      </c>
      <c r="I54" s="12">
        <v>362.5</v>
      </c>
      <c r="J54" s="10" t="s">
        <v>19</v>
      </c>
      <c r="K54" s="9" t="s">
        <v>254</v>
      </c>
      <c r="L54" s="10" t="s">
        <v>255</v>
      </c>
      <c r="M54" s="12"/>
      <c r="N54" s="13" t="s">
        <v>137</v>
      </c>
      <c r="O54" s="38" t="e">
        <f>VLOOKUP(A54,'[1]25-06-26'!$A$2:$T$86,20,0)</f>
        <v>#N/A</v>
      </c>
      <c r="P54" s="38" t="str">
        <f>VLOOKUP(A54,'[2]02-07-26'!$A$2:$T$106,20,0)</f>
        <v>Pur n P Car ( 14 Inch ) 16     FF Sachet + Grass</v>
      </c>
      <c r="Q54" s="38" t="str">
        <f>VLOOKUP(A54,'[2]09-07-26'!$A$2:$T$89,20,0)</f>
        <v>Sunflower ( 12 Inch ) 4     FF Sachet + Grass</v>
      </c>
      <c r="R54" s="38" t="str">
        <f>VLOOKUP(A54,'[2]16-07-26'!$A$2:$T$95,20,0)</f>
        <v>P n Y Spray Daisy ( 14 Inch ) 5     FF Sachet + Grass</v>
      </c>
      <c r="S54" s="38" t="str">
        <f>VLOOKUP(A54,'[2]23-07-26'!$A$2:$T$106,20,0)</f>
        <v>Mix Glad ( 14 Inch ) 16     Grass</v>
      </c>
      <c r="T54" s="38" t="s">
        <v>461</v>
      </c>
      <c r="U54" s="38">
        <v>3</v>
      </c>
      <c r="V54" s="38"/>
      <c r="W54" s="38"/>
      <c r="X54" s="38"/>
      <c r="Y54" s="38"/>
      <c r="Z54" s="38" t="s">
        <v>447</v>
      </c>
      <c r="AA54" s="38"/>
      <c r="AB54" s="38"/>
      <c r="AC54" s="38"/>
      <c r="AD54" s="38"/>
    </row>
    <row r="55" spans="1:30" ht="117.7" customHeight="1" x14ac:dyDescent="0.3">
      <c r="A55" s="1">
        <v>2250</v>
      </c>
      <c r="B55" s="15" t="s">
        <v>256</v>
      </c>
      <c r="C55" s="12">
        <v>9810796682</v>
      </c>
      <c r="D55" s="10" t="s">
        <v>257</v>
      </c>
      <c r="E55" s="10" t="s">
        <v>16</v>
      </c>
      <c r="F55" s="10" t="s">
        <v>258</v>
      </c>
      <c r="G55" s="11" t="s">
        <v>18</v>
      </c>
      <c r="H55" s="12">
        <v>3088</v>
      </c>
      <c r="I55" s="12">
        <v>386</v>
      </c>
      <c r="J55" s="35" t="s">
        <v>259</v>
      </c>
      <c r="K55" s="10" t="s">
        <v>260</v>
      </c>
      <c r="L55" s="12"/>
      <c r="M55" s="12"/>
      <c r="N55" s="13" t="s">
        <v>47</v>
      </c>
      <c r="O55" s="38" t="str">
        <f>VLOOKUP(A55,'[1]25-06-26'!$A$2:$T$86,20,0)</f>
        <v>W Asiatic ( 14 Inch ) 3     Grass</v>
      </c>
      <c r="P55" s="38" t="str">
        <f>VLOOKUP(A55,'[2]02-07-26'!$A$2:$T$106,20,0)</f>
        <v>O Asiatic ( 14 Inch ) 3     Grass</v>
      </c>
      <c r="Q55" s="38" t="str">
        <f>VLOOKUP(A55,'[2]09-07-26'!$A$2:$T$89,20,0)</f>
        <v>P Asiatic ( 14 Inch ) 2     Grass</v>
      </c>
      <c r="R55" s="38" t="str">
        <f>VLOOKUP(A55,'[2]16-07-26'!$A$2:$T$95,20,0)</f>
        <v>O Asiatic ( 14 Inch ) 3     Grass</v>
      </c>
      <c r="S55" s="38" t="str">
        <f>VLOOKUP(A55,'[2]23-07-26'!$A$2:$T$106,20,0)</f>
        <v>O Asiatic ( 14 Inch ) 3     Grass</v>
      </c>
      <c r="T55" s="38" t="s">
        <v>445</v>
      </c>
      <c r="U55" s="38">
        <v>3</v>
      </c>
      <c r="V55" s="38"/>
      <c r="W55" s="38"/>
      <c r="X55" s="38"/>
      <c r="Y55" s="38"/>
      <c r="Z55" s="38" t="s">
        <v>447</v>
      </c>
      <c r="AA55" s="38"/>
      <c r="AB55" s="38"/>
      <c r="AC55" s="38"/>
      <c r="AD55" s="38"/>
    </row>
    <row r="56" spans="1:30" ht="117.7" customHeight="1" x14ac:dyDescent="0.3">
      <c r="A56" s="1">
        <v>3415</v>
      </c>
      <c r="B56" s="15" t="s">
        <v>261</v>
      </c>
      <c r="C56" s="12">
        <v>9868216569</v>
      </c>
      <c r="D56" s="10" t="s">
        <v>262</v>
      </c>
      <c r="E56" s="10" t="s">
        <v>135</v>
      </c>
      <c r="F56" s="10" t="s">
        <v>17</v>
      </c>
      <c r="G56" s="18" t="s">
        <v>44</v>
      </c>
      <c r="H56" s="12">
        <v>1450</v>
      </c>
      <c r="I56" s="12">
        <v>362.5</v>
      </c>
      <c r="J56" s="10" t="s">
        <v>19</v>
      </c>
      <c r="K56" s="10" t="s">
        <v>263</v>
      </c>
      <c r="L56" s="12"/>
      <c r="M56" s="12"/>
      <c r="N56" s="13" t="s">
        <v>137</v>
      </c>
      <c r="O56" s="38" t="e">
        <f>VLOOKUP(A56,'[1]25-06-26'!$A$2:$T$86,20,0)</f>
        <v>#N/A</v>
      </c>
      <c r="P56" s="38" t="e">
        <f>VLOOKUP(A56,'[2]02-07-26'!$A$2:$T$106,20,0)</f>
        <v>#N/A</v>
      </c>
      <c r="Q56" s="38" t="e">
        <f>VLOOKUP(A56,'[2]09-07-26'!$A$2:$T$89,20,0)</f>
        <v>#N/A</v>
      </c>
      <c r="R56" s="38" t="e">
        <f>VLOOKUP(A56,'[2]16-07-26'!$A$2:$T$95,20,0)</f>
        <v>#N/A</v>
      </c>
      <c r="S56" s="38" t="str">
        <f>VLOOKUP(A56,'[2]23-07-26'!$A$2:$T$106,20,0)</f>
        <v>P n W Car ( 14 Inch ) 16     FF Sachet + Grass</v>
      </c>
      <c r="T56" s="38" t="s">
        <v>461</v>
      </c>
      <c r="U56" s="38">
        <v>3</v>
      </c>
      <c r="V56" s="38"/>
      <c r="W56" s="38"/>
      <c r="X56" s="38"/>
      <c r="Y56" s="38"/>
      <c r="Z56" s="38" t="s">
        <v>447</v>
      </c>
      <c r="AA56" s="38"/>
      <c r="AB56" s="38"/>
      <c r="AC56" s="38"/>
      <c r="AD56" s="38"/>
    </row>
    <row r="57" spans="1:30" ht="117.7" customHeight="1" x14ac:dyDescent="0.3">
      <c r="A57" s="1">
        <v>3212</v>
      </c>
      <c r="B57" s="15" t="s">
        <v>264</v>
      </c>
      <c r="C57" s="16">
        <v>9958849523</v>
      </c>
      <c r="D57" s="10" t="s">
        <v>265</v>
      </c>
      <c r="E57" s="10" t="s">
        <v>16</v>
      </c>
      <c r="F57" s="10" t="s">
        <v>17</v>
      </c>
      <c r="G57" s="18" t="s">
        <v>44</v>
      </c>
      <c r="H57" s="12">
        <v>1450</v>
      </c>
      <c r="I57" s="12">
        <v>1450</v>
      </c>
      <c r="J57" s="9" t="s">
        <v>19</v>
      </c>
      <c r="K57" s="10" t="s">
        <v>266</v>
      </c>
      <c r="L57" s="12"/>
      <c r="M57" s="12"/>
      <c r="N57" s="13" t="s">
        <v>137</v>
      </c>
      <c r="O57" s="38" t="str">
        <f>VLOOKUP(A57,'[1]25-06-26'!$A$2:$T$86,20,0)</f>
        <v>Pur n P Car ( 14 Inch ) 16     FF Sachet + Grass</v>
      </c>
      <c r="P57" s="38" t="str">
        <f>VLOOKUP(A57,'[2]02-07-26'!$A$2:$T$106,20,0)</f>
        <v>P n Y Spray Daisy ( 14 Inch ) 5     FF Sachet + Grass</v>
      </c>
      <c r="Q57" s="38" t="str">
        <f>VLOOKUP(A57,'[2]09-07-26'!$A$2:$T$89,20,0)</f>
        <v>Rajni ( 14 Inch ) 16     Grass</v>
      </c>
      <c r="R57" s="38" t="str">
        <f>VLOOKUP(A57,'[2]16-07-26'!$A$2:$T$95,20,0)</f>
        <v>O Asiatic 2     Grass</v>
      </c>
      <c r="S57" s="38" t="str">
        <f>VLOOKUP(A57,'[2]23-07-26'!$A$2:$T$106,20,0)</f>
        <v>G n W Car ( 14 inch ) 16     Grass</v>
      </c>
      <c r="T57" s="38" t="s">
        <v>439</v>
      </c>
      <c r="U57" s="38">
        <v>16</v>
      </c>
      <c r="V57" s="38"/>
      <c r="W57" s="38"/>
      <c r="X57" s="38"/>
      <c r="Y57" s="38"/>
      <c r="Z57" s="38" t="s">
        <v>446</v>
      </c>
      <c r="AA57" s="38"/>
      <c r="AB57" s="38"/>
      <c r="AC57" s="38"/>
      <c r="AD57" s="38"/>
    </row>
    <row r="58" spans="1:30" ht="117.7" customHeight="1" x14ac:dyDescent="0.3">
      <c r="A58" s="1">
        <v>3363</v>
      </c>
      <c r="B58" s="15" t="s">
        <v>267</v>
      </c>
      <c r="C58" s="12">
        <v>9819952391</v>
      </c>
      <c r="D58" s="10" t="s">
        <v>268</v>
      </c>
      <c r="E58" s="10" t="s">
        <v>27</v>
      </c>
      <c r="F58" s="10" t="s">
        <v>17</v>
      </c>
      <c r="G58" s="18" t="s">
        <v>269</v>
      </c>
      <c r="H58" s="12">
        <v>1450</v>
      </c>
      <c r="I58" s="12">
        <v>362.5</v>
      </c>
      <c r="J58" s="9" t="s">
        <v>19</v>
      </c>
      <c r="K58" s="10" t="s">
        <v>270</v>
      </c>
      <c r="L58" s="12"/>
      <c r="M58" s="10" t="s">
        <v>271</v>
      </c>
      <c r="N58" s="13" t="s">
        <v>137</v>
      </c>
      <c r="O58" s="38" t="e">
        <f>VLOOKUP(A58,'[1]25-06-26'!$A$2:$T$86,20,0)</f>
        <v>#N/A</v>
      </c>
      <c r="P58" s="38" t="e">
        <f>VLOOKUP(A58,'[2]02-07-26'!$A$2:$T$106,20,0)</f>
        <v>#N/A</v>
      </c>
      <c r="Q58" s="38" t="e">
        <f>VLOOKUP(A58,'[2]09-07-26'!$A$2:$T$89,20,0)</f>
        <v>#N/A</v>
      </c>
      <c r="R58" s="38" t="e">
        <f>VLOOKUP(A58,'[2]16-07-26'!$A$2:$T$95,20,0)</f>
        <v>#N/A</v>
      </c>
      <c r="S58" s="38" t="str">
        <f>VLOOKUP(A58,'[2]23-07-26'!$A$2:$T$106,20,0)</f>
        <v>G n W Car ( 14 inch ) 16     FF Sachet + Grass</v>
      </c>
      <c r="T58" s="38" t="s">
        <v>461</v>
      </c>
      <c r="U58" s="38">
        <v>3</v>
      </c>
      <c r="V58" s="38"/>
      <c r="W58" s="38"/>
      <c r="X58" s="38"/>
      <c r="Y58" s="38"/>
      <c r="Z58" s="38" t="s">
        <v>447</v>
      </c>
      <c r="AA58" s="38"/>
      <c r="AB58" s="38"/>
      <c r="AC58" s="38"/>
      <c r="AD58" s="38"/>
    </row>
    <row r="59" spans="1:30" ht="117.7" customHeight="1" x14ac:dyDescent="0.3">
      <c r="A59" s="1">
        <v>3364</v>
      </c>
      <c r="B59" s="15" t="s">
        <v>267</v>
      </c>
      <c r="C59" s="12">
        <v>9819952391</v>
      </c>
      <c r="D59" s="10" t="s">
        <v>268</v>
      </c>
      <c r="E59" s="10" t="s">
        <v>27</v>
      </c>
      <c r="F59" s="10" t="s">
        <v>110</v>
      </c>
      <c r="G59" s="18" t="s">
        <v>269</v>
      </c>
      <c r="H59" s="12">
        <v>1450</v>
      </c>
      <c r="I59" s="12">
        <v>362.5</v>
      </c>
      <c r="J59" s="9" t="s">
        <v>19</v>
      </c>
      <c r="K59" s="10" t="s">
        <v>272</v>
      </c>
      <c r="L59" s="12"/>
      <c r="M59" s="10" t="s">
        <v>273</v>
      </c>
      <c r="N59" s="13" t="s">
        <v>137</v>
      </c>
      <c r="O59" s="38" t="e">
        <f>VLOOKUP(A59,'[1]25-06-26'!$A$2:$T$86,20,0)</f>
        <v>#N/A</v>
      </c>
      <c r="P59" s="38" t="e">
        <f>VLOOKUP(A59,'[2]02-07-26'!$A$2:$T$106,20,0)</f>
        <v>#N/A</v>
      </c>
      <c r="Q59" s="38" t="e">
        <f>VLOOKUP(A59,'[2]09-07-26'!$A$2:$T$89,20,0)</f>
        <v>#N/A</v>
      </c>
      <c r="R59" s="38" t="e">
        <f>VLOOKUP(A59,'[2]16-07-26'!$A$2:$T$95,20,0)</f>
        <v>#N/A</v>
      </c>
      <c r="S59" s="38" t="str">
        <f>VLOOKUP(A59,'[2]23-07-26'!$A$2:$T$106,20,0)</f>
        <v>G n W Car ( 14 inch ) 16     FF Sachet + Grass</v>
      </c>
      <c r="T59" s="38" t="s">
        <v>461</v>
      </c>
      <c r="U59" s="38">
        <v>3</v>
      </c>
      <c r="V59" s="38"/>
      <c r="W59" s="38"/>
      <c r="X59" s="38"/>
      <c r="Y59" s="38"/>
      <c r="Z59" s="38" t="s">
        <v>447</v>
      </c>
      <c r="AA59" s="38"/>
      <c r="AB59" s="38"/>
      <c r="AC59" s="38"/>
      <c r="AD59" s="38"/>
    </row>
    <row r="60" spans="1:30" ht="148.85" customHeight="1" x14ac:dyDescent="0.3">
      <c r="A60" s="1">
        <v>2716</v>
      </c>
      <c r="B60" s="15" t="s">
        <v>274</v>
      </c>
      <c r="C60" s="12">
        <v>9891744488</v>
      </c>
      <c r="D60" s="10" t="s">
        <v>275</v>
      </c>
      <c r="E60" s="10" t="s">
        <v>89</v>
      </c>
      <c r="F60" s="10" t="s">
        <v>17</v>
      </c>
      <c r="G60" s="11" t="s">
        <v>18</v>
      </c>
      <c r="H60" s="12">
        <v>2750</v>
      </c>
      <c r="I60" s="12">
        <v>687.5</v>
      </c>
      <c r="J60" s="10" t="s">
        <v>248</v>
      </c>
      <c r="K60" s="10" t="s">
        <v>276</v>
      </c>
      <c r="L60" s="12"/>
      <c r="M60" s="10" t="s">
        <v>277</v>
      </c>
      <c r="N60" s="13" t="s">
        <v>278</v>
      </c>
      <c r="O60" s="38" t="str">
        <f>VLOOKUP(A60,'[1]25-06-26'!$A$2:$T$86,20,0)</f>
        <v>Pur n P Eustoma ( 12 Inch ) 4 Pur n P Car ( 14 Inch ) 16   2 Limonium + FF Sachet</v>
      </c>
      <c r="P60" s="38" t="str">
        <f>VLOOKUP(A60,'[2]02-07-26'!$A$2:$T$106,20,0)</f>
        <v xml:space="preserve">P n W Spray Daisy ( 14 Inch ) 5 Rajni ( 14 Inch ) 16   2 Gypsola + FF Sachet </v>
      </c>
      <c r="Q60" s="38" t="str">
        <f>VLOOKUP(A60,'[2]09-07-26'!$A$2:$T$89,20,0)</f>
        <v>Sunflower ( 12 Inch ) 4 Mix Alstroemeria ( 12 Inch ) 16   2 Limonium + FF Sachet</v>
      </c>
      <c r="R60" s="38" t="str">
        <f>VLOOKUP(A60,'[2]16-07-26'!$A$2:$T$95,20,0)</f>
        <v>O Asiatic ( 14 Inch ) 3 P n W Glad ( 14 Inch ) 16   2 Gypsola</v>
      </c>
      <c r="S60" s="38" t="str">
        <f>VLOOKUP(A60,'[2]23-07-26'!$A$2:$T$106,20,0)</f>
        <v>Pur n P Eustoma ( 12 Inch ) 4 G n W Car ( 14 Inch ) 16   2 Limonium + FF Sachet</v>
      </c>
      <c r="T60" s="38" t="s">
        <v>462</v>
      </c>
      <c r="U60" s="38">
        <v>5</v>
      </c>
      <c r="V60" s="38" t="s">
        <v>439</v>
      </c>
      <c r="W60" s="38">
        <v>16</v>
      </c>
      <c r="X60" s="38" t="s">
        <v>436</v>
      </c>
      <c r="Y60" s="38" t="s">
        <v>436</v>
      </c>
      <c r="Z60" s="38" t="s">
        <v>472</v>
      </c>
      <c r="AA60" s="38"/>
      <c r="AB60" s="38"/>
      <c r="AC60" s="38"/>
      <c r="AD60" s="38"/>
    </row>
    <row r="61" spans="1:30" ht="117.7" customHeight="1" x14ac:dyDescent="0.3">
      <c r="A61" s="1">
        <v>3241</v>
      </c>
      <c r="B61" s="15" t="s">
        <v>279</v>
      </c>
      <c r="C61" s="12">
        <v>8800994226</v>
      </c>
      <c r="D61" s="10" t="s">
        <v>280</v>
      </c>
      <c r="E61" s="10" t="s">
        <v>27</v>
      </c>
      <c r="F61" s="10" t="s">
        <v>17</v>
      </c>
      <c r="G61" s="11" t="s">
        <v>18</v>
      </c>
      <c r="H61" s="12">
        <v>1450</v>
      </c>
      <c r="I61" s="12">
        <v>362.5</v>
      </c>
      <c r="J61" s="10" t="s">
        <v>19</v>
      </c>
      <c r="K61" s="10" t="s">
        <v>281</v>
      </c>
      <c r="L61" s="12"/>
      <c r="M61" s="10" t="s">
        <v>215</v>
      </c>
      <c r="N61" s="13" t="s">
        <v>137</v>
      </c>
      <c r="O61" s="38" t="str">
        <f>VLOOKUP(A61,'[1]25-06-26'!$A$2:$T$86,20,0)</f>
        <v>O Asiatic ( 14 Inch ) 3     Grass</v>
      </c>
      <c r="P61" s="38" t="str">
        <f>VLOOKUP(A61,'[2]02-07-26'!$A$2:$T$106,20,0)</f>
        <v>Sunflower ( 12 Inch ) 4    Collect Payment FF Sachet + Grass</v>
      </c>
      <c r="Q61" s="38" t="str">
        <f>VLOOKUP(A61,'[2]09-07-26'!$A$2:$T$89,20,0)</f>
        <v>Rajni ( 14 Inch ) 16     Grass</v>
      </c>
      <c r="R61" s="38" t="str">
        <f>VLOOKUP(A61,'[2]16-07-26'!$A$2:$T$95,20,0)</f>
        <v>P n Y Spray Daisy ( 14 Inch ) 5     FF Sachet + Grass</v>
      </c>
      <c r="S61" s="38" t="str">
        <f>VLOOKUP(A61,'[2]23-07-26'!$A$2:$T$106,20,0)</f>
        <v>Mix Glad ( 14 Inch ) 16     Grass</v>
      </c>
      <c r="T61" s="38" t="s">
        <v>440</v>
      </c>
      <c r="U61" s="38">
        <v>16</v>
      </c>
      <c r="V61" s="38"/>
      <c r="W61" s="38"/>
      <c r="X61" s="38"/>
      <c r="Y61" s="38"/>
      <c r="Z61" s="38" t="s">
        <v>446</v>
      </c>
      <c r="AA61" s="38"/>
      <c r="AB61" s="38"/>
      <c r="AC61" s="38"/>
      <c r="AD61" s="38"/>
    </row>
    <row r="62" spans="1:30" ht="139.19999999999999" customHeight="1" x14ac:dyDescent="0.3">
      <c r="A62" s="1">
        <v>2406</v>
      </c>
      <c r="B62" s="15" t="s">
        <v>282</v>
      </c>
      <c r="C62" s="12">
        <v>9873458198</v>
      </c>
      <c r="D62" s="10" t="s">
        <v>283</v>
      </c>
      <c r="E62" s="10" t="s">
        <v>16</v>
      </c>
      <c r="F62" s="10" t="s">
        <v>17</v>
      </c>
      <c r="G62" s="10" t="s">
        <v>35</v>
      </c>
      <c r="H62" s="12">
        <v>1450</v>
      </c>
      <c r="I62" s="12">
        <v>362.5</v>
      </c>
      <c r="J62" s="10" t="s">
        <v>19</v>
      </c>
      <c r="K62" s="10" t="s">
        <v>284</v>
      </c>
      <c r="L62" s="10"/>
      <c r="M62" s="10" t="s">
        <v>30</v>
      </c>
      <c r="N62" s="13" t="s">
        <v>137</v>
      </c>
      <c r="O62" s="38" t="str">
        <f>VLOOKUP(A62,'[1]25-06-26'!$A$2:$T$86,20,0)</f>
        <v>P Asiatic ( 14 Inch ) 2 B Daisy ( 12 Inch ) 7   Grass</v>
      </c>
      <c r="P62" s="38" t="str">
        <f>VLOOKUP(A62,'[2]02-07-26'!$A$2:$T$106,20,0)</f>
        <v>P Spray Daisy ( 14 Inch ) 3 Rajni ( 14 Inch ) 7   FF Sachet + Grass</v>
      </c>
      <c r="Q62" s="38" t="str">
        <f>VLOOKUP(A62,'[2]09-07-26'!$A$2:$T$89,20,0)</f>
        <v>Sunflower ( 12 Inch ) 2 P n W Car ( 14 Inch ) 7   FF Sachet + Grass</v>
      </c>
      <c r="R62" s="38" t="str">
        <f>VLOOKUP(A62,'[2]16-07-26'!$A$2:$T$95,20,0)</f>
        <v>O Asiatic ( 14 Inch ) 2 P n W Glad ( 14 Inch ) 7   Grass</v>
      </c>
      <c r="S62" s="38" t="str">
        <f>VLOOKUP(A62,'[2]23-07-26'!$A$2:$T$106,20,0)</f>
        <v>Pur Eustoma ( 12 Inch ) 2 Mix Alstroemeria ( 12 Inch ) 7   FF Sachet + Grass</v>
      </c>
      <c r="T62" s="38" t="s">
        <v>437</v>
      </c>
      <c r="U62" s="38">
        <v>3</v>
      </c>
      <c r="V62" s="38" t="s">
        <v>465</v>
      </c>
      <c r="W62" s="38">
        <v>7</v>
      </c>
      <c r="X62" s="38"/>
      <c r="Y62" s="38"/>
      <c r="Z62" s="38" t="s">
        <v>446</v>
      </c>
      <c r="AA62" s="38"/>
      <c r="AB62" s="38"/>
      <c r="AC62" s="38"/>
      <c r="AD62" s="38"/>
    </row>
    <row r="63" spans="1:30" ht="117.7" customHeight="1" x14ac:dyDescent="0.3">
      <c r="A63" s="9">
        <v>442</v>
      </c>
      <c r="B63" s="15" t="s">
        <v>285</v>
      </c>
      <c r="C63" s="12">
        <v>9871265555</v>
      </c>
      <c r="D63" s="10" t="s">
        <v>286</v>
      </c>
      <c r="E63" s="10" t="s">
        <v>27</v>
      </c>
      <c r="F63" s="9" t="s">
        <v>17</v>
      </c>
      <c r="G63" s="11" t="s">
        <v>18</v>
      </c>
      <c r="H63" s="12">
        <v>1450</v>
      </c>
      <c r="I63" s="12">
        <v>362.5</v>
      </c>
      <c r="J63" s="9" t="s">
        <v>19</v>
      </c>
      <c r="K63" s="9" t="s">
        <v>287</v>
      </c>
      <c r="L63" s="10" t="s">
        <v>161</v>
      </c>
      <c r="M63" s="10" t="s">
        <v>288</v>
      </c>
      <c r="N63" s="13" t="s">
        <v>53</v>
      </c>
      <c r="O63" s="38" t="str">
        <f>VLOOKUP(A63,'[1]25-06-26'!$A$2:$T$86,20,0)</f>
        <v>Pur n P Car ( 14 Inch ) 16     FF Sachet + Grass</v>
      </c>
      <c r="P63" s="38" t="str">
        <f>VLOOKUP(A63,'[2]02-07-26'!$A$2:$T$106,20,0)</f>
        <v>Pur Eustoma ( 12 Inch ) 3     FF Sachet + Grass</v>
      </c>
      <c r="Q63" s="38" t="str">
        <f>VLOOKUP(A63,'[2]09-07-26'!$A$2:$T$89,20,0)</f>
        <v>Rajni ( 14 Inch ) 16     Grass</v>
      </c>
      <c r="R63" s="38" t="str">
        <f>VLOOKUP(A63,'[2]16-07-26'!$A$2:$T$95,20,0)</f>
        <v>P n W Glad ( 14 Inch ) 16     Grass</v>
      </c>
      <c r="S63" s="38" t="str">
        <f>VLOOKUP(A63,'[2]23-07-26'!$A$2:$T$106,20,0)</f>
        <v>Y Asiatic ( 14 inch ) 3     Grass</v>
      </c>
      <c r="T63" s="38" t="s">
        <v>462</v>
      </c>
      <c r="U63" s="38">
        <v>5</v>
      </c>
      <c r="V63" s="38"/>
      <c r="W63" s="38"/>
      <c r="X63" s="38"/>
      <c r="Y63" s="38"/>
      <c r="Z63" s="38" t="s">
        <v>446</v>
      </c>
      <c r="AA63" s="38"/>
      <c r="AB63" s="38"/>
      <c r="AC63" s="38"/>
      <c r="AD63" s="38"/>
    </row>
    <row r="64" spans="1:30" ht="203.65" customHeight="1" x14ac:dyDescent="0.3">
      <c r="A64" s="1">
        <v>203</v>
      </c>
      <c r="B64" s="15" t="s">
        <v>289</v>
      </c>
      <c r="C64" s="12">
        <v>9819355743</v>
      </c>
      <c r="D64" s="12" t="s">
        <v>290</v>
      </c>
      <c r="E64" s="12" t="s">
        <v>89</v>
      </c>
      <c r="F64" s="12" t="s">
        <v>17</v>
      </c>
      <c r="G64" s="12" t="s">
        <v>18</v>
      </c>
      <c r="H64" s="12">
        <v>8648</v>
      </c>
      <c r="I64" s="12">
        <v>2162</v>
      </c>
      <c r="J64" s="12" t="s">
        <v>291</v>
      </c>
      <c r="K64" s="12" t="s">
        <v>292</v>
      </c>
      <c r="L64" s="12"/>
      <c r="M64" s="12"/>
      <c r="N64" s="13" t="s">
        <v>293</v>
      </c>
      <c r="O64" s="38" t="str">
        <f>VLOOKUP(A64,'[1]25-06-26'!$A$2:$T$86,20,0)</f>
        <v>O n W Asiatic ( 14 Inch ) 14 R n P Car ( 14 Inch ) 24   4 Areca Palm + 2 Gypsola + 2 Limonim</v>
      </c>
      <c r="P64" s="38" t="str">
        <f>VLOOKUP(A64,'[2]02-07-26'!$A$2:$T$106,20,0)</f>
        <v>Y n P Asiatic ( 14 Inch ) 14 Pur n W Car ( 14 Inch ) 24   4 Areca Palm + 2 Gypsola + 2 Limonium</v>
      </c>
      <c r="Q64" s="38" t="str">
        <f>VLOOKUP(A64,'[2]09-07-26'!$A$2:$T$89,20,0)</f>
        <v xml:space="preserve">O n W Asiatic ( 14 inch ) 14 P n W Car ( 14 Inch ) 24   </v>
      </c>
      <c r="R64" s="38" t="str">
        <f>VLOOKUP(A64,'[2]16-07-26'!$A$2:$T$95,20,0)</f>
        <v>O n P Asiatic  ( 14 Inch ) 14 G n W Car ( 14 Inch ) 24   4 Areca Palm + 2 Gypsola + 2 Limonium</v>
      </c>
      <c r="S64" s="38" t="str">
        <f>VLOOKUP(A64,'[2]23-07-26'!$A$2:$T$106,20,0)</f>
        <v>Y n W Asiatic ( 14 Inch ) 14 Pur n P Car ( 14 Inch ) 24   4 Areca Palm + 2 Gypsola + 2 Limonium</v>
      </c>
      <c r="T64" s="38" t="s">
        <v>474</v>
      </c>
      <c r="U64" s="38">
        <v>14</v>
      </c>
      <c r="V64" s="38" t="s">
        <v>465</v>
      </c>
      <c r="W64" s="38">
        <v>24</v>
      </c>
      <c r="X64" s="38"/>
      <c r="Y64" s="38"/>
      <c r="Z64" s="38" t="s">
        <v>475</v>
      </c>
      <c r="AA64" s="38"/>
      <c r="AB64" s="38"/>
      <c r="AC64" s="38"/>
      <c r="AD64" s="38"/>
    </row>
    <row r="65" spans="1:30" ht="146.15" customHeight="1" x14ac:dyDescent="0.3">
      <c r="A65" s="1">
        <v>3097</v>
      </c>
      <c r="B65" s="15" t="s">
        <v>294</v>
      </c>
      <c r="C65" s="12">
        <v>7428737502</v>
      </c>
      <c r="D65" s="10" t="s">
        <v>295</v>
      </c>
      <c r="E65" s="10" t="s">
        <v>89</v>
      </c>
      <c r="F65" s="10" t="s">
        <v>17</v>
      </c>
      <c r="G65" s="10" t="s">
        <v>35</v>
      </c>
      <c r="H65" s="12">
        <v>2750</v>
      </c>
      <c r="I65" s="12">
        <v>687.5</v>
      </c>
      <c r="J65" s="10" t="s">
        <v>248</v>
      </c>
      <c r="K65" s="10" t="s">
        <v>296</v>
      </c>
      <c r="L65" s="12"/>
      <c r="M65" s="12"/>
      <c r="N65" s="13" t="s">
        <v>53</v>
      </c>
      <c r="O65" s="38" t="str">
        <f>VLOOKUP(A65,'[1]25-06-26'!$A$2:$T$86,20,0)</f>
        <v>Sunflower ( 12 Inch) 4 B Daisy ( 12 Inch ) 16   2 Limonium + FF Sachet</v>
      </c>
      <c r="P65" s="38" t="str">
        <f>VLOOKUP(A65,'[2]02-07-26'!$A$2:$T$106,20,0)</f>
        <v xml:space="preserve">Pur n P Eustoma ( 12 Inch ) 4 Rajni ( 14 Inch ) 16   </v>
      </c>
      <c r="Q65" s="38" t="e">
        <f>VLOOKUP(A65,'[2]09-07-26'!$A$2:$T$89,20,0)</f>
        <v>#N/A</v>
      </c>
      <c r="R65" s="38" t="e">
        <f>VLOOKUP(A65,'[2]16-07-26'!$A$2:$T$95,20,0)</f>
        <v>#N/A</v>
      </c>
      <c r="S65" s="38" t="str">
        <f>VLOOKUP(A65,'[2]23-07-26'!$A$2:$T$106,20,0)</f>
        <v>Y Asiatic ( 14 inch ) 3 G n W Car ( 14 Inch ) 16   2 Limonium</v>
      </c>
      <c r="T65" s="38" t="s">
        <v>460</v>
      </c>
      <c r="U65" s="38">
        <v>3</v>
      </c>
      <c r="V65" s="38" t="s">
        <v>439</v>
      </c>
      <c r="W65" s="38">
        <v>16</v>
      </c>
      <c r="X65" s="38"/>
      <c r="Y65" s="38"/>
      <c r="Z65" s="38" t="s">
        <v>472</v>
      </c>
      <c r="AA65" s="38"/>
      <c r="AB65" s="38"/>
      <c r="AC65" s="38"/>
      <c r="AD65" s="38"/>
    </row>
    <row r="66" spans="1:30" ht="117.7" customHeight="1" x14ac:dyDescent="0.3">
      <c r="A66" s="1">
        <v>401</v>
      </c>
      <c r="B66" s="15" t="s">
        <v>297</v>
      </c>
      <c r="C66" s="1">
        <v>9899240454</v>
      </c>
      <c r="D66" s="9" t="s">
        <v>298</v>
      </c>
      <c r="E66" s="9" t="s">
        <v>27</v>
      </c>
      <c r="F66" s="9" t="s">
        <v>17</v>
      </c>
      <c r="G66" s="11" t="s">
        <v>299</v>
      </c>
      <c r="H66" s="12">
        <v>1600</v>
      </c>
      <c r="I66" s="12">
        <v>200</v>
      </c>
      <c r="J66" s="10" t="s">
        <v>45</v>
      </c>
      <c r="K66" s="9" t="s">
        <v>300</v>
      </c>
      <c r="L66" s="12"/>
      <c r="M66" s="10" t="s">
        <v>301</v>
      </c>
      <c r="N66" s="13" t="s">
        <v>432</v>
      </c>
      <c r="O66" s="38" t="str">
        <f>VLOOKUP(A66,'[1]25-06-26'!$A$2:$T$86,20,0)</f>
        <v>Sunflower ( 12 Inch) 2     Grass</v>
      </c>
      <c r="P66" s="38" t="str">
        <f>VLOOKUP(A66,'[2]02-07-26'!$A$2:$T$106,20,0)</f>
        <v>P n W Car ( 14 Inch ) 7    Collect Payment FF Sachet + Grass</v>
      </c>
      <c r="Q66" s="38" t="str">
        <f>VLOOKUP(A66,'[2]09-07-26'!$A$2:$T$89,20,0)</f>
        <v>Mix Alstroemeria ( 12Inch ) 7     FF Sachet + Grass</v>
      </c>
      <c r="R66" s="38" t="str">
        <f>VLOOKUP(A66,'[2]16-07-26'!$A$2:$T$95,20,0)</f>
        <v>Rajni ( 14 Inch ) 7     Grass</v>
      </c>
      <c r="S66" s="38" t="str">
        <f>VLOOKUP(A66,'[2]23-07-26'!$A$2:$T$106,20,0)</f>
        <v>G n W Car ( 14 inch ) 7     FF Sachet + Grass</v>
      </c>
      <c r="T66" s="38" t="s">
        <v>439</v>
      </c>
      <c r="U66" s="38">
        <v>7</v>
      </c>
      <c r="V66" s="38"/>
      <c r="W66" s="38"/>
      <c r="X66" s="38"/>
      <c r="Y66" s="38"/>
      <c r="Z66" s="38" t="s">
        <v>446</v>
      </c>
      <c r="AA66" s="38"/>
      <c r="AB66" s="38"/>
      <c r="AC66" s="38"/>
      <c r="AD66" s="38"/>
    </row>
    <row r="67" spans="1:30" ht="117.7" customHeight="1" x14ac:dyDescent="0.3">
      <c r="A67" s="1">
        <v>2774</v>
      </c>
      <c r="B67" s="15" t="s">
        <v>303</v>
      </c>
      <c r="C67" s="12">
        <v>9899589964</v>
      </c>
      <c r="D67" s="10" t="s">
        <v>304</v>
      </c>
      <c r="E67" s="10" t="s">
        <v>16</v>
      </c>
      <c r="F67" s="10" t="s">
        <v>110</v>
      </c>
      <c r="G67" s="11" t="s">
        <v>18</v>
      </c>
      <c r="H67" s="12">
        <v>1600</v>
      </c>
      <c r="I67" s="12">
        <v>200</v>
      </c>
      <c r="J67" s="10" t="s">
        <v>45</v>
      </c>
      <c r="K67" s="12"/>
      <c r="L67" s="12"/>
      <c r="M67" s="12"/>
      <c r="N67" s="13" t="s">
        <v>137</v>
      </c>
      <c r="O67" s="38" t="str">
        <f>VLOOKUP(A67,'[1]25-06-26'!$A$2:$T$86,20,0)</f>
        <v>P n W Glad ( 14 Inch ) 7     Grass</v>
      </c>
      <c r="P67" s="38" t="str">
        <f>VLOOKUP(A67,'[2]02-07-26'!$A$2:$T$106,20,0)</f>
        <v>Rajni ( 14 Inch ) 7     Grass</v>
      </c>
      <c r="Q67" s="38" t="str">
        <f>VLOOKUP(A67,'[2]09-07-26'!$A$2:$T$89,20,0)</f>
        <v>P n W Car ( 14 Inch ) 7     FF Sachet + Grass</v>
      </c>
      <c r="R67" s="38" t="str">
        <f>VLOOKUP(A67,'[2]16-07-26'!$A$2:$T$95,20,0)</f>
        <v>Mix Alstroemeria ( 12 Inch ) 7     FF Sachet + Grass</v>
      </c>
      <c r="S67" s="38" t="str">
        <f>VLOOKUP(A67,'[2]23-07-26'!$A$2:$T$106,20,0)</f>
        <v>Rajni ( 14 Inch ) 7     Grass</v>
      </c>
      <c r="T67" s="38" t="s">
        <v>443</v>
      </c>
      <c r="U67" s="38">
        <v>2</v>
      </c>
      <c r="V67" s="38"/>
      <c r="W67" s="38"/>
      <c r="X67" s="38"/>
      <c r="Y67" s="38"/>
      <c r="Z67" s="38" t="s">
        <v>446</v>
      </c>
      <c r="AA67" s="38"/>
      <c r="AB67" s="38"/>
      <c r="AC67" s="38"/>
      <c r="AD67" s="38"/>
    </row>
    <row r="68" spans="1:30" ht="117.7" customHeight="1" x14ac:dyDescent="0.3">
      <c r="A68" s="1">
        <v>2655</v>
      </c>
      <c r="B68" s="15" t="s">
        <v>305</v>
      </c>
      <c r="C68" s="10" t="s">
        <v>306</v>
      </c>
      <c r="D68" s="10" t="s">
        <v>307</v>
      </c>
      <c r="E68" s="10" t="s">
        <v>308</v>
      </c>
      <c r="F68" s="10" t="s">
        <v>110</v>
      </c>
      <c r="G68" s="11" t="s">
        <v>309</v>
      </c>
      <c r="H68" s="12">
        <v>4000</v>
      </c>
      <c r="I68" s="12">
        <v>500</v>
      </c>
      <c r="J68" s="9" t="s">
        <v>149</v>
      </c>
      <c r="K68" s="10" t="s">
        <v>310</v>
      </c>
      <c r="L68" s="12"/>
      <c r="M68" s="12"/>
      <c r="N68" s="13" t="s">
        <v>114</v>
      </c>
      <c r="O68" s="38" t="e">
        <f>VLOOKUP(A68,'[1]25-06-26'!$A$2:$T$86,20,0)</f>
        <v>#N/A</v>
      </c>
      <c r="P68" s="38" t="e">
        <f>VLOOKUP(A68,'[2]02-07-26'!$A$2:$T$106,20,0)</f>
        <v>#N/A</v>
      </c>
      <c r="Q68" s="38" t="e">
        <f>VLOOKUP(A68,'[2]09-07-26'!$A$2:$T$89,20,0)</f>
        <v>#N/A</v>
      </c>
      <c r="R68" s="38" t="e">
        <f>VLOOKUP(A68,'[2]16-07-26'!$A$2:$T$95,20,0)</f>
        <v>#N/A</v>
      </c>
      <c r="S68" s="38" t="e">
        <f>VLOOKUP(A68,'[2]23-07-26'!$A$2:$T$106,20,0)</f>
        <v>#N/A</v>
      </c>
      <c r="T68" s="38" t="s">
        <v>473</v>
      </c>
      <c r="U68" s="38">
        <v>1</v>
      </c>
      <c r="V68" s="38" t="s">
        <v>342</v>
      </c>
      <c r="W68" s="38"/>
      <c r="X68" s="38"/>
      <c r="Y68" s="38"/>
      <c r="Z68" s="38"/>
      <c r="AA68" s="38"/>
      <c r="AB68" s="38"/>
      <c r="AC68" s="38"/>
      <c r="AD68" s="38"/>
    </row>
    <row r="69" spans="1:30" ht="117.7" customHeight="1" x14ac:dyDescent="0.3">
      <c r="A69" s="1">
        <v>3417</v>
      </c>
      <c r="B69" s="15" t="s">
        <v>311</v>
      </c>
      <c r="C69" s="12">
        <v>7011050555</v>
      </c>
      <c r="D69" s="10" t="s">
        <v>312</v>
      </c>
      <c r="E69" s="10" t="s">
        <v>135</v>
      </c>
      <c r="F69" s="10" t="s">
        <v>17</v>
      </c>
      <c r="G69" s="18" t="s">
        <v>132</v>
      </c>
      <c r="H69" s="12">
        <v>1950</v>
      </c>
      <c r="I69" s="12">
        <v>487.5</v>
      </c>
      <c r="J69" s="10" t="s">
        <v>22</v>
      </c>
      <c r="K69" s="12"/>
      <c r="L69" s="12"/>
      <c r="M69" s="12"/>
      <c r="N69" s="13" t="s">
        <v>313</v>
      </c>
      <c r="O69" s="38" t="e">
        <f>VLOOKUP(A69,'[1]25-06-26'!$A$2:$T$86,20,0)</f>
        <v>#N/A</v>
      </c>
      <c r="P69" s="38" t="e">
        <f>VLOOKUP(A69,'[2]02-07-26'!$A$2:$T$106,20,0)</f>
        <v>#N/A</v>
      </c>
      <c r="Q69" s="38" t="e">
        <f>VLOOKUP(A69,'[2]09-07-26'!$A$2:$T$89,20,0)</f>
        <v>#N/A</v>
      </c>
      <c r="R69" s="38" t="e">
        <f>VLOOKUP(A69,'[2]16-07-26'!$A$2:$T$95,20,0)</f>
        <v>#N/A</v>
      </c>
      <c r="S69" s="38" t="e">
        <f>VLOOKUP(A69,'[2]23-07-26'!$A$2:$T$106,20,0)</f>
        <v>#N/A</v>
      </c>
      <c r="T69" s="38" t="s">
        <v>440</v>
      </c>
      <c r="U69" s="38">
        <v>22</v>
      </c>
      <c r="V69" s="38"/>
      <c r="W69" s="38"/>
      <c r="X69" s="38" t="s">
        <v>436</v>
      </c>
      <c r="Y69" s="38" t="s">
        <v>436</v>
      </c>
      <c r="Z69" s="38" t="s">
        <v>446</v>
      </c>
      <c r="AA69" s="38"/>
      <c r="AB69" s="38"/>
      <c r="AC69" s="38"/>
      <c r="AD69" s="38"/>
    </row>
    <row r="70" spans="1:30" ht="117.7" customHeight="1" x14ac:dyDescent="0.3">
      <c r="A70" s="1">
        <v>2205</v>
      </c>
      <c r="B70" s="15" t="s">
        <v>314</v>
      </c>
      <c r="C70" s="1">
        <v>9811981626</v>
      </c>
      <c r="D70" s="1" t="s">
        <v>315</v>
      </c>
      <c r="E70" s="10" t="s">
        <v>16</v>
      </c>
      <c r="F70" s="10" t="s">
        <v>17</v>
      </c>
      <c r="G70" s="11" t="s">
        <v>18</v>
      </c>
      <c r="H70" s="12">
        <v>1450</v>
      </c>
      <c r="I70" s="12">
        <v>362.5</v>
      </c>
      <c r="J70" s="10" t="s">
        <v>19</v>
      </c>
      <c r="K70" s="10" t="s">
        <v>316</v>
      </c>
      <c r="L70" s="10" t="s">
        <v>128</v>
      </c>
      <c r="M70" s="10" t="s">
        <v>317</v>
      </c>
      <c r="N70" s="13" t="s">
        <v>53</v>
      </c>
      <c r="O70" s="38" t="str">
        <f>VLOOKUP(A70,'[1]25-06-26'!$A$2:$T$86,20,0)</f>
        <v>B Daisy ( 12 Inch ) 16     Grass</v>
      </c>
      <c r="P70" s="38" t="str">
        <f>VLOOKUP(A70,'[2]02-07-26'!$A$2:$T$106,20,0)</f>
        <v>P Asiatic ( 14 Inch ) 3     Grass</v>
      </c>
      <c r="Q70" s="38" t="str">
        <f>VLOOKUP(A70,'[2]09-07-26'!$A$2:$T$89,20,0)</f>
        <v>Rajni ( 14 Inch ) 16     Grass</v>
      </c>
      <c r="R70" s="38" t="str">
        <f>VLOOKUP(A70,'[2]16-07-26'!$A$2:$T$95,20,0)</f>
        <v>G n W Car ( 14 Inch ) 16     FF Sachet + Grass</v>
      </c>
      <c r="S70" s="38" t="str">
        <f>VLOOKUP(A70,'[2]23-07-26'!$A$2:$T$106,20,0)</f>
        <v>Mix Glad ( 14 Inch ) 16     Grass</v>
      </c>
      <c r="T70" s="38" t="s">
        <v>462</v>
      </c>
      <c r="U70" s="38">
        <v>5</v>
      </c>
      <c r="V70" s="38"/>
      <c r="W70" s="38"/>
      <c r="X70" s="38"/>
      <c r="Y70" s="38"/>
      <c r="Z70" s="38" t="s">
        <v>446</v>
      </c>
      <c r="AA70" s="38"/>
      <c r="AB70" s="38"/>
      <c r="AC70" s="38"/>
      <c r="AD70" s="38"/>
    </row>
    <row r="71" spans="1:30" ht="117.7" customHeight="1" x14ac:dyDescent="0.3">
      <c r="A71" s="1">
        <v>1438</v>
      </c>
      <c r="B71" s="36" t="s">
        <v>318</v>
      </c>
      <c r="C71" s="12">
        <v>9884857311</v>
      </c>
      <c r="D71" s="10" t="s">
        <v>319</v>
      </c>
      <c r="E71" s="10" t="s">
        <v>27</v>
      </c>
      <c r="F71" s="10" t="s">
        <v>17</v>
      </c>
      <c r="G71" s="11" t="s">
        <v>18</v>
      </c>
      <c r="H71" s="12">
        <v>1600</v>
      </c>
      <c r="I71" s="12">
        <v>200</v>
      </c>
      <c r="J71" s="35" t="s">
        <v>45</v>
      </c>
      <c r="K71" s="10" t="s">
        <v>320</v>
      </c>
      <c r="L71" s="12"/>
      <c r="M71" s="12"/>
      <c r="N71" s="13" t="s">
        <v>302</v>
      </c>
      <c r="O71" s="38" t="str">
        <f>VLOOKUP(A71,'[1]25-06-26'!$A$2:$T$86,20,0)</f>
        <v>P n W Car ( 14 inch ) 7     FF Sachet + Grass</v>
      </c>
      <c r="P71" s="38" t="str">
        <f>VLOOKUP(A71,'[2]02-07-26'!$A$2:$T$106,20,0)</f>
        <v>P n W Glad ( 14 Inch ) 7     Grass</v>
      </c>
      <c r="Q71" s="38" t="str">
        <f>VLOOKUP(A71,'[2]09-07-26'!$A$2:$T$89,20,0)</f>
        <v>Rajni ( 14 Inch ) 7   Collect Payment Collect Payment Grass</v>
      </c>
      <c r="R71" s="38" t="str">
        <f>VLOOKUP(A71,'[2]16-07-26'!$A$2:$T$95,20,0)</f>
        <v>Y Spray Daisy ( 14 Inch ) 2     FF Sachet + Grass</v>
      </c>
      <c r="S71" s="38" t="str">
        <f>VLOOKUP(A71,'[2]23-07-26'!$A$2:$T$106,20,0)</f>
        <v>Y Spray Daisy ( 14 Inch ) 2     FF Sachet + Grass</v>
      </c>
      <c r="T71" s="38" t="s">
        <v>444</v>
      </c>
      <c r="U71" s="38">
        <v>7</v>
      </c>
      <c r="V71" s="38"/>
      <c r="W71" s="38"/>
      <c r="X71" s="38"/>
      <c r="Y71" s="38"/>
      <c r="Z71" s="38" t="s">
        <v>447</v>
      </c>
      <c r="AA71" s="38"/>
      <c r="AB71" s="38"/>
      <c r="AC71" s="38"/>
      <c r="AD71" s="38"/>
    </row>
    <row r="72" spans="1:30" ht="117.7" customHeight="1" x14ac:dyDescent="0.3">
      <c r="A72" s="1">
        <v>2246</v>
      </c>
      <c r="B72" s="15" t="s">
        <v>321</v>
      </c>
      <c r="C72" s="12">
        <v>9811985450</v>
      </c>
      <c r="D72" s="12" t="s">
        <v>322</v>
      </c>
      <c r="E72" s="12" t="s">
        <v>16</v>
      </c>
      <c r="F72" s="12" t="s">
        <v>17</v>
      </c>
      <c r="G72" s="12" t="s">
        <v>18</v>
      </c>
      <c r="H72" s="12">
        <v>1600</v>
      </c>
      <c r="I72" s="12">
        <v>200</v>
      </c>
      <c r="J72" s="10" t="s">
        <v>45</v>
      </c>
      <c r="K72" s="10" t="s">
        <v>323</v>
      </c>
      <c r="L72" s="12" t="s">
        <v>324</v>
      </c>
      <c r="M72" s="10" t="s">
        <v>325</v>
      </c>
      <c r="N72" s="13" t="s">
        <v>302</v>
      </c>
      <c r="O72" s="38" t="str">
        <f>VLOOKUP(A72,'[1]25-06-26'!$A$2:$T$86,20,0)</f>
        <v>P n W Glad ( 14 Inch ) 7     Grass</v>
      </c>
      <c r="P72" s="38" t="str">
        <f>VLOOKUP(A72,'[2]02-07-26'!$A$2:$T$106,20,0)</f>
        <v>P n W Car ( 14 Inch ) 7     FF Sachet + Grass</v>
      </c>
      <c r="Q72" s="38" t="str">
        <f>VLOOKUP(A72,'[2]09-07-26'!$A$2:$T$89,20,0)</f>
        <v>Sunflower ( 12 Inch ) 2     FF Sachet + Grass</v>
      </c>
      <c r="R72" s="38" t="str">
        <f>VLOOKUP(A72,'[2]16-07-26'!$A$2:$T$95,20,0)</f>
        <v>P n W Glad ( 14 Inch ) 7     Grass</v>
      </c>
      <c r="S72" s="38" t="str">
        <f>VLOOKUP(A72,'[2]23-07-26'!$A$2:$T$106,20,0)</f>
        <v>Y Spray Daisy ( 14 Inch ) 2     FF Sachet + Grass</v>
      </c>
      <c r="T72" s="38" t="s">
        <v>439</v>
      </c>
      <c r="U72" s="38">
        <v>7</v>
      </c>
      <c r="V72" s="38"/>
      <c r="W72" s="38"/>
      <c r="X72" s="38"/>
      <c r="Y72" s="38"/>
      <c r="Z72" s="38" t="s">
        <v>446</v>
      </c>
      <c r="AA72" s="38"/>
      <c r="AB72" s="38"/>
      <c r="AC72" s="38"/>
      <c r="AD72" s="38"/>
    </row>
    <row r="73" spans="1:30" ht="117.7" customHeight="1" x14ac:dyDescent="0.3">
      <c r="A73" s="1">
        <v>2502</v>
      </c>
      <c r="B73" s="15" t="s">
        <v>326</v>
      </c>
      <c r="C73" s="12">
        <v>7028026940</v>
      </c>
      <c r="D73" s="10" t="s">
        <v>327</v>
      </c>
      <c r="E73" s="10" t="s">
        <v>135</v>
      </c>
      <c r="F73" s="10" t="s">
        <v>17</v>
      </c>
      <c r="G73" s="18" t="s">
        <v>44</v>
      </c>
      <c r="H73" s="12">
        <v>1450</v>
      </c>
      <c r="I73" s="12">
        <v>362.5</v>
      </c>
      <c r="J73" s="10" t="s">
        <v>19</v>
      </c>
      <c r="K73" s="10" t="s">
        <v>328</v>
      </c>
      <c r="L73" s="10" t="s">
        <v>329</v>
      </c>
      <c r="M73" s="10" t="s">
        <v>330</v>
      </c>
      <c r="N73" s="13" t="s">
        <v>331</v>
      </c>
      <c r="O73" s="38" t="e">
        <f>VLOOKUP(A73,'[1]25-06-26'!$A$2:$T$86,20,0)</f>
        <v>#N/A</v>
      </c>
      <c r="P73" s="38" t="str">
        <f>VLOOKUP(A73,'[2]02-07-26'!$A$2:$T$106,20,0)</f>
        <v>Pur n P Car ( 14 Inch ) 16     FF Sachet + Grass</v>
      </c>
      <c r="Q73" s="38" t="str">
        <f>VLOOKUP(A73,'[2]09-07-26'!$A$2:$T$89,20,0)</f>
        <v>O Asiatic ( ( 14 inch ) 3     Grass</v>
      </c>
      <c r="R73" s="38" t="str">
        <f>VLOOKUP(A73,'[2]16-07-26'!$A$2:$T$95,20,0)</f>
        <v>Mix Car ( 14 Inch ) 16     Grass</v>
      </c>
      <c r="S73" s="38" t="str">
        <f>VLOOKUP(A73,'[2]23-07-26'!$A$2:$T$106,20,0)</f>
        <v>P n Y Spray Daisy ( 14 Inch ) 5     FF Sachet + Grass</v>
      </c>
      <c r="T73" s="38" t="s">
        <v>441</v>
      </c>
      <c r="U73" s="38">
        <v>16</v>
      </c>
      <c r="V73" s="38"/>
      <c r="W73" s="38"/>
      <c r="X73" s="38"/>
      <c r="Y73" s="38"/>
      <c r="Z73" s="38" t="s">
        <v>446</v>
      </c>
      <c r="AA73" s="38"/>
      <c r="AB73" s="38"/>
      <c r="AC73" s="38"/>
      <c r="AD73" s="38"/>
    </row>
    <row r="74" spans="1:30" ht="117.7" customHeight="1" x14ac:dyDescent="0.3">
      <c r="A74" s="1">
        <v>2104</v>
      </c>
      <c r="B74" s="15" t="s">
        <v>332</v>
      </c>
      <c r="C74" s="12">
        <v>9999072697</v>
      </c>
      <c r="D74" s="12" t="s">
        <v>333</v>
      </c>
      <c r="E74" s="12" t="s">
        <v>16</v>
      </c>
      <c r="F74" s="10" t="s">
        <v>17</v>
      </c>
      <c r="G74" s="12" t="s">
        <v>40</v>
      </c>
      <c r="H74" s="12">
        <v>400</v>
      </c>
      <c r="I74" s="12">
        <v>100</v>
      </c>
      <c r="J74" s="12" t="s">
        <v>291</v>
      </c>
      <c r="K74" s="12" t="s">
        <v>334</v>
      </c>
      <c r="L74" s="12"/>
      <c r="M74" s="12"/>
      <c r="N74" s="13" t="s">
        <v>114</v>
      </c>
      <c r="O74" s="38" t="str">
        <f>VLOOKUP(A74,'[1]25-06-26'!$A$2:$T$86,20,0)</f>
        <v xml:space="preserve">Broken Flowers  5 1 Shop    </v>
      </c>
      <c r="P74" s="38" t="str">
        <f>VLOOKUP(A74,'[2]02-07-26'!$A$2:$T$106,20,0)</f>
        <v xml:space="preserve">Broken Flowers  5     </v>
      </c>
      <c r="Q74" s="38" t="str">
        <f>VLOOKUP(A74,'[2]09-07-26'!$A$2:$T$89,20,0)</f>
        <v xml:space="preserve">Broken Flowers  5 1 Shop    </v>
      </c>
      <c r="R74" s="38" t="str">
        <f>VLOOKUP(A74,'[2]16-07-26'!$A$2:$T$95,20,0)</f>
        <v xml:space="preserve">Broken Flowers  5 1 Shop    </v>
      </c>
      <c r="S74" s="38" t="str">
        <f>VLOOKUP(A74,'[2]23-07-26'!$A$2:$T$106,20,0)</f>
        <v>Broken Flowers  5 1 Shop    Grass</v>
      </c>
      <c r="T74" s="38" t="s">
        <v>466</v>
      </c>
      <c r="U74" s="38"/>
      <c r="V74" s="38"/>
      <c r="W74" s="38"/>
      <c r="X74" s="38"/>
      <c r="Y74" s="38"/>
      <c r="Z74" s="38" t="s">
        <v>447</v>
      </c>
      <c r="AA74" s="38"/>
      <c r="AB74" s="38"/>
      <c r="AC74" s="38"/>
      <c r="AD74" s="38"/>
    </row>
    <row r="75" spans="1:30" ht="117.7" customHeight="1" x14ac:dyDescent="0.3">
      <c r="A75" s="9" t="s">
        <v>335</v>
      </c>
      <c r="B75" s="15" t="s">
        <v>336</v>
      </c>
      <c r="C75" s="12">
        <v>9958290344</v>
      </c>
      <c r="D75" s="10" t="s">
        <v>337</v>
      </c>
      <c r="E75" s="10" t="s">
        <v>234</v>
      </c>
      <c r="F75" s="10" t="s">
        <v>17</v>
      </c>
      <c r="G75" s="10" t="s">
        <v>338</v>
      </c>
      <c r="H75" s="12">
        <v>1200</v>
      </c>
      <c r="I75" s="12">
        <v>1200</v>
      </c>
      <c r="J75" s="10" t="s">
        <v>112</v>
      </c>
      <c r="K75" s="10" t="s">
        <v>339</v>
      </c>
      <c r="L75" s="12"/>
      <c r="M75" s="12"/>
      <c r="N75" s="13" t="s">
        <v>53</v>
      </c>
      <c r="O75" s="38" t="e">
        <f>VLOOKUP(A75,'[1]25-06-26'!$A$2:$T$86,20,0)</f>
        <v>#N/A</v>
      </c>
      <c r="P75" s="38" t="e">
        <f>VLOOKUP(A75,'[2]02-07-26'!$A$2:$T$106,20,0)</f>
        <v>#N/A</v>
      </c>
      <c r="Q75" s="38" t="e">
        <f>VLOOKUP(A75,'[2]09-07-26'!$A$2:$T$89,20,0)</f>
        <v>#N/A</v>
      </c>
      <c r="R75" s="38" t="e">
        <f>VLOOKUP(A75,'[2]16-07-26'!$A$2:$T$95,20,0)</f>
        <v>#N/A</v>
      </c>
      <c r="S75" s="38" t="e">
        <f>VLOOKUP(A75,'[2]23-07-26'!$A$2:$T$106,20,0)</f>
        <v>#N/A</v>
      </c>
      <c r="T75" s="38" t="s">
        <v>450</v>
      </c>
      <c r="U75" s="38">
        <v>6</v>
      </c>
      <c r="V75" s="38" t="s">
        <v>448</v>
      </c>
      <c r="W75" s="38"/>
      <c r="X75" s="38"/>
      <c r="Y75" s="38"/>
      <c r="Z75" s="38"/>
      <c r="AA75" s="38"/>
      <c r="AB75" s="38"/>
      <c r="AC75" s="38"/>
      <c r="AD75" s="38"/>
    </row>
    <row r="76" spans="1:30" ht="117.7" customHeight="1" x14ac:dyDescent="0.3">
      <c r="A76" s="1">
        <v>2355</v>
      </c>
      <c r="B76" s="15" t="s">
        <v>340</v>
      </c>
      <c r="C76" s="12">
        <v>9810031208</v>
      </c>
      <c r="D76" s="10" t="s">
        <v>341</v>
      </c>
      <c r="E76" s="10" t="s">
        <v>89</v>
      </c>
      <c r="F76" s="10" t="s">
        <v>17</v>
      </c>
      <c r="G76" s="10" t="s">
        <v>342</v>
      </c>
      <c r="H76" s="12">
        <v>2750</v>
      </c>
      <c r="I76" s="12">
        <v>687.5</v>
      </c>
      <c r="J76" s="10" t="s">
        <v>149</v>
      </c>
      <c r="K76" s="10" t="s">
        <v>343</v>
      </c>
      <c r="L76" s="12"/>
      <c r="M76" s="12"/>
      <c r="N76" s="13" t="s">
        <v>114</v>
      </c>
      <c r="O76" s="38" t="e">
        <f>VLOOKUP(A76,'[1]25-06-26'!$A$2:$T$86,20,0)</f>
        <v>#N/A</v>
      </c>
      <c r="P76" s="38" t="e">
        <f>VLOOKUP(A76,'[2]02-07-26'!$A$2:$T$106,20,0)</f>
        <v>#N/A</v>
      </c>
      <c r="Q76" s="38" t="str">
        <f>VLOOKUP(A76,'[2]09-07-26'!$A$2:$T$89,20,0)</f>
        <v>Rajni ( 14 Inch ) 32     2 Limonium</v>
      </c>
      <c r="R76" s="38" t="str">
        <f>VLOOKUP(A76,'[2]16-07-26'!$A$2:$T$95,20,0)</f>
        <v>P n Y Spray Daisy ( 14 Inch ) 10     2 Gypsola + FF Sachet</v>
      </c>
      <c r="S76" s="38" t="str">
        <f>VLOOKUP(A76,'[2]23-07-26'!$A$2:$T$106,20,0)</f>
        <v>O Asiatic ( 14 Inch ) 6     2 Limonium</v>
      </c>
      <c r="T76" s="38" t="s">
        <v>439</v>
      </c>
      <c r="U76" s="38">
        <v>32</v>
      </c>
      <c r="V76" s="38"/>
      <c r="W76" s="38"/>
      <c r="X76" s="38"/>
      <c r="Y76" s="38"/>
      <c r="Z76" s="38" t="s">
        <v>472</v>
      </c>
      <c r="AA76" s="38"/>
      <c r="AB76" s="38"/>
      <c r="AC76" s="38"/>
      <c r="AD76" s="38"/>
    </row>
    <row r="77" spans="1:30" ht="117.7" customHeight="1" x14ac:dyDescent="0.3">
      <c r="A77" s="1">
        <v>484</v>
      </c>
      <c r="B77" s="32" t="s">
        <v>344</v>
      </c>
      <c r="C77" s="1">
        <v>9811230451</v>
      </c>
      <c r="D77" s="9" t="s">
        <v>345</v>
      </c>
      <c r="E77" s="9" t="s">
        <v>27</v>
      </c>
      <c r="F77" s="9" t="s">
        <v>17</v>
      </c>
      <c r="G77" s="27" t="s">
        <v>142</v>
      </c>
      <c r="H77" s="12">
        <v>1950</v>
      </c>
      <c r="I77" s="12">
        <v>487.5</v>
      </c>
      <c r="J77" s="10" t="s">
        <v>22</v>
      </c>
      <c r="K77" s="9" t="s">
        <v>346</v>
      </c>
      <c r="L77" s="10" t="s">
        <v>347</v>
      </c>
      <c r="M77" s="12"/>
      <c r="N77" s="13" t="s">
        <v>313</v>
      </c>
      <c r="O77" s="38" t="e">
        <f>VLOOKUP(A77,'[1]25-06-26'!$A$2:$T$86,20,0)</f>
        <v>#N/A</v>
      </c>
      <c r="P77" s="38" t="str">
        <f>VLOOKUP(A77,'[2]02-07-26'!$A$2:$T$106,20,0)</f>
        <v>Pur n P Car ( 14 Inch ) 22     FF Sachet + Grass</v>
      </c>
      <c r="Q77" s="38" t="str">
        <f>VLOOKUP(A77,'[2]09-07-26'!$A$2:$T$89,20,0)</f>
        <v>Rajni ( 14 Inch ) 22   Collect Payment Collect Payment Grass</v>
      </c>
      <c r="R77" s="38" t="str">
        <f>VLOOKUP(A77,'[2]16-07-26'!$A$2:$T$95,20,0)</f>
        <v>O Asiatic ( 14 Inch ) 4     Grass</v>
      </c>
      <c r="S77" s="38" t="str">
        <f>VLOOKUP(A77,'[2]23-07-26'!$A$2:$T$106,20,0)</f>
        <v>P n Y Spray Daisy ( 14 Inch ) 7     FF Sachet + Grass</v>
      </c>
      <c r="T77" s="38" t="s">
        <v>441</v>
      </c>
      <c r="U77" s="38">
        <v>22</v>
      </c>
      <c r="V77" s="38"/>
      <c r="W77" s="38"/>
      <c r="X77" s="38"/>
      <c r="Y77" s="38"/>
      <c r="Z77" s="38" t="s">
        <v>446</v>
      </c>
      <c r="AA77" s="38"/>
      <c r="AB77" s="38"/>
      <c r="AC77" s="38"/>
      <c r="AD77" s="38"/>
    </row>
    <row r="78" spans="1:30" ht="117.7" customHeight="1" x14ac:dyDescent="0.3">
      <c r="A78" s="1">
        <v>396</v>
      </c>
      <c r="B78" s="15" t="s">
        <v>348</v>
      </c>
      <c r="C78" s="1">
        <v>8860079525</v>
      </c>
      <c r="D78" s="1" t="s">
        <v>233</v>
      </c>
      <c r="E78" s="1" t="s">
        <v>234</v>
      </c>
      <c r="F78" s="9" t="s">
        <v>17</v>
      </c>
      <c r="G78" s="18" t="s">
        <v>132</v>
      </c>
      <c r="H78" s="12">
        <v>1450</v>
      </c>
      <c r="I78" s="12">
        <v>362.5</v>
      </c>
      <c r="J78" s="9" t="s">
        <v>149</v>
      </c>
      <c r="K78" s="9" t="s">
        <v>349</v>
      </c>
      <c r="L78" s="12"/>
      <c r="M78" s="12"/>
      <c r="N78" s="13" t="s">
        <v>114</v>
      </c>
      <c r="O78" s="38" t="str">
        <f>VLOOKUP(A78,'[1]25-06-26'!$A$2:$T$86,20,0)</f>
        <v>Rajni ( 14 Inch ) 16     Grass</v>
      </c>
      <c r="P78" s="38" t="str">
        <f>VLOOKUP(A78,'[2]02-07-26'!$A$2:$T$106,20,0)</f>
        <v>P n W Glad ( 14 Inch ) 16     Grass</v>
      </c>
      <c r="Q78" s="38" t="str">
        <f>VLOOKUP(A78,'[2]09-07-26'!$A$2:$T$89,20,0)</f>
        <v>P n W Car ( 14 Inch ) 16     FF Sachet + Grass</v>
      </c>
      <c r="R78" s="38" t="str">
        <f>VLOOKUP(A78,'[2]16-07-26'!$A$2:$T$95,20,0)</f>
        <v>Rajni ( 14 Inch ) 16     Grass</v>
      </c>
      <c r="S78" s="38" t="str">
        <f>VLOOKUP(A78,'[2]23-07-26'!$A$2:$T$106,20,0)</f>
        <v>B Daisy 10     Grass</v>
      </c>
      <c r="T78" s="38" t="s">
        <v>441</v>
      </c>
      <c r="U78" s="38">
        <v>16</v>
      </c>
      <c r="V78" s="38"/>
      <c r="W78" s="38"/>
      <c r="X78" s="38"/>
      <c r="Y78" s="38"/>
      <c r="Z78" s="38" t="s">
        <v>446</v>
      </c>
      <c r="AA78" s="38"/>
      <c r="AB78" s="38"/>
      <c r="AC78" s="38"/>
      <c r="AD78" s="38"/>
    </row>
    <row r="79" spans="1:30" ht="117.7" customHeight="1" x14ac:dyDescent="0.3">
      <c r="A79" s="1">
        <v>922</v>
      </c>
      <c r="B79" s="15" t="s">
        <v>348</v>
      </c>
      <c r="C79" s="1">
        <v>8860079525</v>
      </c>
      <c r="D79" s="1" t="s">
        <v>233</v>
      </c>
      <c r="E79" s="1" t="s">
        <v>234</v>
      </c>
      <c r="F79" s="9" t="s">
        <v>17</v>
      </c>
      <c r="G79" s="18" t="s">
        <v>132</v>
      </c>
      <c r="H79" s="12">
        <v>1450</v>
      </c>
      <c r="I79" s="12">
        <v>362.5</v>
      </c>
      <c r="J79" s="9" t="s">
        <v>149</v>
      </c>
      <c r="K79" s="9" t="s">
        <v>349</v>
      </c>
      <c r="L79" s="12"/>
      <c r="M79" s="12"/>
      <c r="N79" s="13" t="s">
        <v>114</v>
      </c>
      <c r="O79" s="38" t="str">
        <f>VLOOKUP(A79,'[1]25-06-26'!$A$2:$T$86,20,0)</f>
        <v>Pur Eustoma ( 12 Inch ) 3     FF Sachet + Grass</v>
      </c>
      <c r="P79" s="38" t="str">
        <f>VLOOKUP(A79,'[2]02-07-26'!$A$2:$T$106,20,0)</f>
        <v>P Asiatic ( 14 Inch ) 3     Grass</v>
      </c>
      <c r="Q79" s="38" t="str">
        <f>VLOOKUP(A79,'[2]09-07-26'!$A$2:$T$89,20,0)</f>
        <v>W Asiatic ( 14 Inch ) 3     Grass</v>
      </c>
      <c r="R79" s="38" t="str">
        <f>VLOOKUP(A79,'[2]16-07-26'!$A$2:$T$95,20,0)</f>
        <v>O Asiatic ( 14 Inch ) 3     Grass</v>
      </c>
      <c r="S79" s="38" t="str">
        <f>VLOOKUP(A79,'[2]23-07-26'!$A$2:$T$106,20,0)</f>
        <v>P n Y Spray Daisy ( 14 Inch ) 5     FF Sachet + Grass</v>
      </c>
      <c r="T79" s="38" t="s">
        <v>445</v>
      </c>
      <c r="U79" s="38">
        <v>3</v>
      </c>
      <c r="V79" s="38"/>
      <c r="W79" s="38"/>
      <c r="X79" s="38"/>
      <c r="Y79" s="38"/>
      <c r="Z79" s="38" t="s">
        <v>447</v>
      </c>
      <c r="AA79" s="38"/>
      <c r="AB79" s="38"/>
      <c r="AC79" s="38"/>
      <c r="AD79" s="38"/>
    </row>
    <row r="80" spans="1:30" ht="117.7" customHeight="1" x14ac:dyDescent="0.3">
      <c r="A80" s="9" t="s">
        <v>350</v>
      </c>
      <c r="B80" s="15" t="s">
        <v>351</v>
      </c>
      <c r="C80" s="10">
        <v>9015463811</v>
      </c>
      <c r="D80" s="10" t="s">
        <v>352</v>
      </c>
      <c r="E80" s="10" t="s">
        <v>89</v>
      </c>
      <c r="F80" s="10" t="s">
        <v>17</v>
      </c>
      <c r="G80" s="18" t="s">
        <v>44</v>
      </c>
      <c r="H80" s="12">
        <v>2750</v>
      </c>
      <c r="I80" s="12">
        <v>687.5</v>
      </c>
      <c r="J80" s="10" t="s">
        <v>248</v>
      </c>
      <c r="K80" s="10" t="s">
        <v>353</v>
      </c>
      <c r="L80" s="10"/>
      <c r="M80" s="10" t="s">
        <v>354</v>
      </c>
      <c r="N80" s="13" t="s">
        <v>114</v>
      </c>
      <c r="O80" s="38" t="str">
        <f>VLOOKUP(A80,'[1]25-06-26'!$A$2:$T$86,20,0)</f>
        <v>P Asiatic ( 14 Inch ) 3 B Daisy ( 12 Inch ) 16   2 Limonium</v>
      </c>
      <c r="P80" s="38" t="str">
        <f>VLOOKUP(A80,'[2]02-07-26'!$A$2:$T$106,20,0)</f>
        <v xml:space="preserve">Eustoma 4 Rajni ( 14 Inch ) 16   2 Gypsola + FF Sachet </v>
      </c>
      <c r="Q80" s="38" t="str">
        <f>VLOOKUP(A80,'[2]09-07-26'!$A$2:$T$89,20,0)</f>
        <v>Sunflower ( 12 Inch ) 4 B Daisy ( 12 Inch ) 16   2 Limonium + FF Sachet</v>
      </c>
      <c r="R80" s="38" t="str">
        <f>VLOOKUP(A80,'[2]16-07-26'!$A$2:$T$95,20,0)</f>
        <v>P n W Spray Daisy ( 14 Inch ) 5 P n W Car ( 14 Inch ) 16   2 Gypsola + FF Sachet</v>
      </c>
      <c r="S80" s="38" t="str">
        <f>VLOOKUP(A80,'[2]23-07-26'!$A$2:$T$106,20,0)</f>
        <v>O Asiatic ( 14 Inch ) 3 Rajni 16   2 Limonium</v>
      </c>
      <c r="T80" s="38" t="s">
        <v>471</v>
      </c>
      <c r="U80" s="38">
        <v>4</v>
      </c>
      <c r="V80" s="38" t="s">
        <v>439</v>
      </c>
      <c r="W80" s="38">
        <v>16</v>
      </c>
      <c r="X80" s="38"/>
      <c r="Y80" s="38"/>
      <c r="Z80" s="38" t="s">
        <v>472</v>
      </c>
      <c r="AA80" s="38"/>
      <c r="AB80" s="38"/>
      <c r="AC80" s="38"/>
      <c r="AD80" s="38"/>
    </row>
    <row r="81" spans="1:30" ht="117.7" customHeight="1" x14ac:dyDescent="0.3">
      <c r="A81" s="9" t="s">
        <v>355</v>
      </c>
      <c r="B81" s="15" t="s">
        <v>356</v>
      </c>
      <c r="C81" s="12">
        <v>9910577608</v>
      </c>
      <c r="D81" s="10" t="s">
        <v>357</v>
      </c>
      <c r="E81" s="10" t="s">
        <v>308</v>
      </c>
      <c r="F81" s="10" t="s">
        <v>17</v>
      </c>
      <c r="G81" s="10" t="s">
        <v>111</v>
      </c>
      <c r="H81" s="12">
        <v>2300</v>
      </c>
      <c r="I81" s="12">
        <v>2300</v>
      </c>
      <c r="J81" s="10" t="s">
        <v>112</v>
      </c>
      <c r="K81" s="10" t="s">
        <v>358</v>
      </c>
      <c r="L81" s="12"/>
      <c r="M81" s="12"/>
      <c r="N81" s="13" t="s">
        <v>53</v>
      </c>
      <c r="O81" s="38" t="e">
        <f>VLOOKUP(A81,'[1]25-06-26'!$A$2:$T$86,20,0)</f>
        <v>#N/A</v>
      </c>
      <c r="P81" s="38" t="e">
        <f>VLOOKUP(A81,'[2]02-07-26'!$A$2:$T$106,20,0)</f>
        <v>#N/A</v>
      </c>
      <c r="Q81" s="38" t="e">
        <f>VLOOKUP(A81,'[2]09-07-26'!$A$2:$T$89,20,0)</f>
        <v>#N/A</v>
      </c>
      <c r="R81" s="38" t="e">
        <f>VLOOKUP(A81,'[2]16-07-26'!$A$2:$T$95,20,0)</f>
        <v>#N/A</v>
      </c>
      <c r="S81" s="38" t="e">
        <f>VLOOKUP(A81,'[2]23-07-26'!$A$2:$T$106,20,0)</f>
        <v>#N/A</v>
      </c>
      <c r="T81" s="38" t="s">
        <v>451</v>
      </c>
      <c r="U81" s="38">
        <v>40</v>
      </c>
      <c r="V81" s="38" t="s">
        <v>452</v>
      </c>
      <c r="W81" s="38" t="s">
        <v>449</v>
      </c>
      <c r="X81" s="38"/>
      <c r="Y81" s="38"/>
      <c r="Z81" s="38"/>
      <c r="AA81" s="38"/>
      <c r="AB81" s="38"/>
      <c r="AC81" s="38"/>
      <c r="AD81" s="38"/>
    </row>
    <row r="82" spans="1:30" ht="117.7" customHeight="1" x14ac:dyDescent="0.3">
      <c r="A82" s="9" t="s">
        <v>359</v>
      </c>
      <c r="B82" s="15" t="s">
        <v>356</v>
      </c>
      <c r="C82" s="12">
        <v>9910577608</v>
      </c>
      <c r="D82" s="10" t="s">
        <v>357</v>
      </c>
      <c r="E82" s="10" t="s">
        <v>308</v>
      </c>
      <c r="F82" s="10" t="s">
        <v>17</v>
      </c>
      <c r="G82" s="10" t="s">
        <v>111</v>
      </c>
      <c r="H82" s="12">
        <v>1700</v>
      </c>
      <c r="I82" s="12">
        <v>1700</v>
      </c>
      <c r="J82" s="10" t="s">
        <v>112</v>
      </c>
      <c r="K82" s="10" t="s">
        <v>360</v>
      </c>
      <c r="L82" s="12"/>
      <c r="M82" s="12"/>
      <c r="N82" s="13" t="s">
        <v>53</v>
      </c>
      <c r="O82" s="38" t="e">
        <f>VLOOKUP(A82,'[1]25-06-26'!$A$2:$T$86,20,0)</f>
        <v>#N/A</v>
      </c>
      <c r="P82" s="38" t="e">
        <f>VLOOKUP(A82,'[2]02-07-26'!$A$2:$T$106,20,0)</f>
        <v>#N/A</v>
      </c>
      <c r="Q82" s="38" t="e">
        <f>VLOOKUP(A82,'[2]09-07-26'!$A$2:$T$89,20,0)</f>
        <v>#N/A</v>
      </c>
      <c r="R82" s="38" t="e">
        <f>VLOOKUP(A82,'[2]16-07-26'!$A$2:$T$95,20,0)</f>
        <v>#N/A</v>
      </c>
      <c r="S82" s="38" t="e">
        <f>VLOOKUP(A82,'[2]23-07-26'!$A$2:$T$106,20,0)</f>
        <v>#N/A</v>
      </c>
      <c r="T82" s="38" t="s">
        <v>453</v>
      </c>
      <c r="U82" s="38" t="s">
        <v>454</v>
      </c>
      <c r="V82" s="38" t="s">
        <v>455</v>
      </c>
      <c r="W82" s="38" t="s">
        <v>449</v>
      </c>
      <c r="X82" s="38"/>
      <c r="Y82" s="38"/>
      <c r="Z82" s="38"/>
      <c r="AA82" s="38"/>
      <c r="AB82" s="38"/>
      <c r="AC82" s="38"/>
      <c r="AD82" s="38"/>
    </row>
    <row r="83" spans="1:30" ht="117.7" customHeight="1" x14ac:dyDescent="0.3">
      <c r="A83" s="9" t="s">
        <v>361</v>
      </c>
      <c r="B83" s="15" t="s">
        <v>362</v>
      </c>
      <c r="C83" s="12">
        <v>9910173299</v>
      </c>
      <c r="D83" s="10" t="s">
        <v>363</v>
      </c>
      <c r="E83" s="10" t="s">
        <v>364</v>
      </c>
      <c r="F83" s="10" t="s">
        <v>365</v>
      </c>
      <c r="G83" s="10" t="s">
        <v>366</v>
      </c>
      <c r="H83" s="12">
        <v>650</v>
      </c>
      <c r="I83" s="12">
        <v>650</v>
      </c>
      <c r="J83" s="10" t="s">
        <v>112</v>
      </c>
      <c r="K83" s="10" t="s">
        <v>367</v>
      </c>
      <c r="L83" s="12"/>
      <c r="M83" s="12"/>
      <c r="N83" s="13" t="s">
        <v>114</v>
      </c>
      <c r="O83" s="38" t="e">
        <f>VLOOKUP(A83,'[1]25-06-26'!$A$2:$T$86,20,0)</f>
        <v>#N/A</v>
      </c>
      <c r="P83" s="38" t="e">
        <f>VLOOKUP(A83,'[2]02-07-26'!$A$2:$T$106,20,0)</f>
        <v>#N/A</v>
      </c>
      <c r="Q83" s="38" t="e">
        <f>VLOOKUP(A83,'[2]09-07-26'!$A$2:$T$89,20,0)</f>
        <v>#N/A</v>
      </c>
      <c r="R83" s="38" t="e">
        <f>VLOOKUP(A83,'[2]16-07-26'!$A$2:$T$95,20,0)</f>
        <v>#N/A</v>
      </c>
      <c r="S83" s="38" t="e">
        <f>VLOOKUP(A83,'[2]23-07-26'!$A$2:$T$106,20,0)</f>
        <v>#N/A</v>
      </c>
      <c r="T83" s="38" t="s">
        <v>456</v>
      </c>
      <c r="U83" s="38" t="s">
        <v>457</v>
      </c>
      <c r="V83" s="38" t="s">
        <v>448</v>
      </c>
      <c r="W83" s="38" t="s">
        <v>449</v>
      </c>
      <c r="X83" s="38"/>
      <c r="Y83" s="38"/>
      <c r="Z83" s="38"/>
      <c r="AA83" s="38"/>
      <c r="AB83" s="38"/>
      <c r="AC83" s="38"/>
      <c r="AD83" s="38"/>
    </row>
    <row r="84" spans="1:30" ht="117.7" customHeight="1" x14ac:dyDescent="0.3">
      <c r="A84" s="1">
        <v>2684</v>
      </c>
      <c r="B84" s="15" t="s">
        <v>368</v>
      </c>
      <c r="C84" s="12">
        <v>9958428097</v>
      </c>
      <c r="D84" s="10" t="s">
        <v>369</v>
      </c>
      <c r="E84" s="10" t="s">
        <v>89</v>
      </c>
      <c r="F84" s="10" t="s">
        <v>17</v>
      </c>
      <c r="G84" s="11" t="s">
        <v>18</v>
      </c>
      <c r="H84" s="10">
        <v>2750</v>
      </c>
      <c r="I84" s="12">
        <v>687.5</v>
      </c>
      <c r="J84" s="10" t="s">
        <v>248</v>
      </c>
      <c r="K84" s="10" t="s">
        <v>370</v>
      </c>
      <c r="L84" s="12"/>
      <c r="M84" s="10" t="s">
        <v>371</v>
      </c>
      <c r="N84" s="13" t="s">
        <v>372</v>
      </c>
      <c r="O84" s="38" t="str">
        <f>VLOOKUP(A84,'[1]25-06-26'!$A$2:$T$86,20,0)</f>
        <v>P n Y Spray Daisy ( 14 Inch ) 4 B Daisy ( 12 Inch ) 16   2 Limonium + FF Sachet</v>
      </c>
      <c r="P84" s="38" t="e">
        <f>VLOOKUP(A84,'[2]02-07-26'!$A$2:$T$106,20,0)</f>
        <v>#N/A</v>
      </c>
      <c r="Q84" s="38" t="e">
        <f>VLOOKUP(A84,'[2]09-07-26'!$A$2:$T$89,20,0)</f>
        <v>#N/A</v>
      </c>
      <c r="R84" s="38" t="e">
        <f>VLOOKUP(A84,'[2]16-07-26'!$A$2:$T$95,20,0)</f>
        <v>#N/A</v>
      </c>
      <c r="S84" s="38" t="str">
        <f>VLOOKUP(A84,'[2]23-07-26'!$A$2:$T$106,20,0)</f>
        <v>Y Asiatic ( 14 inch ) 3 G n W Car ( 14 Inch ) 16   2 Gypsola</v>
      </c>
      <c r="T84" s="38" t="s">
        <v>471</v>
      </c>
      <c r="U84" s="38">
        <v>4</v>
      </c>
      <c r="V84" s="38" t="s">
        <v>439</v>
      </c>
      <c r="W84" s="38">
        <v>16</v>
      </c>
      <c r="X84" s="38"/>
      <c r="Y84" s="38"/>
      <c r="Z84" s="38" t="s">
        <v>472</v>
      </c>
      <c r="AA84" s="38"/>
      <c r="AB84" s="38"/>
      <c r="AC84" s="38"/>
      <c r="AD84" s="38"/>
    </row>
    <row r="85" spans="1:30" ht="139.19999999999999" customHeight="1" x14ac:dyDescent="0.3">
      <c r="A85" s="1">
        <v>2569</v>
      </c>
      <c r="B85" s="15" t="s">
        <v>373</v>
      </c>
      <c r="C85" s="12">
        <v>9971135993</v>
      </c>
      <c r="D85" s="10" t="s">
        <v>374</v>
      </c>
      <c r="E85" s="10" t="s">
        <v>253</v>
      </c>
      <c r="F85" s="10" t="s">
        <v>17</v>
      </c>
      <c r="G85" s="11" t="s">
        <v>18</v>
      </c>
      <c r="H85" s="12">
        <v>1450</v>
      </c>
      <c r="I85" s="12">
        <v>362.5</v>
      </c>
      <c r="J85" s="10" t="s">
        <v>19</v>
      </c>
      <c r="K85" s="10" t="s">
        <v>375</v>
      </c>
      <c r="L85" s="10" t="s">
        <v>161</v>
      </c>
      <c r="M85" s="10"/>
      <c r="N85" s="13" t="s">
        <v>376</v>
      </c>
      <c r="O85" s="38" t="str">
        <f>VLOOKUP(A85,'[1]25-06-26'!$A$2:$T$86,20,0)</f>
        <v>O Asiatic ( 14 Inch ) 2 B Daisy ( 12 Inch ) 7   Grass</v>
      </c>
      <c r="P85" s="38" t="str">
        <f>VLOOKUP(A85,'[2]02-07-26'!$A$2:$T$106,20,0)</f>
        <v>P Spray Daisy ( 14 Inch ) 3 Rajni ( 14 Inch ) 7   FF Sachet + Grass</v>
      </c>
      <c r="Q85" s="38" t="str">
        <f>VLOOKUP(A85,'[2]09-07-26'!$A$2:$T$89,20,0)</f>
        <v>Sunflower ( 12 Inch ) 2 P n W Car ( 14 Inch ) 7   FF Sachet + Grass</v>
      </c>
      <c r="R85" s="38" t="str">
        <f>VLOOKUP(A85,'[2]16-07-26'!$A$2:$T$95,20,0)</f>
        <v>P Asiatic ( 14 Inch ) 2 P n W Glad ( 14 Inch ) 7   Grass</v>
      </c>
      <c r="S85" s="38" t="str">
        <f>VLOOKUP(A85,'[2]23-07-26'!$A$2:$T$106,20,0)</f>
        <v>Sunflower ( 12 Inch ) 2 Mix Alstroemeria ( 12 Inch ) 7   Grass</v>
      </c>
      <c r="T85" s="38" t="s">
        <v>464</v>
      </c>
      <c r="U85" s="38">
        <v>2</v>
      </c>
      <c r="V85" s="38" t="s">
        <v>465</v>
      </c>
      <c r="W85" s="38">
        <v>7</v>
      </c>
      <c r="X85" s="38"/>
      <c r="Y85" s="38"/>
      <c r="Z85" s="38" t="s">
        <v>446</v>
      </c>
      <c r="AA85" s="38"/>
      <c r="AB85" s="38"/>
      <c r="AC85" s="38"/>
      <c r="AD85" s="38"/>
    </row>
    <row r="86" spans="1:30" ht="117.7" customHeight="1" x14ac:dyDescent="0.3">
      <c r="A86" s="1">
        <v>3326</v>
      </c>
      <c r="B86" s="15" t="s">
        <v>377</v>
      </c>
      <c r="C86" s="12">
        <v>9313104941</v>
      </c>
      <c r="D86" s="10" t="s">
        <v>378</v>
      </c>
      <c r="E86" s="10" t="s">
        <v>27</v>
      </c>
      <c r="F86" s="10" t="s">
        <v>17</v>
      </c>
      <c r="G86" s="11" t="s">
        <v>40</v>
      </c>
      <c r="H86" s="12">
        <v>1450</v>
      </c>
      <c r="I86" s="12">
        <v>362.5</v>
      </c>
      <c r="J86" s="9" t="s">
        <v>19</v>
      </c>
      <c r="K86" s="10" t="s">
        <v>379</v>
      </c>
      <c r="L86" s="12"/>
      <c r="M86" s="12"/>
      <c r="N86" s="13" t="s">
        <v>331</v>
      </c>
      <c r="O86" s="38" t="e">
        <f>VLOOKUP(A86,'[1]25-06-26'!$A$2:$T$86,20,0)</f>
        <v>#N/A</v>
      </c>
      <c r="P86" s="38" t="str">
        <f>VLOOKUP(A86,'[2]02-07-26'!$A$2:$T$106,20,0)</f>
        <v>Pur n P Car ( 14 Inch ) 16     FF Sachet + Grass</v>
      </c>
      <c r="Q86" s="38" t="str">
        <f>VLOOKUP(A86,'[2]09-07-26'!$A$2:$T$89,20,0)</f>
        <v>W Asiatic ( 14 Inch ) 3   Collect Payment Collect Payment Grass</v>
      </c>
      <c r="R86" s="38" t="str">
        <f>VLOOKUP(A86,'[2]16-07-26'!$A$2:$T$95,20,0)</f>
        <v>P n W Glad ( 14 Inch ) 16     Grass</v>
      </c>
      <c r="S86" s="38" t="str">
        <f>VLOOKUP(A86,'[2]23-07-26'!$A$2:$T$106,20,0)</f>
        <v>P n Y Spray Daisy ( 14 Inch ) 5     FF Sachet + Grass</v>
      </c>
      <c r="T86" s="38" t="s">
        <v>439</v>
      </c>
      <c r="U86" s="38">
        <v>16</v>
      </c>
      <c r="V86" s="38"/>
      <c r="W86" s="38"/>
      <c r="X86" s="38"/>
      <c r="Y86" s="38"/>
      <c r="Z86" s="38" t="s">
        <v>446</v>
      </c>
      <c r="AA86" s="38"/>
      <c r="AB86" s="38"/>
      <c r="AC86" s="38"/>
      <c r="AD86" s="38"/>
    </row>
    <row r="87" spans="1:30" ht="117.7" customHeight="1" x14ac:dyDescent="0.3">
      <c r="A87" s="1">
        <v>1140</v>
      </c>
      <c r="B87" s="15" t="s">
        <v>380</v>
      </c>
      <c r="C87" s="10" t="s">
        <v>381</v>
      </c>
      <c r="D87" s="10" t="s">
        <v>382</v>
      </c>
      <c r="E87" s="10" t="s">
        <v>27</v>
      </c>
      <c r="F87" s="10" t="s">
        <v>17</v>
      </c>
      <c r="G87" s="11" t="s">
        <v>18</v>
      </c>
      <c r="H87" s="12">
        <v>2300</v>
      </c>
      <c r="I87" s="12">
        <v>287.5</v>
      </c>
      <c r="J87" s="10" t="s">
        <v>120</v>
      </c>
      <c r="K87" s="10" t="s">
        <v>383</v>
      </c>
      <c r="L87" s="10" t="s">
        <v>347</v>
      </c>
      <c r="M87" s="12"/>
      <c r="N87" s="13" t="s">
        <v>384</v>
      </c>
      <c r="O87" s="38" t="str">
        <f>VLOOKUP(A87,'[1]25-06-26'!$A$2:$T$86,20,0)</f>
        <v>P n W Glad ( 14 Inch ) 11     Grass</v>
      </c>
      <c r="P87" s="38" t="str">
        <f>VLOOKUP(A87,'[2]02-07-26'!$A$2:$T$106,20,0)</f>
        <v>Pur n P Car ( 14 Inch ) 11     FF Sachet + Grass</v>
      </c>
      <c r="Q87" s="38" t="str">
        <f>VLOOKUP(A87,'[2]09-07-26'!$A$2:$T$89,20,0)</f>
        <v>Rajni ( 14 Inch ) 11     Grass</v>
      </c>
      <c r="R87" s="38" t="str">
        <f>VLOOKUP(A87,'[2]16-07-26'!$A$2:$T$95,20,0)</f>
        <v>P n W Glad ( 14 Inch ) 11     Grass</v>
      </c>
      <c r="S87" s="38" t="str">
        <f>VLOOKUP(A87,'[2]23-07-26'!$A$2:$T$106,20,0)</f>
        <v>Y Asiatic ( 14 inch ) 2     Grass</v>
      </c>
      <c r="T87" s="38" t="s">
        <v>439</v>
      </c>
      <c r="U87" s="38">
        <v>11</v>
      </c>
      <c r="V87" s="38"/>
      <c r="W87" s="38"/>
      <c r="X87" s="38"/>
      <c r="Y87" s="38"/>
      <c r="Z87" s="38" t="s">
        <v>446</v>
      </c>
      <c r="AA87" s="38"/>
      <c r="AB87" s="38"/>
      <c r="AC87" s="38"/>
      <c r="AD87" s="38"/>
    </row>
    <row r="88" spans="1:30" ht="142.94999999999999" customHeight="1" x14ac:dyDescent="0.3">
      <c r="A88" s="9" t="s">
        <v>385</v>
      </c>
      <c r="B88" s="15" t="s">
        <v>386</v>
      </c>
      <c r="C88" s="12">
        <v>9711098608</v>
      </c>
      <c r="D88" s="10" t="s">
        <v>387</v>
      </c>
      <c r="E88" s="10" t="s">
        <v>27</v>
      </c>
      <c r="F88" s="10" t="s">
        <v>17</v>
      </c>
      <c r="G88" s="11" t="s">
        <v>28</v>
      </c>
      <c r="H88" s="12">
        <v>1950</v>
      </c>
      <c r="I88" s="12">
        <v>487.5</v>
      </c>
      <c r="J88" s="10" t="s">
        <v>22</v>
      </c>
      <c r="K88" s="10" t="s">
        <v>388</v>
      </c>
      <c r="L88" s="12"/>
      <c r="M88" s="10" t="s">
        <v>30</v>
      </c>
      <c r="N88" s="13" t="s">
        <v>313</v>
      </c>
      <c r="O88" s="38" t="e">
        <f>VLOOKUP(A88,'[1]25-06-26'!$A$2:$T$86,20,0)</f>
        <v>#N/A</v>
      </c>
      <c r="P88" s="38" t="str">
        <f>VLOOKUP(A88,'[2]02-07-26'!$A$2:$T$106,20,0)</f>
        <v>P Eustoma ( 12 Inch ) 2 Pur n W Car ( 14 Inch ) 11   FF Sachet + Grass</v>
      </c>
      <c r="Q88" s="38" t="str">
        <f>VLOOKUP(A88,'[2]09-07-26'!$A$2:$T$89,20,0)</f>
        <v>P Asiatic ( 14 Inch ) 2 Rajni ( 14 Inch ) 11 Collect Payment Collect Payment Grass</v>
      </c>
      <c r="R88" s="38" t="str">
        <f>VLOOKUP(A88,'[2]16-07-26'!$A$2:$T$95,20,0)</f>
        <v>P n W Spray Daisy ( 14 Inch ) 4 P n W Glad ( 14 Inch ) 11   FF Sachet + Grass</v>
      </c>
      <c r="S88" s="38" t="str">
        <f>VLOOKUP(A88,'[2]23-07-26'!$A$2:$T$106,20,0)</f>
        <v>Sunflower ( 12 Inch ) 3 Mix Alstroemeria ( 12 Inch ) 11 Ensure Collection Ensure Collection FF Sachet + Grass</v>
      </c>
      <c r="T88" s="38" t="s">
        <v>470</v>
      </c>
      <c r="U88" s="38">
        <v>2</v>
      </c>
      <c r="V88" s="38" t="s">
        <v>463</v>
      </c>
      <c r="W88" s="38">
        <v>11</v>
      </c>
      <c r="X88" s="38"/>
      <c r="Y88" s="38"/>
      <c r="Z88" s="38" t="s">
        <v>446</v>
      </c>
      <c r="AA88" s="38"/>
      <c r="AB88" s="38"/>
      <c r="AC88" s="38"/>
      <c r="AD88" s="38"/>
    </row>
    <row r="89" spans="1:30" ht="142.94999999999999" customHeight="1" x14ac:dyDescent="0.3">
      <c r="A89" s="1">
        <v>326</v>
      </c>
      <c r="B89" s="15" t="s">
        <v>389</v>
      </c>
      <c r="C89" s="12">
        <v>9871132800</v>
      </c>
      <c r="D89" s="12" t="s">
        <v>390</v>
      </c>
      <c r="E89" s="12" t="s">
        <v>89</v>
      </c>
      <c r="F89" s="12" t="s">
        <v>17</v>
      </c>
      <c r="G89" s="12" t="s">
        <v>18</v>
      </c>
      <c r="H89" s="12">
        <v>2750</v>
      </c>
      <c r="I89" s="12">
        <v>687.5</v>
      </c>
      <c r="J89" s="10" t="s">
        <v>248</v>
      </c>
      <c r="K89" s="10" t="s">
        <v>391</v>
      </c>
      <c r="L89" s="10" t="s">
        <v>392</v>
      </c>
      <c r="M89" s="12"/>
      <c r="N89" s="13" t="s">
        <v>372</v>
      </c>
      <c r="O89" s="38" t="str">
        <f>VLOOKUP(A89,'[1]25-06-26'!$A$2:$T$86,20,0)</f>
        <v>P n W Glad ( 14 Inch ) 32     2 Limonium</v>
      </c>
      <c r="P89" s="38" t="str">
        <f>VLOOKUP(A89,'[2]02-07-26'!$A$2:$T$106,20,0)</f>
        <v>Pur n P Car ( 14 Inch ) 32     2 Gypsola</v>
      </c>
      <c r="Q89" s="38" t="str">
        <f>VLOOKUP(A89,'[2]09-07-26'!$A$2:$T$89,20,0)</f>
        <v>P Asiatic ( 14 Inch ) 6  Gate Pass Wahab Ke Pass Hai Collect Payment Collect Payment 2 Limonium</v>
      </c>
      <c r="R89" s="38" t="str">
        <f>VLOOKUP(A89,'[2]16-07-26'!$A$2:$T$95,20,0)</f>
        <v>P n W Spray Daisy ( 14 Inch ) 10     2 Gypsola + FF Sachet</v>
      </c>
      <c r="S89" s="38" t="str">
        <f>VLOOKUP(A89,'[2]23-07-26'!$A$2:$T$106,20,0)</f>
        <v>Mix Alstroemeria ( 12 Inch ) 30     2 Limonium + FF Sachet</v>
      </c>
      <c r="T89" s="38" t="s">
        <v>441</v>
      </c>
      <c r="U89" s="38">
        <v>32</v>
      </c>
      <c r="V89" s="38"/>
      <c r="W89" s="38"/>
      <c r="X89" s="38"/>
      <c r="Y89" s="38"/>
      <c r="Z89" s="38" t="s">
        <v>472</v>
      </c>
      <c r="AA89" s="38"/>
      <c r="AB89" s="38"/>
      <c r="AC89" s="38"/>
      <c r="AD89" s="38"/>
    </row>
    <row r="90" spans="1:30" ht="117.7" customHeight="1" x14ac:dyDescent="0.3">
      <c r="A90" s="1">
        <v>3107</v>
      </c>
      <c r="B90" s="15" t="s">
        <v>393</v>
      </c>
      <c r="C90" s="12">
        <v>9811394916</v>
      </c>
      <c r="D90" s="10" t="s">
        <v>394</v>
      </c>
      <c r="E90" s="10" t="s">
        <v>27</v>
      </c>
      <c r="F90" s="10" t="s">
        <v>17</v>
      </c>
      <c r="G90" s="12" t="s">
        <v>28</v>
      </c>
      <c r="H90" s="12">
        <v>1450</v>
      </c>
      <c r="I90" s="12">
        <v>362.5</v>
      </c>
      <c r="J90" s="10" t="s">
        <v>19</v>
      </c>
      <c r="K90" s="10" t="s">
        <v>395</v>
      </c>
      <c r="L90" s="12"/>
      <c r="M90" s="12"/>
      <c r="N90" s="13" t="s">
        <v>331</v>
      </c>
      <c r="O90" s="38" t="e">
        <f>VLOOKUP(A90,'[1]25-06-26'!$A$2:$T$86,20,0)</f>
        <v>#N/A</v>
      </c>
      <c r="P90" s="38" t="str">
        <f>VLOOKUP(A90,'[2]02-07-26'!$A$2:$T$106,20,0)</f>
        <v>Pur n P Car ( 14 Inch ) 16     FF Sachet + Grass</v>
      </c>
      <c r="Q90" s="38" t="str">
        <f>VLOOKUP(A90,'[2]09-07-26'!$A$2:$T$89,20,0)</f>
        <v>P Asiatic ( 14 Inch ) 3     Grass</v>
      </c>
      <c r="R90" s="38" t="str">
        <f>VLOOKUP(A90,'[2]16-07-26'!$A$2:$T$95,20,0)</f>
        <v>P n W Glad ( 14 Inch ) 16     Grass</v>
      </c>
      <c r="S90" s="38" t="str">
        <f>VLOOKUP(A90,'[2]23-07-26'!$A$2:$T$106,20,0)</f>
        <v>P n Y Spray Daisy ( 14 Inch ) 5     FF Sachet + Grass</v>
      </c>
      <c r="T90" s="38" t="s">
        <v>439</v>
      </c>
      <c r="U90" s="38">
        <v>16</v>
      </c>
      <c r="V90" s="38"/>
      <c r="W90" s="38"/>
      <c r="X90" s="38"/>
      <c r="Y90" s="38"/>
      <c r="Z90" s="38" t="s">
        <v>446</v>
      </c>
      <c r="AA90" s="38"/>
      <c r="AB90" s="38"/>
      <c r="AC90" s="38"/>
      <c r="AD90" s="38"/>
    </row>
    <row r="91" spans="1:30" ht="117.7" customHeight="1" x14ac:dyDescent="0.3">
      <c r="A91" s="1">
        <v>3393</v>
      </c>
      <c r="B91" s="15" t="s">
        <v>396</v>
      </c>
      <c r="C91" s="12">
        <v>9871812384</v>
      </c>
      <c r="D91" s="10" t="s">
        <v>397</v>
      </c>
      <c r="E91" s="10" t="s">
        <v>89</v>
      </c>
      <c r="F91" s="10" t="s">
        <v>17</v>
      </c>
      <c r="G91" s="10" t="s">
        <v>40</v>
      </c>
      <c r="H91" s="12">
        <v>1450</v>
      </c>
      <c r="I91" s="12">
        <v>362.5</v>
      </c>
      <c r="J91" s="9" t="s">
        <v>19</v>
      </c>
      <c r="K91" s="12"/>
      <c r="L91" s="12"/>
      <c r="M91" s="12"/>
      <c r="N91" s="13" t="s">
        <v>331</v>
      </c>
      <c r="O91" s="38" t="e">
        <f>VLOOKUP(A91,'[1]25-06-26'!$A$2:$T$86,20,0)</f>
        <v>#N/A</v>
      </c>
      <c r="P91" s="38" t="str">
        <f>VLOOKUP(A91,'[2]02-07-26'!$A$2:$T$106,20,0)</f>
        <v>Pur n P Car ( 14 Inch ) 16     FF Sachet + Grass</v>
      </c>
      <c r="Q91" s="38" t="str">
        <f>VLOOKUP(A91,'[2]09-07-26'!$A$2:$T$89,20,0)</f>
        <v>P Asiatic ( 14 Inch ) 3     Grass</v>
      </c>
      <c r="R91" s="38" t="str">
        <f>VLOOKUP(A91,'[2]16-07-26'!$A$2:$T$95,20,0)</f>
        <v>P n W Glad ( 14 Inch ) 16     Grass</v>
      </c>
      <c r="S91" s="38" t="str">
        <f>VLOOKUP(A91,'[2]23-07-26'!$A$2:$T$106,20,0)</f>
        <v>P n Y Spray Daisy ( 14 Inch ) 5     FF Sachet + Grass</v>
      </c>
      <c r="T91" s="38" t="s">
        <v>439</v>
      </c>
      <c r="U91" s="38">
        <v>16</v>
      </c>
      <c r="V91" s="38"/>
      <c r="W91" s="38"/>
      <c r="X91" s="38" t="s">
        <v>436</v>
      </c>
      <c r="Y91" s="38" t="s">
        <v>436</v>
      </c>
      <c r="Z91" s="38" t="s">
        <v>446</v>
      </c>
      <c r="AA91" s="38"/>
      <c r="AB91" s="38"/>
      <c r="AC91" s="38"/>
      <c r="AD91" s="38"/>
    </row>
    <row r="92" spans="1:30" ht="117.7" customHeight="1" x14ac:dyDescent="0.3">
      <c r="A92" s="1">
        <v>3144</v>
      </c>
      <c r="B92" s="15" t="s">
        <v>398</v>
      </c>
      <c r="C92" s="12">
        <v>9582363043</v>
      </c>
      <c r="D92" s="10" t="s">
        <v>399</v>
      </c>
      <c r="E92" s="10" t="s">
        <v>27</v>
      </c>
      <c r="F92" s="10" t="s">
        <v>17</v>
      </c>
      <c r="G92" s="11" t="s">
        <v>40</v>
      </c>
      <c r="H92" s="12">
        <v>1450</v>
      </c>
      <c r="I92" s="12">
        <v>362.5</v>
      </c>
      <c r="J92" s="10" t="s">
        <v>19</v>
      </c>
      <c r="K92" s="10" t="s">
        <v>400</v>
      </c>
      <c r="L92" s="12"/>
      <c r="M92" s="10" t="s">
        <v>30</v>
      </c>
      <c r="N92" s="13" t="s">
        <v>331</v>
      </c>
      <c r="O92" s="38" t="str">
        <f>VLOOKUP(A92,'[1]25-06-26'!$A$2:$T$86,20,0)</f>
        <v>Sunflower ( 12 Inch) 2 P n W Car ( 14 Inch ) 7   FF Sachet + Grass</v>
      </c>
      <c r="P92" s="38" t="str">
        <f>VLOOKUP(A92,'[2]02-07-26'!$A$2:$T$106,20,0)</f>
        <v>Pur Eustoma ( 12 Inch ) 2 Rajni ( 14 Inch ) 7   FF Sachet + Grass</v>
      </c>
      <c r="Q92" s="38" t="e">
        <f>VLOOKUP(A92,'[2]09-07-26'!$A$2:$T$89,20,0)</f>
        <v>#N/A</v>
      </c>
      <c r="R92" s="38" t="str">
        <f>VLOOKUP(A92,'[2]16-07-26'!$A$2:$T$95,20,0)</f>
        <v>P Spray Daisy ( 14 Inch ) 3 Carnation 7   FF Sachet + Grass</v>
      </c>
      <c r="S92" s="38" t="str">
        <f>VLOOKUP(A92,'[2]23-07-26'!$A$2:$T$106,20,0)</f>
        <v>O Asiatic ( 14 Inch ) 2 Mix Glad ( 14 Inch ) 7   Grass</v>
      </c>
      <c r="T92" s="38" t="s">
        <v>467</v>
      </c>
      <c r="U92" s="38">
        <v>2</v>
      </c>
      <c r="V92" s="38" t="s">
        <v>439</v>
      </c>
      <c r="W92" s="38">
        <v>7</v>
      </c>
      <c r="X92" s="38"/>
      <c r="Y92" s="38"/>
      <c r="Z92" s="38" t="s">
        <v>446</v>
      </c>
      <c r="AA92" s="38"/>
      <c r="AB92" s="38"/>
      <c r="AC92" s="38"/>
      <c r="AD92" s="38"/>
    </row>
    <row r="93" spans="1:30" ht="117.7" customHeight="1" x14ac:dyDescent="0.3">
      <c r="A93" s="1">
        <v>2037</v>
      </c>
      <c r="B93" s="15" t="s">
        <v>401</v>
      </c>
      <c r="C93" s="12">
        <v>9971066995</v>
      </c>
      <c r="D93" s="12" t="s">
        <v>402</v>
      </c>
      <c r="E93" s="12" t="s">
        <v>89</v>
      </c>
      <c r="F93" s="12" t="s">
        <v>17</v>
      </c>
      <c r="G93" s="12" t="s">
        <v>28</v>
      </c>
      <c r="H93" s="12">
        <v>1950</v>
      </c>
      <c r="I93" s="12">
        <v>487.5</v>
      </c>
      <c r="J93" s="10" t="s">
        <v>22</v>
      </c>
      <c r="K93" s="10" t="s">
        <v>403</v>
      </c>
      <c r="L93" s="12" t="s">
        <v>404</v>
      </c>
      <c r="M93" s="12"/>
      <c r="N93" s="13" t="s">
        <v>313</v>
      </c>
      <c r="O93" s="38" t="str">
        <f>VLOOKUP(A93,'[1]25-06-26'!$A$2:$T$86,20,0)</f>
        <v>Pur n P Eustoma ( 12 Inch ) 4     FF Sachet + Grass</v>
      </c>
      <c r="P93" s="38" t="str">
        <f>VLOOKUP(A93,'[2]02-07-26'!$A$2:$T$106,20,0)</f>
        <v>Rajni ( 14 Inch ) 22     Grass</v>
      </c>
      <c r="Q93" s="38" t="str">
        <f>VLOOKUP(A93,'[2]09-07-26'!$A$2:$T$89,20,0)</f>
        <v>O Asiatic ( ( 14 inch ) 4     Grass</v>
      </c>
      <c r="R93" s="38" t="str">
        <f>VLOOKUP(A93,'[2]16-07-26'!$A$2:$T$95,20,0)</f>
        <v>P n W Spray Daisy ( 14 Inch ) 7     FF Sachet + Grass</v>
      </c>
      <c r="S93" s="38" t="str">
        <f>VLOOKUP(A93,'[2]23-07-26'!$A$2:$T$106,20,0)</f>
        <v>Mix Glad ( 14 Inch ) 22     Grass</v>
      </c>
      <c r="T93" s="38" t="s">
        <v>439</v>
      </c>
      <c r="U93" s="38">
        <v>22</v>
      </c>
      <c r="V93" s="38"/>
      <c r="W93" s="38"/>
      <c r="X93" s="38"/>
      <c r="Y93" s="38"/>
      <c r="Z93" s="38" t="s">
        <v>446</v>
      </c>
      <c r="AA93" s="38"/>
      <c r="AB93" s="38"/>
      <c r="AC93" s="38"/>
      <c r="AD93" s="38"/>
    </row>
    <row r="94" spans="1:30" ht="117.7" customHeight="1" x14ac:dyDescent="0.3">
      <c r="A94" s="1">
        <v>3396</v>
      </c>
      <c r="B94" s="15" t="s">
        <v>405</v>
      </c>
      <c r="C94" s="12">
        <v>7838568324</v>
      </c>
      <c r="D94" s="10" t="s">
        <v>406</v>
      </c>
      <c r="E94" s="10" t="s">
        <v>253</v>
      </c>
      <c r="F94" s="10" t="s">
        <v>17</v>
      </c>
      <c r="G94" s="10" t="s">
        <v>35</v>
      </c>
      <c r="H94" s="12">
        <v>1450</v>
      </c>
      <c r="I94" s="12">
        <v>362.5</v>
      </c>
      <c r="J94" s="10" t="s">
        <v>291</v>
      </c>
      <c r="K94" s="10" t="s">
        <v>407</v>
      </c>
      <c r="L94" s="12"/>
      <c r="M94" s="12"/>
      <c r="N94" s="13" t="s">
        <v>331</v>
      </c>
      <c r="O94" s="38" t="e">
        <f>VLOOKUP(A94,'[1]25-06-26'!$A$2:$T$86,20,0)</f>
        <v>#N/A</v>
      </c>
      <c r="P94" s="38" t="str">
        <f>VLOOKUP(A94,'[2]02-07-26'!$A$2:$T$106,20,0)</f>
        <v>Rajni ( 14 Inch ) 14     Grass</v>
      </c>
      <c r="Q94" s="38" t="str">
        <f>VLOOKUP(A94,'[2]09-07-26'!$A$2:$T$89,20,0)</f>
        <v>O Asiatic ( ( 14 inch ) 3     FF Sachet + Grass</v>
      </c>
      <c r="R94" s="38" t="str">
        <f>VLOOKUP(A94,'[2]16-07-26'!$A$2:$T$95,20,0)</f>
        <v>G n W Car ( 14 Inch ) 16     FF Sachet + Grass</v>
      </c>
      <c r="S94" s="38" t="str">
        <f>VLOOKUP(A94,'[2]23-07-26'!$A$2:$T$106,20,0)</f>
        <v>P n Y Spray Daisy ( 14 Inch ) 5     FF Sachet + Grass</v>
      </c>
      <c r="T94" s="38" t="s">
        <v>441</v>
      </c>
      <c r="U94" s="38">
        <v>16</v>
      </c>
      <c r="V94" s="38"/>
      <c r="W94" s="38"/>
      <c r="X94" s="38" t="s">
        <v>436</v>
      </c>
      <c r="Y94" s="38" t="s">
        <v>436</v>
      </c>
      <c r="Z94" s="38" t="s">
        <v>446</v>
      </c>
      <c r="AA94" s="38"/>
      <c r="AB94" s="38"/>
      <c r="AC94" s="38"/>
      <c r="AD94" s="38"/>
    </row>
    <row r="95" spans="1:30" ht="117.7" customHeight="1" x14ac:dyDescent="0.3">
      <c r="A95" s="1">
        <v>2294</v>
      </c>
      <c r="B95" s="37" t="s">
        <v>408</v>
      </c>
      <c r="C95" s="12">
        <v>9711499808</v>
      </c>
      <c r="D95" s="10" t="s">
        <v>409</v>
      </c>
      <c r="E95" s="10" t="s">
        <v>16</v>
      </c>
      <c r="F95" s="9" t="s">
        <v>17</v>
      </c>
      <c r="G95" s="11" t="s">
        <v>18</v>
      </c>
      <c r="H95" s="12">
        <v>1450</v>
      </c>
      <c r="I95" s="12">
        <v>362.5</v>
      </c>
      <c r="J95" s="9" t="s">
        <v>19</v>
      </c>
      <c r="K95" s="10" t="s">
        <v>410</v>
      </c>
      <c r="L95" s="12"/>
      <c r="M95" s="12"/>
      <c r="N95" s="13" t="s">
        <v>331</v>
      </c>
      <c r="O95" s="38" t="e">
        <f>VLOOKUP(A95,'[1]25-06-26'!$A$2:$T$86,20,0)</f>
        <v>#N/A</v>
      </c>
      <c r="P95" s="38" t="str">
        <f>VLOOKUP(A95,'[2]02-07-26'!$A$2:$T$106,20,0)</f>
        <v xml:space="preserve">Collect Rs 725 Carry Reciept Book     </v>
      </c>
      <c r="Q95" s="38" t="str">
        <f>VLOOKUP(A95,'[2]09-07-26'!$A$2:$T$89,20,0)</f>
        <v xml:space="preserve">Collect 725  Carry Receipt Bookl     </v>
      </c>
      <c r="R95" s="38" t="str">
        <f>VLOOKUP(A95,'[2]16-07-26'!$A$2:$T$95,20,0)</f>
        <v>G n W Car ( 14 Inch ) 16     FF Sachet + Grass</v>
      </c>
      <c r="S95" s="38" t="str">
        <f>VLOOKUP(A95,'[2]23-07-26'!$A$2:$T$106,20,0)</f>
        <v>Y Asiatic ( 14 inch ) 3     Grass</v>
      </c>
      <c r="T95" s="38" t="s">
        <v>439</v>
      </c>
      <c r="U95" s="38">
        <v>16</v>
      </c>
      <c r="V95" s="38"/>
      <c r="W95" s="38"/>
      <c r="X95" s="38" t="s">
        <v>436</v>
      </c>
      <c r="Y95" s="38" t="s">
        <v>436</v>
      </c>
      <c r="Z95" s="38" t="s">
        <v>446</v>
      </c>
      <c r="AA95" s="38"/>
      <c r="AB95" s="38"/>
      <c r="AC95" s="38"/>
      <c r="AD95" s="38"/>
    </row>
    <row r="96" spans="1:30" ht="117.7" customHeight="1" x14ac:dyDescent="0.3">
      <c r="A96" s="1">
        <v>3385</v>
      </c>
      <c r="B96" s="15" t="s">
        <v>411</v>
      </c>
      <c r="C96" s="12">
        <v>9604584926</v>
      </c>
      <c r="D96" s="10" t="s">
        <v>412</v>
      </c>
      <c r="E96" s="10" t="s">
        <v>34</v>
      </c>
      <c r="F96" s="10" t="s">
        <v>17</v>
      </c>
      <c r="G96" s="27" t="s">
        <v>44</v>
      </c>
      <c r="H96" s="12">
        <v>1950</v>
      </c>
      <c r="I96" s="12">
        <v>487.5</v>
      </c>
      <c r="J96" s="10" t="s">
        <v>22</v>
      </c>
      <c r="K96" s="10" t="s">
        <v>413</v>
      </c>
      <c r="L96" s="12"/>
      <c r="M96" s="12"/>
      <c r="N96" s="13" t="s">
        <v>313</v>
      </c>
      <c r="O96" s="38" t="str">
        <f>VLOOKUP(A96,'[1]25-06-26'!$A$2:$T$86,20,0)</f>
        <v>Pur n P Car ( 14 Inch ) 22     FF Sachet + Grass</v>
      </c>
      <c r="P96" s="38" t="str">
        <f>VLOOKUP(A96,'[2]02-07-26'!$A$2:$T$106,20,0)</f>
        <v>O Asiatic ( 14 Inch ) 4     Grass</v>
      </c>
      <c r="Q96" s="38" t="e">
        <f>VLOOKUP(A96,'[2]09-07-26'!$A$2:$T$89,20,0)</f>
        <v>#N/A</v>
      </c>
      <c r="R96" s="38" t="str">
        <f>VLOOKUP(A96,'[2]16-07-26'!$A$2:$T$95,20,0)</f>
        <v>Mix Car ( 14 Inch ) 22     FF Sachet + Grass</v>
      </c>
      <c r="S96" s="38" t="str">
        <f>VLOOKUP(A96,'[2]23-07-26'!$A$2:$T$106,20,0)</f>
        <v>P n Y Spray Daisy ( 14 Inch ) 7     FF Sachet + Grass</v>
      </c>
      <c r="T96" s="38" t="s">
        <v>441</v>
      </c>
      <c r="U96" s="38">
        <v>22</v>
      </c>
      <c r="V96" s="38"/>
      <c r="W96" s="38"/>
      <c r="X96" s="38" t="s">
        <v>436</v>
      </c>
      <c r="Y96" s="38" t="s">
        <v>436</v>
      </c>
      <c r="Z96" s="38" t="s">
        <v>446</v>
      </c>
      <c r="AA96" s="38"/>
      <c r="AB96" s="38"/>
      <c r="AC96" s="38"/>
      <c r="AD96" s="38"/>
    </row>
    <row r="97" spans="1:30" ht="125.75" x14ac:dyDescent="0.3">
      <c r="A97" s="9" t="s">
        <v>525</v>
      </c>
      <c r="B97" s="15" t="s">
        <v>526</v>
      </c>
      <c r="C97" s="12"/>
      <c r="D97" s="10" t="s">
        <v>527</v>
      </c>
      <c r="E97" s="10" t="s">
        <v>364</v>
      </c>
      <c r="F97" s="10" t="s">
        <v>17</v>
      </c>
      <c r="G97" s="10" t="s">
        <v>342</v>
      </c>
      <c r="H97" s="12">
        <v>1350</v>
      </c>
      <c r="I97" s="12">
        <f>H97</f>
        <v>1350</v>
      </c>
      <c r="J97" s="10" t="s">
        <v>112</v>
      </c>
      <c r="K97" s="10" t="s">
        <v>528</v>
      </c>
      <c r="L97" s="12"/>
      <c r="M97" s="12"/>
      <c r="N97" s="13" t="s">
        <v>114</v>
      </c>
      <c r="O97" s="38"/>
      <c r="P97" s="38"/>
      <c r="Q97" s="38"/>
      <c r="R97" s="38"/>
      <c r="S97" s="38"/>
      <c r="T97" s="38" t="s">
        <v>529</v>
      </c>
      <c r="U97" s="38">
        <v>15</v>
      </c>
      <c r="V97" s="38" t="s">
        <v>530</v>
      </c>
      <c r="W97" s="38"/>
      <c r="X97" s="38"/>
      <c r="Y97" s="38"/>
      <c r="Z97" s="38"/>
      <c r="AA97" s="38"/>
      <c r="AB97" s="38"/>
      <c r="AC97" s="38"/>
      <c r="AD97" s="38"/>
    </row>
  </sheetData>
  <autoFilter ref="A1:AD96" xr:uid="{4B0A4634-DE55-459C-947C-6C4F6830DC8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330E7D-F458-42AF-8201-07E4AB5EB3F1}">
  <dimension ref="A1:R60"/>
  <sheetViews>
    <sheetView workbookViewId="0">
      <pane xSplit="1" ySplit="1" topLeftCell="B24" activePane="bottomRight" state="frozen"/>
      <selection pane="topRight" activeCell="B1" sqref="B1"/>
      <selection pane="bottomLeft" activeCell="A2" sqref="A2"/>
      <selection pane="bottomRight" activeCell="E29" sqref="E29"/>
    </sheetView>
  </sheetViews>
  <sheetFormatPr defaultRowHeight="14" x14ac:dyDescent="0.3"/>
  <sheetData>
    <row r="1" spans="1:18" ht="41.95" x14ac:dyDescent="0.3">
      <c r="A1" s="40"/>
      <c r="B1" s="40" t="s">
        <v>476</v>
      </c>
      <c r="C1" s="41" t="s">
        <v>477</v>
      </c>
      <c r="D1" s="41" t="s">
        <v>478</v>
      </c>
      <c r="E1" s="41" t="s">
        <v>161</v>
      </c>
      <c r="F1" s="41" t="s">
        <v>479</v>
      </c>
      <c r="G1" s="41" t="s">
        <v>480</v>
      </c>
      <c r="H1" s="41" t="s">
        <v>76</v>
      </c>
      <c r="I1" s="41" t="s">
        <v>481</v>
      </c>
      <c r="J1" s="41" t="s">
        <v>324</v>
      </c>
      <c r="K1" s="41" t="s">
        <v>482</v>
      </c>
      <c r="L1" s="42" t="s">
        <v>483</v>
      </c>
      <c r="M1" s="42" t="s">
        <v>484</v>
      </c>
      <c r="N1" s="42" t="s">
        <v>485</v>
      </c>
      <c r="O1" s="43"/>
      <c r="P1" s="44" t="s">
        <v>486</v>
      </c>
      <c r="Q1" s="44" t="s">
        <v>487</v>
      </c>
      <c r="R1" s="43"/>
    </row>
    <row r="2" spans="1:18" x14ac:dyDescent="0.3">
      <c r="A2" s="45">
        <v>999</v>
      </c>
      <c r="B2" s="46"/>
      <c r="C2" s="46"/>
      <c r="D2" s="46"/>
      <c r="E2" s="46"/>
      <c r="F2" s="46"/>
      <c r="G2" s="46"/>
      <c r="H2" s="46"/>
      <c r="I2" s="46"/>
      <c r="J2" s="46"/>
      <c r="K2" s="46"/>
      <c r="L2" s="46"/>
      <c r="M2" s="46"/>
      <c r="N2" s="46"/>
      <c r="O2" s="47">
        <f t="shared" ref="O2:O7" si="0">SUM(B2:N2)</f>
        <v>0</v>
      </c>
      <c r="P2" s="47">
        <f>(O2*A2)/4</f>
        <v>0</v>
      </c>
      <c r="Q2" s="47"/>
      <c r="R2" s="47"/>
    </row>
    <row r="3" spans="1:18" x14ac:dyDescent="0.3">
      <c r="A3" s="45">
        <v>1450</v>
      </c>
      <c r="B3" s="46">
        <v>0.5</v>
      </c>
      <c r="C3" s="46">
        <v>7.5</v>
      </c>
      <c r="D3" s="46">
        <v>11.5</v>
      </c>
      <c r="E3" s="46">
        <v>0.5</v>
      </c>
      <c r="F3" s="46"/>
      <c r="G3" s="46">
        <v>13</v>
      </c>
      <c r="H3" s="46"/>
      <c r="I3" s="46">
        <v>7</v>
      </c>
      <c r="J3" s="48"/>
      <c r="K3" s="48">
        <v>9.5</v>
      </c>
      <c r="L3" s="46"/>
      <c r="M3" s="46">
        <v>0.5</v>
      </c>
      <c r="N3" s="46">
        <v>1</v>
      </c>
      <c r="O3" s="47">
        <f t="shared" si="0"/>
        <v>51</v>
      </c>
      <c r="P3" s="47">
        <f>(O3*A3)/4</f>
        <v>18487.5</v>
      </c>
      <c r="Q3" s="47"/>
      <c r="R3" s="47"/>
    </row>
    <row r="4" spans="1:18" x14ac:dyDescent="0.3">
      <c r="A4" s="45">
        <v>1950</v>
      </c>
      <c r="B4" s="46">
        <v>0.5</v>
      </c>
      <c r="C4" s="46">
        <v>5</v>
      </c>
      <c r="D4" s="46">
        <v>2</v>
      </c>
      <c r="E4" s="46"/>
      <c r="F4" s="46"/>
      <c r="G4" s="46">
        <v>2</v>
      </c>
      <c r="H4" s="46"/>
      <c r="I4" s="46">
        <v>2</v>
      </c>
      <c r="J4" s="46"/>
      <c r="K4" s="46">
        <v>2</v>
      </c>
      <c r="L4" s="46"/>
      <c r="M4" s="46"/>
      <c r="N4" s="46">
        <v>0.5</v>
      </c>
      <c r="O4" s="47">
        <f t="shared" si="0"/>
        <v>14</v>
      </c>
      <c r="P4" s="47">
        <f>(O4*A4)/4</f>
        <v>6825</v>
      </c>
      <c r="Q4" s="47"/>
      <c r="R4" s="47"/>
    </row>
    <row r="5" spans="1:18" x14ac:dyDescent="0.3">
      <c r="A5" s="45">
        <v>2750</v>
      </c>
      <c r="B5" s="46"/>
      <c r="C5" s="46">
        <v>1.5</v>
      </c>
      <c r="D5" s="46">
        <v>4</v>
      </c>
      <c r="E5" s="46"/>
      <c r="F5" s="46"/>
      <c r="G5" s="46">
        <v>1</v>
      </c>
      <c r="H5" s="46"/>
      <c r="I5" s="49"/>
      <c r="J5" s="49"/>
      <c r="K5" s="49"/>
      <c r="L5" s="49"/>
      <c r="M5" s="46">
        <v>0.5</v>
      </c>
      <c r="N5" s="46">
        <v>1</v>
      </c>
      <c r="O5" s="47">
        <f t="shared" si="0"/>
        <v>8</v>
      </c>
      <c r="P5" s="47">
        <f>(O5*A5)/4</f>
        <v>5500</v>
      </c>
      <c r="Q5" s="47"/>
      <c r="R5" s="47"/>
    </row>
    <row r="6" spans="1:18" x14ac:dyDescent="0.3">
      <c r="A6" s="45">
        <v>4750</v>
      </c>
      <c r="B6" s="46"/>
      <c r="C6" s="46"/>
      <c r="D6" s="46"/>
      <c r="E6" s="46"/>
      <c r="F6" s="46"/>
      <c r="G6" s="46"/>
      <c r="H6" s="46"/>
      <c r="I6" s="46"/>
      <c r="J6" s="46"/>
      <c r="K6" s="46"/>
      <c r="L6" s="46"/>
      <c r="M6" s="46"/>
      <c r="N6" s="46"/>
      <c r="O6" s="47">
        <f t="shared" si="0"/>
        <v>0</v>
      </c>
      <c r="P6" s="47">
        <f>(O6*A6)/4</f>
        <v>0</v>
      </c>
      <c r="Q6" s="47"/>
      <c r="R6" s="47"/>
    </row>
    <row r="7" spans="1:18" x14ac:dyDescent="0.3">
      <c r="A7" s="40" t="s">
        <v>488</v>
      </c>
      <c r="B7" s="50">
        <f t="shared" ref="B7:N7" si="1">SUM(B2:B6)</f>
        <v>1</v>
      </c>
      <c r="C7" s="50">
        <f t="shared" si="1"/>
        <v>14</v>
      </c>
      <c r="D7" s="50">
        <f t="shared" si="1"/>
        <v>17.5</v>
      </c>
      <c r="E7" s="50">
        <f t="shared" si="1"/>
        <v>0.5</v>
      </c>
      <c r="F7" s="50">
        <f t="shared" si="1"/>
        <v>0</v>
      </c>
      <c r="G7" s="50">
        <f t="shared" si="1"/>
        <v>16</v>
      </c>
      <c r="H7" s="50">
        <f t="shared" si="1"/>
        <v>0</v>
      </c>
      <c r="I7" s="50">
        <f t="shared" si="1"/>
        <v>9</v>
      </c>
      <c r="J7" s="50">
        <f t="shared" si="1"/>
        <v>0</v>
      </c>
      <c r="K7" s="50">
        <f t="shared" si="1"/>
        <v>11.5</v>
      </c>
      <c r="L7" s="50">
        <f t="shared" si="1"/>
        <v>0</v>
      </c>
      <c r="M7" s="50">
        <f t="shared" si="1"/>
        <v>1</v>
      </c>
      <c r="N7" s="50">
        <f t="shared" si="1"/>
        <v>2.5</v>
      </c>
      <c r="O7" s="47">
        <f t="shared" si="0"/>
        <v>73</v>
      </c>
      <c r="P7" s="51">
        <f>SUM(P2:P6)</f>
        <v>30812.5</v>
      </c>
      <c r="Q7" s="51">
        <f>P7</f>
        <v>30812.5</v>
      </c>
      <c r="R7" s="47"/>
    </row>
    <row r="8" spans="1:18" ht="27.95" x14ac:dyDescent="0.3">
      <c r="A8" s="45" t="s">
        <v>489</v>
      </c>
      <c r="B8" s="46">
        <v>22</v>
      </c>
      <c r="C8" s="46">
        <v>10</v>
      </c>
      <c r="D8" s="46">
        <v>10</v>
      </c>
      <c r="E8" s="46">
        <v>5</v>
      </c>
      <c r="F8" s="46">
        <v>10</v>
      </c>
      <c r="G8" s="46">
        <v>20</v>
      </c>
      <c r="H8" s="46">
        <v>20</v>
      </c>
      <c r="I8" s="46">
        <v>20</v>
      </c>
      <c r="J8" s="46">
        <v>10</v>
      </c>
      <c r="K8" s="46">
        <v>10</v>
      </c>
      <c r="L8" s="46">
        <v>10</v>
      </c>
      <c r="M8" s="46">
        <v>1</v>
      </c>
      <c r="N8" s="46">
        <v>10</v>
      </c>
      <c r="O8" s="47"/>
      <c r="P8" s="47"/>
      <c r="Q8" s="47"/>
      <c r="R8" s="47"/>
    </row>
    <row r="9" spans="1:18" ht="27.95" x14ac:dyDescent="0.3">
      <c r="A9" s="40" t="s">
        <v>490</v>
      </c>
      <c r="B9" s="42">
        <v>100</v>
      </c>
      <c r="C9" s="42">
        <v>300</v>
      </c>
      <c r="D9" s="42">
        <v>120</v>
      </c>
      <c r="E9" s="42">
        <v>130</v>
      </c>
      <c r="F9" s="42">
        <v>100</v>
      </c>
      <c r="G9" s="42">
        <v>300</v>
      </c>
      <c r="H9" s="42">
        <v>300</v>
      </c>
      <c r="I9" s="42">
        <v>150</v>
      </c>
      <c r="J9" s="42">
        <v>425</v>
      </c>
      <c r="K9" s="42">
        <v>475</v>
      </c>
      <c r="L9" s="42">
        <v>1150</v>
      </c>
      <c r="M9" s="42">
        <v>120</v>
      </c>
      <c r="N9" s="42">
        <v>400</v>
      </c>
      <c r="O9" s="47"/>
      <c r="P9" s="47"/>
      <c r="Q9" s="47"/>
      <c r="R9" s="47"/>
    </row>
    <row r="10" spans="1:18" x14ac:dyDescent="0.3">
      <c r="A10" s="45">
        <v>999</v>
      </c>
      <c r="B10" s="46">
        <f>B2*9</f>
        <v>0</v>
      </c>
      <c r="C10" s="46">
        <f>C2*3</f>
        <v>0</v>
      </c>
      <c r="D10" s="46">
        <f>D2*9</f>
        <v>0</v>
      </c>
      <c r="E10" s="46">
        <f>E2*2</f>
        <v>0</v>
      </c>
      <c r="F10" s="46">
        <f>F2*9</f>
        <v>0</v>
      </c>
      <c r="G10" s="46">
        <f>G2*9</f>
        <v>0</v>
      </c>
      <c r="H10" s="46">
        <f>H2*9</f>
        <v>0</v>
      </c>
      <c r="I10" s="46">
        <f>I2*9</f>
        <v>0</v>
      </c>
      <c r="J10" s="48">
        <f>J2*3</f>
        <v>0</v>
      </c>
      <c r="K10" s="48">
        <f>K2*2</f>
        <v>0</v>
      </c>
      <c r="L10" s="48">
        <f>L3*0</f>
        <v>0</v>
      </c>
      <c r="M10" s="46">
        <f>M2*2</f>
        <v>0</v>
      </c>
      <c r="N10" s="46">
        <f>N2*2</f>
        <v>0</v>
      </c>
      <c r="O10" s="47">
        <f t="shared" ref="O10:O21" si="2">B10*($B$9/$B$8)+C10*($C$9/$C$8)+D10*($D$9/$D$8)+E10*($E$9/$E$8)+F10*($F$9/$F$8)+G10*($G$9/$G$8)+H10*($H$9/$H$8)+I10*($I$9/$I$8)+J10*($J$9/$J$8)+K10*($K$9/$K$8)+L10*($L$9/$L$8)+M10*($M$9/$M$8)+N10*($N$9/$N$8)</f>
        <v>0</v>
      </c>
      <c r="P10" s="47">
        <f>O2*(A2/4)</f>
        <v>0</v>
      </c>
      <c r="Q10" s="47"/>
      <c r="R10" s="47">
        <f>P10-O10</f>
        <v>0</v>
      </c>
    </row>
    <row r="11" spans="1:18" x14ac:dyDescent="0.3">
      <c r="A11" s="45">
        <v>1450</v>
      </c>
      <c r="B11" s="46">
        <f>B3*16</f>
        <v>8</v>
      </c>
      <c r="C11" s="46">
        <f>C3*6</f>
        <v>45</v>
      </c>
      <c r="D11" s="46">
        <f>D3*16</f>
        <v>184</v>
      </c>
      <c r="E11" s="46">
        <f>E3*4</f>
        <v>2</v>
      </c>
      <c r="F11" s="48">
        <f>F3*16</f>
        <v>0</v>
      </c>
      <c r="G11" s="48">
        <f>G3*16</f>
        <v>208</v>
      </c>
      <c r="H11" s="48">
        <f>H3*16</f>
        <v>0</v>
      </c>
      <c r="I11" s="48">
        <f>I3*16</f>
        <v>112</v>
      </c>
      <c r="J11" s="48">
        <f>J3*6</f>
        <v>0</v>
      </c>
      <c r="K11" s="46">
        <f>K3*3.5</f>
        <v>33.25</v>
      </c>
      <c r="L11" s="46">
        <f>L3*2</f>
        <v>0</v>
      </c>
      <c r="M11" s="46">
        <f>M3*4</f>
        <v>2</v>
      </c>
      <c r="N11" s="46">
        <f>N3*3.5</f>
        <v>3.5</v>
      </c>
      <c r="O11" s="47">
        <f t="shared" si="2"/>
        <v>9565.738636363636</v>
      </c>
      <c r="P11" s="47">
        <f>O3*(A3/4)</f>
        <v>18487.5</v>
      </c>
      <c r="Q11" s="47"/>
      <c r="R11" s="47">
        <f>P11-O11</f>
        <v>8921.761363636364</v>
      </c>
    </row>
    <row r="12" spans="1:18" x14ac:dyDescent="0.3">
      <c r="A12" s="45">
        <v>1950</v>
      </c>
      <c r="B12" s="46">
        <f>B4*22</f>
        <v>11</v>
      </c>
      <c r="C12" s="46">
        <f>C4*8</f>
        <v>40</v>
      </c>
      <c r="D12" s="46">
        <f>D4*22</f>
        <v>44</v>
      </c>
      <c r="E12" s="46">
        <f>E4*6</f>
        <v>0</v>
      </c>
      <c r="F12" s="48">
        <f>F4*22</f>
        <v>0</v>
      </c>
      <c r="G12" s="48">
        <f>G4*22</f>
        <v>44</v>
      </c>
      <c r="H12" s="48">
        <f>H4*22</f>
        <v>0</v>
      </c>
      <c r="I12" s="48">
        <f>I4*22</f>
        <v>44</v>
      </c>
      <c r="J12" s="48">
        <f>J4*8</f>
        <v>0</v>
      </c>
      <c r="K12" s="46">
        <f>K4*4</f>
        <v>8</v>
      </c>
      <c r="L12" s="46">
        <f>L4*3</f>
        <v>0</v>
      </c>
      <c r="M12" s="46">
        <f>M4*5</f>
        <v>0</v>
      </c>
      <c r="N12" s="46">
        <f>N4*5</f>
        <v>2.5</v>
      </c>
      <c r="O12" s="47">
        <f t="shared" si="2"/>
        <v>3248</v>
      </c>
      <c r="P12" s="47">
        <f>O4*(A4/4)</f>
        <v>6825</v>
      </c>
      <c r="Q12" s="47"/>
      <c r="R12" s="47">
        <f>P12-O12</f>
        <v>3577</v>
      </c>
    </row>
    <row r="13" spans="1:18" x14ac:dyDescent="0.3">
      <c r="A13" s="45">
        <v>2750</v>
      </c>
      <c r="B13" s="46">
        <f>B5*32</f>
        <v>0</v>
      </c>
      <c r="C13" s="46">
        <f>C5*10</f>
        <v>15</v>
      </c>
      <c r="D13" s="46">
        <f>D5*32</f>
        <v>128</v>
      </c>
      <c r="E13" s="46">
        <f>E5*8</f>
        <v>0</v>
      </c>
      <c r="F13" s="46">
        <f>F5*32</f>
        <v>0</v>
      </c>
      <c r="G13" s="46">
        <f>G5*32</f>
        <v>32</v>
      </c>
      <c r="H13" s="46">
        <f>H5*32</f>
        <v>0</v>
      </c>
      <c r="I13" s="48">
        <f>I5*32</f>
        <v>0</v>
      </c>
      <c r="J13" s="52">
        <f>J5*10</f>
        <v>0</v>
      </c>
      <c r="K13" s="46">
        <f>K5*7</f>
        <v>0</v>
      </c>
      <c r="L13" s="46">
        <f>L5*4</f>
        <v>0</v>
      </c>
      <c r="M13" s="46">
        <f>M5*7</f>
        <v>3.5</v>
      </c>
      <c r="N13" s="46">
        <f>N5*7</f>
        <v>7</v>
      </c>
      <c r="O13" s="47">
        <f t="shared" si="2"/>
        <v>3166</v>
      </c>
      <c r="P13" s="47">
        <f>O5*(A5/4)</f>
        <v>5500</v>
      </c>
      <c r="Q13" s="47"/>
      <c r="R13" s="47">
        <f>P13-O13</f>
        <v>2334</v>
      </c>
    </row>
    <row r="14" spans="1:18" x14ac:dyDescent="0.3">
      <c r="A14" s="45">
        <v>4750</v>
      </c>
      <c r="B14" s="46">
        <f>B6*60</f>
        <v>0</v>
      </c>
      <c r="C14" s="46">
        <f>C6*20</f>
        <v>0</v>
      </c>
      <c r="D14" s="46">
        <f t="shared" ref="D14:I14" si="3">D6*60</f>
        <v>0</v>
      </c>
      <c r="E14" s="46">
        <f>E6*14</f>
        <v>0</v>
      </c>
      <c r="F14" s="48">
        <f>F6*60</f>
        <v>0</v>
      </c>
      <c r="G14" s="48">
        <f t="shared" si="3"/>
        <v>0</v>
      </c>
      <c r="H14" s="48">
        <f t="shared" si="3"/>
        <v>0</v>
      </c>
      <c r="I14" s="48">
        <f t="shared" si="3"/>
        <v>0</v>
      </c>
      <c r="J14" s="48">
        <f>J6*22</f>
        <v>0</v>
      </c>
      <c r="K14" s="46">
        <f>K6*12</f>
        <v>0</v>
      </c>
      <c r="L14" s="46">
        <f>L6*8</f>
        <v>0</v>
      </c>
      <c r="M14" s="46">
        <f>M6*12</f>
        <v>0</v>
      </c>
      <c r="N14" s="46">
        <f>N6*12</f>
        <v>0</v>
      </c>
      <c r="O14" s="47">
        <f t="shared" si="2"/>
        <v>0</v>
      </c>
      <c r="P14" s="47">
        <f>O6*(A6/4)</f>
        <v>0</v>
      </c>
      <c r="Q14" s="47"/>
      <c r="R14" s="47">
        <f>P14-O14</f>
        <v>0</v>
      </c>
    </row>
    <row r="15" spans="1:18" x14ac:dyDescent="0.3">
      <c r="A15" s="53" t="s">
        <v>112</v>
      </c>
      <c r="B15" s="54"/>
      <c r="C15" s="54">
        <v>10</v>
      </c>
      <c r="D15" s="54"/>
      <c r="E15" s="54"/>
      <c r="F15" s="54"/>
      <c r="G15" s="54"/>
      <c r="H15" s="54">
        <v>40</v>
      </c>
      <c r="I15" s="54">
        <v>26</v>
      </c>
      <c r="J15" s="54"/>
      <c r="K15" s="54">
        <v>8</v>
      </c>
      <c r="L15" s="54"/>
      <c r="M15" s="54">
        <v>1</v>
      </c>
      <c r="N15" s="46"/>
      <c r="O15" s="47">
        <f t="shared" si="2"/>
        <v>1595</v>
      </c>
      <c r="P15" s="47"/>
      <c r="Q15" s="47">
        <v>6400</v>
      </c>
      <c r="R15" s="47">
        <f>SUM(R10:R14)</f>
        <v>14832.761363636364</v>
      </c>
    </row>
    <row r="16" spans="1:18" ht="27.95" x14ac:dyDescent="0.3">
      <c r="A16" s="55" t="s">
        <v>491</v>
      </c>
      <c r="B16" s="54">
        <v>22</v>
      </c>
      <c r="C16" s="54">
        <v>6</v>
      </c>
      <c r="D16" s="54">
        <v>45</v>
      </c>
      <c r="E16" s="54"/>
      <c r="F16" s="54"/>
      <c r="G16" s="54">
        <v>15</v>
      </c>
      <c r="H16" s="54"/>
      <c r="I16" s="54">
        <v>11</v>
      </c>
      <c r="J16" s="54"/>
      <c r="K16" s="54">
        <v>5</v>
      </c>
      <c r="L16" s="54"/>
      <c r="M16" s="54"/>
      <c r="N16" s="54">
        <v>3</v>
      </c>
      <c r="O16" s="47">
        <f t="shared" si="2"/>
        <v>1485</v>
      </c>
      <c r="P16" s="47"/>
      <c r="Q16" s="47">
        <v>3600</v>
      </c>
      <c r="R16" s="47"/>
    </row>
    <row r="17" spans="1:18" ht="15.6" x14ac:dyDescent="0.3">
      <c r="A17" s="56" t="s">
        <v>492</v>
      </c>
      <c r="B17" s="57"/>
      <c r="C17" s="57"/>
      <c r="D17" s="57"/>
      <c r="E17" s="57"/>
      <c r="F17" s="57"/>
      <c r="G17" s="57"/>
      <c r="H17" s="57"/>
      <c r="I17" s="57"/>
      <c r="J17" s="57"/>
      <c r="K17" s="57"/>
      <c r="L17" s="57"/>
      <c r="M17" s="57"/>
      <c r="N17" s="57"/>
      <c r="O17" s="47">
        <f t="shared" si="2"/>
        <v>0</v>
      </c>
      <c r="P17" s="47"/>
      <c r="Q17" s="58"/>
      <c r="R17" s="47"/>
    </row>
    <row r="18" spans="1:18" ht="15.6" x14ac:dyDescent="0.3">
      <c r="A18" s="56" t="s">
        <v>492</v>
      </c>
      <c r="B18" s="57"/>
      <c r="C18" s="57"/>
      <c r="D18" s="57"/>
      <c r="E18" s="57"/>
      <c r="F18" s="57"/>
      <c r="G18" s="57"/>
      <c r="H18" s="57"/>
      <c r="I18" s="57"/>
      <c r="J18" s="57"/>
      <c r="K18" s="57"/>
      <c r="L18" s="57"/>
      <c r="M18" s="57"/>
      <c r="N18" s="57"/>
      <c r="O18" s="47">
        <f t="shared" si="2"/>
        <v>0</v>
      </c>
      <c r="P18" s="47"/>
      <c r="Q18" s="58"/>
      <c r="R18" s="47"/>
    </row>
    <row r="19" spans="1:18" ht="46.75" x14ac:dyDescent="0.3">
      <c r="A19" s="59" t="s">
        <v>493</v>
      </c>
      <c r="B19" s="57"/>
      <c r="C19" s="57"/>
      <c r="D19" s="57"/>
      <c r="E19" s="57"/>
      <c r="F19" s="57"/>
      <c r="G19" s="57"/>
      <c r="H19" s="57"/>
      <c r="I19" s="57">
        <v>24</v>
      </c>
      <c r="J19" s="57"/>
      <c r="K19" s="57">
        <v>14</v>
      </c>
      <c r="L19" s="57"/>
      <c r="M19" s="57"/>
      <c r="N19" s="57"/>
      <c r="O19" s="47">
        <f t="shared" si="2"/>
        <v>845</v>
      </c>
      <c r="P19" s="47"/>
      <c r="Q19" s="58">
        <v>2200</v>
      </c>
      <c r="R19" s="47"/>
    </row>
    <row r="20" spans="1:18" ht="27.95" x14ac:dyDescent="0.3">
      <c r="A20" s="60" t="s">
        <v>494</v>
      </c>
      <c r="B20" s="61">
        <v>40</v>
      </c>
      <c r="C20" s="61">
        <v>10</v>
      </c>
      <c r="D20" s="61"/>
      <c r="E20" s="61"/>
      <c r="F20" s="61"/>
      <c r="G20" s="61"/>
      <c r="H20" s="61">
        <v>120</v>
      </c>
      <c r="I20" s="61">
        <v>160</v>
      </c>
      <c r="J20" s="61">
        <v>10</v>
      </c>
      <c r="K20" s="61">
        <v>8</v>
      </c>
      <c r="L20" s="61"/>
      <c r="M20" s="61"/>
      <c r="N20" s="61"/>
      <c r="O20" s="47">
        <f t="shared" si="2"/>
        <v>4286.818181818182</v>
      </c>
      <c r="P20" s="47"/>
      <c r="Q20" s="47">
        <v>15000</v>
      </c>
      <c r="R20" s="47"/>
    </row>
    <row r="21" spans="1:18" x14ac:dyDescent="0.3">
      <c r="A21" s="62" t="s">
        <v>492</v>
      </c>
      <c r="B21" s="61"/>
      <c r="C21" s="61"/>
      <c r="D21" s="61"/>
      <c r="E21" s="61"/>
      <c r="F21" s="61"/>
      <c r="G21" s="61"/>
      <c r="H21" s="61"/>
      <c r="I21" s="61"/>
      <c r="J21" s="61"/>
      <c r="K21" s="61"/>
      <c r="L21" s="61"/>
      <c r="M21" s="61"/>
      <c r="N21" s="61"/>
      <c r="O21" s="47">
        <f t="shared" si="2"/>
        <v>0</v>
      </c>
      <c r="P21" s="47"/>
      <c r="Q21" s="47"/>
      <c r="R21" s="47"/>
    </row>
    <row r="22" spans="1:18" x14ac:dyDescent="0.3">
      <c r="A22" s="45" t="s">
        <v>488</v>
      </c>
      <c r="B22" s="46">
        <f>SUM(B10:B21)</f>
        <v>81</v>
      </c>
      <c r="C22" s="46">
        <f t="shared" ref="C22:N22" si="4">SUM(C10:C21)</f>
        <v>126</v>
      </c>
      <c r="D22" s="46">
        <f t="shared" si="4"/>
        <v>401</v>
      </c>
      <c r="E22" s="46">
        <f t="shared" si="4"/>
        <v>2</v>
      </c>
      <c r="F22" s="46">
        <f t="shared" si="4"/>
        <v>0</v>
      </c>
      <c r="G22" s="46">
        <f t="shared" si="4"/>
        <v>299</v>
      </c>
      <c r="H22" s="46">
        <f t="shared" si="4"/>
        <v>160</v>
      </c>
      <c r="I22" s="46">
        <f t="shared" si="4"/>
        <v>377</v>
      </c>
      <c r="J22" s="46">
        <f t="shared" si="4"/>
        <v>10</v>
      </c>
      <c r="K22" s="46">
        <f t="shared" si="4"/>
        <v>76.25</v>
      </c>
      <c r="L22" s="46">
        <f t="shared" si="4"/>
        <v>0</v>
      </c>
      <c r="M22" s="46">
        <f t="shared" si="4"/>
        <v>6.5</v>
      </c>
      <c r="N22" s="46">
        <f t="shared" si="4"/>
        <v>16</v>
      </c>
      <c r="O22" s="47"/>
      <c r="P22" s="47"/>
      <c r="Q22" s="47"/>
      <c r="R22" s="47"/>
    </row>
    <row r="23" spans="1:18" ht="27.95" x14ac:dyDescent="0.3">
      <c r="A23" s="45" t="s">
        <v>495</v>
      </c>
      <c r="B23" s="46"/>
      <c r="C23" s="46">
        <v>10</v>
      </c>
      <c r="D23" s="46"/>
      <c r="E23" s="46"/>
      <c r="F23" s="46"/>
      <c r="G23" s="46"/>
      <c r="H23" s="46"/>
      <c r="I23" s="46">
        <v>70</v>
      </c>
      <c r="J23" s="46">
        <v>10</v>
      </c>
      <c r="K23" s="46"/>
      <c r="L23" s="46"/>
      <c r="M23" s="46">
        <v>4</v>
      </c>
      <c r="N23" s="46">
        <v>5</v>
      </c>
      <c r="O23" s="47">
        <f>B23*($B$9/$B$8)+C23*($C$9/$C$8)+D23*($D$9/$D$8)+E23*($E$9/$E$8)+F23*($F$9/$F$8)+G23*($G$9/$G$8)+H23*($H$9/$H$8)+I23*($I$9/$I$8)+J23*($J$9/$J$8)+K23*($K$9/$K$8)+L23*($L$9/$L$8)+M23*($M$9/$M$8)+N23*($N$9/$N$8)</f>
        <v>1930</v>
      </c>
      <c r="P23" s="47"/>
      <c r="Q23" s="47"/>
      <c r="R23" s="47"/>
    </row>
    <row r="24" spans="1:18" x14ac:dyDescent="0.3">
      <c r="A24" s="40" t="s">
        <v>496</v>
      </c>
      <c r="B24" s="63">
        <f t="shared" ref="B24:N24" si="5">B22-B23</f>
        <v>81</v>
      </c>
      <c r="C24" s="63">
        <f t="shared" si="5"/>
        <v>116</v>
      </c>
      <c r="D24" s="63">
        <f t="shared" si="5"/>
        <v>401</v>
      </c>
      <c r="E24" s="63">
        <f t="shared" si="5"/>
        <v>2</v>
      </c>
      <c r="F24" s="63">
        <f t="shared" si="5"/>
        <v>0</v>
      </c>
      <c r="G24" s="63">
        <f t="shared" si="5"/>
        <v>299</v>
      </c>
      <c r="H24" s="63">
        <f t="shared" si="5"/>
        <v>160</v>
      </c>
      <c r="I24" s="63">
        <f t="shared" si="5"/>
        <v>307</v>
      </c>
      <c r="J24" s="63">
        <f t="shared" si="5"/>
        <v>0</v>
      </c>
      <c r="K24" s="63">
        <f t="shared" si="5"/>
        <v>76.25</v>
      </c>
      <c r="L24" s="63">
        <f t="shared" si="5"/>
        <v>0</v>
      </c>
      <c r="M24" s="63">
        <f>M22-M23</f>
        <v>2.5</v>
      </c>
      <c r="N24" s="63">
        <f t="shared" si="5"/>
        <v>11</v>
      </c>
      <c r="O24" s="43"/>
      <c r="P24" s="43"/>
      <c r="Q24" s="43"/>
      <c r="R24" s="43"/>
    </row>
    <row r="25" spans="1:18" x14ac:dyDescent="0.3">
      <c r="A25" s="45" t="s">
        <v>497</v>
      </c>
      <c r="B25" s="64">
        <v>0.1</v>
      </c>
      <c r="C25" s="64">
        <v>0.1</v>
      </c>
      <c r="D25" s="64">
        <v>0.1</v>
      </c>
      <c r="E25" s="64">
        <v>0.1</v>
      </c>
      <c r="F25" s="64">
        <v>0.15</v>
      </c>
      <c r="G25" s="64">
        <v>0.1</v>
      </c>
      <c r="H25" s="64">
        <v>0.1</v>
      </c>
      <c r="I25" s="64">
        <v>0.1</v>
      </c>
      <c r="J25" s="64">
        <v>0.15</v>
      </c>
      <c r="K25" s="64">
        <v>0.1</v>
      </c>
      <c r="L25" s="64">
        <v>0.05</v>
      </c>
      <c r="M25" s="64">
        <v>0.1</v>
      </c>
      <c r="N25" s="64">
        <v>0.1</v>
      </c>
      <c r="O25" s="43"/>
      <c r="P25" s="43"/>
      <c r="Q25" s="43"/>
      <c r="R25" s="43"/>
    </row>
    <row r="26" spans="1:18" ht="41.95" x14ac:dyDescent="0.3">
      <c r="A26" s="45" t="s">
        <v>498</v>
      </c>
      <c r="B26" s="65">
        <f t="shared" ref="B26:N26" si="6">B24+(B24*10%)</f>
        <v>89.1</v>
      </c>
      <c r="C26" s="65">
        <f t="shared" si="6"/>
        <v>127.6</v>
      </c>
      <c r="D26" s="65">
        <f t="shared" si="6"/>
        <v>441.1</v>
      </c>
      <c r="E26" s="65">
        <f>E24+(E24*15%)</f>
        <v>2.2999999999999998</v>
      </c>
      <c r="F26" s="65">
        <f t="shared" si="6"/>
        <v>0</v>
      </c>
      <c r="G26" s="65">
        <f t="shared" si="6"/>
        <v>328.9</v>
      </c>
      <c r="H26" s="65">
        <f t="shared" si="6"/>
        <v>176</v>
      </c>
      <c r="I26" s="65">
        <f t="shared" si="6"/>
        <v>337.7</v>
      </c>
      <c r="J26" s="65">
        <f>J24+(J24*10%)</f>
        <v>0</v>
      </c>
      <c r="K26" s="65">
        <f t="shared" si="6"/>
        <v>83.875</v>
      </c>
      <c r="L26" s="65">
        <f t="shared" si="6"/>
        <v>0</v>
      </c>
      <c r="M26" s="65">
        <f t="shared" si="6"/>
        <v>2.75</v>
      </c>
      <c r="N26" s="65">
        <f t="shared" si="6"/>
        <v>12.1</v>
      </c>
      <c r="O26" s="43"/>
      <c r="P26" s="43"/>
      <c r="Q26" s="43"/>
      <c r="R26" s="43"/>
    </row>
    <row r="27" spans="1:18" ht="27.95" x14ac:dyDescent="0.3">
      <c r="A27" s="45" t="s">
        <v>499</v>
      </c>
      <c r="B27" s="66">
        <f t="shared" ref="B27:N27" si="7">B26/B8</f>
        <v>4.05</v>
      </c>
      <c r="C27" s="66">
        <f t="shared" si="7"/>
        <v>12.76</v>
      </c>
      <c r="D27" s="66">
        <f t="shared" si="7"/>
        <v>44.11</v>
      </c>
      <c r="E27" s="66">
        <f t="shared" si="7"/>
        <v>0.45999999999999996</v>
      </c>
      <c r="F27" s="66">
        <f t="shared" si="7"/>
        <v>0</v>
      </c>
      <c r="G27" s="66">
        <f t="shared" si="7"/>
        <v>16.445</v>
      </c>
      <c r="H27" s="66">
        <f t="shared" si="7"/>
        <v>8.8000000000000007</v>
      </c>
      <c r="I27" s="66">
        <f t="shared" si="7"/>
        <v>16.884999999999998</v>
      </c>
      <c r="J27" s="66">
        <f t="shared" si="7"/>
        <v>0</v>
      </c>
      <c r="K27" s="66">
        <f t="shared" si="7"/>
        <v>8.3874999999999993</v>
      </c>
      <c r="L27" s="66">
        <f t="shared" si="7"/>
        <v>0</v>
      </c>
      <c r="M27" s="66">
        <f t="shared" si="7"/>
        <v>2.75</v>
      </c>
      <c r="N27" s="66">
        <f t="shared" si="7"/>
        <v>1.21</v>
      </c>
      <c r="O27" s="43"/>
      <c r="P27" s="43"/>
      <c r="Q27" s="43"/>
      <c r="R27" s="43"/>
    </row>
    <row r="28" spans="1:18" x14ac:dyDescent="0.3">
      <c r="A28" s="40" t="s">
        <v>500</v>
      </c>
      <c r="B28" s="42">
        <v>4</v>
      </c>
      <c r="C28" s="42">
        <v>13</v>
      </c>
      <c r="D28" s="42">
        <v>45</v>
      </c>
      <c r="E28" s="42">
        <v>2</v>
      </c>
      <c r="F28" s="42"/>
      <c r="G28" s="42">
        <v>17</v>
      </c>
      <c r="H28" s="42">
        <v>8</v>
      </c>
      <c r="I28" s="42">
        <v>19</v>
      </c>
      <c r="J28" s="42">
        <v>1</v>
      </c>
      <c r="K28" s="42">
        <v>8</v>
      </c>
      <c r="L28" s="42">
        <v>2</v>
      </c>
      <c r="M28" s="42">
        <v>5</v>
      </c>
      <c r="N28" s="42">
        <v>2</v>
      </c>
      <c r="O28" s="43"/>
      <c r="P28" s="43"/>
      <c r="Q28" s="43"/>
      <c r="R28" s="43"/>
    </row>
    <row r="29" spans="1:18" x14ac:dyDescent="0.3">
      <c r="A29" s="67"/>
      <c r="B29" s="68"/>
      <c r="C29" s="68"/>
      <c r="D29" s="68"/>
      <c r="E29" s="68"/>
      <c r="F29" s="68"/>
      <c r="G29" s="68"/>
      <c r="H29" s="68">
        <v>2</v>
      </c>
      <c r="I29" s="68">
        <v>5</v>
      </c>
      <c r="J29" s="68"/>
      <c r="K29" s="68"/>
      <c r="L29" s="68"/>
      <c r="M29" s="46"/>
      <c r="N29" s="42"/>
      <c r="O29" s="43"/>
      <c r="P29" s="43"/>
      <c r="Q29" s="43"/>
      <c r="R29" s="43"/>
    </row>
    <row r="30" spans="1:18" x14ac:dyDescent="0.3">
      <c r="A30" s="69"/>
      <c r="B30" s="70"/>
      <c r="C30" s="70">
        <v>5</v>
      </c>
      <c r="D30" s="70"/>
      <c r="E30" s="70"/>
      <c r="F30" s="70"/>
      <c r="G30" s="70">
        <v>9</v>
      </c>
      <c r="H30" s="70">
        <v>2</v>
      </c>
      <c r="I30" s="70">
        <v>4</v>
      </c>
      <c r="J30" s="70"/>
      <c r="K30" s="70"/>
      <c r="L30" s="70">
        <v>1</v>
      </c>
      <c r="M30" s="46"/>
      <c r="N30" s="46">
        <v>1</v>
      </c>
      <c r="O30" s="43"/>
      <c r="P30" s="43"/>
      <c r="Q30" s="43"/>
      <c r="R30" s="43"/>
    </row>
    <row r="31" spans="1:18" x14ac:dyDescent="0.3">
      <c r="A31" s="40"/>
      <c r="B31" s="46">
        <v>4</v>
      </c>
      <c r="C31" s="71">
        <v>1</v>
      </c>
      <c r="D31" s="46"/>
      <c r="E31" s="46"/>
      <c r="F31" s="46"/>
      <c r="G31" s="46"/>
      <c r="H31" s="46">
        <v>1</v>
      </c>
      <c r="I31" s="46">
        <v>8</v>
      </c>
      <c r="J31" s="46"/>
      <c r="K31" s="46">
        <v>4</v>
      </c>
      <c r="L31" s="46">
        <v>1</v>
      </c>
      <c r="M31" s="46"/>
      <c r="N31" s="46"/>
      <c r="O31" s="43"/>
      <c r="P31" s="43"/>
      <c r="Q31" s="43"/>
      <c r="R31" s="43"/>
    </row>
    <row r="32" spans="1:18" x14ac:dyDescent="0.3">
      <c r="A32" s="62"/>
      <c r="B32" s="72"/>
      <c r="C32" s="72">
        <v>6</v>
      </c>
      <c r="D32" s="72"/>
      <c r="E32" s="72"/>
      <c r="F32" s="72"/>
      <c r="G32" s="72">
        <v>8</v>
      </c>
      <c r="H32" s="72"/>
      <c r="I32" s="72">
        <v>1</v>
      </c>
      <c r="J32" s="72"/>
      <c r="K32" s="72"/>
      <c r="L32" s="72"/>
      <c r="M32" s="46"/>
      <c r="N32" s="46"/>
      <c r="O32" s="43"/>
      <c r="P32" s="43"/>
      <c r="Q32" s="43"/>
      <c r="R32" s="43"/>
    </row>
    <row r="33" spans="1:18" x14ac:dyDescent="0.3">
      <c r="A33" s="73"/>
      <c r="B33" s="74"/>
      <c r="C33" s="74"/>
      <c r="D33" s="74"/>
      <c r="E33" s="74"/>
      <c r="F33" s="74"/>
      <c r="G33" s="74"/>
      <c r="H33" s="74">
        <v>2</v>
      </c>
      <c r="I33" s="74"/>
      <c r="J33" s="74"/>
      <c r="K33" s="74">
        <v>4</v>
      </c>
      <c r="L33" s="74"/>
      <c r="M33" s="46"/>
      <c r="N33" s="46"/>
      <c r="O33" s="43"/>
      <c r="P33" s="43"/>
      <c r="Q33" s="43"/>
      <c r="R33" s="43"/>
    </row>
    <row r="34" spans="1:18" x14ac:dyDescent="0.3">
      <c r="A34" s="75"/>
      <c r="B34" s="76"/>
      <c r="C34" s="76"/>
      <c r="D34" s="76"/>
      <c r="E34" s="76"/>
      <c r="F34" s="76"/>
      <c r="G34" s="76"/>
      <c r="H34" s="76"/>
      <c r="I34" s="76">
        <v>1</v>
      </c>
      <c r="J34" s="76"/>
      <c r="K34" s="76"/>
      <c r="L34" s="76"/>
      <c r="M34" s="46"/>
      <c r="N34" s="46">
        <v>1</v>
      </c>
      <c r="O34" s="43"/>
      <c r="P34" s="43"/>
      <c r="Q34" s="43"/>
      <c r="R34" s="43"/>
    </row>
    <row r="35" spans="1:18" x14ac:dyDescent="0.3">
      <c r="A35" s="77"/>
      <c r="B35" s="78"/>
      <c r="C35" s="78">
        <v>1</v>
      </c>
      <c r="D35" s="78"/>
      <c r="E35" s="78"/>
      <c r="F35" s="78"/>
      <c r="G35" s="78"/>
      <c r="H35" s="78"/>
      <c r="I35" s="78"/>
      <c r="J35" s="78">
        <v>1</v>
      </c>
      <c r="K35" s="78"/>
      <c r="L35" s="78"/>
      <c r="M35" s="46"/>
      <c r="N35" s="46"/>
      <c r="O35" s="43"/>
      <c r="P35" s="43"/>
      <c r="Q35" s="43"/>
      <c r="R35" s="43"/>
    </row>
    <row r="36" spans="1:18" x14ac:dyDescent="0.3">
      <c r="A36" s="40"/>
      <c r="B36" s="46"/>
      <c r="C36" s="46"/>
      <c r="D36" s="46"/>
      <c r="E36" s="46"/>
      <c r="F36" s="46"/>
      <c r="G36" s="46"/>
      <c r="H36" s="46"/>
      <c r="I36" s="46"/>
      <c r="J36" s="46"/>
      <c r="K36" s="46"/>
      <c r="L36" s="42"/>
      <c r="M36" s="42"/>
      <c r="N36" s="46"/>
      <c r="O36" s="43"/>
      <c r="P36" s="43"/>
      <c r="Q36" s="43"/>
      <c r="R36" s="43"/>
    </row>
    <row r="37" spans="1:18" ht="15.6" x14ac:dyDescent="0.3">
      <c r="A37" s="79"/>
      <c r="B37" s="80"/>
      <c r="C37" s="80"/>
      <c r="D37" s="80"/>
      <c r="E37" s="80"/>
      <c r="F37" s="80"/>
      <c r="G37" s="80"/>
      <c r="H37" s="80"/>
      <c r="I37" s="80"/>
      <c r="J37" s="80"/>
      <c r="K37" s="80"/>
      <c r="L37" s="80"/>
      <c r="M37" s="80"/>
      <c r="N37" s="80"/>
      <c r="O37" s="43"/>
      <c r="P37" s="43"/>
      <c r="Q37" s="43"/>
      <c r="R37" s="43"/>
    </row>
    <row r="38" spans="1:18" x14ac:dyDescent="0.3">
      <c r="A38" s="42" t="s">
        <v>501</v>
      </c>
      <c r="B38" s="49">
        <f t="shared" ref="B38:N38" si="8">B28*B9</f>
        <v>400</v>
      </c>
      <c r="C38" s="49">
        <f t="shared" si="8"/>
        <v>3900</v>
      </c>
      <c r="D38" s="49">
        <f t="shared" si="8"/>
        <v>5400</v>
      </c>
      <c r="E38" s="49">
        <f t="shared" si="8"/>
        <v>260</v>
      </c>
      <c r="F38" s="49">
        <f t="shared" si="8"/>
        <v>0</v>
      </c>
      <c r="G38" s="49">
        <f t="shared" si="8"/>
        <v>5100</v>
      </c>
      <c r="H38" s="49">
        <f t="shared" si="8"/>
        <v>2400</v>
      </c>
      <c r="I38" s="49">
        <f t="shared" si="8"/>
        <v>2850</v>
      </c>
      <c r="J38" s="49">
        <f t="shared" si="8"/>
        <v>425</v>
      </c>
      <c r="K38" s="49">
        <f t="shared" si="8"/>
        <v>3800</v>
      </c>
      <c r="L38" s="49">
        <f t="shared" si="8"/>
        <v>2300</v>
      </c>
      <c r="M38" s="49">
        <f t="shared" si="8"/>
        <v>600</v>
      </c>
      <c r="N38" s="49">
        <f t="shared" si="8"/>
        <v>800</v>
      </c>
      <c r="O38" s="43">
        <f>B38+C38+D38+E38+F38+G38+H38+I38+J38+K38+L38+M38+N38+Q60+ 2000</f>
        <v>35745</v>
      </c>
      <c r="P38" s="81"/>
      <c r="Q38" s="47">
        <f>SUM(Q7:Q23)</f>
        <v>58012.5</v>
      </c>
      <c r="R38" s="43"/>
    </row>
    <row r="39" spans="1:18" x14ac:dyDescent="0.3">
      <c r="A39" s="43"/>
      <c r="B39" s="43"/>
      <c r="C39" s="43"/>
      <c r="D39" s="43"/>
      <c r="E39" s="43"/>
      <c r="F39" s="43"/>
      <c r="G39" s="43"/>
      <c r="H39" s="43"/>
      <c r="I39" s="43"/>
      <c r="J39" s="43"/>
      <c r="K39" s="43"/>
      <c r="L39" s="43"/>
      <c r="M39" s="43"/>
      <c r="N39" s="43"/>
      <c r="O39" s="43"/>
      <c r="P39" s="82" t="s">
        <v>502</v>
      </c>
      <c r="Q39" s="82" t="s">
        <v>503</v>
      </c>
      <c r="R39" s="43"/>
    </row>
    <row r="40" spans="1:18" x14ac:dyDescent="0.3">
      <c r="A40" s="43"/>
      <c r="B40" s="43"/>
      <c r="C40" s="43"/>
      <c r="D40" s="43"/>
      <c r="E40" s="43"/>
      <c r="F40" s="43"/>
      <c r="G40" s="43"/>
      <c r="H40" s="43"/>
      <c r="I40" s="43"/>
      <c r="J40" s="43"/>
      <c r="K40" s="43"/>
      <c r="L40" s="43"/>
      <c r="M40" s="43"/>
      <c r="N40" s="43" t="s">
        <v>504</v>
      </c>
      <c r="O40" s="43">
        <f t="shared" ref="O40:O59" si="9">Q40*P40</f>
        <v>1000</v>
      </c>
      <c r="P40" s="43">
        <v>5</v>
      </c>
      <c r="Q40" s="43">
        <v>200</v>
      </c>
      <c r="R40" s="43"/>
    </row>
    <row r="41" spans="1:18" x14ac:dyDescent="0.3">
      <c r="A41" s="43"/>
      <c r="B41" s="43"/>
      <c r="C41" s="43"/>
      <c r="D41" s="43"/>
      <c r="E41" s="43"/>
      <c r="F41" s="43"/>
      <c r="G41" s="43"/>
      <c r="H41" s="43"/>
      <c r="I41" s="43"/>
      <c r="J41" s="43"/>
      <c r="K41" s="43"/>
      <c r="L41" s="43"/>
      <c r="M41" s="43"/>
      <c r="N41" s="43" t="s">
        <v>505</v>
      </c>
      <c r="O41" s="43">
        <f t="shared" si="9"/>
        <v>300</v>
      </c>
      <c r="P41" s="43">
        <v>3</v>
      </c>
      <c r="Q41" s="43">
        <v>100</v>
      </c>
      <c r="R41" s="43"/>
    </row>
    <row r="42" spans="1:18" x14ac:dyDescent="0.3">
      <c r="A42" s="43"/>
      <c r="B42" s="43"/>
      <c r="C42" s="43"/>
      <c r="D42" s="43"/>
      <c r="E42" s="43"/>
      <c r="F42" s="43"/>
      <c r="G42" s="43"/>
      <c r="H42" s="43"/>
      <c r="I42" s="43"/>
      <c r="J42" s="43"/>
      <c r="K42" s="43"/>
      <c r="L42" s="43"/>
      <c r="M42" s="43"/>
      <c r="N42" s="43" t="s">
        <v>506</v>
      </c>
      <c r="O42" s="43">
        <f t="shared" si="9"/>
        <v>0</v>
      </c>
      <c r="P42" s="43">
        <v>0</v>
      </c>
      <c r="Q42" s="43">
        <v>100</v>
      </c>
      <c r="R42" s="43"/>
    </row>
    <row r="43" spans="1:18" x14ac:dyDescent="0.3">
      <c r="A43" s="43"/>
      <c r="B43" s="43"/>
      <c r="C43" s="43"/>
      <c r="D43" s="43"/>
      <c r="E43" s="43"/>
      <c r="F43" s="43"/>
      <c r="G43" s="43"/>
      <c r="H43" s="43"/>
      <c r="I43" s="43"/>
      <c r="J43" s="43"/>
      <c r="K43" s="43"/>
      <c r="L43" s="43"/>
      <c r="M43" s="43"/>
      <c r="N43" s="43" t="s">
        <v>507</v>
      </c>
      <c r="O43" s="43">
        <f t="shared" si="9"/>
        <v>2000</v>
      </c>
      <c r="P43" s="43">
        <v>100</v>
      </c>
      <c r="Q43" s="43">
        <v>20</v>
      </c>
      <c r="R43" s="43"/>
    </row>
    <row r="44" spans="1:18" ht="27.95" x14ac:dyDescent="0.3">
      <c r="A44" s="43"/>
      <c r="B44" s="43"/>
      <c r="C44" s="43"/>
      <c r="D44" s="43"/>
      <c r="E44" s="43"/>
      <c r="F44" s="83"/>
      <c r="G44" s="43"/>
      <c r="H44" s="43"/>
      <c r="I44" s="43"/>
      <c r="J44" s="43"/>
      <c r="K44" s="43"/>
      <c r="L44" s="43"/>
      <c r="M44" s="43"/>
      <c r="N44" s="43" t="s">
        <v>508</v>
      </c>
      <c r="O44" s="43">
        <f t="shared" si="9"/>
        <v>320</v>
      </c>
      <c r="P44" s="43">
        <v>4</v>
      </c>
      <c r="Q44" s="43">
        <v>80</v>
      </c>
      <c r="R44" s="43"/>
    </row>
    <row r="45" spans="1:18" x14ac:dyDescent="0.3">
      <c r="A45" s="43"/>
      <c r="B45" s="43"/>
      <c r="C45" s="43"/>
      <c r="D45" s="43"/>
      <c r="E45" s="43"/>
      <c r="F45" s="43"/>
      <c r="G45" s="43"/>
      <c r="H45" s="43"/>
      <c r="I45" s="43"/>
      <c r="J45" s="43"/>
      <c r="K45" s="43"/>
      <c r="L45" s="43"/>
      <c r="M45" s="43"/>
      <c r="N45" s="43" t="s">
        <v>509</v>
      </c>
      <c r="O45" s="43">
        <f t="shared" si="9"/>
        <v>0</v>
      </c>
      <c r="P45" s="43">
        <v>0</v>
      </c>
      <c r="Q45" s="43">
        <v>300</v>
      </c>
      <c r="R45" s="43"/>
    </row>
    <row r="46" spans="1:18" ht="27.95" x14ac:dyDescent="0.3">
      <c r="A46" s="43"/>
      <c r="B46" s="43"/>
      <c r="C46" s="43"/>
      <c r="D46" s="43"/>
      <c r="E46" s="43"/>
      <c r="F46" s="43"/>
      <c r="G46" s="43"/>
      <c r="H46" s="43"/>
      <c r="I46" s="43"/>
      <c r="J46" s="43"/>
      <c r="K46" s="43"/>
      <c r="L46" s="43"/>
      <c r="M46" s="43"/>
      <c r="N46" s="43" t="s">
        <v>510</v>
      </c>
      <c r="O46" s="43">
        <f t="shared" si="9"/>
        <v>0</v>
      </c>
      <c r="P46" s="43">
        <v>0</v>
      </c>
      <c r="Q46" s="43">
        <v>250</v>
      </c>
      <c r="R46" s="43"/>
    </row>
    <row r="47" spans="1:18" x14ac:dyDescent="0.3">
      <c r="A47" s="43"/>
      <c r="B47" s="43"/>
      <c r="C47" s="43"/>
      <c r="D47" s="43"/>
      <c r="E47" s="43"/>
      <c r="F47" s="43"/>
      <c r="G47" s="43"/>
      <c r="H47" s="43"/>
      <c r="I47" s="43"/>
      <c r="J47" s="43"/>
      <c r="K47" s="43"/>
      <c r="L47" s="43"/>
      <c r="M47" s="43"/>
      <c r="N47" s="43" t="s">
        <v>511</v>
      </c>
      <c r="O47" s="43">
        <f t="shared" si="9"/>
        <v>300</v>
      </c>
      <c r="P47" s="43">
        <v>3</v>
      </c>
      <c r="Q47" s="43">
        <v>100</v>
      </c>
      <c r="R47" s="43"/>
    </row>
    <row r="48" spans="1:18" ht="27.95" x14ac:dyDescent="0.3">
      <c r="A48" s="43"/>
      <c r="B48" s="43"/>
      <c r="C48" s="43"/>
      <c r="D48" s="43"/>
      <c r="E48" s="43"/>
      <c r="F48" s="43"/>
      <c r="G48" s="43"/>
      <c r="H48" s="43"/>
      <c r="I48" s="43"/>
      <c r="J48" s="43"/>
      <c r="K48" s="43"/>
      <c r="L48" s="43"/>
      <c r="M48" s="43"/>
      <c r="N48" s="43" t="s">
        <v>512</v>
      </c>
      <c r="O48" s="43">
        <f t="shared" si="9"/>
        <v>600</v>
      </c>
      <c r="P48" s="43">
        <v>2</v>
      </c>
      <c r="Q48" s="43">
        <v>300</v>
      </c>
      <c r="R48" s="43"/>
    </row>
    <row r="49" spans="1:18" x14ac:dyDescent="0.3">
      <c r="A49" s="43"/>
      <c r="B49" s="43"/>
      <c r="C49" s="43"/>
      <c r="D49" s="43"/>
      <c r="E49" s="43"/>
      <c r="F49" s="43"/>
      <c r="G49" s="43"/>
      <c r="H49" s="43"/>
      <c r="I49" s="43"/>
      <c r="J49" s="43"/>
      <c r="K49" s="43"/>
      <c r="L49" s="43"/>
      <c r="M49" s="43"/>
      <c r="N49" s="43" t="s">
        <v>513</v>
      </c>
      <c r="O49" s="43">
        <f t="shared" si="9"/>
        <v>0</v>
      </c>
      <c r="P49" s="43">
        <v>0</v>
      </c>
      <c r="Q49" s="43">
        <v>700</v>
      </c>
      <c r="R49" s="43"/>
    </row>
    <row r="50" spans="1:18" x14ac:dyDescent="0.3">
      <c r="A50" s="43"/>
      <c r="B50" s="43"/>
      <c r="C50" s="43"/>
      <c r="D50" s="43"/>
      <c r="E50" s="43"/>
      <c r="F50" s="43"/>
      <c r="G50" s="43"/>
      <c r="H50" s="43"/>
      <c r="I50" s="43"/>
      <c r="J50" s="43"/>
      <c r="K50" s="43"/>
      <c r="L50" s="43"/>
      <c r="M50" s="43"/>
      <c r="N50" s="43" t="s">
        <v>514</v>
      </c>
      <c r="O50" s="43">
        <f t="shared" si="9"/>
        <v>1500</v>
      </c>
      <c r="P50" s="43">
        <v>5</v>
      </c>
      <c r="Q50" s="43">
        <v>300</v>
      </c>
      <c r="R50" s="43"/>
    </row>
    <row r="51" spans="1:18" x14ac:dyDescent="0.3">
      <c r="A51" s="43"/>
      <c r="B51" s="43"/>
      <c r="C51" s="43"/>
      <c r="D51" s="43"/>
      <c r="E51" s="43"/>
      <c r="F51" s="43"/>
      <c r="G51" s="43"/>
      <c r="H51" s="43"/>
      <c r="I51" s="43"/>
      <c r="J51" s="43"/>
      <c r="K51" s="43"/>
      <c r="L51" s="43"/>
      <c r="M51" s="43"/>
      <c r="N51" s="43" t="s">
        <v>515</v>
      </c>
      <c r="O51" s="43">
        <f t="shared" si="9"/>
        <v>900</v>
      </c>
      <c r="P51" s="43">
        <v>5</v>
      </c>
      <c r="Q51" s="43">
        <v>180</v>
      </c>
      <c r="R51" s="43"/>
    </row>
    <row r="52" spans="1:18" ht="27.95" x14ac:dyDescent="0.3">
      <c r="A52" s="43"/>
      <c r="B52" s="43"/>
      <c r="C52" s="43"/>
      <c r="D52" s="43"/>
      <c r="E52" s="43"/>
      <c r="F52" s="43"/>
      <c r="G52" s="43"/>
      <c r="H52" s="43"/>
      <c r="I52" s="43"/>
      <c r="J52" s="43"/>
      <c r="K52" s="43"/>
      <c r="L52" s="43"/>
      <c r="M52" s="43"/>
      <c r="N52" s="43" t="s">
        <v>516</v>
      </c>
      <c r="O52" s="43">
        <f t="shared" si="9"/>
        <v>200</v>
      </c>
      <c r="P52" s="43">
        <v>2</v>
      </c>
      <c r="Q52" s="43">
        <v>100</v>
      </c>
      <c r="R52" s="43"/>
    </row>
    <row r="53" spans="1:18" ht="27.95" x14ac:dyDescent="0.3">
      <c r="A53" s="43"/>
      <c r="B53" s="43"/>
      <c r="C53" s="43"/>
      <c r="D53" s="43"/>
      <c r="E53" s="43"/>
      <c r="F53" s="43"/>
      <c r="G53" s="43"/>
      <c r="H53" s="43"/>
      <c r="I53" s="43"/>
      <c r="J53" s="43"/>
      <c r="K53" s="43"/>
      <c r="L53" s="43"/>
      <c r="M53" s="43"/>
      <c r="N53" s="43" t="s">
        <v>517</v>
      </c>
      <c r="O53" s="43">
        <f t="shared" si="9"/>
        <v>80</v>
      </c>
      <c r="P53" s="43">
        <v>1</v>
      </c>
      <c r="Q53" s="43">
        <v>80</v>
      </c>
      <c r="R53" s="43"/>
    </row>
    <row r="54" spans="1:18" ht="41.95" x14ac:dyDescent="0.3">
      <c r="A54" s="43"/>
      <c r="B54" s="43"/>
      <c r="C54" s="43"/>
      <c r="D54" s="43"/>
      <c r="E54" s="43"/>
      <c r="F54" s="43"/>
      <c r="G54" s="43"/>
      <c r="H54" s="43"/>
      <c r="I54" s="43"/>
      <c r="J54" s="43"/>
      <c r="K54" s="43"/>
      <c r="L54" s="43"/>
      <c r="M54" s="43"/>
      <c r="N54" s="43" t="s">
        <v>518</v>
      </c>
      <c r="O54" s="43">
        <f t="shared" si="9"/>
        <v>0</v>
      </c>
      <c r="P54" s="43">
        <v>0</v>
      </c>
      <c r="Q54" s="43">
        <v>450</v>
      </c>
      <c r="R54" s="43"/>
    </row>
    <row r="55" spans="1:18" ht="41.95" x14ac:dyDescent="0.3">
      <c r="A55" s="43"/>
      <c r="B55" s="43"/>
      <c r="C55" s="43"/>
      <c r="D55" s="43"/>
      <c r="E55" s="43"/>
      <c r="F55" s="43"/>
      <c r="G55" s="43"/>
      <c r="H55" s="43"/>
      <c r="I55" s="43"/>
      <c r="J55" s="43"/>
      <c r="K55" s="43"/>
      <c r="L55" s="43"/>
      <c r="M55" s="43"/>
      <c r="N55" s="43" t="s">
        <v>519</v>
      </c>
      <c r="O55" s="43">
        <f t="shared" si="9"/>
        <v>0</v>
      </c>
      <c r="P55" s="43">
        <v>0</v>
      </c>
      <c r="Q55" s="43">
        <v>550</v>
      </c>
      <c r="R55" s="43"/>
    </row>
    <row r="56" spans="1:18" ht="27.95" x14ac:dyDescent="0.3">
      <c r="A56" s="43"/>
      <c r="B56" s="43"/>
      <c r="C56" s="43"/>
      <c r="D56" s="43"/>
      <c r="E56" s="43"/>
      <c r="F56" s="43"/>
      <c r="G56" s="43"/>
      <c r="H56" s="43"/>
      <c r="I56" s="43"/>
      <c r="J56" s="43"/>
      <c r="K56" s="43"/>
      <c r="L56" s="43"/>
      <c r="M56" s="43"/>
      <c r="N56" s="43" t="s">
        <v>520</v>
      </c>
      <c r="O56" s="43">
        <f t="shared" si="9"/>
        <v>0</v>
      </c>
      <c r="P56" s="43">
        <v>0</v>
      </c>
      <c r="Q56" s="43">
        <v>200</v>
      </c>
      <c r="R56" s="43"/>
    </row>
    <row r="57" spans="1:18" ht="27.95" x14ac:dyDescent="0.3">
      <c r="A57" s="43"/>
      <c r="B57" s="43"/>
      <c r="C57" s="43"/>
      <c r="D57" s="43"/>
      <c r="E57" s="43"/>
      <c r="F57" s="43"/>
      <c r="G57" s="43"/>
      <c r="H57" s="43"/>
      <c r="I57" s="43"/>
      <c r="J57" s="43"/>
      <c r="K57" s="43"/>
      <c r="L57" s="43"/>
      <c r="M57" s="43"/>
      <c r="N57" s="43" t="s">
        <v>521</v>
      </c>
      <c r="O57" s="43">
        <f t="shared" si="9"/>
        <v>0</v>
      </c>
      <c r="P57" s="43">
        <v>0</v>
      </c>
      <c r="Q57" s="43">
        <v>600</v>
      </c>
      <c r="R57" s="43"/>
    </row>
    <row r="58" spans="1:18" ht="27.95" x14ac:dyDescent="0.3">
      <c r="A58" s="43"/>
      <c r="B58" s="43"/>
      <c r="C58" s="43"/>
      <c r="D58" s="43"/>
      <c r="E58" s="43"/>
      <c r="F58" s="43"/>
      <c r="G58" s="43"/>
      <c r="H58" s="43"/>
      <c r="I58" s="43"/>
      <c r="J58" s="43"/>
      <c r="K58" s="43"/>
      <c r="L58" s="43"/>
      <c r="M58" s="43"/>
      <c r="N58" s="43" t="s">
        <v>522</v>
      </c>
      <c r="O58" s="43">
        <f t="shared" si="9"/>
        <v>0</v>
      </c>
      <c r="P58" s="43">
        <v>0</v>
      </c>
      <c r="Q58" s="43">
        <v>300</v>
      </c>
      <c r="R58" s="43"/>
    </row>
    <row r="59" spans="1:18" ht="27.95" x14ac:dyDescent="0.3">
      <c r="A59" s="43"/>
      <c r="B59" s="43"/>
      <c r="C59" s="43"/>
      <c r="D59" s="43"/>
      <c r="E59" s="43"/>
      <c r="F59" s="43"/>
      <c r="G59" s="43"/>
      <c r="H59" s="84">
        <f>(1038*25)/30</f>
        <v>865</v>
      </c>
      <c r="I59" s="43"/>
      <c r="J59" s="43"/>
      <c r="K59" s="43"/>
      <c r="L59" s="43"/>
      <c r="M59" s="43"/>
      <c r="N59" s="43" t="s">
        <v>523</v>
      </c>
      <c r="O59" s="43">
        <f t="shared" si="9"/>
        <v>0</v>
      </c>
      <c r="P59" s="43">
        <v>0</v>
      </c>
      <c r="Q59" s="43">
        <v>600</v>
      </c>
      <c r="R59" s="43"/>
    </row>
    <row r="60" spans="1:18" x14ac:dyDescent="0.3">
      <c r="Q60">
        <f>SUM(Q40:Q59)</f>
        <v>5510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Tripathi</dc:creator>
  <cp:lastModifiedBy>Amit Tripathi</cp:lastModifiedBy>
  <dcterms:created xsi:type="dcterms:W3CDTF">2026-07-29T15:43:29Z</dcterms:created>
  <dcterms:modified xsi:type="dcterms:W3CDTF">2026-07-29T18:37:27Z</dcterms:modified>
</cp:coreProperties>
</file>