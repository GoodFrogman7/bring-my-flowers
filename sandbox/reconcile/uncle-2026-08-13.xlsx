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f90bce48fe946bb5/Desktop/"/>
    </mc:Choice>
  </mc:AlternateContent>
  <xr:revisionPtr revIDLastSave="30" documentId="8_{5DD659D8-9C11-4333-89C3-66FF6AAB83A6}" xr6:coauthVersionLast="47" xr6:coauthVersionMax="47" xr10:uidLastSave="{8B7BDD1F-2846-425A-96B8-5751C89A9A34}"/>
  <bookViews>
    <workbookView xWindow="-107" yWindow="-107" windowWidth="20847" windowHeight="11100" xr2:uid="{C6CB16A1-3252-43EE-ACEC-2F26CEB74C23}"/>
  </bookViews>
  <sheets>
    <sheet name="Sheet1" sheetId="1" r:id="rId1"/>
    <sheet name="Sheet2" sheetId="2" r:id="rId2"/>
  </sheets>
  <externalReferences>
    <externalReference r:id="rId3"/>
    <externalReference r:id="rId4"/>
  </externalReferences>
  <definedNames>
    <definedName name="_xlnm._FilterDatabase" localSheetId="0" hidden="1">Sheet1!$A$1:$AD$86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58" i="2" l="1"/>
  <c r="O57" i="2"/>
  <c r="H57" i="2"/>
  <c r="O56" i="2"/>
  <c r="O55" i="2"/>
  <c r="O54" i="2"/>
  <c r="O53" i="2"/>
  <c r="O52" i="2"/>
  <c r="O51" i="2"/>
  <c r="O50" i="2"/>
  <c r="O49" i="2"/>
  <c r="O48" i="2"/>
  <c r="O47" i="2"/>
  <c r="O46" i="2"/>
  <c r="O45" i="2"/>
  <c r="O44" i="2"/>
  <c r="O43" i="2"/>
  <c r="O42" i="2"/>
  <c r="O41" i="2"/>
  <c r="O40" i="2"/>
  <c r="O39" i="2"/>
  <c r="O38" i="2"/>
  <c r="N36" i="2"/>
  <c r="M36" i="2"/>
  <c r="L36" i="2"/>
  <c r="K36" i="2"/>
  <c r="J36" i="2"/>
  <c r="I36" i="2"/>
  <c r="H36" i="2"/>
  <c r="G36" i="2"/>
  <c r="F36" i="2"/>
  <c r="E36" i="2"/>
  <c r="D36" i="2"/>
  <c r="C36" i="2"/>
  <c r="B36" i="2"/>
  <c r="O21" i="2"/>
  <c r="O19" i="2"/>
  <c r="O18" i="2"/>
  <c r="O17" i="2"/>
  <c r="O16" i="2"/>
  <c r="O15" i="2"/>
  <c r="O14" i="2"/>
  <c r="O13" i="2"/>
  <c r="N12" i="2"/>
  <c r="M12" i="2"/>
  <c r="L12" i="2"/>
  <c r="K12" i="2"/>
  <c r="J12" i="2"/>
  <c r="I12" i="2"/>
  <c r="H12" i="2"/>
  <c r="G12" i="2"/>
  <c r="F12" i="2"/>
  <c r="E12" i="2"/>
  <c r="D12" i="2"/>
  <c r="C12" i="2"/>
  <c r="B12" i="2"/>
  <c r="O12" i="2" s="1"/>
  <c r="N11" i="2"/>
  <c r="M11" i="2"/>
  <c r="L11" i="2"/>
  <c r="K11" i="2"/>
  <c r="J11" i="2"/>
  <c r="I11" i="2"/>
  <c r="H11" i="2"/>
  <c r="G11" i="2"/>
  <c r="F11" i="2"/>
  <c r="E11" i="2"/>
  <c r="D11" i="2"/>
  <c r="C11" i="2"/>
  <c r="B11" i="2"/>
  <c r="N10" i="2"/>
  <c r="M10" i="2"/>
  <c r="L10" i="2"/>
  <c r="K10" i="2"/>
  <c r="J10" i="2"/>
  <c r="I10" i="2"/>
  <c r="H10" i="2"/>
  <c r="G10" i="2"/>
  <c r="F10" i="2"/>
  <c r="E10" i="2"/>
  <c r="D10" i="2"/>
  <c r="C10" i="2"/>
  <c r="B10" i="2"/>
  <c r="N9" i="2"/>
  <c r="N20" i="2" s="1"/>
  <c r="N22" i="2" s="1"/>
  <c r="N24" i="2" s="1"/>
  <c r="N25" i="2" s="1"/>
  <c r="M9" i="2"/>
  <c r="L9" i="2"/>
  <c r="L20" i="2" s="1"/>
  <c r="L22" i="2" s="1"/>
  <c r="L24" i="2" s="1"/>
  <c r="L25" i="2" s="1"/>
  <c r="K9" i="2"/>
  <c r="J9" i="2"/>
  <c r="J20" i="2" s="1"/>
  <c r="J22" i="2" s="1"/>
  <c r="J24" i="2" s="1"/>
  <c r="J25" i="2" s="1"/>
  <c r="I9" i="2"/>
  <c r="H9" i="2"/>
  <c r="H20" i="2" s="1"/>
  <c r="H22" i="2" s="1"/>
  <c r="H24" i="2" s="1"/>
  <c r="H25" i="2" s="1"/>
  <c r="G9" i="2"/>
  <c r="F9" i="2"/>
  <c r="F20" i="2" s="1"/>
  <c r="F22" i="2" s="1"/>
  <c r="F24" i="2" s="1"/>
  <c r="F25" i="2" s="1"/>
  <c r="E9" i="2"/>
  <c r="E20" i="2" s="1"/>
  <c r="E22" i="2" s="1"/>
  <c r="E24" i="2" s="1"/>
  <c r="E25" i="2" s="1"/>
  <c r="D9" i="2"/>
  <c r="C9" i="2"/>
  <c r="B9" i="2"/>
  <c r="N6" i="2"/>
  <c r="M6" i="2"/>
  <c r="L6" i="2"/>
  <c r="K6" i="2"/>
  <c r="J6" i="2"/>
  <c r="I6" i="2"/>
  <c r="H6" i="2"/>
  <c r="G6" i="2"/>
  <c r="F6" i="2"/>
  <c r="E6" i="2"/>
  <c r="D6" i="2"/>
  <c r="C6" i="2"/>
  <c r="B6" i="2"/>
  <c r="O5" i="2"/>
  <c r="P12" i="2" s="1"/>
  <c r="O4" i="2"/>
  <c r="P11" i="2" s="1"/>
  <c r="O3" i="2"/>
  <c r="P10" i="2" s="1"/>
  <c r="O2" i="2"/>
  <c r="P2" i="2" s="1"/>
  <c r="P5" i="2" l="1"/>
  <c r="M20" i="2"/>
  <c r="M22" i="2" s="1"/>
  <c r="M24" i="2" s="1"/>
  <c r="M25" i="2" s="1"/>
  <c r="P4" i="2"/>
  <c r="C20" i="2"/>
  <c r="C22" i="2" s="1"/>
  <c r="C24" i="2" s="1"/>
  <c r="C25" i="2" s="1"/>
  <c r="O11" i="2"/>
  <c r="R11" i="2" s="1"/>
  <c r="K20" i="2"/>
  <c r="K22" i="2" s="1"/>
  <c r="K24" i="2" s="1"/>
  <c r="K25" i="2" s="1"/>
  <c r="I20" i="2"/>
  <c r="I22" i="2" s="1"/>
  <c r="I24" i="2" s="1"/>
  <c r="I25" i="2" s="1"/>
  <c r="G20" i="2"/>
  <c r="G22" i="2" s="1"/>
  <c r="G24" i="2" s="1"/>
  <c r="G25" i="2" s="1"/>
  <c r="O10" i="2"/>
  <c r="R10" i="2" s="1"/>
  <c r="D20" i="2"/>
  <c r="D22" i="2" s="1"/>
  <c r="D24" i="2" s="1"/>
  <c r="D25" i="2" s="1"/>
  <c r="O36" i="2"/>
  <c r="O9" i="2"/>
  <c r="O6" i="2"/>
  <c r="R12" i="2"/>
  <c r="P3" i="2"/>
  <c r="B20" i="2"/>
  <c r="B22" i="2" s="1"/>
  <c r="B24" i="2" s="1"/>
  <c r="B25" i="2" s="1"/>
  <c r="P9" i="2"/>
  <c r="P6" i="2" l="1"/>
  <c r="Q6" i="2" s="1"/>
  <c r="Q36" i="2" s="1"/>
  <c r="R9" i="2"/>
  <c r="R13" i="2" s="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alcChain>
</file>

<file path=xl/sharedStrings.xml><?xml version="1.0" encoding="utf-8"?>
<sst xmlns="http://schemas.openxmlformats.org/spreadsheetml/2006/main" count="1017" uniqueCount="480">
  <si>
    <t>ID</t>
  </si>
  <si>
    <t>Name</t>
  </si>
  <si>
    <t>Ph. Number</t>
  </si>
  <si>
    <t>Address</t>
  </si>
  <si>
    <t>Zone</t>
  </si>
  <si>
    <t>Day</t>
  </si>
  <si>
    <t>Time Slot</t>
  </si>
  <si>
    <t>Pack</t>
  </si>
  <si>
    <t>Revenue</t>
  </si>
  <si>
    <t xml:space="preserve"> Type</t>
  </si>
  <si>
    <t>Remarks</t>
  </si>
  <si>
    <t>Flower Restriction</t>
  </si>
  <si>
    <t>Extra Instruction</t>
  </si>
  <si>
    <t>Final Number of Delivery</t>
  </si>
  <si>
    <t>DLF Phase 5</t>
  </si>
  <si>
    <t>Thursday</t>
  </si>
  <si>
    <t>10 AM to 2:30 PM</t>
  </si>
  <si>
    <t>Joy</t>
  </si>
  <si>
    <t>Mixed Flowers</t>
  </si>
  <si>
    <t>4  del of this cycle   -  0-cycles pmnt   Completed - Collect 0</t>
  </si>
  <si>
    <t>Anumeha</t>
  </si>
  <si>
    <t>9899901949// 9953511987</t>
  </si>
  <si>
    <t>T-04/1701, South Close</t>
  </si>
  <si>
    <t>Nirvana Country</t>
  </si>
  <si>
    <t>9 AM - 12 PM</t>
  </si>
  <si>
    <t>Bliss</t>
  </si>
  <si>
    <t>Pls send Orchid 1st del(20/11)Send a replacement tom(25/11) Only Rajni,Asiatic and Roses(28/12) Lilies next(01/01) Lilies next(22/01) Lily Next(19/10) Send Replacement on Thursday(05/11) Lilies next-- Orange Or Yellow(17/11) Last Del Missed-Sending Tom(12/12) Returned-send from next week(16/12) Send Gerbera Tom(19/01) Daisy Next(01/02) Roses Tom(16/02) Received 50 today(02/03) Gerbera Next(08/03) Gerbera Tom(22/01) Lilies twice in cycle and Daisy/ Rajnigandha Only// Lily Next (01/02) O Asiatic Next(14/02) NO DAISY// NO SPRAY DAISY(06/03) Yel Gerbera Next(17/03) Spray Daisy with Purple in centre tom in evening slot(09/04) send on 3rd now(02/05) W n Yellow Gerbera Tom(02/03) Gpay from Lallan Singh(17/03) Recieved payment from Anumeha account today(07/04) Received Gpay from Joy Deep(28/04) Paytm From Joydeep Mukherjee(08/09) Hold for 3 weeks (19/12) Hold for 2 weeks (25/01) Skip 1 week (02/03) No rajni till oct (31/08) Send replacement tom (01/11) Skip tom (10/12) Skip 5th Del (28/02) Today Hold (28/05) Skip 2 week (25/07)</t>
  </si>
  <si>
    <t>No rajni till Oct (31/08)</t>
  </si>
  <si>
    <t>Nishant -- Wellington</t>
  </si>
  <si>
    <t>Flat-1B/101, Wellington Estate</t>
  </si>
  <si>
    <t>Paytm From Nishant Pandita // HDTNP (05/03) No Glad or Rajni (06/06) HDTNP (23/07) HDTNP (30/07)</t>
  </si>
  <si>
    <t>Glad n Rajni</t>
  </si>
  <si>
    <t>Mrs. Singh</t>
  </si>
  <si>
    <t>D 42, pinnacle, Dlf ph 5, Golf course road</t>
  </si>
  <si>
    <t>Bloom</t>
  </si>
  <si>
    <t>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 Today Returned (19/07) Hold till 31st July (22/07) One Del tom (30/07)</t>
  </si>
  <si>
    <t>V P Singh</t>
  </si>
  <si>
    <t>WT04/701, Experion Windchantsm Sec 112</t>
  </si>
  <si>
    <t>Dwarka Expressway</t>
  </si>
  <si>
    <t>4 Pm to 7 PM</t>
  </si>
  <si>
    <t>Paytm From Vijay Pratap Singh</t>
  </si>
  <si>
    <t>Ms. Neelam Bhalla </t>
  </si>
  <si>
    <t>H4, 4th Floor, Olive Residency, Mayfield Garden, Sec 57</t>
  </si>
  <si>
    <t>Artemis</t>
  </si>
  <si>
    <t>No Glad (19/05) Pls send Daisy in next del with Asiatic(11/12)  Orchids Next(26/06) Send Gerbera Next with Flower Food902/07)  Orchids next(21/11)  Oriental next(20/03) Y Spray Daisy tom(25/03) Only 1 kind of flowers now(20/05) S NO GLAD n BOP (30/12) Today returned-send tom (21/01) Skip 2 weeks (27/01) Send 1 Flower Food next (13/06) Skip 1 week (06/07) Skip 1 week (20/08) Aster in Del (19/10) Hold today -send tom (03/11) Skip 1 week (01/02) Skip 1 week (29/02) Hold till 1st July (15/06) Skip 1 week (24/07) Skip 29th (26/11) Skip tom (23/01) Skip tom (27/02) Skip 1 week (11/03) Skip 1 week (17/06) Skip 1 week (20/01) Skip 1 week (04/02) Skip thursday (24/02) Skip 1 week (16/06) Skip tom (05/08)</t>
  </si>
  <si>
    <t>GLAD n BOP n GERBERA</t>
  </si>
  <si>
    <t>Himabindu Kanchan</t>
  </si>
  <si>
    <t xml:space="preserve">D -13, Pinnacle Dlf Phase - 5 </t>
  </si>
  <si>
    <t>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t>
  </si>
  <si>
    <t>G-00036</t>
  </si>
  <si>
    <t>Aanchal Boora</t>
  </si>
  <si>
    <t>Flat - 1171, Ats Triumph, Wing B, Tower 1, 17th Floor, Sec 104</t>
  </si>
  <si>
    <t>From Avni Ahuja // Skip tom (10/12) Paytm From Nitin Kunka // No Orchids (27/01) Skip 1 week (27/02) No Sunflowers (02/05)</t>
  </si>
  <si>
    <t xml:space="preserve">Orchid n Sunflowers </t>
  </si>
  <si>
    <t>One Kind</t>
  </si>
  <si>
    <t>Ankita Mehta</t>
  </si>
  <si>
    <t>1B-71, Wellington Estate</t>
  </si>
  <si>
    <t>Mix of Asiatic n Car(29/07) Send tom instead of Thursday(12/08) GLAD n ORCHID THIS CYCLE(28/08) ONLY LILY n CAR TILL SHE REVOKES n skip this week (04/09) Rajni n Rose Next(28/11) Lilies and Rose in this cycle(11/12)) Mixed Flowers only(30/08) Want Car// Orchid// Lily//Spray Daisy//Glad(19/09)  Flowers only from Car// Orchid// Lily//Spray Daisy//Glad(11/10) This cycle--Glad//BOP//Orchid//Lily(15/10) This cycle-- Glad//BOP//Orchid// Lily(14/11) This cycle-- Rose/Asiatic/BOP/G;ad/Guldawari and Orchid (25/09) No Upgrade-send lilies (19/10) Send nily next and always once in a cycle (15/12) NO SPRAY DAISY n GULDAWARI and sned Asiatic once in 1 cycle (19/01) Skip 1 week (24/01) Skip 1 week (06/03) Skip 1 week (05/ Skip 1 week 916/04)03) Skip 1 week (04/03) Skip 2 week (18/05) Send reaplacement tom (04/07) Sent replacememt todau (26/10) Skip 1 week (13/11) Skip 1 week (24/03) Skip 1 week (16/04) Return today (05/06) Skip 1 week (17/06) Skip 1 week (02/07) Skip 1 week (08/07) Send tom instaed of thursday this week (14/10) Send 1 del of ankita mehra today (21/10) Hold till 14th Jan (18/12) Change to Delight (30/01) Hold today (16/04) Send Replacement Tom (19/06) Skip 1 week (03/07)</t>
  </si>
  <si>
    <t xml:space="preserve">SPRAY DAISY n GULDAWARI </t>
  </si>
  <si>
    <t>Change to Deligh next (30/01)</t>
  </si>
  <si>
    <t>Bhavna Taneja</t>
  </si>
  <si>
    <t>F-214, DLF The Crest,Sec-54</t>
  </si>
  <si>
    <t>Golf Course Road</t>
  </si>
  <si>
    <t>9:30 AM to 2 PM</t>
  </si>
  <si>
    <t>Send 2 Stick exytra next(14/09) Send lilies next(27/09) Send Tom instead of Sat and send Lilies(22/10) Send del tom with Orchids(30/10) Send 2 Asiatic on Friday instead of satirday(21/11) Google Pay from Harsh Taneja(08/02) Send on 20th and don’t send on 22nd(15/02) Hold n start from 7th Mar (20/02) TRY FOR WEDNESDAY(19/05/20) Send next del on friday with 2 extra Asiatic lily for 200Rs.(27/05/2020) Sending 30th Del on 29th May(28/05/2020) UPI From Harsh Vir Taneja(05/06/2020) Upgrade to 850 (30/07/20) Send Tom instead of 30th Oct)(27/10) Sending tom due to Diwali(11/11) Change to Bloom Pack(08/04) Next del on Monday (23/12) Send Lilies Next (24/12) Dont send on thursday -- send on Monday (04/01) NO BOP n GULDAWARI (29/01) Skip this monday and send on tuesday this week (16/05) Skip this wek and send on Thursday (26/08) Skip next thursday and sned on sunday (22/03) Skip 2 wek (02/06) Skip tom n send on sunday (26/06) No GERBERA (01/08) 1000 cash and 250 via paytm (21/11) Send on tuesday this week (22/12) Paytm from Harshveer Taneja (16/05) Payment REceived on 08th May also via Cash(18/05) skip 1 week (31/05) Skip 1 week (20/12) Start from 25th June (12/06)</t>
  </si>
  <si>
    <t>GULDAWARI n BOP n GERBERA</t>
  </si>
  <si>
    <t>Mixed Now</t>
  </si>
  <si>
    <t>4  del of this cycle   -  0-cycles pmnt   CompletedNO COLLECTION-we have extra money - Collect -50</t>
  </si>
  <si>
    <t>Dr. Arti Gupta 1</t>
  </si>
  <si>
    <t>Mayom Hospital, D block south city 1</t>
  </si>
  <si>
    <t>South City 1</t>
  </si>
  <si>
    <t>Mondau</t>
  </si>
  <si>
    <t>Corporate</t>
  </si>
  <si>
    <t>Pls send a replacement of Asiatic tomorrow(23/08)NO GERBERA(22/09) Start special Pack(13/04) Send Del on Monday this week(20/03) NEVER BUT DAISIES(29/10) Hold today (22/01) HDTNP (19/02) Sent one xtra del today (29/06) Hold today (09/07)</t>
  </si>
  <si>
    <t>Monday</t>
  </si>
  <si>
    <t>NO GERBERA(22/09)Start special Pack(13/04) Extend 1 ddlivery as we are sending 1 Nargis Today(22/12) Send Del on Monday this week(20/03) Send Replacemenmt of Car(20/09/20) NEVER BUT DAISIES(29/10) Spray daisy Next(03/03) Sent Replacement today(01/08) Hold today (22/01) HDTNP (19/02) Sent one extra del today (29/06) Hold today (09/07)</t>
  </si>
  <si>
    <t>4  del of this cycle   -  0-cycles pmnt   In Process - Collect 0</t>
  </si>
  <si>
    <t>Dr. Roma Kumar</t>
  </si>
  <si>
    <t>98110 87708</t>
  </si>
  <si>
    <t>RT-181, Royalton Tower
Inside Princeton Estate
DLF City Phase-V
Gurgaon-122009
Haryana</t>
  </si>
  <si>
    <t>Charm</t>
  </si>
  <si>
    <t>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 Hold today (26/07)</t>
  </si>
  <si>
    <t>ORCHID</t>
  </si>
  <si>
    <t>3  del of this cycle   -  0-cycles pmnt   Completed - Collect 0</t>
  </si>
  <si>
    <t>Garima jain</t>
  </si>
  <si>
    <t xml:space="preserve"> G-901, Central Park 1, Golf Course Road    Sec 42 Gurgaon  122002</t>
  </si>
  <si>
    <t>Sat to Thurs//Flowers other than Car pl (21/07)Send on Sunday instead of sat this week(19/10) Upgrade to 650 Plan(03/05) Add changed(13/07) NO CAR(07/09) Send a replacement (06/10) NO CAR(13/12) 200 Paytm Done(14/12) paytm of 200 from Anuj sarin(14/12) Sending 30th Del on 29th May(28/05/2020) ONLY LILIES(23/08/20) Day Changed to Saturday(14/10) Skip this week an semd next week(13/03) Hold n start from 29th Jan(25/12 ) Received 200 today via Gpay(26/12) Diff Flowesr every week(08/04)  Sent replacement today(22/04) Skip 1 week(17/06) Today Returned (13/06) Do not Count last Del (17/08) Skip 1 week (22/12) Skip 2 week (23/05) Send on sunday this week (01/10) Return-not at home (23/10) One Payment of 1000 received on 05th Feb (06/03) Returned (04/06)</t>
  </si>
  <si>
    <t>Ms Swati Bhise--before 10</t>
  </si>
  <si>
    <t xml:space="preserve">TG-5/4B Orchid Garden Sun city Sec - 54 </t>
  </si>
  <si>
    <t>Elation</t>
  </si>
  <si>
    <t>Sunday to thurs//Orchid in 1st Del and no Rose/Rajni/Gerbera till they come in good shape(08/07) Next B or W Orchid(02/12) Car Next(09/12) Next Orchid(06/01) Orchid Next(10/02)  Gerbera tom(13/08)NEVER PURPLE ORCHID--SEND W n B ORCHID Next(22/09) Y Asiatic Next(03/11)  Send 1 Del tom (02/07) Orchid Next (27/07) Skip 1 week (20/11) Send 1 Del Tom (10/02) Skip next Del (16/02) Hold n start from 10th June (20/03) Today Returned again (04/07) Returned again (11/07) Send this thursday and then skip 1 week (23/07) Hold today (08/08) Skip 2 more weeks (09/08) Today Returned (21/11) Skip 1 week (11/12) Skip 1 week (24/12) Skip 1 more week (25/01) Skip 1 week (18/02) Hold till 9th Mar (24/02) Hold now (11/09) Skip next week (27/11) Return today (18/12) Today Returned again (25/12) Skip tom (18/02) Skip 1 week (28/02) Skip 1 week (19/03) Skip 1 week (21/03)  Skip tom (09/04) Skip next week (16/04) Skip 3 week (20/04) Skip 1 week (14/05) Skip 1 week (17/05) Skip 1 week (03/06) Skip next week (02/07)</t>
  </si>
  <si>
    <t>Upgrade to Elation next (14/08)</t>
  </si>
  <si>
    <t>Rachna Rathee</t>
  </si>
  <si>
    <t xml:space="preserve">DX-106 flat no,Kendriya vihar Sector 56
</t>
  </si>
  <si>
    <t>Sector 56</t>
  </si>
  <si>
    <t>Sendng rtrnd of 30 th on 1st(30/06)Retrnd pls send white Orchid(30/06) NO GERBERA(04/08) Paytm from raj Singh(08/12) Skip 1 week(21/12) NO Daisy(12/01) Hold n sned after 15th Apr(29/03) Hold n start after 10th Sep(30/08) NO DAISY(09/11) NO ROSE(21/12) Today return-send tom(10/10/20) Sending Del Tom due to Diwali(11/11) Referal payout of 162 added against Mr. Shoran(030/11) Referal credit added with ref to Apala das Gupta(29/03) Today hold and send after 11th May and ask before del(30/04) Hold till 28th Feb (10/02) Hold 3 Weeks (10/07) No Blue Orchid (23/10) Extra added against less mogra in Diwali Flowers (26/11) send replacement tom (04/07) Hold she will confirm when to start (13/05) No Gerbera (07/08) Send replacement tom (27/03)</t>
  </si>
  <si>
    <t>BLUE ORCHID n GERBERA</t>
  </si>
  <si>
    <t>Saloni Gupta</t>
  </si>
  <si>
    <t>338, 3rd Floor, Espace</t>
  </si>
  <si>
    <t>Tuesday</t>
  </si>
  <si>
    <t>Cutsomized-Biweekly</t>
  </si>
  <si>
    <t>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 Do not count todays del (19/07) Skip tom (08/08)</t>
  </si>
  <si>
    <t>Sanjay Singh</t>
  </si>
  <si>
    <t>WT-1/1902, Experion Windchants, Sec 112</t>
  </si>
  <si>
    <t>From 9575027271</t>
  </si>
  <si>
    <t>Sheeba Rana</t>
  </si>
  <si>
    <t>T-14/1202, The Close North</t>
  </si>
  <si>
    <t>Skip 1 week (31/12)</t>
  </si>
  <si>
    <t>Shipra Malhotra -- Same Flowers</t>
  </si>
  <si>
    <t>F-12, First Floor, Galacy Apartments</t>
  </si>
  <si>
    <t>3:30 PM to 7:30 PM</t>
  </si>
  <si>
    <t>Same Flowers in her Both subscription</t>
  </si>
  <si>
    <t>Same Flowers in Both Pack (13/05)</t>
  </si>
  <si>
    <t>Sunday</t>
  </si>
  <si>
    <t>Same Flowers in her Both subscription // Skip 1 week and next week send after 5 PM (17/06)</t>
  </si>
  <si>
    <t>After 5 PM on 28th (17/06)</t>
  </si>
  <si>
    <t>Simmi Chopra</t>
  </si>
  <si>
    <t>B/145, Suncity, Golf Course Road</t>
  </si>
  <si>
    <t>Upgrade to Elation (27/08) Send 10 B daisy next extra (04/10) Today Hold (04/12) Send one Del Tom (30/12)</t>
  </si>
  <si>
    <t>Send on del tom and no del on 1st Jan (30/12)</t>
  </si>
  <si>
    <t>Sunanda</t>
  </si>
  <si>
    <t>C-084, The Icon</t>
  </si>
  <si>
    <t>One Kind // Skip 1 week (13/01) HDTNP (26/02) HDTNP (04/03) HDTNP (12/03)</t>
  </si>
  <si>
    <t>Vermeen Kapoor</t>
  </si>
  <si>
    <t>B-59, South City 2</t>
  </si>
  <si>
    <t>9:30 Am to 2 PM</t>
  </si>
  <si>
    <t>Referred by Swati Khandelwal?/ Mixed Flowers // Send replace,ent tom (19/02) Day Changed to Thursday (08/04) today returned-send tom (24/07)</t>
  </si>
  <si>
    <t>Ruchi Mathure--Before 10:30 AM</t>
  </si>
  <si>
    <t>D-013, Westend height, DLF-5</t>
  </si>
  <si>
    <t>No White Flowers(22/08)Skip this week n start from Thursday(26/09)Skip this week(29/11) Skip n sned on Monday(27/01) Return-send tom(17/02) NO P CAR(18/02)Return-send on Friday(24/02) Return-doesn't need Special Pack(14/04) Upgrade to 650 Plan(02/05) Skip this week n send on Monday(07/06) Skip 1 week(13/09) Skip 1 week(26/10) Skip 1 week(14/12) 150 adjusted against extra paid in Nargis to be delivered on 1st jan(30/12) Skip 1 week(26/01) Last week del was missed- pls send tom(07/03) Skip 2 weeks(18/03)NO WHITE FLOWERS(30/12) Send on saturdya this week instead of Thursday(12/11) Send on saturday this week(21/12) Getting only Car and asiatic-- Pls send all flowers(07/01) 10th Del missed-send them on saturday(11/03) NO WHITE FLOWERS(01/04) Hold n start from 2nd June(29/04) Last Thursday Missed(04/06) Skip this week n send on Sunday this week(22/06) Send Tom 1 Del with Rajni (11/07) Send 1 Del Tom(17/07) Today returned (28/07) NO GOLDEN GRASS(11/08) Sent 1 del Today(13/09) Skip tom and sned on Sunday (24/11) nEXT DEL SEND ON 31ST INSTEAD OF 30TH (24/12) Skip 1 week (20/01) Sent replacement today (14/04) send on monday this week only (21/04) Hold till 2nd Aug (07/07) Sent 1 del today and dont send tom (30/08) Skip tom Del n Send on Sunday (01/11) Today returned (09/11) No Del del till 3rd DEc (15/12) Skip 1 week (30/01) Skip on 14th and send on Sunday (12/03) Skip n sned on sunday (08/05) Hold today (30/05) Payment from Kapil M (16/06) Paytm From Kapil M (14/07) Skip 1 week (26/11) Skip nexty del (03/12) Hold till 15th Apr (18/04) No Sunflower (13/03) Skip this thursday and sned on sunday (20/04) Skip 1 week (20/05)</t>
  </si>
  <si>
    <t>Sunflower</t>
  </si>
  <si>
    <t>No White even in mixed // Skip 23rd and sned on 26th (20/04)</t>
  </si>
  <si>
    <t>Alok divatia -- After 10 AM</t>
  </si>
  <si>
    <t>BLC 263, 26th Floor, Tower C, The Belaire</t>
  </si>
  <si>
    <t>Customized</t>
  </si>
  <si>
    <t>Tues to Thurs//After 10 AM, Lilis only and 12 lilies + 24 carnations, Never combo of Red n white, all flowers shd be of diff color(12/06)Skip tom n then on Tuesday(08/09) Return-send tom(16/12) NO ROSE(20/12) 14 Lily and 24 Car(24/09) Send 18 spray daisy instead of Asiatic next(30/03) Change package cost to 6300(20/07) Hold from today (05/12)</t>
  </si>
  <si>
    <t>Jamie Miller</t>
  </si>
  <si>
    <t>D-072, The DLF Crest</t>
  </si>
  <si>
    <t>From James Brittan // Skip 2 week (20/12) Today Returned (22/01) Skip 3 weeks (26/01) Skip 1 week (17/03) Skip 2 week (31/05) Skip 2 weeks (03/07) Today Returned (06/08)</t>
  </si>
  <si>
    <t>2  del of this cycle   -  0-cycles pmnt   Completed - Collect 0</t>
  </si>
  <si>
    <t>Mayom Hospital</t>
  </si>
  <si>
    <t>Sending on 20th instaed of 21st,bcoz of Holi(18/03) Send on Monday this week(20/03)</t>
  </si>
  <si>
    <t>3  del of this cycle   -  0-cycles pmnt   In Process - Collect 0</t>
  </si>
  <si>
    <t>Vandana Thakran</t>
  </si>
  <si>
    <t>H. No. 35, Cedar Crest</t>
  </si>
  <si>
    <t>Komal - Abante</t>
  </si>
  <si>
    <t>0124-4042908</t>
  </si>
  <si>
    <t>Abante,C-301-02, 3rd Floor, M3M Urbana, Sec 67</t>
  </si>
  <si>
    <t>Badshahpur</t>
  </si>
  <si>
    <t>By 12 PM</t>
  </si>
  <si>
    <t>Day Changed to // Send tomorrow (02/10) Send tom (26/01)</t>
  </si>
  <si>
    <t>Ravindra Mittal</t>
  </si>
  <si>
    <t>3 GF 1, ATS Kocoon, Sec 109</t>
  </si>
  <si>
    <t>4 PM to 7 PM</t>
  </si>
  <si>
    <t>Shubhra Gupta</t>
  </si>
  <si>
    <t>ES-245, Espace</t>
  </si>
  <si>
    <t>Paytm From 9811656524 // No Orchids // Skip 1 week (01/10) Same flowers from last  2weeks, pls Check (06/11) Paytm from Gaurav Gupta (0703)</t>
  </si>
  <si>
    <t>Same Flowers from 2 week, Pls Check (06/11)</t>
  </si>
  <si>
    <t>Aishwarya G Aiyar</t>
  </si>
  <si>
    <t>A-173, The Pinnacle</t>
  </si>
  <si>
    <t>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t>
  </si>
  <si>
    <t>Amrita Sarup</t>
  </si>
  <si>
    <t>D1/802, Experion Heartsong, Sec 108</t>
  </si>
  <si>
    <t>No Asiatic n Spray Daisy // Today Hold (14/08) Replacement tom (04/12) No Orchid (11/12) No BOP n Orchid (12/12) Today Returned -send on Sunday (18/12) Returned today (01/01/26) Next 3 Deliveries with Premium (11/.04)</t>
  </si>
  <si>
    <t>BOP n Orchid</t>
  </si>
  <si>
    <t>Next 3 Deliveries with Premium (11/.04)</t>
  </si>
  <si>
    <t>Arun Gupta</t>
  </si>
  <si>
    <t>C-22m Arc Stationary</t>
  </si>
  <si>
    <t>9 AM to 2 PM</t>
  </si>
  <si>
    <t>4 Flowers at both Shop</t>
  </si>
  <si>
    <t>Convinience Enterprises-Veena Anand</t>
  </si>
  <si>
    <t>307, Aralyas, DLF 5</t>
  </si>
  <si>
    <t>By 10 AM</t>
  </si>
  <si>
    <t>Skip this Thursday and send on Sunday (20/11)Hold and send on 12th Now (31/12) Do Not count last Del (02/07) Skip 1 week (10/09) Skip 2 week (18/05)</t>
  </si>
  <si>
    <t>Deepti Chhabra</t>
  </si>
  <si>
    <t>A-061, Westend Heights</t>
  </si>
  <si>
    <t>4 PM to 7PM</t>
  </si>
  <si>
    <t>Sat to Thursday//Hold n start from 23rd Nov(31/10) Add changed(01/02) Paytm from Vishal Chabra(22/02) Send Replacement(03/03) Skip this week(18/03) Skip next del(14/06) 1 stick extra next Del(12/07 FF Sold Today(19/07) Send rajni Tom(02/08) Send FF Next(13/09) Next Asiatic n 2 sticks extra(25/09) Rajni Next(05/12) Skip 1 week(20/12) Hold-send tom(14/02) Upgraded to 1250, send remaining 5 sticks tom(04/09) Skip1 week(05/11) Skip 1 week(18/11)  Hold today and skip 1 week(11/12) Skip 1 week(20/03) Sent replacement today(08/04) Skip 2 weeks(21/06) Skip 1 week (09/11) Skip 1 more week (16/11) NO ROSE (29/12) Send replacemet tom (08/04) Pink n green Spray Car Tom (03/05) Skip 2 weeks (01/06) Skip 1 week (23/10) Skip 1 week (15/11) Today hold (11/01) Skip 1 week (16/03) Skip 2 week (22/10) Paytm from Arti Lakra (17/01) Skip 1 week(12/04) Skip 1 week912/04) Yesterday Returned (24/10) Skip tom (07/01) Hold due to non payment (04/02) Skip 2 week (16/05) Hod n start from July (04/06)</t>
  </si>
  <si>
    <t>ROSE</t>
  </si>
  <si>
    <t>Dr. Deepa Gupta</t>
  </si>
  <si>
    <t>1 del Missed(07/10) Return-send next week(31/12) Send replacement of Gerbera(30/10) Send on Monday this week(20/03) Return- hold package(08/07) Today returned-send next week(02/06) HDTNP (19/02)</t>
  </si>
  <si>
    <t>G-00015</t>
  </si>
  <si>
    <t>Harsh  - Unikon</t>
  </si>
  <si>
    <t>AR-903B, 3rd Floor, Aralias</t>
  </si>
  <si>
    <t>From Deep Bajaj // Message = Your boyfriend:p (05/11) Paytm from Simran Dhawan (04/03) Send 1 delivery tomorrow (17/03) Skip 1 week (10/04) Add change request from Jasjit -- 9560611229</t>
  </si>
  <si>
    <t>One time Single n One Time Mixed</t>
  </si>
  <si>
    <t>Meenakshi Bhatia</t>
  </si>
  <si>
    <t>T-E/244, The Crest</t>
  </si>
  <si>
    <t>Hold she will confirm (17/05) Send on Sunday this week (23/05) Next Del on Sunday (29/05) 1 Spray daisy next (22/06) Send anthurium n BOP too (19/07) Skip 1 week (02/08) Skip 1 week and confirm before sending (24/08) Change day to Thursday (25/10) Today Hold (06/11) Send del on sunday and then from 18th (12/12) Skip 1 week (07/04)</t>
  </si>
  <si>
    <t>Send BOP and Anthuriums too (10/07) Chcek before sending (24/08)</t>
  </si>
  <si>
    <t>Mrs. Verma</t>
  </si>
  <si>
    <t>A1/192, 1st Floor, Sec 55, Sushant Lok-2, Near Orchid International School</t>
  </si>
  <si>
    <t>Return today (01/05) Return today (05/06) Send on Sunday This week (05/06) Upgrade to bliss from next cycle (20/09) Skip 1 week (04/02) Send Replacement tom of Asiatic Lily (16/04) Send Replacement tom (21/05) No Sunflower (21/05)</t>
  </si>
  <si>
    <t>3  del of this cycle   -  0-cycles pmnt   CompletedNO COLLECTION-we have extra money - Collect -150</t>
  </si>
  <si>
    <t>Nidhi Singh</t>
  </si>
  <si>
    <t>8383036664//9899389873</t>
  </si>
  <si>
    <t>D-8/3, Ground Floor DLF Exclusive Floors</t>
  </si>
  <si>
    <t>Felicity</t>
  </si>
  <si>
    <t>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t>
  </si>
  <si>
    <t>Radhika Surana-- Before 10</t>
  </si>
  <si>
    <t>1204, The Magnolias</t>
  </si>
  <si>
    <t>NO ORCHIDS, Prefer Lilies,Rajni and Gerbera(04/10) 1 week(22/04) Paytm from Anurag Surana(06/06) Paytm from Anurag Surana(02/07)  NO Orchid n BOP (25/01)  Skip 1 week (28/06) Hold 3rd aug and send on 7th Aug (03/08) Today returned (07/08) Skip this thursday and send on Monday (15/08) After 2nd Oct now (27/09) Skip 1 week (21/10) Hold n send after 8th Jan (13/12) Skip 1 week (30/01) Skip tom n sned on 19th (13/03) Skip 23rd and 30th (16/05) Skip 2 weeks and send mext del on 22nd June (12/06) Skip this week n start from tuesday (24/07) Skip 1 week (20/08) Skip 1 week (03/09) Skip 7th n 14th (06/11) Skip 5th Dec Del (02/12) skip 2 week (21/12) Today Returned (23/01) Skip 1 week and send on sunday (22/02) Skip tom and send on monday (05/03) Skip 1 week (19/03) Skip 2 weeks (05/04) Skip 2 weeks (31/05) Skip 1 week (19/08)  No Del on 18th, 25th and 2nd Oct (14/09) Returned today (09/10) Send this week on sunday and then thursday (05/11) Hold today n next weeks (27/11) Skip 1 week (25/12) Skip 1 week (30/03) Skip 4th n 11th June (28/05)</t>
  </si>
  <si>
    <t>BOP n ORCHID</t>
  </si>
  <si>
    <t>Richa -- Icon</t>
  </si>
  <si>
    <t>B-173, the Icon</t>
  </si>
  <si>
    <t>Paytm From Ankit Gupta (01/11) Skip 08th and 15th Jan (16/12) Hold till 16th Jan (19/12) Skip 1 week (12/02) Skip 1 week (11/03) Skip 1 week (01/04) Hold n strat from 02nd July (28/05)</t>
  </si>
  <si>
    <t>Runul Vashishtha</t>
  </si>
  <si>
    <t>C-84, DLF Park Place, Park Drive, GCR</t>
  </si>
  <si>
    <t>Samar Singh</t>
  </si>
  <si>
    <t>C-13, DLF Icon</t>
  </si>
  <si>
    <t xml:space="preserve">Mixed Flowers // Day Changed to Sunday (20/12) Day Changed to Thursday (10/01) Skip 2 week (11/02) Send one Del tom (07/07) </t>
  </si>
  <si>
    <t>Sharwan Chopra</t>
  </si>
  <si>
    <t>A-223, The Belaire</t>
  </si>
  <si>
    <t>NO Car (15/02) Skip 3 Weeks (12/06) Skip 1 week (28/12) Hold all deliveries till 1st July (12/06) Skip 25th Dec (23/12) Hold due to non payment (29/01) Returned today (04/06) Skip 1 week (16/06)</t>
  </si>
  <si>
    <t>CAR</t>
  </si>
  <si>
    <t>2  del of this cycle   -  1-cycles pmnt   Pending - Collect 1450</t>
  </si>
  <si>
    <t>7  del of this cycle   -  0-cycles pmnt   Completed - Collect 0</t>
  </si>
  <si>
    <t>Group Captain Prabal Bir Singh</t>
  </si>
  <si>
    <t>603, Shivshakti CGHS, Plot-94, Near Ati Chowk</t>
  </si>
  <si>
    <t>Parul Dutt</t>
  </si>
  <si>
    <t>B-43, Carlton Estate 1</t>
  </si>
  <si>
    <t>DLF Phase 1</t>
  </si>
  <si>
    <t>Shalini Malhotra</t>
  </si>
  <si>
    <t>2017, The Magnolias</t>
  </si>
  <si>
    <t>Saturday n Tuesday//Monday and Friday//From Vandana Garg/ NO RAJNI AND GLAD(28/07) NO Glad -send replacement tom(06/08)NO BOP ALSO(31/08) ONLY ROSE//CAR//LILY NOW(16/12)  NO--GULDAWARI/GLADIOLI/RAJNI/BOP(07/02)  NO ROSE//RAJNI//GLAD (24/09) Skip 1 week (11/12) nNo GLAD n RAJNI (26/12) Hold n start from 1st Aug (27/07) Replacement of asiatic sent today (05/08) Skip 1 week (12/08) Now after 27th Dec (18/12) Pls Skip 1 week (27/09) Pls Skip coming 4th (31/12) Hold till 29th Mar (15/03) Hold till 29th Mar (15/03) Do not coint last delivery (03/08) No Del till 07th Apr (20/03) Skip 1 week (11/05)</t>
  </si>
  <si>
    <t>Orchid n GLAD</t>
  </si>
  <si>
    <t>2  del of this cycle   -  1-cycles pmnt   Pending - Collect 2750</t>
  </si>
  <si>
    <t>Bidisha Dey</t>
  </si>
  <si>
    <t>C-24, Carlton Estate-1, Club Drive</t>
  </si>
  <si>
    <t>Skip 1 week (03/06) Returned send next week (11/07) Skip 1 week (08/01) Skip 1 week (26/03) Skip tom (02/07) Today Returned (20/11) HDTNP (25/06)</t>
  </si>
  <si>
    <t>Eva-Pinnacle</t>
  </si>
  <si>
    <t>C-93, The Pinnacle</t>
  </si>
  <si>
    <t>Paytm From Arvind Pachhapur(24/02) 750 pack-- Car//Guldawari//Rajni//Orchid//Asiatic(23/03) Hold today and send next6 week(14/04) Hold n start from 19th June(16/06) Skip 1 week (05/01) Received one more payment today (26/01) Payment was in process (20/03) Skip 1 week (28/06) Skip 1 week (29/06) Skip 3 week (21/05)</t>
  </si>
  <si>
    <t>Megha Manchanda -- Bliss Pack</t>
  </si>
  <si>
    <t>T-3/302, Unitech Harmony</t>
  </si>
  <si>
    <t>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t>
  </si>
  <si>
    <t>Mrs. Vandana Dutt Before 10</t>
  </si>
  <si>
    <t>15/002,South Close, Nirvana country</t>
  </si>
  <si>
    <r>
      <t xml:space="preserve">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Dont snend tom -send on Monday (08/02) Had 350 Extra from pasyment of 2000 on 11th May, 250 adjusted, now have 100 extra with us(18/05) Sent replacement today (10/06) Spray Daisy -- white or Yellow and Glad white (06/09) 250 extra added against received walkin bouquet (12/09) Skip 1 week (13/10) Sending 1 Del today (22/10) Skip 2 week (19/05) Star from 19th (17/07) </t>
    </r>
    <r>
      <rPr>
        <b/>
        <sz val="12"/>
        <color theme="1"/>
        <rFont val="Calibri"/>
        <family val="2"/>
        <scheme val="minor"/>
      </rPr>
      <t>NO Flowers from 15th Aug to 29th Aug (27/07)</t>
    </r>
    <r>
      <rPr>
        <sz val="11"/>
        <color theme="1"/>
        <rFont val="Calibri"/>
        <family val="2"/>
        <scheme val="minor"/>
      </rPr>
      <t xml:space="preserve"> Skip this 8th Del (02/08) Return today send tom (07/11) Skip 1 week (17/11) Skip 12th (09/12) Today returned (26/12) Skip 1 week (11/03) Skip 1 week (23/03) Skip 1 week (31/03) Today Returned (10/04) Today Returned (18/04) Skip 1 week (28/04) Skip 2 week (02/06) Hold , she will confirm (28/07) No delivery on 21st Aug (19/08) No flowers from 11th Sep to 25th Sep (05/09) Hold till 20th (10/11) Last cycle 950 was less received (06/11) Send one del tom (22/11) Skip 1 week (23/12) Skip 1 week (11/02) From Sunflower/Spray dausy/Eustoma (18/04) Hol dtill 15th July (30/06)</t>
    </r>
  </si>
  <si>
    <t>From Sunflower/Spray dausy/Eustoma (18/04)</t>
  </si>
  <si>
    <t>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No Flowers tom --send on Monday (08/02) Had 350 Extra from pasyment of 2000 on 11th May, 250 adjusted, now have 100 extra with us(18/05) Spray Daisy -- white or Yellow and Glad white (06/09) Skip 1 week (13/10) Sending 1 Del today (22/10) No Flowers till 4th Jan (17/12) Start from 19th (17/07) Hold till 5th Sep (14/08) Return today-send tom (07/11) Skip 1 week (17/11) Skip 12th (09/12) Today Returned (26/12) Skip 1 week (11/03) Skip 1 week (23/03) Skip 1 week (31/03) Today Returned (10/04) Today Returned (18/04) Skip 1 week (28/04) Skip 2 week (02/06) Hold she will confirm (28/07) Dont Send on 21st (19/08) No Flowers from 11th Sep to 25th Sep (05/09) Hold till 20th Oct (10/11) 1 Bouquet of Rajni on 31st and 500 gm Rose Petal on 8th Nov -- Total pf 1200 added (20/11) Send one delivery tom (22/11) Skip 1 week (23/12) Skip 1 week (1/02) From Sunflower/Spray dausy/Eustoma (18/04) Hold till 15th July (30/06)</t>
  </si>
  <si>
    <t>Ms. Anupma Chandna</t>
  </si>
  <si>
    <t>32, aspen greens, nirvana</t>
  </si>
  <si>
    <t>No Rose // Hold n start from 04th Dec (03/11) No Greens</t>
  </si>
  <si>
    <t>Rose</t>
  </si>
  <si>
    <t>No Greens</t>
  </si>
  <si>
    <t>G-00068</t>
  </si>
  <si>
    <t>Pahel Goyal</t>
  </si>
  <si>
    <t>212, 2nd Floor, Axon Corporate Stays, Near Artemis Hospital</t>
  </si>
  <si>
    <t>5:30 to 7:30 PM</t>
  </si>
  <si>
    <t>From 7597216412 send one transparent Vase also with Pink Ribbon// Saw you smiling wide, holding that flower and couldn’t take my eyes off after that. You are not alone, as these cute flowers will always be there for my beautiful pamsiee. Take full care of them with your sweet smile and comfy water. Love you.</t>
  </si>
  <si>
    <t>2  del of this cycle   -  1-cycles pmnt   Pending - Collect 1980</t>
  </si>
  <si>
    <t>Parul Sharma --Elation</t>
  </si>
  <si>
    <t>Villa-27, The Legend</t>
  </si>
  <si>
    <t>Tuesday and Thursday//Change day to Thursday(21/12) Car Next(18/01) NO ORCHIDS(20/01) Car Next(02/02) Sending on 20th instaed of 21st,bcoz of Holi(18/03) Today FF Sent(11/04) Paytm from ritu Kaur(12/04) Send replacement(12/04) Send Special Pack(08/05) Received payment of special pack(10/05) Hold n start from 2nd week of july(04/060 Inform Before sending(01/07) Start from next week(10/07) Sending on 14th instrad of 15th Aug(13/08) Today Hold-send tom(26/09) Send double del tom(23/10) R car Tom(15/01) Send Replacement tom(27/02) Hold n start from 3rd week of April(18/03) NO Rose n NO Orchids----Send R Car Next(21/12) Rajnigandha Next(12/01) Replace ment next and send Flower food(10/04) Recvd 250 from Gpay(15/07) Return-not at home(14/09) Shift to Elation(18/10) Skip 1 week(27/06) Hold n start from July (12/06) Hold due to non Payment (15/01) Paytm From Vinay Deopujari (26/02)</t>
  </si>
  <si>
    <t>Before 11:30 AM</t>
  </si>
  <si>
    <t>2  del of this cycle   -  1-cycles pmnt   Pending - Collect 1950</t>
  </si>
  <si>
    <t>Sanjeet Kaur</t>
  </si>
  <si>
    <t>601, Emerald Green, Sector 52</t>
  </si>
  <si>
    <t>1 Gypsola in each Del (16/05) Paytm From Arshia Kaur (13/06) Paytm From Yogpal Singh (20/12) Do not count todays delivery (30/04)</t>
  </si>
  <si>
    <t>1 Gyposla in each Del</t>
  </si>
  <si>
    <t>Shivani Katyal</t>
  </si>
  <si>
    <t>H. No. 1486, Sarsawati Kunj</t>
  </si>
  <si>
    <t>Rose//Orchid//Asiatic//Anthurium//Heliconia//BOP (28/10) NO Guldawari n Anthurium (09/02) Paytm From Manish K M K (08/09) Paytm from Manish Katyal // Gpay From Palak Katyal (22/03) No Glad Also (18/04) Couldn't deliver due to watrelogging--send on Sunday (29/08) Skip n send on sunday (01/10)</t>
  </si>
  <si>
    <t>GULDAWARI n ANTHURIUM n GLAD</t>
  </si>
  <si>
    <t>Shrija Majumder</t>
  </si>
  <si>
    <t>G-803, BPTP Freedom Park Life</t>
  </si>
  <si>
    <t>Only Seasonals // skip tom (26/04) Skip 1 week (25/06) Hold today (14/08) Send tom after 7 PM (20/08) Skip 1 week (27/08) Skip 1 week (05/03) send replacement tom (28/03) Skip 2 week (15/07)</t>
  </si>
  <si>
    <t>Seasonlas</t>
  </si>
  <si>
    <t>Vasudha Sagar</t>
  </si>
  <si>
    <t>E-002, The Residency, Aardee City, Gate No. 2</t>
  </si>
  <si>
    <t>Sushant Estate</t>
  </si>
  <si>
    <t>Paytm From Vasudha Rana (26/02) Send 4 FF Sachet Next (27/02) HDTNP (21/05) Send on sat this week (22/05) HDTNP (25/06) HDTNP (09/07)</t>
  </si>
  <si>
    <t>4 FF Next (27/02)</t>
  </si>
  <si>
    <t>Alpna Jain</t>
  </si>
  <si>
    <t>C-64, The Icon</t>
  </si>
  <si>
    <t>Thursday n Sunday // Hold today (08/02) Keep flowers outside of Door (17/05)</t>
  </si>
  <si>
    <t>Keep flowers outside of door always</t>
  </si>
  <si>
    <t>Abha Ghosh</t>
  </si>
  <si>
    <t>6A, Galicia, Raisina Residency, Sec 59</t>
  </si>
  <si>
    <t>Ghata</t>
  </si>
  <si>
    <t>Returned yesterday (07/11)</t>
  </si>
  <si>
    <t>1  del of this cycle   -  0-cycles pmnt   Completed - Collect 0</t>
  </si>
  <si>
    <t>Anu-- After 6 PM</t>
  </si>
  <si>
    <t>98103 39602</t>
  </si>
  <si>
    <t xml:space="preserve">Tower 6, 901 Fresco </t>
  </si>
  <si>
    <t>Poise</t>
  </si>
  <si>
    <t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 Hold today n d send tom (09/08)</t>
  </si>
  <si>
    <t>ROSE n RAJNI n HELICONIA n BOP</t>
  </si>
  <si>
    <t>after 6 pm on 19th (16/04)</t>
  </si>
  <si>
    <t>Riddhi Desai</t>
  </si>
  <si>
    <t>D-71, The Icon</t>
  </si>
  <si>
    <t>Send this week on Saturday (14/08) Skip 1 week (21/12) Hold till 2nd June (20/05)</t>
  </si>
  <si>
    <t>1  del of this cycle   -  1-cycles pmnt   Pending - Collect 1600</t>
  </si>
  <si>
    <t>Namrata Khandelwal -- After 5 PM</t>
  </si>
  <si>
    <t>1119, Magnolia</t>
  </si>
  <si>
    <t>After 5 PM</t>
  </si>
  <si>
    <t>Enchantment</t>
  </si>
  <si>
    <t>Sunday n Thursday//Tuesday and Satirday(20/04)Monday and Thursday(22/01)Friday and Sunday Now//Monday and Friday// AVOID CAR(09/05)  NO RAJNI TILL IT HAS FRAGRANCE(03/10)  NO CAR N GLAD(15/12)  Send Gerbera next(02/09/20) Preferred Flowers-- Car + Guldawari + Heliconia(30/11) Send Asiatic Lily and BOP or Anthurium(03/12) Hold n start after 20th Dec(09/12) Skip 1 week(07/05) Hold n send on 23rd n after(10/08) 2 Pack of 2850(01/09) Skip next delivery(09/09) Skip tom Delivery(12/09) Skip coming delivery (06/10) Next Del from tuesday (28/10) Skip tom del (11/11) Skip next del (18/11) No wchange to Weekly Plan (28/11) Hold n start from 4th Feb (04/01) Hold tom (24/02) Skip 1 week (02/03) Skip 2 weeks (25/03) Hold till 19th May (24/04) Skip thursday Del (02/10) Skip tom Del (07/10) Skip tom also (11/10) Skip tom (21/10) NO ROSE (04/01) Skip 1 week (08/01) Start from 1st Feb (24/01) Skip 1 Week (21/02) Skip 1 week (29/02) Skip 1 week (06/03). NO POLLEN FLOWERS EVER (27/04) Skip 1 week (12/05) Skip next Del (15/06) Skip this thursday (28/07) Skip 1 week (14/08) Skip 1 week (20/08) Skip tom (28/08) Skip tom (31/08) Hold today (08/09) No Asiatic/Gerbera and Rose (17/09) No Lily (19/10) Skip 1 week (30/10) Skip 1 week (11/12) Hold today and send tom (10/04) Send this week del on wednesday (21/04) Skip this week (29/05) Send on wednsday this week (02/06) Skip 1 week (03/09) Skip 1  Skip tom (07/01)week (11/09) No Gerbera (28/11) Skip 1 week (11/02) Skip 1 week (18/02) Skip tom (04/03) Skip 2 weeks (24/05) Skip 1 week (27/07)</t>
  </si>
  <si>
    <t>Pllen Flowers and Gerbera</t>
  </si>
  <si>
    <t>No Polen Flowers (20/08)</t>
  </si>
  <si>
    <t>G-00069</t>
  </si>
  <si>
    <t>Parmeet Kaur</t>
  </si>
  <si>
    <t>J-21, 3rd Floor, Signature Global City, Sec 37 D</t>
  </si>
  <si>
    <t>From Niti Beri</t>
  </si>
  <si>
    <t>B56933</t>
  </si>
  <si>
    <t>Pick Up</t>
  </si>
  <si>
    <t>By 8:30 AM</t>
  </si>
  <si>
    <t>Bouquet</t>
  </si>
  <si>
    <t>8 Pink n W Car and 6 B Daisy (12/08)</t>
  </si>
  <si>
    <t>1  del of this cycle   -  1-cycles pmnt   Pending - Collect 1040</t>
  </si>
  <si>
    <t>B56934</t>
  </si>
  <si>
    <t>A-16, 2nd Floor, Ashok Estate, Anant Raj Estate, Sec 63 A</t>
  </si>
  <si>
    <t>By 11 AM</t>
  </si>
  <si>
    <t>Rose Mala</t>
  </si>
  <si>
    <t>1  del of this cycle   -  1-cycles pmnt   Pending - Collect 950</t>
  </si>
  <si>
    <t>Convinience Enterprises-Sonali anand</t>
  </si>
  <si>
    <t>E-243 belaire apartments</t>
  </si>
  <si>
    <t>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t>
  </si>
  <si>
    <t>1  del of this cycle   -  0-cycles pmnt   In Process - Collect 0</t>
  </si>
  <si>
    <t>Divya Rawat</t>
  </si>
  <si>
    <t>D-13/14, 1st Floor, DLF Exclusive Floor</t>
  </si>
  <si>
    <t>Return today (04/12) Hold today (05/03) Returned today (28/05) HDTNP (25/06)</t>
  </si>
  <si>
    <t>1  del of this cycle   -  1-cycles pmnt   Pending - Collect 1450</t>
  </si>
  <si>
    <t>Gyan</t>
  </si>
  <si>
    <t>J7, 2nd Floor, Signature Global City, Sec 37 D</t>
  </si>
  <si>
    <t>Upgraded as per scheme to Bliss for 5 Deliveries (22/08) No delivered today-send tom (02/10) Skip 1 week (26/11) Skip 2 week (28/01) Skip 2 week (10/03) No Sunflower ( 17/06)</t>
  </si>
  <si>
    <t>Manvi Bajpai</t>
  </si>
  <si>
    <t>A-43, Westend Heights</t>
  </si>
  <si>
    <t>Preferred Flowers-- Car//Rose//Guldawari//Gerbera//Orchid//Spray Daisy (27/09) 4th Del was on Hold (10/10) Skip 1 week (21/10) Skip 1 week (02/03) No Orchid (27/04) Hold n start after 15th Sep (18/08) Skip 1 week (19/10) Skip 1 week (17/12) Skip 2 week (17/03) Sending del today instead of tom (26/04) Skip 1 week (13/08) Skip 1 week (10/10) Return today (26/10) Today Hold (28/12) Skip 2 week (27/01) Skip 1 week (14/03) Skip 2 weks (17/04) Skip 2 week (01/06) Payment from Sreyansh Updhyay (19/07) Skip 18th to 25th (02/10) Skip 1 week (06/020</t>
  </si>
  <si>
    <t>Meenu Amrith-- Evening Only</t>
  </si>
  <si>
    <t>H. No. 579, Ground Floor,Near Dell-- Sec-43</t>
  </si>
  <si>
    <t>Sunday to Thurs//Skip next week(21/01) Skip 1 week(12/02) Hold n start from 1st week of May(06/03) Pls start from coming Tuesday(14/03)  Send Sunday Del on Sat This week(12/11) Skip 1 week(29/01) today hold and skip 1 more week(27/02) Start from 24th Mar(08/03) Hold n start from 16th June(18/05) Hold 3 Weeks(13/07) she saying that 10th Del Not received(11/11) Not avaible till 25th (14/11) Hold today(19/01) Skip 2 weeks (22/02) Skip 2 weeks (26/06) Hold n start after 15th Sep (18/08) Skip Tom (28/02) Hold n start from 13th June (24/05) Skip 1 week (23/07) Skip 1 week (04/12) Skip 1 week (12/03) Skip 1 week (18/01) Skip 1 weeek (13/05)</t>
  </si>
  <si>
    <t>Mrs. Geeta Chopra</t>
  </si>
  <si>
    <t>E-64,Ground Floor,Suncity,Sec-54</t>
  </si>
  <si>
    <t>Sunday to Thurs//No Rajni (22/05)NO GERBERA(11/08), next time 3 sticks extra (30/3) Send replacement with 3 sticks extra tom and send special pack too(14/04) NO GLAD(22/06) NO ORCHID(13/07) Send FF Next Week(20/07) FF Sold today(27/07) Add Changed(20/12) SEND ALL FLOWERS(18/02) START WITH 650 PLAN(19/05/20) Send Replacement(14/07) Send Replacement (04/11) Hold due to non payment (02/01) Hold due to non payment (08/01) today missed send on sunday (28/05) HDTNP (29/07)</t>
  </si>
  <si>
    <t>Priyanka Katyal</t>
  </si>
  <si>
    <t>1487, Saraswati Kunj, Sector 53</t>
  </si>
  <si>
    <t>Sunday n Thursday//NO Oriental and Guldawari (29/12) Paytm From Sanjay Katyal (28/03) Hold till 8th June-- she will confirm the package (24/05)' Shift to felicity// Today hold --send tom (09/07) Lilies Tom (08/11) Paytm From Ace Promoters and Developers Pvt. Ltd (26/01) Send Replacement tom (17/02) Skip 1 week (10/07) Couldn't deliver due to water logging-send on sunday (29/08) Paytm from Sanjay Katyal (20/10) Skip 2 week (21/05) Hold till 13th Aiug (26/07) Premium Flwer extra Next (09/01)</t>
  </si>
  <si>
    <t>ORIENTAL n GULDAWARI</t>
  </si>
  <si>
    <t>Premium Flwer extra Next (09/01)</t>
  </si>
  <si>
    <t>1  del of this cycle   -  1-cycles pmnt   Pending - Collect 1950</t>
  </si>
  <si>
    <t>Puneet Mahajan</t>
  </si>
  <si>
    <t>D-19, 4th Floor, Siuth City -2, Opp Arcadia Mall</t>
  </si>
  <si>
    <t>Send Sponge// Day Changed to Sunday (16/04) Paytm From Sri Sai makers (20/04) Change to felicity (17/05) HDTNP (23/07)</t>
  </si>
  <si>
    <t>1  del of this cycle   -  1-cycles pmnt   Pending - Collect 2300</t>
  </si>
  <si>
    <t>Rahul Sehgal</t>
  </si>
  <si>
    <t>418-A, Hamilton Court</t>
  </si>
  <si>
    <t>DLF Phase 4</t>
  </si>
  <si>
    <t>P Glad First(02/09/20) Next Oriental and send only Glad/Oriental and asiatic(17/09/20)  Only Oriental and Gladioli(26/10) Now Send-- Glad // BOP + Guldawari // Oriental Lily// Heliconia(19/12) Send Glad tom -- No White(23/12) Send all flowesr now and mixed always but NO RAJNI(19/01) NO WHITE COLOR(04/03) NO BOP(21/03) NO ORCHID(02/04) Shift to Friday now(04/04) Sent 1 Flower Food today(06/06) Send on sat this week only(10/10) Y Chrysanthemum nextr and Lilies after that(23/10) NO HELICONIA(26/10) NO GERBERA(18/02) Skip thsi week(25/02) Day chang eto thursday evening slot(08/03) Do not count last delivery(20/03) Send replacement tomorrow (05/07)</t>
  </si>
  <si>
    <t>ROSE n RAJNI</t>
  </si>
  <si>
    <t>Roshni Achpal</t>
  </si>
  <si>
    <t>A-102, Belaire</t>
  </si>
  <si>
    <t>Gift From Ankita Mehta  // Shift to Delight(04/12) Gpay from Alok Asrani (04/12) Skip 2 week (19/12) No car (01/05) Skip 2 weeks (19/08) No rajni (08/09) Skip 2 week (18/12) No Button Daisy 912/02) Skip 1 week (14/03) Do not count last del (13/05) Skip 1 week (11/06) Skip 1 week (25/07)</t>
  </si>
  <si>
    <t>Car n Rajni n Buttn Daisies</t>
  </si>
  <si>
    <t>Shalini Sharma</t>
  </si>
  <si>
    <t>208, Espace</t>
  </si>
  <si>
    <t>W n R Car Tom(25/04)  GERBERA NEXT(16/09) NO ORCHIDS(24/01)  Sent a replacement today(17/04) Ros enext (26/11) NO GULDAWARI n ORCHIDS ()6/01) Skip 1 week (05/01) Replacement tom (12/02) Send Tom and skip 30th Mar (25/03) Replacement tom (06/07) Will Pick on 30th -- Dont Send on 02nd Nov (28/10) Send this week del on tuesday 925/01) Send W Asiatic on 11th this week instead of 15th Feb (08/02) Skip 1 week (14/03) Lilies Next (20/05) Hold after current cycle (04/12) Four plus 1 Pack //</t>
  </si>
  <si>
    <t>GULDAWARI n ORCHID</t>
  </si>
  <si>
    <t>Lilies Next (20/05)</t>
  </si>
  <si>
    <t>Shikha Malhotra</t>
  </si>
  <si>
    <t>M-254, Park Place</t>
  </si>
  <si>
    <t>Skip 2 week after 13th (07/11) Today Hold (04/12) Paytm From Vivek Malhotra //</t>
  </si>
  <si>
    <t>Shipra</t>
  </si>
  <si>
    <t xml:space="preserve">C-94 Trinity </t>
  </si>
  <si>
    <t>Saturday</t>
  </si>
  <si>
    <t>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 HDTNP (12/07) HDTNP (16/07) HDTNP (19/07)</t>
  </si>
  <si>
    <t>Tanya Sharma</t>
  </si>
  <si>
    <t>T-8/202, Chintel Serenity, Sec 109</t>
  </si>
  <si>
    <t>No Yellow wn Purple // no Rajni (02/02) No ALstroemeria and do not count last del(19/06) Pls Don’t count last del (26/06)</t>
  </si>
  <si>
    <t>Rajni n Alstroemeria</t>
  </si>
  <si>
    <t>No Yellow wn Purple // Stock Next (02/03)</t>
  </si>
  <si>
    <t>Tarishka Gupta</t>
  </si>
  <si>
    <t>A1/804, Unitech The Residences</t>
  </si>
  <si>
    <t>Sohna Road 2</t>
  </si>
  <si>
    <t>Pre Flowers 4</t>
  </si>
  <si>
    <t>Pre Flowers 3</t>
  </si>
  <si>
    <t>Pre Flowers 2</t>
  </si>
  <si>
    <t>Pre Flowers 1</t>
  </si>
  <si>
    <t xml:space="preserve">Pre Flowers </t>
  </si>
  <si>
    <t>Flower 1</t>
  </si>
  <si>
    <t>Stick</t>
  </si>
  <si>
    <t>Flower 2</t>
  </si>
  <si>
    <t>Flower 3</t>
  </si>
  <si>
    <t>Consumables</t>
  </si>
  <si>
    <t>Delivered By</t>
  </si>
  <si>
    <t>Priority</t>
  </si>
  <si>
    <t>Feedback</t>
  </si>
  <si>
    <t>Payment</t>
  </si>
  <si>
    <t>8  del of this cycle   -  0-cycles pmnt   Completed - Collect 0</t>
  </si>
  <si>
    <t>6  del of this cycle   -  0-cycles pmnt   Completed - Collect 0</t>
  </si>
  <si>
    <t>5  del of this cycle   -  0-cycles pmnt   Completed - Collect 0</t>
  </si>
  <si>
    <t>2  del of this cycle   -  1-cycles pmnt   Pending - Collect 1600</t>
  </si>
  <si>
    <t>Mix Glad ( 14 Inch )</t>
  </si>
  <si>
    <t>R n W car ( 14 Inch )</t>
  </si>
  <si>
    <t>P n W Spray Daiisy ( 14 Inch )</t>
  </si>
  <si>
    <t>W Asiatic ( 14 Inch )</t>
  </si>
  <si>
    <t>P Spray Daisy ( 14 Inch )</t>
  </si>
  <si>
    <t>Rajni ( 14 inch )</t>
  </si>
  <si>
    <t>P n W Car ( 14 Inch )</t>
  </si>
  <si>
    <t>Keep at Door, Don’t call or ring the bell</t>
  </si>
  <si>
    <t>Y Asiatic ( 14 Inch )</t>
  </si>
  <si>
    <t>P n W Spray Daisy ( 14 Inch )</t>
  </si>
  <si>
    <t>Mix Alstroemeria ( 12 Inch )</t>
  </si>
  <si>
    <t>Sunflower ( 12 Inch )</t>
  </si>
  <si>
    <t>FF Sachet + Grass</t>
  </si>
  <si>
    <t>Grass</t>
  </si>
  <si>
    <t>P n W car + B daisy</t>
  </si>
  <si>
    <t>10 + 7</t>
  </si>
  <si>
    <t>Front P n W Tissue Wrap</t>
  </si>
  <si>
    <t>P n Y Spray Daisy ( 14 Inch )</t>
  </si>
  <si>
    <t>O Asiatic ( 14 Inch )</t>
  </si>
  <si>
    <t>Pur Eustoma ( 12 Inch )</t>
  </si>
  <si>
    <t xml:space="preserve">Broken Flowers </t>
  </si>
  <si>
    <t>Y Spray Daisy ( 14 Inch )</t>
  </si>
  <si>
    <t>G n W Car ( 14 Inch )</t>
  </si>
  <si>
    <t>W Eustoma ( 12 Inch )</t>
  </si>
  <si>
    <t>Pur n W Eustoma ( 12 Inch )</t>
  </si>
  <si>
    <t xml:space="preserve">W Oriental </t>
  </si>
  <si>
    <t xml:space="preserve">2  del of this cycle   -  0-cycles pmnt   Completed 0 </t>
  </si>
  <si>
    <t>BOP</t>
  </si>
  <si>
    <t>G n Y Spray Daisy ( 14 Inch )</t>
  </si>
  <si>
    <t>2 Gypsola + FF sachet</t>
  </si>
  <si>
    <t>2 Gypsola</t>
  </si>
  <si>
    <t>Arrangement</t>
  </si>
  <si>
    <t>Y n W Asiatic ( 14 Inch )</t>
  </si>
  <si>
    <t>4 Areca palm + 2 Gypsola  + 2 Limonium</t>
  </si>
  <si>
    <t>P n Y Car ( 14 Inch )</t>
  </si>
  <si>
    <t>3 Areca Palm + 3 Gypsola</t>
  </si>
  <si>
    <t>Rajni</t>
  </si>
  <si>
    <t>Spray Daisy</t>
  </si>
  <si>
    <t>Alstroemeria</t>
  </si>
  <si>
    <t>Blue Daisy</t>
  </si>
  <si>
    <t>Glad</t>
  </si>
  <si>
    <t>Carnation</t>
  </si>
  <si>
    <t>Orchid</t>
  </si>
  <si>
    <t>Asiatic</t>
  </si>
  <si>
    <t>Oriental</t>
  </si>
  <si>
    <t>Anthurium // BOP</t>
  </si>
  <si>
    <t>Eustoma</t>
  </si>
  <si>
    <t>total revenue</t>
  </si>
  <si>
    <t>revenue for the day</t>
  </si>
  <si>
    <t>Total</t>
  </si>
  <si>
    <t>Sticks in bndl</t>
  </si>
  <si>
    <t>Current Cost/bdl</t>
  </si>
  <si>
    <t>bi weekly</t>
  </si>
  <si>
    <t>NA</t>
  </si>
  <si>
    <t>Customized Plans</t>
  </si>
  <si>
    <t>A-2, G Floor</t>
  </si>
  <si>
    <t xml:space="preserve"> left of prev day</t>
  </si>
  <si>
    <t>TO BUY</t>
  </si>
  <si>
    <t>Wastage</t>
  </si>
  <si>
    <t>To buy wth wastage</t>
  </si>
  <si>
    <t>Bundles to buy</t>
  </si>
  <si>
    <t xml:space="preserve">Flowers </t>
  </si>
  <si>
    <t>COST</t>
  </si>
  <si>
    <t>Quantity</t>
  </si>
  <si>
    <t>Rate</t>
  </si>
  <si>
    <t>Arika</t>
  </si>
  <si>
    <t>victoria</t>
  </si>
  <si>
    <t>Murraiya</t>
  </si>
  <si>
    <t>grass</t>
  </si>
  <si>
    <t>Taal Palm</t>
  </si>
  <si>
    <t>Nargis</t>
  </si>
  <si>
    <t>Rose petal</t>
  </si>
  <si>
    <t>Genda</t>
  </si>
  <si>
    <t>Limonium</t>
  </si>
  <si>
    <t>Mogra</t>
  </si>
  <si>
    <t>Gypsy</t>
  </si>
  <si>
    <t>B Daisy</t>
  </si>
  <si>
    <t>Leather Fern</t>
  </si>
  <si>
    <t>Cycus Palm</t>
  </si>
  <si>
    <t>O Marigold Lari</t>
  </si>
  <si>
    <t>Y Marigold Lari</t>
  </si>
  <si>
    <t>Ashok Lari</t>
  </si>
  <si>
    <t>Mogra Lari</t>
  </si>
  <si>
    <t>Rajni Lari</t>
  </si>
  <si>
    <t>Daisy Lari</t>
  </si>
  <si>
    <t>Ensure Collection</t>
  </si>
  <si>
    <t>2  del of this cycle   -  0 -cycles pmnt  Completed - Collect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</si>
</sst>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dd\/mm\/yy"/>
    <numFmt numFmtId="166" formatCode="0.0"/>
  </numFmts>
  <fonts count="28" x14ac:knownFonts="1">
    <font>
      <sz val="11"/>
      <color theme="1"/>
      <name val="Calibri"/>
      <family val="2"/>
      <scheme val="minor"/>
    </font>
    <font>
      <sz val="11"/>
      <color theme="1"/>
      <name val="Calibri"/>
      <family val="2"/>
      <scheme val="minor"/>
    </font>
    <font>
      <b/>
      <sz val="11"/>
      <color theme="0"/>
      <name val="Calibri"/>
      <family val="2"/>
      <scheme val="minor"/>
    </font>
    <font>
      <b/>
      <sz val="12"/>
      <name val="Calibri"/>
      <family val="2"/>
    </font>
    <font>
      <b/>
      <i/>
      <sz val="11"/>
      <name val="Calibri"/>
      <family val="2"/>
      <scheme val="minor"/>
    </font>
    <font>
      <b/>
      <sz val="11"/>
      <name val="Calibri"/>
      <family val="2"/>
    </font>
    <font>
      <b/>
      <sz val="22"/>
      <name val="Calibri"/>
      <family val="2"/>
      <scheme val="minor"/>
    </font>
    <font>
      <u/>
      <sz val="11"/>
      <color theme="10"/>
      <name val="Calibri"/>
      <family val="2"/>
      <scheme val="minor"/>
    </font>
    <font>
      <sz val="11"/>
      <name val="Calibri"/>
      <family val="2"/>
    </font>
    <font>
      <b/>
      <sz val="11"/>
      <name val="Calibri"/>
      <family val="2"/>
      <scheme val="minor"/>
    </font>
    <font>
      <b/>
      <sz val="10"/>
      <name val="Calibri"/>
      <family val="2"/>
      <scheme val="minor"/>
    </font>
    <font>
      <b/>
      <sz val="10"/>
      <color indexed="8"/>
      <name val="Arial"/>
      <family val="2"/>
    </font>
    <font>
      <b/>
      <sz val="11"/>
      <color rgb="FFFFFFFF"/>
      <name val="Calibri"/>
      <family val="2"/>
      <scheme val="minor"/>
    </font>
    <font>
      <b/>
      <sz val="12"/>
      <color theme="1"/>
      <name val="Calibri"/>
      <family val="2"/>
      <scheme val="minor"/>
    </font>
    <font>
      <b/>
      <sz val="14"/>
      <color theme="1"/>
      <name val="Calibri"/>
      <family val="2"/>
      <scheme val="minor"/>
    </font>
    <font>
      <i/>
      <sz val="11"/>
      <color theme="1"/>
      <name val="Calibri"/>
      <family val="2"/>
      <scheme val="minor"/>
    </font>
    <font>
      <b/>
      <i/>
      <sz val="11"/>
      <color theme="1"/>
      <name val="Calibri"/>
      <family val="2"/>
      <scheme val="minor"/>
    </font>
    <font>
      <b/>
      <i/>
      <sz val="11"/>
      <color rgb="FF000000"/>
      <name val="Calibri"/>
      <family val="2"/>
      <scheme val="minor"/>
    </font>
    <font>
      <b/>
      <i/>
      <sz val="10"/>
      <color rgb="FF000000"/>
      <name val="Calibri"/>
      <family val="2"/>
      <scheme val="minor"/>
    </font>
    <font>
      <i/>
      <sz val="11"/>
      <color rgb="FF000000"/>
      <name val="Calibri"/>
      <family val="2"/>
      <scheme val="minor"/>
    </font>
    <font>
      <i/>
      <sz val="11"/>
      <name val="Calibri"/>
      <family val="2"/>
      <scheme val="minor"/>
    </font>
    <font>
      <b/>
      <i/>
      <sz val="12"/>
      <color rgb="FF000000"/>
      <name val="Calibri"/>
      <family val="2"/>
      <scheme val="minor"/>
    </font>
    <font>
      <b/>
      <i/>
      <sz val="11"/>
      <color rgb="FF7030A0"/>
      <name val="Calibri"/>
      <family val="2"/>
      <scheme val="minor"/>
    </font>
    <font>
      <i/>
      <sz val="11"/>
      <color rgb="FF7030A0"/>
      <name val="Calibri"/>
      <family val="2"/>
      <scheme val="minor"/>
    </font>
    <font>
      <b/>
      <i/>
      <sz val="11"/>
      <color theme="0"/>
      <name val="Calibri"/>
      <family val="2"/>
      <scheme val="minor"/>
    </font>
    <font>
      <i/>
      <sz val="12"/>
      <color theme="1"/>
      <name val="Calibri"/>
      <family val="2"/>
      <scheme val="minor"/>
    </font>
    <font>
      <sz val="12"/>
      <color theme="1"/>
      <name val="Calibri"/>
      <family val="2"/>
      <scheme val="minor"/>
    </font>
    <font>
      <i/>
      <sz val="10"/>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7030A0"/>
        <bgColor indexed="64"/>
      </patternFill>
    </fill>
    <fill>
      <patternFill patternType="solid">
        <fgColor rgb="FFF6C3FF"/>
        <bgColor indexed="64"/>
      </patternFill>
    </fill>
    <fill>
      <patternFill patternType="solid">
        <fgColor rgb="FF92D050"/>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99FF"/>
        <bgColor indexed="64"/>
      </patternFill>
    </fill>
    <fill>
      <patternFill patternType="solid">
        <fgColor rgb="FFFFC000"/>
        <bgColor indexed="64"/>
      </patternFill>
    </fill>
    <fill>
      <patternFill patternType="solid">
        <fgColor rgb="FFCC00CC"/>
        <bgColor indexed="64"/>
      </patternFill>
    </fill>
    <fill>
      <patternFill patternType="solid">
        <fgColor theme="4" tint="-0.249977111117893"/>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diagonal/>
    </border>
  </borders>
  <cellStyleXfs count="6">
    <xf numFmtId="0" fontId="0" fillId="0" borderId="0"/>
    <xf numFmtId="9" fontId="1" fillId="0" borderId="0" applyFont="0" applyFill="0" applyBorder="0" applyAlignment="0" applyProtection="0"/>
    <xf numFmtId="0" fontId="1" fillId="0" borderId="0"/>
    <xf numFmtId="0" fontId="7" fillId="0" borderId="0" applyNumberFormat="0" applyFill="0" applyBorder="0" applyAlignment="0" applyProtection="0"/>
    <xf numFmtId="0" fontId="1" fillId="0" borderId="0"/>
    <xf numFmtId="9" fontId="26" fillId="0" borderId="0" applyFont="0" applyFill="0" applyBorder="0" applyAlignment="0" applyProtection="0"/>
  </cellStyleXfs>
  <cellXfs count="81">
    <xf numFmtId="0" fontId="0" fillId="0" borderId="0" xfId="0"/>
    <xf numFmtId="0" fontId="1" fillId="2" borderId="1" xfId="0" applyFont="1" applyFill="1" applyBorder="1" applyAlignment="1">
      <alignment horizontal="center" vertical="center" wrapText="1" shrinkToFit="1"/>
    </xf>
    <xf numFmtId="0" fontId="3" fillId="2" borderId="1" xfId="2" applyFont="1" applyFill="1" applyBorder="1" applyAlignment="1">
      <alignment horizontal="center" vertical="center" wrapText="1" shrinkToFit="1"/>
    </xf>
    <xf numFmtId="1" fontId="3" fillId="2" borderId="1" xfId="2" applyNumberFormat="1" applyFont="1" applyFill="1" applyBorder="1" applyAlignment="1">
      <alignment horizontal="center" vertical="center" wrapText="1" shrinkToFit="1"/>
    </xf>
    <xf numFmtId="0" fontId="5" fillId="2" borderId="1" xfId="2" applyFont="1" applyFill="1" applyBorder="1" applyAlignment="1">
      <alignment horizontal="center" vertical="center" wrapText="1" shrinkToFit="1"/>
    </xf>
    <xf numFmtId="164" fontId="3" fillId="2" borderId="1" xfId="2" applyNumberFormat="1" applyFont="1" applyFill="1" applyBorder="1" applyAlignment="1">
      <alignment horizontal="center" vertical="center" wrapText="1" shrinkToFit="1"/>
    </xf>
    <xf numFmtId="165" fontId="5" fillId="2" borderId="1" xfId="2" applyNumberFormat="1" applyFont="1" applyFill="1" applyBorder="1" applyAlignment="1">
      <alignment horizontal="center" vertical="center" wrapText="1" shrinkToFit="1"/>
    </xf>
    <xf numFmtId="0" fontId="6"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8" fillId="2" borderId="1" xfId="2" applyFont="1" applyFill="1" applyBorder="1" applyAlignment="1">
      <alignment horizontal="center" vertical="center" wrapText="1" shrinkToFit="1"/>
    </xf>
    <xf numFmtId="0" fontId="0" fillId="2" borderId="1" xfId="0" applyFill="1" applyBorder="1" applyAlignment="1">
      <alignment horizontal="center" vertical="center" wrapText="1" shrinkToFit="1"/>
    </xf>
    <xf numFmtId="0" fontId="0" fillId="0" borderId="1" xfId="0" applyBorder="1" applyAlignment="1">
      <alignment wrapText="1" shrinkToFit="1"/>
    </xf>
    <xf numFmtId="0" fontId="9" fillId="2" borderId="1" xfId="0" applyFont="1" applyFill="1" applyBorder="1" applyAlignment="1">
      <alignment horizontal="center" vertical="center" wrapText="1"/>
    </xf>
    <xf numFmtId="16" fontId="0" fillId="2" borderId="1" xfId="0" applyNumberFormat="1" applyFill="1" applyBorder="1" applyAlignment="1">
      <alignment horizontal="center" vertical="center" wrapText="1" shrinkToFit="1"/>
    </xf>
    <xf numFmtId="0" fontId="0" fillId="2" borderId="1" xfId="0" applyFill="1" applyBorder="1" applyAlignment="1">
      <alignment wrapText="1" shrinkToFit="1"/>
    </xf>
    <xf numFmtId="0" fontId="0" fillId="2" borderId="2" xfId="0" applyFill="1" applyBorder="1" applyAlignment="1">
      <alignment horizontal="center" vertical="center" wrapText="1"/>
    </xf>
    <xf numFmtId="0" fontId="8" fillId="4" borderId="1" xfId="2" applyFont="1" applyFill="1" applyBorder="1" applyAlignment="1">
      <alignment horizontal="center" vertical="center" wrapText="1" shrinkToFit="1"/>
    </xf>
    <xf numFmtId="0" fontId="9" fillId="5"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1" fillId="6" borderId="1" xfId="0" applyFont="1" applyFill="1" applyBorder="1" applyAlignment="1">
      <alignment horizontal="center" vertical="center" wrapText="1" shrinkToFit="1"/>
    </xf>
    <xf numFmtId="0" fontId="10" fillId="2" borderId="1" xfId="0" applyFont="1" applyFill="1" applyBorder="1" applyAlignment="1">
      <alignment horizontal="center" vertical="center" wrapText="1" shrinkToFit="1"/>
    </xf>
    <xf numFmtId="0" fontId="0" fillId="7" borderId="1" xfId="0" applyFill="1" applyBorder="1" applyAlignment="1">
      <alignment horizontal="center" vertical="center" wrapText="1" shrinkToFit="1"/>
    </xf>
    <xf numFmtId="0" fontId="11" fillId="2" borderId="1" xfId="0" applyFont="1" applyFill="1" applyBorder="1" applyAlignment="1">
      <alignment horizontal="center" vertical="center" wrapText="1"/>
    </xf>
    <xf numFmtId="0" fontId="1" fillId="2" borderId="1" xfId="4" applyFill="1" applyBorder="1" applyAlignment="1">
      <alignment horizontal="center" vertical="center" wrapText="1" shrinkToFit="1"/>
    </xf>
    <xf numFmtId="0" fontId="1" fillId="6"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9" fillId="2" borderId="1" xfId="0" applyFont="1" applyFill="1" applyBorder="1" applyAlignment="1">
      <alignment horizontal="center" vertical="center" wrapText="1" shrinkToFit="1"/>
    </xf>
    <xf numFmtId="0" fontId="14" fillId="2"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9" fillId="6"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15" fillId="0" borderId="1" xfId="0" applyFont="1" applyBorder="1" applyAlignment="1">
      <alignment wrapText="1" shrinkToFit="1"/>
    </xf>
    <xf numFmtId="0" fontId="16" fillId="0" borderId="1" xfId="0" applyFont="1" applyBorder="1" applyAlignment="1">
      <alignment wrapText="1" shrinkToFit="1"/>
    </xf>
    <xf numFmtId="0" fontId="17" fillId="0" borderId="4" xfId="2" applyFont="1" applyBorder="1" applyAlignment="1">
      <alignment horizontal="center" vertical="center" wrapText="1"/>
    </xf>
    <xf numFmtId="0" fontId="17" fillId="2" borderId="1" xfId="2" applyFont="1" applyFill="1" applyBorder="1" applyAlignment="1">
      <alignment horizontal="center" vertical="center" wrapText="1"/>
    </xf>
    <xf numFmtId="0" fontId="17" fillId="0" borderId="1" xfId="2" applyFont="1" applyBorder="1" applyAlignment="1">
      <alignment horizontal="center" vertical="center" wrapText="1"/>
    </xf>
    <xf numFmtId="0" fontId="15" fillId="0" borderId="0" xfId="0" applyFont="1" applyAlignment="1">
      <alignment horizontal="center" vertical="center" wrapText="1"/>
    </xf>
    <xf numFmtId="0" fontId="18" fillId="0" borderId="0" xfId="2" applyFont="1" applyAlignment="1">
      <alignment horizontal="center" vertical="center" wrapText="1"/>
    </xf>
    <xf numFmtId="0" fontId="19" fillId="0" borderId="4" xfId="2" applyFont="1" applyBorder="1" applyAlignment="1">
      <alignment horizontal="center" vertical="center" wrapText="1"/>
    </xf>
    <xf numFmtId="0" fontId="19" fillId="0" borderId="1" xfId="2" applyFont="1" applyBorder="1" applyAlignment="1">
      <alignment horizontal="center" vertical="center" wrapText="1"/>
    </xf>
    <xf numFmtId="0" fontId="20" fillId="0" borderId="1" xfId="2" applyFont="1" applyBorder="1" applyAlignment="1">
      <alignment horizontal="center" vertical="center" wrapText="1"/>
    </xf>
    <xf numFmtId="1" fontId="15" fillId="0" borderId="0" xfId="0" applyNumberFormat="1" applyFont="1" applyAlignment="1">
      <alignment horizontal="center" vertical="center" wrapText="1"/>
    </xf>
    <xf numFmtId="0" fontId="15" fillId="0" borderId="1" xfId="0" applyFont="1" applyBorder="1" applyAlignment="1">
      <alignment horizontal="center" vertical="center" wrapText="1"/>
    </xf>
    <xf numFmtId="2" fontId="19" fillId="0" borderId="1" xfId="2" applyNumberFormat="1" applyFont="1" applyBorder="1" applyAlignment="1">
      <alignment horizontal="center" vertical="center" wrapText="1"/>
    </xf>
    <xf numFmtId="1" fontId="19" fillId="0" borderId="0" xfId="2" applyNumberFormat="1" applyFont="1" applyAlignment="1">
      <alignment horizontal="center" vertical="center" wrapText="1"/>
    </xf>
    <xf numFmtId="1" fontId="20" fillId="0" borderId="1" xfId="2" applyNumberFormat="1" applyFont="1" applyBorder="1" applyAlignment="1">
      <alignment horizontal="center" vertical="center" wrapText="1"/>
    </xf>
    <xf numFmtId="0" fontId="19" fillId="4" borderId="4" xfId="2" applyFont="1" applyFill="1" applyBorder="1" applyAlignment="1">
      <alignment horizontal="center" vertical="center" wrapText="1"/>
    </xf>
    <xf numFmtId="0" fontId="19" fillId="8" borderId="1" xfId="2" applyFont="1" applyFill="1" applyBorder="1" applyAlignment="1">
      <alignment horizontal="center" vertical="center" wrapText="1"/>
    </xf>
    <xf numFmtId="0" fontId="17" fillId="8" borderId="4" xfId="2" applyFont="1" applyFill="1" applyBorder="1" applyAlignment="1">
      <alignment horizontal="center" vertical="center" wrapText="1"/>
    </xf>
    <xf numFmtId="0" fontId="21" fillId="4" borderId="4" xfId="2" applyFont="1" applyFill="1" applyBorder="1" applyAlignment="1">
      <alignment horizontal="center" vertical="center" wrapText="1"/>
    </xf>
    <xf numFmtId="0" fontId="19" fillId="9" borderId="1" xfId="2" applyFont="1" applyFill="1" applyBorder="1" applyAlignment="1">
      <alignment horizontal="center" vertical="center" wrapText="1"/>
    </xf>
    <xf numFmtId="1" fontId="15" fillId="0" borderId="0" xfId="1" applyNumberFormat="1" applyFont="1" applyAlignment="1">
      <alignment horizontal="center" vertical="center" wrapText="1"/>
    </xf>
    <xf numFmtId="0" fontId="21" fillId="2" borderId="4" xfId="2" applyFont="1" applyFill="1" applyBorder="1" applyAlignment="1">
      <alignment horizontal="center" vertical="center" wrapText="1"/>
    </xf>
    <xf numFmtId="0" fontId="17" fillId="7" borderId="4" xfId="2" applyFont="1" applyFill="1" applyBorder="1" applyAlignment="1">
      <alignment horizontal="center" vertical="center" wrapText="1"/>
    </xf>
    <xf numFmtId="0" fontId="17" fillId="7" borderId="1" xfId="2" applyFont="1" applyFill="1" applyBorder="1" applyAlignment="1">
      <alignment horizontal="center" vertical="center" wrapText="1"/>
    </xf>
    <xf numFmtId="0" fontId="17" fillId="4" borderId="4" xfId="2" applyFont="1" applyFill="1" applyBorder="1" applyAlignment="1">
      <alignment horizontal="center" vertical="center" wrapText="1"/>
    </xf>
    <xf numFmtId="1" fontId="17" fillId="0" borderId="1" xfId="2" applyNumberFormat="1" applyFont="1" applyBorder="1" applyAlignment="1">
      <alignment horizontal="center" vertical="center" wrapText="1"/>
    </xf>
    <xf numFmtId="9" fontId="19" fillId="0" borderId="1" xfId="2" applyNumberFormat="1" applyFont="1" applyBorder="1" applyAlignment="1">
      <alignment horizontal="center" vertical="center" wrapText="1"/>
    </xf>
    <xf numFmtId="1" fontId="19" fillId="0" borderId="1" xfId="2" applyNumberFormat="1" applyFont="1" applyBorder="1" applyAlignment="1">
      <alignment horizontal="center" vertical="center" wrapText="1"/>
    </xf>
    <xf numFmtId="166" fontId="19" fillId="0" borderId="1" xfId="2" applyNumberFormat="1" applyFont="1" applyBorder="1" applyAlignment="1">
      <alignment horizontal="center" vertical="center" wrapText="1"/>
    </xf>
    <xf numFmtId="0" fontId="17" fillId="3" borderId="4" xfId="2" applyFont="1" applyFill="1" applyBorder="1" applyAlignment="1">
      <alignment horizontal="center" vertical="center" wrapText="1"/>
    </xf>
    <xf numFmtId="0" fontId="19" fillId="3" borderId="1" xfId="2" applyFont="1" applyFill="1" applyBorder="1" applyAlignment="1">
      <alignment horizontal="center" vertical="center" wrapText="1"/>
    </xf>
    <xf numFmtId="0" fontId="4" fillId="10" borderId="4" xfId="2" applyFont="1" applyFill="1" applyBorder="1" applyAlignment="1">
      <alignment horizontal="center" vertical="center" wrapText="1"/>
    </xf>
    <xf numFmtId="0" fontId="20" fillId="10" borderId="1" xfId="2" applyFont="1" applyFill="1" applyBorder="1" applyAlignment="1">
      <alignment horizontal="center" vertical="center" wrapText="1"/>
    </xf>
    <xf numFmtId="0" fontId="0" fillId="0" borderId="0" xfId="0" applyAlignment="1">
      <alignment horizontal="center"/>
    </xf>
    <xf numFmtId="0" fontId="19" fillId="4" borderId="1" xfId="2" applyFont="1" applyFill="1" applyBorder="1" applyAlignment="1">
      <alignment horizontal="center" vertical="center" wrapText="1"/>
    </xf>
    <xf numFmtId="0" fontId="17" fillId="11" borderId="4" xfId="2" applyFont="1" applyFill="1" applyBorder="1" applyAlignment="1">
      <alignment horizontal="center" vertical="center" wrapText="1"/>
    </xf>
    <xf numFmtId="0" fontId="19" fillId="11" borderId="1" xfId="2" applyFont="1" applyFill="1" applyBorder="1" applyAlignment="1">
      <alignment horizontal="center" vertical="center" wrapText="1"/>
    </xf>
    <xf numFmtId="0" fontId="22" fillId="12" borderId="4" xfId="2" applyFont="1" applyFill="1" applyBorder="1" applyAlignment="1">
      <alignment horizontal="center" vertical="center" wrapText="1"/>
    </xf>
    <xf numFmtId="0" fontId="23" fillId="12" borderId="1" xfId="2" applyFont="1" applyFill="1" applyBorder="1" applyAlignment="1">
      <alignment horizontal="center" vertical="center" wrapText="1"/>
    </xf>
    <xf numFmtId="0" fontId="17" fillId="13" borderId="4" xfId="2" applyFont="1" applyFill="1" applyBorder="1" applyAlignment="1">
      <alignment horizontal="center" vertical="center" wrapText="1"/>
    </xf>
    <xf numFmtId="0" fontId="24" fillId="13" borderId="1" xfId="2" applyFont="1" applyFill="1" applyBorder="1" applyAlignment="1">
      <alignment horizontal="center" vertical="center" wrapText="1"/>
    </xf>
    <xf numFmtId="0" fontId="25" fillId="0" borderId="5" xfId="0" applyFont="1" applyBorder="1" applyAlignment="1">
      <alignment horizontal="center" vertical="center" wrapText="1"/>
    </xf>
    <xf numFmtId="0" fontId="25" fillId="0" borderId="1" xfId="0" applyFont="1" applyBorder="1" applyAlignment="1">
      <alignment horizontal="center" vertical="center" wrapText="1"/>
    </xf>
    <xf numFmtId="9" fontId="15" fillId="0" borderId="0" xfId="5" applyFont="1" applyAlignment="1">
      <alignment horizontal="center" vertical="center" wrapText="1"/>
    </xf>
    <xf numFmtId="0" fontId="16" fillId="0" borderId="0" xfId="0" applyFont="1" applyAlignment="1">
      <alignment horizontal="center" vertical="center" wrapText="1"/>
    </xf>
    <xf numFmtId="0" fontId="27" fillId="0" borderId="0" xfId="0" applyFont="1" applyAlignment="1">
      <alignment horizontal="center" vertical="center" wrapText="1"/>
    </xf>
    <xf numFmtId="0" fontId="15" fillId="0" borderId="0" xfId="0" quotePrefix="1" applyFont="1" applyAlignment="1">
      <alignment horizontal="center" vertical="center" wrapText="1"/>
    </xf>
  </cellXfs>
  <cellStyles count="6">
    <cellStyle name="Hyperlink 2" xfId="3" xr:uid="{34D7E776-936D-4A4D-B019-950BA8D73895}"/>
    <cellStyle name="Normal" xfId="0" builtinId="0"/>
    <cellStyle name="Normal 2" xfId="2" xr:uid="{A9D80088-1C44-42DA-94F1-A2979AE6F058}"/>
    <cellStyle name="Normal 25" xfId="4" xr:uid="{E1C63A4D-C303-4FBE-BBED-8B762883661D}"/>
    <cellStyle name="Percent" xfId="1" builtinId="5"/>
    <cellStyle name="Percent 2" xfId="5" xr:uid="{11068780-F5B2-4AB8-8DDB-91CFF3F030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90bce48fe946bb5/Desktop/Final%20Feedback%20July%2026%20(33).xlsx" TargetMode="External"/><Relationship Id="rId1" Type="http://schemas.openxmlformats.org/officeDocument/2006/relationships/externalLinkPath" Target="Final%20Feedback%20July%2026%20(3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mit%20Tripathi\Downloads\Feedback%20Aug%2026%20(12).xlsx" TargetMode="External"/><Relationship Id="rId1" Type="http://schemas.openxmlformats.org/officeDocument/2006/relationships/externalLinkPath" Target="file:///C:\Users\Amit%20Tripathi\Downloads\Feedback%20Aug%2026%20(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7-26"/>
      <sheetName val="02-07-26"/>
      <sheetName val="03-07-26"/>
      <sheetName val="04-07-26"/>
      <sheetName val="05-07-26"/>
      <sheetName val="06-07-26"/>
      <sheetName val="07-07-26"/>
      <sheetName val="08-07-26"/>
      <sheetName val="09-07-26"/>
      <sheetName val="10-07-26"/>
      <sheetName val="11-07-26"/>
      <sheetName val="12-07-26"/>
      <sheetName val="13-07-26"/>
      <sheetName val="14-07-26"/>
      <sheetName val="15-07-26"/>
      <sheetName val="16-07-26"/>
      <sheetName val="17-07-26"/>
      <sheetName val="18-07-26"/>
      <sheetName val="19-07-26"/>
      <sheetName val="20-07-26"/>
      <sheetName val="21-07-26"/>
      <sheetName val="22-07-26"/>
      <sheetName val="23-07-26"/>
      <sheetName val="24-07-26"/>
      <sheetName val="25-07-26"/>
      <sheetName val="26-07-26"/>
      <sheetName val="27-07-26"/>
      <sheetName val="28-07-26"/>
      <sheetName val="29-07-26"/>
      <sheetName val="30-07-26"/>
      <sheetName val="31-07-26"/>
      <sheetName val="Sheet2"/>
    </sheetNames>
    <sheetDataSet>
      <sheetData sheetId="0"/>
      <sheetData sheetId="1"/>
      <sheetData sheetId="2"/>
      <sheetData sheetId="3"/>
      <sheetData sheetId="4"/>
      <sheetData sheetId="5"/>
      <sheetData sheetId="6"/>
      <sheetData sheetId="7"/>
      <sheetData sheetId="8">
        <row r="2">
          <cell r="A2" t="str">
            <v>G-00061</v>
          </cell>
          <cell r="B2" t="str">
            <v>Dolly Mohan</v>
          </cell>
          <cell r="C2">
            <v>9210333222</v>
          </cell>
          <cell r="D2" t="str">
            <v>A-001, Shiv Shankar CGHS Appartmenet, Sec 51</v>
          </cell>
          <cell r="E2" t="str">
            <v>Artemis</v>
          </cell>
          <cell r="F2" t="str">
            <v>Thursday</v>
          </cell>
          <cell r="G2" t="str">
            <v>9 AM to 2 PM</v>
          </cell>
          <cell r="H2">
            <v>1450</v>
          </cell>
          <cell r="I2">
            <v>362.5</v>
          </cell>
          <cell r="J2" t="str">
            <v>Bliss</v>
          </cell>
          <cell r="K2" t="str">
            <v>From Deepa Handa</v>
          </cell>
          <cell r="N2" t="str">
            <v>4  del of this cycle   -  0-cycles pmnt   Completed - Collect 0</v>
          </cell>
          <cell r="O2" t="e">
            <v>#N/A</v>
          </cell>
          <cell r="P2" t="e">
            <v>#N/A</v>
          </cell>
          <cell r="Q2" t="str">
            <v>Pur n P Car ( 14 inch ) 16     FF Sachet + Grass</v>
          </cell>
          <cell r="R2" t="str">
            <v>P Asiatic ( 14 Inch ) 3     Grass</v>
          </cell>
          <cell r="S2" t="str">
            <v>Rajni ( 14 Inch ) 16     Grass</v>
          </cell>
          <cell r="T2" t="str">
            <v>Sunflower ( 12 Inch ) 4     FF Sachet + Grass</v>
          </cell>
        </row>
        <row r="3">
          <cell r="A3">
            <v>2761</v>
          </cell>
          <cell r="B3" t="str">
            <v>Gyan</v>
          </cell>
          <cell r="C3">
            <v>9560719191</v>
          </cell>
          <cell r="D3" t="str">
            <v>J7, 2nd Floor, Signature Global City, Sec 37 D</v>
          </cell>
          <cell r="E3" t="str">
            <v>Dwarka Expressway</v>
          </cell>
          <cell r="F3" t="str">
            <v>Thursday</v>
          </cell>
          <cell r="G3" t="str">
            <v>4 PM to 7 PM</v>
          </cell>
          <cell r="H3">
            <v>1450</v>
          </cell>
          <cell r="I3">
            <v>362.5</v>
          </cell>
          <cell r="J3" t="str">
            <v>Bliss</v>
          </cell>
          <cell r="K3" t="str">
            <v>Upgraded as per scheme to Bliss for 5 Deliveries (22/08) No delivered today-send tom (02/10) Skip 1 week (26/11) Skip 2 week (28/01) Skip 2 week (10/03) No Sunflower ( 17/06)</v>
          </cell>
          <cell r="L3" t="str">
            <v>Sunflower</v>
          </cell>
          <cell r="N3" t="str">
            <v>4  del of this cycle   -  0-cycles pmnt   Completed - Collect 0</v>
          </cell>
          <cell r="O3" t="str">
            <v>Y Spray Daisy ( 15 Inch ) 3 Mix Alstroemeria ( 12 Inch ) 7   FF Sachet + Grass</v>
          </cell>
          <cell r="P3" t="str">
            <v>Sunflower ( 12 Inch ) 2 P n W Glad ( 14 Inch ) 7   FF Sachet + Grass</v>
          </cell>
          <cell r="Q3" t="str">
            <v>P Asiatic ( 14 Inch ) 2 Pur n P Car ( 14 Inch ) 7   Grass</v>
          </cell>
          <cell r="R3" t="str">
            <v>Pur Eustoma ( 12 Inch ) 2 Rajni ( 14 Inch ) 7   FF Sachet + Grass</v>
          </cell>
          <cell r="S3" t="str">
            <v>Spray Daisy 3 B Daisy ( 12 Inch ) 7   FF Sachet + Grass</v>
          </cell>
          <cell r="T3" t="str">
            <v>O Asiatic ( ( 14 inch ) 2 Mix Car 7   Grass</v>
          </cell>
        </row>
        <row r="4">
          <cell r="A4">
            <v>401</v>
          </cell>
          <cell r="B4" t="str">
            <v>Nameesha Verma -- Before 12PM</v>
          </cell>
          <cell r="C4">
            <v>9899240454</v>
          </cell>
          <cell r="D4" t="str">
            <v>D-4/102, Parsvanath Exotica</v>
          </cell>
          <cell r="E4" t="str">
            <v>DLF Phase 5</v>
          </cell>
          <cell r="F4" t="str">
            <v>Thursday</v>
          </cell>
          <cell r="G4" t="str">
            <v>Before 12 PM</v>
          </cell>
          <cell r="H4">
            <v>1600</v>
          </cell>
          <cell r="I4">
            <v>200</v>
          </cell>
          <cell r="J4" t="str">
            <v>Bloom</v>
          </cell>
          <cell r="K4"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4" t="str">
            <v>3 Car extra next (20/03)</v>
          </cell>
          <cell r="N4" t="str">
            <v>4  del of this cycle   -  0-cycles pmnt   Completed - Collect 0</v>
          </cell>
          <cell r="O4" t="str">
            <v>Mix Alstroemeria ( 12 Inch ) 7     FF Sachet + Grass</v>
          </cell>
          <cell r="P4" t="e">
            <v>#N/A</v>
          </cell>
          <cell r="Q4" t="str">
            <v>P Spray Daisy ( 14 Inch ) 2     FF Sachet + Grass</v>
          </cell>
          <cell r="R4" t="str">
            <v>Sunflower ( 12 Inch) 2     Grass</v>
          </cell>
          <cell r="S4" t="str">
            <v>P n W Car ( 14 Inch ) 7    Collect Payment FF Sachet + Grass</v>
          </cell>
          <cell r="T4" t="str">
            <v>Mix Alstroemeria ( 12Inch ) 7     FF Sachet + Grass</v>
          </cell>
        </row>
        <row r="5">
          <cell r="A5">
            <v>2501</v>
          </cell>
          <cell r="B5" t="str">
            <v>Jashanjeet Singh</v>
          </cell>
          <cell r="C5">
            <v>7905786392</v>
          </cell>
          <cell r="D5" t="str">
            <v>B-1502, Ramprastha Primera, Sec 37 D</v>
          </cell>
          <cell r="E5" t="str">
            <v>Dwarka Expressway</v>
          </cell>
          <cell r="F5" t="str">
            <v>Thursday</v>
          </cell>
          <cell r="G5" t="str">
            <v>4 Pm to 7 PM</v>
          </cell>
          <cell r="H5">
            <v>1450</v>
          </cell>
          <cell r="I5">
            <v>362.5</v>
          </cell>
          <cell r="J5" t="str">
            <v>Bliss</v>
          </cell>
          <cell r="K5" t="str">
            <v>Paytm Fron Archana Singh (03/04) 10% Discount for next Cycle (05/04) Gpay from Anvesh Kumar (26/06) Today returned (16/10) Returned today (15/01) PAYTM FROM Aniket (16/04) Do not count last del (09/05) Hold n start from july (12/06)</v>
          </cell>
          <cell r="N5" t="str">
            <v>1  del of this cycle   -  1-cycles pmnt   Pending - Collect 1450</v>
          </cell>
          <cell r="O5" t="str">
            <v>Mix Spray Daisy 3 Mix Alstroemeria ( 12 Inch ) 7   FF Sachet + Grass</v>
          </cell>
          <cell r="P5" t="str">
            <v>Sunflower ( 12 Inch ) 2 P n W Glad ( 14 Inch ) 7   FF Sachet + Grass</v>
          </cell>
          <cell r="Q5" t="e">
            <v>#N/A</v>
          </cell>
          <cell r="R5" t="e">
            <v>#N/A</v>
          </cell>
          <cell r="S5" t="e">
            <v>#N/A</v>
          </cell>
          <cell r="T5" t="str">
            <v>W Asiatic ( 14 Inch ) 2 P n W Car ( 14 Inch ) 7   Grass</v>
          </cell>
        </row>
        <row r="6">
          <cell r="A6" t="str">
            <v>G-00036</v>
          </cell>
          <cell r="B6" t="str">
            <v>Aanchal Boora</v>
          </cell>
          <cell r="C6">
            <v>9654700022</v>
          </cell>
          <cell r="D6" t="str">
            <v>Flat - 1171, Ats Triumph, Wing B, Tower 1, 17th Floor, Sec 104</v>
          </cell>
          <cell r="E6" t="str">
            <v>Dwarka Expressway</v>
          </cell>
          <cell r="F6" t="str">
            <v>Thursday</v>
          </cell>
          <cell r="G6" t="str">
            <v>4 Pm to 7 PM</v>
          </cell>
          <cell r="H6">
            <v>1450</v>
          </cell>
          <cell r="I6">
            <v>362.5</v>
          </cell>
          <cell r="J6" t="str">
            <v>Bliss</v>
          </cell>
          <cell r="K6" t="str">
            <v>From Avni Ahuja // Skip tom (10/12) Paytm From Nitin Kunka // No Orchids (27/01) Skip 1 week (27/02) No Sunflowers (02/05)</v>
          </cell>
          <cell r="L6" t="str">
            <v xml:space="preserve">Orchid n Sunflowers </v>
          </cell>
          <cell r="M6" t="str">
            <v>One Kind</v>
          </cell>
          <cell r="N6" t="str">
            <v>3  del of this cycle   -  0-cycles pmnt   Completed - Collect 0</v>
          </cell>
          <cell r="O6" t="e">
            <v>#N/A</v>
          </cell>
          <cell r="P6" t="e">
            <v>#N/A</v>
          </cell>
          <cell r="Q6" t="e">
            <v>#N/A</v>
          </cell>
          <cell r="R6" t="e">
            <v>#N/A</v>
          </cell>
          <cell r="S6" t="str">
            <v>P Asiatic ( 14 Inch ) 3    Collect Payment Grass</v>
          </cell>
          <cell r="T6" t="str">
            <v>Rajni ( 14 Inch ) 16     Grass</v>
          </cell>
        </row>
        <row r="7">
          <cell r="A7">
            <v>2359</v>
          </cell>
          <cell r="B7" t="str">
            <v>Roshni Achpal</v>
          </cell>
          <cell r="C7">
            <v>9711170252</v>
          </cell>
          <cell r="D7" t="str">
            <v>A-102, Belaire</v>
          </cell>
          <cell r="E7" t="str">
            <v>Golf Course Road</v>
          </cell>
          <cell r="F7" t="str">
            <v>Thursday</v>
          </cell>
          <cell r="G7" t="str">
            <v>9 AM - 12 PM</v>
          </cell>
          <cell r="H7">
            <v>999</v>
          </cell>
          <cell r="I7">
            <v>249.75</v>
          </cell>
          <cell r="J7" t="str">
            <v>Delight</v>
          </cell>
          <cell r="K7" t="str">
            <v>Gift From Ankita Mehta  // Shift to Delight(04/12) Gpay from Alok Asrani (04/12) Skip 2 week (19/12) No car (01/05) Skip 2 weeks (19/08) No rajni (08/09) Skip 2 week (18/12) No Button Daisy 912/02) Skip 1 week (14/03) Do not count last del (13/05) Skip 1 week (11/06)</v>
          </cell>
          <cell r="L7" t="str">
            <v>Car n Rajni n Buttn Daisies</v>
          </cell>
          <cell r="N7" t="str">
            <v>4  del of this cycle   -  0-cycles pmnt   Completed - Collect 0</v>
          </cell>
          <cell r="O7" t="str">
            <v>P n W Glad ( 14 Inch ) 9     Grass</v>
          </cell>
          <cell r="P7" t="str">
            <v>Sunflower ( 12 Inch ) 2     Grass</v>
          </cell>
          <cell r="Q7" t="e">
            <v>#N/A</v>
          </cell>
          <cell r="R7" t="str">
            <v>Pur n P Car ( 14 Inch ) 9     FF Sachet + Grass</v>
          </cell>
          <cell r="S7" t="str">
            <v>O Asiatic ( 14 Inch ) 2     Grass</v>
          </cell>
          <cell r="T7" t="str">
            <v>Mix Alstroemeria ( 12Inch ) 9     FF Sachet + Grass</v>
          </cell>
        </row>
        <row r="8">
          <cell r="A8">
            <v>2037</v>
          </cell>
          <cell r="B8" t="str">
            <v>Sharwan Chopra</v>
          </cell>
          <cell r="C8">
            <v>9971066995</v>
          </cell>
          <cell r="D8" t="str">
            <v>A-223, The Belaire</v>
          </cell>
          <cell r="E8" t="str">
            <v>Golf Course Road</v>
          </cell>
          <cell r="F8" t="str">
            <v>Thursday</v>
          </cell>
          <cell r="G8" t="str">
            <v>10 AM to 2:30 PM</v>
          </cell>
          <cell r="H8">
            <v>1950</v>
          </cell>
          <cell r="I8">
            <v>487.5</v>
          </cell>
          <cell r="J8" t="str">
            <v>Joy</v>
          </cell>
          <cell r="K8" t="str">
            <v>NO Car (15/02) Skip 3 Weeks (12/06) Skip 1 week (28/12) Hold all deliveries till 1st July (12/06) Skip 25th Dec (23/12) Hold due to non payment (29/01) Returned today (04/06) Skip 1 week (16/06)</v>
          </cell>
          <cell r="L8" t="str">
            <v>CAR</v>
          </cell>
          <cell r="N8" t="str">
            <v>2  del of this cycle   -  0-cycles pmnt   Completed - Collect 0</v>
          </cell>
          <cell r="O8" t="str">
            <v>Y Asiatic ( 14 Inch ) 4     Grass</v>
          </cell>
          <cell r="P8" t="str">
            <v>P n W Glad ( 14 Inch ) 22     Grass</v>
          </cell>
          <cell r="Q8" t="e">
            <v>#N/A</v>
          </cell>
          <cell r="R8" t="str">
            <v>Pur n P Eustoma ( 12 Inch ) 4     FF Sachet + Grass</v>
          </cell>
          <cell r="S8" t="str">
            <v>Rajni ( 14 Inch ) 22     Grass</v>
          </cell>
          <cell r="T8" t="str">
            <v>O Asiatic ( ( 14 inch ) 4     Grass</v>
          </cell>
        </row>
        <row r="9">
          <cell r="A9">
            <v>1998</v>
          </cell>
          <cell r="B9" t="str">
            <v>Shivani Katyal</v>
          </cell>
          <cell r="C9">
            <v>9811053756</v>
          </cell>
          <cell r="D9" t="str">
            <v>H. No. 1486, Sarsawati Kunj</v>
          </cell>
          <cell r="E9" t="str">
            <v>DLF Phase 5</v>
          </cell>
          <cell r="F9" t="str">
            <v>Thursday</v>
          </cell>
          <cell r="G9" t="str">
            <v>9:30 Am to 2 PM</v>
          </cell>
          <cell r="H9">
            <v>1950</v>
          </cell>
          <cell r="I9">
            <v>487.5</v>
          </cell>
          <cell r="J9" t="str">
            <v>Joy</v>
          </cell>
          <cell r="K9" t="str">
            <v>Rose//Orchid//Asiatic//Anthurium//Heliconia//BOP (28/10) NO Guldawari n Anthurium (09/02) Paytm From Manish K M K (08/09) Paytm from Manish Katyal // Gpay From Palak Katyal (22/03) No Glad Also (18/04) Couldn't deliver due to watrelogging--send on Sunday (29/08) Skip n send on sunday (01/10)</v>
          </cell>
          <cell r="L9" t="str">
            <v>GULDAWARI n ANTHURIUM n GLAD</v>
          </cell>
          <cell r="N9" t="str">
            <v>1  del of this cycle   -  1-cycles pmnt   Pending - Collect 1900</v>
          </cell>
          <cell r="O9" t="str">
            <v>Sunflower ( 12 Inch ) 5     FF Sachet + Grass</v>
          </cell>
          <cell r="P9" t="str">
            <v>Pur n P Car ( 14 inch ) 22     FF Sachet + Grass</v>
          </cell>
          <cell r="Q9" t="str">
            <v>Mix Alstroemeria ( 12 Inch ) 22     FF Sachet + Grass</v>
          </cell>
          <cell r="R9" t="str">
            <v>P n W Spray Daisy 7     FF Sachet + Grass</v>
          </cell>
          <cell r="S9" t="str">
            <v>P Asiatic ( 14 Inch ) 4     Grass</v>
          </cell>
          <cell r="T9" t="str">
            <v>Rajni ( 14 Inch ) 22     Grass</v>
          </cell>
        </row>
        <row r="10">
          <cell r="A10">
            <v>1181</v>
          </cell>
          <cell r="B10" t="str">
            <v>Parul Sharma --Elation</v>
          </cell>
          <cell r="C10">
            <v>8800895944</v>
          </cell>
          <cell r="D10" t="str">
            <v>Villa-27, The Legend</v>
          </cell>
          <cell r="E10" t="str">
            <v>Artemis</v>
          </cell>
          <cell r="F10" t="str">
            <v>Thursday</v>
          </cell>
          <cell r="G10" t="str">
            <v>9 AM to 2 PM</v>
          </cell>
          <cell r="H10">
            <v>1950</v>
          </cell>
          <cell r="I10">
            <v>487.5</v>
          </cell>
          <cell r="J10" t="str">
            <v>Joy</v>
          </cell>
          <cell r="K10" t="str">
            <v>Tuesday and Thursday//Change day to Thursday(21/12) Car Next(18/01) NO ORCHIDS(20/01) Car Next(02/02) Sending on 20th instaed of 21st,bcoz of Holi(18/03) Today FF Sent(11/04) Paytm from ritu Kaur(12/04) Send replacement(12/04) Send Special Pack(08/05) Received payment of special pack(10/05) Hold n start from 2nd week of july(04/060 Inform Before sending(01/07) Start from next week(10/07) Sending on 14th instrad of 15th Aug(13/08) Today Hold-send tom(26/09) Send double del tom(23/10) R car Tom(15/01) Send Replacement tom(27/02) Hold n start from 3rd week of April(18/03) NO Rose n NO Orchids----Send R Car Next(21/12) Rajnigandha Next(12/01) Replace ment next and send Flower food(10/04) Recvd 250 from Gpay(15/07) Return-not at home(14/09) Shift to Elation(18/10) Skip 1 week(27/06) Hold n start from July (12/06) Hold due to non Payment (15/01) Paytm From Vinay Deopujari (26/02)</v>
          </cell>
          <cell r="M10" t="str">
            <v>Before 11:30 AM</v>
          </cell>
          <cell r="N10" t="str">
            <v>1  del of this cycle   -  1-cycles pmnt   Pending - Collect 1950</v>
          </cell>
          <cell r="O10" t="str">
            <v>P n W Glad ( 14 Inch ) 22     Grass</v>
          </cell>
          <cell r="P10" t="str">
            <v>Pur n P Eustoma ( 12 Inch ) 4     FF Sachet + Grass</v>
          </cell>
          <cell r="Q10" t="str">
            <v>P n Y Spray Daisy ( 14 Inch ) 7     FF Sachet + Grass</v>
          </cell>
          <cell r="R10" t="str">
            <v>P n W Car ( 14 inch ) 22     FF Sachet + Grass</v>
          </cell>
          <cell r="S10" t="str">
            <v>Sunflower ( 12 Inch ) 5     FF Sachet + Grass</v>
          </cell>
          <cell r="T10" t="str">
            <v>W Asiatic ( 14 Inch ) 4     Grass</v>
          </cell>
        </row>
        <row r="11">
          <cell r="A11">
            <v>203</v>
          </cell>
          <cell r="B11" t="str">
            <v>Alok divatia -- After 10 AM</v>
          </cell>
          <cell r="C11">
            <v>9819355743</v>
          </cell>
          <cell r="D11" t="str">
            <v>BLC 263, 26th Floor, Tower C, The Belaire</v>
          </cell>
          <cell r="E11" t="str">
            <v>Golf Course Road</v>
          </cell>
          <cell r="F11" t="str">
            <v>Thursday</v>
          </cell>
          <cell r="G11" t="str">
            <v>9 AM - 12 PM</v>
          </cell>
          <cell r="H11">
            <v>8648</v>
          </cell>
          <cell r="I11">
            <v>2162</v>
          </cell>
          <cell r="J11" t="str">
            <v>Customized</v>
          </cell>
          <cell r="K11" t="str">
            <v>Tues to Thurs//After 10 AM, Lilis only and 12 lilies + 24 carnations, Never combo of Red n white, all flowers shd be of diff color(12/06)Skip tom n then on Tuesday(08/09) Return-send tom(16/12) NO ROSE(20/12) 14 Lily and 24 Car(24/09) Send 18 spray daisy instead of Asiatic next(30/03) Change package cost to 6300(20/07) Hold from today (05/12)</v>
          </cell>
          <cell r="N11" t="str">
            <v>2  del of this cycle   -  0-cycles pmnt   Completed - Collect 0</v>
          </cell>
          <cell r="O11" t="str">
            <v>P n Y Asiatic ( 14 Inch ) 14 Pur n Y Car ( 14 Inch ) 24   4 Areca palm + 2 Gypsola + 2 Limonium</v>
          </cell>
          <cell r="P11" t="str">
            <v xml:space="preserve">P n W Asiatic ( 14 Inch ) 14 Pur n P Car ( 14 inch ) 24   </v>
          </cell>
          <cell r="Q11" t="str">
            <v xml:space="preserve">O n P Asiatic ( 14 Inch ) 14 P n W Car ( 14 Inch ) 24   </v>
          </cell>
          <cell r="R11" t="str">
            <v>O n W Asiatic ( 14 Inch ) 14 R n P Car ( 14 Inch ) 24   4 Areca Palm + 2 Gypsola + 2 Limonim</v>
          </cell>
          <cell r="S11" t="str">
            <v>Y n P Asiatic ( 14 Inch ) 14 Pur n W Car ( 14 Inch ) 24   4 Areca Palm + 2 Gypsola + 2 Limonium</v>
          </cell>
          <cell r="T11" t="str">
            <v xml:space="preserve">O n W Asiatic ( 14 inch ) 14 P n W Car ( 14 Inch ) 24   </v>
          </cell>
        </row>
        <row r="12">
          <cell r="A12">
            <v>2024</v>
          </cell>
          <cell r="B12" t="str">
            <v>Priyanka Katyal</v>
          </cell>
          <cell r="C12">
            <v>9958565556</v>
          </cell>
          <cell r="D12" t="str">
            <v>1487, Saraswati Kunj, Sector 53</v>
          </cell>
          <cell r="E12" t="str">
            <v>DLF Phase 5</v>
          </cell>
          <cell r="F12" t="str">
            <v>Thursday</v>
          </cell>
          <cell r="G12" t="str">
            <v>9 AM - 12 PM</v>
          </cell>
          <cell r="H12">
            <v>1950</v>
          </cell>
          <cell r="I12">
            <v>487.5</v>
          </cell>
          <cell r="J12" t="str">
            <v>Joy</v>
          </cell>
          <cell r="K12" t="str">
            <v>Sunday n Thursday//NO Oriental and Guldawari (29/12) Paytm From Sanjay Katyal (28/03) Hold till 8th June-- she will confirm the package (24/05)' Shift to felicity// Today hold --send tom (09/07) Lilies Tom (08/11) Paytm From Ace Promoters and Developers Pvt. Ltd (26/01) Send Replacement tom (17/02) Skip 1 week (10/07) Couldn't deliver due to water logging-send on sunday (29/08) Paytm from Sanjay Katyal (20/10) Skip 2 week (21/05) Hold till 13th Aiug (26/07) Premium Flwer extra Next (09/01)</v>
          </cell>
          <cell r="L12" t="str">
            <v>ORIENTAL n GULDAWARI</v>
          </cell>
          <cell r="M12" t="str">
            <v>Premium Flwer extra Next (09/01)</v>
          </cell>
          <cell r="N12" t="str">
            <v>4  del of this cycle   -  0-cycles pmnt   Completed - Collect 0</v>
          </cell>
          <cell r="O12" t="str">
            <v>Sunflower ( 12 Inch ) 5     FF Sachet + Grass</v>
          </cell>
          <cell r="P12" t="str">
            <v>P n W Glad ( 14 Inch ) 22     Grass</v>
          </cell>
          <cell r="Q12" t="str">
            <v>P n W Spray Daisy ( 14 Inch ) 7     FF Sachet + Grass</v>
          </cell>
          <cell r="R12" t="str">
            <v>O Asiatic ( 14 Inch ) 4     Grass</v>
          </cell>
          <cell r="S12" t="str">
            <v>P n W Car ( 14 Inch ) 22     FF Sachet + Grass</v>
          </cell>
          <cell r="T12" t="str">
            <v>Rajni ( 14 Inch ) 22     Grass</v>
          </cell>
        </row>
        <row r="13">
          <cell r="A13">
            <v>221</v>
          </cell>
          <cell r="B13" t="str">
            <v>Convinience Enterprises-Sonali anand</v>
          </cell>
          <cell r="C13">
            <v>9810524040</v>
          </cell>
          <cell r="D13" t="str">
            <v>E-243 belaire apartments</v>
          </cell>
          <cell r="E13" t="str">
            <v>Golf Course Road</v>
          </cell>
          <cell r="F13" t="str">
            <v>Thursday</v>
          </cell>
          <cell r="G13" t="str">
            <v>9 AM - 12 PM</v>
          </cell>
          <cell r="H13">
            <v>2750</v>
          </cell>
          <cell r="I13">
            <v>687.5</v>
          </cell>
          <cell r="J13" t="str">
            <v>Corporate</v>
          </cell>
          <cell r="K13" t="str">
            <v>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v>
          </cell>
          <cell r="N13" t="str">
            <v>4  del of this cycle   -  0-cycles pmnt   In Process - Collect 0</v>
          </cell>
          <cell r="O13" t="str">
            <v>Sunflower ( 12 Inch ) 7     2 Gypsola + FF Sachet</v>
          </cell>
          <cell r="P13" t="e">
            <v>#N/A</v>
          </cell>
          <cell r="Q13" t="e">
            <v>#N/A</v>
          </cell>
          <cell r="R13" t="e">
            <v>#N/A</v>
          </cell>
          <cell r="S13" t="str">
            <v xml:space="preserve">P Asiatic ( 14 Inch ) 6     </v>
          </cell>
          <cell r="T13" t="str">
            <v>R n W Car ( 14 Inch ) 32     2 Limonium + FF Sachet</v>
          </cell>
        </row>
        <row r="14">
          <cell r="A14">
            <v>71</v>
          </cell>
          <cell r="B14" t="str">
            <v>Meenakshi Verma</v>
          </cell>
          <cell r="C14">
            <v>9810044544</v>
          </cell>
          <cell r="D14" t="str">
            <v>D-24, The Belaire Dlf golf course Road Phase 5</v>
          </cell>
          <cell r="E14" t="str">
            <v>Golf Course Road</v>
          </cell>
          <cell r="F14" t="str">
            <v>Thursday</v>
          </cell>
          <cell r="G14" t="str">
            <v>9 AM - 12 PM</v>
          </cell>
          <cell r="H14">
            <v>1950</v>
          </cell>
          <cell r="I14">
            <v>487.5</v>
          </cell>
          <cell r="J14" t="str">
            <v>Joy</v>
          </cell>
          <cell r="K14" t="str">
            <v>Thursday n Sunday//Lilies of diff color only(22/05) Skip tomorrow del(03/07)Skip tomorrow del(11/07)Replacement on 4th(01/10)Flowers sent on 7th due to diwali(08/11) Skip 1 week n start(01/01) Skip n send on Monday(18/03) SEND 1 Special Pack Next(18/04) Payment received against special pack(25/04) Send 2 stick extra in next del and flower food too(02/05) Skip 1 week(12/08) SEND FF Next (05/09) Dont count this week flowers as wilted(09/11) Rcvd 80 against FF(21/11) Confirm before sending(18/03) Hold Send tom(26/06/2020) Skip 1 week(25/11) Hold n start from 3rd week of jan(21/12) Returned-- start from next wek(21/01) Send 2 Bottle of flower food and upgrade to 1250 package(24/03) Sent replacement today(03/07) Hold-send next week(15/07) Send 2 Bottle of Flower food with next del(30/08) Skip 1 week(02/11) Skip 1 week(09/02) 1 Del send on 1450 on 19th May now converting to Charma Package(25/05) No Flowers till 20th Aug(27/07) Now 1450 and No Rises(10/09) NO Dahelia n Glad (17/03) Hold after 27th n start from 4th June (14/04) Start From Sep (07/08) Skip 1 week (09/07) Paytm from Vikram (12/09) No Sunflower (30/04) Send one bunch Alstroemeria acomplimentary (15/05)</v>
          </cell>
          <cell r="L14" t="str">
            <v>DAHELIA n GLAD n ROSE n ORCHID n Sunflower (30/04)</v>
          </cell>
          <cell r="N14" t="str">
            <v>4  del of this cycle   -  0-cycles pmnt   Completed - Collect 0</v>
          </cell>
          <cell r="O14" t="str">
            <v>P n Y Spray Dausy ( 14 Inch ) 7     FF Sachet + Grass</v>
          </cell>
          <cell r="P14" t="str">
            <v>Mix Alstroemeria ( 12 Inch ) 22     FF Sachet + Grass</v>
          </cell>
          <cell r="Q14" t="str">
            <v>O Asiatic ( 14 Inch ) 4     2 Gypsola</v>
          </cell>
          <cell r="R14" t="str">
            <v>P n W Glad ( 14 Inch ) 22     Grass</v>
          </cell>
          <cell r="S14" t="str">
            <v>P n W Car ( 14 Inch ) 22     FF Sachet + Grass</v>
          </cell>
          <cell r="T14" t="str">
            <v>P n W Spray Daisy ( 14 Inch ) 7     FF Sachet + Grass</v>
          </cell>
        </row>
        <row r="15">
          <cell r="A15">
            <v>2355</v>
          </cell>
          <cell r="B15" t="str">
            <v>Convinience Enterprises-Veena Anand</v>
          </cell>
          <cell r="C15">
            <v>9810031208</v>
          </cell>
          <cell r="D15" t="str">
            <v>307, Aralyas, DLF 5</v>
          </cell>
          <cell r="E15" t="str">
            <v>Golf Course Road</v>
          </cell>
          <cell r="F15" t="str">
            <v>Thursday</v>
          </cell>
          <cell r="G15" t="str">
            <v>By 10 AM</v>
          </cell>
          <cell r="H15">
            <v>2750</v>
          </cell>
          <cell r="I15">
            <v>687.5</v>
          </cell>
          <cell r="J15" t="str">
            <v>Corporate</v>
          </cell>
          <cell r="K15" t="str">
            <v>Skip this Thursday and send on Sunday (20/11)Hold and send on 12th Now (31/12) Do Not count last Del (02/07) Skip 1 week (10/09) Skip 2 week (18/05)</v>
          </cell>
          <cell r="N15" t="str">
            <v>2  del of this cycle   -  0-cycles pmnt   In Process - Collect 0</v>
          </cell>
          <cell r="O15" t="str">
            <v>Sunflower ( 12 Inch ) 7     2 Gypsola + FF Sachet</v>
          </cell>
          <cell r="P15" t="str">
            <v>Pur n P Car ( 14 inch ) 32     2 Limonium + FF Sachet</v>
          </cell>
          <cell r="Q15" t="str">
            <v xml:space="preserve">O Asiatic ( 14 Inch ) 6     2 Gypsola </v>
          </cell>
          <cell r="R15" t="e">
            <v>#N/A</v>
          </cell>
          <cell r="S15" t="e">
            <v>#N/A</v>
          </cell>
          <cell r="T15" t="str">
            <v>Rajni ( 14 Inch ) 32     2 Limonium</v>
          </cell>
        </row>
        <row r="16">
          <cell r="A16">
            <v>2502</v>
          </cell>
          <cell r="B16" t="str">
            <v>Amrita Sarup</v>
          </cell>
          <cell r="C16">
            <v>7028026940</v>
          </cell>
          <cell r="D16" t="str">
            <v>D1/802, Experion Heartsong, Sec 108</v>
          </cell>
          <cell r="E16" t="str">
            <v>Dwarka Expressway</v>
          </cell>
          <cell r="F16" t="str">
            <v>Thursday</v>
          </cell>
          <cell r="G16" t="str">
            <v>4 Pm to 7 PM</v>
          </cell>
          <cell r="H16">
            <v>1450</v>
          </cell>
          <cell r="I16">
            <v>362.5</v>
          </cell>
          <cell r="J16" t="str">
            <v>Bliss</v>
          </cell>
          <cell r="K16" t="str">
            <v>No Asiatic n Spray Daisy // Today Hold (14/08) Replacement tom (04/12) No Orchid (11/12) No BOP n Orchid (12/12) Today Returned -send on Sunday (18/12) Returned today (01/01/26) Next 3 Deliveries with Premium (11/.04)</v>
          </cell>
          <cell r="L16" t="str">
            <v>BOP n Orchid</v>
          </cell>
          <cell r="M16" t="str">
            <v>Next 3 Deliveries with Premium (11/.04)</v>
          </cell>
          <cell r="N16" t="str">
            <v>2  del of this cycle   -  0-cycles pmnt   Completed - Collect 0</v>
          </cell>
          <cell r="O16" t="e">
            <v>#N/A</v>
          </cell>
          <cell r="P16" t="e">
            <v>#N/A</v>
          </cell>
          <cell r="Q16" t="e">
            <v>#N/A</v>
          </cell>
          <cell r="R16" t="e">
            <v>#N/A</v>
          </cell>
          <cell r="S16" t="str">
            <v>Pur n P Car ( 14 Inch ) 16     FF Sachet + Grass</v>
          </cell>
          <cell r="T16" t="str">
            <v>O Asiatic ( ( 14 inch ) 3     Grass</v>
          </cell>
        </row>
        <row r="17">
          <cell r="A17">
            <v>3247</v>
          </cell>
          <cell r="B17" t="str">
            <v>V P Singh</v>
          </cell>
          <cell r="C17">
            <v>9717986555</v>
          </cell>
          <cell r="D17" t="str">
            <v>WT04/701, Experion Windchantsm Sec 112</v>
          </cell>
          <cell r="E17" t="str">
            <v>Dwarka Expressway</v>
          </cell>
          <cell r="F17" t="str">
            <v>Thursday</v>
          </cell>
          <cell r="G17" t="str">
            <v>4 Pm to 7 PM</v>
          </cell>
          <cell r="H17">
            <v>1450</v>
          </cell>
          <cell r="I17">
            <v>362.5</v>
          </cell>
          <cell r="J17" t="str">
            <v>Bliss</v>
          </cell>
          <cell r="K17" t="str">
            <v>Paytm From Vijay Pratap Singh</v>
          </cell>
          <cell r="N17" t="str">
            <v>3  del of this cycle   -  0-cycles pmnt   Completed - Collect 0</v>
          </cell>
          <cell r="O17" t="str">
            <v>Mix Car 16     Grass</v>
          </cell>
          <cell r="P17" t="str">
            <v>P n W Glad ( 14 Inch ) 16     Grass</v>
          </cell>
          <cell r="Q17" t="str">
            <v>Sunflower ( 12 Inch ) 4 With Bouquet in Morning Pls With Bouquet in Morning Pls With Bouquet in Morning Pls  FF Sachet + Grass</v>
          </cell>
          <cell r="R17" t="str">
            <v>Pur Eustoma ( 12 Inch ) 3     FF Sachet + Grass</v>
          </cell>
          <cell r="S17" t="str">
            <v>O Asiatic ( 14 Inch ) 3     Grass</v>
          </cell>
          <cell r="T17" t="str">
            <v>Rajni ( 14 Inch ) 16     Grass</v>
          </cell>
        </row>
        <row r="18">
          <cell r="A18">
            <v>894</v>
          </cell>
          <cell r="B18" t="str">
            <v>Dr. Roma Kumar</v>
          </cell>
          <cell r="C18" t="str">
            <v>98110 87708</v>
          </cell>
          <cell r="D18" t="str">
            <v>RT-181, Royalton Tower
Inside Princeton Estate
DLF City Phase-V
Gurgaon-122009
Haryana</v>
          </cell>
          <cell r="E18" t="str">
            <v>DLF Phase 5</v>
          </cell>
          <cell r="F18" t="str">
            <v>Thursday</v>
          </cell>
          <cell r="G18" t="str">
            <v>9 AM - 12 PM</v>
          </cell>
          <cell r="H18">
            <v>3000</v>
          </cell>
          <cell r="I18">
            <v>375</v>
          </cell>
          <cell r="J18" t="str">
            <v>Charm</v>
          </cell>
          <cell r="K18"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v>
          </cell>
          <cell r="L18" t="str">
            <v>ORCHID</v>
          </cell>
          <cell r="N18" t="str">
            <v>6  del of this cycle   -  0-cycles pmnt   Completed - Collect 0</v>
          </cell>
          <cell r="O18" t="str">
            <v>W Oriental ( 15 Inch ) 2     Grass</v>
          </cell>
          <cell r="P18" t="str">
            <v>P n W Glad ( 14 Inch ) 15     Grass</v>
          </cell>
          <cell r="Q18" t="str">
            <v>P Asiatic ( 14 Inch ) 3     Grass</v>
          </cell>
          <cell r="R18" t="str">
            <v>Rajni ( 14 Inch ) 15     Grass</v>
          </cell>
          <cell r="S18" t="str">
            <v>B Daisy ( 12 Inch ) 15     Grass</v>
          </cell>
          <cell r="T18" t="str">
            <v>G Anthurium 3     Grass</v>
          </cell>
        </row>
        <row r="19">
          <cell r="A19">
            <v>3396</v>
          </cell>
          <cell r="B19" t="str">
            <v>Shivani Gogia</v>
          </cell>
          <cell r="C19">
            <v>7838568324</v>
          </cell>
          <cell r="D19" t="str">
            <v>A-105, 1st Floor, Siushant Lok 3, Sec 57</v>
          </cell>
          <cell r="E19" t="str">
            <v>Sector 56</v>
          </cell>
          <cell r="F19" t="str">
            <v>Thursday</v>
          </cell>
          <cell r="G19" t="str">
            <v>9:30 Am to 2 PM</v>
          </cell>
          <cell r="H19">
            <v>1450</v>
          </cell>
          <cell r="I19">
            <v>362.5</v>
          </cell>
          <cell r="J19" t="str">
            <v>Customized</v>
          </cell>
          <cell r="K19" t="str">
            <v>14 rajni</v>
          </cell>
          <cell r="N19" t="str">
            <v>2  del of this cycle   -  0-cycles pmnt   Completed - Collect 0</v>
          </cell>
          <cell r="O19" t="e">
            <v>#N/A</v>
          </cell>
          <cell r="P19" t="e">
            <v>#N/A</v>
          </cell>
          <cell r="Q19" t="e">
            <v>#N/A</v>
          </cell>
          <cell r="R19" t="e">
            <v>#N/A</v>
          </cell>
          <cell r="S19" t="str">
            <v>Rajni ( 14 Inch ) 14     Grass</v>
          </cell>
          <cell r="T19" t="str">
            <v>O Asiatic ( ( 14 inch ) 3     FF Sachet + Grass</v>
          </cell>
        </row>
        <row r="20">
          <cell r="A20" t="str">
            <v>G-00028</v>
          </cell>
          <cell r="B20" t="str">
            <v>Niharika Mohanty</v>
          </cell>
          <cell r="C20">
            <v>9711098608</v>
          </cell>
          <cell r="D20" t="str">
            <v>W2A-151, Wellington Estate</v>
          </cell>
          <cell r="E20" t="str">
            <v>DLF Phase 5</v>
          </cell>
          <cell r="F20" t="str">
            <v>Thursday</v>
          </cell>
          <cell r="G20" t="str">
            <v>10 AM to 2:30 PM</v>
          </cell>
          <cell r="H20">
            <v>1950</v>
          </cell>
          <cell r="I20">
            <v>487.5</v>
          </cell>
          <cell r="J20" t="str">
            <v>Joy</v>
          </cell>
          <cell r="K20" t="str">
            <v>From Akriti Chopra // Mixed Flowers // Skip this week (11/03) Skip 1 week (11/03)  Skip 2 week (18/06) Skip 1 week (13/08) Skip 1 week (14/10) Skip 2 weeks (12/11) Skip 1 week (03/12) Skip 1 week (03/01) Hold today (21/05) Skip tom (03/06) Skip today and next week (18/06(</v>
          </cell>
          <cell r="M20" t="str">
            <v>Mixed Flowers</v>
          </cell>
          <cell r="N20" t="str">
            <v>2  del of this cycle   -  1-cycles pmnt   Pending - Collect 1950</v>
          </cell>
          <cell r="O20" t="e">
            <v>#N/A</v>
          </cell>
          <cell r="P20" t="str">
            <v>Y Asiatic ( 14 Inch ) 2 P n W Glad ( 14 Inch ) 11   2 Gypsola</v>
          </cell>
          <cell r="Q20" t="str">
            <v>Sunflower ( 12 Inch ) 3 Mix Alstroemeria ( 12 inch )  11   FF Sachet + Grass</v>
          </cell>
          <cell r="R20" t="e">
            <v>#N/A</v>
          </cell>
          <cell r="S20" t="str">
            <v>P Eustoma ( 12 Inch ) 2 Pur n W Car ( 14 Inch ) 11   FF Sachet + Grass</v>
          </cell>
          <cell r="T20" t="str">
            <v>P Asiatic ( 14 Inch ) 2 Rajni ( 14 Inch ) 11 Collect Payment Collect Payment Grass</v>
          </cell>
        </row>
        <row r="21">
          <cell r="A21">
            <v>3270</v>
          </cell>
          <cell r="B21" t="str">
            <v>Tanya Sharma</v>
          </cell>
          <cell r="C21">
            <v>7022251818</v>
          </cell>
          <cell r="D21" t="str">
            <v>T-8/202, Chintel Serenity, Sec 109</v>
          </cell>
          <cell r="E21" t="str">
            <v>Dwarka Expressway</v>
          </cell>
          <cell r="F21" t="str">
            <v>Thursday</v>
          </cell>
          <cell r="G21" t="str">
            <v>4 Pm to 7 PM</v>
          </cell>
          <cell r="H21">
            <v>1950</v>
          </cell>
          <cell r="I21">
            <v>487.5</v>
          </cell>
          <cell r="J21" t="str">
            <v>Joy</v>
          </cell>
          <cell r="K21" t="str">
            <v>No Yellow wn Purple // no Rajni (02/02) No ALstroemeria and do not count last del(19/06) Pls Don’t count last del (26/06)</v>
          </cell>
          <cell r="L21" t="str">
            <v>Rajni n Alstroemeria</v>
          </cell>
          <cell r="M21" t="str">
            <v>No Yellow wn Purple // Stock Next (02/03)</v>
          </cell>
          <cell r="N21" t="str">
            <v>4  del of this cycle   -  0-cycles pmnt   Completed - Collect 0</v>
          </cell>
          <cell r="O21" t="str">
            <v>W Asiatic ( 14 Inch ) 2 P n W Glad ( 14 Inch ) 11   Grass</v>
          </cell>
          <cell r="P21" t="str">
            <v>G n W Spray Daisy ( 14 Inch ) 4 P n W Car ( 14 Inch ) 11   FF Sachet + Grass</v>
          </cell>
          <cell r="Q21" t="str">
            <v>P Eustoma ( 12 Inch ) 2 Mix Alstroemeria ( 12 inch )  11   FF Sachet + Grass</v>
          </cell>
          <cell r="R21" t="str">
            <v>O Asiatic ( 14 Inch ) 2 Rajni ( 14 Inch ) 11   Grass</v>
          </cell>
          <cell r="S21" t="str">
            <v>P n Y Spray Daisy ( 14 Inch ) 4 P n W Glad ( 14 Inch ) 11   FF Sachet + Grass</v>
          </cell>
          <cell r="T21" t="str">
            <v>P Asiatic ( 14 Inch ) 2 P n W Car ( 14 Inch ) 11   Grass</v>
          </cell>
        </row>
        <row r="22">
          <cell r="A22">
            <v>2509</v>
          </cell>
          <cell r="B22" t="str">
            <v>Shrija Majumder</v>
          </cell>
          <cell r="C22">
            <v>8910369663</v>
          </cell>
          <cell r="D22" t="str">
            <v>G-803, BPTP Freedom Park Life</v>
          </cell>
          <cell r="E22" t="str">
            <v>Artemis</v>
          </cell>
          <cell r="F22" t="str">
            <v>Thursday</v>
          </cell>
          <cell r="G22" t="str">
            <v>9:30 Am to 2 PM</v>
          </cell>
          <cell r="H22">
            <v>1450</v>
          </cell>
          <cell r="I22">
            <v>1450</v>
          </cell>
          <cell r="J22" t="str">
            <v>Bliss</v>
          </cell>
          <cell r="K22" t="str">
            <v>Only Seasonals // skip tom (26/04) Skip 1 week (25/06) Hold today (14/08) Send tom after 7 PM (20/08) Skip 1 week (27/08) Skip 1 week (05/03) send replacement tom (28/03)</v>
          </cell>
          <cell r="M22" t="str">
            <v>Seasonlas</v>
          </cell>
          <cell r="N22" t="str">
            <v>3  del of this cycle   -  0-cycles pmnt   Completed - Collect 0</v>
          </cell>
          <cell r="O22" t="str">
            <v>Rajni ( 14 Inch ) 9     Grass</v>
          </cell>
          <cell r="P22" t="str">
            <v>Mix Car ( 14 Inch ) 9     Grass</v>
          </cell>
          <cell r="Q22" t="str">
            <v>Mix Alstroemeria ( 12 Inch ) 9     FF Sachet + Grass</v>
          </cell>
          <cell r="R22" t="str">
            <v>P n W Glad ( 14 Inch ) 16     Grass</v>
          </cell>
          <cell r="S22" t="str">
            <v>Rajni ( 14 Inch ) 16     Grass</v>
          </cell>
          <cell r="T22" t="str">
            <v>R n W Car ( 14 Inch ) 16     FF Sachet + Grass</v>
          </cell>
        </row>
        <row r="23">
          <cell r="A23">
            <v>3235</v>
          </cell>
          <cell r="B23" t="str">
            <v>Nishant -- Wellington</v>
          </cell>
          <cell r="C23">
            <v>9833057481</v>
          </cell>
          <cell r="D23" t="str">
            <v>Flat-1B/101, Wellington Estate</v>
          </cell>
          <cell r="E23" t="str">
            <v>DLF Phase 5</v>
          </cell>
          <cell r="F23" t="str">
            <v>Thursday</v>
          </cell>
          <cell r="G23" t="str">
            <v>9 AM - 12 PM</v>
          </cell>
          <cell r="H23">
            <v>1450</v>
          </cell>
          <cell r="I23">
            <v>362.5</v>
          </cell>
          <cell r="J23" t="str">
            <v>Bliss</v>
          </cell>
          <cell r="K23" t="str">
            <v>Paytm From Nishant Pandita // HDTNP (05/03) No Glad or Rajni (06/06)</v>
          </cell>
          <cell r="L23" t="str">
            <v>Glad n Rajni</v>
          </cell>
          <cell r="N23" t="str">
            <v>1  del of this cycle   -  1-cycles pmnt   Pending - Collect 1450</v>
          </cell>
          <cell r="O23" t="e">
            <v>#N/A</v>
          </cell>
          <cell r="P23" t="str">
            <v>Pur n P Car ( 14 inch ) 16     FF Sachet + Grass</v>
          </cell>
          <cell r="Q23" t="str">
            <v>P Asiatic ( 14 Inch ) 3     Grass</v>
          </cell>
          <cell r="R23" t="str">
            <v>Pur Eustoma ( 12 Inch ) 3     FF Sachet + Grass</v>
          </cell>
          <cell r="S23" t="str">
            <v>P n Y Spray Daisy ( 14 Inch ) 5     FF Sachet + Grass</v>
          </cell>
          <cell r="T23" t="str">
            <v>Mix Alstroemeria ( 12Inch ) 16     FF Sachet + Grass</v>
          </cell>
        </row>
        <row r="24">
          <cell r="A24">
            <v>2665</v>
          </cell>
          <cell r="B24" t="str">
            <v>Shaivya Rai</v>
          </cell>
          <cell r="C24">
            <v>9532096763</v>
          </cell>
          <cell r="D24" t="str">
            <v>4221, ATS Kocoon, Sec 109</v>
          </cell>
          <cell r="E24" t="str">
            <v>Dwarka Expressway</v>
          </cell>
          <cell r="F24" t="str">
            <v>Thursday</v>
          </cell>
          <cell r="G24" t="str">
            <v>4 Pm to 7 PM</v>
          </cell>
          <cell r="H24">
            <v>999</v>
          </cell>
          <cell r="I24">
            <v>249.75</v>
          </cell>
          <cell r="J24" t="str">
            <v>Delight</v>
          </cell>
          <cell r="K24" t="str">
            <v>Received on 25th Aug (25/07) HDTNP (11/06) HDTNP (18/06) HDTNP (25/06)</v>
          </cell>
          <cell r="N24" t="str">
            <v>3  del of this cycle   -  0-cycles pmnt   Completed - Collect 0</v>
          </cell>
          <cell r="O24" t="str">
            <v>P n W Glad ( 14 Inch ) 9     Grass</v>
          </cell>
          <cell r="P24" t="e">
            <v>#N/A</v>
          </cell>
          <cell r="Q24" t="e">
            <v>#N/A</v>
          </cell>
          <cell r="R24" t="e">
            <v>#N/A</v>
          </cell>
          <cell r="S24" t="str">
            <v xml:space="preserve">Collect 250 n Close      </v>
          </cell>
          <cell r="T24" t="str">
            <v>Pur n P Car ( 14 Inch ) 9     FF Sachet + Grass</v>
          </cell>
        </row>
        <row r="25">
          <cell r="A25">
            <v>236</v>
          </cell>
          <cell r="B25" t="str">
            <v>Dr. Arti Gupta 1</v>
          </cell>
          <cell r="C25">
            <v>8860079525</v>
          </cell>
          <cell r="D25" t="str">
            <v>Mayom Hospital, D block south city 1</v>
          </cell>
          <cell r="E25" t="str">
            <v>South City 1</v>
          </cell>
          <cell r="F25" t="str">
            <v>Mondau</v>
          </cell>
          <cell r="G25" t="str">
            <v>9 AM - 12 PM</v>
          </cell>
          <cell r="H25">
            <v>1450</v>
          </cell>
          <cell r="I25">
            <v>362.5</v>
          </cell>
          <cell r="J25" t="str">
            <v>Corporate</v>
          </cell>
          <cell r="K25" t="str">
            <v>Pls send a replacement of Asiatic tomorrow(23/08)NO GERBERA(22/09) Start special Pack(13/04) Send Del on Monday this week(20/03) NEVER BUT DAISIES(29/10) Hold today (22/01) HDTNP (19/02) Sent one xtra del today (29/06)</v>
          </cell>
          <cell r="N25" t="str">
            <v>4  del of this cycle   -  0-cycles pmnt   In Process - Collect 0</v>
          </cell>
          <cell r="O25" t="str">
            <v>Mix Alstroemeria ( 12 Inch ) 16     FF Sachet + Grass</v>
          </cell>
          <cell r="P25" t="str">
            <v>Pur n P Car ( 14 inch ) 16     FF Sachet + Grass</v>
          </cell>
          <cell r="Q25" t="str">
            <v>P n W Glad ( 14 Inch ) 16     Grass</v>
          </cell>
          <cell r="R25" t="str">
            <v>Rajni ( 14 Inch ) 16     Grass</v>
          </cell>
          <cell r="S25" t="str">
            <v>B Daisy ( 12 Inch ) 10     Grass</v>
          </cell>
          <cell r="T25" t="str">
            <v>P n W Car ( 14 Inch ) 16     FF Sachet + Grass</v>
          </cell>
        </row>
        <row r="26">
          <cell r="A26">
            <v>2204</v>
          </cell>
          <cell r="B26" t="str">
            <v>Bidisha Dey</v>
          </cell>
          <cell r="C26">
            <v>9811969982</v>
          </cell>
          <cell r="D26" t="str">
            <v>C-24, Carlton Estate-1, Club Drive</v>
          </cell>
          <cell r="E26" t="str">
            <v>DLF Phase 5</v>
          </cell>
          <cell r="F26" t="str">
            <v>Thursday</v>
          </cell>
          <cell r="G26" t="str">
            <v>9:30 Am to 2 PM</v>
          </cell>
          <cell r="H26">
            <v>1450</v>
          </cell>
          <cell r="I26">
            <v>362.5</v>
          </cell>
          <cell r="J26" t="str">
            <v>Bliss</v>
          </cell>
          <cell r="K26" t="str">
            <v>Skip 1 week (03/06) Returned send next week (11/07) Skip 1 week (08/01) Skip 1 week (26/03) Skip tom (02/07) Today Returned (20/11) HDTNP (25/06)</v>
          </cell>
          <cell r="N26" t="str">
            <v>1  del of this cycle   -  0-cycles pmnt   Completed - Collect 0</v>
          </cell>
          <cell r="O26" t="str">
            <v>P n W Glad ( 14 Inch ) 16     Grass</v>
          </cell>
          <cell r="P26" t="str">
            <v>Pur n P Car ( 14 inch ) 16     FF Sachet + Grass</v>
          </cell>
          <cell r="Q26" t="str">
            <v>Sunflower ( 12 Inch ) 4     FF Sachet + Grass</v>
          </cell>
          <cell r="R26" t="e">
            <v>#N/A</v>
          </cell>
          <cell r="S26" t="str">
            <v>P Asiatic ( 14 Inch ) 3    Collect payment Grass</v>
          </cell>
          <cell r="T26" t="str">
            <v>Rajni ( 14 Inch ) 16     Grass</v>
          </cell>
        </row>
        <row r="27">
          <cell r="A27">
            <v>366</v>
          </cell>
          <cell r="B27" t="str">
            <v>Dr. Arti Gupta 1</v>
          </cell>
          <cell r="C27">
            <v>8860079525</v>
          </cell>
          <cell r="D27" t="str">
            <v>Mayom Hospital, D block south city 1</v>
          </cell>
          <cell r="E27" t="str">
            <v>South City 1</v>
          </cell>
          <cell r="F27" t="str">
            <v>Monday</v>
          </cell>
          <cell r="G27" t="str">
            <v>9 AM - 12 PM</v>
          </cell>
          <cell r="H27">
            <v>1450</v>
          </cell>
          <cell r="I27">
            <v>362.5</v>
          </cell>
          <cell r="J27" t="str">
            <v>Corporate</v>
          </cell>
          <cell r="K27" t="str">
            <v>NO GERBERA(22/09)Start special Pack(13/04) Extend 1 ddlivery as we are sending 1 Nargis Today(22/12) Send Del on Monday this week(20/03) Send Replacemenmt of Car(20/09/20) NEVER BUT DAISIES(29/10) Spray daisy Next(03/03) Sent Replacement today(01/08) Hold today (22/01) HDTNP (19/02) Sent one extra del today (29/06)</v>
          </cell>
          <cell r="N27" t="str">
            <v>4  del of this cycle   -  0-cycles pmnt   In Process - Collect 0</v>
          </cell>
          <cell r="O27" t="str">
            <v>P Asiatic ( 14 Inch ) 3     Grass</v>
          </cell>
          <cell r="P27" t="str">
            <v>Y Asiatic ( 14 Inch ) 3     Grass</v>
          </cell>
          <cell r="Q27" t="str">
            <v>O Asiatic ( 14 Inch ) 3     Grass</v>
          </cell>
          <cell r="R27" t="str">
            <v>Pur Eustoma ( 12 Inch ) 3     FF Sachet + Grass</v>
          </cell>
          <cell r="S27" t="str">
            <v>P Asiatic ( 14 Inch ) 3     Grass</v>
          </cell>
          <cell r="T27" t="str">
            <v>W Asiatic ( 14 Inch ) 3     Grass</v>
          </cell>
        </row>
        <row r="28">
          <cell r="A28">
            <v>922</v>
          </cell>
          <cell r="B28" t="str">
            <v>Dr. Deepa Gupta</v>
          </cell>
          <cell r="C28">
            <v>8860079525</v>
          </cell>
          <cell r="D28" t="str">
            <v>Mayom Hospital, D block south city 1</v>
          </cell>
          <cell r="E28" t="str">
            <v>South City 1</v>
          </cell>
          <cell r="F28" t="str">
            <v>Thursday</v>
          </cell>
          <cell r="G28" t="str">
            <v>4 PM to 7 PM</v>
          </cell>
          <cell r="H28">
            <v>1450</v>
          </cell>
          <cell r="I28">
            <v>362.5</v>
          </cell>
          <cell r="J28" t="str">
            <v>Corporate</v>
          </cell>
          <cell r="K28" t="str">
            <v>1 del Missed(07/10) Return-send next week(31/12) Send replacement of Gerbera(30/10) Send on Monday this week(20/03) Return- hold package(08/07) Today returned-send next week(02/06) HDTNP (19/02)</v>
          </cell>
          <cell r="N28" t="str">
            <v>2  del of this cycle   -  0-cycles pmnt   In Process - Collect 0</v>
          </cell>
          <cell r="O28" t="str">
            <v>P Asiatic ( 14 Inch ) 3     Grass</v>
          </cell>
          <cell r="P28" t="str">
            <v>Y Asiatic ( 14 Inch ) 3     Grass</v>
          </cell>
          <cell r="Q28" t="str">
            <v>O Asiatic ( 14 Inch ) 3     Grass</v>
          </cell>
          <cell r="R28" t="str">
            <v>Pur Eustoma ( 12 Inch ) 3     FF Sachet + Grass</v>
          </cell>
          <cell r="S28" t="str">
            <v>P Asiatic ( 14 Inch ) 3     Grass</v>
          </cell>
          <cell r="T28" t="str">
            <v>W Asiatic ( 14 Inch ) 3     Grass</v>
          </cell>
        </row>
        <row r="29">
          <cell r="A29">
            <v>396</v>
          </cell>
          <cell r="B29" t="str">
            <v>Dr. Deepa Gupta</v>
          </cell>
          <cell r="C29">
            <v>8860079525</v>
          </cell>
          <cell r="D29" t="str">
            <v>Mayom Hospital, D block south city 1</v>
          </cell>
          <cell r="E29" t="str">
            <v>South City 1</v>
          </cell>
          <cell r="F29" t="str">
            <v>Thursday</v>
          </cell>
          <cell r="G29" t="str">
            <v>4 PM to 7 PM</v>
          </cell>
          <cell r="H29">
            <v>1450</v>
          </cell>
          <cell r="I29">
            <v>362.5</v>
          </cell>
          <cell r="J29" t="str">
            <v>Corporate</v>
          </cell>
          <cell r="K29" t="str">
            <v>1 del Missed(07/10) Return-send next week(31/12) Send replacement of Gerbera(30/10) Send on Monday this week(20/03) Return- hold package(08/07) Today returned-send next week(02/06) HDTNP (19/02)</v>
          </cell>
          <cell r="N29" t="str">
            <v>2  del of this cycle   -  0-cycles pmnt   In Process - Collect 0</v>
          </cell>
          <cell r="O29" t="str">
            <v>Mix Alstroemeria ( 12 Inch ) 16     FF Sachet + Grass</v>
          </cell>
          <cell r="P29" t="str">
            <v>P n W Glad ( 14 Inch ) 16     Grass</v>
          </cell>
          <cell r="Q29" t="str">
            <v>Pur n P Car ( 14 inch ) 16     FF Sachet + Grass</v>
          </cell>
          <cell r="R29" t="str">
            <v>Rajni ( 14 Inch ) 16     Grass</v>
          </cell>
          <cell r="S29" t="str">
            <v>P n W Glad ( 14 Inch ) 16     Grass</v>
          </cell>
          <cell r="T29" t="str">
            <v>P n W Car ( 14 Inch ) 16     FF Sachet + Grass</v>
          </cell>
        </row>
        <row r="30">
          <cell r="A30">
            <v>3071</v>
          </cell>
          <cell r="B30" t="str">
            <v>Divya Rawat</v>
          </cell>
          <cell r="C30">
            <v>8390310325</v>
          </cell>
          <cell r="D30" t="str">
            <v>D-13/14, 1st Floor, DLF Exclusive Floor</v>
          </cell>
          <cell r="E30" t="str">
            <v>DLF Phase 5</v>
          </cell>
          <cell r="F30" t="str">
            <v>Thursday</v>
          </cell>
          <cell r="G30" t="str">
            <v>9 AM - 12 PM</v>
          </cell>
          <cell r="H30">
            <v>1450</v>
          </cell>
          <cell r="I30">
            <v>362.5</v>
          </cell>
          <cell r="J30" t="str">
            <v>Bliss</v>
          </cell>
          <cell r="K30" t="str">
            <v>Return today (04/12) Hold today (05/03) Returned today (28/05) HDTNP (25/06)</v>
          </cell>
          <cell r="N30" t="str">
            <v>4  del of this cycle   -  0-cycles pmnt   Completed - Collect 0</v>
          </cell>
          <cell r="O30" t="str">
            <v>Pur Eustoma ( 14 Inch ) 2 Pur n P Car ( 14 Inch ) 7   FF Sachet + Grass</v>
          </cell>
          <cell r="P30" t="str">
            <v>P Spray Daisy ( 14 Inch ) 3 Mix Alstroemeria ( 12 Inch ) 7   FF Sachet + Grass</v>
          </cell>
          <cell r="Q30" t="str">
            <v>Sunflower ( 12 Inch ) 2 P n W Glad ( 14 Inch ) 7   FF Sachet + Grass</v>
          </cell>
          <cell r="R30" t="e">
            <v>#N/A</v>
          </cell>
          <cell r="S30" t="str">
            <v>P Asiatic ( 14 Inch ) 2 Rajni ( 14 Inch ) 7  Collect Payment Grass</v>
          </cell>
          <cell r="T30" t="str">
            <v>P Spray Daisy ( 14 Inch ) 3 P n W Car ( 14 Inch ) 7   FF Sachet + Grass</v>
          </cell>
        </row>
        <row r="31">
          <cell r="A31">
            <v>3273</v>
          </cell>
          <cell r="B31" t="str">
            <v>Sharmishtha Jhulka</v>
          </cell>
          <cell r="C31">
            <v>9810010615</v>
          </cell>
          <cell r="D31" t="str">
            <v>817-B, The Camelias</v>
          </cell>
          <cell r="E31" t="str">
            <v>Golf Course Road</v>
          </cell>
          <cell r="F31" t="str">
            <v>Thursday</v>
          </cell>
          <cell r="G31" t="str">
            <v>9 AM to 2 PM</v>
          </cell>
          <cell r="H31">
            <v>5800</v>
          </cell>
          <cell r="I31">
            <v>1450</v>
          </cell>
          <cell r="J31" t="str">
            <v>Customized</v>
          </cell>
          <cell r="K31" t="str">
            <v>send on 19th, 26th Mar, 23rd April and may 26 // Now start from 18th June (15/05) 10 Asiatic Lilies // 20 Spray Daisies // 10 Sunflowers// 10 Eustoma Pack (20/05) No Sunflowers ( 02/07)</v>
          </cell>
          <cell r="L31" t="str">
            <v>Sunflower</v>
          </cell>
          <cell r="N31" t="str">
            <v>3  del of this cycle   -  0-cycles pmnt   Completed - Collect 0</v>
          </cell>
          <cell r="O31" t="str">
            <v xml:space="preserve">Pur n P Eustoma ( 12 Inch ) 10     </v>
          </cell>
          <cell r="P31" t="e">
            <v>#N/A</v>
          </cell>
          <cell r="Q31" t="str">
            <v xml:space="preserve">P n Y Spray Daisy ( 14 Inch ) 20     </v>
          </cell>
          <cell r="R31" t="str">
            <v>O n W Asiatic ( 14 Inch ) 10     3 Areca Palm + 2 Limonium</v>
          </cell>
          <cell r="S31" t="str">
            <v>Sunflower ( 12 Inch ) 10     2 Gypsola</v>
          </cell>
          <cell r="T31" t="str">
            <v xml:space="preserve">P n W Spray Daisy ( 14 Inch ) 10     </v>
          </cell>
        </row>
        <row r="32">
          <cell r="A32">
            <v>1140</v>
          </cell>
          <cell r="B32" t="str">
            <v>Nidhi Singh</v>
          </cell>
          <cell r="C32" t="str">
            <v>8383036664//9899389873</v>
          </cell>
          <cell r="D32" t="str">
            <v>D-8/3, Ground Floor DLF Exclusive Floors</v>
          </cell>
          <cell r="E32" t="str">
            <v>DLF Phase 5</v>
          </cell>
          <cell r="F32" t="str">
            <v>Thursday</v>
          </cell>
          <cell r="G32" t="str">
            <v>9 AM - 12 PM</v>
          </cell>
          <cell r="H32">
            <v>2300</v>
          </cell>
          <cell r="I32">
            <v>287.5</v>
          </cell>
          <cell r="J32" t="str">
            <v>Felicity</v>
          </cell>
          <cell r="K32"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32" t="str">
            <v>ROSE</v>
          </cell>
          <cell r="N32" t="str">
            <v>3  del of this cycle   -  0-cycles pmnt   Completed - Collect 0</v>
          </cell>
          <cell r="O32" t="str">
            <v>P Spray Daisy ( 14 Inch ) 3     FF Sachet + Grass</v>
          </cell>
          <cell r="P32" t="str">
            <v>Pur Eustoma ( 12 Inch ) 3     FF Sachet + Grass</v>
          </cell>
          <cell r="Q32" t="str">
            <v>Rajni ( 14 Inch ) 11     Grass</v>
          </cell>
          <cell r="R32" t="str">
            <v>P n W Glad ( 14 Inch ) 11     Grass</v>
          </cell>
          <cell r="S32" t="str">
            <v>Pur n P Car ( 14 Inch ) 11     FF Sachet + Grass</v>
          </cell>
          <cell r="T32" t="str">
            <v>Rajni ( 14 Inch ) 11     Grass</v>
          </cell>
        </row>
        <row r="33">
          <cell r="A33">
            <v>179</v>
          </cell>
          <cell r="B33" t="str">
            <v>Sarita Dosaj</v>
          </cell>
          <cell r="C33">
            <v>9810077026</v>
          </cell>
          <cell r="D33" t="str">
            <v>B-24, Trinity Towers</v>
          </cell>
          <cell r="E33" t="str">
            <v>DLF Phase 5</v>
          </cell>
          <cell r="F33" t="str">
            <v>Thursday</v>
          </cell>
          <cell r="G33" t="str">
            <v>9 AM - 12 PM</v>
          </cell>
          <cell r="H33">
            <v>1450</v>
          </cell>
          <cell r="I33">
            <v>362.5</v>
          </cell>
          <cell r="J33" t="str">
            <v>Bliss</v>
          </cell>
          <cell r="K33" t="str">
            <v>One Color Flower ( 06/06) HDTNP (25/06)</v>
          </cell>
          <cell r="M33" t="str">
            <v>One Color Flower ( 06/06)</v>
          </cell>
          <cell r="N33" t="str">
            <v>4  del of this cycle   -  0-cycles pmnt   Completed - Collect 0</v>
          </cell>
          <cell r="O33" t="str">
            <v>P n W Spray Daisy ( 14 Inch ) 5     FF Sachet + Grass</v>
          </cell>
          <cell r="P33" t="str">
            <v>P Glad ( 14 Inch ) 16 One Color Flower Only    Grass</v>
          </cell>
          <cell r="Q33" t="str">
            <v>O Asiatic ( 14 Inch ) 3 Collect Cash Collect Cash    Grass</v>
          </cell>
          <cell r="R33" t="e">
            <v>#N/A</v>
          </cell>
          <cell r="S33" t="str">
            <v>Sunflower ( 12 Inch ) 4    Collect payment FF Sachet + Grass</v>
          </cell>
          <cell r="T33" t="str">
            <v>P n W Car ( 14 Inch ) 16     FF Sachet + Grass</v>
          </cell>
        </row>
        <row r="34">
          <cell r="A34">
            <v>237</v>
          </cell>
          <cell r="B34" t="str">
            <v>Mayom Hospital</v>
          </cell>
          <cell r="C34">
            <v>8860079525</v>
          </cell>
          <cell r="D34" t="str">
            <v>Mayom Hospital, D block south city 1</v>
          </cell>
          <cell r="H34">
            <v>3000</v>
          </cell>
          <cell r="I34">
            <v>750</v>
          </cell>
          <cell r="J34" t="str">
            <v>Corporate</v>
          </cell>
          <cell r="T34" t="str">
            <v>P n W Car ( 14 Inch ) 16     FF Sachet + Grass</v>
          </cell>
        </row>
        <row r="35">
          <cell r="A35">
            <v>14</v>
          </cell>
          <cell r="B35" t="str">
            <v>Ms. Neelam Bhalla </v>
          </cell>
          <cell r="C35">
            <v>9810546046</v>
          </cell>
          <cell r="D35" t="str">
            <v>H4, 4th Floor, Olive Residency, Mayfield Garden, Sec 57</v>
          </cell>
          <cell r="E35" t="str">
            <v>Artemis</v>
          </cell>
          <cell r="F35" t="str">
            <v>Thursday</v>
          </cell>
          <cell r="G35" t="str">
            <v>9 AM - 12 PM</v>
          </cell>
          <cell r="H35">
            <v>1950</v>
          </cell>
          <cell r="I35">
            <v>487.5</v>
          </cell>
          <cell r="J35" t="str">
            <v>Joy</v>
          </cell>
          <cell r="K35" t="str">
            <v>No Glad (19/05) Pls send Daisy in next del with Asiatic(11/12)  Orchids Next(26/06) Send Gerbera Next with Flower Food902/07)  Orchids next(21/11)  Oriental next(20/03) Y Spray Daisy tom(25/03) Only 1 kind of flowers now(20/05) S NO GLAD n BOP (30/12) Today returned-send tom (21/01) Skip 2 weeks (27/01) Send 1 Flower Food next (13/06) Skip 1 week (06/07) Skip 1 week (20/08) Aster in Del (19/10) Hold today -send tom (03/11) Skip 1 week (01/02) Skip 1 week (29/02) Hold till 1st July (15/06) Skip 1 week (24/07) Skip 29th (26/11) Skip tom (23/01) Skip tom (27/02) Skip 1 week (11/03) Skip 1 week (17/06) Skip 1 week (20/01) Skip 1 week (04/02) Skip thursday (24/02) Skip 1 week (16/06)</v>
          </cell>
          <cell r="L35" t="str">
            <v>GLAD n BOP n GERBERA</v>
          </cell>
          <cell r="N35" t="str">
            <v>4  del of this cycle   -  0-cycles pmnt   Completed - Collect 0</v>
          </cell>
          <cell r="O35" t="str">
            <v>P n W Car ( 14 Inch ) 22     FF Sachet + Grass</v>
          </cell>
          <cell r="P35" t="str">
            <v>Pur n P Eustoma ( 12 Inch ) 4     FF Sachet + Grass</v>
          </cell>
          <cell r="Q35" t="e">
            <v>#N/A</v>
          </cell>
          <cell r="R35" t="str">
            <v>Pur n P Eustoma ( 12 Inch ) 4     FF Sachet + Grass</v>
          </cell>
          <cell r="S35" t="str">
            <v>Sunflower ( 12 Inch ) 5     FF Sachet + Grass</v>
          </cell>
          <cell r="T35" t="str">
            <v>Rajni ( 14 Inch ) 22     Grass</v>
          </cell>
        </row>
        <row r="36">
          <cell r="A36">
            <v>1098</v>
          </cell>
          <cell r="B36" t="str">
            <v>Rahul Sehgal</v>
          </cell>
          <cell r="C36">
            <v>9810022182</v>
          </cell>
          <cell r="D36" t="str">
            <v>418-A, Hamilton Court</v>
          </cell>
          <cell r="E36" t="str">
            <v>DLF Phase 4</v>
          </cell>
          <cell r="F36" t="str">
            <v>Thursday</v>
          </cell>
          <cell r="G36" t="str">
            <v>4 Pm to 7 PM</v>
          </cell>
          <cell r="H36">
            <v>1950</v>
          </cell>
          <cell r="I36">
            <v>487.5</v>
          </cell>
          <cell r="J36" t="str">
            <v>Joy</v>
          </cell>
          <cell r="K36" t="str">
            <v>P Glad First(02/09/20) Next Oriental and send only Glad/Oriental and asiatic(17/09/20)  Only Oriental and Gladioli(26/10) Now Send-- Glad // BOP + Guldawari // Oriental Lily// Heliconia(19/12) Send Glad tom -- No White(23/12) Send all flowesr now and mixed always but NO RAJNI(19/01) NO WHITE COLOR(04/03) NO BOP(21/03) NO ORCHID(02/04) Shift to Friday now(04/04) Sent 1 Flower Food today(06/06) Send on sat this week only(10/10) Y Chrysanthemum nextr and Lilies after that(23/10) NO HELICONIA(26/10) NO GERBERA(18/02) Skip thsi week(25/02) Day chang eto thursday evening slot(08/03) Do not count last delivery(20/03) Send replacement tomorrow (05/07)</v>
          </cell>
          <cell r="L36" t="str">
            <v>ROSE n RAJNI</v>
          </cell>
          <cell r="N36" t="str">
            <v>4  del of this cycle   -  0-cycles pmnt   Completed - Collect 0</v>
          </cell>
          <cell r="O36" t="str">
            <v>Sunflower ( 12 Inch ) 5     FF Sachet + Grass</v>
          </cell>
          <cell r="P36" t="str">
            <v>Pur n P Car ( 14 inch ) 22     FF Sachet + Grass</v>
          </cell>
          <cell r="Q36" t="str">
            <v>P n W Spray Daisy ( 14 Inch ) 7     FF Sachet + Grass</v>
          </cell>
          <cell r="R36" t="str">
            <v>O Asiatic ( 14 Inch ) 4     Grass</v>
          </cell>
          <cell r="S36" t="str">
            <v>P n W Glad ( 14 Inch ) 22     Grass</v>
          </cell>
          <cell r="T36" t="str">
            <v>Mix Alstroemeria ( 12Inch ) 22     FF Sachet + Grass</v>
          </cell>
        </row>
        <row r="37">
          <cell r="A37">
            <v>2294</v>
          </cell>
          <cell r="B37" t="str">
            <v>Sonal Verma</v>
          </cell>
          <cell r="C37">
            <v>9711499808</v>
          </cell>
          <cell r="D37" t="str">
            <v>H. No. 19, 1st Floor, Cedar Crest</v>
          </cell>
          <cell r="E37" t="str">
            <v>Nirvana Country</v>
          </cell>
          <cell r="F37" t="str">
            <v>Thursday</v>
          </cell>
          <cell r="G37" t="str">
            <v>9 AM - 12 PM</v>
          </cell>
          <cell r="H37">
            <v>1450</v>
          </cell>
          <cell r="I37">
            <v>362.5</v>
          </cell>
          <cell r="J37" t="str">
            <v>Collection Only</v>
          </cell>
          <cell r="K37" t="str">
            <v>Skip 1 week (11/03) Skip 1 week (21/05) Pls skip 1 week (18/06) Sent one del today (10/12) Hold due to non payment (29/01) Hold due to non payment (04/02) HDTNP (19/02) HDTNP (26/02) HDTNP (21/05) HDTNP (28/05) HDTNP (04/06) HDTNP (11/06) HDTNP (18/06) HDTNP (25/06)</v>
          </cell>
          <cell r="N37" t="str">
            <v>3  del of this cycle   -  1-cycles pmnt   Pending - Collect 1450</v>
          </cell>
          <cell r="O37" t="e">
            <v>#N/A</v>
          </cell>
          <cell r="P37" t="e">
            <v>#N/A</v>
          </cell>
          <cell r="Q37" t="e">
            <v>#N/A</v>
          </cell>
          <cell r="R37" t="e">
            <v>#N/A</v>
          </cell>
          <cell r="S37" t="str">
            <v xml:space="preserve">Collect Rs 725 Carry Reciept Book     </v>
          </cell>
          <cell r="T37" t="str">
            <v xml:space="preserve">Collect 725  Carry Receipt Bookl     </v>
          </cell>
        </row>
        <row r="38">
          <cell r="A38">
            <v>1455</v>
          </cell>
          <cell r="B38" t="str">
            <v>Gagan Ahluwalia</v>
          </cell>
          <cell r="C38">
            <v>9811105056</v>
          </cell>
          <cell r="D38" t="str">
            <v>C-82, The Summit</v>
          </cell>
          <cell r="E38" t="str">
            <v>Golf Course Road</v>
          </cell>
          <cell r="F38" t="str">
            <v>Thursday</v>
          </cell>
          <cell r="G38" t="str">
            <v>9 AM - 12 PM</v>
          </cell>
          <cell r="H38">
            <v>2300</v>
          </cell>
          <cell r="I38">
            <v>287.5</v>
          </cell>
          <cell r="J38" t="str">
            <v>Felicity</v>
          </cell>
          <cell r="K38"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38" t="str">
            <v>1  del of this cycle   -  1-cycles pmnt   Pending - Collect 2300</v>
          </cell>
          <cell r="O38" t="str">
            <v>P n W Glad ( 14 Inch ) 11     Grass</v>
          </cell>
          <cell r="P38" t="str">
            <v>Rajni ( 14 Inch ) 11     Grass</v>
          </cell>
          <cell r="Q38" t="str">
            <v>Pur n P Car ( 14 inch ) 11     FF Sachet + Grass</v>
          </cell>
          <cell r="R38" t="str">
            <v>P Spray Daisy ( 14 Inch ) 3     FF Sachet + Grass</v>
          </cell>
          <cell r="S38" t="str">
            <v>Sunflower ( 12 Inch ) 3     FF Sachet + Grass</v>
          </cell>
          <cell r="T38" t="str">
            <v>P Asiatic ( 14 Inch ) 2     Grass</v>
          </cell>
        </row>
        <row r="39">
          <cell r="A39">
            <v>3107</v>
          </cell>
          <cell r="B39" t="str">
            <v>Richa -- Icon</v>
          </cell>
          <cell r="C39">
            <v>9811394916</v>
          </cell>
          <cell r="D39" t="str">
            <v>B-173, the Icon</v>
          </cell>
          <cell r="E39" t="str">
            <v>DLF Phase 5</v>
          </cell>
          <cell r="F39" t="str">
            <v>Thursday</v>
          </cell>
          <cell r="G39" t="str">
            <v>10 AM to 2:30 PM</v>
          </cell>
          <cell r="H39">
            <v>1450</v>
          </cell>
          <cell r="I39">
            <v>362.5</v>
          </cell>
          <cell r="J39" t="str">
            <v>Bliss</v>
          </cell>
          <cell r="K39" t="str">
            <v>Paytm From Ankit Gupta (01/11) Skip 08th and 15th Jan (16/12) Hold till 16th Jan (19/12) Skip 1 week (12/02) Skip 1 week (11/03) Skip 1 week (01/04) Hold n strat from 02nd July (28/05)</v>
          </cell>
          <cell r="N39" t="str">
            <v>2  del of this cycle   -  0-cycles pmnt   Completed - Collect 0</v>
          </cell>
          <cell r="O39" t="e">
            <v>#N/A</v>
          </cell>
          <cell r="P39" t="e">
            <v>#N/A</v>
          </cell>
          <cell r="Q39" t="e">
            <v>#N/A</v>
          </cell>
          <cell r="R39" t="e">
            <v>#N/A</v>
          </cell>
          <cell r="S39" t="str">
            <v>Pur n P Car ( 14 Inch ) 16     FF Sachet + Grass</v>
          </cell>
          <cell r="T39" t="str">
            <v>P Asiatic ( 14 Inch ) 3     Grass</v>
          </cell>
        </row>
        <row r="40">
          <cell r="A40">
            <v>2307</v>
          </cell>
          <cell r="B40" t="str">
            <v>Alpna Jain</v>
          </cell>
          <cell r="C40">
            <v>9599336609</v>
          </cell>
          <cell r="D40" t="str">
            <v>C-64, The Icon</v>
          </cell>
          <cell r="E40" t="str">
            <v>DLF Phase 5</v>
          </cell>
          <cell r="F40" t="str">
            <v>Thursday</v>
          </cell>
          <cell r="G40" t="str">
            <v>10 AM to 2:30 PM</v>
          </cell>
          <cell r="H40">
            <v>3000</v>
          </cell>
          <cell r="I40">
            <v>375</v>
          </cell>
          <cell r="J40" t="str">
            <v>Charm</v>
          </cell>
          <cell r="K40" t="str">
            <v>Thursday n Sunday // Hold today (08/02) Keep flowers outside of Door (17/05)</v>
          </cell>
          <cell r="M40" t="str">
            <v>Keep flowers outside of door always</v>
          </cell>
          <cell r="N40" t="str">
            <v>6  del of this cycle   -  0-cycles pmnt   Completed - Collect 0</v>
          </cell>
          <cell r="O40" t="str">
            <v>Mix Alstroemeria ( 12 Inch ) 15 ( 12 Inch ) Leave outside of door don’t ring bell and no call   FF Sachet + Grass</v>
          </cell>
          <cell r="P40" t="str">
            <v>Sunflower ( 12 Inch ) 4 Leave Outside of door-- Don’t Call and Don’t Ring Bell    FF Sachet + Grass</v>
          </cell>
          <cell r="Q40" t="str">
            <v>Pur n P Eustoma ( 12 Inch ) 4 Leave Outside of door -- Don’t call n don’t ring bell    FF Sachet + Grass</v>
          </cell>
          <cell r="R40" t="str">
            <v>Pur n P Car ( 14 Inch ) 15 Keep Flowers at door-- Don’t call or don’t ring Bell    FF Sachet + Grass</v>
          </cell>
          <cell r="S40" t="str">
            <v>B Daisy ( 12 Inch ) 15    Collect Payment Grass</v>
          </cell>
          <cell r="T40" t="str">
            <v>Sunflower ( 12 Inch ) 3 Keep Flowers at Door -- Don’t call or Ring the bell    FF Sachet + Grass</v>
          </cell>
        </row>
        <row r="41">
          <cell r="A41" t="str">
            <v>G-00015</v>
          </cell>
          <cell r="B41" t="str">
            <v>Harsh  - Unikon</v>
          </cell>
          <cell r="C41">
            <v>9015463811</v>
          </cell>
          <cell r="D41" t="str">
            <v>AR-903B, 3rd Floor, Aralias</v>
          </cell>
          <cell r="E41" t="str">
            <v>Golf Course Road</v>
          </cell>
          <cell r="F41" t="str">
            <v>Thursday</v>
          </cell>
          <cell r="G41" t="str">
            <v>4 Pm to 7 PM</v>
          </cell>
          <cell r="H41">
            <v>2750</v>
          </cell>
          <cell r="I41">
            <v>687.5</v>
          </cell>
          <cell r="J41" t="str">
            <v>Elation</v>
          </cell>
          <cell r="K41" t="str">
            <v>From Deep Bajaj // Message = Your boyfriend:p (05/11) Paytm from Simran Dhawan (04/03) Send 1 delivery tomorrow (17/03) Skip 1 week (10/04) Add change request from Jasjit -- 9560611229</v>
          </cell>
          <cell r="M41" t="str">
            <v>One time Single n One Time Mixed</v>
          </cell>
          <cell r="N41" t="str">
            <v>2  del of this cycle   -  0-cycles pmnt   In Process - Collect 0</v>
          </cell>
          <cell r="O41" t="str">
            <v>Sunflower ( 12 Inch ) 4 Mix Alstroemeria ( 12 Inch ) 16   2 Gypsola + FF Sachet</v>
          </cell>
          <cell r="P41" t="str">
            <v>Pur n P Eustoma ( 12 Inch ) 4 P n W Glad ( 14 Inch ) 16   2 Limonium + FF Sachet</v>
          </cell>
          <cell r="Q41" t="str">
            <v>P n W Spray Daisy ( 14 Inch ) 5 Pur n P Car ( 14 Inch ) 16   2 Gypsola + FF Sachet</v>
          </cell>
          <cell r="R41" t="str">
            <v>P Asiatic ( 14 Inch ) 3 B Daisy ( 12 Inch ) 16   2 Limonium</v>
          </cell>
          <cell r="S41" t="str">
            <v xml:space="preserve">Eustoma 4 Rajni ( 14 Inch ) 16   2 Gypsola + FF Sachet </v>
          </cell>
          <cell r="T41" t="str">
            <v>Sunflower ( 12 Inch ) 4 B Daisy ( 12 Inch ) 16   2 Limonium + FF Sachet</v>
          </cell>
        </row>
        <row r="42">
          <cell r="A42">
            <v>3241</v>
          </cell>
          <cell r="B42" t="str">
            <v>Sunanda</v>
          </cell>
          <cell r="C42">
            <v>8800994226</v>
          </cell>
          <cell r="D42" t="str">
            <v>C-084, The Icon</v>
          </cell>
          <cell r="E42" t="str">
            <v>DLF Phase 5</v>
          </cell>
          <cell r="F42" t="str">
            <v>Thursday</v>
          </cell>
          <cell r="G42" t="str">
            <v>9 AM - 12 PM</v>
          </cell>
          <cell r="H42">
            <v>1450</v>
          </cell>
          <cell r="I42">
            <v>362.5</v>
          </cell>
          <cell r="J42" t="str">
            <v>Bliss</v>
          </cell>
          <cell r="K42" t="str">
            <v>One Kind // Skip 1 week (13/01) HDTNP (26/02) HDTNP (04/03) HDTNP (12/03)</v>
          </cell>
          <cell r="M42" t="str">
            <v>One Kind</v>
          </cell>
          <cell r="N42" t="str">
            <v>3  del of this cycle   -  0-cycles pmnt   Completed - Collect 0</v>
          </cell>
          <cell r="O42" t="str">
            <v>P n W Glad ( 14 Inch ) 16     Grass</v>
          </cell>
          <cell r="P42" t="str">
            <v>Pur Eustoma ( 12 Inch ) 3     FF Sachet + Grass</v>
          </cell>
          <cell r="Q42" t="str">
            <v>Pur n P Car ( 14 inch ) 16     FF Sachet + Grass</v>
          </cell>
          <cell r="R42" t="str">
            <v>O Asiatic ( 14 Inch ) 3     Grass</v>
          </cell>
          <cell r="S42" t="str">
            <v>Sunflower ( 12 Inch ) 4    Collect Payment FF Sachet + Grass</v>
          </cell>
          <cell r="T42" t="str">
            <v>Rajni ( 14 Inch ) 16     Grass</v>
          </cell>
        </row>
        <row r="43">
          <cell r="A43">
            <v>2076</v>
          </cell>
          <cell r="B43" t="str">
            <v>Divya Jain Midas</v>
          </cell>
          <cell r="C43">
            <v>9910172233</v>
          </cell>
          <cell r="D43" t="str">
            <v>Midas Touch, 1st Floor, A Block, Nirvana Courtyard</v>
          </cell>
          <cell r="E43" t="str">
            <v>Nirvana Country</v>
          </cell>
          <cell r="F43" t="str">
            <v>Thursday</v>
          </cell>
          <cell r="G43" t="str">
            <v>9 AM - 12 PM</v>
          </cell>
          <cell r="H43">
            <v>1450</v>
          </cell>
          <cell r="I43">
            <v>362.5</v>
          </cell>
          <cell r="J43" t="str">
            <v>Bliss</v>
          </cell>
          <cell r="K43" t="str">
            <v>Sent replacement today (01/06) Send 1 Vase with next delivery (10/10) Send 1 Rassee Vase and Flowers tom (29/11) Sent 1 vase today (30/1) 1500 cash and 100 via paytm (07/01) One deliv sent today (26/02) Sent one del today (10/06) sent one del today (21/07) GMom Quiz Voucher Added (07/08) 1 Vase sent today (11/11) Send one del tom and with either rose or Car (02/12) Sent one del today (28/04)</v>
          </cell>
          <cell r="N43" t="str">
            <v>3  del of this cycle   -  0-cycles pmnt   CompletedNO COLLECTION-we have extra money - Collect -50</v>
          </cell>
          <cell r="O43" t="str">
            <v>P n W Glad ( 14 Inch ) 16     Grass</v>
          </cell>
          <cell r="P43" t="str">
            <v>P n Y Spray Daisy ( 14 Inch ) 5     FF Sachet + Grass</v>
          </cell>
          <cell r="Q43" t="str">
            <v>Sunflower ( 12 Inch ) 4     FF Sachet + Grass</v>
          </cell>
          <cell r="R43" t="str">
            <v>Pur Eustoma ( 12 Inch ) 3     FF Sachet + Grass</v>
          </cell>
          <cell r="S43" t="str">
            <v>O Asiatic ( 14 Inch ) 3     Grass</v>
          </cell>
          <cell r="T43" t="str">
            <v>Rajni ( 14 Inch ) 16     Grass</v>
          </cell>
        </row>
        <row r="44">
          <cell r="A44">
            <v>2779</v>
          </cell>
          <cell r="B44" t="str">
            <v>Riddhi Desai</v>
          </cell>
          <cell r="C44">
            <v>8130497969</v>
          </cell>
          <cell r="D44" t="str">
            <v>D-71, The Icon</v>
          </cell>
          <cell r="E44" t="str">
            <v>Golf Course Road</v>
          </cell>
          <cell r="F44" t="str">
            <v>Sunday</v>
          </cell>
          <cell r="G44" t="str">
            <v>9 AM to 2 PM</v>
          </cell>
          <cell r="H44">
            <v>1600</v>
          </cell>
          <cell r="I44">
            <v>200</v>
          </cell>
          <cell r="J44" t="str">
            <v>Bloom</v>
          </cell>
          <cell r="K44" t="str">
            <v>Send this week on Saturday (14/08) Skip 1 week (21/12) Hold till 2nd June (20/05)</v>
          </cell>
          <cell r="N44" t="str">
            <v>8  del of this cycle   -  0-cycles pmnt   Completed - Collect 0</v>
          </cell>
          <cell r="O44" t="str">
            <v>P n W Car ( 14 Inch ) 7     FF Sachet + Grass</v>
          </cell>
          <cell r="P44" t="str">
            <v>Y Spray Daisy ( 14 Inch ) 2     Grass</v>
          </cell>
          <cell r="Q44" t="str">
            <v>Sunflower ( 12 Inch ) 2     FF Sachet + Grass</v>
          </cell>
          <cell r="R44" t="str">
            <v>Rajni ( 14 Inch ) 7     Grass</v>
          </cell>
          <cell r="S44" t="str">
            <v>Pur n P Car ( 14 Inch ) 7     FF Sachet + Grass</v>
          </cell>
          <cell r="T44" t="str">
            <v>P Spray Daisy ( 14 Inch ) 2     FF Sachet + Grass</v>
          </cell>
        </row>
        <row r="45">
          <cell r="A45">
            <v>326</v>
          </cell>
          <cell r="B45" t="str">
            <v>Radhika Surana-- Before 10</v>
          </cell>
          <cell r="C45">
            <v>9871132800</v>
          </cell>
          <cell r="D45" t="str">
            <v>1204, The Magnolias</v>
          </cell>
          <cell r="E45" t="str">
            <v>Golf Course Road</v>
          </cell>
          <cell r="F45" t="str">
            <v>Thursday</v>
          </cell>
          <cell r="G45" t="str">
            <v>9 AM - 12 PM</v>
          </cell>
          <cell r="H45">
            <v>2750</v>
          </cell>
          <cell r="I45">
            <v>687.5</v>
          </cell>
          <cell r="J45" t="str">
            <v>Elation</v>
          </cell>
          <cell r="K45" t="str">
            <v>NO ORCHIDS, Prefer Lilies,Rajni and Gerbera(04/10) 1 week(22/04) Paytm from Anurag Surana(06/06) Paytm from Anurag Surana(02/07)  NO Orchid n BOP (25/01)  Skip 1 week (28/06) Hold 3rd aug and send on 7th Aug (03/08) Today returned (07/08) Skip this thursday and send on Monday (15/08) After 2nd Oct now (27/09) Skip 1 week (21/10) Hold n send after 8th Jan (13/12) Skip 1 week (30/01) Skip tom n sned on 19th (13/03) Skip 23rd and 30th (16/05) Skip 2 weeks and send mext del on 22nd June (12/06) Skip this week n start from tuesday (24/07) Skip 1 week (20/08) Skip 1 week (03/09) Skip 7th n 14th (06/11) Skip 5th Dec Del (02/12) skip 2 week (21/12) Today Returned (23/01) Skip 1 week and send on sunday (22/02) Skip tom and send on monday (05/03) Skip 1 week (19/03) Skip 2 weeks (05/04) Skip 2 weeks (31/05) Skip 1 week (19/08)  No Del on 18th, 25th and 2nd Oct (14/09) Returned today (09/10) Send this week on sunday and then thursday (05/11) Hold today n next weeks (27/11) Skip 1 week (25/12) Skip 1 week (30/03) Skip 4th n 11th June (28/05)</v>
          </cell>
          <cell r="L45" t="str">
            <v>BOP n ORCHID</v>
          </cell>
          <cell r="N45" t="str">
            <v>2  del of this cycle   -  1-cycles pmnt   Pending - Collect 2750</v>
          </cell>
          <cell r="O45" t="e">
            <v>#N/A</v>
          </cell>
          <cell r="P45" t="e">
            <v>#N/A</v>
          </cell>
          <cell r="Q45" t="str">
            <v>Pur n P Car ( 14 inch ) 32     2 Gypsola + FF Sachet</v>
          </cell>
          <cell r="R45" t="str">
            <v>P n W Glad ( 14 Inch ) 32     2 Limonium</v>
          </cell>
          <cell r="S45" t="str">
            <v>Pur n P Car ( 14 Inch ) 32     2 Gypsola</v>
          </cell>
          <cell r="T45" t="str">
            <v>P Asiatic ( 14 Inch ) 6  Gate Pass Wahab Ke Pass Hai Collect Payment Collect Payment 2 Limonium</v>
          </cell>
        </row>
        <row r="46">
          <cell r="A46">
            <v>2774</v>
          </cell>
          <cell r="B46" t="str">
            <v>Vandana Thakran</v>
          </cell>
          <cell r="C46">
            <v>9899589964</v>
          </cell>
          <cell r="D46" t="str">
            <v>H. No. 35, Cedar Crest</v>
          </cell>
          <cell r="E46" t="str">
            <v>Nirvana Country</v>
          </cell>
          <cell r="F46" t="str">
            <v>Sunday</v>
          </cell>
          <cell r="G46" t="str">
            <v>9 AM - 12 PM</v>
          </cell>
          <cell r="H46">
            <v>1600</v>
          </cell>
          <cell r="I46">
            <v>200</v>
          </cell>
          <cell r="J46" t="str">
            <v>Bloom</v>
          </cell>
          <cell r="N46" t="str">
            <v>4  del of this cycle   -  0-cycles pmnt   Completed - Collect 0</v>
          </cell>
          <cell r="O46" t="str">
            <v>P Spray Daisy ( 14 Inch ) 2     FF Sachet + Grass</v>
          </cell>
          <cell r="P46" t="str">
            <v>Sunflower ( 12 Inch ) 2     FF Sachet + Grass</v>
          </cell>
          <cell r="Q46" t="str">
            <v>Pur n P Car ( 14 inch ) 7     FF Sachet + Grass</v>
          </cell>
          <cell r="R46" t="str">
            <v>P n W Glad ( 14 Inch ) 7     Grass</v>
          </cell>
          <cell r="S46" t="str">
            <v>Rajni ( 14 Inch ) 7     Grass</v>
          </cell>
          <cell r="T46" t="str">
            <v>P n W Car ( 14 Inch ) 7     FF Sachet + Grass</v>
          </cell>
        </row>
        <row r="47">
          <cell r="A47">
            <v>884</v>
          </cell>
          <cell r="B47" t="str">
            <v>Bhavna Taneja</v>
          </cell>
          <cell r="C47">
            <v>9811192021</v>
          </cell>
          <cell r="D47" t="str">
            <v>F-214, DLF The Crest,Sec-54</v>
          </cell>
          <cell r="E47" t="str">
            <v>Golf Course Road</v>
          </cell>
          <cell r="F47" t="str">
            <v>Thursday</v>
          </cell>
          <cell r="G47" t="str">
            <v>9:30 AM to 2 PM</v>
          </cell>
          <cell r="H47">
            <v>1450</v>
          </cell>
          <cell r="I47">
            <v>362.5</v>
          </cell>
          <cell r="J47" t="str">
            <v>Bliss</v>
          </cell>
          <cell r="K47" t="str">
            <v>Send 2 Stick exytra next(14/09) Send lilies next(27/09) Send Tom instead of Sat and send Lilies(22/10) Send del tom with Orchids(30/10) Send 2 Asiatic on Friday instead of satirday(21/11) Google Pay from Harsh Taneja(08/02) Send on 20th and don’t send on 22nd(15/02) Hold n start from 7th Mar (20/02) TRY FOR WEDNESDAY(19/05/20) Send next del on friday with 2 extra Asiatic lily for 200Rs.(27/05/2020) Sending 30th Del on 29th May(28/05/2020) UPI From Harsh Vir Taneja(05/06/2020) Upgrade to 850 (30/07/20) Send Tom instead of 30th Oct)(27/10) Sending tom due to Diwali(11/11) Change to Bloom Pack(08/04) Next del on Monday (23/12) Send Lilies Next (24/12) Dont send on thursday -- send on Monday (04/01) NO BOP n GULDAWARI (29/01) Skip this monday and send on tuesday this week (16/05) Skip this wek and send on Thursday (26/08) Skip next thursday and sned on sunday (22/03) Skip 2 wek (02/06) Skip tom n send on sunday (26/06) No GERBERA (01/08) 1000 cash and 250 via paytm (21/11) Send on tuesday this week (22/12) Paytm from Harshveer Taneja (16/05) Payment REceived on 08th May also via Cash(18/05) skip 1 week (31/05) Skip 1 week (20/12) Start from 25th June (12/06)</v>
          </cell>
          <cell r="L47" t="str">
            <v>GULDAWARI n BOP n GERBERA</v>
          </cell>
          <cell r="M47" t="str">
            <v>Mixed Now</v>
          </cell>
          <cell r="N47" t="str">
            <v>3  del of this cycle   -  0-cycles pmnt   CompletedNO COLLECTION-we have extra money - Collect -50</v>
          </cell>
          <cell r="O47" t="str">
            <v>P n W Spray Daisy ( 14 Inch ) 5     FF Sachet + Grass</v>
          </cell>
          <cell r="P47" t="str">
            <v>P n W Glad ( 14 Inch ) 16     Grass</v>
          </cell>
          <cell r="Q47" t="e">
            <v>#N/A</v>
          </cell>
          <cell r="R47" t="str">
            <v>Pur n P Car ( 14 Inch ) 16     FF Sachet + Grass</v>
          </cell>
          <cell r="S47" t="str">
            <v>Sunflower ( 12 Inch ) 4    Collect Payment FF Sachet + Grass</v>
          </cell>
          <cell r="T47" t="str">
            <v>Rajni ( 14 Inch ) 16     Grass</v>
          </cell>
        </row>
        <row r="48">
          <cell r="A48">
            <v>1438</v>
          </cell>
          <cell r="B48" t="str">
            <v>Aishwarya G Aiyar</v>
          </cell>
          <cell r="C48">
            <v>9884857311</v>
          </cell>
          <cell r="D48" t="str">
            <v>A-173, The Pinnacle</v>
          </cell>
          <cell r="E48" t="str">
            <v>DLF Phase 5</v>
          </cell>
          <cell r="F48" t="str">
            <v>Thursday</v>
          </cell>
          <cell r="G48" t="str">
            <v>9 AM - 12 PM</v>
          </cell>
          <cell r="H48">
            <v>1600</v>
          </cell>
          <cell r="I48">
            <v>200</v>
          </cell>
          <cell r="J48" t="str">
            <v>Bloom</v>
          </cell>
          <cell r="K48"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48" t="str">
            <v>3  del of this cycle   -  1-cycles pmnt   Pending - Collect 1600</v>
          </cell>
          <cell r="O48" t="str">
            <v>Mix Alstroemeria ( 12 Inch ) 7     FF Sachet + Grass</v>
          </cell>
          <cell r="P48" t="str">
            <v>P n W Glad ( 14 Inch ) 7     Grass</v>
          </cell>
          <cell r="Q48" t="e">
            <v>#N/A</v>
          </cell>
          <cell r="R48" t="str">
            <v>P n W Car ( 14 inch ) 7     FF Sachet + Grass</v>
          </cell>
          <cell r="S48" t="str">
            <v>P n W Glad ( 14 Inch ) 7     Grass</v>
          </cell>
          <cell r="T48" t="str">
            <v>Rajni ( 14 Inch ) 7   Collect Payment Collect Payment Grass</v>
          </cell>
        </row>
        <row r="49">
          <cell r="A49">
            <v>2246</v>
          </cell>
          <cell r="B49" t="str">
            <v>Amita Gupta</v>
          </cell>
          <cell r="C49">
            <v>9811985450</v>
          </cell>
          <cell r="D49" t="str">
            <v>146, Cedar Crest</v>
          </cell>
          <cell r="E49" t="str">
            <v>Nirvana Country</v>
          </cell>
          <cell r="F49" t="str">
            <v>Thursday</v>
          </cell>
          <cell r="G49" t="str">
            <v>9 AM - 12 PM</v>
          </cell>
          <cell r="H49">
            <v>1600</v>
          </cell>
          <cell r="I49">
            <v>200</v>
          </cell>
          <cell r="J49" t="str">
            <v>Bloom</v>
          </cell>
          <cell r="K49" t="str">
            <v>Return today (03/10) Change to bliss (23/10) No Orchid (24/10) Send a vase tom (20/08) Upgrade to bliss (17/12)</v>
          </cell>
          <cell r="L49" t="str">
            <v>Orchid</v>
          </cell>
          <cell r="M49" t="str">
            <v>1 Vase Tom (20/08)</v>
          </cell>
          <cell r="N49" t="str">
            <v>3  del of this cycle   -   0 -cycles pmnt  Completed - Collect 0</v>
          </cell>
          <cell r="O49" t="str">
            <v>Mix Alstroemeria ( 12 Inch ) 7     FF Sachet + Grass</v>
          </cell>
          <cell r="P49" t="str">
            <v>Pur n P Car ( 14 inch ) 7     FF Sachet + Grass</v>
          </cell>
          <cell r="Q49" t="str">
            <v>Sunflower ( 12 Inch ) 2     FF Sachet + Grass</v>
          </cell>
          <cell r="R49" t="str">
            <v>P n W Glad ( 14 Inch ) 7     Grass</v>
          </cell>
          <cell r="S49" t="str">
            <v>P n W Car ( 14 Inch ) 7     FF Sachet + Grass</v>
          </cell>
          <cell r="T49" t="str">
            <v>Sunflower ( 12 Inch ) 2     FF Sachet + Grass</v>
          </cell>
        </row>
        <row r="50">
          <cell r="A50">
            <v>1898</v>
          </cell>
          <cell r="B50" t="str">
            <v>Shipra</v>
          </cell>
          <cell r="C50">
            <v>8447778677</v>
          </cell>
          <cell r="D50" t="str">
            <v xml:space="preserve">C-94 Trinity </v>
          </cell>
          <cell r="E50" t="str">
            <v>DLF Phase 5</v>
          </cell>
          <cell r="F50" t="str">
            <v>Saturday</v>
          </cell>
          <cell r="G50" t="str">
            <v>4 Pm to 7 PM</v>
          </cell>
          <cell r="H50">
            <v>1600</v>
          </cell>
          <cell r="I50">
            <v>200</v>
          </cell>
          <cell r="J50" t="str">
            <v>Bloom</v>
          </cell>
          <cell r="K50"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v>
          </cell>
          <cell r="N50" t="str">
            <v>2  del of this cycle   -  1-cycles pmnt   Pending - Collect 1600</v>
          </cell>
          <cell r="O50" t="str">
            <v>Mix Alstroemeria ( 12 Inch ) 7     FF Sachet + Grass</v>
          </cell>
          <cell r="P50" t="str">
            <v>Rajni ( 14 Inch ) 7     Grass</v>
          </cell>
          <cell r="Q50" t="e">
            <v>#N/A</v>
          </cell>
          <cell r="R50" t="str">
            <v>Sunflower ( 12 Inch) 2     FF Sachet + Grass</v>
          </cell>
          <cell r="S50" t="str">
            <v>Rajni ( 14 Inch ) 7     Grass</v>
          </cell>
          <cell r="T50" t="str">
            <v>Sunflower ( 12 Inch ) 2   Collect Payment Collect Payment Grass</v>
          </cell>
        </row>
        <row r="51">
          <cell r="A51">
            <v>3326</v>
          </cell>
          <cell r="B51" t="str">
            <v>Ms. Rani</v>
          </cell>
          <cell r="C51">
            <v>9313104941</v>
          </cell>
          <cell r="D51" t="str">
            <v>J-151, Park Place</v>
          </cell>
          <cell r="E51" t="str">
            <v>DLF Phase 5</v>
          </cell>
          <cell r="F51" t="str">
            <v>Thursday</v>
          </cell>
          <cell r="G51" t="str">
            <v>9 AM to 2 PM</v>
          </cell>
          <cell r="H51">
            <v>1450</v>
          </cell>
          <cell r="I51">
            <v>362.5</v>
          </cell>
          <cell r="J51" t="str">
            <v>Bliss</v>
          </cell>
          <cell r="K51" t="str">
            <v>Start From July (06/06)</v>
          </cell>
          <cell r="N51" t="str">
            <v>2  del of this cycle   -  1-cycles pmnt   Pending - Collect 1450</v>
          </cell>
          <cell r="O51" t="str">
            <v>P n Y Spray Dausy ( 14 Inch ) 5     FF Sachet + Grass</v>
          </cell>
          <cell r="P51" t="e">
            <v>#N/A</v>
          </cell>
          <cell r="Q51" t="e">
            <v>#N/A</v>
          </cell>
          <cell r="R51" t="e">
            <v>#N/A</v>
          </cell>
          <cell r="S51" t="str">
            <v>Pur n P Car ( 14 Inch ) 16     FF Sachet + Grass</v>
          </cell>
          <cell r="T51" t="str">
            <v>W Asiatic ( 14 Inch ) 3   Collect Payment Collect Payment Grass</v>
          </cell>
        </row>
        <row r="52">
          <cell r="A52">
            <v>870</v>
          </cell>
          <cell r="B52" t="str">
            <v>Himabindu Kanchan</v>
          </cell>
          <cell r="C52">
            <v>9892501292</v>
          </cell>
          <cell r="D52" t="str">
            <v xml:space="preserve">D -13, Pinnacle Dlf Phase - 5 </v>
          </cell>
          <cell r="E52" t="str">
            <v>DLF Phase 5</v>
          </cell>
          <cell r="F52" t="str">
            <v>Thursday</v>
          </cell>
          <cell r="G52" t="str">
            <v>9 AM - 12 PM</v>
          </cell>
          <cell r="H52">
            <v>1600</v>
          </cell>
          <cell r="I52">
            <v>200</v>
          </cell>
          <cell r="J52" t="str">
            <v>Bloom</v>
          </cell>
          <cell r="K52"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52" t="str">
            <v>6  del of this cycle   -  0-cycles pmnt   Completed - Collect 0</v>
          </cell>
          <cell r="O52" t="str">
            <v>P n W Glad ( 14 Inch ) 7     Grass</v>
          </cell>
          <cell r="P52" t="str">
            <v>Pur n P Car ( 14 inch ) 7     FF Sachet + Grass</v>
          </cell>
          <cell r="Q52" t="str">
            <v>Sunflower ( 12 Inch ) 2     FF Sachet + Grass</v>
          </cell>
          <cell r="R52" t="str">
            <v>Rajni ( 14 Inch ) 7     Grass</v>
          </cell>
          <cell r="S52" t="str">
            <v>P n W Car ( 14 Inch ) 7     FF Sachet + Grass</v>
          </cell>
          <cell r="T52" t="str">
            <v>Y Spray Daisy ( 14 Inch ) 2     FF Sachet + Grass</v>
          </cell>
        </row>
        <row r="53">
          <cell r="A53">
            <v>571</v>
          </cell>
          <cell r="B53" t="str">
            <v>Mrs. Singh</v>
          </cell>
          <cell r="C53">
            <v>9873099320</v>
          </cell>
          <cell r="D53" t="str">
            <v>D 42, pinnacle, Dlf ph 5, Golf course road</v>
          </cell>
          <cell r="E53" t="str">
            <v>DLF Phase 5</v>
          </cell>
          <cell r="F53" t="str">
            <v>Thursday</v>
          </cell>
          <cell r="G53" t="str">
            <v>9 AM - 12 PM</v>
          </cell>
          <cell r="H53">
            <v>1600</v>
          </cell>
          <cell r="I53">
            <v>200</v>
          </cell>
          <cell r="J53" t="str">
            <v>Bloom</v>
          </cell>
          <cell r="K53"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53" t="str">
            <v>8  del of this cycle   -  0-cycles pmnt   Completed - Collect 0</v>
          </cell>
          <cell r="O53" t="str">
            <v>Mix Alstroemeria ( 12 Inch ) 7     FF Sachet + Grass</v>
          </cell>
          <cell r="P53" t="str">
            <v>Pur n P Car ( 14 inch ) 7     FF Sachet + Grass</v>
          </cell>
          <cell r="Q53" t="str">
            <v>Sunflower ( 12 Inch ) 2     FF Sachet + Grass</v>
          </cell>
          <cell r="R53" t="str">
            <v>P n W Glad ( 14 Inch ) 7     Grass</v>
          </cell>
          <cell r="S53" t="str">
            <v>P n W Car ( 14 Inch ) 7     FF Sachet + Grass</v>
          </cell>
          <cell r="T53" t="str">
            <v>O Asiatic ( ( 14 inch ) 2     Grass</v>
          </cell>
        </row>
        <row r="54">
          <cell r="A54">
            <v>58</v>
          </cell>
          <cell r="B54" t="str">
            <v>Ms. Anupma Chandna</v>
          </cell>
          <cell r="C54">
            <v>8130077970</v>
          </cell>
          <cell r="D54" t="str">
            <v>32, aspen greens, nirvana</v>
          </cell>
          <cell r="E54" t="str">
            <v>Nirvana Country</v>
          </cell>
          <cell r="F54" t="str">
            <v>Thursday</v>
          </cell>
          <cell r="G54" t="str">
            <v>9 AM - 12 PM</v>
          </cell>
          <cell r="H54">
            <v>1950</v>
          </cell>
          <cell r="I54">
            <v>487.5</v>
          </cell>
          <cell r="J54" t="str">
            <v>Joy</v>
          </cell>
          <cell r="K54" t="str">
            <v>No Rose // Hold n start from 04th Dec (03/11) No Greens</v>
          </cell>
          <cell r="L54" t="str">
            <v>Rose</v>
          </cell>
          <cell r="M54" t="str">
            <v>No Greens</v>
          </cell>
          <cell r="N54" t="str">
            <v>1  del of this cycle   -  1-cycles pmnt   Pending - Collect 1950</v>
          </cell>
          <cell r="O54" t="str">
            <v>W Asiatic ( 14 Inch ) 2 Mix Alstroemeria ( 12 Inch ) 11   Grass</v>
          </cell>
          <cell r="P54" t="str">
            <v>Pur Eustoma ( 12 Inch ) 3 P n W Glad ( 14 Inch ) 11   FF Sachet + Grass</v>
          </cell>
          <cell r="Q54" t="str">
            <v>Sunflower ( 12 Inch ) 3 Pur n P Car ( 14 Inch ) 11   FF Sachet + Grass</v>
          </cell>
          <cell r="R54" t="str">
            <v>P Asiatic ( 14 Inch ) 2 B Daisy ( 12 Inch ) 11   Grass</v>
          </cell>
          <cell r="S54" t="str">
            <v>P n Y Spray Daisy ( 14 Inch ) 5 Rajni ( 14 Inch ) 16   FF Sachet + Grass</v>
          </cell>
          <cell r="T54" t="str">
            <v>BOP ( 15 Inch ) 2 Mix Alstroemeria ( 12 Inch ) 11   FF Sachet + Grass</v>
          </cell>
        </row>
        <row r="55">
          <cell r="A55">
            <v>3393</v>
          </cell>
          <cell r="B55" t="str">
            <v>Runul Vashishtha</v>
          </cell>
          <cell r="C55">
            <v>9871812384</v>
          </cell>
          <cell r="D55" t="str">
            <v>C-84, DLF Park Place, Park Drive, GCR</v>
          </cell>
          <cell r="E55" t="str">
            <v>Golf Course Road</v>
          </cell>
          <cell r="F55" t="str">
            <v>Thursday</v>
          </cell>
          <cell r="G55" t="str">
            <v>9 AM to 2 PM</v>
          </cell>
          <cell r="H55">
            <v>1450</v>
          </cell>
          <cell r="I55">
            <v>362.5</v>
          </cell>
          <cell r="J55" t="str">
            <v>Bliss</v>
          </cell>
          <cell r="N55" t="str">
            <v>2  del of this cycle   -  0-cycles pmnt   Completed - Collect 0</v>
          </cell>
          <cell r="O55" t="e">
            <v>#N/A</v>
          </cell>
          <cell r="P55" t="e">
            <v>#N/A</v>
          </cell>
          <cell r="Q55" t="e">
            <v>#N/A</v>
          </cell>
          <cell r="R55" t="e">
            <v>#N/A</v>
          </cell>
          <cell r="S55" t="str">
            <v>Pur n P Car ( 14 Inch ) 16     FF Sachet + Grass</v>
          </cell>
          <cell r="T55" t="str">
            <v>P Asiatic ( 14 Inch ) 3     Grass</v>
          </cell>
        </row>
        <row r="56">
          <cell r="A56">
            <v>3063</v>
          </cell>
          <cell r="B56" t="str">
            <v>Shinjini Mehrotra</v>
          </cell>
          <cell r="C56">
            <v>9810198315</v>
          </cell>
          <cell r="D56" t="str">
            <v>F-109, 2nd Floor, Suncity</v>
          </cell>
          <cell r="E56" t="str">
            <v>Golf Course Road</v>
          </cell>
          <cell r="F56" t="str">
            <v>Thursday</v>
          </cell>
          <cell r="G56" t="str">
            <v>9 AM - 12 PM</v>
          </cell>
          <cell r="H56">
            <v>1450</v>
          </cell>
          <cell r="I56">
            <v>362.5</v>
          </cell>
          <cell r="J56" t="str">
            <v>Bliss</v>
          </cell>
          <cell r="K56" t="str">
            <v>Hold 4 Weeks (04/12) Skip 1 week (14/02) Skip 2 week (28/02) Skip 1 week  (01/04) Hold till 29th Apr (06/04)</v>
          </cell>
          <cell r="N56" t="str">
            <v>1  del of this cycle   -  1-cycles pmnt   Pending - Collect 1400</v>
          </cell>
          <cell r="O56" t="str">
            <v>R n W Car ( 14 inch ) 16     FF Sachet + Grass</v>
          </cell>
          <cell r="P56" t="str">
            <v>Pur Eustoma ( 12 Inch ) 3     FF Sachet + Grass</v>
          </cell>
          <cell r="Q56" t="str">
            <v>Sunflower ( 12 Inch ) 4     FF Sachet + Grass</v>
          </cell>
          <cell r="R56" t="str">
            <v>P n W Glad ( 14 Inch ) 16     Grass</v>
          </cell>
          <cell r="S56" t="str">
            <v>P Asiatic ( 14 Inch ) 3     Grass</v>
          </cell>
          <cell r="T56" t="str">
            <v>Rajni ( 14 Inch ) 16     Grass</v>
          </cell>
        </row>
        <row r="57">
          <cell r="A57">
            <v>826</v>
          </cell>
          <cell r="B57" t="str">
            <v>Anuradha M Agarwal</v>
          </cell>
          <cell r="C57">
            <v>9811201606</v>
          </cell>
          <cell r="D57" t="str">
            <v>A-82, Westend Heights</v>
          </cell>
          <cell r="E57" t="str">
            <v>DLF Phase 5</v>
          </cell>
          <cell r="F57" t="str">
            <v>Thursday</v>
          </cell>
          <cell r="G57" t="str">
            <v>9 AM to 2 PM</v>
          </cell>
          <cell r="H57">
            <v>999</v>
          </cell>
          <cell r="I57">
            <v>249.75</v>
          </cell>
          <cell r="J57" t="str">
            <v>Delight</v>
          </cell>
          <cell r="K57" t="str">
            <v>Sending on 20th instaed of 21st,bcoz of Holi(18/03) This Cycle flowers -- Lilies / Orchids / Carnations/Gladioli(07/04) Orchid Next(25/04) Skip 2 week(11/06) Send on Friday this week(12/08) NO ORCHID, today returned-send glad tom(22/08)ASIATIC AND  ORCHID ONCE A CYCLE WITHOUT PLASTIC CAP(22/12) Returned-send Tom(16/01) Day chenged to saturday n ORCHID NEXT(18/01) Do not consider this week del and AVOID YELLOW COLOR FOR SOME WEEK, Send Orchid Next(23/02) Orchid next (27/05) Orchid next (09/06) Hold after current cycle (09/06) Return today (10/10) Skip 1 week (25/10) Skip this thursday (16/02) Skip 1 week (23/03) Today Returned and skip next week Laos (14/08) Skip 2 week (11/10) Skip 2 week (21/12)</v>
          </cell>
          <cell r="N57" t="str">
            <v>4  del of this cycle   -  0-cycles pmnt   Completed - Collect 0</v>
          </cell>
          <cell r="O57" t="str">
            <v>P Spray Daisy ( 14 Inch ) 3     FF Sachet + Grass</v>
          </cell>
          <cell r="P57" t="str">
            <v>P n W Glad ( 14 Inch ) 9     Gras</v>
          </cell>
          <cell r="Q57" t="str">
            <v>O Asiatic ( 14 Inch ) 3     Grass</v>
          </cell>
          <cell r="R57" t="str">
            <v>B Daisy ( 12 Inch ) 9     Grass</v>
          </cell>
          <cell r="S57" t="str">
            <v>P n W Car ( 14 Inch ) 9     FF Sachet + Grass</v>
          </cell>
          <cell r="T57" t="str">
            <v>Rajni ( 14 Inch ) 9     Grass</v>
          </cell>
        </row>
        <row r="58">
          <cell r="A58">
            <v>921</v>
          </cell>
          <cell r="B58" t="str">
            <v>Anumeha</v>
          </cell>
          <cell r="C58" t="str">
            <v>9899901949// 9953511987</v>
          </cell>
          <cell r="D58" t="str">
            <v>T-04/1701, South Close</v>
          </cell>
          <cell r="E58" t="str">
            <v>Nirvana Country</v>
          </cell>
          <cell r="F58" t="str">
            <v>Thursday</v>
          </cell>
          <cell r="G58" t="str">
            <v>9 AM - 12 PM</v>
          </cell>
          <cell r="H58">
            <v>1450</v>
          </cell>
          <cell r="I58">
            <v>362.5</v>
          </cell>
          <cell r="J58" t="str">
            <v>Bliss</v>
          </cell>
          <cell r="K58" t="str">
            <v>Pls send Orchid 1st del(20/11)Send a replacement tom(25/11) Only Rajni,Asiatic and Roses(28/12) Lilies next(01/01) Lilies next(22/01) Lily Next(19/10) Send Replacement on Thursday(05/11) Lilies next-- Orange Or Yellow(17/11) Last Del Missed-Sending Tom(12/12) Returned-send from next week(16/12) Send Gerbera Tom(19/01) Daisy Next(01/02) Roses Tom(16/02) Received 50 today(02/03) Gerbera Next(08/03) Gerbera Tom(22/01) Lilies twice in cycle and Daisy/ Rajnigandha Only// Lily Next (01/02) O Asiatic Next(14/02) NO DAISY// NO SPRAY DAISY(06/03) Yel Gerbera Next(17/03) Spray Daisy with Purple in centre tom in evening slot(09/04) send on 3rd now(02/05) W n Yellow Gerbera Tom(02/03) Gpay from Lallan Singh(17/03) Recieved payment from Anumeha account today(07/04) Received Gpay from Joy Deep(28/04) Paytm From Joydeep Mukherjee(08/09) Hold for 3 weeks (19/12) Hold for 2 weeks (25/01) Skip 1 week (02/03) No rajni till oct (31/08) Send replacement tom (01/11) Skip tom (10/12) Skip 5th Del (28/02) Today Hold (28/05)</v>
          </cell>
          <cell r="M58" t="str">
            <v>No rajni till Oct (31/08)</v>
          </cell>
          <cell r="N58" t="str">
            <v>1  del of this cycle   -  1-cycles pmnt   Pending - Collect 1450</v>
          </cell>
          <cell r="O58" t="str">
            <v>P n W Glad ( 14 Inch ) 16     Grass</v>
          </cell>
          <cell r="P58" t="str">
            <v>P n W Spray Daisy ( 14 Inch ) 5     FF Sachet + Grass</v>
          </cell>
          <cell r="Q58" t="str">
            <v>Sunflower ( 12 Inch ) 4     FF Sachet + Grass</v>
          </cell>
          <cell r="R58" t="str">
            <v>Pur n P Car ( 14 Inch ) 16     FF Sachet + Grass</v>
          </cell>
          <cell r="S58" t="str">
            <v>O Asiatic ( 14 Inch ) 3     Grass</v>
          </cell>
          <cell r="T58" t="str">
            <v>P n Y Gerbera ( 12 Inch ) 16     FF Sachet + Grass</v>
          </cell>
        </row>
        <row r="59">
          <cell r="A59">
            <v>484</v>
          </cell>
          <cell r="B59" t="str">
            <v>Deepti Chhabra</v>
          </cell>
          <cell r="C59">
            <v>9811230451</v>
          </cell>
          <cell r="D59" t="str">
            <v>A-061, Westend Heights</v>
          </cell>
          <cell r="E59" t="str">
            <v>DLF Phase 5</v>
          </cell>
          <cell r="F59" t="str">
            <v>Thursday</v>
          </cell>
          <cell r="G59" t="str">
            <v>4 PM to 7PM</v>
          </cell>
          <cell r="H59">
            <v>1950</v>
          </cell>
          <cell r="I59">
            <v>487.5</v>
          </cell>
          <cell r="J59" t="str">
            <v>Joy</v>
          </cell>
          <cell r="K59" t="str">
            <v>Sat to Thursday//Hold n start from 23rd Nov(31/10) Add changed(01/02) Paytm from Vishal Chabra(22/02) Send Replacement(03/03) Skip this week(18/03) Skip next del(14/06) 1 stick extra next Del(12/07 FF Sold Today(19/07) Send rajni Tom(02/08) Send FF Next(13/09) Next Asiatic n 2 sticks extra(25/09) Rajni Next(05/12) Skip 1 week(20/12) Hold-send tom(14/02) Upgraded to 1250, send remaining 5 sticks tom(04/09) Skip1 week(05/11) Skip 1 week(18/11)  Hold today and skip 1 week(11/12) Skip 1 week(20/03) Sent replacement today(08/04) Skip 2 weeks(21/06) Skip 1 week (09/11) Skip 1 more week (16/11) NO ROSE (29/12) Send replacemet tom (08/04) Pink n green Spray Car Tom (03/05) Skip 2 weeks (01/06) Skip 1 week (23/10) Skip 1 week (15/11) Today hold (11/01) Skip 1 week (16/03) Skip 2 week (22/10) Paytm from Arti Lakra (17/01) Skip 1 week(12/04) Skip 1 week912/04) Yesterday Returned (24/10) Skip tom (07/01) Hold due to non payment (04/02) Skip 2 week (16/05) Hod n start from July (04/06)</v>
          </cell>
          <cell r="L59" t="str">
            <v>ROSE</v>
          </cell>
          <cell r="N59" t="str">
            <v>2  del of this cycle   -  1-cycles pmnt   Pending - Collect 1950</v>
          </cell>
          <cell r="O59" t="str">
            <v>P n Y Spray Dausy ( 14 Inch ) 7     FF Sachet + Grass</v>
          </cell>
          <cell r="P59" t="e">
            <v>#N/A</v>
          </cell>
          <cell r="Q59" t="e">
            <v>#N/A</v>
          </cell>
          <cell r="R59" t="e">
            <v>#N/A</v>
          </cell>
          <cell r="S59" t="str">
            <v>Pur n P Car ( 14 Inch ) 22     FF Sachet + Grass</v>
          </cell>
          <cell r="T59" t="str">
            <v>Rajni ( 14 Inch ) 22   Collect Payment Collect Payment Grass</v>
          </cell>
        </row>
        <row r="60">
          <cell r="A60">
            <v>2104</v>
          </cell>
          <cell r="B60" t="str">
            <v>Arun Gupta</v>
          </cell>
          <cell r="C60">
            <v>9999072697</v>
          </cell>
          <cell r="D60" t="str">
            <v>C-22m Arc Stationary</v>
          </cell>
          <cell r="E60" t="str">
            <v>Nirvana Country</v>
          </cell>
          <cell r="F60" t="str">
            <v>Thursday</v>
          </cell>
          <cell r="G60" t="str">
            <v>9 AM to 2 PM</v>
          </cell>
          <cell r="H60">
            <v>400</v>
          </cell>
          <cell r="I60">
            <v>100</v>
          </cell>
          <cell r="J60" t="str">
            <v>Customized</v>
          </cell>
          <cell r="K60" t="str">
            <v>4 Flowers at both Shop</v>
          </cell>
          <cell r="N60" t="str">
            <v>2  del of this cycle   -  0-cycles pmnt   In Process - Collect 0</v>
          </cell>
          <cell r="O60" t="str">
            <v>Broken Flowers  5 1 Shop    Grass</v>
          </cell>
          <cell r="P60" t="str">
            <v>Broken Flowers  5 1 Shop    Grass</v>
          </cell>
          <cell r="Q60" t="str">
            <v xml:space="preserve">      </v>
          </cell>
          <cell r="R60" t="str">
            <v xml:space="preserve">Broken Flowers  5 1 Shop    </v>
          </cell>
          <cell r="S60" t="str">
            <v xml:space="preserve">Broken Flowers  5     </v>
          </cell>
          <cell r="T60" t="str">
            <v xml:space="preserve">Broken Flowers  5 1 Shop    </v>
          </cell>
        </row>
        <row r="61">
          <cell r="A61">
            <v>3128</v>
          </cell>
          <cell r="B61" t="str">
            <v>Shikha Malhotra</v>
          </cell>
          <cell r="C61">
            <v>9873498869</v>
          </cell>
          <cell r="D61" t="str">
            <v>M-254, Park Place</v>
          </cell>
          <cell r="E61" t="str">
            <v>Golf Course Road</v>
          </cell>
          <cell r="F61" t="str">
            <v>Thursday</v>
          </cell>
          <cell r="G61" t="str">
            <v>4 PM to 7 PM</v>
          </cell>
          <cell r="H61">
            <v>1450</v>
          </cell>
          <cell r="I61">
            <v>362.5</v>
          </cell>
          <cell r="J61" t="str">
            <v>Bliss</v>
          </cell>
          <cell r="K61" t="str">
            <v>Skip 2 week after 13th (07/11) Today Hold (04/12) Paytm From Vivek Malhotra //</v>
          </cell>
          <cell r="N61" t="str">
            <v>4  del of this cycle   -  0-cycles pmnt   Completed - Collect 0</v>
          </cell>
          <cell r="O61" t="e">
            <v>#N/A</v>
          </cell>
          <cell r="P61" t="e">
            <v>#N/A</v>
          </cell>
          <cell r="Q61" t="str">
            <v>Pur n P Car ( 14 inch ) 16     FF Sachet + Grass</v>
          </cell>
          <cell r="R61" t="str">
            <v>P Asiatic ( 14 Inch ) 3  Collect Payment Collect Payment Collect Payment Grass</v>
          </cell>
          <cell r="S61" t="str">
            <v>Rajni ( 14 Inch ) 16     Grass</v>
          </cell>
          <cell r="T61" t="str">
            <v>P n Y Spray Daisy ( 14 Inch ) 5     FF Sachet + Grass</v>
          </cell>
        </row>
        <row r="62">
          <cell r="A62">
            <v>2578</v>
          </cell>
          <cell r="B62" t="str">
            <v>Suchit Agarwal</v>
          </cell>
          <cell r="C62">
            <v>9999404880</v>
          </cell>
          <cell r="D62" t="str">
            <v>T-A/702, Kanchanjunga Towers, Sec 56</v>
          </cell>
          <cell r="E62" t="str">
            <v>Sector 56</v>
          </cell>
          <cell r="F62" t="str">
            <v>Thursday</v>
          </cell>
          <cell r="G62" t="str">
            <v>4 Pm to 7 PM</v>
          </cell>
          <cell r="H62">
            <v>999</v>
          </cell>
          <cell r="I62">
            <v>249.75</v>
          </cell>
          <cell r="J62" t="str">
            <v>Delight</v>
          </cell>
          <cell r="K62" t="str">
            <v>Paytm From Richa Handa (20/06) Skip Thursday and send on Sunday (23/02) Skip tom n send on Sunday this week (01/04) HDTNP (25/06)</v>
          </cell>
          <cell r="N62" t="str">
            <v>3  del of this cycle   -  0-cycles pmnt   Completed - Collect 0</v>
          </cell>
          <cell r="O62" t="str">
            <v>P n W Glad ( 14 Inch ) 9     Grass</v>
          </cell>
          <cell r="P62" t="str">
            <v>Mix Alstroemeria ( 12 Inch ) 9     Grass</v>
          </cell>
          <cell r="Q62" t="str">
            <v>Sunflower ( 12 Inch ) 2     FF Sachet + Grass</v>
          </cell>
          <cell r="R62" t="e">
            <v>#N/A</v>
          </cell>
          <cell r="S62" t="str">
            <v xml:space="preserve">Collect 500 n Close      </v>
          </cell>
          <cell r="T62" t="str">
            <v>Pur n P Car ( 14 Inch ) 9     FF Sachet + Grass</v>
          </cell>
        </row>
        <row r="63">
          <cell r="A63">
            <v>2666</v>
          </cell>
          <cell r="B63" t="str">
            <v>Gunjan Malhotra</v>
          </cell>
          <cell r="C63">
            <v>9971518253</v>
          </cell>
          <cell r="D63" t="str">
            <v>H. No. 298C, 1st Floor, Block G, Sushant Lok-2</v>
          </cell>
          <cell r="E63" t="str">
            <v>Artemis</v>
          </cell>
          <cell r="F63" t="str">
            <v>Thursday</v>
          </cell>
          <cell r="G63" t="str">
            <v>4 PM to 7 PM</v>
          </cell>
          <cell r="H63">
            <v>1450</v>
          </cell>
          <cell r="I63">
            <v>362.5</v>
          </cell>
          <cell r="J63" t="str">
            <v>Bliss</v>
          </cell>
          <cell r="K63" t="str">
            <v>Paytm From Gunjan Malhotra // Hold n start from 04th Sep (02/08) Change day to Thursday (31/08) Do not count last Del (20/12) Skip 1 week (02/02) Skip 1 week (25/03)</v>
          </cell>
          <cell r="N63" t="str">
            <v>4  del of this cycle   -  0-cycles pmnt   Completed - Collect 0</v>
          </cell>
          <cell r="O63" t="str">
            <v>P n W Glad ( 14 Inch ) 9     Grass</v>
          </cell>
          <cell r="P63" t="str">
            <v>Pur n P Car ( 14 inch ) 9     Grass</v>
          </cell>
          <cell r="Q63" t="str">
            <v>Mix Alstroemeria ( 12 Inch ) 16     FF Sachet + Grass</v>
          </cell>
          <cell r="R63" t="str">
            <v>Pur Eustoma ( 12 Inch ) 3     FF Sachet + Grass</v>
          </cell>
          <cell r="S63" t="str">
            <v>P Asiatic ( 14 Inch ) 3     Grass</v>
          </cell>
          <cell r="T63" t="str">
            <v>Rajni ( 14 Inch ) 16     Grass</v>
          </cell>
        </row>
        <row r="64">
          <cell r="A64">
            <v>2716</v>
          </cell>
          <cell r="B64" t="str">
            <v>Simmi Chopra</v>
          </cell>
          <cell r="C64">
            <v>9891744488</v>
          </cell>
          <cell r="D64" t="str">
            <v>B/145, Suncity, Golf Course Road</v>
          </cell>
          <cell r="E64" t="str">
            <v>Golf Course Road</v>
          </cell>
          <cell r="F64" t="str">
            <v>Thursday</v>
          </cell>
          <cell r="G64" t="str">
            <v>9 AM - 12 PM</v>
          </cell>
          <cell r="H64">
            <v>2750</v>
          </cell>
          <cell r="I64">
            <v>687.5</v>
          </cell>
          <cell r="J64" t="str">
            <v>Elation</v>
          </cell>
          <cell r="K64" t="str">
            <v>Upgrade to Elation (27/08) Send 10 B daisy next extra (04/10) Today Hold (04/12) Send one Del Tom (30/12)</v>
          </cell>
          <cell r="M64" t="str">
            <v>Send on del tom and no del on 1st Jan (30/12)</v>
          </cell>
          <cell r="N64" t="str">
            <v>3  del of this cycle   -  0-cycles pmnt   Completed - Collect 0</v>
          </cell>
          <cell r="O64" t="str">
            <v>P n Y Spray Dausy ( 14 Inch ) 5 P n W Car  ( 14 Inch ) 16   2 Gypsola + FF Sachet</v>
          </cell>
          <cell r="P64" t="str">
            <v>Sunflower ( 12 Inch ) 4 Mix Alstroemeria ( 12 Inch ) 16   2 Limonium + FF Sachet</v>
          </cell>
          <cell r="Q64" t="str">
            <v xml:space="preserve">P Asiatic ( 14 Inch ) 3 P n W Glad ( 14 Inch ) 16   2 Gypsola </v>
          </cell>
          <cell r="R64" t="str">
            <v>Pur n P Eustoma ( 12 Inch ) 4 Pur n P Car ( 14 Inch ) 16   2 Limonium + FF Sachet</v>
          </cell>
          <cell r="S64" t="str">
            <v xml:space="preserve">P n W Spray Daisy ( 14 Inch ) 5 Rajni ( 14 Inch ) 16   2 Gypsola + FF Sachet </v>
          </cell>
          <cell r="T64" t="str">
            <v>Sunflower ( 12 Inch ) 4 Mix Alstroemeria ( 12 Inch ) 16   2 Limonium + FF Sachet</v>
          </cell>
        </row>
        <row r="65">
          <cell r="A65">
            <v>442</v>
          </cell>
          <cell r="B65" t="str">
            <v>Ruchi Mathure--Before 10:30 AM</v>
          </cell>
          <cell r="C65">
            <v>9871265555</v>
          </cell>
          <cell r="D65" t="str">
            <v>D-013, Westend height, DLF-5</v>
          </cell>
          <cell r="E65" t="str">
            <v>DLF Phase 5</v>
          </cell>
          <cell r="F65" t="str">
            <v>Thursday</v>
          </cell>
          <cell r="G65" t="str">
            <v>9 AM - 12 PM</v>
          </cell>
          <cell r="H65">
            <v>1450</v>
          </cell>
          <cell r="I65">
            <v>362.5</v>
          </cell>
          <cell r="J65" t="str">
            <v>Bliss</v>
          </cell>
          <cell r="K65" t="str">
            <v>No White Flowers(22/08)Skip this week n start from Thursday(26/09)Skip this week(29/11) Skip n sned on Monday(27/01) Return-send tom(17/02) NO P CAR(18/02)Return-send on Friday(24/02) Return-doesn't need Special Pack(14/04) Upgrade to 650 Plan(02/05) Skip this week n send on Monday(07/06) Skip 1 week(13/09) Skip 1 week(26/10) Skip 1 week(14/12) 150 adjusted against extra paid in Nargis to be delivered on 1st jan(30/12) Skip 1 week(26/01) Last week del was missed- pls send tom(07/03) Skip 2 weeks(18/03)NO WHITE FLOWERS(30/12) Send on saturdya this week instead of Thursday(12/11) Send on saturday this week(21/12) Getting only Car and asiatic-- Pls send all flowers(07/01) 10th Del missed-send them on saturday(11/03) NO WHITE FLOWERS(01/04) Hold n start from 2nd June(29/04) Last Thursday Missed(04/06) Skip this week n send on Sunday this week(22/06) Send Tom 1 Del with Rajni (11/07) Send 1 Del Tom(17/07) Today returned (28/07) NO GOLDEN GRASS(11/08) Sent 1 del Today(13/09) Skip tom and sned on Sunday (24/11) nEXT DEL SEND ON 31ST INSTEAD OF 30TH (24/12) Skip 1 week (20/01) Sent replacement today (14/04) send on monday this week only (21/04) Hold till 2nd Aug (07/07) Sent 1 del today and dont send tom (30/08) Skip tom Del n Send on Sunday (01/11) Today returned (09/11) No Del del till 3rd DEc (15/12) Skip 1 week (30/01) Skip on 14th and send on Sunday (12/03) Skip n sned on sunday (08/05) Hold today (30/05) Payment from Kapil M (16/06) Paytm From Kapil M (14/07) Skip 1 week (26/11) Skip nexty del (03/12) Hold till 15th Apr (18/04) No Sunflower (13/03) Skip this thursday and sned on sunday (20/04) Skip 1 week (20/05)</v>
          </cell>
          <cell r="L65" t="str">
            <v>Sunflower</v>
          </cell>
          <cell r="M65" t="str">
            <v>No White even in mixed // Skip 23rd and sned on 26th (20/04)</v>
          </cell>
          <cell r="N65" t="str">
            <v>2  del of this cycle   -  0-cycles pmnt   Completed - Collect 0</v>
          </cell>
          <cell r="O65" t="str">
            <v>W Asiatic ( 14 Inch ) 3     Grass</v>
          </cell>
          <cell r="P65" t="str">
            <v>P Glad ( 14 Inch ) 16 No White     Grass</v>
          </cell>
          <cell r="Q65" t="str">
            <v>P n Y Spray Daisy ( 14 Inch ) 5 No White Flower  No White Flower   FF Sachet + Grass</v>
          </cell>
          <cell r="R65" t="str">
            <v>Pur n P Car ( 14 Inch ) 16     FF Sachet + Grass</v>
          </cell>
          <cell r="S65" t="str">
            <v>Pur Eustoma ( 12 Inch ) 3     FF Sachet + Grass</v>
          </cell>
          <cell r="T65" t="str">
            <v>Rajni ( 14 Inch ) 16     Grass</v>
          </cell>
        </row>
        <row r="66">
          <cell r="A66">
            <v>19</v>
          </cell>
          <cell r="B66" t="str">
            <v>Mrs. Geeta Chopra</v>
          </cell>
          <cell r="C66">
            <v>9811373448</v>
          </cell>
          <cell r="D66" t="str">
            <v>E-64,Ground Floor,Suncity,Sec-54</v>
          </cell>
          <cell r="E66" t="str">
            <v>Golf Course Road</v>
          </cell>
          <cell r="F66" t="str">
            <v>Thursday</v>
          </cell>
          <cell r="G66" t="str">
            <v>9 AM - 12 PM</v>
          </cell>
          <cell r="H66">
            <v>1450</v>
          </cell>
          <cell r="I66">
            <v>362.5</v>
          </cell>
          <cell r="J66" t="str">
            <v>Bliss</v>
          </cell>
          <cell r="K66" t="str">
            <v>Sunday to Thurs//No Rajni (22/05)NO GERBERA(11/08), next time 3 sticks extra (30/3) Send replacement with 3 sticks extra tom and send special pack too(14/04) NO GLAD(22/06) NO ORCHID(13/07) Send FF Next Week(20/07) FF Sold today(27/07) Add Changed(20/12) SEND ALL FLOWERS(18/02) START WITH 650 PLAN(19/05/20) Send Replacement(14/07) Send Replacement (04/11) Hold due to non payment (02/01) Hold due to non payment (08/01) today missed send on sunday (28/05)</v>
          </cell>
          <cell r="N66" t="str">
            <v>4  del of this cycle   -  0-cycles pmnt   Completed - Collect 0</v>
          </cell>
          <cell r="O66" t="str">
            <v>P n W Glad ( 14 Inch ) 16     Grass</v>
          </cell>
          <cell r="P66" t="str">
            <v>Mix Alstroemeria ( 12 Inch ) 16     FF Sachet + Grass</v>
          </cell>
          <cell r="Q66" t="str">
            <v>O Asiatic ( 14 Inch ) 3     Grass</v>
          </cell>
          <cell r="R66" t="str">
            <v>B Daisy ( 12 Inch ) 16  Collect Payment Collect Payment Collect Payment Grass</v>
          </cell>
          <cell r="S66" t="str">
            <v>Pur n P Car ( 14 Inch ) 16    Collect Payment FF Sachet + Grass</v>
          </cell>
          <cell r="T66" t="str">
            <v>Sunflower ( 12 Inch ) 4     FF Sachet + Grass</v>
          </cell>
        </row>
        <row r="67">
          <cell r="A67">
            <v>2868</v>
          </cell>
          <cell r="B67" t="str">
            <v>Group Captain Prabal Bir Singh</v>
          </cell>
          <cell r="C67">
            <v>7827468667</v>
          </cell>
          <cell r="D67" t="str">
            <v>603, Shivshakti CGHS, Plot-94, Near Ati Chowk</v>
          </cell>
          <cell r="E67" t="str">
            <v>DLF Phase 5</v>
          </cell>
          <cell r="F67" t="str">
            <v>Thursday</v>
          </cell>
          <cell r="G67" t="str">
            <v>9 AM to 2 PM</v>
          </cell>
          <cell r="H67">
            <v>1450</v>
          </cell>
          <cell r="I67">
            <v>362.5</v>
          </cell>
          <cell r="J67" t="str">
            <v>Bliss</v>
          </cell>
          <cell r="N67" t="str">
            <v>1  del of this cycle   -  0-cycles pmnt   Completed - Collect 0</v>
          </cell>
          <cell r="O67" t="str">
            <v>R n W Car ( 14 inch ) 9     FF Sachet + Grass</v>
          </cell>
          <cell r="P67" t="str">
            <v>P n W Glad ( 14 Inch ) 9     Gras</v>
          </cell>
          <cell r="Q67" t="str">
            <v>Sunflower ( 12 Inch ) 2     FF Sachet + Grass</v>
          </cell>
          <cell r="R67" t="str">
            <v>Rajni ( 14 Inch ) 9     Grass</v>
          </cell>
          <cell r="S67" t="str">
            <v>P Asiatic ( 14 Inch ) 2     Grass</v>
          </cell>
          <cell r="T67" t="str">
            <v>P n W Car ( 14 Inch ) 16     FF Sachet + Grass</v>
          </cell>
        </row>
        <row r="68">
          <cell r="A68">
            <v>849</v>
          </cell>
          <cell r="B68" t="str">
            <v>Shalini Sharma</v>
          </cell>
          <cell r="C68">
            <v>7838500808</v>
          </cell>
          <cell r="D68" t="str">
            <v>208, Espace</v>
          </cell>
          <cell r="E68" t="str">
            <v>Nirvana Country</v>
          </cell>
          <cell r="F68" t="str">
            <v>Thursday</v>
          </cell>
          <cell r="G68" t="str">
            <v>9:30 Am to 2 PM</v>
          </cell>
          <cell r="H68">
            <v>1450</v>
          </cell>
          <cell r="I68">
            <v>362.5</v>
          </cell>
          <cell r="J68" t="str">
            <v>Bliss</v>
          </cell>
          <cell r="K68" t="str">
            <v>W n R Car Tom(25/04)  GERBERA NEXT(16/09) NO ORCHIDS(24/01)  Sent a replacement today(17/04) Ros enext (26/11) NO GULDAWARI n ORCHIDS ()6/01) Skip 1 week (05/01) Replacement tom (12/02) Send Tom and skip 30th Mar (25/03) Replacement tom (06/07) Will Pick on 30th -- Dont Send on 02nd Nov (28/10) Send this week del on tuesday 925/01) Send W Asiatic on 11th this week instead of 15th Feb (08/02) Skip 1 week (14/03) Lilies Next (20/05) Hold after current cycle (04/12) Four plus 1 Pack //</v>
          </cell>
          <cell r="L68" t="str">
            <v>GULDAWARI n ORCHID</v>
          </cell>
          <cell r="M68" t="str">
            <v>Lilies Next (20/05)</v>
          </cell>
          <cell r="N68" t="str">
            <v>4  del of this cycle   -  0-cycles pmnt   Completed - Collect 0</v>
          </cell>
          <cell r="O68" t="str">
            <v>P n W Glad ( 14 Inch ) 16     Grass</v>
          </cell>
          <cell r="P68" t="str">
            <v>P Asiatic ( 14 Inch )  3     Grass</v>
          </cell>
          <cell r="Q68" t="str">
            <v>P n Y Spray Daisy ( 14 Inch ) 5     FF Sachet + Grass</v>
          </cell>
          <cell r="R68" t="str">
            <v>Pur n P Car ( 14 Inch ) 16  Collect Payment Collect Payment Collect Payment FF Sachet + Grass</v>
          </cell>
          <cell r="S68" t="str">
            <v>Sunflower ( 12 Inch ) 4     FF Sachet + Grass</v>
          </cell>
          <cell r="T68" t="str">
            <v>Rajni ( 14 Inch ) 16     Grass</v>
          </cell>
        </row>
        <row r="69">
          <cell r="A69">
            <v>2250</v>
          </cell>
          <cell r="B69" t="str">
            <v>Saloni Gupta</v>
          </cell>
          <cell r="C69">
            <v>9810796682</v>
          </cell>
          <cell r="D69" t="str">
            <v>338, 3rd Floor, Espace</v>
          </cell>
          <cell r="E69" t="str">
            <v>Nirvana Country</v>
          </cell>
          <cell r="F69" t="str">
            <v>Sunday</v>
          </cell>
          <cell r="G69" t="str">
            <v>9 AM - 12 PM</v>
          </cell>
          <cell r="H69">
            <v>3088</v>
          </cell>
          <cell r="I69">
            <v>386</v>
          </cell>
          <cell r="J69" t="str">
            <v>Cutsomized-Biweekly</v>
          </cell>
          <cell r="K69"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v>
          </cell>
          <cell r="N69" t="str">
            <v>5  del of this cycle   -  0-cycles pmnt   Completed - Collect 0</v>
          </cell>
          <cell r="O69" t="e">
            <v>#N/A</v>
          </cell>
          <cell r="P69" t="e">
            <v>#N/A</v>
          </cell>
          <cell r="Q69" t="e">
            <v>#N/A</v>
          </cell>
          <cell r="R69" t="str">
            <v>W Asiatic ( 14 Inch ) 3     Grass</v>
          </cell>
          <cell r="S69" t="str">
            <v>O Asiatic ( 14 Inch ) 3     Grass</v>
          </cell>
          <cell r="T69" t="str">
            <v>P Asiatic ( 14 Inch ) 2     Grass</v>
          </cell>
        </row>
        <row r="70">
          <cell r="A70">
            <v>2569</v>
          </cell>
          <cell r="B70" t="str">
            <v>Mrs. Verma</v>
          </cell>
          <cell r="C70">
            <v>9971135993</v>
          </cell>
          <cell r="D70" t="str">
            <v>A1/192, 1st Floor, Sec 55, Sushant Lok-2, Near Orchid International School</v>
          </cell>
          <cell r="E70" t="str">
            <v>Sector 56</v>
          </cell>
          <cell r="F70" t="str">
            <v>Thursday</v>
          </cell>
          <cell r="G70" t="str">
            <v>9 AM - 12 PM</v>
          </cell>
          <cell r="H70">
            <v>1450</v>
          </cell>
          <cell r="I70">
            <v>362.5</v>
          </cell>
          <cell r="J70" t="str">
            <v>Bliss</v>
          </cell>
          <cell r="K70" t="str">
            <v>Return today (01/05) Return today (05/06) Send on Sunday This week (05/06) Upgrade to bliss from next cycle (20/09) Skip 1 week (04/02) Send Replacement tom of Asiatic Lily (16/04) Send Replacement tom (21/05) No Sunflower (21/05)</v>
          </cell>
          <cell r="L70" t="str">
            <v>Sunflower</v>
          </cell>
          <cell r="N70" t="str">
            <v>2  del of this cycle   -  0-cycles pmnt   CompletedNO COLLECTION-we have extra money - Collect -100</v>
          </cell>
          <cell r="O70" t="str">
            <v>W Asiatic ( 14 Inch ) 2 Mix Alstroemeria ( 12 Inch ) 7   Grass</v>
          </cell>
          <cell r="P70" t="str">
            <v>Pur Eustoma ( 12 Inch ) 2 Pur n P Car ( 14 inch ) 7   FF Sachet + Grass</v>
          </cell>
          <cell r="Q70" t="str">
            <v>Sunflower ( 12 Inch ) 2 P n W Glad ( 14 Inch ) 7   FF Sachet + Grass</v>
          </cell>
          <cell r="R70" t="str">
            <v>O Asiatic ( 14 Inch ) 2 B Daisy ( 12 Inch ) 7   Grass</v>
          </cell>
          <cell r="S70" t="str">
            <v>P Spray Daisy ( 14 Inch ) 3 Rajni ( 14 Inch ) 7   FF Sachet + Grass</v>
          </cell>
          <cell r="T70" t="str">
            <v>Sunflower ( 12 Inch ) 2 P n W Car ( 14 Inch ) 7   FF Sachet + Grass</v>
          </cell>
        </row>
        <row r="71">
          <cell r="A71" t="str">
            <v>B56121</v>
          </cell>
          <cell r="B71" t="str">
            <v> 95996 97063‬</v>
          </cell>
          <cell r="C71" t="str">
            <v> 95996 97063‬</v>
          </cell>
          <cell r="D71" t="str">
            <v>M23 B, Adani Samsara 
Sector 60 , Gurgaon
Opp ireo skyon</v>
          </cell>
          <cell r="H71">
            <v>600</v>
          </cell>
          <cell r="J71" t="str">
            <v>Bouquet</v>
          </cell>
          <cell r="K71" t="str">
            <v>Send today 
15 Rajnigandha with greens to 
Poonam Sriram 
+91 95996 97063</v>
          </cell>
          <cell r="T71" t="str">
            <v>Rajnigandha  15     Arica+Grass</v>
          </cell>
        </row>
        <row r="72">
          <cell r="A72">
            <v>3212</v>
          </cell>
          <cell r="B72" t="str">
            <v>Sheeba Rana</v>
          </cell>
          <cell r="C72">
            <v>9958849523</v>
          </cell>
          <cell r="D72" t="str">
            <v>T-14/1202, The Close North</v>
          </cell>
          <cell r="E72" t="str">
            <v>Nirvana Country</v>
          </cell>
          <cell r="F72" t="str">
            <v>Thursday</v>
          </cell>
          <cell r="G72" t="str">
            <v>4 Pm to 7 PM</v>
          </cell>
          <cell r="H72">
            <v>1450</v>
          </cell>
          <cell r="I72">
            <v>1450</v>
          </cell>
          <cell r="J72" t="str">
            <v>Bliss</v>
          </cell>
          <cell r="K72" t="str">
            <v>Skip 1 week (31/12)</v>
          </cell>
          <cell r="N72" t="str">
            <v>3  del of this cycle   -  0-cycles pmnt   Completed - Collect 0</v>
          </cell>
          <cell r="O72" t="str">
            <v>R n W Car ( 14 inch ) 9     FF Sachet + Grass</v>
          </cell>
          <cell r="P72" t="str">
            <v>P n W Glad ( 14 Inch ) 9     Gras</v>
          </cell>
          <cell r="Q72" t="str">
            <v>P Asiatic ( 14 Inch ) 2     Grass</v>
          </cell>
          <cell r="R72" t="str">
            <v>Pur n P Car ( 14 Inch ) 16     FF Sachet + Grass</v>
          </cell>
          <cell r="S72" t="str">
            <v>P n Y Spray Daisy ( 14 Inch ) 5     FF Sachet + Grass</v>
          </cell>
          <cell r="T72" t="str">
            <v>Rajni ( 14 Inch ) 16     Grass</v>
          </cell>
        </row>
        <row r="73">
          <cell r="A73">
            <v>3122</v>
          </cell>
          <cell r="B73" t="str">
            <v>Abha Ghosh</v>
          </cell>
          <cell r="C73">
            <v>9650001674</v>
          </cell>
          <cell r="D73" t="str">
            <v>6A, Galicia, Raisina Residency, Sec 59</v>
          </cell>
          <cell r="E73" t="str">
            <v>Ghata</v>
          </cell>
          <cell r="F73" t="str">
            <v>Thursday</v>
          </cell>
          <cell r="G73" t="str">
            <v>9 AM - 12 PM</v>
          </cell>
          <cell r="H73">
            <v>1450</v>
          </cell>
          <cell r="I73">
            <v>362.5</v>
          </cell>
          <cell r="J73" t="str">
            <v>Bliss</v>
          </cell>
          <cell r="K73" t="str">
            <v>Returned yesterday (07/11)</v>
          </cell>
          <cell r="N73" t="str">
            <v>4  del of this cycle   -  0-cycles pmnt   Completed - Collect 0</v>
          </cell>
          <cell r="O73" t="str">
            <v>P n W Glad ( 14 Inch ) 16     Grass</v>
          </cell>
          <cell r="P73" t="str">
            <v>Pur n P Car ( 14 inch ) 16     FF Sachet + Grass</v>
          </cell>
          <cell r="Q73" t="str">
            <v>Sunflower ( 12 Inch ) 4     FF Sachet + Grass</v>
          </cell>
          <cell r="R73" t="str">
            <v>B Daisy ( 12 Inch ) 16     Grass</v>
          </cell>
          <cell r="S73" t="str">
            <v>P Asiatic ( 14 Inch ) 3     Grass</v>
          </cell>
          <cell r="T73" t="str">
            <v>Rajni ( 14 Inch ) 16     Grass</v>
          </cell>
        </row>
        <row r="74">
          <cell r="A74">
            <v>2205</v>
          </cell>
          <cell r="B74" t="str">
            <v>Shubhra Gupta</v>
          </cell>
          <cell r="C74">
            <v>9811981626</v>
          </cell>
          <cell r="D74" t="str">
            <v>ES-245, Espace</v>
          </cell>
          <cell r="E74" t="str">
            <v>Nirvana Country</v>
          </cell>
          <cell r="F74" t="str">
            <v>Thursday</v>
          </cell>
          <cell r="G74" t="str">
            <v>9 AM - 12 PM</v>
          </cell>
          <cell r="H74">
            <v>1450</v>
          </cell>
          <cell r="I74">
            <v>362.5</v>
          </cell>
          <cell r="J74" t="str">
            <v>Bliss</v>
          </cell>
          <cell r="K74" t="str">
            <v>Paytm From 9811656524 // No Orchids // Skip 1 week (01/10) Same flowers from last  2weeks, pls Check (06/11) Paytm from Gaurav Gupta (0703)</v>
          </cell>
          <cell r="L74" t="str">
            <v>ORCHID</v>
          </cell>
          <cell r="M74" t="str">
            <v>Same Flowers from 2 week, Pls Check (06/11)</v>
          </cell>
          <cell r="N74" t="str">
            <v>2  del of this cycle   -  0-cycles pmnt   Completed - Collect 0</v>
          </cell>
          <cell r="O74" t="str">
            <v>P n W Glad ( 14 Inch ) 16     Grass</v>
          </cell>
          <cell r="P74" t="str">
            <v>Pur n P Car ( 14 inch ) 16     FF Sachet + Grass</v>
          </cell>
          <cell r="Q74" t="str">
            <v>P n W Spray Daisy ( 14 Inch ) 5     FF Sachet + Grass</v>
          </cell>
          <cell r="R74" t="str">
            <v>B Daisy ( 12 Inch ) 16     Grass</v>
          </cell>
          <cell r="S74" t="str">
            <v>P Asiatic ( 14 Inch ) 3     Grass</v>
          </cell>
          <cell r="T74" t="str">
            <v>Rajni ( 14 Inch ) 16     Grass</v>
          </cell>
        </row>
        <row r="75">
          <cell r="A75">
            <v>949</v>
          </cell>
          <cell r="B75" t="str">
            <v>Meenu Amrith-- Evening Only</v>
          </cell>
          <cell r="C75">
            <v>9891350735</v>
          </cell>
          <cell r="D75" t="str">
            <v>H. No. 579, Ground Floor,Near Dell-- Sec-43</v>
          </cell>
          <cell r="E75" t="str">
            <v>DLF Phase 5</v>
          </cell>
          <cell r="F75" t="str">
            <v>Thursday</v>
          </cell>
          <cell r="G75" t="str">
            <v>10 AM to 2:30 PM</v>
          </cell>
          <cell r="H75">
            <v>1450</v>
          </cell>
          <cell r="I75">
            <v>362.5</v>
          </cell>
          <cell r="J75" t="str">
            <v>Bliss</v>
          </cell>
          <cell r="K75" t="str">
            <v>Sunday to Thurs//Skip next week(21/01) Skip 1 week(12/02) Hold n start from 1st week of May(06/03) Pls start from coming Tuesday(14/03)  Send Sunday Del on Sat This week(12/11) Skip 1 week(29/01) today hold and skip 1 more week(27/02) Start from 24th Mar(08/03) Hold n start from 16th June(18/05) Hold 3 Weeks(13/07) she saying that 10th Del Not received(11/11) Not avaible till 25th (14/11) Hold today(19/01) Skip 2 weeks (22/02) Skip 2 weeks (26/06) Hold n start after 15th Sep (18/08) Skip Tom (28/02) Hold n start from 13th June (24/05) Skip 1 week (23/07) Skip 1 week (04/12) Skip 1 week (12/03) Skip 1 week (18/01) Skip 1 weeek (13/05)</v>
          </cell>
          <cell r="N75" t="str">
            <v>4  del of this cycle   -  0-cycles pmnt   Completed - Collect 0</v>
          </cell>
          <cell r="O75" t="str">
            <v>P n Y Spray Dausy ( 14 Inch ) 5     FF Sachet + Grass</v>
          </cell>
          <cell r="P75" t="str">
            <v>P Asiatic ( 14 Inch )  3     Grass</v>
          </cell>
          <cell r="Q75" t="str">
            <v>Pur n P Car ( 14 inch ) 16     FF Sachet + Grass</v>
          </cell>
          <cell r="R75" t="str">
            <v>Pur Eustoma ( 12 Inch ) 3     FF Sachet + Grass</v>
          </cell>
          <cell r="S75" t="str">
            <v>P n W Glad ( 14 Inch ) 16     Grass</v>
          </cell>
          <cell r="T75" t="str">
            <v>Sunflower ( 12 Inch ) 4     FF Sachet + Grass</v>
          </cell>
        </row>
        <row r="76">
          <cell r="A76">
            <v>172</v>
          </cell>
          <cell r="B76" t="str">
            <v>Rachna Rathee</v>
          </cell>
          <cell r="C76">
            <v>9811779661</v>
          </cell>
          <cell r="D76" t="str">
            <v xml:space="preserve">DX-106 flat no,Kendriya vihar Sector 56
</v>
          </cell>
          <cell r="E76" t="str">
            <v>Sector 56</v>
          </cell>
          <cell r="F76" t="str">
            <v>Thursday</v>
          </cell>
          <cell r="G76" t="str">
            <v>9 AM - 12 PM</v>
          </cell>
          <cell r="H76">
            <v>1450</v>
          </cell>
          <cell r="I76">
            <v>362.5</v>
          </cell>
          <cell r="J76" t="str">
            <v>Bliss</v>
          </cell>
          <cell r="K76" t="str">
            <v>Sendng rtrnd of 30 th on 1st(30/06)Retrnd pls send white Orchid(30/06) NO GERBERA(04/08) Paytm from raj Singh(08/12) Skip 1 week(21/12) NO Daisy(12/01) Hold n sned after 15th Apr(29/03) Hold n start after 10th Sep(30/08) NO DAISY(09/11) NO ROSE(21/12) Today return-send tom(10/10/20) Sending Del Tom due to Diwali(11/11) Referal payout of 162 added against Mr. Shoran(030/11) Referal credit added with ref to Apala das Gupta(29/03) Today hold and send after 11th May and ask before del(30/04) Hold till 28th Feb (10/02) Hold 3 Weeks (10/07) No Blue Orchid (23/10) Extra added against less mogra in Diwali Flowers (26/11) send replacement tom (04/07) Hold she will confirm when to start (13/05) No Gerbera (07/08) Send replacement tom (27/03)</v>
          </cell>
          <cell r="L76" t="str">
            <v>BLUE ORCHID n GERBERA</v>
          </cell>
          <cell r="N76" t="str">
            <v>3  del of this cycle   -  0-cycles pmnt   Completed - Collect 0</v>
          </cell>
          <cell r="O76" t="e">
            <v>#N/A</v>
          </cell>
          <cell r="P76" t="e">
            <v>#N/A</v>
          </cell>
          <cell r="Q76" t="e">
            <v>#N/A</v>
          </cell>
          <cell r="R76" t="e">
            <v>#N/A</v>
          </cell>
          <cell r="S76" t="str">
            <v>Pur n P Car ( 14 Inch ) 16     FF Sachet + Grass</v>
          </cell>
          <cell r="T76" t="str">
            <v>Sunflower ( 12 Inch ) 4     FF Sachet + Grass</v>
          </cell>
        </row>
        <row r="77">
          <cell r="A77">
            <v>2481</v>
          </cell>
          <cell r="B77" t="str">
            <v>Puneet Mahajan</v>
          </cell>
          <cell r="C77">
            <v>9810110847</v>
          </cell>
          <cell r="D77" t="str">
            <v>D-19, 4th Floor, Siuth City -2, Opp Arcadia Mall</v>
          </cell>
          <cell r="E77" t="str">
            <v>Nirvana Country</v>
          </cell>
          <cell r="F77" t="str">
            <v>Sunday</v>
          </cell>
          <cell r="G77" t="str">
            <v>9 AM - 12 PM</v>
          </cell>
          <cell r="H77">
            <v>2300</v>
          </cell>
          <cell r="I77">
            <v>287.5</v>
          </cell>
          <cell r="J77" t="str">
            <v>Felicity</v>
          </cell>
          <cell r="K77" t="str">
            <v>Send Sponge// Day Changed to Sunday (16/04) Paytm From Sri Sai makers (20/04) Change to felicity (17/05)</v>
          </cell>
          <cell r="N77" t="str">
            <v>8  del of this cycle   -  0-cycles pmnt   Completed - Collect 0</v>
          </cell>
          <cell r="O77" t="str">
            <v>Mix Alstroemeria ( 12 Inch ) 11     FF Sachet + Grass</v>
          </cell>
          <cell r="P77" t="str">
            <v>Pur n P Car ( 14 inch ) 11     FF Sachet + Grass</v>
          </cell>
          <cell r="Q77" t="str">
            <v>P Spray Daisy ( 14 Inch ) 3     FF Sachet + Grass</v>
          </cell>
          <cell r="R77" t="str">
            <v>P Asiatic ( 14 Inch ) 2     Grass</v>
          </cell>
          <cell r="S77" t="str">
            <v>Sunflower ( 12 Inch ) 3     FF Sachet + Grass</v>
          </cell>
          <cell r="T77" t="str">
            <v>Rajni ( 14 Inch ) 11     Grass</v>
          </cell>
        </row>
        <row r="78">
          <cell r="A78">
            <v>2406</v>
          </cell>
          <cell r="B78" t="str">
            <v>Vermeen Kapoor</v>
          </cell>
          <cell r="C78">
            <v>9873458198</v>
          </cell>
          <cell r="D78" t="str">
            <v>B-59, South City 2</v>
          </cell>
          <cell r="E78" t="str">
            <v>Nirvana Country</v>
          </cell>
          <cell r="F78" t="str">
            <v>Thursday</v>
          </cell>
          <cell r="G78" t="str">
            <v>9:30 Am to 2 PM</v>
          </cell>
          <cell r="H78">
            <v>1450</v>
          </cell>
          <cell r="I78">
            <v>362.5</v>
          </cell>
          <cell r="J78" t="str">
            <v>Bliss</v>
          </cell>
          <cell r="K78" t="str">
            <v>Referred by Swati Khandelwal?/ Mixed Flowers // Send replace,ent tom (19/02) Day Changed to Thursday (08/04) today returned-send tom (24/07)</v>
          </cell>
          <cell r="M78" t="str">
            <v>Mixed Flowers</v>
          </cell>
          <cell r="N78" t="str">
            <v>3  del of this cycle   -  0-cycles pmnt   Completed - Collect 0</v>
          </cell>
          <cell r="O78" t="str">
            <v>W Asiatic ( 14 Inch ) 2 Mix Alstroemeria ( 12 Inch ) 7   Grass</v>
          </cell>
          <cell r="P78" t="str">
            <v>Pur Eustoma ( 12 Inch ) 2 Pur n P Car ( 14 inch ) 7   FF Sachet + Grass</v>
          </cell>
          <cell r="Q78" t="str">
            <v>Sunflower ( 12 Inch ) 2 P n W Glad ( 14 Inch ) 7   FF Sachet + Grass</v>
          </cell>
          <cell r="R78" t="str">
            <v>P Asiatic ( 14 Inch ) 2 B Daisy ( 12 Inch ) 7   Grass</v>
          </cell>
          <cell r="S78" t="str">
            <v>P Spray Daisy ( 14 Inch ) 3 Rajni ( 14 Inch ) 7   FF Sachet + Grass</v>
          </cell>
          <cell r="T78" t="str">
            <v>Sunflower ( 12 Inch ) 2 P n W Car ( 14 Inch ) 7   FF Sachet + Grass</v>
          </cell>
        </row>
        <row r="79">
          <cell r="A79">
            <v>244</v>
          </cell>
          <cell r="B79" t="str">
            <v>Garima jain</v>
          </cell>
          <cell r="C79">
            <v>9958581403</v>
          </cell>
          <cell r="D79" t="str">
            <v xml:space="preserve"> G-901, Central Park 1, Golf Course Road    Sec 42 Gurgaon  122002</v>
          </cell>
          <cell r="E79" t="str">
            <v>Golf Course Road</v>
          </cell>
          <cell r="F79" t="str">
            <v>Thursday</v>
          </cell>
          <cell r="G79" t="str">
            <v>9 AM - 12 PM</v>
          </cell>
          <cell r="H79">
            <v>1450</v>
          </cell>
          <cell r="I79">
            <v>1450</v>
          </cell>
          <cell r="J79" t="str">
            <v>Bliss</v>
          </cell>
          <cell r="K79" t="str">
            <v>Sat to Thurs//Flowers other than Car pl (21/07)Send on Sunday instead of sat this week(19/10) Upgrade to 650 Plan(03/05) Add changed(13/07) NO CAR(07/09) Send a replacement (06/10) NO CAR(13/12) 200 Paytm Done(14/12) paytm of 200 from Anuj sarin(14/12) Sending 30th Del on 29th May(28/05/2020) ONLY LILIES(23/08/20) Day Changed to Saturday(14/10) Skip this week an semd next week(13/03) Hold n start from 29th Jan(25/12 ) Received 200 today via Gpay(26/12) Diff Flowesr every week(08/04)  Sent replacement today(22/04) Skip 1 week(17/06) Today Returned (13/06) Do not Count last Del (17/08) Skip 1 week (22/12) Skip 2 week (23/05) Send on sunday this week (01/10) Return-not at home (23/10) One Payment of 1000 received on 05th Feb (06/03) Returned (04/06)</v>
          </cell>
          <cell r="N79" t="str">
            <v>3  del of this cycle   -  0-cycles pmnt   Completed - Collect 0</v>
          </cell>
          <cell r="O79" t="str">
            <v>P Asiatic ( 14 Inch ) 2 Pls Insure Collection    Grass</v>
          </cell>
          <cell r="P79" t="str">
            <v>Mix Alstroemeria ( 12 Inch ) 9 Pls Collect Cash     Grass</v>
          </cell>
          <cell r="Q79" t="str">
            <v>Pur n P Car ( 14 inch ) 9     Grass</v>
          </cell>
          <cell r="R79" t="str">
            <v>Pur Eustoma ( 12 Inch ) 3     FF Sachet + Grass</v>
          </cell>
          <cell r="S79" t="str">
            <v>Rajni ( 14 Inch ) 16     Grass</v>
          </cell>
          <cell r="T79" t="str">
            <v>O Asiatic ( 14 Inch ) 3     Grass</v>
          </cell>
        </row>
        <row r="80">
          <cell r="A80">
            <v>61</v>
          </cell>
          <cell r="B80" t="str">
            <v>Megha Manchanda -- Bliss Pack</v>
          </cell>
          <cell r="C80">
            <v>9871919500</v>
          </cell>
          <cell r="D80" t="str">
            <v>T-3/302, Unitech Harmony</v>
          </cell>
          <cell r="E80" t="str">
            <v>Nirvana Country</v>
          </cell>
          <cell r="F80" t="str">
            <v>Thursday</v>
          </cell>
          <cell r="G80" t="str">
            <v>9 AM - 12 PM</v>
          </cell>
          <cell r="H80">
            <v>1450</v>
          </cell>
          <cell r="I80">
            <v>362.5</v>
          </cell>
          <cell r="J80" t="str">
            <v>Bliss</v>
          </cell>
          <cell r="K80" t="str">
            <v>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v>
          </cell>
          <cell r="N80" t="str">
            <v>1  del of this cycle   -  1-cycles pmnt   Pending - Collect 1450</v>
          </cell>
          <cell r="O80" t="str">
            <v>Y Asiatic ( 14 Inch ) 2     Grass</v>
          </cell>
          <cell r="P80" t="str">
            <v>Pur n P Car ( 14 inch ) 9     Grass</v>
          </cell>
          <cell r="Q80" t="str">
            <v>Sunflower ( 12 Inch ) 2     FF Sachet + Grass</v>
          </cell>
          <cell r="R80" t="e">
            <v>#N/A</v>
          </cell>
          <cell r="S80" t="str">
            <v>Rajni ( 14 Inch ) 9     Grass</v>
          </cell>
          <cell r="T80" t="str">
            <v>P Asiatic ( 14 Inch ) 3     Grass</v>
          </cell>
        </row>
        <row r="81">
          <cell r="A81">
            <v>2644</v>
          </cell>
          <cell r="B81" t="str">
            <v>Sanjeet Kaur</v>
          </cell>
          <cell r="C81">
            <v>7889438209</v>
          </cell>
          <cell r="D81" t="str">
            <v>601, Emerald Green, Sector 52</v>
          </cell>
          <cell r="E81" t="str">
            <v>Artemis</v>
          </cell>
          <cell r="F81" t="str">
            <v>Thursday</v>
          </cell>
          <cell r="G81" t="str">
            <v>9:30 Am to 2 PM</v>
          </cell>
          <cell r="H81">
            <v>1450</v>
          </cell>
          <cell r="I81">
            <v>362.5</v>
          </cell>
          <cell r="J81" t="str">
            <v>Bliss</v>
          </cell>
          <cell r="K81" t="str">
            <v>1 Gypsola in each Del (16/05) Paytm From Arshia Kaur (13/06) Paytm From Yogpal Singh (20/12) Do not count todays delivery (30/04)</v>
          </cell>
          <cell r="M81" t="str">
            <v>1 Gyposla in each Del</v>
          </cell>
          <cell r="N81" t="str">
            <v>1  del of this cycle   -  1-cycles pmnt   Pending - Collect 1450</v>
          </cell>
          <cell r="O81" t="str">
            <v>R n W Car ( 14 inch ) 9     FF Sachet + Grass</v>
          </cell>
          <cell r="P81" t="str">
            <v>P n W Glad ( 14 Inch ) 9     Gras</v>
          </cell>
          <cell r="Q81" t="str">
            <v>Y Spray Daisy ( 14 Inch ) 3     1 Gypsola + FF Sachet</v>
          </cell>
          <cell r="R81" t="str">
            <v>B Daisy ( 12 Inch ) 9     Grass</v>
          </cell>
          <cell r="S81" t="str">
            <v>P Asiatic ( 14 Inch ) 2     Grass</v>
          </cell>
          <cell r="T81" t="str">
            <v>Pur n P Car ( 14 Inch ) 16     FF Sachet + Grass</v>
          </cell>
        </row>
        <row r="82">
          <cell r="A82">
            <v>3133</v>
          </cell>
          <cell r="B82" t="str">
            <v>Anastasiia Liapicheva</v>
          </cell>
          <cell r="C82" t="str">
            <v>7678659573 // '+79029329098</v>
          </cell>
          <cell r="D82" t="str">
            <v>B1/602, Palm Groove Heights, Ardee City Sec 52</v>
          </cell>
          <cell r="E82" t="str">
            <v>Sushant Estate</v>
          </cell>
          <cell r="F82" t="str">
            <v>Thursday</v>
          </cell>
          <cell r="G82" t="str">
            <v>9 AM - 12 PM</v>
          </cell>
          <cell r="H82">
            <v>1450</v>
          </cell>
          <cell r="I82">
            <v>362.5</v>
          </cell>
          <cell r="J82" t="str">
            <v>Bliss</v>
          </cell>
          <cell r="K82" t="str">
            <v>No Lilies (02/11) No White Greens (02/12) Skip 1 week (07/01) skip 1 week (27/01) No Sunflower (06/03) Skip 1 week (06/06)</v>
          </cell>
          <cell r="L82" t="str">
            <v>Lily n Sunflower n White Greens</v>
          </cell>
          <cell r="M82" t="str">
            <v>No White Greens n Mixed Flowers</v>
          </cell>
          <cell r="N82" t="str">
            <v>1  del of this cycle   -  1-cycles pmnt   Pending - Collect 1450</v>
          </cell>
          <cell r="O82" t="str">
            <v>Pur Eustoma ( 14 Inch ) 2 Mix Alstroemeria ( 12 Inch ) 7   FF Sachet + Grass</v>
          </cell>
          <cell r="P82" t="e">
            <v>#N/A</v>
          </cell>
          <cell r="Q82" t="str">
            <v>O Asiatic ( 14 Inch ) 2 P n W Glad ( 14 Inch ) 7   Grass</v>
          </cell>
          <cell r="R82" t="str">
            <v>Y Spray Daisy 3 P n W Car ( 14 Inch ) 7   FF Sachet + Grass</v>
          </cell>
          <cell r="S82" t="str">
            <v>P Eustoma ( 12 Inch ) 2 Rajni ( 14 Inch ) 7   FF Sachet + Grass</v>
          </cell>
          <cell r="T82" t="str">
            <v>W Asiatic ( 14 Inch ) 2 Mix Alstroemeria ( 12 Inch ) 7   Grass</v>
          </cell>
        </row>
        <row r="83">
          <cell r="A83">
            <v>2200</v>
          </cell>
          <cell r="B83" t="str">
            <v>Naina Gandhi</v>
          </cell>
          <cell r="C83">
            <v>9811188863</v>
          </cell>
          <cell r="D83" t="str">
            <v>K2/105, Central Park -1</v>
          </cell>
          <cell r="E83" t="str">
            <v>Golf Course Road</v>
          </cell>
          <cell r="F83" t="str">
            <v>Thursday</v>
          </cell>
          <cell r="G83" t="str">
            <v>9 AM - 12 PM</v>
          </cell>
          <cell r="H83">
            <v>2300</v>
          </cell>
          <cell r="I83">
            <v>287.5</v>
          </cell>
          <cell r="J83" t="str">
            <v>Felicity</v>
          </cell>
          <cell r="K83"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83" t="str">
            <v>SPRAY DAISY</v>
          </cell>
          <cell r="M83" t="str">
            <v>Check for Bi weekly package</v>
          </cell>
          <cell r="N83" t="str">
            <v>3  del of this cycle   -  0-cycles pmnt   Completed - Collect 0</v>
          </cell>
          <cell r="O83" t="e">
            <v>#N/A</v>
          </cell>
          <cell r="P83" t="e">
            <v>#N/A</v>
          </cell>
          <cell r="Q83" t="str">
            <v>P n W Glad ( 14 Inch ) 11     Grass</v>
          </cell>
          <cell r="R83" t="e">
            <v>#N/A</v>
          </cell>
          <cell r="S83" t="str">
            <v>Pur n P Car ( 14 Inch ) 11     FF Sachet + Grass</v>
          </cell>
          <cell r="T83" t="str">
            <v>B Daisy ( 12 Inch ) 11     Grass</v>
          </cell>
        </row>
        <row r="84">
          <cell r="A84">
            <v>2961</v>
          </cell>
          <cell r="B84" t="str">
            <v>Vishal Sagar</v>
          </cell>
          <cell r="C84">
            <v>9990720203</v>
          </cell>
          <cell r="D84" t="str">
            <v>E-002, The Residency, Aardee City, Gate No. 2</v>
          </cell>
          <cell r="E84" t="str">
            <v>Sushant Estate</v>
          </cell>
          <cell r="F84" t="str">
            <v>Thursday</v>
          </cell>
          <cell r="G84" t="str">
            <v>9 AM to 2 PM</v>
          </cell>
          <cell r="H84">
            <v>999</v>
          </cell>
          <cell r="I84">
            <v>249.75</v>
          </cell>
          <cell r="J84" t="str">
            <v>Collection Only</v>
          </cell>
          <cell r="K84" t="str">
            <v>Paytm From Vasudha Rana (26/02) Send 4 FF Sachet Next (27/02) HDTNP (21/05) Send on sat this week (22/05) HDTNP (25/06)</v>
          </cell>
          <cell r="M84" t="str">
            <v>4 FF Next (27/02)</v>
          </cell>
          <cell r="N84" t="str">
            <v>3  del of this cycle   -  1-cycles pmnt   Pending - Collect 999</v>
          </cell>
          <cell r="O84" t="str">
            <v>Y Spray Daisy ( 15 Inch ) 3     FF Sachet + Grass</v>
          </cell>
          <cell r="P84" t="str">
            <v>P n W Glad ( 14 Inch ) 9     Gras</v>
          </cell>
          <cell r="Q84" t="str">
            <v>Sunflower ( 12 Inch ) 2     FF Sachet + Grass</v>
          </cell>
          <cell r="R84" t="e">
            <v>#N/A</v>
          </cell>
          <cell r="S84" t="str">
            <v xml:space="preserve">Collect 500 n Close      </v>
          </cell>
          <cell r="T84" t="str">
            <v xml:space="preserve">Collect 500  n Close Carry Receipt Book     </v>
          </cell>
        </row>
        <row r="85">
          <cell r="A85" t="str">
            <v>CP00001</v>
          </cell>
          <cell r="B85" t="str">
            <v>Nidhi Sharma Malhotra -- BPTP -- Centra 1</v>
          </cell>
          <cell r="C85">
            <v>9999016333</v>
          </cell>
          <cell r="D85" t="str">
            <v>BPTP, Sec 61</v>
          </cell>
          <cell r="E85" t="str">
            <v>Ghata</v>
          </cell>
          <cell r="F85" t="str">
            <v>Thursday</v>
          </cell>
          <cell r="G85" t="str">
            <v>By 5 PM</v>
          </cell>
          <cell r="H85">
            <v>24600</v>
          </cell>
          <cell r="I85">
            <v>24600</v>
          </cell>
          <cell r="J85" t="str">
            <v>Corporate</v>
          </cell>
          <cell r="T85" t="str">
            <v xml:space="preserve">Hydrangea + W Asiatic       </v>
          </cell>
        </row>
        <row r="86">
          <cell r="A86">
            <v>1978</v>
          </cell>
          <cell r="B86" t="str">
            <v>Anu-- After 6 PM</v>
          </cell>
          <cell r="C86" t="str">
            <v>98103 39602</v>
          </cell>
          <cell r="D86" t="str">
            <v xml:space="preserve">Tower 6, 901 Fresco </v>
          </cell>
          <cell r="E86" t="str">
            <v>Nirvana Country</v>
          </cell>
          <cell r="F86" t="str">
            <v>Thursday</v>
          </cell>
          <cell r="G86" t="str">
            <v>4 Pm to 7 PM</v>
          </cell>
          <cell r="H86">
            <v>4850</v>
          </cell>
          <cell r="I86">
            <v>606.25</v>
          </cell>
          <cell r="J86" t="str">
            <v>Poise</v>
          </cell>
          <cell r="K86"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86" t="str">
            <v>ROSE n RAJNI n HELICONIA n BOP</v>
          </cell>
          <cell r="M86" t="str">
            <v>after 6 pm on 19th (16/04)</v>
          </cell>
          <cell r="N86" t="str">
            <v>8  del of this cycle   -  0-cycles pmnt   Completed - Collect 0</v>
          </cell>
          <cell r="O86" t="str">
            <v>P Asiatic ( 14 Inch ) 2 P n W Spray Dausy ( 14 Inch ) 4 P n W Glad ( 14 Inch ) 12 Grass</v>
          </cell>
          <cell r="P86" t="str">
            <v>Y Asiatic ( 14 Inch ) 2 Mix Eustoma ( 12 Inch ) 4 P n W Car ( 14 Inch ) 12 Grass</v>
          </cell>
          <cell r="Q86" t="str">
            <v>P Asiatic ( 14 Inch ) 2 Mix Alstroemeria ( 12 inch )  8 P n W Glad ( 14 Inch ) 8 Grass</v>
          </cell>
          <cell r="R86" t="str">
            <v>W Asiatic ( 14 Inch ) 2 P n Y Spray Daisy ( 14 Inch ) 4 Rajni ( 14 Inch ) 12 Grass</v>
          </cell>
          <cell r="S86" t="str">
            <v>O Asiatic ( 14 Inch ) 2 Sunflower ( 12 Inch ) 4 Pur n P Car ( 14 Inch ) 12 Grass</v>
          </cell>
          <cell r="T86" t="str">
            <v>W Asiatic ( 14 Inch ) 2 Mix Alstroemeria ( 12 Inch ) 8 B Daisy 10 Grass</v>
          </cell>
        </row>
        <row r="87">
          <cell r="A87" t="str">
            <v>B56397</v>
          </cell>
          <cell r="B87" t="str">
            <v>Preeti Khosla</v>
          </cell>
          <cell r="C87">
            <v>9873156750</v>
          </cell>
          <cell r="D87" t="str">
            <v>H-702, Ireo Grand Arch</v>
          </cell>
          <cell r="E87" t="str">
            <v>Ghata</v>
          </cell>
          <cell r="F87" t="str">
            <v>Thursday</v>
          </cell>
          <cell r="G87" t="str">
            <v>By 6 PM</v>
          </cell>
          <cell r="H87">
            <v>600</v>
          </cell>
          <cell r="I87">
            <v>600</v>
          </cell>
          <cell r="J87" t="str">
            <v>Bouquet</v>
          </cell>
          <cell r="T87" t="str">
            <v xml:space="preserve">Yel Alstroemeria 10     </v>
          </cell>
        </row>
        <row r="88">
          <cell r="B88" t="str">
            <v xml:space="preserve">Sameeksha jain </v>
          </cell>
          <cell r="C88" t="str">
            <v>99300 32211‬</v>
          </cell>
          <cell r="D88" t="str">
            <v>Tower 5 flat no 602
Tata Primanti sector 72 
Gurgaon  122101</v>
          </cell>
          <cell r="G88" t="str">
            <v>Before 2 Pm</v>
          </cell>
          <cell r="H88">
            <v>1325</v>
          </cell>
          <cell r="J88" t="str">
            <v>Bouquet</v>
          </cell>
          <cell r="K88" t="str">
            <v>Sameeksha jain 
Tower 5 flat no 602
Tata Primanti sector 72 
Gurgaon  122101
Happy Anniversary Sameeksha nd Neeraj
From
Preeti n Vinod
Send today from —‪+91 99300 32211‬ before 2pm</v>
          </cell>
          <cell r="T88" t="str">
            <v xml:space="preserve">P Car+ B Orchid  Fish Bowl Arrangement Message   </v>
          </cell>
        </row>
        <row r="89">
          <cell r="A89">
            <v>2135</v>
          </cell>
          <cell r="B89" t="str">
            <v>Ritika- Ireo</v>
          </cell>
          <cell r="C89">
            <v>9711196560</v>
          </cell>
          <cell r="D89" t="str">
            <v>B-2701, Ireo Victory Valley, Sec 67</v>
          </cell>
          <cell r="G89" t="str">
            <v xml:space="preserve"> Before 8</v>
          </cell>
          <cell r="H89">
            <v>1450</v>
          </cell>
          <cell r="J89" t="str">
            <v>Bouquet</v>
          </cell>
          <cell r="K89" t="str">
            <v>Send a bouquet before 8 of Asiatic lilies and carnations to Ritika Ireo
+91 97111 96560</v>
          </cell>
          <cell r="T89" t="str">
            <v xml:space="preserve">Asiatic +  Car  + Rose  + Spary Daisy  3 + 6+ 6+5 Walkin Tissue Wrap     </v>
          </cell>
        </row>
      </sheetData>
      <sheetData sheetId="9"/>
      <sheetData sheetId="10"/>
      <sheetData sheetId="11"/>
      <sheetData sheetId="12"/>
      <sheetData sheetId="13"/>
      <sheetData sheetId="14"/>
      <sheetData sheetId="15">
        <row r="2">
          <cell r="A2">
            <v>3396</v>
          </cell>
          <cell r="B2" t="str">
            <v>Shivani Gogia</v>
          </cell>
          <cell r="C2">
            <v>7838568324</v>
          </cell>
          <cell r="D2" t="str">
            <v>A-105, 1st Floor, Siushant Lok 3, Sec 57</v>
          </cell>
          <cell r="E2" t="str">
            <v>Sector 56</v>
          </cell>
          <cell r="F2" t="str">
            <v>Thursday</v>
          </cell>
          <cell r="G2" t="str">
            <v>9:30 Am to 2 PM</v>
          </cell>
          <cell r="H2">
            <v>1450</v>
          </cell>
          <cell r="I2">
            <v>362.5</v>
          </cell>
          <cell r="J2" t="str">
            <v>Customized</v>
          </cell>
          <cell r="K2" t="str">
            <v>14 rajni</v>
          </cell>
          <cell r="N2" t="str">
            <v>3  del of this cycle   -  0-cycles pmnt   Completed - Collect 0</v>
          </cell>
          <cell r="O2" t="e">
            <v>#N/A</v>
          </cell>
          <cell r="P2" t="e">
            <v>#N/A</v>
          </cell>
          <cell r="Q2" t="e">
            <v>#N/A</v>
          </cell>
          <cell r="R2" t="str">
            <v>Rajni ( 14 Inch ) 14     Grass</v>
          </cell>
          <cell r="S2" t="str">
            <v>O Asiatic ( ( 14 inch ) 3     FF Sachet + Grass</v>
          </cell>
          <cell r="T2" t="str">
            <v>G n W Car ( 14 Inch ) 16     FF Sachet + Grass</v>
          </cell>
        </row>
        <row r="3">
          <cell r="A3">
            <v>3410</v>
          </cell>
          <cell r="B3" t="str">
            <v>Tarishka Gupta</v>
          </cell>
          <cell r="C3">
            <v>9870128711</v>
          </cell>
          <cell r="D3" t="str">
            <v>A1/804, Unitech The Residences</v>
          </cell>
          <cell r="E3" t="str">
            <v>Sohna Road 2</v>
          </cell>
          <cell r="F3" t="str">
            <v>Thursday</v>
          </cell>
          <cell r="G3" t="str">
            <v>4 PM to 7 PM</v>
          </cell>
          <cell r="H3">
            <v>1450</v>
          </cell>
          <cell r="I3">
            <v>362.5</v>
          </cell>
          <cell r="J3" t="str">
            <v>Bliss</v>
          </cell>
          <cell r="N3" t="str">
            <v>1  del of this cycle   -  0-cycles pmnt   Completed - Collect 0</v>
          </cell>
          <cell r="O3" t="e">
            <v>#N/A</v>
          </cell>
          <cell r="P3" t="e">
            <v>#N/A</v>
          </cell>
          <cell r="Q3" t="e">
            <v>#N/A</v>
          </cell>
          <cell r="R3" t="e">
            <v>#N/A</v>
          </cell>
          <cell r="S3" t="e">
            <v>#N/A</v>
          </cell>
          <cell r="T3" t="str">
            <v>G n W Car ( 14 Inch ) 16     FF Sachet + Grass</v>
          </cell>
        </row>
        <row r="4">
          <cell r="A4">
            <v>401</v>
          </cell>
          <cell r="B4" t="str">
            <v>Nameesha Verma -- Before 12PM</v>
          </cell>
          <cell r="C4">
            <v>9899240454</v>
          </cell>
          <cell r="D4" t="str">
            <v>D-4/102, Parsvanath Exotica</v>
          </cell>
          <cell r="E4" t="str">
            <v>DLF Phase 5</v>
          </cell>
          <cell r="F4" t="str">
            <v>Thursday</v>
          </cell>
          <cell r="G4" t="str">
            <v>Before 12 PM</v>
          </cell>
          <cell r="H4">
            <v>1600</v>
          </cell>
          <cell r="I4">
            <v>200</v>
          </cell>
          <cell r="J4" t="str">
            <v>Bloom</v>
          </cell>
          <cell r="K4"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4" t="str">
            <v>3 Car extra next (20/03)</v>
          </cell>
          <cell r="N4" t="str">
            <v>6  del of this cycle   -  0-cycles pmnt   Completed - Collect 0</v>
          </cell>
          <cell r="O4" t="e">
            <v>#N/A</v>
          </cell>
          <cell r="P4" t="str">
            <v>P Spray Daisy ( 14 Inch ) 2     FF Sachet + Grass</v>
          </cell>
          <cell r="Q4" t="str">
            <v>Sunflower ( 12 Inch) 2     Grass</v>
          </cell>
          <cell r="R4" t="str">
            <v>P n W Car ( 14 Inch ) 7    Collect Payment FF Sachet + Grass</v>
          </cell>
          <cell r="S4" t="str">
            <v>Mix Alstroemeria ( 12Inch ) 7     FF Sachet + Grass</v>
          </cell>
          <cell r="T4" t="str">
            <v>Rajni ( 14 Inch ) 7     Grass</v>
          </cell>
        </row>
        <row r="5">
          <cell r="A5">
            <v>2761</v>
          </cell>
          <cell r="B5" t="str">
            <v>Gyan</v>
          </cell>
          <cell r="C5">
            <v>9560719191</v>
          </cell>
          <cell r="D5" t="str">
            <v>J7, 2nd Floor, Signature Global City, Sec 37 D</v>
          </cell>
          <cell r="E5" t="str">
            <v>Dwarka Expressway</v>
          </cell>
          <cell r="F5" t="str">
            <v>Thursday</v>
          </cell>
          <cell r="G5" t="str">
            <v>4 PM to 7 PM</v>
          </cell>
          <cell r="H5">
            <v>1450</v>
          </cell>
          <cell r="I5">
            <v>362.5</v>
          </cell>
          <cell r="J5" t="str">
            <v>Bliss</v>
          </cell>
          <cell r="K5" t="str">
            <v>Upgraded as per scheme to Bliss for 5 Deliveries (22/08) No delivered today-send tom (02/10) Skip 1 week (26/11) Skip 2 week (28/01) Skip 2 week (10/03) No Sunflower ( 17/06)</v>
          </cell>
          <cell r="L5" t="str">
            <v>Sunflower</v>
          </cell>
          <cell r="N5" t="str">
            <v>1  del of this cycle   -  1-cycles pmnt   Pending - Collect 1450</v>
          </cell>
          <cell r="O5" t="str">
            <v>Sunflower ( 12 Inch ) 2 P n W Glad ( 14 Inch ) 7   FF Sachet + Grass</v>
          </cell>
          <cell r="P5" t="str">
            <v>P Asiatic ( 14 Inch ) 2 Pur n P Car ( 14 Inch ) 7   Grass</v>
          </cell>
          <cell r="Q5" t="str">
            <v>Pur Eustoma ( 12 Inch ) 2 Rajni ( 14 Inch ) 7   FF Sachet + Grass</v>
          </cell>
          <cell r="R5" t="str">
            <v>Spray Daisy 3 B Daisy ( 12 Inch ) 7   FF Sachet + Grass</v>
          </cell>
          <cell r="S5" t="str">
            <v>O Asiatic ( ( 14 inch ) 2 Mix Car 7   Grass</v>
          </cell>
          <cell r="T5" t="str">
            <v>P Spray Daisy ( 14 Inch ) 3 P n W Glad ( 14 Inch ) 7   FF Sachet + Grass</v>
          </cell>
        </row>
        <row r="6">
          <cell r="A6">
            <v>2355</v>
          </cell>
          <cell r="B6" t="str">
            <v>Convinience Enterprises-Veena Anand</v>
          </cell>
          <cell r="C6">
            <v>9810031208</v>
          </cell>
          <cell r="D6" t="str">
            <v>307, Aralyas, DLF 5</v>
          </cell>
          <cell r="E6" t="str">
            <v>Golf Course Road</v>
          </cell>
          <cell r="F6" t="str">
            <v>Thursday</v>
          </cell>
          <cell r="G6" t="str">
            <v>By 10 AM</v>
          </cell>
          <cell r="H6">
            <v>2750</v>
          </cell>
          <cell r="I6">
            <v>687.5</v>
          </cell>
          <cell r="J6" t="str">
            <v>Corporate</v>
          </cell>
          <cell r="K6" t="str">
            <v>Skip this Thursday and send on Sunday (20/11)Hold and send on 12th Now (31/12) Do Not count last Del (02/07) Skip 1 week (10/09) Skip 2 week (18/05)</v>
          </cell>
          <cell r="N6" t="str">
            <v>3  del of this cycle   -  0-cycles pmnt   In Process - Collect 0</v>
          </cell>
          <cell r="O6" t="str">
            <v>Pur n P Car ( 14 inch ) 32     2 Limonium + FF Sachet</v>
          </cell>
          <cell r="P6" t="str">
            <v xml:space="preserve">O Asiatic ( 14 Inch ) 6     2 Gypsola </v>
          </cell>
          <cell r="Q6" t="e">
            <v>#N/A</v>
          </cell>
          <cell r="R6" t="e">
            <v>#N/A</v>
          </cell>
          <cell r="S6" t="str">
            <v>Rajni ( 14 Inch ) 32     2 Limonium</v>
          </cell>
          <cell r="T6" t="str">
            <v>P n Y Spray Daisy ( 14 Inch ) 10     2 Gypsola + FF Sachet</v>
          </cell>
        </row>
        <row r="7">
          <cell r="A7" t="str">
            <v>G-00066</v>
          </cell>
          <cell r="B7" t="str">
            <v>Aastha Vernma</v>
          </cell>
          <cell r="C7">
            <v>8581860035</v>
          </cell>
          <cell r="D7" t="str">
            <v>T-3/604, Takshila Heights, Sec 37 C</v>
          </cell>
          <cell r="E7" t="str">
            <v>Old Gurgaon</v>
          </cell>
          <cell r="F7" t="str">
            <v>Thursday</v>
          </cell>
          <cell r="G7" t="str">
            <v>4 PM to 7PM</v>
          </cell>
          <cell r="H7">
            <v>1450</v>
          </cell>
          <cell r="I7">
            <v>362.5</v>
          </cell>
          <cell r="J7" t="str">
            <v>Bliss</v>
          </cell>
          <cell r="K7" t="str">
            <v>From Srishti Verma</v>
          </cell>
          <cell r="N7" t="str">
            <v>1  del of this cycle   -  0-cycles pmnt   Completed - Collect 0</v>
          </cell>
          <cell r="O7" t="e">
            <v>#N/A</v>
          </cell>
          <cell r="P7" t="e">
            <v>#N/A</v>
          </cell>
          <cell r="Q7" t="e">
            <v>#N/A</v>
          </cell>
          <cell r="R7" t="e">
            <v>#N/A</v>
          </cell>
          <cell r="S7" t="e">
            <v>#N/A</v>
          </cell>
          <cell r="T7" t="str">
            <v>G n W Car ( 14 Inch ) 16     FF Sachet + Grass</v>
          </cell>
        </row>
        <row r="8">
          <cell r="A8">
            <v>326</v>
          </cell>
          <cell r="B8" t="str">
            <v>Radhika Surana-- Before 10</v>
          </cell>
          <cell r="C8">
            <v>9871132800</v>
          </cell>
          <cell r="D8" t="str">
            <v>1204, The Magnolias</v>
          </cell>
          <cell r="E8" t="str">
            <v>Golf Course Road</v>
          </cell>
          <cell r="F8" t="str">
            <v>Thursday</v>
          </cell>
          <cell r="G8" t="str">
            <v>9 AM - 12 PM</v>
          </cell>
          <cell r="H8">
            <v>2750</v>
          </cell>
          <cell r="I8">
            <v>687.5</v>
          </cell>
          <cell r="J8" t="str">
            <v>Elation</v>
          </cell>
          <cell r="K8" t="str">
            <v>NO ORCHIDS, Prefer Lilies,Rajni and Gerbera(04/10) 1 week(22/04) Paytm from Anurag Surana(06/06) Paytm from Anurag Surana(02/07)  NO Orchid n BOP (25/01)  Skip 1 week (28/06) Hold 3rd aug and send on 7th Aug (03/08) Today returned (07/08) Skip this thursday and send on Monday (15/08) After 2nd Oct now (27/09) Skip 1 week (21/10) Hold n send after 8th Jan (13/12) Skip 1 week (30/01) Skip tom n sned on 19th (13/03) Skip 23rd and 30th (16/05) Skip 2 weeks and send mext del on 22nd June (12/06) Skip this week n start from tuesday (24/07) Skip 1 week (20/08) Skip 1 week (03/09) Skip 7th n 14th (06/11) Skip 5th Dec Del (02/12) skip 2 week (21/12) Today Returned (23/01) Skip 1 week and send on sunday (22/02) Skip tom and send on monday (05/03) Skip 1 week (19/03) Skip 2 weeks (05/04) Skip 2 weeks (31/05) Skip 1 week (19/08)  No Del on 18th, 25th and 2nd Oct (14/09) Returned today (09/10) Send this week on sunday and then thursday (05/11) Hold today n next weeks (27/11) Skip 1 week (25/12) Skip 1 week (30/03) Skip 4th n 11th June (28/05)</v>
          </cell>
          <cell r="L8" t="str">
            <v>BOP n ORCHID</v>
          </cell>
          <cell r="N8" t="str">
            <v>3  del of this cycle   -  1-cycles pmnt   Pending - Collect 5800</v>
          </cell>
          <cell r="O8" t="e">
            <v>#N/A</v>
          </cell>
          <cell r="P8" t="str">
            <v>Pur n P Car ( 14 inch ) 32     2 Gypsola + FF Sachet</v>
          </cell>
          <cell r="Q8" t="str">
            <v>P n W Glad ( 14 Inch ) 32     2 Limonium</v>
          </cell>
          <cell r="R8" t="str">
            <v>Pur n P Car ( 14 Inch ) 32     2 Gypsola</v>
          </cell>
          <cell r="S8" t="str">
            <v>P Asiatic ( 14 Inch ) 6  Gate Pass Wahab Ke Pass Hai Collect Payment Collect Payment 2 Limonium</v>
          </cell>
          <cell r="T8" t="str">
            <v>P n W Spray Daisy ( 14 Inch ) 10     2 Gypsola + FF Sachet</v>
          </cell>
        </row>
        <row r="9">
          <cell r="A9" t="str">
            <v>G-00036</v>
          </cell>
          <cell r="B9" t="str">
            <v>Aanchal Boora</v>
          </cell>
          <cell r="C9">
            <v>9654700022</v>
          </cell>
          <cell r="D9" t="str">
            <v>Flat - 1171, Ats Triumph, Wing B, Tower 1, 17th Floor, Sec 104</v>
          </cell>
          <cell r="E9" t="str">
            <v>Dwarka Expressway</v>
          </cell>
          <cell r="F9" t="str">
            <v>Thursday</v>
          </cell>
          <cell r="G9" t="str">
            <v>4 Pm to 7 PM</v>
          </cell>
          <cell r="H9">
            <v>1450</v>
          </cell>
          <cell r="I9">
            <v>362.5</v>
          </cell>
          <cell r="J9" t="str">
            <v>Bliss</v>
          </cell>
          <cell r="K9" t="str">
            <v>From Avni Ahuja // Skip tom (10/12) Paytm From Nitin Kunka // No Orchids (27/01) Skip 1 week (27/02) No Sunflowers (02/05)</v>
          </cell>
          <cell r="L9" t="str">
            <v xml:space="preserve">Orchid n Sunflowers </v>
          </cell>
          <cell r="M9" t="str">
            <v>One Kind</v>
          </cell>
          <cell r="N9" t="str">
            <v>4  del of this cycle   -  0-cycles pmnt   Completed - Collect 0</v>
          </cell>
          <cell r="O9" t="e">
            <v>#N/A</v>
          </cell>
          <cell r="P9" t="e">
            <v>#N/A</v>
          </cell>
          <cell r="Q9" t="e">
            <v>#N/A</v>
          </cell>
          <cell r="R9" t="str">
            <v>P Asiatic ( 14 Inch ) 3    Collect Payment Grass</v>
          </cell>
          <cell r="S9" t="str">
            <v>Rajni ( 14 Inch ) 16     Grass</v>
          </cell>
          <cell r="T9" t="str">
            <v>P n Y Spray Daisy ( 14 Inch ) 5     FF Sachet + Grass</v>
          </cell>
        </row>
        <row r="10">
          <cell r="A10">
            <v>2024</v>
          </cell>
          <cell r="B10" t="str">
            <v>Priyanka Katyal</v>
          </cell>
          <cell r="C10">
            <v>9958565556</v>
          </cell>
          <cell r="D10" t="str">
            <v>1487, Saraswati Kunj, Sector 53</v>
          </cell>
          <cell r="E10" t="str">
            <v>DLF Phase 5</v>
          </cell>
          <cell r="F10" t="str">
            <v>Thursday</v>
          </cell>
          <cell r="G10" t="str">
            <v>9 AM - 12 PM</v>
          </cell>
          <cell r="H10">
            <v>1950</v>
          </cell>
          <cell r="I10">
            <v>487.5</v>
          </cell>
          <cell r="J10" t="str">
            <v>Joy</v>
          </cell>
          <cell r="K10" t="str">
            <v>Sunday n Thursday//NO Oriental and Guldawari (29/12) Paytm From Sanjay Katyal (28/03) Hold till 8th June-- she will confirm the package (24/05)' Shift to felicity// Today hold --send tom (09/07) Lilies Tom (08/11) Paytm From Ace Promoters and Developers Pvt. Ltd (26/01) Send Replacement tom (17/02) Skip 1 week (10/07) Couldn't deliver due to water logging-send on sunday (29/08) Paytm from Sanjay Katyal (20/10) Skip 2 week (21/05) Hold till 13th Aiug (26/07) Premium Flwer extra Next (09/01)</v>
          </cell>
          <cell r="L10" t="str">
            <v>ORIENTAL n GULDAWARI</v>
          </cell>
          <cell r="M10" t="str">
            <v>Premium Flwer extra Next (09/01)</v>
          </cell>
          <cell r="N10" t="str">
            <v>1  del of this cycle   -  1-cycles pmnt   Pending - Collect 1950</v>
          </cell>
          <cell r="O10" t="str">
            <v>P n W Glad ( 14 Inch ) 22     Grass</v>
          </cell>
          <cell r="P10" t="str">
            <v>P n W Spray Daisy ( 14 Inch ) 7     FF Sachet + Grass</v>
          </cell>
          <cell r="Q10" t="str">
            <v>O Asiatic ( 14 Inch ) 4     Grass</v>
          </cell>
          <cell r="R10" t="str">
            <v>P n W Car ( 14 Inch ) 22     FF Sachet + Grass</v>
          </cell>
          <cell r="S10" t="str">
            <v>Rajni ( 14 Inch ) 22     Grass</v>
          </cell>
          <cell r="T10" t="str">
            <v>Mix Alstroemeria ( 12 Inch ) 22     FF Sachet + Grass</v>
          </cell>
        </row>
        <row r="11">
          <cell r="A11">
            <v>1181</v>
          </cell>
          <cell r="B11" t="str">
            <v>Parul Sharma --Elation</v>
          </cell>
          <cell r="C11">
            <v>8800895944</v>
          </cell>
          <cell r="D11" t="str">
            <v>Villa-27, The Legend</v>
          </cell>
          <cell r="E11" t="str">
            <v>Artemis</v>
          </cell>
          <cell r="F11" t="str">
            <v>Thursday</v>
          </cell>
          <cell r="G11" t="str">
            <v>9 AM to 2 PM</v>
          </cell>
          <cell r="H11">
            <v>1950</v>
          </cell>
          <cell r="I11">
            <v>487.5</v>
          </cell>
          <cell r="J11" t="str">
            <v>Joy</v>
          </cell>
          <cell r="K11" t="str">
            <v>Tuesday and Thursday//Change day to Thursday(21/12) Car Next(18/01) NO ORCHIDS(20/01) Car Next(02/02) Sending on 20th instaed of 21st,bcoz of Holi(18/03) Today FF Sent(11/04) Paytm from ritu Kaur(12/04) Send replacement(12/04) Send Special Pack(08/05) Received payment of special pack(10/05) Hold n start from 2nd week of july(04/060 Inform Before sending(01/07) Start from next week(10/07) Sending on 14th instrad of 15th Aug(13/08) Today Hold-send tom(26/09) Send double del tom(23/10) R car Tom(15/01) Send Replacement tom(27/02) Hold n start from 3rd week of April(18/03) NO Rose n NO Orchids----Send R Car Next(21/12) Rajnigandha Next(12/01) Replace ment next and send Flower food(10/04) Recvd 250 from Gpay(15/07) Return-not at home(14/09) Shift to Elation(18/10) Skip 1 week(27/06) Hold n start from July (12/06) Hold due to non Payment (15/01) Paytm From Vinay Deopujari (26/02)</v>
          </cell>
          <cell r="M11" t="str">
            <v>Before 11:30 AM</v>
          </cell>
          <cell r="N11" t="str">
            <v>2  del of this cycle   -  1-cycles pmnt   Pending - Collect 1950</v>
          </cell>
          <cell r="O11" t="str">
            <v>Pur n P Eustoma ( 12 Inch ) 4     FF Sachet + Grass</v>
          </cell>
          <cell r="P11" t="str">
            <v>P n Y Spray Daisy ( 14 Inch ) 7     FF Sachet + Grass</v>
          </cell>
          <cell r="Q11" t="str">
            <v>P n W Car ( 14 inch ) 22     FF Sachet + Grass</v>
          </cell>
          <cell r="R11" t="str">
            <v>Sunflower ( 12 Inch ) 5     FF Sachet + Grass</v>
          </cell>
          <cell r="S11" t="str">
            <v>W Asiatic ( 14 Inch ) 4     Grass</v>
          </cell>
          <cell r="T11" t="str">
            <v>Mix Alstroemeria ( 12 Inch ) 22     FF Sachet + Grass</v>
          </cell>
        </row>
        <row r="12">
          <cell r="A12">
            <v>14</v>
          </cell>
          <cell r="B12" t="str">
            <v>Ms. Neelam Bhalla </v>
          </cell>
          <cell r="C12">
            <v>9810546046</v>
          </cell>
          <cell r="D12" t="str">
            <v>H4, 4th Floor, Olive Residency, Mayfield Garden, Sec 57</v>
          </cell>
          <cell r="E12" t="str">
            <v>Artemis</v>
          </cell>
          <cell r="F12" t="str">
            <v>Thursday</v>
          </cell>
          <cell r="G12" t="str">
            <v>9 AM - 12 PM</v>
          </cell>
          <cell r="H12">
            <v>1950</v>
          </cell>
          <cell r="I12">
            <v>487.5</v>
          </cell>
          <cell r="J12" t="str">
            <v>Joy</v>
          </cell>
          <cell r="K12" t="str">
            <v>No Glad (19/05) Pls send Daisy in next del with Asiatic(11/12)  Orchids Next(26/06) Send Gerbera Next with Flower Food902/07)  Orchids next(21/11)  Oriental next(20/03) Y Spray Daisy tom(25/03) Only 1 kind of flowers now(20/05) S NO GLAD n BOP (30/12) Today returned-send tom (21/01) Skip 2 weeks (27/01) Send 1 Flower Food next (13/06) Skip 1 week (06/07) Skip 1 week (20/08) Aster in Del (19/10) Hold today -send tom (03/11) Skip 1 week (01/02) Skip 1 week (29/02) Hold till 1st July (15/06) Skip 1 week (24/07) Skip 29th (26/11) Skip tom (23/01) Skip tom (27/02) Skip 1 week (11/03) Skip 1 week (17/06) Skip 1 week (20/01) Skip 1 week (04/02) Skip thursday (24/02) Skip 1 week (16/06)</v>
          </cell>
          <cell r="L12" t="str">
            <v>GLAD n BOP n GERBERA</v>
          </cell>
          <cell r="N12" t="str">
            <v>1  del of this cycle   -  1-cycles pmnt   Pending - Collect 1950</v>
          </cell>
          <cell r="O12" t="str">
            <v>Pur n P Eustoma ( 12 Inch ) 4     FF Sachet + Grass</v>
          </cell>
          <cell r="P12" t="e">
            <v>#N/A</v>
          </cell>
          <cell r="Q12" t="str">
            <v>Pur n P Eustoma ( 12 Inch ) 4     FF Sachet + Grass</v>
          </cell>
          <cell r="R12" t="str">
            <v>Sunflower ( 12 Inch ) 5     FF Sachet + Grass</v>
          </cell>
          <cell r="S12" t="str">
            <v>Rajni ( 14 Inch ) 22     Grass</v>
          </cell>
          <cell r="T12" t="str">
            <v>G n W Car ( 14 Inch ) 22     FF Sachet + Grass</v>
          </cell>
        </row>
        <row r="13">
          <cell r="A13">
            <v>2294</v>
          </cell>
          <cell r="B13" t="str">
            <v>Sonal Verma</v>
          </cell>
          <cell r="C13">
            <v>9711499808</v>
          </cell>
          <cell r="D13" t="str">
            <v>H. No. 19, 1st Floor, Cedar Crest</v>
          </cell>
          <cell r="E13" t="str">
            <v>Nirvana Country</v>
          </cell>
          <cell r="F13" t="str">
            <v>Thursday</v>
          </cell>
          <cell r="G13" t="str">
            <v>9 AM - 12 PM</v>
          </cell>
          <cell r="H13">
            <v>1450</v>
          </cell>
          <cell r="I13">
            <v>362.5</v>
          </cell>
          <cell r="J13" t="str">
            <v>Bliss</v>
          </cell>
          <cell r="K13" t="str">
            <v>Skip 1 week (11/03) Skip 1 week (21/05) Pls skip 1 week (18/06) Sent one del today (10/12) Hold due to non payment (29/01) Hold due to non payment (04/02) HDTNP (19/02) HDTNP (26/02) HDTNP (21/05) HDTNP (28/05) HDTNP (04/06) HDTNP (11/06) HDTNP (18/06) HDTNP (25/06) HDTNP (02/07) Paytm From Sandeep Verma (09/07)</v>
          </cell>
          <cell r="N13" t="str">
            <v>3  del of this cycle   -  0-cycles pmnt   Completed - Collect 0</v>
          </cell>
          <cell r="O13" t="e">
            <v>#N/A</v>
          </cell>
          <cell r="P13" t="e">
            <v>#N/A</v>
          </cell>
          <cell r="Q13" t="e">
            <v>#N/A</v>
          </cell>
          <cell r="R13" t="str">
            <v xml:space="preserve">Collect Rs 725 Carry Reciept Book     </v>
          </cell>
          <cell r="S13" t="str">
            <v xml:space="preserve">Collect 725  Carry Receipt Bookl     </v>
          </cell>
          <cell r="T13" t="str">
            <v>G n W Car ( 14 Inch ) 16     FF Sachet + Grass</v>
          </cell>
        </row>
        <row r="14">
          <cell r="A14">
            <v>1998</v>
          </cell>
          <cell r="B14" t="str">
            <v>Shivani Katyal</v>
          </cell>
          <cell r="C14">
            <v>9811053756</v>
          </cell>
          <cell r="D14" t="str">
            <v>H. No. 1486, Sarsawati Kunj</v>
          </cell>
          <cell r="E14" t="str">
            <v>DLF Phase 5</v>
          </cell>
          <cell r="F14" t="str">
            <v>Thursday</v>
          </cell>
          <cell r="G14" t="str">
            <v>9:30 Am to 2 PM</v>
          </cell>
          <cell r="H14">
            <v>1950</v>
          </cell>
          <cell r="I14">
            <v>487.5</v>
          </cell>
          <cell r="J14" t="str">
            <v>Joy</v>
          </cell>
          <cell r="K14" t="str">
            <v>Rose//Orchid//Asiatic//Anthurium//Heliconia//BOP (28/10) NO Guldawari n Anthurium (09/02) Paytm From Manish K M K (08/09) Paytm from Manish Katyal // Gpay From Palak Katyal (22/03) No Glad Also (18/04) Couldn't deliver due to watrelogging--send on Sunday (29/08) Skip n send on sunday (01/10)</v>
          </cell>
          <cell r="L14" t="str">
            <v>GULDAWARI n ANTHURIUM n GLAD</v>
          </cell>
          <cell r="N14" t="str">
            <v>2  del of this cycle   -  0-cycles pmnt   CompletedNO COLLECTION-we have extra money - Collect -100</v>
          </cell>
          <cell r="O14" t="str">
            <v>Pur n P Car ( 14 inch ) 22     FF Sachet + Grass</v>
          </cell>
          <cell r="P14" t="str">
            <v>Mix Alstroemeria ( 12 Inch ) 22     FF Sachet + Grass</v>
          </cell>
          <cell r="Q14" t="str">
            <v>P n W Spray Daisy 7     FF Sachet + Grass</v>
          </cell>
          <cell r="R14" t="str">
            <v>P Asiatic ( 14 Inch ) 4     Grass</v>
          </cell>
          <cell r="S14" t="str">
            <v>Rajni ( 14 Inch ) 22     Grass</v>
          </cell>
          <cell r="T14" t="str">
            <v>G n W Car ( 14 Inch ) 22     FF Sachet + Grass</v>
          </cell>
        </row>
        <row r="15">
          <cell r="A15">
            <v>2774</v>
          </cell>
          <cell r="B15" t="str">
            <v>Vandana Thakran</v>
          </cell>
          <cell r="C15">
            <v>9899589964</v>
          </cell>
          <cell r="D15" t="str">
            <v>H. No. 35, Cedar Crest</v>
          </cell>
          <cell r="E15" t="str">
            <v>Nirvana Country</v>
          </cell>
          <cell r="F15" t="str">
            <v>Sunday</v>
          </cell>
          <cell r="G15" t="str">
            <v>9 AM - 12 PM</v>
          </cell>
          <cell r="H15">
            <v>1600</v>
          </cell>
          <cell r="I15">
            <v>200</v>
          </cell>
          <cell r="J15" t="str">
            <v>Bloom</v>
          </cell>
          <cell r="N15" t="str">
            <v>6  del of this cycle   -  0-cycles pmnt   Completed - Collect 0</v>
          </cell>
          <cell r="O15" t="str">
            <v>Sunflower ( 12 Inch ) 2     FF Sachet + Grass</v>
          </cell>
          <cell r="P15" t="str">
            <v>Pur n P Car ( 14 inch ) 7     FF Sachet + Grass</v>
          </cell>
          <cell r="Q15" t="str">
            <v>P n W Glad ( 14 Inch ) 7     Grass</v>
          </cell>
          <cell r="R15" t="str">
            <v>Rajni ( 14 Inch ) 7     Grass</v>
          </cell>
          <cell r="S15" t="str">
            <v>P n W Car ( 14 Inch ) 7     FF Sachet + Grass</v>
          </cell>
          <cell r="T15" t="str">
            <v>Mix Alstroemeria ( 12 Inch ) 7     FF Sachet + Grass</v>
          </cell>
        </row>
        <row r="16">
          <cell r="A16">
            <v>3273</v>
          </cell>
          <cell r="B16" t="str">
            <v>Sharmishtha Jhulka</v>
          </cell>
          <cell r="C16">
            <v>9810010615</v>
          </cell>
          <cell r="D16" t="str">
            <v>817-B, The Camelias</v>
          </cell>
          <cell r="E16" t="str">
            <v>Golf Course Road</v>
          </cell>
          <cell r="F16" t="str">
            <v>Thursday</v>
          </cell>
          <cell r="G16" t="str">
            <v>9 AM to 2 PM</v>
          </cell>
          <cell r="H16">
            <v>5800</v>
          </cell>
          <cell r="I16">
            <v>1450</v>
          </cell>
          <cell r="J16" t="str">
            <v>Customized</v>
          </cell>
          <cell r="K16" t="str">
            <v>send on 19th, 26th Mar, 23rd April and may 26 // Now start from 18th June (15/05) 10 Asiatic Lilies // 20 Spray Daisies // 10 Sunflowers// 10 Eustoma Pack (20/05) No Sunflowers ( 02/07) 6 Bright Oriental Next (09/07)</v>
          </cell>
          <cell r="L16" t="str">
            <v>Sunflower</v>
          </cell>
          <cell r="M16" t="str">
            <v>Bright 6 P Orientel Next (09/07)</v>
          </cell>
          <cell r="N16" t="str">
            <v>4  del of this cycle   -  0-cycles pmnt   Completed - Collect 0</v>
          </cell>
          <cell r="O16" t="e">
            <v>#N/A</v>
          </cell>
          <cell r="P16" t="str">
            <v xml:space="preserve">P n Y Spray Daisy ( 14 Inch ) 20     </v>
          </cell>
          <cell r="Q16" t="str">
            <v>O n W Asiatic ( 14 Inch ) 10     3 Areca Palm + 2 Limonium</v>
          </cell>
          <cell r="R16" t="str">
            <v>Sunflower ( 12 Inch ) 10     2 Gypsola</v>
          </cell>
          <cell r="S16" t="str">
            <v xml:space="preserve">P n W Spray Daisy ( 14 Inch ) 10     </v>
          </cell>
          <cell r="T16" t="str">
            <v>Semi Bloom P Oriental 6     3 Limonium</v>
          </cell>
        </row>
        <row r="17">
          <cell r="A17">
            <v>3107</v>
          </cell>
          <cell r="B17" t="str">
            <v>Richa -- Icon</v>
          </cell>
          <cell r="C17">
            <v>9811394916</v>
          </cell>
          <cell r="D17" t="str">
            <v>B-173, the Icon</v>
          </cell>
          <cell r="E17" t="str">
            <v>DLF Phase 5</v>
          </cell>
          <cell r="F17" t="str">
            <v>Thursday</v>
          </cell>
          <cell r="G17" t="str">
            <v>10 AM to 2:30 PM</v>
          </cell>
          <cell r="H17">
            <v>1450</v>
          </cell>
          <cell r="I17">
            <v>362.5</v>
          </cell>
          <cell r="J17" t="str">
            <v>Bliss</v>
          </cell>
          <cell r="K17" t="str">
            <v>Paytm From Ankit Gupta (01/11) Skip 08th and 15th Jan (16/12) Hold till 16th Jan (19/12) Skip 1 week (12/02) Skip 1 week (11/03) Skip 1 week (01/04) Hold n strat from 02nd July (28/05)</v>
          </cell>
          <cell r="N17" t="str">
            <v>3  del of this cycle   -  0-cycles pmnt   Completed - Collect 0</v>
          </cell>
          <cell r="O17" t="e">
            <v>#N/A</v>
          </cell>
          <cell r="P17" t="e">
            <v>#N/A</v>
          </cell>
          <cell r="Q17" t="e">
            <v>#N/A</v>
          </cell>
          <cell r="R17" t="str">
            <v>Pur n P Car ( 14 Inch ) 16     FF Sachet + Grass</v>
          </cell>
          <cell r="S17" t="str">
            <v>P Asiatic ( 14 Inch ) 3     Grass</v>
          </cell>
          <cell r="T17" t="str">
            <v>P n W Glad ( 14 Inch ) 16     Grass</v>
          </cell>
        </row>
        <row r="18">
          <cell r="A18">
            <v>2307</v>
          </cell>
          <cell r="B18" t="str">
            <v>Alpna Jain</v>
          </cell>
          <cell r="C18">
            <v>9599336609</v>
          </cell>
          <cell r="D18" t="str">
            <v>C-64, The Icon</v>
          </cell>
          <cell r="E18" t="str">
            <v>DLF Phase 5</v>
          </cell>
          <cell r="F18" t="str">
            <v>Thursday</v>
          </cell>
          <cell r="G18" t="str">
            <v>10 AM to 2:30 PM</v>
          </cell>
          <cell r="H18">
            <v>3000</v>
          </cell>
          <cell r="I18">
            <v>375</v>
          </cell>
          <cell r="J18" t="str">
            <v>Charm</v>
          </cell>
          <cell r="K18" t="str">
            <v>Thursday n Sunday // Hold today (08/02) Keep flowers outside of Door (17/05)</v>
          </cell>
          <cell r="M18" t="str">
            <v>Keep flowers outside of door always</v>
          </cell>
          <cell r="N18" t="str">
            <v>8  del of this cycle   -  0-cycles pmnt   Completed - Collect 0</v>
          </cell>
          <cell r="O18" t="str">
            <v>Sunflower ( 12 Inch ) 4 Leave Outside of door-- Don’t Call and Don’t Ring Bell    FF Sachet + Grass</v>
          </cell>
          <cell r="P18" t="str">
            <v>Pur n P Eustoma ( 12 Inch ) 4 Leave Outside of door -- Don’t call n don’t ring bell    FF Sachet + Grass</v>
          </cell>
          <cell r="Q18" t="str">
            <v>Pur n P Car ( 14 Inch ) 15 Keep Flowers at door-- Don’t call or don’t ring Bell    FF Sachet + Grass</v>
          </cell>
          <cell r="R18" t="str">
            <v>B Daisy ( 12 Inch ) 15    Collect Payment Grass</v>
          </cell>
          <cell r="S18" t="str">
            <v>Sunflower ( 12 Inch ) 3 Keep Flowers at Door -- Don’t call or Ring the bell    FF Sachet + Grass</v>
          </cell>
          <cell r="T18" t="str">
            <v>P n Y Spray Daisy ( 14 Inch ) 4 Pls Keep at door -- Don’t Call 0r Ring Bell    FF Sachet + Grass</v>
          </cell>
        </row>
        <row r="19">
          <cell r="A19">
            <v>2502</v>
          </cell>
          <cell r="B19" t="str">
            <v>Amrita Sarup</v>
          </cell>
          <cell r="C19">
            <v>7028026940</v>
          </cell>
          <cell r="D19" t="str">
            <v>D1/802, Experion Heartsong, Sec 108</v>
          </cell>
          <cell r="E19" t="str">
            <v>Dwarka Expressway</v>
          </cell>
          <cell r="F19" t="str">
            <v>Thursday</v>
          </cell>
          <cell r="G19" t="str">
            <v>4 Pm to 7 PM</v>
          </cell>
          <cell r="H19">
            <v>1450</v>
          </cell>
          <cell r="I19">
            <v>362.5</v>
          </cell>
          <cell r="J19" t="str">
            <v>Bliss</v>
          </cell>
          <cell r="K19" t="str">
            <v>No Asiatic n Spray Daisy // Today Hold (14/08) Replacement tom (04/12) No Orchid (11/12) No BOP n Orchid (12/12) Today Returned -send on Sunday (18/12) Returned today (01/01/26) Next 3 Deliveries with Premium (11/.04)</v>
          </cell>
          <cell r="L19" t="str">
            <v>BOP n Orchid</v>
          </cell>
          <cell r="M19" t="str">
            <v>Next 3 Deliveries with Premium (11/.04)</v>
          </cell>
          <cell r="N19" t="str">
            <v>3  del of this cycle   -  0-cycles pmnt   Completed - Collect 0</v>
          </cell>
          <cell r="O19" t="e">
            <v>#N/A</v>
          </cell>
          <cell r="P19" t="e">
            <v>#N/A</v>
          </cell>
          <cell r="Q19" t="e">
            <v>#N/A</v>
          </cell>
          <cell r="R19" t="str">
            <v>Pur n P Car ( 14 Inch ) 16     FF Sachet + Grass</v>
          </cell>
          <cell r="S19" t="str">
            <v>O Asiatic ( ( 14 inch ) 3     Grass</v>
          </cell>
          <cell r="T19" t="str">
            <v>Mix Car ( 14 Inch ) 16     Grass</v>
          </cell>
        </row>
        <row r="20">
          <cell r="A20">
            <v>3241</v>
          </cell>
          <cell r="B20" t="str">
            <v>Sunanda</v>
          </cell>
          <cell r="C20">
            <v>8800994226</v>
          </cell>
          <cell r="D20" t="str">
            <v>C-084, The Icon</v>
          </cell>
          <cell r="E20" t="str">
            <v>DLF Phase 5</v>
          </cell>
          <cell r="F20" t="str">
            <v>Thursday</v>
          </cell>
          <cell r="G20" t="str">
            <v>9 AM - 12 PM</v>
          </cell>
          <cell r="H20">
            <v>1450</v>
          </cell>
          <cell r="I20">
            <v>362.5</v>
          </cell>
          <cell r="J20" t="str">
            <v>Bliss</v>
          </cell>
          <cell r="K20" t="str">
            <v>One Kind // Skip 1 week (13/01) HDTNP (26/02) HDTNP (04/03) HDTNP (12/03)</v>
          </cell>
          <cell r="M20" t="str">
            <v>One Kind</v>
          </cell>
          <cell r="N20" t="str">
            <v>4  del of this cycle   -  0-cycles pmnt   Completed - Collect 0</v>
          </cell>
          <cell r="O20" t="str">
            <v>Pur Eustoma ( 12 Inch ) 3     FF Sachet + Grass</v>
          </cell>
          <cell r="P20" t="str">
            <v>Pur n P Car ( 14 inch ) 16     FF Sachet + Grass</v>
          </cell>
          <cell r="Q20" t="str">
            <v>O Asiatic ( 14 Inch ) 3     Grass</v>
          </cell>
          <cell r="R20" t="str">
            <v>Sunflower ( 12 Inch ) 4    Collect Payment FF Sachet + Grass</v>
          </cell>
          <cell r="S20" t="str">
            <v>Rajni ( 14 Inch ) 16     Grass</v>
          </cell>
          <cell r="T20" t="str">
            <v>P n Y Spray Daisy ( 14 Inch ) 5     FF Sachet + Grass</v>
          </cell>
        </row>
        <row r="21">
          <cell r="A21">
            <v>2076</v>
          </cell>
          <cell r="B21" t="str">
            <v>Divya Jain Midas</v>
          </cell>
          <cell r="C21">
            <v>9910172233</v>
          </cell>
          <cell r="D21" t="str">
            <v>Midas Touch, 1st Floor, A Block, Nirvana Courtyard</v>
          </cell>
          <cell r="E21" t="str">
            <v>Nirvana Country</v>
          </cell>
          <cell r="F21" t="str">
            <v>Thursday</v>
          </cell>
          <cell r="G21" t="str">
            <v>9 AM - 12 PM</v>
          </cell>
          <cell r="H21">
            <v>1450</v>
          </cell>
          <cell r="I21">
            <v>362.5</v>
          </cell>
          <cell r="J21" t="str">
            <v>Bliss</v>
          </cell>
          <cell r="K21" t="str">
            <v>Sent replacement today (01/06) Send 1 Vase with next delivery (10/10) Send 1 Rassee Vase and Flowers tom (29/11) Sent 1 vase today (30/1) 1500 cash and 100 via paytm (07/01) One deliv sent today (26/02) Sent one del today (10/06) sent one del today (21/07) GMom Quiz Voucher Added (07/08) 1 Vase sent today (11/11) Send one del tom and with either rose or Car (02/12) Sent one del today (28/04)</v>
          </cell>
          <cell r="N21" t="str">
            <v>4  del of this cycle   -  0-cycles pmnt   CompletedNO COLLECTION-we have extra money - Collect -50</v>
          </cell>
          <cell r="O21" t="str">
            <v>P n Y Spray Daisy ( 14 Inch ) 5     FF Sachet + Grass</v>
          </cell>
          <cell r="P21" t="str">
            <v>Sunflower ( 12 Inch ) 4     FF Sachet + Grass</v>
          </cell>
          <cell r="Q21" t="str">
            <v>Pur Eustoma ( 12 Inch ) 3     FF Sachet + Grass</v>
          </cell>
          <cell r="R21" t="str">
            <v>O Asiatic ( 14 Inch ) 3     Grass</v>
          </cell>
          <cell r="S21" t="str">
            <v>Rajni ( 14 Inch ) 16     Grass</v>
          </cell>
          <cell r="T21" t="str">
            <v>G n W Car ( 14 Inch ) 16     FF Sachet + Grass</v>
          </cell>
        </row>
        <row r="22">
          <cell r="A22">
            <v>2779</v>
          </cell>
          <cell r="B22" t="str">
            <v>Riddhi Desai</v>
          </cell>
          <cell r="C22">
            <v>8130497969</v>
          </cell>
          <cell r="D22" t="str">
            <v>D-71, The Icon</v>
          </cell>
          <cell r="E22" t="str">
            <v>Golf Course Road</v>
          </cell>
          <cell r="F22" t="str">
            <v>Sunday</v>
          </cell>
          <cell r="G22" t="str">
            <v>9 AM to 2 PM</v>
          </cell>
          <cell r="H22">
            <v>1600</v>
          </cell>
          <cell r="I22">
            <v>200</v>
          </cell>
          <cell r="J22" t="str">
            <v>Bloom</v>
          </cell>
          <cell r="K22" t="str">
            <v>Send this week on Saturday (14/08) Skip 1 week (21/12) Hold till 2nd June (20/05)</v>
          </cell>
          <cell r="N22" t="str">
            <v>2  del of this cycle   -  0-cycles pmnt   Completed - Collect 0</v>
          </cell>
          <cell r="O22" t="str">
            <v>Y Spray Daisy ( 14 Inch ) 2     Grass</v>
          </cell>
          <cell r="P22" t="str">
            <v>Sunflower ( 12 Inch ) 2     FF Sachet + Grass</v>
          </cell>
          <cell r="Q22" t="str">
            <v>Rajni ( 14 Inch ) 7     Grass</v>
          </cell>
          <cell r="R22" t="str">
            <v>Pur n P Car ( 14 Inch ) 7     FF Sachet + Grass</v>
          </cell>
          <cell r="S22" t="str">
            <v>P Spray Daisy ( 14 Inch ) 2     FF Sachet + Grass</v>
          </cell>
          <cell r="T22" t="str">
            <v>P n W Glad ( 14 Inch ) 7     Grass</v>
          </cell>
        </row>
        <row r="23">
          <cell r="A23">
            <v>2246</v>
          </cell>
          <cell r="B23" t="str">
            <v>Amita Gupta</v>
          </cell>
          <cell r="C23">
            <v>9811985450</v>
          </cell>
          <cell r="D23" t="str">
            <v>146, Cedar Crest</v>
          </cell>
          <cell r="E23" t="str">
            <v>Nirvana Country</v>
          </cell>
          <cell r="F23" t="str">
            <v>Thursday</v>
          </cell>
          <cell r="G23" t="str">
            <v>9 AM - 12 PM</v>
          </cell>
          <cell r="H23">
            <v>1600</v>
          </cell>
          <cell r="I23">
            <v>200</v>
          </cell>
          <cell r="J23" t="str">
            <v>Bloom</v>
          </cell>
          <cell r="K23" t="str">
            <v>Return today (03/10) Change to bliss (23/10) No Orchid (24/10) Send a vase tom (20/08) Upgrade to bliss (17/12)</v>
          </cell>
          <cell r="L23" t="str">
            <v>Orchid</v>
          </cell>
          <cell r="M23" t="str">
            <v>1 Vase Tom (20/08)</v>
          </cell>
          <cell r="N23" t="str">
            <v>5  del of this cycle   -  0-cycles pmnt   Completed - Collect 0</v>
          </cell>
          <cell r="O23" t="str">
            <v>Pur n P Car ( 14 inch ) 7     FF Sachet + Grass</v>
          </cell>
          <cell r="P23" t="str">
            <v>Sunflower ( 12 Inch ) 2     FF Sachet + Grass</v>
          </cell>
          <cell r="Q23" t="str">
            <v>P n W Glad ( 14 Inch ) 7     Grass</v>
          </cell>
          <cell r="R23" t="str">
            <v>P n W Car ( 14 Inch ) 7     FF Sachet + Grass</v>
          </cell>
          <cell r="S23" t="str">
            <v>Sunflower ( 12 Inch ) 2     FF Sachet + Grass</v>
          </cell>
          <cell r="T23" t="str">
            <v>P n W Glad ( 14 Inch ) 7     Grass</v>
          </cell>
        </row>
        <row r="24">
          <cell r="A24">
            <v>3247</v>
          </cell>
          <cell r="B24" t="str">
            <v>V P Singh</v>
          </cell>
          <cell r="C24">
            <v>9717986555</v>
          </cell>
          <cell r="D24" t="str">
            <v>WT04/701, Experion Windchantsm Sec 112</v>
          </cell>
          <cell r="E24" t="str">
            <v>Dwarka Expressway</v>
          </cell>
          <cell r="F24" t="str">
            <v>Thursday</v>
          </cell>
          <cell r="G24" t="str">
            <v>4 Pm to 7 PM</v>
          </cell>
          <cell r="H24">
            <v>1450</v>
          </cell>
          <cell r="I24">
            <v>362.5</v>
          </cell>
          <cell r="J24" t="str">
            <v>Bliss</v>
          </cell>
          <cell r="K24" t="str">
            <v>Paytm From Vijay Pratap Singh</v>
          </cell>
          <cell r="N24" t="str">
            <v>4  del of this cycle   -  0-cycles pmnt   Completed - Collect 0</v>
          </cell>
          <cell r="O24" t="str">
            <v>P n W Glad ( 14 Inch ) 16     Grass</v>
          </cell>
          <cell r="P24" t="str">
            <v>Sunflower ( 12 Inch ) 4 With Bouquet in Morning Pls With Bouquet in Morning Pls With Bouquet in Morning Pls  FF Sachet + Grass</v>
          </cell>
          <cell r="Q24" t="str">
            <v>Pur Eustoma ( 12 Inch ) 3     FF Sachet + Grass</v>
          </cell>
          <cell r="R24" t="str">
            <v>O Asiatic ( 14 Inch ) 3     Grass</v>
          </cell>
          <cell r="S24" t="str">
            <v>Rajni ( 14 Inch ) 16     Grass</v>
          </cell>
          <cell r="T24" t="str">
            <v>G n W Car ( 14 Inch ) 16     FF Sachet + Grass</v>
          </cell>
        </row>
        <row r="25">
          <cell r="A25">
            <v>2037</v>
          </cell>
          <cell r="B25" t="str">
            <v>Sharwan Chopra</v>
          </cell>
          <cell r="C25">
            <v>9971066995</v>
          </cell>
          <cell r="D25" t="str">
            <v>A-223, The Belaire</v>
          </cell>
          <cell r="E25" t="str">
            <v>Golf Course Road</v>
          </cell>
          <cell r="F25" t="str">
            <v>Thursday</v>
          </cell>
          <cell r="G25" t="str">
            <v>10 AM to 2:30 PM</v>
          </cell>
          <cell r="H25">
            <v>1950</v>
          </cell>
          <cell r="I25">
            <v>487.5</v>
          </cell>
          <cell r="J25" t="str">
            <v>Joy</v>
          </cell>
          <cell r="K25" t="str">
            <v>NO Car (15/02) Skip 3 Weeks (12/06) Skip 1 week (28/12) Hold all deliveries till 1st July (12/06) Skip 25th Dec (23/12) Hold due to non payment (29/01) Returned today (04/06) Skip 1 week (16/06)</v>
          </cell>
          <cell r="L25" t="str">
            <v>CAR</v>
          </cell>
          <cell r="N25" t="str">
            <v>3  del of this cycle   -  0-cycles pmnt   Completed - Collect 0</v>
          </cell>
          <cell r="O25" t="str">
            <v>P n W Glad ( 14 Inch ) 22     Grass</v>
          </cell>
          <cell r="P25" t="e">
            <v>#N/A</v>
          </cell>
          <cell r="Q25" t="str">
            <v>Pur n P Eustoma ( 12 Inch ) 4     FF Sachet + Grass</v>
          </cell>
          <cell r="R25" t="str">
            <v>Rajni ( 14 Inch ) 22     Grass</v>
          </cell>
          <cell r="S25" t="str">
            <v>O Asiatic ( ( 14 inch ) 4     Grass</v>
          </cell>
          <cell r="T25" t="str">
            <v>P n W Spray Daisy ( 14 Inch ) 7     FF Sachet + Grass</v>
          </cell>
        </row>
        <row r="26">
          <cell r="A26">
            <v>1438</v>
          </cell>
          <cell r="B26" t="str">
            <v>Aishwarya G Aiyar</v>
          </cell>
          <cell r="C26">
            <v>9884857311</v>
          </cell>
          <cell r="D26" t="str">
            <v>A-173, The Pinnacle</v>
          </cell>
          <cell r="E26" t="str">
            <v>DLF Phase 5</v>
          </cell>
          <cell r="F26" t="str">
            <v>Thursday</v>
          </cell>
          <cell r="G26" t="str">
            <v>9 AM - 12 PM</v>
          </cell>
          <cell r="H26">
            <v>1600</v>
          </cell>
          <cell r="I26">
            <v>200</v>
          </cell>
          <cell r="J26" t="str">
            <v>Bloom</v>
          </cell>
          <cell r="K26"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26" t="str">
            <v>5  del of this cycle   -  0-cycles pmnt   Completed - Collect 0</v>
          </cell>
          <cell r="O26" t="str">
            <v>P n W Glad ( 14 Inch ) 7     Grass</v>
          </cell>
          <cell r="P26" t="e">
            <v>#N/A</v>
          </cell>
          <cell r="Q26" t="str">
            <v>P n W Car ( 14 inch ) 7     FF Sachet + Grass</v>
          </cell>
          <cell r="R26" t="str">
            <v>P n W Glad ( 14 Inch ) 7     Grass</v>
          </cell>
          <cell r="S26" t="str">
            <v>Rajni ( 14 Inch ) 7   Collect Payment Collect Payment Grass</v>
          </cell>
          <cell r="T26" t="str">
            <v>Y Spray Daisy ( 14 Inch ) 2     FF Sachet + Grass</v>
          </cell>
        </row>
        <row r="27">
          <cell r="A27">
            <v>58</v>
          </cell>
          <cell r="B27" t="str">
            <v>Ms. Anupma Chandna</v>
          </cell>
          <cell r="C27">
            <v>8130077970</v>
          </cell>
          <cell r="D27" t="str">
            <v>32, aspen greens, nirvana</v>
          </cell>
          <cell r="E27" t="str">
            <v>Nirvana Country</v>
          </cell>
          <cell r="F27" t="str">
            <v>Thursday</v>
          </cell>
          <cell r="G27" t="str">
            <v>9 AM - 12 PM</v>
          </cell>
          <cell r="H27">
            <v>1950</v>
          </cell>
          <cell r="I27">
            <v>487.5</v>
          </cell>
          <cell r="J27" t="str">
            <v>Joy</v>
          </cell>
          <cell r="K27" t="str">
            <v>No Rose // Hold n start from 04th Dec (03/11) No Greens</v>
          </cell>
          <cell r="L27" t="str">
            <v>Rose</v>
          </cell>
          <cell r="M27" t="str">
            <v>No Greens</v>
          </cell>
          <cell r="N27" t="str">
            <v>2  del of this cycle   -  0-cycles pmnt   Completed - Collect 30</v>
          </cell>
          <cell r="O27" t="str">
            <v>Pur Eustoma ( 12 Inch ) 3 P n W Glad ( 14 Inch ) 11   FF Sachet + Grass</v>
          </cell>
          <cell r="P27" t="str">
            <v>Sunflower ( 12 Inch ) 3 Pur n P Car ( 14 Inch ) 11   FF Sachet + Grass</v>
          </cell>
          <cell r="Q27" t="str">
            <v>P Asiatic ( 14 Inch ) 2 B Daisy ( 12 Inch ) 11   Grass</v>
          </cell>
          <cell r="R27" t="str">
            <v>P n Y Spray Daisy ( 14 Inch ) 5 Rajni ( 14 Inch ) 16   FF Sachet + Grass</v>
          </cell>
          <cell r="S27" t="str">
            <v>BOP ( 15 Inch ) 2 Mix Alstroemeria ( 12 Inch ) 11   FF Sachet + Grass</v>
          </cell>
          <cell r="T27" t="str">
            <v>O Asiatic ( 14 Inch ) 2 G n W Car ( 14 Inch ) 11   Grass</v>
          </cell>
        </row>
        <row r="28">
          <cell r="A28">
            <v>3270</v>
          </cell>
          <cell r="B28" t="str">
            <v>Tanya Sharma</v>
          </cell>
          <cell r="C28">
            <v>7022251818</v>
          </cell>
          <cell r="D28" t="str">
            <v>T-8/202, Chintel Serenity, Sec 109</v>
          </cell>
          <cell r="E28" t="str">
            <v>Dwarka Expressway</v>
          </cell>
          <cell r="F28" t="str">
            <v>Thursday</v>
          </cell>
          <cell r="G28" t="str">
            <v>4 Pm to 7 PM</v>
          </cell>
          <cell r="H28">
            <v>1950</v>
          </cell>
          <cell r="I28">
            <v>487.5</v>
          </cell>
          <cell r="J28" t="str">
            <v>Joy</v>
          </cell>
          <cell r="K28" t="str">
            <v>No Yellow wn Purple // no Rajni (02/02) No ALstroemeria and do not count last del(19/06) Pls Don’t count last del (26/06)</v>
          </cell>
          <cell r="L28" t="str">
            <v>Rajni n Alstroemeria</v>
          </cell>
          <cell r="M28" t="str">
            <v>No Yellow wn Purple // Stock Next (02/03)</v>
          </cell>
          <cell r="N28" t="str">
            <v>1  del of this cycle   -  1-cycles pmnt   Pending - Collect 1950</v>
          </cell>
          <cell r="O28" t="str">
            <v>G n W Spray Daisy ( 14 Inch ) 4 P n W Car ( 14 Inch ) 11   FF Sachet + Grass</v>
          </cell>
          <cell r="P28" t="str">
            <v>P Eustoma ( 12 Inch ) 2 Mix Alstroemeria ( 12 inch )  11   FF Sachet + Grass</v>
          </cell>
          <cell r="Q28" t="str">
            <v>O Asiatic ( 14 Inch ) 2 Rajni ( 14 Inch ) 11   Grass</v>
          </cell>
          <cell r="R28" t="str">
            <v>P n Y Spray Daisy ( 14 Inch ) 4 P n W Glad ( 14 Inch ) 11   FF Sachet + Grass</v>
          </cell>
          <cell r="S28" t="str">
            <v>P Asiatic ( 14 Inch ) 2 P n W Car ( 14 Inch ) 11   Grass</v>
          </cell>
          <cell r="T28" t="str">
            <v>Asiatic  2 Mix Car ( 12 Inch ) 11   FF Sachet + Grass</v>
          </cell>
        </row>
        <row r="29">
          <cell r="A29">
            <v>849</v>
          </cell>
          <cell r="B29" t="str">
            <v>Shalini Sharma</v>
          </cell>
          <cell r="C29">
            <v>7838500808</v>
          </cell>
          <cell r="D29" t="str">
            <v>208, Espace</v>
          </cell>
          <cell r="E29" t="str">
            <v>Nirvana Country</v>
          </cell>
          <cell r="F29" t="str">
            <v>Thursday</v>
          </cell>
          <cell r="G29" t="str">
            <v>9:30 Am to 2 PM</v>
          </cell>
          <cell r="H29">
            <v>1450</v>
          </cell>
          <cell r="I29">
            <v>362.5</v>
          </cell>
          <cell r="J29" t="str">
            <v>Bliss</v>
          </cell>
          <cell r="K29" t="str">
            <v>W n R Car Tom(25/04)  GERBERA NEXT(16/09) NO ORCHIDS(24/01)  Sent a replacement today(17/04) Ros enext (26/11) NO GULDAWARI n ORCHIDS ()6/01) Skip 1 week (05/01) Replacement tom (12/02) Send Tom and skip 30th Mar (25/03) Replacement tom (06/07) Will Pick on 30th -- Dont Send on 02nd Nov (28/10) Send this week del on tuesday 925/01) Send W Asiatic on 11th this week instead of 15th Feb (08/02) Skip 1 week (14/03) Lilies Next (20/05) Hold after current cycle (04/12) Four plus 1 Pack //</v>
          </cell>
          <cell r="L29" t="str">
            <v>GULDAWARI n ORCHID</v>
          </cell>
          <cell r="M29" t="str">
            <v>Lilies Next (20/05)</v>
          </cell>
          <cell r="N29" t="str">
            <v>1  del of this cycle   -  1-cycles pmnt   Pending - Collect 1450</v>
          </cell>
          <cell r="O29" t="str">
            <v>P Asiatic ( 14 Inch )  3     Grass</v>
          </cell>
          <cell r="P29" t="str">
            <v>P n Y Spray Daisy ( 14 Inch ) 5     FF Sachet + Grass</v>
          </cell>
          <cell r="Q29" t="str">
            <v>Pur n P Car ( 14 Inch ) 16  Collect Payment Collect Payment Collect Payment FF Sachet + Grass</v>
          </cell>
          <cell r="R29" t="str">
            <v>Sunflower ( 12 Inch ) 4     FF Sachet + Grass</v>
          </cell>
          <cell r="S29" t="str">
            <v>Rajni ( 14 Inch ) 16     Grass</v>
          </cell>
          <cell r="T29" t="str">
            <v>O Asiatic ( 14 Inch ) 3     Grass</v>
          </cell>
        </row>
        <row r="30">
          <cell r="A30">
            <v>1656</v>
          </cell>
          <cell r="B30" t="str">
            <v>Eva-Pinnacle</v>
          </cell>
          <cell r="C30">
            <v>9560609907</v>
          </cell>
          <cell r="D30" t="str">
            <v>C-93, The Pinnacle</v>
          </cell>
          <cell r="E30" t="str">
            <v>DLF Phase 5</v>
          </cell>
          <cell r="F30" t="str">
            <v>Thursday</v>
          </cell>
          <cell r="G30" t="str">
            <v>9:30 Am to 2 PM</v>
          </cell>
          <cell r="H30">
            <v>1450</v>
          </cell>
          <cell r="I30">
            <v>362.5</v>
          </cell>
          <cell r="J30" t="str">
            <v>Bliss</v>
          </cell>
          <cell r="K30" t="str">
            <v>Paytm From Arvind Pachhapur(24/02) 750 pack-- Car//Guldawari//Rajni//Orchid//Asiatic(23/03) Hold today and send next6 week(14/04) Hold n start from 19th June(16/06) Skip 1 week (05/01) Received one more payment today (26/01) Payment was in process (20/03) Skip 1 week (28/06) Skip 1 week (29/06) Skip 3 week (21/05)</v>
          </cell>
          <cell r="N30" t="str">
            <v>2  del of this cycle   -  0-cycles pmnt   Completed - Collect 0</v>
          </cell>
          <cell r="O30" t="str">
            <v>Pur n P Car ( 14 inch ) 9     Grass</v>
          </cell>
          <cell r="P30" t="str">
            <v>Sunflower ( 12 Inch ) 2     FF Sachet + Grass</v>
          </cell>
          <cell r="Q30" t="str">
            <v>Rajni ( 14 Inch ) 9     Grass</v>
          </cell>
          <cell r="R30" t="str">
            <v>O Asiatic ( 14 Inch ) 2     Grass</v>
          </cell>
          <cell r="S30" t="e">
            <v>#N/A</v>
          </cell>
          <cell r="T30" t="str">
            <v>O Asiatic ( 14 Inch ) 3     Grass</v>
          </cell>
        </row>
        <row r="31">
          <cell r="A31">
            <v>870</v>
          </cell>
          <cell r="B31" t="str">
            <v>Himabindu Kanchan</v>
          </cell>
          <cell r="C31">
            <v>9892501292</v>
          </cell>
          <cell r="D31" t="str">
            <v xml:space="preserve">D -13, Pinnacle Dlf Phase - 5 </v>
          </cell>
          <cell r="E31" t="str">
            <v>DLF Phase 5</v>
          </cell>
          <cell r="F31" t="str">
            <v>Thursday</v>
          </cell>
          <cell r="G31" t="str">
            <v>9 AM - 12 PM</v>
          </cell>
          <cell r="H31">
            <v>1600</v>
          </cell>
          <cell r="I31">
            <v>200</v>
          </cell>
          <cell r="J31" t="str">
            <v>Bloom</v>
          </cell>
          <cell r="K31"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31" t="str">
            <v>8  del of this cycle   -  0-cycles pmnt   Completed - Collect 0</v>
          </cell>
          <cell r="O31" t="str">
            <v>Pur n P Car ( 14 inch ) 7     FF Sachet + Grass</v>
          </cell>
          <cell r="P31" t="str">
            <v>Sunflower ( 12 Inch ) 2     FF Sachet + Grass</v>
          </cell>
          <cell r="Q31" t="str">
            <v>Rajni ( 14 Inch ) 7     Grass</v>
          </cell>
          <cell r="R31" t="str">
            <v>P n W Car ( 14 Inch ) 7     FF Sachet + Grass</v>
          </cell>
          <cell r="S31" t="str">
            <v>Y Spray Daisy ( 14 Inch ) 2     FF Sachet + Grass</v>
          </cell>
          <cell r="T31" t="str">
            <v>Sunflower ( 12 Inch ) 2     FF Sachet + Grass</v>
          </cell>
        </row>
        <row r="32">
          <cell r="A32">
            <v>2118</v>
          </cell>
          <cell r="B32" t="str">
            <v>Shantanu</v>
          </cell>
          <cell r="C32">
            <v>8800631116</v>
          </cell>
          <cell r="D32" t="str">
            <v>172, 1st Floor, Espace</v>
          </cell>
          <cell r="E32" t="str">
            <v>Nirvana Country</v>
          </cell>
          <cell r="F32" t="str">
            <v>Saturday</v>
          </cell>
          <cell r="G32" t="str">
            <v>9 AM - 12 PM</v>
          </cell>
          <cell r="H32">
            <v>6880</v>
          </cell>
          <cell r="I32">
            <v>1720</v>
          </cell>
          <cell r="J32" t="str">
            <v>Customized</v>
          </cell>
          <cell r="K32" t="str">
            <v>2 Asiatic + 1 Oriental + 1 Sunflower + 10 Guldawari + 10 Roses + 8 Spray Daisy + 10 Stems from Seasonal 0r Nargis ( 07/02) Yesterday Returned (23/02) 2 Asiatic + 1 Oriental + 1 Sunflower + 10 Guldawari + 10 car + 6 Spray Daisy + Seasonal Flower of Rs . 250 (04/03) Today returned-send on 3rd (28/06) No Flowers till 31st Oct (22/10) Today Returned (16/11)</v>
          </cell>
          <cell r="N32" t="str">
            <v>3  del of this cycle   -  1-cycles pmnt   Pending - Collect 6880</v>
          </cell>
          <cell r="O32" t="str">
            <v>P Asiatic + W Oriental + Sunflower  + Glad  + Pur n P Car + P n Y Spray Daisy + Mix Alstroemeria 2 + 1 + 1 + 10 + 10 + 6 + 5     4 Areca Palm + 2 Gypsola + 2 Limonium</v>
          </cell>
          <cell r="P32" t="e">
            <v>#N/A</v>
          </cell>
          <cell r="Q32" t="str">
            <v>O Asiatic + P Oriental + Glad + P n W Car + G n Y Spray Daisy + Mix Alstroemeria 2 + 1 + 10 + 10 + 6 + 5     4 Areca Palm + 2 Gypsola + 2 Limonium</v>
          </cell>
          <cell r="R32" t="e">
            <v>#N/A</v>
          </cell>
          <cell r="S32" t="e">
            <v>#N/A</v>
          </cell>
          <cell r="T32" t="str">
            <v>O Asiatic + P Oriental + Sunflower + Mix Glad + G n W Car + P n W Spray Daisy + Mix Alstroemeria 2 + 1 + 1 + 10 + 10 + 6 + 6 Pls Check With us before sending Pls Check With us before sending   5 Areca Palm + 2 Gypsola + 2 Limonium</v>
          </cell>
        </row>
        <row r="33">
          <cell r="A33">
            <v>2359</v>
          </cell>
          <cell r="B33" t="str">
            <v>Roshni Achpal</v>
          </cell>
          <cell r="C33">
            <v>9711170252</v>
          </cell>
          <cell r="D33" t="str">
            <v>A-102, Belaire</v>
          </cell>
          <cell r="H33">
            <v>1450</v>
          </cell>
          <cell r="J33" t="str">
            <v>Bliss</v>
          </cell>
          <cell r="T33" t="str">
            <v>G n W Car ( 14 Inch ) 16     FF Sachet + Grass</v>
          </cell>
        </row>
        <row r="34">
          <cell r="A34" t="str">
            <v>B56465</v>
          </cell>
          <cell r="B34" t="str">
            <v>Anju Sandhu</v>
          </cell>
          <cell r="C34">
            <v>9997124824</v>
          </cell>
          <cell r="D34" t="str">
            <v>A-402, Connoisseur , Twin Tower, Sec 43</v>
          </cell>
          <cell r="E34" t="str">
            <v>DLF Phase 5</v>
          </cell>
          <cell r="F34" t="str">
            <v>Thursday</v>
          </cell>
          <cell r="G34" t="str">
            <v>By 10:30 AM</v>
          </cell>
          <cell r="H34">
            <v>2100</v>
          </cell>
          <cell r="I34">
            <v>2100</v>
          </cell>
          <cell r="J34" t="str">
            <v>Bouquet</v>
          </cell>
          <cell r="K34" t="str">
            <v>6 P Oriental</v>
          </cell>
          <cell r="T34" t="str">
            <v>P Oriental 6     2 Gypsola</v>
          </cell>
        </row>
        <row r="35">
          <cell r="A35">
            <v>571</v>
          </cell>
          <cell r="B35" t="str">
            <v>Mrs. Singh</v>
          </cell>
          <cell r="C35">
            <v>9873099320</v>
          </cell>
          <cell r="D35" t="str">
            <v>D 42, pinnacle, Dlf ph 5, Golf course road</v>
          </cell>
          <cell r="E35" t="str">
            <v>DLF Phase 5</v>
          </cell>
          <cell r="F35" t="str">
            <v>Thursday</v>
          </cell>
          <cell r="G35" t="str">
            <v>9 AM - 12 PM</v>
          </cell>
          <cell r="H35">
            <v>1600</v>
          </cell>
          <cell r="I35">
            <v>200</v>
          </cell>
          <cell r="J35" t="str">
            <v>Bloom</v>
          </cell>
          <cell r="K35"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35" t="str">
            <v>2  del of this cycle   -  1-cycles pmnt   Pending - Collect 1600</v>
          </cell>
          <cell r="O35" t="str">
            <v>Pur n P Car ( 14 inch ) 7     FF Sachet + Grass</v>
          </cell>
          <cell r="P35" t="str">
            <v>Sunflower ( 12 Inch ) 2     FF Sachet + Grass</v>
          </cell>
          <cell r="Q35" t="str">
            <v>P n W Glad ( 14 Inch ) 7     Grass</v>
          </cell>
          <cell r="R35" t="str">
            <v>P n W Car ( 14 Inch ) 7     FF Sachet + Grass</v>
          </cell>
          <cell r="S35" t="str">
            <v>O Asiatic ( ( 14 inch ) 2     Grass</v>
          </cell>
          <cell r="T35" t="str">
            <v>P n W Glad ( 14 Inch ) 7     Grass</v>
          </cell>
        </row>
        <row r="36">
          <cell r="A36">
            <v>2250</v>
          </cell>
          <cell r="B36" t="str">
            <v>Saloni Gupta</v>
          </cell>
          <cell r="C36">
            <v>9810796682</v>
          </cell>
          <cell r="D36" t="str">
            <v>338, 3rd Floor, Espace</v>
          </cell>
          <cell r="E36" t="str">
            <v>Nirvana Country</v>
          </cell>
          <cell r="F36" t="str">
            <v>Sunday</v>
          </cell>
          <cell r="G36" t="str">
            <v>9 AM - 12 PM</v>
          </cell>
          <cell r="H36">
            <v>3088</v>
          </cell>
          <cell r="I36">
            <v>386</v>
          </cell>
          <cell r="J36" t="str">
            <v>Cutsomized-Biweekly</v>
          </cell>
          <cell r="K36"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v>
          </cell>
          <cell r="N36" t="str">
            <v>7  del of this cycle   -  0-cycles pmnt   Completed - Collect 0</v>
          </cell>
          <cell r="O36" t="e">
            <v>#N/A</v>
          </cell>
          <cell r="P36" t="e">
            <v>#N/A</v>
          </cell>
          <cell r="Q36" t="str">
            <v>W Asiatic ( 14 Inch ) 3     Grass</v>
          </cell>
          <cell r="R36" t="str">
            <v>O Asiatic ( 14 Inch ) 3     Grass</v>
          </cell>
          <cell r="S36" t="str">
            <v>P Asiatic ( 14 Inch ) 2     Grass</v>
          </cell>
          <cell r="T36" t="str">
            <v>O Asiatic ( 14 Inch ) 3     Grass</v>
          </cell>
        </row>
        <row r="37">
          <cell r="A37">
            <v>2665</v>
          </cell>
          <cell r="B37" t="str">
            <v>Shaivya Rai</v>
          </cell>
          <cell r="C37">
            <v>9532096763</v>
          </cell>
          <cell r="D37" t="str">
            <v>4221, ATS Kocoon, Sec 109</v>
          </cell>
          <cell r="E37" t="str">
            <v>Dwarka Expressway</v>
          </cell>
          <cell r="F37" t="str">
            <v>Thursday</v>
          </cell>
          <cell r="G37" t="str">
            <v>4 Pm to 7 PM</v>
          </cell>
          <cell r="H37">
            <v>999</v>
          </cell>
          <cell r="I37">
            <v>249.75</v>
          </cell>
          <cell r="J37" t="str">
            <v>Delight</v>
          </cell>
          <cell r="K37" t="str">
            <v>Received on 25th Aug (25/07) HDTNP (11/06) HDTNP (18/06) HDTNP (25/06)</v>
          </cell>
          <cell r="N37" t="str">
            <v>4  del of this cycle   -  0-cycles pmnt   Completed - Collect 0</v>
          </cell>
          <cell r="O37" t="e">
            <v>#N/A</v>
          </cell>
          <cell r="P37" t="e">
            <v>#N/A</v>
          </cell>
          <cell r="Q37" t="e">
            <v>#N/A</v>
          </cell>
          <cell r="R37" t="str">
            <v xml:space="preserve">Collect 250 n Close      </v>
          </cell>
          <cell r="S37" t="str">
            <v>Pur n P Car ( 14 Inch ) 9     FF Sachet + Grass</v>
          </cell>
          <cell r="T37" t="str">
            <v>P Asiatic ( 14 Inch ) 2     Grass</v>
          </cell>
        </row>
        <row r="38">
          <cell r="A38">
            <v>2104</v>
          </cell>
          <cell r="B38" t="str">
            <v>Arun Gupta</v>
          </cell>
          <cell r="C38">
            <v>9999072697</v>
          </cell>
          <cell r="D38" t="str">
            <v>C-22m Arc Stationary</v>
          </cell>
          <cell r="E38" t="str">
            <v>Nirvana Country</v>
          </cell>
          <cell r="F38" t="str">
            <v>Thursday</v>
          </cell>
          <cell r="G38" t="str">
            <v>9 AM to 2 PM</v>
          </cell>
          <cell r="H38">
            <v>400</v>
          </cell>
          <cell r="I38">
            <v>100</v>
          </cell>
          <cell r="J38" t="str">
            <v>Customized</v>
          </cell>
          <cell r="K38" t="str">
            <v>4 Flowers at both Shop</v>
          </cell>
          <cell r="N38" t="str">
            <v>3  del of this cycle   -  0-cycles pmnt   In Process - Collect 0</v>
          </cell>
          <cell r="O38" t="str">
            <v>Broken Flowers  5 1 Shop    Grass</v>
          </cell>
          <cell r="P38" t="str">
            <v xml:space="preserve">      </v>
          </cell>
          <cell r="Q38" t="str">
            <v xml:space="preserve">Broken Flowers  5 1 Shop    </v>
          </cell>
          <cell r="R38" t="str">
            <v xml:space="preserve">Broken Flowers  5     </v>
          </cell>
          <cell r="S38" t="str">
            <v xml:space="preserve">Broken Flowers  5 1 Shop    </v>
          </cell>
          <cell r="T38" t="str">
            <v xml:space="preserve">Broken Flowers  5 1 Shop    </v>
          </cell>
        </row>
        <row r="39">
          <cell r="A39" t="str">
            <v>B56454</v>
          </cell>
          <cell r="B39" t="str">
            <v>Sharmishtha Jhulka</v>
          </cell>
          <cell r="C39">
            <v>9810010615</v>
          </cell>
          <cell r="D39" t="str">
            <v>817-B, The Camelias</v>
          </cell>
          <cell r="E39" t="str">
            <v>Golf Course Road</v>
          </cell>
          <cell r="F39" t="str">
            <v>Thursday</v>
          </cell>
          <cell r="G39" t="str">
            <v>9 AM to 2 PM</v>
          </cell>
          <cell r="H39">
            <v>2150</v>
          </cell>
          <cell r="I39">
            <v>2150</v>
          </cell>
          <cell r="J39" t="str">
            <v>Bouquet</v>
          </cell>
          <cell r="K39" t="str">
            <v>2 Oriental + 1 Pack Mogra + 4 BOP + 6 Lotus</v>
          </cell>
          <cell r="N39" t="str">
            <v>1  del of this cycle   -  1-cycles pmnt   Pending - Collect 2150</v>
          </cell>
          <cell r="O39" t="e">
            <v>#N/A</v>
          </cell>
          <cell r="P39" t="e">
            <v>#N/A</v>
          </cell>
          <cell r="Q39" t="e">
            <v>#N/A</v>
          </cell>
          <cell r="R39" t="e">
            <v>#N/A</v>
          </cell>
          <cell r="S39" t="e">
            <v>#N/A</v>
          </cell>
          <cell r="T39" t="str">
            <v>Srmi Bloom P Oriental + Mogra + BOP + Lotus 2 + 100 Gm + 4 + 6     2 Limonium</v>
          </cell>
        </row>
        <row r="40">
          <cell r="A40">
            <v>396</v>
          </cell>
          <cell r="B40" t="str">
            <v>Dr. Deepa Gupta</v>
          </cell>
          <cell r="C40">
            <v>8860079525</v>
          </cell>
          <cell r="D40" t="str">
            <v>Mayom Hospital, D block south city 1</v>
          </cell>
          <cell r="E40" t="str">
            <v>South City 1</v>
          </cell>
          <cell r="F40" t="str">
            <v>Thursday</v>
          </cell>
          <cell r="G40" t="str">
            <v>4 PM to 7 PM</v>
          </cell>
          <cell r="H40">
            <v>1450</v>
          </cell>
          <cell r="I40">
            <v>362.5</v>
          </cell>
          <cell r="J40" t="str">
            <v>Corporate</v>
          </cell>
          <cell r="K40" t="str">
            <v>1 del Missed(07/10) Return-send next week(31/12) Send replacement of Gerbera(30/10) Send on Monday this week(20/03) Return- hold package(08/07) Today returned-send next week(02/06) HDTNP (19/02)</v>
          </cell>
          <cell r="N40" t="str">
            <v>3  del of this cycle   -  0-cycles pmnt   In Process - Collect 0</v>
          </cell>
          <cell r="O40" t="str">
            <v>P n W Glad ( 14 Inch ) 16     Grass</v>
          </cell>
          <cell r="P40" t="str">
            <v>Pur n P Car ( 14 inch ) 16     FF Sachet + Grass</v>
          </cell>
          <cell r="Q40" t="str">
            <v>Rajni ( 14 Inch ) 16     Grass</v>
          </cell>
          <cell r="R40" t="str">
            <v>P n W Glad ( 14 Inch ) 16     Grass</v>
          </cell>
          <cell r="S40" t="str">
            <v>P n W Car ( 14 Inch ) 16     FF Sachet + Grass</v>
          </cell>
          <cell r="T40" t="str">
            <v>Rajni ( 14 Inch ) 16     Grass</v>
          </cell>
        </row>
        <row r="41">
          <cell r="A41">
            <v>3212</v>
          </cell>
          <cell r="B41" t="str">
            <v>Sheeba Rana</v>
          </cell>
          <cell r="C41">
            <v>9958849523</v>
          </cell>
          <cell r="D41" t="str">
            <v>T-14/1202, The Close North</v>
          </cell>
          <cell r="E41" t="str">
            <v>Nirvana Country</v>
          </cell>
          <cell r="F41" t="str">
            <v>Thursday</v>
          </cell>
          <cell r="G41" t="str">
            <v>4 Pm to 7 PM</v>
          </cell>
          <cell r="H41">
            <v>1450</v>
          </cell>
          <cell r="I41">
            <v>1450</v>
          </cell>
          <cell r="J41" t="str">
            <v>Bliss</v>
          </cell>
          <cell r="K41" t="str">
            <v>Skip 1 week (31/12)</v>
          </cell>
          <cell r="N41" t="str">
            <v>4  del of this cycle   -  0-cycles pmnt   Completed - Collect 0</v>
          </cell>
          <cell r="O41" t="str">
            <v>P n W Glad ( 14 Inch ) 9     Gras</v>
          </cell>
          <cell r="P41" t="str">
            <v>P Asiatic ( 14 Inch ) 2     Grass</v>
          </cell>
          <cell r="Q41" t="str">
            <v>Pur n P Car ( 14 Inch ) 16     FF Sachet + Grass</v>
          </cell>
          <cell r="R41" t="str">
            <v>P n Y Spray Daisy ( 14 Inch ) 5     FF Sachet + Grass</v>
          </cell>
          <cell r="S41" t="str">
            <v>Rajni ( 14 Inch ) 16     Grass</v>
          </cell>
          <cell r="T41" t="str">
            <v>O Asiatic 2     Grass</v>
          </cell>
        </row>
        <row r="42">
          <cell r="A42">
            <v>203</v>
          </cell>
          <cell r="B42" t="str">
            <v>Alok divatia -- After 10 AM</v>
          </cell>
          <cell r="C42">
            <v>9819355743</v>
          </cell>
          <cell r="D42" t="str">
            <v>BLC 263, 26th Floor, Tower C, The Belaire</v>
          </cell>
          <cell r="E42" t="str">
            <v>Golf Course Road</v>
          </cell>
          <cell r="F42" t="str">
            <v>Thursday</v>
          </cell>
          <cell r="G42" t="str">
            <v>9 AM - 12 PM</v>
          </cell>
          <cell r="H42">
            <v>8648</v>
          </cell>
          <cell r="I42">
            <v>2162</v>
          </cell>
          <cell r="J42" t="str">
            <v>Customized</v>
          </cell>
          <cell r="K42" t="str">
            <v>Tues to Thurs//After 10 AM, Lilis only and 12 lilies + 24 carnations, Never combo of Red n white, all flowers shd be of diff color(12/06)Skip tom n then on Tuesday(08/09) Return-send tom(16/12) NO ROSE(20/12) 14 Lily and 24 Car(24/09) Send 18 spray daisy instead of Asiatic next(30/03) Change package cost to 6300(20/07) Hold from today (05/12)</v>
          </cell>
          <cell r="N42" t="str">
            <v>3  del of this cycle   -  0-cycles pmnt   Completed - Collect 0</v>
          </cell>
          <cell r="O42" t="str">
            <v xml:space="preserve">P n W Asiatic ( 14 Inch ) 14 Pur n P Car ( 14 inch ) 24   </v>
          </cell>
          <cell r="P42" t="str">
            <v xml:space="preserve">O n P Asiatic ( 14 Inch ) 14 P n W Car ( 14 Inch ) 24   </v>
          </cell>
          <cell r="Q42" t="str">
            <v>O n W Asiatic ( 14 Inch ) 14 R n P Car ( 14 Inch ) 24   4 Areca Palm + 2 Gypsola + 2 Limonim</v>
          </cell>
          <cell r="R42" t="str">
            <v>Y n P Asiatic ( 14 Inch ) 14 Pur n W Car ( 14 Inch ) 24   4 Areca Palm + 2 Gypsola + 2 Limonium</v>
          </cell>
          <cell r="S42" t="str">
            <v xml:space="preserve">O n W Asiatic ( 14 inch ) 14 P n W Car ( 14 Inch ) 24   </v>
          </cell>
          <cell r="T42" t="str">
            <v>O n P Asiatic  ( 14 Inch ) 14 G n W Car ( 14 Inch ) 24   4 Areca Palm + 2 Gypsola + 2 Limonium</v>
          </cell>
        </row>
        <row r="43">
          <cell r="A43">
            <v>888</v>
          </cell>
          <cell r="B43" t="str">
            <v>Ankita Mehta</v>
          </cell>
          <cell r="C43">
            <v>9868169896</v>
          </cell>
          <cell r="D43" t="str">
            <v>1B-71, Wellington Estate</v>
          </cell>
          <cell r="E43" t="str">
            <v>DLF Phase 5</v>
          </cell>
          <cell r="F43" t="str">
            <v>Thursday</v>
          </cell>
          <cell r="G43" t="str">
            <v>9 AM - 12 PM</v>
          </cell>
          <cell r="H43">
            <v>1450</v>
          </cell>
          <cell r="I43">
            <v>362.5</v>
          </cell>
          <cell r="J43" t="str">
            <v>Bliss</v>
          </cell>
          <cell r="K43" t="str">
            <v>Mix of Asiatic n Car(29/07) Send tom instead of Thursday(12/08) GLAD n ORCHID THIS CYCLE(28/08) ONLY LILY n CAR TILL SHE REVOKES n skip this week (04/09) Rajni n Rose Next(28/11) Lilies and Rose in this cycle(11/12)) Mixed Flowers only(30/08) Want Car// Orchid// Lily//Spray Daisy//Glad(19/09)  Flowers only from Car// Orchid// Lily//Spray Daisy//Glad(11/10) This cycle--Glad//BOP//Orchid//Lily(15/10) This cycle-- Glad//BOP//Orchid// Lily(14/11) This cycle-- Rose/Asiatic/BOP/G;ad/Guldawari and Orchid (25/09) No Upgrade-send lilies (19/10) Send nily next and always once in a cycle (15/12) NO SPRAY DAISY n GULDAWARI and sned Asiatic once in 1 cycle (19/01) Skip 1 week (24/01) Skip 1 week (06/03) Skip 1 week (05/ Skip 1 week 916/04)03) Skip 1 week (04/03) Skip 2 week (18/05) Send reaplacement tom (04/07) Sent replacememt todau (26/10) Skip 1 week (13/11) Skip 1 week (24/03) Skip 1 week (16/04) Return today (05/06) Skip 1 week (17/06) Skip 1 week (02/07) Skip 1 week (08/07) Send tom instaed of thursday this week (14/10) Send 1 del of ankita mehra today (21/10) Hold till 14th Jan (18/12) Change to Delight (30/01) Hold today (16/04) Send Replacement Tom (19/06) Skip 1 week (03/07)</v>
          </cell>
          <cell r="L43" t="str">
            <v xml:space="preserve">SPRAY DAISY n GULDAWARI </v>
          </cell>
          <cell r="M43" t="str">
            <v>Change to Deligh next (30/01)</v>
          </cell>
          <cell r="N43" t="str">
            <v>4  del of this cycle   -  0-cycles pmnt   Completed - Collect 0</v>
          </cell>
          <cell r="O43" t="str">
            <v>Sunflower ( 12 Inch ) 2     Grass</v>
          </cell>
          <cell r="P43" t="str">
            <v>Mix Alstroemeria ( 12 Inch ) 16     FF Sachet + Grass</v>
          </cell>
          <cell r="Q43" t="str">
            <v>P n W Glad ( 14 Inch ) 16  Collect Payment Collect Payment Collect Payment Grass</v>
          </cell>
          <cell r="R43" t="str">
            <v>P Asiatic ( 14 Inch ) 3     Grass</v>
          </cell>
          <cell r="S43" t="e">
            <v>#N/A</v>
          </cell>
          <cell r="T43" t="str">
            <v>G n W Car ( 14 Inch ) 16     FF Sachet + Grass</v>
          </cell>
        </row>
        <row r="44">
          <cell r="A44">
            <v>221</v>
          </cell>
          <cell r="B44" t="str">
            <v>Convinience Enterprises-Sonali anand</v>
          </cell>
          <cell r="C44">
            <v>9810524040</v>
          </cell>
          <cell r="D44" t="str">
            <v>E-243 belaire apartments</v>
          </cell>
          <cell r="E44" t="str">
            <v>Golf Course Road</v>
          </cell>
          <cell r="F44" t="str">
            <v>Thursday</v>
          </cell>
          <cell r="G44" t="str">
            <v>9 AM - 12 PM</v>
          </cell>
          <cell r="H44">
            <v>2750</v>
          </cell>
          <cell r="I44">
            <v>687.5</v>
          </cell>
          <cell r="J44" t="str">
            <v>Corporate</v>
          </cell>
          <cell r="K44" t="str">
            <v>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v>
          </cell>
          <cell r="N44" t="str">
            <v>1  del of this cycle   -  0-cycles pmnt   In Process - Collect 0</v>
          </cell>
          <cell r="O44" t="e">
            <v>#N/A</v>
          </cell>
          <cell r="P44" t="e">
            <v>#N/A</v>
          </cell>
          <cell r="Q44" t="e">
            <v>#N/A</v>
          </cell>
          <cell r="R44" t="str">
            <v xml:space="preserve">P Asiatic ( 14 Inch ) 6     </v>
          </cell>
          <cell r="S44" t="str">
            <v>R n W Car ( 14 Inch ) 32     2 Limonium + FF Sachet</v>
          </cell>
          <cell r="T44" t="str">
            <v>P n Y Spray Daisy ( 14 Inch ) 10     2 Gypsola + FF Sachet</v>
          </cell>
        </row>
        <row r="45">
          <cell r="A45">
            <v>922</v>
          </cell>
          <cell r="B45" t="str">
            <v>Dr. Deepa Gupta</v>
          </cell>
          <cell r="C45">
            <v>8860079525</v>
          </cell>
          <cell r="D45" t="str">
            <v>Mayom Hospital, D block south city 1</v>
          </cell>
          <cell r="E45" t="str">
            <v>South City 1</v>
          </cell>
          <cell r="F45" t="str">
            <v>Thursday</v>
          </cell>
          <cell r="G45" t="str">
            <v>4 PM to 7 PM</v>
          </cell>
          <cell r="H45">
            <v>1450</v>
          </cell>
          <cell r="I45">
            <v>362.5</v>
          </cell>
          <cell r="J45" t="str">
            <v>Corporate</v>
          </cell>
          <cell r="K45" t="str">
            <v>1 del Missed(07/10) Return-send next week(31/12) Send replacement of Gerbera(30/10) Send on Monday this week(20/03) Return- hold package(08/07) Today returned-send next week(02/06) HDTNP (19/02)</v>
          </cell>
          <cell r="N45" t="str">
            <v>3  del of this cycle   -  0-cycles pmnt   In Process - Collect 0</v>
          </cell>
          <cell r="O45" t="str">
            <v>Y Asiatic ( 14 Inch ) 3     Grass</v>
          </cell>
          <cell r="P45" t="str">
            <v>O Asiatic ( 14 Inch ) 3     Grass</v>
          </cell>
          <cell r="Q45" t="str">
            <v>Pur Eustoma ( 12 Inch ) 3     FF Sachet + Grass</v>
          </cell>
          <cell r="R45" t="str">
            <v>P Asiatic ( 14 Inch ) 3     Grass</v>
          </cell>
          <cell r="S45" t="str">
            <v>W Asiatic ( 14 Inch ) 3     Grass</v>
          </cell>
          <cell r="T45" t="str">
            <v>O Asiatic ( 14 Inch ) 3     Grass</v>
          </cell>
        </row>
        <row r="46">
          <cell r="A46">
            <v>236</v>
          </cell>
          <cell r="B46" t="str">
            <v>Dr. Arti Gupta 1</v>
          </cell>
          <cell r="C46">
            <v>8860079525</v>
          </cell>
          <cell r="D46" t="str">
            <v>Mayom Hospital, D block south city 1</v>
          </cell>
          <cell r="E46" t="str">
            <v>South City 1</v>
          </cell>
          <cell r="F46" t="str">
            <v>Mondau</v>
          </cell>
          <cell r="G46" t="str">
            <v>9 AM - 12 PM</v>
          </cell>
          <cell r="H46">
            <v>1450</v>
          </cell>
          <cell r="I46">
            <v>362.5</v>
          </cell>
          <cell r="J46" t="str">
            <v>Corporate</v>
          </cell>
          <cell r="K46" t="str">
            <v>Pls send a replacement of Asiatic tomorrow(23/08)NO GERBERA(22/09) Start special Pack(13/04) Send Del on Monday this week(20/03) NEVER BUT DAISIES(29/10) Hold today (22/01) HDTNP (19/02) Sent one xtra del today (29/06) Hold today (09/07)</v>
          </cell>
          <cell r="N46" t="str">
            <v>4  del of this cycle   -  0-cycles pmnt   In Process - Collect 0</v>
          </cell>
          <cell r="O46" t="str">
            <v>Pur n P Car ( 14 inch ) 16     FF Sachet + Grass</v>
          </cell>
          <cell r="P46" t="str">
            <v>P n W Glad ( 14 Inch ) 16     Grass</v>
          </cell>
          <cell r="Q46" t="str">
            <v>Rajni ( 14 Inch ) 16     Grass</v>
          </cell>
          <cell r="R46" t="str">
            <v>B Daisy ( 12 Inch ) 10     Grass</v>
          </cell>
          <cell r="S46" t="str">
            <v>P n W Car ( 14 Inch ) 16     FF Sachet + Grass</v>
          </cell>
          <cell r="T46" t="str">
            <v>Rajni ( 14 Inch ) 16     Grass</v>
          </cell>
        </row>
        <row r="47">
          <cell r="A47">
            <v>2205</v>
          </cell>
          <cell r="B47" t="str">
            <v>Shubhra Gupta</v>
          </cell>
          <cell r="C47">
            <v>9811981626</v>
          </cell>
          <cell r="D47" t="str">
            <v>ES-245, Espace</v>
          </cell>
          <cell r="E47" t="str">
            <v>Nirvana Country</v>
          </cell>
          <cell r="F47" t="str">
            <v>Thursday</v>
          </cell>
          <cell r="G47" t="str">
            <v>9 AM - 12 PM</v>
          </cell>
          <cell r="H47">
            <v>1450</v>
          </cell>
          <cell r="I47">
            <v>362.5</v>
          </cell>
          <cell r="J47" t="str">
            <v>Bliss</v>
          </cell>
          <cell r="K47" t="str">
            <v>Paytm From 9811656524 // No Orchids // Skip 1 week (01/10) Same flowers from last  2weeks, pls Check (06/11) Paytm from Gaurav Gupta (0703)</v>
          </cell>
          <cell r="L47" t="str">
            <v>ORCHID</v>
          </cell>
          <cell r="M47" t="str">
            <v>Same Flowers from 2 week, Pls Check (06/11)</v>
          </cell>
          <cell r="N47" t="str">
            <v>3  del of this cycle   -  0-cycles pmnt   Completed - Collect 0</v>
          </cell>
          <cell r="O47" t="str">
            <v>Pur n P Car ( 14 inch ) 16     FF Sachet + Grass</v>
          </cell>
          <cell r="P47" t="str">
            <v>P n W Spray Daisy ( 14 Inch ) 5     FF Sachet + Grass</v>
          </cell>
          <cell r="Q47" t="str">
            <v>B Daisy ( 12 Inch ) 16     Grass</v>
          </cell>
          <cell r="R47" t="str">
            <v>P Asiatic ( 14 Inch ) 3     Grass</v>
          </cell>
          <cell r="S47" t="str">
            <v>Rajni ( 14 Inch ) 16     Grass</v>
          </cell>
          <cell r="T47" t="str">
            <v>G n W Car ( 14 Inch ) 16     FF Sachet + Grass</v>
          </cell>
        </row>
        <row r="48">
          <cell r="A48">
            <v>1455</v>
          </cell>
          <cell r="B48" t="str">
            <v>Gagan Ahluwalia</v>
          </cell>
          <cell r="C48">
            <v>9811105056</v>
          </cell>
          <cell r="D48" t="str">
            <v>C-82, The Summit</v>
          </cell>
          <cell r="E48" t="str">
            <v>Golf Course Road</v>
          </cell>
          <cell r="F48" t="str">
            <v>Thursday</v>
          </cell>
          <cell r="G48" t="str">
            <v>9 AM - 12 PM</v>
          </cell>
          <cell r="H48">
            <v>2300</v>
          </cell>
          <cell r="I48">
            <v>287.5</v>
          </cell>
          <cell r="J48" t="str">
            <v>Felicity</v>
          </cell>
          <cell r="K48"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48" t="str">
            <v>3  del of this cycle   -  1-cycles pmnt   Pending - Collect 2300</v>
          </cell>
          <cell r="O48" t="str">
            <v>Rajni ( 14 Inch ) 11     Grass</v>
          </cell>
          <cell r="P48" t="str">
            <v>Pur n P Car ( 14 inch ) 11     FF Sachet + Grass</v>
          </cell>
          <cell r="Q48" t="str">
            <v>P Spray Daisy ( 14 Inch ) 3     FF Sachet + Grass</v>
          </cell>
          <cell r="R48" t="str">
            <v>Sunflower ( 12 Inch ) 3     FF Sachet + Grass</v>
          </cell>
          <cell r="S48" t="str">
            <v>P Asiatic ( 14 Inch ) 2     Grass</v>
          </cell>
          <cell r="T48" t="str">
            <v>Y Spray Daisy ( 14 Inch ) 3     FF Sachet + Grass</v>
          </cell>
        </row>
        <row r="49">
          <cell r="A49">
            <v>3393</v>
          </cell>
          <cell r="B49" t="str">
            <v>Runul Vashishtha</v>
          </cell>
          <cell r="C49">
            <v>9871812384</v>
          </cell>
          <cell r="D49" t="str">
            <v>C-84, DLF Park Place, Park Drive, GCR</v>
          </cell>
          <cell r="E49" t="str">
            <v>Golf Course Road</v>
          </cell>
          <cell r="F49" t="str">
            <v>Thursday</v>
          </cell>
          <cell r="G49" t="str">
            <v>9 AM to 2 PM</v>
          </cell>
          <cell r="H49">
            <v>1450</v>
          </cell>
          <cell r="I49">
            <v>362.5</v>
          </cell>
          <cell r="J49" t="str">
            <v>Bliss</v>
          </cell>
          <cell r="N49" t="str">
            <v>3  del of this cycle   -  0-cycles pmnt   Completed - Collect 0</v>
          </cell>
          <cell r="O49" t="e">
            <v>#N/A</v>
          </cell>
          <cell r="P49" t="e">
            <v>#N/A</v>
          </cell>
          <cell r="Q49" t="e">
            <v>#N/A</v>
          </cell>
          <cell r="R49" t="str">
            <v>Pur n P Car ( 14 Inch ) 16     FF Sachet + Grass</v>
          </cell>
          <cell r="S49" t="str">
            <v>P Asiatic ( 14 Inch ) 3     Grass</v>
          </cell>
          <cell r="T49" t="str">
            <v>P n W Glad ( 14 Inch ) 16     Grass</v>
          </cell>
        </row>
        <row r="50">
          <cell r="A50">
            <v>366</v>
          </cell>
          <cell r="B50" t="str">
            <v>Dr. Arti Gupta 1</v>
          </cell>
          <cell r="C50">
            <v>8860079525</v>
          </cell>
          <cell r="D50" t="str">
            <v>Mayom Hospital, D block south city 1</v>
          </cell>
          <cell r="E50" t="str">
            <v>South City 1</v>
          </cell>
          <cell r="F50" t="str">
            <v>Monday</v>
          </cell>
          <cell r="G50" t="str">
            <v>9 AM - 12 PM</v>
          </cell>
          <cell r="H50">
            <v>1450</v>
          </cell>
          <cell r="I50">
            <v>362.5</v>
          </cell>
          <cell r="J50" t="str">
            <v>Corporate</v>
          </cell>
          <cell r="K50" t="str">
            <v>NO GERBERA(22/09)Start special Pack(13/04) Extend 1 ddlivery as we are sending 1 Nargis Today(22/12) Send Del on Monday this week(20/03) Send Replacemenmt of Car(20/09/20) NEVER BUT DAISIES(29/10) Spray daisy Next(03/03) Sent Replacement today(01/08) Hold today (22/01) HDTNP (19/02) Sent one extra del today (29/06) Hold today (09/07)</v>
          </cell>
          <cell r="N50" t="str">
            <v>4  del of this cycle   -  0-cycles pmnt   In Process - Collect 0</v>
          </cell>
          <cell r="O50" t="str">
            <v>Y Asiatic ( 14 Inch ) 3     Grass</v>
          </cell>
          <cell r="P50" t="str">
            <v>O Asiatic ( 14 Inch ) 3     Grass</v>
          </cell>
          <cell r="Q50" t="str">
            <v>Pur Eustoma ( 12 Inch ) 3     FF Sachet + Grass</v>
          </cell>
          <cell r="R50" t="str">
            <v>P Asiatic ( 14 Inch ) 3     Grass</v>
          </cell>
          <cell r="S50" t="str">
            <v>W Asiatic ( 14 Inch ) 3     Grass</v>
          </cell>
          <cell r="T50" t="str">
            <v>O Asiatic ( 14 Inch ) 3     Grass</v>
          </cell>
        </row>
        <row r="51">
          <cell r="A51">
            <v>3235</v>
          </cell>
          <cell r="B51" t="str">
            <v>Nishant -- Wellington</v>
          </cell>
          <cell r="C51">
            <v>9833057481</v>
          </cell>
          <cell r="D51" t="str">
            <v>Flat-1B/101, Wellington Estate</v>
          </cell>
          <cell r="E51" t="str">
            <v>DLF Phase 5</v>
          </cell>
          <cell r="F51" t="str">
            <v>Thursday</v>
          </cell>
          <cell r="G51" t="str">
            <v>9 AM - 12 PM</v>
          </cell>
          <cell r="H51">
            <v>1450</v>
          </cell>
          <cell r="I51">
            <v>362.5</v>
          </cell>
          <cell r="J51" t="str">
            <v>Bliss</v>
          </cell>
          <cell r="K51" t="str">
            <v>Paytm From Nishant Pandita // HDTNP (05/03) No Glad or Rajni (06/06)</v>
          </cell>
          <cell r="L51" t="str">
            <v>Glad n Rajni</v>
          </cell>
          <cell r="N51" t="str">
            <v>2  del of this cycle   -  1-cycles pmnt   Pending - Collect 1450</v>
          </cell>
          <cell r="O51" t="str">
            <v>Pur n P Car ( 14 inch ) 16     FF Sachet + Grass</v>
          </cell>
          <cell r="P51" t="str">
            <v>P Asiatic ( 14 Inch ) 3     Grass</v>
          </cell>
          <cell r="Q51" t="str">
            <v>Pur Eustoma ( 12 Inch ) 3     FF Sachet + Grass</v>
          </cell>
          <cell r="R51" t="str">
            <v>P n Y Spray Daisy ( 14 Inch ) 5     FF Sachet + Grass</v>
          </cell>
          <cell r="S51" t="str">
            <v>Mix Alstroemeria ( 12Inch ) 16     FF Sachet + Grass</v>
          </cell>
          <cell r="T51" t="str">
            <v>G n W Car ( 14 Inch ) 16     FF Sachet + Grass</v>
          </cell>
        </row>
        <row r="52">
          <cell r="A52">
            <v>3326</v>
          </cell>
          <cell r="B52" t="str">
            <v>Ms. Rani</v>
          </cell>
          <cell r="C52">
            <v>9313104941</v>
          </cell>
          <cell r="D52" t="str">
            <v>J-151, Park Place</v>
          </cell>
          <cell r="E52" t="str">
            <v>DLF Phase 5</v>
          </cell>
          <cell r="F52" t="str">
            <v>Thursday</v>
          </cell>
          <cell r="G52" t="str">
            <v>9 AM to 2 PM</v>
          </cell>
          <cell r="H52">
            <v>1450</v>
          </cell>
          <cell r="I52">
            <v>362.5</v>
          </cell>
          <cell r="J52" t="str">
            <v>Bliss</v>
          </cell>
          <cell r="K52" t="str">
            <v>Start From July (06/06)</v>
          </cell>
          <cell r="N52" t="str">
            <v>3  del of this cycle   -  0-cycles pmnt   Completed - Collect 0</v>
          </cell>
          <cell r="O52" t="e">
            <v>#N/A</v>
          </cell>
          <cell r="P52" t="e">
            <v>#N/A</v>
          </cell>
          <cell r="Q52" t="e">
            <v>#N/A</v>
          </cell>
          <cell r="R52" t="str">
            <v>Pur n P Car ( 14 Inch ) 16     FF Sachet + Grass</v>
          </cell>
          <cell r="S52" t="str">
            <v>W Asiatic ( 14 Inch ) 3   Collect Payment Collect Payment Grass</v>
          </cell>
          <cell r="T52" t="str">
            <v>P n W Glad ( 14 Inch ) 16     Grass</v>
          </cell>
        </row>
        <row r="53">
          <cell r="A53">
            <v>2481</v>
          </cell>
          <cell r="B53" t="str">
            <v>Puneet Mahajan</v>
          </cell>
          <cell r="C53">
            <v>9810110847</v>
          </cell>
          <cell r="D53" t="str">
            <v>D-19, 4th Floor, Siuth City -2, Opp Arcadia Mall</v>
          </cell>
          <cell r="E53" t="str">
            <v>Nirvana Country</v>
          </cell>
          <cell r="F53" t="str">
            <v>Sunday</v>
          </cell>
          <cell r="G53" t="str">
            <v>9 AM - 12 PM</v>
          </cell>
          <cell r="H53">
            <v>2300</v>
          </cell>
          <cell r="I53">
            <v>287.5</v>
          </cell>
          <cell r="J53" t="str">
            <v>Felicity</v>
          </cell>
          <cell r="K53" t="str">
            <v>Send Sponge// Day Changed to Sunday (16/04) Paytm From Sri Sai makers (20/04) Change to felicity (17/05)</v>
          </cell>
          <cell r="N53" t="str">
            <v>2  del of this cycle   -  1-cycles pmnt   Pending - Collect 2300</v>
          </cell>
          <cell r="O53" t="str">
            <v>Pur n P Car ( 14 inch ) 11     FF Sachet + Grass</v>
          </cell>
          <cell r="P53" t="str">
            <v>P Spray Daisy ( 14 Inch ) 3     FF Sachet + Grass</v>
          </cell>
          <cell r="Q53" t="str">
            <v>P Asiatic ( 14 Inch ) 2     Grass</v>
          </cell>
          <cell r="R53" t="str">
            <v>Sunflower ( 12 Inch ) 3     FF Sachet + Grass</v>
          </cell>
          <cell r="S53" t="str">
            <v>Rajni ( 14 Inch ) 11     Grass</v>
          </cell>
          <cell r="T53" t="str">
            <v>O Asiatic ( 14 Inch ) 2     Grass</v>
          </cell>
        </row>
        <row r="54">
          <cell r="A54">
            <v>2406</v>
          </cell>
          <cell r="B54" t="str">
            <v>Vermeen Kapoor</v>
          </cell>
          <cell r="C54">
            <v>9873458198</v>
          </cell>
          <cell r="D54" t="str">
            <v>B-59, South City 2</v>
          </cell>
          <cell r="E54" t="str">
            <v>Nirvana Country</v>
          </cell>
          <cell r="F54" t="str">
            <v>Thursday</v>
          </cell>
          <cell r="G54" t="str">
            <v>9:30 Am to 2 PM</v>
          </cell>
          <cell r="H54">
            <v>1450</v>
          </cell>
          <cell r="I54">
            <v>362.5</v>
          </cell>
          <cell r="J54" t="str">
            <v>Bliss</v>
          </cell>
          <cell r="K54" t="str">
            <v>Referred by Swati Khandelwal?/ Mixed Flowers // Send replace,ent tom (19/02) Day Changed to Thursday (08/04) today returned-send tom (24/07)</v>
          </cell>
          <cell r="M54" t="str">
            <v>Mixed Flowers</v>
          </cell>
          <cell r="N54" t="str">
            <v>4  del of this cycle   -  0-cycles pmnt   Completed - Collect 0</v>
          </cell>
          <cell r="O54" t="str">
            <v>Pur Eustoma ( 12 Inch ) 2 Pur n P Car ( 14 inch ) 7   FF Sachet + Grass</v>
          </cell>
          <cell r="P54" t="str">
            <v>Sunflower ( 12 Inch ) 2 P n W Glad ( 14 Inch ) 7   FF Sachet + Grass</v>
          </cell>
          <cell r="Q54" t="str">
            <v>P Asiatic ( 14 Inch ) 2 B Daisy ( 12 Inch ) 7   Grass</v>
          </cell>
          <cell r="R54" t="str">
            <v>P Spray Daisy ( 14 Inch ) 3 Rajni ( 14 Inch ) 7   FF Sachet + Grass</v>
          </cell>
          <cell r="S54" t="str">
            <v>Sunflower ( 12 Inch ) 2 P n W Car ( 14 Inch ) 7   FF Sachet + Grass</v>
          </cell>
          <cell r="T54" t="str">
            <v>O Asiatic ( 14 Inch ) 2 P n W Glad ( 14 Inch ) 7   Grass</v>
          </cell>
        </row>
        <row r="55">
          <cell r="A55">
            <v>2204</v>
          </cell>
          <cell r="B55" t="str">
            <v>Bidisha Dey</v>
          </cell>
          <cell r="C55">
            <v>9811969982</v>
          </cell>
          <cell r="D55" t="str">
            <v>C-24, Carlton Estate-1, Club Drive</v>
          </cell>
          <cell r="E55" t="str">
            <v>DLF Phase 5</v>
          </cell>
          <cell r="F55" t="str">
            <v>Thursday</v>
          </cell>
          <cell r="G55" t="str">
            <v>9:30 Am to 2 PM</v>
          </cell>
          <cell r="H55">
            <v>1450</v>
          </cell>
          <cell r="I55">
            <v>362.5</v>
          </cell>
          <cell r="J55" t="str">
            <v>Bliss</v>
          </cell>
          <cell r="K55" t="str">
            <v>Skip 1 week (03/06) Returned send next week (11/07) Skip 1 week (08/01) Skip 1 week (26/03) Skip tom (02/07) Today Returned (20/11) HDTNP (25/06)</v>
          </cell>
          <cell r="N55" t="str">
            <v>2  del of this cycle   -  0-cycles pmnt   Completed - Collect 0</v>
          </cell>
          <cell r="O55" t="str">
            <v>Pur n P Car ( 14 inch ) 16     FF Sachet + Grass</v>
          </cell>
          <cell r="P55" t="str">
            <v>Sunflower ( 12 Inch ) 4     FF Sachet + Grass</v>
          </cell>
          <cell r="Q55" t="e">
            <v>#N/A</v>
          </cell>
          <cell r="R55" t="str">
            <v>P Asiatic ( 14 Inch ) 3    Collect payment Grass</v>
          </cell>
          <cell r="S55" t="str">
            <v>Rajni ( 14 Inch ) 16     Grass</v>
          </cell>
          <cell r="T55" t="str">
            <v>G n W Car ( 14 Inch ) 16     FF Sachet + Grass</v>
          </cell>
        </row>
        <row r="56">
          <cell r="A56">
            <v>884</v>
          </cell>
          <cell r="B56" t="str">
            <v>Bhavna Taneja</v>
          </cell>
          <cell r="C56">
            <v>9811192021</v>
          </cell>
          <cell r="D56" t="str">
            <v>F-214, DLF The Crest,Sec-54</v>
          </cell>
          <cell r="E56" t="str">
            <v>Golf Course Road</v>
          </cell>
          <cell r="F56" t="str">
            <v>Thursday</v>
          </cell>
          <cell r="G56" t="str">
            <v>9:30 AM to 2 PM</v>
          </cell>
          <cell r="H56">
            <v>1450</v>
          </cell>
          <cell r="I56">
            <v>362.5</v>
          </cell>
          <cell r="J56" t="str">
            <v>Bliss</v>
          </cell>
          <cell r="K56" t="str">
            <v>Send 2 Stick exytra next(14/09) Send lilies next(27/09) Send Tom instead of Sat and send Lilies(22/10) Send del tom with Orchids(30/10) Send 2 Asiatic on Friday instead of satirday(21/11) Google Pay from Harsh Taneja(08/02) Send on 20th and don’t send on 22nd(15/02) Hold n start from 7th Mar (20/02) TRY FOR WEDNESDAY(19/05/20) Send next del on friday with 2 extra Asiatic lily for 200Rs.(27/05/2020) Sending 30th Del on 29th May(28/05/2020) UPI From Harsh Vir Taneja(05/06/2020) Upgrade to 850 (30/07/20) Send Tom instead of 30th Oct)(27/10) Sending tom due to Diwali(11/11) Change to Bloom Pack(08/04) Next del on Monday (23/12) Send Lilies Next (24/12) Dont send on thursday -- send on Monday (04/01) NO BOP n GULDAWARI (29/01) Skip this monday and send on tuesday this week (16/05) Skip this wek and send on Thursday (26/08) Skip next thursday and sned on sunday (22/03) Skip 2 wek (02/06) Skip tom n send on sunday (26/06) No GERBERA (01/08) 1000 cash and 250 via paytm (21/11) Send on tuesday this week (22/12) Paytm from Harshveer Taneja (16/05) Payment REceived on 08th May also via Cash(18/05) skip 1 week (31/05) Skip 1 week (20/12) Start from 25th June (12/06)</v>
          </cell>
          <cell r="L56" t="str">
            <v>GULDAWARI n BOP n GERBERA</v>
          </cell>
          <cell r="M56" t="str">
            <v>Mixed Now</v>
          </cell>
          <cell r="N56" t="str">
            <v>4  del of this cycle   -  0-cycles pmnt   CompletedNO COLLECTION-we have extra money - Collect -50</v>
          </cell>
          <cell r="O56" t="str">
            <v>P n W Glad ( 14 Inch ) 16     Grass</v>
          </cell>
          <cell r="P56" t="e">
            <v>#N/A</v>
          </cell>
          <cell r="Q56" t="str">
            <v>Pur n P Car ( 14 Inch ) 16     FF Sachet + Grass</v>
          </cell>
          <cell r="R56" t="str">
            <v>Sunflower ( 12 Inch ) 4    Collect Payment FF Sachet + Grass</v>
          </cell>
          <cell r="S56" t="str">
            <v>Rajni ( 14 Inch ) 16     Grass</v>
          </cell>
          <cell r="T56" t="str">
            <v>P Asiatic ( 14 Inch ) 3     Grass</v>
          </cell>
        </row>
        <row r="57">
          <cell r="A57">
            <v>237</v>
          </cell>
          <cell r="B57" t="str">
            <v>Mayom Hospital</v>
          </cell>
          <cell r="C57">
            <v>8860079525</v>
          </cell>
          <cell r="D57" t="str">
            <v>Mayom Hospital, D block south city 1</v>
          </cell>
          <cell r="G57" t="str">
            <v>9 AM - 12 PM</v>
          </cell>
          <cell r="H57">
            <v>1450</v>
          </cell>
          <cell r="I57">
            <v>362.5</v>
          </cell>
          <cell r="J57" t="str">
            <v>Corporate</v>
          </cell>
          <cell r="T57" t="str">
            <v>P n W Glad ( 14 Inch ) 16     Grass</v>
          </cell>
        </row>
        <row r="58">
          <cell r="A58">
            <v>309</v>
          </cell>
          <cell r="B58" t="str">
            <v>Ms Swati Bhise--before 10</v>
          </cell>
          <cell r="C58">
            <v>9811806611</v>
          </cell>
          <cell r="D58" t="str">
            <v xml:space="preserve">TG-5/4B Orchid Garden Sun city Sec - 54 </v>
          </cell>
          <cell r="E58" t="str">
            <v>Golf Course Road</v>
          </cell>
          <cell r="F58" t="str">
            <v>Thursday</v>
          </cell>
          <cell r="G58" t="str">
            <v>9 AM - 12 PM</v>
          </cell>
          <cell r="H58">
            <v>2750</v>
          </cell>
          <cell r="I58">
            <v>687.5</v>
          </cell>
          <cell r="J58" t="str">
            <v>Elation</v>
          </cell>
          <cell r="K58" t="str">
            <v>Sunday to thurs//Orchid in 1st Del and no Rose/Rajni/Gerbera till they come in good shape(08/07) Next B or W Orchid(02/12) Car Next(09/12) Next Orchid(06/01) Orchid Next(10/02)  Gerbera tom(13/08)NEVER PURPLE ORCHID--SEND W n B ORCHID Next(22/09) Y Asiatic Next(03/11)  Send 1 Del tom (02/07) Orchid Next (27/07) Skip 1 week (20/11) Send 1 Del Tom (10/02) Skip next Del (16/02) Hold n start from 10th June (20/03) Today Returned again (04/07) Returned again (11/07) Send this thursday and then skip 1 week (23/07) Hold today (08/08) Skip 2 more weeks (09/08) Today Returned (21/11) Skip 1 week (11/12) Skip 1 week (24/12) Skip 1 more week (25/01) Skip 1 week (18/02) Hold till 9th Mar (24/02) Hold now (11/09) Skip next week (27/11) Return today (18/12) Today Returned again (25/12) Skip tom (18/02) Skip 1 week (28/02) Skip 1 week (19/03) Skip 1 week (21/03)  Skip tom (09/04) Skip next week (16/04) Skip 3 week (20/04) Skip 1 week (14/05) Skip 1 week (17/05) Skip 1 week (03/06) Skip next week (02/07)</v>
          </cell>
          <cell r="M58" t="str">
            <v>Upgrade to Elation next (14/08)</v>
          </cell>
          <cell r="N58" t="str">
            <v>4  del of this cycle   -  0-cycles pmnt   Completed - Collect 0</v>
          </cell>
          <cell r="O58" t="str">
            <v>P Asiatic ( 14 Inch )  6     2 Gypsola</v>
          </cell>
          <cell r="P58" t="str">
            <v>P n W Glad ( 14 Inch ) 32     2 Limonium</v>
          </cell>
          <cell r="Q58" t="str">
            <v>Pur n P Eustoma ( 12 Inch ) 6  Collect Payment Collect Payment Collect Payment 2 Limonium + FF Sachet</v>
          </cell>
          <cell r="R58" t="str">
            <v xml:space="preserve">Pur n P Car ( 14 Inch ) 32     2 Gypsola + FF Sachet </v>
          </cell>
          <cell r="S58" t="e">
            <v>#N/A</v>
          </cell>
          <cell r="T58" t="str">
            <v>O Asiatic ( 14 Inch ) 6     2 Gypsola</v>
          </cell>
        </row>
        <row r="59">
          <cell r="A59" t="str">
            <v>G-00028</v>
          </cell>
          <cell r="B59" t="str">
            <v>Niharika Mohanty</v>
          </cell>
          <cell r="C59">
            <v>9711098608</v>
          </cell>
          <cell r="D59" t="str">
            <v>W2A-151, Wellington Estate</v>
          </cell>
          <cell r="E59" t="str">
            <v>DLF Phase 5</v>
          </cell>
          <cell r="F59" t="str">
            <v>Thursday</v>
          </cell>
          <cell r="G59" t="str">
            <v>10 AM to 2:30 PM</v>
          </cell>
          <cell r="H59">
            <v>1950</v>
          </cell>
          <cell r="I59">
            <v>487.5</v>
          </cell>
          <cell r="J59" t="str">
            <v>Joy</v>
          </cell>
          <cell r="K59" t="str">
            <v>From Akriti Chopra // Mixed Flowers // Skip this week (11/03) Skip 1 week (11/03)  Skip 2 week (18/06) Skip 1 week (13/08) Skip 1 week (14/10) Skip 2 weeks (12/11) Skip 1 week (03/12) Skip 1 week (03/01) Hold today (21/05) Skip tom (03/06) Skip today and next week (18/06(</v>
          </cell>
          <cell r="M59" t="str">
            <v>Mixed Flowers</v>
          </cell>
          <cell r="N59" t="str">
            <v>3  del of this cycle   -  1-cycles pmnt   Pending - Collect 1950</v>
          </cell>
          <cell r="O59" t="str">
            <v>Y Asiatic ( 14 Inch ) 2 P n W Glad ( 14 Inch ) 11   2 Gypsola</v>
          </cell>
          <cell r="P59" t="str">
            <v>Sunflower ( 12 Inch ) 3 Mix Alstroemeria ( 12 inch )  11   FF Sachet + Grass</v>
          </cell>
          <cell r="Q59" t="e">
            <v>#N/A</v>
          </cell>
          <cell r="R59" t="str">
            <v>P Eustoma ( 12 Inch ) 2 Pur n W Car ( 14 Inch ) 11   FF Sachet + Grass</v>
          </cell>
          <cell r="S59" t="str">
            <v>P Asiatic ( 14 Inch ) 2 Rajni ( 14 Inch ) 11 Collect Payment Collect Payment Grass</v>
          </cell>
          <cell r="T59" t="str">
            <v>P n W Spray Daisy ( 14 Inch ) 4 P n W Glad ( 14 Inch ) 11   FF Sachet + Grass</v>
          </cell>
        </row>
        <row r="60">
          <cell r="A60">
            <v>3133</v>
          </cell>
          <cell r="B60" t="str">
            <v>Anastasiia Liapicheva</v>
          </cell>
          <cell r="C60" t="str">
            <v>7678659573 // '+79029329098</v>
          </cell>
          <cell r="D60" t="str">
            <v>B1/602, Palm Groove Heights, Ardee City Sec 52</v>
          </cell>
          <cell r="E60" t="str">
            <v>Sushant Estate</v>
          </cell>
          <cell r="F60" t="str">
            <v>Thursday</v>
          </cell>
          <cell r="G60" t="str">
            <v>9 AM - 12 PM</v>
          </cell>
          <cell r="H60">
            <v>1450</v>
          </cell>
          <cell r="I60">
            <v>362.5</v>
          </cell>
          <cell r="J60" t="str">
            <v>Bliss</v>
          </cell>
          <cell r="K60" t="str">
            <v>No Lilies (02/11) No White Greens (02/12) Skip 1 week (07/01) skip 1 week (27/01) No Sunflower (06/03) Skip 1 week (06/06)</v>
          </cell>
          <cell r="L60" t="str">
            <v>Lily n Sunflower n White Greens</v>
          </cell>
          <cell r="M60" t="str">
            <v>No White Greens n Mixed Flowers</v>
          </cell>
          <cell r="N60" t="str">
            <v>2  del of this cycle   -  0-cycles pmnt   Completed - Collect 0</v>
          </cell>
          <cell r="O60" t="e">
            <v>#N/A</v>
          </cell>
          <cell r="P60" t="str">
            <v>O Asiatic ( 14 Inch ) 2 P n W Glad ( 14 Inch ) 7   Grass</v>
          </cell>
          <cell r="Q60" t="str">
            <v>Y Spray Daisy 3 P n W Car ( 14 Inch ) 7   FF Sachet + Grass</v>
          </cell>
          <cell r="R60" t="str">
            <v>P Eustoma ( 12 Inch ) 2 Rajni ( 14 Inch ) 7   FF Sachet + Grass</v>
          </cell>
          <cell r="S60" t="str">
            <v>W Asiatic ( 14 Inch ) 2 Mix Alstroemeria ( 12 Inch ) 7   Grass</v>
          </cell>
          <cell r="T60" t="str">
            <v>P Spray Daisy ( 14 Inch ) 3 P n W Glad ( 14 Inch ) 7   FF Sachet + Grass</v>
          </cell>
        </row>
        <row r="61">
          <cell r="A61">
            <v>1978</v>
          </cell>
          <cell r="B61" t="str">
            <v>Anu-- After 6 PM</v>
          </cell>
          <cell r="C61" t="str">
            <v>98103 39602</v>
          </cell>
          <cell r="D61" t="str">
            <v xml:space="preserve">Tower 6, 901 Fresco </v>
          </cell>
          <cell r="E61" t="str">
            <v>Nirvana Country</v>
          </cell>
          <cell r="F61" t="str">
            <v>Thursday</v>
          </cell>
          <cell r="G61" t="str">
            <v>4 Pm to 7 PM</v>
          </cell>
          <cell r="H61">
            <v>4850</v>
          </cell>
          <cell r="I61">
            <v>606.25</v>
          </cell>
          <cell r="J61" t="str">
            <v>Poise</v>
          </cell>
          <cell r="K61"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61" t="str">
            <v>ROSE n RAJNI n HELICONIA n BOP</v>
          </cell>
          <cell r="M61" t="str">
            <v>after 6 pm on 19th (16/04)</v>
          </cell>
          <cell r="N61" t="str">
            <v>2  del of this cycle   -  1-cycles pmnt   Pending - Collect 4850</v>
          </cell>
          <cell r="O61" t="str">
            <v>Y Asiatic ( 14 Inch ) 2 Mix Eustoma ( 12 Inch ) 4 P n W Car ( 14 Inch ) 12 Grass</v>
          </cell>
          <cell r="P61" t="str">
            <v>P Asiatic ( 14 Inch ) 2 Mix Alstroemeria ( 12 inch )  8 P n W Glad ( 14 Inch ) 8 Grass</v>
          </cell>
          <cell r="Q61" t="str">
            <v>W Asiatic ( 14 Inch ) 2 P n Y Spray Daisy ( 14 Inch ) 4 Rajni ( 14 Inch ) 12 Grass</v>
          </cell>
          <cell r="R61" t="str">
            <v>O Asiatic ( 14 Inch ) 2 Sunflower ( 12 Inch ) 4 Pur n P Car ( 14 Inch ) 12 Grass</v>
          </cell>
          <cell r="S61" t="str">
            <v>W Asiatic ( 14 Inch ) 2 Mix Alstroemeria ( 12 Inch ) 8 B Daisy 10 Grass</v>
          </cell>
          <cell r="T61" t="str">
            <v>P Asiatic ( 14 Inch ) 2 Sunflower 3 P n W  Car ( 14 Inch ) 12 Grass</v>
          </cell>
        </row>
        <row r="62">
          <cell r="A62">
            <v>179</v>
          </cell>
          <cell r="B62" t="str">
            <v>Sarita Dosaj</v>
          </cell>
          <cell r="C62">
            <v>9810077026</v>
          </cell>
          <cell r="D62" t="str">
            <v>B-24, Trinity Towers</v>
          </cell>
          <cell r="E62" t="str">
            <v>DLF Phase 5</v>
          </cell>
          <cell r="F62" t="str">
            <v>Thursday</v>
          </cell>
          <cell r="G62" t="str">
            <v>9 AM - 12 PM</v>
          </cell>
          <cell r="H62">
            <v>1450</v>
          </cell>
          <cell r="I62">
            <v>362.5</v>
          </cell>
          <cell r="J62" t="str">
            <v>Bliss</v>
          </cell>
          <cell r="K62" t="str">
            <v>One Color Flower ( 06/06) HDTNP (25/06)</v>
          </cell>
          <cell r="M62" t="str">
            <v>One Color Flower ( 06/06)</v>
          </cell>
          <cell r="N62" t="str">
            <v>1  del of this cycle   -  1-cycles pmnt   Pending - Collect 1450</v>
          </cell>
          <cell r="O62" t="str">
            <v>P Glad ( 14 Inch ) 16 One Color Flower Only    Grass</v>
          </cell>
          <cell r="P62" t="str">
            <v>O Asiatic ( 14 Inch ) 3 Collect Cash Collect Cash    Grass</v>
          </cell>
          <cell r="Q62" t="e">
            <v>#N/A</v>
          </cell>
          <cell r="R62" t="str">
            <v>Sunflower ( 12 Inch ) 4    Collect payment FF Sachet + Grass</v>
          </cell>
          <cell r="S62" t="str">
            <v>P n W Car ( 14 Inch ) 16     FF Sachet + Grass</v>
          </cell>
          <cell r="T62" t="str">
            <v>P n W Spray Daisy ( 14 Inch ) 5     FF Sachet + Grass</v>
          </cell>
        </row>
        <row r="63">
          <cell r="A63">
            <v>3071</v>
          </cell>
          <cell r="B63" t="str">
            <v>Divya Rawat</v>
          </cell>
          <cell r="C63">
            <v>8390310325</v>
          </cell>
          <cell r="D63" t="str">
            <v>D-13/14, 1st Floor, DLF Exclusive Floor</v>
          </cell>
          <cell r="E63" t="str">
            <v>DLF Phase 5</v>
          </cell>
          <cell r="F63" t="str">
            <v>Thursday</v>
          </cell>
          <cell r="G63" t="str">
            <v>9 AM - 12 PM</v>
          </cell>
          <cell r="H63">
            <v>1450</v>
          </cell>
          <cell r="I63">
            <v>362.5</v>
          </cell>
          <cell r="J63" t="str">
            <v>Bliss</v>
          </cell>
          <cell r="K63" t="str">
            <v>Return today (04/12) Hold today (05/03) Returned today (28/05) HDTNP (25/06)</v>
          </cell>
          <cell r="N63" t="str">
            <v>1  del of this cycle   -  1-cycles pmnt   Pending - Collect 1450</v>
          </cell>
          <cell r="O63" t="str">
            <v>P Spray Daisy ( 14 Inch ) 3 Mix Alstroemeria ( 12 Inch ) 7   FF Sachet + Grass</v>
          </cell>
          <cell r="P63" t="str">
            <v>Sunflower ( 12 Inch ) 2 P n W Glad ( 14 Inch ) 7   FF Sachet + Grass</v>
          </cell>
          <cell r="Q63" t="e">
            <v>#N/A</v>
          </cell>
          <cell r="R63" t="str">
            <v>P Asiatic ( 14 Inch ) 2 Rajni ( 14 Inch ) 7  Collect Payment Grass</v>
          </cell>
          <cell r="S63" t="str">
            <v>P Spray Daisy ( 14 Inch ) 3 P n W Car ( 14 Inch ) 7   FF Sachet + Grass</v>
          </cell>
          <cell r="T63" t="str">
            <v>Sunflower ( 12 Inch ) 2 Mix Alstroemeria ( 12 Inch ) 7   FF Sachet + Grass</v>
          </cell>
        </row>
        <row r="64">
          <cell r="A64">
            <v>61</v>
          </cell>
          <cell r="B64" t="str">
            <v>Megha Manchanda -- Bliss Pack</v>
          </cell>
          <cell r="C64">
            <v>9871919500</v>
          </cell>
          <cell r="D64" t="str">
            <v>T-3/302, Unitech Harmony</v>
          </cell>
          <cell r="E64" t="str">
            <v>Nirvana Country</v>
          </cell>
          <cell r="F64" t="str">
            <v>Thursday</v>
          </cell>
          <cell r="G64" t="str">
            <v>9 AM - 12 PM</v>
          </cell>
          <cell r="H64">
            <v>1450</v>
          </cell>
          <cell r="I64">
            <v>362.5</v>
          </cell>
          <cell r="J64" t="str">
            <v>Bliss</v>
          </cell>
          <cell r="K64" t="str">
            <v>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v>
          </cell>
          <cell r="N64" t="str">
            <v>2  del of this cycle   -  1-cycles pmnt   Pending - Collect 1450</v>
          </cell>
          <cell r="O64" t="str">
            <v>Pur n P Car ( 14 inch ) 9     Grass</v>
          </cell>
          <cell r="P64" t="str">
            <v>Sunflower ( 12 Inch ) 2     FF Sachet + Grass</v>
          </cell>
          <cell r="Q64" t="e">
            <v>#N/A</v>
          </cell>
          <cell r="R64" t="str">
            <v>Rajni ( 14 Inch ) 9     Grass</v>
          </cell>
          <cell r="S64" t="str">
            <v>P Asiatic ( 14 Inch ) 3     Grass</v>
          </cell>
          <cell r="T64" t="str">
            <v>G n W Car ( 14 Inch ) 16     FF Sachet + Grass</v>
          </cell>
        </row>
        <row r="65">
          <cell r="A65">
            <v>1140</v>
          </cell>
          <cell r="B65" t="str">
            <v>Nidhi Singh</v>
          </cell>
          <cell r="C65" t="str">
            <v>8383036664//9899389873</v>
          </cell>
          <cell r="D65" t="str">
            <v>D-8/3, Ground Floor DLF Exclusive Floors</v>
          </cell>
          <cell r="E65" t="str">
            <v>DLF Phase 5</v>
          </cell>
          <cell r="F65" t="str">
            <v>Thursday</v>
          </cell>
          <cell r="G65" t="str">
            <v>9 AM - 12 PM</v>
          </cell>
          <cell r="H65">
            <v>2300</v>
          </cell>
          <cell r="I65">
            <v>287.5</v>
          </cell>
          <cell r="J65" t="str">
            <v>Felicity</v>
          </cell>
          <cell r="K65"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65" t="str">
            <v>ROSE</v>
          </cell>
          <cell r="N65" t="str">
            <v>5  del of this cycle   -  0-cycles pmnt   Completed - Collect 0</v>
          </cell>
          <cell r="O65" t="str">
            <v>Pur Eustoma ( 12 Inch ) 3     FF Sachet + Grass</v>
          </cell>
          <cell r="P65" t="str">
            <v>Rajni ( 14 Inch ) 11     Grass</v>
          </cell>
          <cell r="Q65" t="str">
            <v>P n W Glad ( 14 Inch ) 11     Grass</v>
          </cell>
          <cell r="R65" t="str">
            <v>Pur n P Car ( 14 Inch ) 11     FF Sachet + Grass</v>
          </cell>
          <cell r="S65" t="str">
            <v>Rajni ( 14 Inch ) 11     Grass</v>
          </cell>
          <cell r="T65" t="str">
            <v>P n W Glad ( 14 Inch ) 11     Grass</v>
          </cell>
        </row>
        <row r="66">
          <cell r="A66">
            <v>826</v>
          </cell>
          <cell r="B66" t="str">
            <v>Anuradha M Agarwal</v>
          </cell>
          <cell r="C66">
            <v>9811201606</v>
          </cell>
          <cell r="D66" t="str">
            <v>A-82, Westend Heights</v>
          </cell>
          <cell r="E66" t="str">
            <v>DLF Phase 5</v>
          </cell>
          <cell r="F66" t="str">
            <v>Thursday</v>
          </cell>
          <cell r="G66" t="str">
            <v>9 AM to 2 PM</v>
          </cell>
          <cell r="H66">
            <v>1450</v>
          </cell>
          <cell r="I66">
            <v>362.5</v>
          </cell>
          <cell r="J66" t="str">
            <v>Bliss</v>
          </cell>
          <cell r="K66" t="str">
            <v>Sending on 20th instaed of 21st,bcoz of Holi(18/03) This Cycle flowers -- Lilies / Orchids / Carnations/Gladioli(07/04) Orchid Next(25/04) Skip 2 week(11/06) Send on Friday this week(12/08) NO ORCHID, today returned-send glad tom(22/08)ASIATIC AND  ORCHID ONCE A CYCLE WITHOUT PLASTIC CAP(22/12) Returned-send Tom(16/01) Day chenged to saturday n ORCHID NEXT(18/01) Do not consider this week del and AVOID YELLOW COLOR FOR SOME WEEK, Send Orchid Next(23/02) Orchid next (27/05) Orchid next (09/06) Hold after current cycle (09/06) Return today (10/10) Skip 1 week (25/10) Skip this thursday (16/02) Skip 1 week (23/03) Today Returned and skip next week Laos (14/08) Skip 2 week (11/10) Skip 2 week (21/12)</v>
          </cell>
          <cell r="N66" t="str">
            <v>1  del of this cycle   -  1-cycles pmnt   Pending - Collect 1450</v>
          </cell>
          <cell r="O66" t="str">
            <v>P n W Glad ( 14 Inch ) 9     Gras</v>
          </cell>
          <cell r="P66" t="str">
            <v>O Asiatic ( 14 Inch ) 3     Grass</v>
          </cell>
          <cell r="Q66" t="str">
            <v>B Daisy ( 12 Inch ) 9     Grass</v>
          </cell>
          <cell r="R66" t="str">
            <v>P n W Car ( 14 Inch ) 9     FF Sachet + Grass</v>
          </cell>
          <cell r="S66" t="str">
            <v>Rajni ( 14 Inch ) 9     Grass</v>
          </cell>
          <cell r="T66" t="str">
            <v>P n Y Spray Daisy ( 14 Inch ) 5     FF Sachet + Grass</v>
          </cell>
        </row>
        <row r="67">
          <cell r="A67">
            <v>2666</v>
          </cell>
          <cell r="B67" t="str">
            <v>Gunjan Malhotra</v>
          </cell>
          <cell r="C67">
            <v>9971518253</v>
          </cell>
          <cell r="D67" t="str">
            <v>H. No. 298C, 1st Floor, Block G, Sushant Lok-2</v>
          </cell>
          <cell r="E67" t="str">
            <v>Artemis</v>
          </cell>
          <cell r="F67" t="str">
            <v>Thursday</v>
          </cell>
          <cell r="G67" t="str">
            <v>4 PM to 7 PM</v>
          </cell>
          <cell r="H67">
            <v>1450</v>
          </cell>
          <cell r="I67">
            <v>362.5</v>
          </cell>
          <cell r="J67" t="str">
            <v>Bliss</v>
          </cell>
          <cell r="K67" t="str">
            <v>Paytm From Gunjan Malhotra // Hold n start from 04th Sep (02/08) Change day to Thursday (31/08) Do not count last Del (20/12) Skip 1 week (02/02) Skip 1 week (25/03)</v>
          </cell>
          <cell r="N67" t="str">
            <v>1  del of this cycle   -  1-cycles pmnt   Pending - Collect 1450</v>
          </cell>
          <cell r="O67" t="str">
            <v>Pur n P Car ( 14 inch ) 9     Grass</v>
          </cell>
          <cell r="P67" t="str">
            <v>Mix Alstroemeria ( 12 Inch ) 16     FF Sachet + Grass</v>
          </cell>
          <cell r="Q67" t="str">
            <v>Pur Eustoma ( 12 Inch ) 3     FF Sachet + Grass</v>
          </cell>
          <cell r="R67" t="str">
            <v>P Asiatic ( 14 Inch ) 3     Grass</v>
          </cell>
          <cell r="S67" t="str">
            <v>Rajni ( 14 Inch ) 16     Grass</v>
          </cell>
          <cell r="T67" t="str">
            <v>G n W Car ( 14 Inch ) 16     FF Sachet + Grass</v>
          </cell>
        </row>
        <row r="68">
          <cell r="A68">
            <v>2578</v>
          </cell>
          <cell r="B68" t="str">
            <v>Suchit Agarwal</v>
          </cell>
          <cell r="C68">
            <v>9999404880</v>
          </cell>
          <cell r="D68" t="str">
            <v>T-A/702, Kanchanjunga Towers, Sec 56</v>
          </cell>
          <cell r="E68" t="str">
            <v>Sector 56</v>
          </cell>
          <cell r="F68" t="str">
            <v>Thursday</v>
          </cell>
          <cell r="G68" t="str">
            <v>4 Pm to 7 PM</v>
          </cell>
          <cell r="H68">
            <v>999</v>
          </cell>
          <cell r="I68">
            <v>249.75</v>
          </cell>
          <cell r="J68" t="str">
            <v>Delight</v>
          </cell>
          <cell r="K68" t="str">
            <v>Paytm From Richa Handa (20/06) Skip Thursday and send on Sunday (23/02) Skip tom n send on Sunday this week (01/04) HDTNP (25/06)</v>
          </cell>
          <cell r="N68" t="str">
            <v>4  del of this cycle   -  0-cycles pmnt   Completed - Collect 0</v>
          </cell>
          <cell r="O68" t="str">
            <v>Mix Alstroemeria ( 12 Inch ) 9     Grass</v>
          </cell>
          <cell r="P68" t="str">
            <v>Sunflower ( 12 Inch ) 2     FF Sachet + Grass</v>
          </cell>
          <cell r="Q68" t="e">
            <v>#N/A</v>
          </cell>
          <cell r="R68" t="str">
            <v xml:space="preserve">Collect 500 n Close      </v>
          </cell>
          <cell r="S68" t="str">
            <v>Pur n P Car ( 14 Inch ) 9     FF Sachet + Grass</v>
          </cell>
          <cell r="T68" t="str">
            <v>O Asiatic ( 14 Inch ) 2     Grass</v>
          </cell>
        </row>
        <row r="69">
          <cell r="A69">
            <v>2644</v>
          </cell>
          <cell r="B69" t="str">
            <v>Sanjeet Kaur</v>
          </cell>
          <cell r="C69">
            <v>7889438209</v>
          </cell>
          <cell r="D69" t="str">
            <v>601, Emerald Green, Sector 52</v>
          </cell>
          <cell r="E69" t="str">
            <v>Artemis</v>
          </cell>
          <cell r="F69" t="str">
            <v>Thursday</v>
          </cell>
          <cell r="G69" t="str">
            <v>9:30 Am to 2 PM</v>
          </cell>
          <cell r="H69">
            <v>1450</v>
          </cell>
          <cell r="I69">
            <v>362.5</v>
          </cell>
          <cell r="J69" t="str">
            <v>Bliss</v>
          </cell>
          <cell r="K69" t="str">
            <v>1 Gypsola in each Del (16/05) Paytm From Arshia Kaur (13/06) Paytm From Yogpal Singh (20/12) Do not count todays delivery (30/04)</v>
          </cell>
          <cell r="M69" t="str">
            <v>1 Gyposla in each Del</v>
          </cell>
          <cell r="N69" t="str">
            <v>2  del of this cycle   -  0-cycles pmnt   Completed - Collect 0</v>
          </cell>
          <cell r="O69" t="str">
            <v>P n W Glad ( 14 Inch ) 9     Gras</v>
          </cell>
          <cell r="P69" t="str">
            <v>Y Spray Daisy ( 14 Inch ) 3     1 Gypsola + FF Sachet</v>
          </cell>
          <cell r="Q69" t="str">
            <v>B Daisy ( 12 Inch ) 9     Grass</v>
          </cell>
          <cell r="R69" t="str">
            <v>P Asiatic ( 14 Inch ) 2     Grass</v>
          </cell>
          <cell r="S69" t="str">
            <v>Pur n P Car ( 14 Inch ) 16     FF Sachet + Grass</v>
          </cell>
          <cell r="T69" t="str">
            <v>P n Y Spray Daisy ( 14 Inch ) 5     FF Sachet + Grass</v>
          </cell>
        </row>
        <row r="70">
          <cell r="A70">
            <v>3144</v>
          </cell>
          <cell r="B70" t="str">
            <v>Samar Singh</v>
          </cell>
          <cell r="C70">
            <v>9582363043</v>
          </cell>
          <cell r="D70" t="str">
            <v>C-13, DLF Icon</v>
          </cell>
          <cell r="H70">
            <v>1450</v>
          </cell>
          <cell r="J70" t="str">
            <v>Bliss</v>
          </cell>
          <cell r="T70" t="str">
            <v>P Spray Daisy ( 14 Inch ) 3 Carnation 7   FF Sachet + Grass</v>
          </cell>
        </row>
        <row r="71">
          <cell r="A71">
            <v>1982</v>
          </cell>
          <cell r="B71" t="str">
            <v>Manvi Bajpai</v>
          </cell>
          <cell r="C71">
            <v>8860046280</v>
          </cell>
          <cell r="D71" t="str">
            <v>A-43, Westend Heights</v>
          </cell>
          <cell r="E71" t="str">
            <v>DLF Phase 5</v>
          </cell>
          <cell r="F71" t="str">
            <v>Thursday</v>
          </cell>
          <cell r="G71" t="str">
            <v>9 AM - 12 PM</v>
          </cell>
          <cell r="H71">
            <v>1450</v>
          </cell>
          <cell r="I71">
            <v>362.5</v>
          </cell>
          <cell r="J71" t="str">
            <v>Bliss</v>
          </cell>
          <cell r="K71" t="str">
            <v>Preferred Flowers-- Car//Rose//Guldawari//Gerbera//Orchid//Spray Daisy (27/09) 4th Del was on Hold (10/10) Skip 1 week (21/10) Skip 1 week (02/03) No Orchid (27/04) Hold n start after 15th Sep (18/08) Skip 1 week (19/10) Skip 1 week (17/12) Skip 2 week (17/03) Sending del today instead of tom (26/04) Skip 1 week (13/08) Skip 1 week (10/10) Return today (26/10) Today Hold (28/12) Skip 2 week (27/01) Skip 1 week (14/03) Skip 2 weks (17/04) Skip 2 week (01/06) Payment from Sreyansh Updhyay (19/07) Skip 18th to 25th (02/10) Skip 1 week (06/020</v>
          </cell>
          <cell r="L71" t="str">
            <v>ORCHID</v>
          </cell>
          <cell r="N71" t="str">
            <v>1  del of this cycle   -  0-cycles pmnt   Completed - Collect 0</v>
          </cell>
          <cell r="O71" t="e">
            <v>#N/A</v>
          </cell>
          <cell r="P71" t="e">
            <v>#N/A</v>
          </cell>
          <cell r="Q71" t="e">
            <v>#N/A</v>
          </cell>
          <cell r="R71" t="e">
            <v>#N/A</v>
          </cell>
          <cell r="S71" t="e">
            <v>#N/A</v>
          </cell>
          <cell r="T71" t="str">
            <v>G n W Car ( 14 Inch ) 16     FF Sachet + Grass</v>
          </cell>
        </row>
        <row r="72">
          <cell r="A72">
            <v>3063</v>
          </cell>
          <cell r="B72" t="str">
            <v>Shinjini Mehrotra</v>
          </cell>
          <cell r="C72">
            <v>9810198315</v>
          </cell>
          <cell r="D72" t="str">
            <v>F-109, 2nd Floor, Suncity</v>
          </cell>
          <cell r="E72" t="str">
            <v>Golf Course Road</v>
          </cell>
          <cell r="F72" t="str">
            <v>Thursday</v>
          </cell>
          <cell r="G72" t="str">
            <v>9 AM - 12 PM</v>
          </cell>
          <cell r="H72">
            <v>1450</v>
          </cell>
          <cell r="I72">
            <v>362.5</v>
          </cell>
          <cell r="J72" t="str">
            <v>Bliss</v>
          </cell>
          <cell r="K72" t="str">
            <v>Hold 4 Weeks (04/12) Skip 1 week (14/02) Skip 2 week (28/02) Skip 1 week  (01/04) Hold till 29th Apr (06/04)</v>
          </cell>
          <cell r="N72" t="str">
            <v>2  del of this cycle   -  0-cycles pmnt   CompletedNO COLLECTION-we have extra money - Collect -100</v>
          </cell>
          <cell r="O72" t="str">
            <v>Pur Eustoma ( 12 Inch ) 3     FF Sachet + Grass</v>
          </cell>
          <cell r="P72" t="str">
            <v>Sunflower ( 12 Inch ) 4     FF Sachet + Grass</v>
          </cell>
          <cell r="Q72" t="str">
            <v>P n W Glad ( 14 Inch ) 16     Grass</v>
          </cell>
          <cell r="R72" t="str">
            <v>P Asiatic ( 14 Inch ) 3     Grass</v>
          </cell>
          <cell r="S72" t="str">
            <v>Rajni ( 14 Inch ) 16     Grass</v>
          </cell>
          <cell r="T72" t="str">
            <v>G n W Car ( 14 Inch ) 16     FF Sachet + Grass</v>
          </cell>
        </row>
        <row r="73">
          <cell r="A73">
            <v>442</v>
          </cell>
          <cell r="B73" t="str">
            <v>Ruchi Mathure--Before 10:30 AM</v>
          </cell>
          <cell r="C73">
            <v>9871265555</v>
          </cell>
          <cell r="D73" t="str">
            <v>D-013, Westend height, DLF-5</v>
          </cell>
          <cell r="E73" t="str">
            <v>DLF Phase 5</v>
          </cell>
          <cell r="F73" t="str">
            <v>Thursday</v>
          </cell>
          <cell r="G73" t="str">
            <v>9 AM - 12 PM</v>
          </cell>
          <cell r="H73">
            <v>1450</v>
          </cell>
          <cell r="I73">
            <v>362.5</v>
          </cell>
          <cell r="J73" t="str">
            <v>Bliss</v>
          </cell>
          <cell r="K73" t="str">
            <v>No White Flowers(22/08)Skip this week n start from Thursday(26/09)Skip this week(29/11) Skip n sned on Monday(27/01) Return-send tom(17/02) NO P CAR(18/02)Return-send on Friday(24/02) Return-doesn't need Special Pack(14/04) Upgrade to 650 Plan(02/05) Skip this week n send on Monday(07/06) Skip 1 week(13/09) Skip 1 week(26/10) Skip 1 week(14/12) 150 adjusted against extra paid in Nargis to be delivered on 1st jan(30/12) Skip 1 week(26/01) Last week del was missed- pls send tom(07/03) Skip 2 weeks(18/03)NO WHITE FLOWERS(30/12) Send on saturdya this week instead of Thursday(12/11) Send on saturday this week(21/12) Getting only Car and asiatic-- Pls send all flowers(07/01) 10th Del missed-send them on saturday(11/03) NO WHITE FLOWERS(01/04) Hold n start from 2nd June(29/04) Last Thursday Missed(04/06) Skip this week n send on Sunday this week(22/06) Send Tom 1 Del with Rajni (11/07) Send 1 Del Tom(17/07) Today returned (28/07) NO GOLDEN GRASS(11/08) Sent 1 del Today(13/09) Skip tom and sned on Sunday (24/11) nEXT DEL SEND ON 31ST INSTEAD OF 30TH (24/12) Skip 1 week (20/01) Sent replacement today (14/04) send on monday this week only (21/04) Hold till 2nd Aug (07/07) Sent 1 del today and dont send tom (30/08) Skip tom Del n Send on Sunday (01/11) Today returned (09/11) No Del del till 3rd DEc (15/12) Skip 1 week (30/01) Skip on 14th and send on Sunday (12/03) Skip n sned on sunday (08/05) Hold today (30/05) Payment from Kapil M (16/06) Paytm From Kapil M (14/07) Skip 1 week (26/11) Skip nexty del (03/12) Hold till 15th Apr (18/04) No Sunflower (13/03) Skip this thursday and sned on sunday (20/04) Skip 1 week (20/05)</v>
          </cell>
          <cell r="L73" t="str">
            <v>Sunflower</v>
          </cell>
          <cell r="M73" t="str">
            <v>No White even in mixed // Skip 23rd and sned on 26th (20/04)</v>
          </cell>
          <cell r="N73" t="str">
            <v>3  del of this cycle   -  0-cycles pmnt   Completed - Collect 0</v>
          </cell>
          <cell r="O73" t="str">
            <v>P Glad ( 14 Inch ) 16 No White     Grass</v>
          </cell>
          <cell r="P73" t="str">
            <v>P n Y Spray Daisy ( 14 Inch ) 5 No White Flower  No White Flower   FF Sachet + Grass</v>
          </cell>
          <cell r="Q73" t="str">
            <v>Pur n P Car ( 14 Inch ) 16     FF Sachet + Grass</v>
          </cell>
          <cell r="R73" t="str">
            <v>Pur Eustoma ( 12 Inch ) 3     FF Sachet + Grass</v>
          </cell>
          <cell r="S73" t="str">
            <v>Rajni ( 14 Inch ) 16     Grass</v>
          </cell>
          <cell r="T73" t="str">
            <v>P n W Glad ( 14 Inch ) 16     Grass</v>
          </cell>
        </row>
        <row r="74">
          <cell r="A74">
            <v>484</v>
          </cell>
          <cell r="B74" t="str">
            <v>Deepti Chhabra</v>
          </cell>
          <cell r="C74">
            <v>9811230451</v>
          </cell>
          <cell r="D74" t="str">
            <v>A-061, Westend Heights</v>
          </cell>
          <cell r="E74" t="str">
            <v>DLF Phase 5</v>
          </cell>
          <cell r="F74" t="str">
            <v>Thursday</v>
          </cell>
          <cell r="G74" t="str">
            <v>4 PM to 7PM</v>
          </cell>
          <cell r="H74">
            <v>1950</v>
          </cell>
          <cell r="I74">
            <v>487.5</v>
          </cell>
          <cell r="J74" t="str">
            <v>Joy</v>
          </cell>
          <cell r="K74" t="str">
            <v>Sat to Thursday//Hold n start from 23rd Nov(31/10) Add changed(01/02) Paytm from Vishal Chabra(22/02) Send Replacement(03/03) Skip this week(18/03) Skip next del(14/06) 1 stick extra next Del(12/07 FF Sold Today(19/07) Send rajni Tom(02/08) Send FF Next(13/09) Next Asiatic n 2 sticks extra(25/09) Rajni Next(05/12) Skip 1 week(20/12) Hold-send tom(14/02) Upgraded to 1250, send remaining 5 sticks tom(04/09) Skip1 week(05/11) Skip 1 week(18/11)  Hold today and skip 1 week(11/12) Skip 1 week(20/03) Sent replacement today(08/04) Skip 2 weeks(21/06) Skip 1 week (09/11) Skip 1 more week (16/11) NO ROSE (29/12) Send replacemet tom (08/04) Pink n green Spray Car Tom (03/05) Skip 2 weeks (01/06) Skip 1 week (23/10) Skip 1 week (15/11) Today hold (11/01) Skip 1 week (16/03) Skip 2 week (22/10) Paytm from Arti Lakra (17/01) Skip 1 week(12/04) Skip 1 week912/04) Yesterday Returned (24/10) Skip tom (07/01) Hold due to non payment (04/02) Skip 2 week (16/05) Hod n start from July (04/06)</v>
          </cell>
          <cell r="L74" t="str">
            <v>ROSE</v>
          </cell>
          <cell r="N74" t="str">
            <v>3  del of this cycle   -  0-cycles pmnt   Completed - Collect 0</v>
          </cell>
          <cell r="O74" t="e">
            <v>#N/A</v>
          </cell>
          <cell r="P74" t="e">
            <v>#N/A</v>
          </cell>
          <cell r="Q74" t="e">
            <v>#N/A</v>
          </cell>
          <cell r="R74" t="str">
            <v>Pur n P Car ( 14 Inch ) 22     FF Sachet + Grass</v>
          </cell>
          <cell r="S74" t="str">
            <v>Rajni ( 14 Inch ) 22   Collect Payment Collect Payment Grass</v>
          </cell>
          <cell r="T74" t="str">
            <v>O Asiatic ( 14 Inch ) 4     Grass</v>
          </cell>
        </row>
        <row r="75">
          <cell r="A75">
            <v>3385</v>
          </cell>
          <cell r="B75" t="str">
            <v>Srishti Verma</v>
          </cell>
          <cell r="C75">
            <v>9604584926</v>
          </cell>
          <cell r="D75" t="str">
            <v>H. No. 126, Flat No. 302, Road D3, Indira Colony, Sec 52</v>
          </cell>
          <cell r="E75" t="str">
            <v>Artemis</v>
          </cell>
          <cell r="F75" t="str">
            <v>Thursday</v>
          </cell>
          <cell r="G75" t="str">
            <v>4 Pm to 7 PM</v>
          </cell>
          <cell r="H75">
            <v>1950</v>
          </cell>
          <cell r="I75">
            <v>487.5</v>
          </cell>
          <cell r="J75" t="str">
            <v>Joy</v>
          </cell>
          <cell r="K75" t="str">
            <v>Skip 1 Week (06/07)</v>
          </cell>
          <cell r="N75" t="str">
            <v>3  del of this cycle   -  0-cycles pmnt   Completed - Collect 0</v>
          </cell>
          <cell r="O75" t="e">
            <v>#N/A</v>
          </cell>
          <cell r="P75" t="e">
            <v>#N/A</v>
          </cell>
          <cell r="Q75" t="str">
            <v>Pur n P Car ( 14 Inch ) 22     FF Sachet + Grass</v>
          </cell>
          <cell r="R75" t="str">
            <v>O Asiatic ( 14 Inch ) 4     Grass</v>
          </cell>
          <cell r="S75" t="e">
            <v>#N/A</v>
          </cell>
          <cell r="T75" t="str">
            <v>Mix Car ( 14 Inch ) 22     FF Sachet + Grass</v>
          </cell>
        </row>
        <row r="76">
          <cell r="A76">
            <v>949</v>
          </cell>
          <cell r="B76" t="str">
            <v>Meenu Amrith-- Evening Only</v>
          </cell>
          <cell r="C76">
            <v>9891350735</v>
          </cell>
          <cell r="D76" t="str">
            <v>H. No. 579, Ground Floor,Near Dell-- Sec-43</v>
          </cell>
          <cell r="E76" t="str">
            <v>DLF Phase 5</v>
          </cell>
          <cell r="F76" t="str">
            <v>Thursday</v>
          </cell>
          <cell r="G76" t="str">
            <v>10 AM to 2:30 PM</v>
          </cell>
          <cell r="H76">
            <v>1450</v>
          </cell>
          <cell r="I76">
            <v>362.5</v>
          </cell>
          <cell r="J76" t="str">
            <v>Bliss</v>
          </cell>
          <cell r="K76" t="str">
            <v>Sunday to Thurs//Skip next week(21/01) Skip 1 week(12/02) Hold n start from 1st week of May(06/03) Pls start from coming Tuesday(14/03)  Send Sunday Del on Sat This week(12/11) Skip 1 week(29/01) today hold and skip 1 more week(27/02) Start from 24th Mar(08/03) Hold n start from 16th June(18/05) Hold 3 Weeks(13/07) she saying that 10th Del Not received(11/11) Not avaible till 25th (14/11) Hold today(19/01) Skip 2 weeks (22/02) Skip 2 weeks (26/06) Hold n start after 15th Sep (18/08) Skip Tom (28/02) Hold n start from 13th June (24/05) Skip 1 week (23/07) Skip 1 week (04/12) Skip 1 week (12/03) Skip 1 week (18/01) Skip 1 weeek (13/05)</v>
          </cell>
          <cell r="N76" t="str">
            <v>1  del of this cycle   -  1-cycles pmnt   Pending - Collect 1450</v>
          </cell>
          <cell r="O76" t="str">
            <v>P Asiatic ( 14 Inch )  3     Grass</v>
          </cell>
          <cell r="P76" t="str">
            <v>Pur n P Car ( 14 inch ) 16     FF Sachet + Grass</v>
          </cell>
          <cell r="Q76" t="str">
            <v>Pur Eustoma ( 12 Inch ) 3     FF Sachet + Grass</v>
          </cell>
          <cell r="R76" t="str">
            <v>P n W Glad ( 14 Inch ) 16     Grass</v>
          </cell>
          <cell r="S76" t="str">
            <v>Sunflower ( 12 Inch ) 4     FF Sachet + Grass</v>
          </cell>
          <cell r="T76" t="str">
            <v>O Asiatic ( 14 Inch ) 3     Grass</v>
          </cell>
        </row>
        <row r="77">
          <cell r="A77">
            <v>2716</v>
          </cell>
          <cell r="B77" t="str">
            <v>Simmi Chopra</v>
          </cell>
          <cell r="C77">
            <v>9891744488</v>
          </cell>
          <cell r="D77" t="str">
            <v>B/145, Suncity, Golf Course Road</v>
          </cell>
          <cell r="E77" t="str">
            <v>Golf Course Road</v>
          </cell>
          <cell r="F77" t="str">
            <v>Thursday</v>
          </cell>
          <cell r="G77" t="str">
            <v>9 AM - 12 PM</v>
          </cell>
          <cell r="H77">
            <v>2750</v>
          </cell>
          <cell r="I77">
            <v>687.5</v>
          </cell>
          <cell r="J77" t="str">
            <v>Elation</v>
          </cell>
          <cell r="K77" t="str">
            <v>Upgrade to Elation (27/08) Send 10 B daisy next extra (04/10) Today Hold (04/12) Send one Del Tom (30/12)</v>
          </cell>
          <cell r="M77" t="str">
            <v>Send on del tom and no del on 1st Jan (30/12)</v>
          </cell>
          <cell r="N77" t="str">
            <v>4  del of this cycle   -  0-cycles pmnt   Completed - Collect 0</v>
          </cell>
          <cell r="O77" t="str">
            <v>Sunflower ( 12 Inch ) 4 Mix Alstroemeria ( 12 Inch ) 16   2 Limonium + FF Sachet</v>
          </cell>
          <cell r="P77" t="str">
            <v xml:space="preserve">P Asiatic ( 14 Inch ) 3 P n W Glad ( 14 Inch ) 16   2 Gypsola </v>
          </cell>
          <cell r="Q77" t="str">
            <v>Pur n P Eustoma ( 12 Inch ) 4 Pur n P Car ( 14 Inch ) 16   2 Limonium + FF Sachet</v>
          </cell>
          <cell r="R77" t="str">
            <v xml:space="preserve">P n W Spray Daisy ( 14 Inch ) 5 Rajni ( 14 Inch ) 16   2 Gypsola + FF Sachet </v>
          </cell>
          <cell r="S77" t="str">
            <v>Sunflower ( 12 Inch ) 4 Mix Alstroemeria ( 12 Inch ) 16   2 Limonium + FF Sachet</v>
          </cell>
          <cell r="T77" t="str">
            <v>O Asiatic ( 14 Inch ) 3 P n W Glad ( 14 Inch ) 16   2 Gypsola</v>
          </cell>
        </row>
        <row r="78">
          <cell r="A78">
            <v>19</v>
          </cell>
          <cell r="B78" t="str">
            <v>Mrs. Geeta Chopra</v>
          </cell>
          <cell r="C78">
            <v>9811373448</v>
          </cell>
          <cell r="D78" t="str">
            <v>E-64,Ground Floor,Suncity,Sec-54</v>
          </cell>
          <cell r="E78" t="str">
            <v>Golf Course Road</v>
          </cell>
          <cell r="F78" t="str">
            <v>Thursday</v>
          </cell>
          <cell r="G78" t="str">
            <v>9 AM - 12 PM</v>
          </cell>
          <cell r="H78">
            <v>1450</v>
          </cell>
          <cell r="I78">
            <v>362.5</v>
          </cell>
          <cell r="J78" t="str">
            <v>Bliss</v>
          </cell>
          <cell r="K78" t="str">
            <v>Sunday to Thurs//No Rajni (22/05)NO GERBERA(11/08), next time 3 sticks extra (30/3) Send replacement with 3 sticks extra tom and send special pack too(14/04) NO GLAD(22/06) NO ORCHID(13/07) Send FF Next Week(20/07) FF Sold today(27/07) Add Changed(20/12) SEND ALL FLOWERS(18/02) START WITH 650 PLAN(19/05/20) Send Replacement(14/07) Send Replacement (04/11) Hold due to non payment (02/01) Hold due to non payment (08/01) today missed send on sunday (28/05)</v>
          </cell>
          <cell r="N78" t="str">
            <v>1  del of this cycle   -  1-cycles pmnt   Pending - Collect 1450</v>
          </cell>
          <cell r="O78" t="str">
            <v>Mix Alstroemeria ( 12 Inch ) 16     FF Sachet + Grass</v>
          </cell>
          <cell r="P78" t="str">
            <v>O Asiatic ( 14 Inch ) 3     Grass</v>
          </cell>
          <cell r="Q78" t="str">
            <v>B Daisy ( 12 Inch ) 16  Collect Payment Collect Payment Collect Payment Grass</v>
          </cell>
          <cell r="R78" t="str">
            <v>Pur n P Car ( 14 Inch ) 16    Collect Payment FF Sachet + Grass</v>
          </cell>
          <cell r="S78" t="str">
            <v>Sunflower ( 12 Inch ) 4     FF Sachet + Grass</v>
          </cell>
          <cell r="T78" t="str">
            <v>P n W Glad ( 14 Inch ) 16     Grass</v>
          </cell>
        </row>
        <row r="79">
          <cell r="A79">
            <v>244</v>
          </cell>
          <cell r="B79" t="str">
            <v>Garima jain</v>
          </cell>
          <cell r="C79">
            <v>9958581403</v>
          </cell>
          <cell r="D79" t="str">
            <v xml:space="preserve"> G-901, Central Park 1, Golf Course Road    Sec 42 Gurgaon  122002</v>
          </cell>
          <cell r="E79" t="str">
            <v>Golf Course Road</v>
          </cell>
          <cell r="F79" t="str">
            <v>Thursday</v>
          </cell>
          <cell r="G79" t="str">
            <v>9 AM - 12 PM</v>
          </cell>
          <cell r="H79">
            <v>1450</v>
          </cell>
          <cell r="I79">
            <v>1450</v>
          </cell>
          <cell r="J79" t="str">
            <v>Bliss</v>
          </cell>
          <cell r="K79" t="str">
            <v>Sat to Thurs//Flowers other than Car pl (21/07)Send on Sunday instead of sat this week(19/10) Upgrade to 650 Plan(03/05) Add changed(13/07) NO CAR(07/09) Send a replacement (06/10) NO CAR(13/12) 200 Paytm Done(14/12) paytm of 200 from Anuj sarin(14/12) Sending 30th Del on 29th May(28/05/2020) ONLY LILIES(23/08/20) Day Changed to Saturday(14/10) Skip this week an semd next week(13/03) Hold n start from 29th Jan(25/12 ) Received 200 today via Gpay(26/12) Diff Flowesr every week(08/04)  Sent replacement today(22/04) Skip 1 week(17/06) Today Returned (13/06) Do not Count last Del (17/08) Skip 1 week (22/12) Skip 2 week (23/05) Send on sunday this week (01/10) Return-not at home (23/10) One Payment of 1000 received on 05th Feb (06/03) Returned (04/06)</v>
          </cell>
          <cell r="N79" t="str">
            <v>4  del of this cycle   -  0-cycles pmnt   Completed - Collect 0</v>
          </cell>
          <cell r="O79" t="str">
            <v>Mix Alstroemeria ( 12 Inch ) 9 Pls Collect Cash     Grass</v>
          </cell>
          <cell r="P79" t="str">
            <v>Pur n P Car ( 14 inch ) 9     Grass</v>
          </cell>
          <cell r="Q79" t="str">
            <v>Pur Eustoma ( 12 Inch ) 3     FF Sachet + Grass</v>
          </cell>
          <cell r="R79" t="str">
            <v>Rajni ( 14 Inch ) 16     Grass</v>
          </cell>
          <cell r="S79" t="str">
            <v>O Asiatic ( 14 Inch ) 3     Grass</v>
          </cell>
          <cell r="T79" t="str">
            <v>P n Y Spray Daisy ( 14 Inch ) 5     FF Sachet + Grass</v>
          </cell>
        </row>
        <row r="80">
          <cell r="A80">
            <v>3128</v>
          </cell>
          <cell r="B80" t="str">
            <v>Shikha Malhotra</v>
          </cell>
          <cell r="C80">
            <v>9873498869</v>
          </cell>
          <cell r="D80" t="str">
            <v>M-254, Park Place</v>
          </cell>
          <cell r="E80" t="str">
            <v>Golf Course Road</v>
          </cell>
          <cell r="F80" t="str">
            <v>Thursday</v>
          </cell>
          <cell r="G80" t="str">
            <v>4 PM to 7 PM</v>
          </cell>
          <cell r="H80">
            <v>1450</v>
          </cell>
          <cell r="I80">
            <v>362.5</v>
          </cell>
          <cell r="J80" t="str">
            <v>Bliss</v>
          </cell>
          <cell r="K80" t="str">
            <v>Skip 2 week after 13th (07/11) Today Hold (04/12) Paytm From Vivek Malhotra //</v>
          </cell>
          <cell r="N80" t="str">
            <v>1  del of this cycle   -  1-cycles pmnt   Pending - Collect 1450</v>
          </cell>
          <cell r="O80" t="e">
            <v>#N/A</v>
          </cell>
          <cell r="P80" t="str">
            <v>Pur n P Car ( 14 inch ) 16     FF Sachet + Grass</v>
          </cell>
          <cell r="Q80" t="str">
            <v>P Asiatic ( 14 Inch ) 3  Collect Payment Collect Payment Collect Payment Grass</v>
          </cell>
          <cell r="R80" t="str">
            <v>Rajni ( 14 Inch ) 16     Grass</v>
          </cell>
          <cell r="S80" t="str">
            <v>P n Y Spray Daisy ( 14 Inch ) 5     FF Sachet + Grass</v>
          </cell>
          <cell r="T80" t="str">
            <v>Asiatic 3     Grass</v>
          </cell>
        </row>
        <row r="81">
          <cell r="A81">
            <v>2200</v>
          </cell>
          <cell r="B81" t="str">
            <v>Naina Gandhi</v>
          </cell>
          <cell r="C81">
            <v>9811188863</v>
          </cell>
          <cell r="D81" t="str">
            <v>K2/105, Central Park -1</v>
          </cell>
          <cell r="E81" t="str">
            <v>Golf Course Road</v>
          </cell>
          <cell r="F81" t="str">
            <v>Thursday</v>
          </cell>
          <cell r="G81" t="str">
            <v>9 AM - 12 PM</v>
          </cell>
          <cell r="H81">
            <v>2300</v>
          </cell>
          <cell r="I81">
            <v>287.5</v>
          </cell>
          <cell r="J81" t="str">
            <v>Felicity</v>
          </cell>
          <cell r="K81"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81" t="str">
            <v>SPRAY DAISY</v>
          </cell>
          <cell r="M81" t="str">
            <v>Check for Bi weekly package</v>
          </cell>
          <cell r="N81" t="str">
            <v>5  del of this cycle   -  0-cycles pmnt   Completed - Collect 0</v>
          </cell>
          <cell r="O81" t="e">
            <v>#N/A</v>
          </cell>
          <cell r="P81" t="str">
            <v>P n W Glad ( 14 Inch ) 11     Grass</v>
          </cell>
          <cell r="Q81" t="e">
            <v>#N/A</v>
          </cell>
          <cell r="R81" t="str">
            <v>Pur n P Car ( 14 Inch ) 11     FF Sachet + Grass</v>
          </cell>
          <cell r="S81" t="str">
            <v>B Daisy ( 12 Inch ) 11     Grass</v>
          </cell>
          <cell r="T81" t="str">
            <v>P n W Glad ( 14 Inch ) 11     Grass</v>
          </cell>
        </row>
        <row r="82">
          <cell r="A82">
            <v>2868</v>
          </cell>
          <cell r="B82" t="str">
            <v>Group Captain Prabal Bir Singh</v>
          </cell>
          <cell r="C82">
            <v>7827468667</v>
          </cell>
          <cell r="D82" t="str">
            <v>603, Shivshakti CGHS, Plot-94, Near Ati Chowk</v>
          </cell>
          <cell r="E82" t="str">
            <v>DLF Phase 5</v>
          </cell>
          <cell r="F82" t="str">
            <v>Thursday</v>
          </cell>
          <cell r="G82" t="str">
            <v>9 AM to 2 PM</v>
          </cell>
          <cell r="H82">
            <v>1450</v>
          </cell>
          <cell r="I82">
            <v>362.5</v>
          </cell>
          <cell r="J82" t="str">
            <v>Bliss</v>
          </cell>
          <cell r="N82" t="str">
            <v>2  del of this cycle   -  0-cycles pmnt   Completed - Collect 0</v>
          </cell>
          <cell r="O82" t="str">
            <v>P n W Glad ( 14 Inch ) 9     Gras</v>
          </cell>
          <cell r="P82" t="str">
            <v>Sunflower ( 12 Inch ) 2     FF Sachet + Grass</v>
          </cell>
          <cell r="Q82" t="str">
            <v>Rajni ( 14 Inch ) 9     Grass</v>
          </cell>
          <cell r="R82" t="str">
            <v>P Asiatic ( 14 Inch ) 2     Grass</v>
          </cell>
          <cell r="S82" t="str">
            <v>P n W Car ( 14 Inch ) 16     FF Sachet + Grass</v>
          </cell>
          <cell r="T82" t="str">
            <v>P n Y Spray Daisy ( 14 Inch ) 5     FF Sachet + Grass</v>
          </cell>
        </row>
        <row r="83">
          <cell r="A83">
            <v>836</v>
          </cell>
          <cell r="B83" t="str">
            <v>Namrata Khandelwal -- After 5 PM</v>
          </cell>
          <cell r="C83">
            <v>9818392977</v>
          </cell>
          <cell r="D83" t="str">
            <v>1119, Magnolia</v>
          </cell>
          <cell r="E83" t="str">
            <v>DLF Phase 5</v>
          </cell>
          <cell r="F83" t="str">
            <v>Thursday</v>
          </cell>
          <cell r="G83" t="str">
            <v>After 5 PM</v>
          </cell>
          <cell r="H83">
            <v>4750</v>
          </cell>
          <cell r="I83">
            <v>1187.5</v>
          </cell>
          <cell r="J83" t="str">
            <v>Enchantment</v>
          </cell>
          <cell r="K83" t="str">
            <v>Sunday n Thursday//Tuesday and Satirday(20/04)Monday and Thursday(22/01)Friday and Sunday Now//Monday and Friday// AVOID CAR(09/05)  NO RAJNI TILL IT HAS FRAGRANCE(03/10)  NO CAR N GLAD(15/12)  Send Gerbera next(02/09/20) Preferred Flowers-- Car + Guldawari + Heliconia(30/11) Send Asiatic Lily and BOP or Anthurium(03/12) Hold n start after 20th Dec(09/12) Skip 1 week(07/05) Hold n send on 23rd n after(10/08) 2 Pack of 2850(01/09) Skip next delivery(09/09) Skip tom Delivery(12/09) Skip coming delivery (06/10) Next Del from tuesday (28/10) Skip tom del (11/11) Skip next del (18/11) No wchange to Weekly Plan (28/11) Hold n start from 4th Feb (04/01) Hold tom (24/02) Skip 1 week (02/03) Skip 2 weeks (25/03) Hold till 19th May (24/04) Skip thursday Del (02/10) Skip tom Del (07/10) Skip tom also (11/10) Skip tom (21/10) NO ROSE (04/01) Skip 1 week (08/01) Start from 1st Feb (24/01) Skip 1 Week (21/02) Skip 1 week (29/02) Skip 1 week (06/03). NO POLLEN FLOWERS EVER (27/04) Skip 1 week (12/05) Skip next Del (15/06) Skip this thursday (28/07) Skip 1 week (14/08) Skip 1 week (20/08) Skip tom (28/08) Skip tom (31/08) Hold today (08/09) No Asiatic/Gerbera and Rose (17/09) No Lily (19/10) Skip 1 week (30/10) Skip 1 week (11/12) Hold today and send tom (10/04) Send this week del on wednesday (21/04) Skip this week (29/05) Send on wednsday this week (02/06) Skip 1 week (03/09) Skip 1  Skip tom (07/01)week (11/09) No Gerbera (28/11) Skip 1 week (11/02) Skip 1 week (18/02) Skip tom (04/03) Skip 2 weeks (24/05)</v>
          </cell>
          <cell r="L83" t="str">
            <v>Pllen Flowers and Gerbera</v>
          </cell>
          <cell r="M83" t="str">
            <v>No Polen Flowers (20/08)</v>
          </cell>
          <cell r="N83" t="str">
            <v>2  del of this cycle   -  0-cycles pmnt   Completed - Collect 0</v>
          </cell>
          <cell r="O83" t="str">
            <v>Pur n P Eustoma ( 12 Inch ) 6 Pur n P Car ( 14 inch ) 30   3 Areca Palm + 3 Limonium + FF Sachet</v>
          </cell>
          <cell r="P83" t="e">
            <v>#N/A</v>
          </cell>
          <cell r="Q83" t="e">
            <v>#N/A</v>
          </cell>
          <cell r="R83" t="e">
            <v>#N/A</v>
          </cell>
          <cell r="S83" t="e">
            <v>#N/A</v>
          </cell>
          <cell r="T83" t="str">
            <v>P n Y Spray Daisy ( 14 Inch ) 10 G n W Car ( 14 Inch ) 30   3 Areca Palm + 3 Gypsola</v>
          </cell>
        </row>
        <row r="84">
          <cell r="A84" t="str">
            <v>B56466</v>
          </cell>
          <cell r="B84" t="str">
            <v>Lakshmi</v>
          </cell>
          <cell r="C84">
            <v>9810075054</v>
          </cell>
          <cell r="D84" t="str">
            <v>T-11/2C, Central Park Resort</v>
          </cell>
          <cell r="E84" t="str">
            <v>Sohna Road 2</v>
          </cell>
          <cell r="F84" t="str">
            <v>Thursday</v>
          </cell>
          <cell r="G84" t="str">
            <v>By 10 AM</v>
          </cell>
          <cell r="H84">
            <v>1800</v>
          </cell>
          <cell r="I84">
            <v>1800</v>
          </cell>
          <cell r="J84" t="str">
            <v>Bouquet</v>
          </cell>
          <cell r="K84" t="str">
            <v>8 Red n W Asiatic // Happy Birthday 🎉:)</v>
          </cell>
          <cell r="T84" t="str">
            <v xml:space="preserve">Semi Bloom Red n W Asiatic 8 Single Wrap Message   </v>
          </cell>
        </row>
        <row r="85">
          <cell r="A85" t="str">
            <v>G-00015</v>
          </cell>
          <cell r="B85" t="str">
            <v>Harsh  - Unikon</v>
          </cell>
          <cell r="C85">
            <v>9015463811</v>
          </cell>
          <cell r="D85" t="str">
            <v>AR-903B, 3rd Floor, Aralias</v>
          </cell>
          <cell r="E85" t="str">
            <v>Golf Course Road</v>
          </cell>
          <cell r="F85" t="str">
            <v>Thursday</v>
          </cell>
          <cell r="G85" t="str">
            <v>4 Pm to 7 PM</v>
          </cell>
          <cell r="H85">
            <v>2750</v>
          </cell>
          <cell r="I85">
            <v>687.5</v>
          </cell>
          <cell r="J85" t="str">
            <v>Elation</v>
          </cell>
          <cell r="K85" t="str">
            <v>From Deep Bajaj // Message = Your boyfriend:p (05/11) Paytm from Simran Dhawan (04/03) Send 1 delivery tomorrow (17/03) Skip 1 week (10/04) Add change request from Jasjit -- 9560611229</v>
          </cell>
          <cell r="M85" t="str">
            <v>One time Single n One Time Mixed</v>
          </cell>
          <cell r="N85" t="str">
            <v>3  del of this cycle   -  0-cycles pmnt   In Process - Collect 0</v>
          </cell>
          <cell r="O85" t="str">
            <v>Pur n P Eustoma ( 12 Inch ) 4 P n W Glad ( 14 Inch ) 16   2 Limonium + FF Sachet</v>
          </cell>
          <cell r="P85" t="str">
            <v>P n W Spray Daisy ( 14 Inch ) 5 Pur n P Car ( 14 Inch ) 16   2 Gypsola + FF Sachet</v>
          </cell>
          <cell r="Q85" t="str">
            <v>P Asiatic ( 14 Inch ) 3 B Daisy ( 12 Inch ) 16   2 Limonium</v>
          </cell>
          <cell r="R85" t="str">
            <v xml:space="preserve">Eustoma 4 Rajni ( 14 Inch ) 16   2 Gypsola + FF Sachet </v>
          </cell>
          <cell r="S85" t="str">
            <v>Sunflower ( 12 Inch ) 4 B Daisy ( 12 Inch ) 16   2 Limonium + FF Sachet</v>
          </cell>
          <cell r="T85" t="str">
            <v>P n W Spray Daisy ( 14 Inch ) 5 P n W Car ( 14 Inch ) 16   2 Gypsola + FF Sachet</v>
          </cell>
        </row>
        <row r="86">
          <cell r="A86">
            <v>172</v>
          </cell>
          <cell r="B86" t="str">
            <v>Rachna Rathee</v>
          </cell>
          <cell r="C86">
            <v>9811779661</v>
          </cell>
          <cell r="D86" t="str">
            <v xml:space="preserve">DX-106 flat no,Kendriya vihar Sector 56
</v>
          </cell>
          <cell r="E86" t="str">
            <v>Sector 56</v>
          </cell>
          <cell r="F86" t="str">
            <v>Thursday</v>
          </cell>
          <cell r="G86" t="str">
            <v>9 AM - 12 PM</v>
          </cell>
          <cell r="H86">
            <v>1450</v>
          </cell>
          <cell r="I86">
            <v>362.5</v>
          </cell>
          <cell r="J86" t="str">
            <v>Bliss</v>
          </cell>
          <cell r="K86" t="str">
            <v>Sendng rtrnd of 30 th on 1st(30/06)Retrnd pls send white Orchid(30/06) NO GERBERA(04/08) Paytm from raj Singh(08/12) Skip 1 week(21/12) NO Daisy(12/01) Hold n sned after 15th Apr(29/03) Hold n start after 10th Sep(30/08) NO DAISY(09/11) NO ROSE(21/12) Today return-send tom(10/10/20) Sending Del Tom due to Diwali(11/11) Referal payout of 162 added against Mr. Shoran(030/11) Referal credit added with ref to Apala das Gupta(29/03) Today hold and send after 11th May and ask before del(30/04) Hold till 28th Feb (10/02) Hold 3 Weeks (10/07) No Blue Orchid (23/10) Extra added against less mogra in Diwali Flowers (26/11) send replacement tom (04/07) Hold she will confirm when to start (13/05) No Gerbera (07/08) Send replacement tom (27/03)</v>
          </cell>
          <cell r="L86" t="str">
            <v>BLUE ORCHID n GERBERA</v>
          </cell>
          <cell r="N86" t="str">
            <v>4  del of this cycle   -  0-cycles pmnt   Completed - Collect 0</v>
          </cell>
          <cell r="O86" t="e">
            <v>#N/A</v>
          </cell>
          <cell r="P86" t="e">
            <v>#N/A</v>
          </cell>
          <cell r="Q86" t="e">
            <v>#N/A</v>
          </cell>
          <cell r="R86" t="str">
            <v>Pur n P Car ( 14 Inch ) 16     FF Sachet + Grass</v>
          </cell>
          <cell r="S86" t="str">
            <v>Sunflower ( 12 Inch ) 4     FF Sachet + Grass</v>
          </cell>
          <cell r="T86" t="str">
            <v>P n Y Spray Daisy ( 14 Inch ) 5     FF Sachet + Grass</v>
          </cell>
        </row>
        <row r="87">
          <cell r="A87" t="str">
            <v>CP00003</v>
          </cell>
          <cell r="B87" t="str">
            <v>Sumeet -- Anantraj</v>
          </cell>
          <cell r="C87">
            <v>9650468891</v>
          </cell>
          <cell r="D87" t="str">
            <v>Anatraj Estates, Sector 63</v>
          </cell>
          <cell r="E87" t="str">
            <v>Ghata</v>
          </cell>
          <cell r="F87" t="str">
            <v>Friday</v>
          </cell>
          <cell r="G87" t="str">
            <v>By 9 AM</v>
          </cell>
          <cell r="H87">
            <v>28000</v>
          </cell>
          <cell r="I87">
            <v>7000</v>
          </cell>
          <cell r="J87" t="str">
            <v>Corporate</v>
          </cell>
          <cell r="N87" t="str">
            <v>1  del of this cycle   -  0-cycles pmnt   In Process - Collect 0</v>
          </cell>
          <cell r="O87" t="e">
            <v>#N/A</v>
          </cell>
          <cell r="P87" t="e">
            <v>#N/A</v>
          </cell>
          <cell r="Q87" t="e">
            <v>#N/A</v>
          </cell>
          <cell r="R87" t="e">
            <v>#N/A</v>
          </cell>
          <cell r="S87" t="e">
            <v>#N/A</v>
          </cell>
          <cell r="T87" t="str">
            <v xml:space="preserve">5 Different Flower Arrangement in Rectangle Vase 5 All Different Arrangements  Pls Send on 17th Morning  Pls Make in Evening of 16th  </v>
          </cell>
        </row>
        <row r="88">
          <cell r="A88">
            <v>3122</v>
          </cell>
          <cell r="B88" t="str">
            <v>Abha Ghosh</v>
          </cell>
          <cell r="C88">
            <v>9650001674</v>
          </cell>
          <cell r="D88" t="str">
            <v>6A, Galicia, Raisina Residency, Sec 59</v>
          </cell>
          <cell r="E88" t="str">
            <v>Ghata</v>
          </cell>
          <cell r="F88" t="str">
            <v>Thursday</v>
          </cell>
          <cell r="G88" t="str">
            <v>9 AM - 12 PM</v>
          </cell>
          <cell r="H88">
            <v>1450</v>
          </cell>
          <cell r="I88">
            <v>362.5</v>
          </cell>
          <cell r="J88" t="str">
            <v>Bliss</v>
          </cell>
          <cell r="K88" t="str">
            <v>Returned yesterday (07/11)</v>
          </cell>
          <cell r="N88" t="str">
            <v>1  del of this cycle   -  0-cycles pmnt   Completed - Collect 0</v>
          </cell>
          <cell r="O88" t="str">
            <v>Pur n P Car ( 14 inch ) 16     FF Sachet + Grass</v>
          </cell>
          <cell r="P88" t="str">
            <v>Sunflower ( 12 Inch ) 4     FF Sachet + Grass</v>
          </cell>
          <cell r="Q88" t="str">
            <v>B Daisy ( 12 Inch ) 16     Grass</v>
          </cell>
          <cell r="R88" t="str">
            <v>P Asiatic ( 14 Inch ) 3     Grass</v>
          </cell>
          <cell r="S88" t="str">
            <v>Rajni ( 14 Inch ) 16     Grass</v>
          </cell>
          <cell r="T88" t="str">
            <v>G n W Car ( 14 Inch ) 16     FF Sachet + Grass</v>
          </cell>
        </row>
        <row r="89">
          <cell r="A89">
            <v>2569</v>
          </cell>
          <cell r="B89" t="str">
            <v>Mrs. Verma</v>
          </cell>
          <cell r="C89">
            <v>9971135993</v>
          </cell>
          <cell r="D89" t="str">
            <v>A1/192, 1st Floor, Sec 55, Sushant Lok-2, Near Orchid International School</v>
          </cell>
          <cell r="E89" t="str">
            <v>Sector 56</v>
          </cell>
          <cell r="F89" t="str">
            <v>Thursday</v>
          </cell>
          <cell r="G89" t="str">
            <v>9 AM - 12 PM</v>
          </cell>
          <cell r="H89">
            <v>1450</v>
          </cell>
          <cell r="I89">
            <v>362.5</v>
          </cell>
          <cell r="J89" t="str">
            <v>Bliss</v>
          </cell>
          <cell r="K89" t="str">
            <v>Return today (01/05) Return today (05/06) Send on Sunday This week (05/06) Upgrade to bliss from next cycle (20/09) Skip 1 week (04/02) Send Replacement tom of Asiatic Lily (16/04) Send Replacement tom (21/05) No Sunflower (21/05)</v>
          </cell>
          <cell r="L89" t="str">
            <v>Sunflower</v>
          </cell>
          <cell r="N89" t="str">
            <v>3  del of this cycle   -  0-cycles pmnt   CompletedNO COLLECTION-we have extra money - Collect -100</v>
          </cell>
          <cell r="O89" t="str">
            <v>Pur Eustoma ( 12 Inch ) 2 Pur n P Car ( 14 inch ) 7   FF Sachet + Grass</v>
          </cell>
          <cell r="P89" t="str">
            <v>Sunflower ( 12 Inch ) 2 P n W Glad ( 14 Inch ) 7   FF Sachet + Grass</v>
          </cell>
          <cell r="Q89" t="str">
            <v>O Asiatic ( 14 Inch ) 2 B Daisy ( 12 Inch ) 7   Grass</v>
          </cell>
          <cell r="R89" t="str">
            <v>P Spray Daisy ( 14 Inch ) 3 Rajni ( 14 Inch ) 7   FF Sachet + Grass</v>
          </cell>
          <cell r="S89" t="str">
            <v>Sunflower ( 12 Inch ) 2 P n W Car ( 14 Inch ) 7   FF Sachet + Grass</v>
          </cell>
          <cell r="T89" t="str">
            <v>P Asiatic ( 14 Inch ) 2 P n W Glad ( 14 Inch ) 7   Grass</v>
          </cell>
        </row>
        <row r="90">
          <cell r="B90" t="str">
            <v>88007 36794‬</v>
          </cell>
          <cell r="C90" t="str">
            <v>88007 36794‬</v>
          </cell>
          <cell r="D90" t="str">
            <v>IndiGo
Ifly Tower C Global Business Park
Near Guru Dronacharya Metro Station Gurgaon</v>
          </cell>
          <cell r="G90" t="str">
            <v>between 2 to 3pm,</v>
          </cell>
          <cell r="H90">
            <v>1500</v>
          </cell>
          <cell r="J90" t="str">
            <v>Bouquet</v>
          </cell>
          <cell r="K90" t="str">
            <v>IndiGo
Ifly Tower C Global Business Park
Near Guru Dronacharya Metro Station Gurgaon
‪+91 88007 36794‬
Pls send today 3 semibloom Asiatic lily , 5 blue orchids, 4 white carnations in same wrap today between 2 to 3pm, amount 1500, don’t ask for payment..</v>
          </cell>
          <cell r="N90" t="str">
            <v>don’t ask for payment..</v>
          </cell>
          <cell r="T90" t="str">
            <v xml:space="preserve">Semi bloom Asiatic lily + blue orchids,+ white carnations  3+5+4 Tissue Wrap    </v>
          </cell>
        </row>
        <row r="91">
          <cell r="B91" t="str">
            <v>Archana</v>
          </cell>
          <cell r="C91">
            <v>9821033196</v>
          </cell>
          <cell r="D91" t="str">
            <v>12C Belgravia Apartments, Tower-10, Central Park Resorts, Sec-48, Gurgaon ,</v>
          </cell>
          <cell r="G91" t="str">
            <v xml:space="preserve">Before 3 Pm </v>
          </cell>
          <cell r="H91">
            <v>3000</v>
          </cell>
          <cell r="J91" t="str">
            <v>Bouquet</v>
          </cell>
          <cell r="K91" t="str">
            <v>Pls send Today to Archana — +91 98210 33196 before 3pm for 3000</v>
          </cell>
          <cell r="T91" t="str">
            <v xml:space="preserve">Peach Rose+Pink Oreintal 10+5 Basket    </v>
          </cell>
        </row>
        <row r="92">
          <cell r="A92">
            <v>1098</v>
          </cell>
          <cell r="B92" t="str">
            <v>Rahul Sehgal</v>
          </cell>
          <cell r="C92">
            <v>9810022182</v>
          </cell>
          <cell r="D92" t="str">
            <v>418-A, Hamilton Court</v>
          </cell>
          <cell r="E92" t="str">
            <v>DLF Phase 4</v>
          </cell>
          <cell r="F92" t="str">
            <v>Thursday</v>
          </cell>
          <cell r="G92" t="str">
            <v>4 Pm to 7 PM</v>
          </cell>
          <cell r="H92">
            <v>1950</v>
          </cell>
          <cell r="I92">
            <v>487.5</v>
          </cell>
          <cell r="J92" t="str">
            <v>Joy</v>
          </cell>
          <cell r="K92" t="str">
            <v>P Glad First(02/09/20) Next Oriental and send only Glad/Oriental and asiatic(17/09/20)  Only Oriental and Gladioli(26/10) Now Send-- Glad // BOP + Guldawari // Oriental Lily// Heliconia(19/12) Send Glad tom -- No White(23/12) Send all flowesr now and mixed always but NO RAJNI(19/01) NO WHITE COLOR(04/03) NO BOP(21/03) NO ORCHID(02/04) Shift to Friday now(04/04) Sent 1 Flower Food today(06/06) Send on sat this week only(10/10) Y Chrysanthemum nextr and Lilies after that(23/10) NO HELICONIA(26/10) NO GERBERA(18/02) Skip thsi week(25/02) Day chang eto thursday evening slot(08/03) Do not count last delivery(20/03) Send replacement tomorrow (05/07)</v>
          </cell>
          <cell r="L92" t="str">
            <v>ROSE n RAJNI</v>
          </cell>
          <cell r="N92" t="str">
            <v>1  del of this cycle   -  1-cycles pmnt   Pending - Collect 1950</v>
          </cell>
          <cell r="O92" t="str">
            <v>Pur n P Car ( 14 inch ) 22     FF Sachet + Grass</v>
          </cell>
          <cell r="P92" t="str">
            <v>P n W Spray Daisy ( 14 Inch ) 7     FF Sachet + Grass</v>
          </cell>
          <cell r="Q92" t="str">
            <v>O Asiatic ( 14 Inch ) 4     Grass</v>
          </cell>
          <cell r="R92" t="str">
            <v>P n W Glad ( 14 Inch ) 22     Grass</v>
          </cell>
          <cell r="S92" t="str">
            <v>Mix Alstroemeria ( 12Inch ) 22     FF Sachet + Grass</v>
          </cell>
          <cell r="T92" t="str">
            <v>G n W Car ( 14 Inch ) 22     FF Sachet + Grass</v>
          </cell>
        </row>
        <row r="93">
          <cell r="A93" t="str">
            <v>B51008</v>
          </cell>
          <cell r="B93" t="str">
            <v>Sandeep Bansal</v>
          </cell>
          <cell r="C93">
            <v>9910164630</v>
          </cell>
          <cell r="D93" t="str">
            <v>EHF-350-Coral-046-GF
Emaar Emerald Hills 
Sector 65</v>
          </cell>
          <cell r="H93">
            <v>450</v>
          </cell>
          <cell r="J93" t="str">
            <v>Bouquet</v>
          </cell>
          <cell r="K93" t="str">
            <v>Send 1 stems of each color of Aisatic and orientak to Sandeep —+91 99101 64630 today with Areca palm n greens</v>
          </cell>
          <cell r="T93" t="str">
            <v>Asiatic O P Y +Oreintal P W 1+1+1+1+1     Areca palm n greens</v>
          </cell>
        </row>
        <row r="94">
          <cell r="A94">
            <v>3154</v>
          </cell>
          <cell r="B94" t="str">
            <v>Ramjot kaur</v>
          </cell>
          <cell r="C94">
            <v>9711000358</v>
          </cell>
          <cell r="D94" t="str">
            <v>Plot no. 447, The Palm Crest, 3rd Floor, Behind Lotus School</v>
          </cell>
          <cell r="H94">
            <v>600</v>
          </cell>
          <cell r="J94" t="str">
            <v>Bouquet</v>
          </cell>
          <cell r="K94" t="str">
            <v>Send today 8 stems of 1 ft bamboo- thodi roots ho jisme aur patte fresh ho
To Ramjot kaur
+91 97110 00358
Collect 600</v>
          </cell>
          <cell r="T94" t="str">
            <v xml:space="preserve">1 ft bamboo 8 thodi roots ho jisme aur patte fresh ho    </v>
          </cell>
        </row>
        <row r="95">
          <cell r="B95" t="str">
            <v>Anju Sandhu</v>
          </cell>
          <cell r="C95">
            <v>9997124824</v>
          </cell>
          <cell r="D95" t="str">
            <v>A-402, Connoisseur , Twin Tower, Sec 43</v>
          </cell>
          <cell r="I95">
            <v>2200</v>
          </cell>
          <cell r="J95" t="str">
            <v>Bouquet</v>
          </cell>
          <cell r="K95" t="str">
            <v>Send 4 dancing bamboo to Anju Sandhu today</v>
          </cell>
          <cell r="T95" t="str">
            <v xml:space="preserve">dancing bamboo 4     </v>
          </cell>
        </row>
      </sheetData>
      <sheetData sheetId="16"/>
      <sheetData sheetId="17"/>
      <sheetData sheetId="18"/>
      <sheetData sheetId="19"/>
      <sheetData sheetId="20"/>
      <sheetData sheetId="21"/>
      <sheetData sheetId="22">
        <row r="2">
          <cell r="A2" t="str">
            <v>B56500</v>
          </cell>
          <cell r="B2" t="str">
            <v>Sonia Kalra</v>
          </cell>
          <cell r="C2">
            <v>9810512391</v>
          </cell>
          <cell r="D2" t="str">
            <v>C-264, Sushant Lok-1</v>
          </cell>
          <cell r="E2" t="str">
            <v>M G Road</v>
          </cell>
          <cell r="F2" t="str">
            <v>Thursday</v>
          </cell>
          <cell r="G2" t="str">
            <v>By 7 PM</v>
          </cell>
          <cell r="H2">
            <v>21500</v>
          </cell>
          <cell r="I2">
            <v>21500</v>
          </cell>
          <cell r="J2" t="str">
            <v>Special Project</v>
          </cell>
          <cell r="K2" t="str">
            <v>8 Yel Marigold Lari + 4 Rajni Lari + 500 Gm Rose Petal + 3 Arrangements with Lily + Car + Orchid (19/07)</v>
          </cell>
          <cell r="N2" t="str">
            <v>1  del of this cycle   -  1-cycles pmnt   Pending - Collect 21500</v>
          </cell>
          <cell r="O2" t="e">
            <v>#N/A</v>
          </cell>
          <cell r="P2" t="e">
            <v>#N/A</v>
          </cell>
          <cell r="Q2" t="e">
            <v>#N/A</v>
          </cell>
          <cell r="R2" t="e">
            <v>#N/A</v>
          </cell>
          <cell r="S2" t="e">
            <v>#N/A</v>
          </cell>
          <cell r="T2" t="str">
            <v xml:space="preserve">Y Marigold Lari + Big Rajni Lari + B Orchid + P n W n Pur Car + Y Asiatic  8 Bunch + 4 Bunch + 10 + 40 + 8 Rose Petal + Mogra  500 Gm + 200 Gm   </v>
          </cell>
        </row>
        <row r="3">
          <cell r="A3" t="str">
            <v>B56516</v>
          </cell>
          <cell r="B3" t="str">
            <v>Ridhi Heritage</v>
          </cell>
          <cell r="C3">
            <v>9873038855</v>
          </cell>
          <cell r="D3" t="str">
            <v xml:space="preserve"> Flat-704 tower -C  Heritage One sector 62</v>
          </cell>
          <cell r="E3" t="str">
            <v>Ghata</v>
          </cell>
          <cell r="F3" t="str">
            <v>Thursday</v>
          </cell>
          <cell r="G3" t="str">
            <v>By 10 AM</v>
          </cell>
          <cell r="H3">
            <v>700</v>
          </cell>
          <cell r="I3">
            <v>700</v>
          </cell>
          <cell r="J3" t="str">
            <v>Bouquet</v>
          </cell>
          <cell r="K3" t="str">
            <v>2 P Oriental</v>
          </cell>
          <cell r="N3" t="str">
            <v>1  del of this cycle   -  1-cycles pmnt   Pending - Collect 700</v>
          </cell>
          <cell r="O3" t="e">
            <v>#N/A</v>
          </cell>
          <cell r="P3" t="e">
            <v>#N/A</v>
          </cell>
          <cell r="Q3" t="e">
            <v>#N/A</v>
          </cell>
          <cell r="R3" t="e">
            <v>#N/A</v>
          </cell>
          <cell r="S3" t="e">
            <v>#N/A</v>
          </cell>
          <cell r="T3" t="str">
            <v xml:space="preserve">Semi Bloom P Oriental 2     </v>
          </cell>
        </row>
        <row r="4">
          <cell r="A4">
            <v>3122</v>
          </cell>
          <cell r="B4" t="str">
            <v>Abha Ghosh</v>
          </cell>
          <cell r="C4">
            <v>9650001674</v>
          </cell>
          <cell r="D4" t="str">
            <v>6A, Galicia, Raisina Residency, Sec 59</v>
          </cell>
          <cell r="E4" t="str">
            <v>Ghata</v>
          </cell>
          <cell r="F4" t="str">
            <v>Thursday</v>
          </cell>
          <cell r="G4" t="str">
            <v>9 AM - 12 PM</v>
          </cell>
          <cell r="H4">
            <v>1450</v>
          </cell>
          <cell r="I4">
            <v>362.5</v>
          </cell>
          <cell r="J4" t="str">
            <v>Bliss</v>
          </cell>
          <cell r="K4" t="str">
            <v>Returned yesterday (07/11)</v>
          </cell>
          <cell r="N4" t="str">
            <v>2  del of this cycle   -  0-cycles pmnt   Completed - Collect 0</v>
          </cell>
          <cell r="O4" t="str">
            <v>Sunflower ( 12 Inch ) 4     FF Sachet + Grass</v>
          </cell>
          <cell r="P4" t="str">
            <v>B Daisy ( 12 Inch ) 16     Grass</v>
          </cell>
          <cell r="Q4" t="str">
            <v>P Asiatic ( 14 Inch ) 3     Grass</v>
          </cell>
          <cell r="R4" t="str">
            <v>Rajni ( 14 Inch ) 16     Grass</v>
          </cell>
          <cell r="S4" t="str">
            <v>G n W Car ( 14 Inch ) 16     FF Sachet + Grass</v>
          </cell>
          <cell r="T4" t="str">
            <v>P n Y Spray Daisy ( 14 Inch ) 5     FF Sachet + Grass</v>
          </cell>
        </row>
        <row r="5">
          <cell r="A5" t="str">
            <v>B56527</v>
          </cell>
          <cell r="B5" t="str">
            <v>Jasbir Singh</v>
          </cell>
          <cell r="C5" t="str">
            <v>9997092561 // 999453496</v>
          </cell>
          <cell r="D5" t="str">
            <v>Amber, 4th Floor, Universal Trade Centre</v>
          </cell>
          <cell r="E5" t="str">
            <v>Sohna Road 1</v>
          </cell>
          <cell r="F5" t="str">
            <v>Friday</v>
          </cell>
          <cell r="G5" t="str">
            <v>By 11 AM</v>
          </cell>
          <cell r="H5">
            <v>0</v>
          </cell>
          <cell r="I5">
            <v>30000</v>
          </cell>
          <cell r="J5" t="str">
            <v>Chcek Flowers</v>
          </cell>
          <cell r="K5" t="str">
            <v>White n Blue color theme// Need to check about wooden basket with orchids</v>
          </cell>
          <cell r="N5" t="str">
            <v>1  del of this cycle   -  0-cycles pmnt   In Process - Collect 0</v>
          </cell>
          <cell r="O5" t="e">
            <v>#N/A</v>
          </cell>
          <cell r="P5" t="e">
            <v>#N/A</v>
          </cell>
          <cell r="Q5" t="e">
            <v>#N/A</v>
          </cell>
          <cell r="R5" t="e">
            <v>#N/A</v>
          </cell>
          <cell r="S5" t="e">
            <v>#N/A</v>
          </cell>
          <cell r="T5" t="str">
            <v xml:space="preserve">Check Wooden Basket with Orchids with Om Prakash      </v>
          </cell>
        </row>
        <row r="6">
          <cell r="A6">
            <v>3410</v>
          </cell>
          <cell r="B6" t="str">
            <v>Tarishka Gupta</v>
          </cell>
          <cell r="C6">
            <v>9870128711</v>
          </cell>
          <cell r="D6" t="str">
            <v>A1/804, Unitech The Residences</v>
          </cell>
          <cell r="E6" t="str">
            <v>Sohna Road 2</v>
          </cell>
          <cell r="F6" t="str">
            <v>Thursday</v>
          </cell>
          <cell r="G6" t="str">
            <v>4 PM to 7 PM</v>
          </cell>
          <cell r="H6">
            <v>1450</v>
          </cell>
          <cell r="I6">
            <v>362.5</v>
          </cell>
          <cell r="J6" t="str">
            <v>Bliss</v>
          </cell>
          <cell r="N6" t="str">
            <v>2  del of this cycle   -  0-cycles pmnt   Completed - Collect 0</v>
          </cell>
          <cell r="O6" t="e">
            <v>#N/A</v>
          </cell>
          <cell r="P6" t="e">
            <v>#N/A</v>
          </cell>
          <cell r="Q6" t="e">
            <v>#N/A</v>
          </cell>
          <cell r="R6" t="e">
            <v>#N/A</v>
          </cell>
          <cell r="S6" t="str">
            <v>G n W Car ( 14 Inch ) 16     FF Sachet + Grass</v>
          </cell>
          <cell r="T6" t="str">
            <v>Y Asiatic ( 14 inch ) 3     Grass</v>
          </cell>
        </row>
        <row r="7">
          <cell r="A7">
            <v>3396</v>
          </cell>
          <cell r="B7" t="str">
            <v>Shivani Gogia</v>
          </cell>
          <cell r="C7">
            <v>7838568324</v>
          </cell>
          <cell r="D7" t="str">
            <v>A-105, 1st Floor, Siushant Lok 3, Sec 57</v>
          </cell>
          <cell r="E7" t="str">
            <v>Sector 56</v>
          </cell>
          <cell r="F7" t="str">
            <v>Thursday</v>
          </cell>
          <cell r="G7" t="str">
            <v>9:30 Am to 2 PM</v>
          </cell>
          <cell r="H7">
            <v>1450</v>
          </cell>
          <cell r="I7">
            <v>362.5</v>
          </cell>
          <cell r="J7" t="str">
            <v>Customized</v>
          </cell>
          <cell r="K7" t="str">
            <v>14 rajni</v>
          </cell>
          <cell r="N7" t="str">
            <v>4  del of this cycle   -  0-cycles pmnt   Completed - Collect 0</v>
          </cell>
          <cell r="O7" t="e">
            <v>#N/A</v>
          </cell>
          <cell r="P7" t="e">
            <v>#N/A</v>
          </cell>
          <cell r="Q7" t="str">
            <v>Rajni ( 14 Inch ) 14     Grass</v>
          </cell>
          <cell r="R7" t="str">
            <v>O Asiatic ( ( 14 inch ) 3     FF Sachet + Grass</v>
          </cell>
          <cell r="S7" t="str">
            <v>G n W Car ( 14 Inch ) 16     FF Sachet + Grass</v>
          </cell>
          <cell r="T7" t="str">
            <v>P n Y Spray Daisy ( 14 Inch ) 5     FF Sachet + Grass</v>
          </cell>
        </row>
        <row r="8">
          <cell r="A8">
            <v>2355</v>
          </cell>
          <cell r="B8" t="str">
            <v>Convinience Enterprises-Veena Anand</v>
          </cell>
          <cell r="C8">
            <v>9810031208</v>
          </cell>
          <cell r="D8" t="str">
            <v>307, Aralyas, DLF 5</v>
          </cell>
          <cell r="E8" t="str">
            <v>Golf Course Road</v>
          </cell>
          <cell r="F8" t="str">
            <v>Thursday</v>
          </cell>
          <cell r="G8" t="str">
            <v>By 10 AM</v>
          </cell>
          <cell r="H8">
            <v>2750</v>
          </cell>
          <cell r="I8">
            <v>687.5</v>
          </cell>
          <cell r="J8" t="str">
            <v>Corporate</v>
          </cell>
          <cell r="K8" t="str">
            <v>Skip this Thursday and send on Sunday (20/11)Hold and send on 12th Now (31/12) Do Not count last Del (02/07) Skip 1 week (10/09) Skip 2 week (18/05)</v>
          </cell>
          <cell r="N8" t="str">
            <v>4  del of this cycle   -  0-cycles pmnt   In Process - Collect 0</v>
          </cell>
          <cell r="O8" t="str">
            <v xml:space="preserve">O Asiatic ( 14 Inch ) 6     2 Gypsola </v>
          </cell>
          <cell r="P8" t="e">
            <v>#N/A</v>
          </cell>
          <cell r="Q8" t="e">
            <v>#N/A</v>
          </cell>
          <cell r="R8" t="str">
            <v>Rajni ( 14 Inch ) 32     2 Limonium</v>
          </cell>
          <cell r="S8" t="str">
            <v>P n Y Spray Daisy ( 14 Inch ) 10     2 Gypsola + FF Sachet</v>
          </cell>
          <cell r="T8" t="str">
            <v>O Asiatic ( 14 Inch ) 6     2 Limonium</v>
          </cell>
        </row>
        <row r="9">
          <cell r="A9">
            <v>1181</v>
          </cell>
          <cell r="B9" t="str">
            <v>Parul Sharma --Elation</v>
          </cell>
          <cell r="C9">
            <v>8800895944</v>
          </cell>
          <cell r="D9" t="str">
            <v>Villa-27, The Legend</v>
          </cell>
          <cell r="E9" t="str">
            <v>Artemis</v>
          </cell>
          <cell r="F9" t="str">
            <v>Thursday</v>
          </cell>
          <cell r="G9" t="str">
            <v>9 AM to 2 PM</v>
          </cell>
          <cell r="H9">
            <v>1950</v>
          </cell>
          <cell r="I9">
            <v>487.5</v>
          </cell>
          <cell r="J9" t="str">
            <v>Joy</v>
          </cell>
          <cell r="K9" t="str">
            <v>Tuesday and Thursday//Change day to Thursday(21/12) Car Next(18/01) NO ORCHIDS(20/01) Car Next(02/02) Sending on 20th instaed of 21st,bcoz of Holi(18/03) Today FF Sent(11/04) Paytm from ritu Kaur(12/04) Send replacement(12/04) Send Special Pack(08/05) Received payment of special pack(10/05) Hold n start from 2nd week of july(04/060 Inform Before sending(01/07) Start from next week(10/07) Sending on 14th instrad of 15th Aug(13/08) Today Hold-send tom(26/09) Send double del tom(23/10) R car Tom(15/01) Send Replacement tom(27/02) Hold n start from 3rd week of April(18/03) NO Rose n NO Orchids----Send R Car Next(21/12) Rajnigandha Next(12/01) Replace ment next and send Flower food(10/04) Recvd 250 from Gpay(15/07) Return-not at home(14/09) Shift to Elation(18/10) Skip 1 week(27/06) Hold n start from July (12/06) Hold due to non Payment (15/01) Paytm From Vinay Deopujari (26/02)</v>
          </cell>
          <cell r="M9" t="str">
            <v>Before 11:30 AM</v>
          </cell>
          <cell r="N9" t="str">
            <v>3  del of this cycle   -  0-cycles pmnt   Completed - Collect 0</v>
          </cell>
          <cell r="O9" t="str">
            <v>P n Y Spray Daisy ( 14 Inch ) 7     FF Sachet + Grass</v>
          </cell>
          <cell r="P9" t="str">
            <v>P n W Car ( 14 inch ) 22     FF Sachet + Grass</v>
          </cell>
          <cell r="Q9" t="str">
            <v>Sunflower ( 12 Inch ) 5     FF Sachet + Grass</v>
          </cell>
          <cell r="R9" t="str">
            <v>W Asiatic ( 14 Inch ) 4     Grass</v>
          </cell>
          <cell r="S9" t="str">
            <v>Mix Alstroemeria ( 12 Inch ) 22     FF Sachet + Grass</v>
          </cell>
          <cell r="T9" t="str">
            <v>G n W Car ( 14 inch ) 22     FF Sachet + Grass</v>
          </cell>
        </row>
        <row r="10">
          <cell r="A10">
            <v>3051</v>
          </cell>
          <cell r="B10" t="str">
            <v>Ishita Sinha</v>
          </cell>
          <cell r="C10">
            <v>8587979620</v>
          </cell>
          <cell r="D10" t="str">
            <v>C1/102, Unitech The Residencies, Sec 33</v>
          </cell>
          <cell r="E10" t="str">
            <v>Sohna Road 2</v>
          </cell>
          <cell r="F10" t="str">
            <v>Thursday</v>
          </cell>
          <cell r="G10" t="str">
            <v>4 PM to 7 PM</v>
          </cell>
          <cell r="H10">
            <v>1740</v>
          </cell>
          <cell r="I10">
            <v>435</v>
          </cell>
          <cell r="J10" t="str">
            <v>Collection Only</v>
          </cell>
          <cell r="K10" t="str">
            <v>4 Sunflowers every week (17/12) 3 Asiatic every week (16/01) HDTNP (26/02) HDTNP (11/06) HDTNP ( 18 /6) HDTNP ( 25 /06) HDTNP (02/07) HDTNP (09/07)</v>
          </cell>
          <cell r="N10" t="str">
            <v>3  del of this cycle   -  1-cycles pmnt   Pending - Collect 1740</v>
          </cell>
          <cell r="O10" t="str">
            <v xml:space="preserve">Sunflower ( 12 Inch ) 4 G Spray Daisy ( 14 Inch ) 4   </v>
          </cell>
          <cell r="P10" t="e">
            <v>#N/A</v>
          </cell>
          <cell r="Q10" t="e">
            <v>#N/A</v>
          </cell>
          <cell r="R10" t="e">
            <v>#N/A</v>
          </cell>
          <cell r="S10" t="e">
            <v>#N/A</v>
          </cell>
          <cell r="T10" t="str">
            <v xml:space="preserve">Collect Rs 435 Carry Receipt Book Pls Ensure Collection Pls Ensure Collection Pls Ensure Collection Pls Ensure Collection </v>
          </cell>
        </row>
        <row r="11">
          <cell r="A11" t="str">
            <v>G-00066</v>
          </cell>
          <cell r="B11" t="str">
            <v>Aastha Vernma</v>
          </cell>
          <cell r="C11">
            <v>8581860035</v>
          </cell>
          <cell r="D11" t="str">
            <v>T-3/604, Takshila Heights, Sec 37 C</v>
          </cell>
          <cell r="E11" t="str">
            <v>Old Gurgaon</v>
          </cell>
          <cell r="F11" t="str">
            <v>Thursday</v>
          </cell>
          <cell r="G11" t="str">
            <v>4 PM to 7PM</v>
          </cell>
          <cell r="H11">
            <v>1450</v>
          </cell>
          <cell r="I11">
            <v>362.5</v>
          </cell>
          <cell r="J11" t="str">
            <v>Bliss</v>
          </cell>
          <cell r="K11" t="str">
            <v>From Srishti Verma</v>
          </cell>
          <cell r="N11" t="str">
            <v>2  del of this cycle   -  0-cycles pmnt   Completed - Collect 0</v>
          </cell>
          <cell r="O11" t="e">
            <v>#N/A</v>
          </cell>
          <cell r="P11" t="e">
            <v>#N/A</v>
          </cell>
          <cell r="Q11" t="e">
            <v>#N/A</v>
          </cell>
          <cell r="R11" t="e">
            <v>#N/A</v>
          </cell>
          <cell r="S11" t="str">
            <v>G n W Car ( 14 Inch ) 16     FF Sachet + Grass</v>
          </cell>
          <cell r="T11" t="str">
            <v>O Asiatic ( 14 Inch ) 3     Grass</v>
          </cell>
        </row>
        <row r="12">
          <cell r="A12">
            <v>3144</v>
          </cell>
          <cell r="B12" t="str">
            <v>Samar Singh</v>
          </cell>
          <cell r="C12">
            <v>9582363043</v>
          </cell>
          <cell r="D12" t="str">
            <v>C-13, DLF Icon</v>
          </cell>
          <cell r="E12" t="str">
            <v>DLF Phase 5</v>
          </cell>
          <cell r="F12" t="str">
            <v>Thursday</v>
          </cell>
          <cell r="G12" t="str">
            <v>9 AM to 2 PM</v>
          </cell>
          <cell r="H12">
            <v>1450</v>
          </cell>
          <cell r="I12">
            <v>362.5</v>
          </cell>
          <cell r="J12" t="str">
            <v>Bliss</v>
          </cell>
          <cell r="K12" t="str">
            <v>Mixed Flowers // Day Changed to Sunday (20/12) Day Changed to Thursday (10/01) Skip 2 week (11/02) Send one Del tom (07/07)</v>
          </cell>
          <cell r="M12" t="str">
            <v>Mixed Flowers</v>
          </cell>
          <cell r="N12" t="str">
            <v>4  del of this cycle   -  0-cycles pmnt   Completed - Collect 0</v>
          </cell>
          <cell r="O12" t="e">
            <v>#N/A</v>
          </cell>
          <cell r="P12" t="str">
            <v>Sunflower ( 12 Inch) 2 P n W Car ( 14 Inch ) 7   FF Sachet + Grass</v>
          </cell>
          <cell r="Q12" t="str">
            <v>Pur Eustoma ( 12 Inch ) 2 Rajni ( 14 Inch ) 7   FF Sachet + Grass</v>
          </cell>
          <cell r="R12" t="e">
            <v>#N/A</v>
          </cell>
          <cell r="S12" t="str">
            <v>P Spray Daisy ( 14 Inch ) 3 Carnation 7   FF Sachet + Grass</v>
          </cell>
          <cell r="T12" t="str">
            <v>O Asiatic ( 14 Inch ) 2 Mix Glad ( 14 Inch ) 7   Grass</v>
          </cell>
        </row>
        <row r="13">
          <cell r="A13">
            <v>3411</v>
          </cell>
          <cell r="B13" t="str">
            <v>Chetna Bhardwaj</v>
          </cell>
          <cell r="C13">
            <v>8810598664</v>
          </cell>
          <cell r="D13" t="str">
            <v>A1/22C, ILD Grand Sec 37 C</v>
          </cell>
          <cell r="E13" t="str">
            <v>Dwarka Expressway</v>
          </cell>
          <cell r="F13" t="str">
            <v>Thursday</v>
          </cell>
          <cell r="G13" t="str">
            <v>4 PM to 7 PM</v>
          </cell>
          <cell r="H13">
            <v>1450</v>
          </cell>
          <cell r="I13">
            <v>362.5</v>
          </cell>
          <cell r="J13" t="str">
            <v>Bliss</v>
          </cell>
          <cell r="N13" t="str">
            <v>2  del of this cycle   -  0-cycles pmnt   Completed - Collect 0</v>
          </cell>
          <cell r="O13" t="e">
            <v>#N/A</v>
          </cell>
          <cell r="P13" t="e">
            <v>#N/A</v>
          </cell>
          <cell r="Q13" t="e">
            <v>#N/A</v>
          </cell>
          <cell r="R13" t="e">
            <v>#N/A</v>
          </cell>
          <cell r="S13" t="e">
            <v>#N/A</v>
          </cell>
          <cell r="T13" t="str">
            <v>O Asiatic ( 14 Inch ) 3     Grass</v>
          </cell>
        </row>
        <row r="14">
          <cell r="A14">
            <v>244</v>
          </cell>
          <cell r="B14" t="str">
            <v>Garima jain</v>
          </cell>
          <cell r="C14">
            <v>9958581403</v>
          </cell>
          <cell r="D14" t="str">
            <v xml:space="preserve"> G-901, Central Park 1, Golf Course Road    Sec 42 Gurgaon  122002</v>
          </cell>
          <cell r="E14" t="str">
            <v>Golf Course Road</v>
          </cell>
          <cell r="F14" t="str">
            <v>Thursday</v>
          </cell>
          <cell r="G14" t="str">
            <v>9 AM - 12 PM</v>
          </cell>
          <cell r="H14">
            <v>1450</v>
          </cell>
          <cell r="I14">
            <v>1450</v>
          </cell>
          <cell r="J14" t="str">
            <v>Bliss</v>
          </cell>
          <cell r="K14" t="str">
            <v>Sat to Thurs//Flowers other than Car pl (21/07)Send on Sunday instead of sat this week(19/10) Upgrade to 650 Plan(03/05) Add changed(13/07) NO CAR(07/09) Send a replacement (06/10) NO CAR(13/12) 200 Paytm Done(14/12) paytm of 200 from Anuj sarin(14/12) Sending 30th Del on 29th May(28/05/2020) ONLY LILIES(23/08/20) Day Changed to Saturday(14/10) Skip this week an semd next week(13/03) Hold n start from 29th Jan(25/12 ) Received 200 today via Gpay(26/12) Diff Flowesr every week(08/04)  Sent replacement today(22/04) Skip 1 week(17/06) Today Returned (13/06) Do not Count last Del (17/08) Skip 1 week (22/12) Skip 2 week (23/05) Send on sunday this week (01/10) Return-not at home (23/10) One Payment of 1000 received on 05th Feb (06/03) Returned (04/06)</v>
          </cell>
          <cell r="N14" t="str">
            <v>1  del of this cycle   -  1-cycles pmnt   Pending - Collect 1450</v>
          </cell>
          <cell r="O14" t="str">
            <v>Pur n P Car ( 14 inch ) 9     Grass</v>
          </cell>
          <cell r="P14" t="str">
            <v>Pur Eustoma ( 12 Inch ) 3     FF Sachet + Grass</v>
          </cell>
          <cell r="Q14" t="str">
            <v>Rajni ( 14 Inch ) 16     Grass</v>
          </cell>
          <cell r="R14" t="str">
            <v>O Asiatic ( 14 Inch ) 3     Grass</v>
          </cell>
          <cell r="S14" t="str">
            <v>P n Y Spray Daisy ( 14 Inch ) 5     FF Sachet + Grass</v>
          </cell>
          <cell r="T14" t="str">
            <v>Mix Glad ( 14 Inch ) 16     Grass</v>
          </cell>
        </row>
        <row r="15">
          <cell r="A15">
            <v>221</v>
          </cell>
          <cell r="B15" t="str">
            <v>Convinience Enterprises-Sonali anand</v>
          </cell>
          <cell r="C15">
            <v>9810524040</v>
          </cell>
          <cell r="D15" t="str">
            <v>E-243 belaire apartments</v>
          </cell>
          <cell r="E15" t="str">
            <v>Golf Course Road</v>
          </cell>
          <cell r="F15" t="str">
            <v>Thursday</v>
          </cell>
          <cell r="G15" t="str">
            <v>9 AM - 12 PM</v>
          </cell>
          <cell r="H15">
            <v>2750</v>
          </cell>
          <cell r="I15">
            <v>687.5</v>
          </cell>
          <cell r="J15" t="str">
            <v>Corporate</v>
          </cell>
          <cell r="K15" t="str">
            <v>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v>
          </cell>
          <cell r="N15" t="str">
            <v>2  del of this cycle   -  0-cycles pmnt   In Process - Collect 0</v>
          </cell>
          <cell r="O15" t="e">
            <v>#N/A</v>
          </cell>
          <cell r="P15" t="e">
            <v>#N/A</v>
          </cell>
          <cell r="Q15" t="str">
            <v xml:space="preserve">P Asiatic ( 14 Inch ) 6     </v>
          </cell>
          <cell r="R15" t="str">
            <v>R n W Car ( 14 Inch ) 32     2 Limonium + FF Sachet</v>
          </cell>
          <cell r="S15" t="str">
            <v>P n Y Spray Daisy ( 14 Inch ) 10     2 Gypsola + FF Sachet</v>
          </cell>
          <cell r="T15" t="str">
            <v>O Asiatic ( 14 Inch ) 6     2 Limonium</v>
          </cell>
        </row>
        <row r="16">
          <cell r="A16">
            <v>3133</v>
          </cell>
          <cell r="B16" t="str">
            <v>Anastasiia Liapicheva</v>
          </cell>
          <cell r="C16" t="str">
            <v>7678659573 // '+79029329098</v>
          </cell>
          <cell r="D16" t="str">
            <v>B1/602, Palm Groove Heights, Ardee City Sec 52</v>
          </cell>
          <cell r="E16" t="str">
            <v>Sushant Estate</v>
          </cell>
          <cell r="F16" t="str">
            <v>Thursday</v>
          </cell>
          <cell r="G16" t="str">
            <v>9 AM - 12 PM</v>
          </cell>
          <cell r="H16">
            <v>1450</v>
          </cell>
          <cell r="I16">
            <v>362.5</v>
          </cell>
          <cell r="J16" t="str">
            <v>Bliss</v>
          </cell>
          <cell r="K16" t="str">
            <v>No Lilies (02/11) No White Greens (02/12) Skip 1 week (07/01) skip 1 week (27/01) No Sunflower (06/03) Skip 1 week (06/06)</v>
          </cell>
          <cell r="L16" t="str">
            <v>Lily n Sunflower n White Greens</v>
          </cell>
          <cell r="M16" t="str">
            <v>No White Greens n Mixed Flowers</v>
          </cell>
          <cell r="N16" t="str">
            <v>3  del of this cycle   -  0-cycles pmnt   Completed - Collect 0</v>
          </cell>
          <cell r="O16" t="str">
            <v>O Asiatic ( 14 Inch ) 2 P n W Glad ( 14 Inch ) 7   Grass</v>
          </cell>
          <cell r="P16" t="str">
            <v>Y Spray Daisy 3 P n W Car ( 14 Inch ) 7   FF Sachet + Grass</v>
          </cell>
          <cell r="Q16" t="str">
            <v>P Eustoma ( 12 Inch ) 2 Rajni ( 14 Inch ) 7   FF Sachet + Grass</v>
          </cell>
          <cell r="R16" t="str">
            <v>W Asiatic ( 14 Inch ) 2 Mix Alstroemeria ( 12 Inch ) 7   Grass</v>
          </cell>
          <cell r="S16" t="str">
            <v>P Spray Daisy ( 14 Inch ) 3 P n W Glad ( 14 Inch ) 7   FF Sachet + Grass</v>
          </cell>
          <cell r="T16" t="str">
            <v>Pur Eustoma ( 12 Inch ) 2 G n W Car ( 14 Inch ) 7   FF Sachet + Grass</v>
          </cell>
        </row>
        <row r="17">
          <cell r="A17" t="str">
            <v>G-00028</v>
          </cell>
          <cell r="B17" t="str">
            <v>Niharika Mohanty</v>
          </cell>
          <cell r="C17">
            <v>9711098608</v>
          </cell>
          <cell r="D17" t="str">
            <v>W2A-151, Wellington Estate</v>
          </cell>
          <cell r="E17" t="str">
            <v>DLF Phase 5</v>
          </cell>
          <cell r="F17" t="str">
            <v>Thursday</v>
          </cell>
          <cell r="G17" t="str">
            <v>10 AM to 2:30 PM</v>
          </cell>
          <cell r="H17">
            <v>1950</v>
          </cell>
          <cell r="I17">
            <v>487.5</v>
          </cell>
          <cell r="J17" t="str">
            <v>Joy</v>
          </cell>
          <cell r="K17" t="str">
            <v>From Akriti Chopra // Mixed Flowers // Skip this week (11/03) Skip 1 week (11/03)  Skip 2 week (18/06) Skip 1 week (13/08) Skip 1 week (14/10) Skip 2 weeks (12/11) Skip 1 week (03/12) Skip 1 week (03/01) Hold today (21/05) Skip tom (03/06) Skip today and next week (18/06(</v>
          </cell>
          <cell r="M17" t="str">
            <v>Mixed Flowers</v>
          </cell>
          <cell r="N17" t="str">
            <v>4  del of this cycle   -  1-cycles pmnt   Pending - Collect 1950</v>
          </cell>
          <cell r="O17" t="str">
            <v>Sunflower ( 12 Inch ) 3 Mix Alstroemeria ( 12 inch )  11   FF Sachet + Grass</v>
          </cell>
          <cell r="P17" t="e">
            <v>#N/A</v>
          </cell>
          <cell r="Q17" t="str">
            <v>P Eustoma ( 12 Inch ) 2 Pur n W Car ( 14 Inch ) 11   FF Sachet + Grass</v>
          </cell>
          <cell r="R17" t="str">
            <v>P Asiatic ( 14 Inch ) 2 Rajni ( 14 Inch ) 11 Collect Payment Collect Payment Grass</v>
          </cell>
          <cell r="S17" t="str">
            <v>P n W Spray Daisy ( 14 Inch ) 4 P n W Glad ( 14 Inch ) 11   FF Sachet + Grass</v>
          </cell>
          <cell r="T17" t="str">
            <v>Sunflower ( 12 Inch ) 3 Mix Alstroemeria ( 12 Inch ) 11 Ensure Collection Ensure Collection FF Sachet + Grass</v>
          </cell>
        </row>
        <row r="18">
          <cell r="A18">
            <v>2204</v>
          </cell>
          <cell r="B18" t="str">
            <v>Bidisha Dey</v>
          </cell>
          <cell r="C18">
            <v>9811969982</v>
          </cell>
          <cell r="D18" t="str">
            <v>C-24, Carlton Estate-1, Club Drive</v>
          </cell>
          <cell r="E18" t="str">
            <v>DLF Phase 5</v>
          </cell>
          <cell r="F18" t="str">
            <v>Thursday</v>
          </cell>
          <cell r="G18" t="str">
            <v>9:30 Am to 2 PM</v>
          </cell>
          <cell r="H18">
            <v>1450</v>
          </cell>
          <cell r="I18">
            <v>362.5</v>
          </cell>
          <cell r="J18" t="str">
            <v>Bliss</v>
          </cell>
          <cell r="K18" t="str">
            <v>Skip 1 week (03/06) Returned send next week (11/07) Skip 1 week (08/01) Skip 1 week (26/03) Skip tom (02/07) Today Returned (20/11) HDTNP (25/06)</v>
          </cell>
          <cell r="N18" t="str">
            <v>3  del of this cycle   -  0-cycles pmnt   Completed - Collect 0</v>
          </cell>
          <cell r="O18" t="str">
            <v>Sunflower ( 12 Inch ) 4     FF Sachet + Grass</v>
          </cell>
          <cell r="P18" t="e">
            <v>#N/A</v>
          </cell>
          <cell r="Q18" t="str">
            <v>P Asiatic ( 14 Inch ) 3    Collect payment Grass</v>
          </cell>
          <cell r="R18" t="str">
            <v>Rajni ( 14 Inch ) 16     Grass</v>
          </cell>
          <cell r="S18" t="str">
            <v>G n W Car ( 14 Inch ) 16     FF Sachet + Grass</v>
          </cell>
          <cell r="T18" t="str">
            <v>P n Y Spray Daisy ( 14 Inch ) 5     FF Sachet + Grass</v>
          </cell>
        </row>
        <row r="19">
          <cell r="A19">
            <v>2644</v>
          </cell>
          <cell r="B19" t="str">
            <v>Sanjeet Kaur</v>
          </cell>
          <cell r="C19">
            <v>7889438209</v>
          </cell>
          <cell r="D19" t="str">
            <v>601, Emerald Green, Sector 52</v>
          </cell>
          <cell r="E19" t="str">
            <v>Artemis</v>
          </cell>
          <cell r="F19" t="str">
            <v>Thursday</v>
          </cell>
          <cell r="G19" t="str">
            <v>9:30 Am to 2 PM</v>
          </cell>
          <cell r="H19">
            <v>1450</v>
          </cell>
          <cell r="I19">
            <v>362.5</v>
          </cell>
          <cell r="J19" t="str">
            <v>Bliss</v>
          </cell>
          <cell r="K19" t="str">
            <v>1 Gypsola in each Del (16/05) Paytm From Arshia Kaur (13/06) Paytm From Yogpal Singh (20/12) Do not count todays delivery (30/04)</v>
          </cell>
          <cell r="M19" t="str">
            <v>1 Gyposla in each Del</v>
          </cell>
          <cell r="N19" t="str">
            <v>3  del of this cycle   -  0-cycles pmnt   Completed - Collect 0</v>
          </cell>
          <cell r="O19" t="str">
            <v>Y Spray Daisy ( 14 Inch ) 3     1 Gypsola + FF Sachet</v>
          </cell>
          <cell r="P19" t="str">
            <v>B Daisy ( 12 Inch ) 9     Grass</v>
          </cell>
          <cell r="Q19" t="str">
            <v>P Asiatic ( 14 Inch ) 2     Grass</v>
          </cell>
          <cell r="R19" t="str">
            <v>Pur n P Car ( 14 Inch ) 16     FF Sachet + Grass</v>
          </cell>
          <cell r="S19" t="str">
            <v>P n Y Spray Daisy ( 14 Inch ) 5     FF Sachet + Grass</v>
          </cell>
          <cell r="T19" t="str">
            <v>Mix Glad ( 14 Inch ) 16     Grass</v>
          </cell>
        </row>
        <row r="20">
          <cell r="A20">
            <v>2200</v>
          </cell>
          <cell r="B20" t="str">
            <v>Naina Gandhi</v>
          </cell>
          <cell r="C20">
            <v>9811188863</v>
          </cell>
          <cell r="D20" t="str">
            <v>K2/105, Central Park -1</v>
          </cell>
          <cell r="E20" t="str">
            <v>Golf Course Road</v>
          </cell>
          <cell r="F20" t="str">
            <v>Thursday</v>
          </cell>
          <cell r="G20" t="str">
            <v>9 AM - 12 PM</v>
          </cell>
          <cell r="H20">
            <v>2300</v>
          </cell>
          <cell r="I20">
            <v>287.5</v>
          </cell>
          <cell r="J20" t="str">
            <v>Felicity</v>
          </cell>
          <cell r="K20"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20" t="str">
            <v>SPRAY DAISY</v>
          </cell>
          <cell r="M20" t="str">
            <v>Check for Bi weekly package</v>
          </cell>
          <cell r="N20" t="str">
            <v>7  del of this cycle   -  0-cycles pmnt   Completed - Collect 0</v>
          </cell>
          <cell r="O20" t="str">
            <v>P n W Glad ( 14 Inch ) 11     Grass</v>
          </cell>
          <cell r="P20" t="e">
            <v>#N/A</v>
          </cell>
          <cell r="Q20" t="str">
            <v>Pur n P Car ( 14 Inch ) 11     FF Sachet + Grass</v>
          </cell>
          <cell r="R20" t="str">
            <v>B Daisy ( 12 Inch ) 11     Grass</v>
          </cell>
          <cell r="S20" t="str">
            <v>P n W Glad ( 14 Inch ) 11     Grass</v>
          </cell>
          <cell r="T20" t="str">
            <v>G n W Car ( 14 inch ) 11     FF Sachet + Grass</v>
          </cell>
        </row>
        <row r="21">
          <cell r="A21">
            <v>179</v>
          </cell>
          <cell r="B21" t="str">
            <v>Sarita Dosaj</v>
          </cell>
          <cell r="C21">
            <v>9810077026</v>
          </cell>
          <cell r="D21" t="str">
            <v>B-24, Trinity Towers</v>
          </cell>
          <cell r="E21" t="str">
            <v>DLF Phase 5</v>
          </cell>
          <cell r="F21" t="str">
            <v>Thursday</v>
          </cell>
          <cell r="G21" t="str">
            <v>9 AM - 12 PM</v>
          </cell>
          <cell r="H21">
            <v>1450</v>
          </cell>
          <cell r="I21">
            <v>362.5</v>
          </cell>
          <cell r="J21" t="str">
            <v>Bliss</v>
          </cell>
          <cell r="K21" t="str">
            <v>One Color Flower ( 06/06) HDTNP (25/06)</v>
          </cell>
          <cell r="M21" t="str">
            <v>One Color Flower ( 06/06)</v>
          </cell>
          <cell r="N21" t="str">
            <v>2  del of this cycle   -  1-cycles pmnt   Pending - Collect 1450</v>
          </cell>
          <cell r="O21" t="str">
            <v>O Asiatic ( 14 Inch ) 3 Collect Cash Collect Cash    Grass</v>
          </cell>
          <cell r="P21" t="e">
            <v>#N/A</v>
          </cell>
          <cell r="Q21" t="str">
            <v>Sunflower ( 12 Inch ) 4    Collect payment FF Sachet + Grass</v>
          </cell>
          <cell r="R21" t="str">
            <v>P n W Car ( 14 Inch ) 16     FF Sachet + Grass</v>
          </cell>
          <cell r="S21" t="str">
            <v>P n W Spray Daisy ( 14 Inch ) 5     FF Sachet + Grass</v>
          </cell>
          <cell r="T21" t="str">
            <v>P Glad ( 14 Inch ) 16 Ensure Collection Ensure Collection Ensure Collection  Grass</v>
          </cell>
        </row>
        <row r="22">
          <cell r="A22">
            <v>172</v>
          </cell>
          <cell r="B22" t="str">
            <v>Rachna Rathee</v>
          </cell>
          <cell r="C22">
            <v>9811779661</v>
          </cell>
          <cell r="D22" t="str">
            <v xml:space="preserve">DX-106 flat no,Kendriya vihar Sector 56
</v>
          </cell>
          <cell r="E22" t="str">
            <v>Sector 56</v>
          </cell>
          <cell r="F22" t="str">
            <v>Thursday</v>
          </cell>
          <cell r="G22" t="str">
            <v>9 AM - 12 PM</v>
          </cell>
          <cell r="H22">
            <v>1450</v>
          </cell>
          <cell r="I22">
            <v>362.5</v>
          </cell>
          <cell r="J22" t="str">
            <v>Bliss</v>
          </cell>
          <cell r="K22" t="str">
            <v>Sendng rtrnd of 30 th on 1st(30/06)Retrnd pls send white Orchid(30/06) NO GERBERA(04/08) Paytm from raj Singh(08/12) Skip 1 week(21/12) NO Daisy(12/01) Hold n sned after 15th Apr(29/03) Hold n start after 10th Sep(30/08) NO DAISY(09/11) NO ROSE(21/12) Today return-send tom(10/10/20) Sending Del Tom due to Diwali(11/11) Referal payout of 162 added against Mr. Shoran(030/11) Referal credit added with ref to Apala das Gupta(29/03) Today hold and send after 11th May and ask before del(30/04) Hold till 28th Feb (10/02) Hold 3 Weeks (10/07) No Blue Orchid (23/10) Extra added against less mogra in Diwali Flowers (26/11) send replacement tom (04/07) Hold she will confirm when to start (13/05) No Gerbera (07/08) Send replacement tom (27/03)</v>
          </cell>
          <cell r="L22" t="str">
            <v>BLUE ORCHID n GERBERA</v>
          </cell>
          <cell r="N22" t="str">
            <v>1  del of this cycle   -  0-cycles pmnt   Completed - Collect 0</v>
          </cell>
          <cell r="O22" t="e">
            <v>#N/A</v>
          </cell>
          <cell r="P22" t="e">
            <v>#N/A</v>
          </cell>
          <cell r="Q22" t="str">
            <v>Pur n P Car ( 14 Inch ) 16     FF Sachet + Grass</v>
          </cell>
          <cell r="R22" t="str">
            <v>Sunflower ( 12 Inch ) 4     FF Sachet + Grass</v>
          </cell>
          <cell r="S22" t="str">
            <v>P n Y Spray Daisy ( 14 Inch ) 5     FF Sachet + Grass</v>
          </cell>
          <cell r="T22" t="str">
            <v>Mix Glad ( 14 Inch ) 16     Grass</v>
          </cell>
        </row>
        <row r="23">
          <cell r="A23">
            <v>2307</v>
          </cell>
          <cell r="B23" t="str">
            <v>Alpna Jain</v>
          </cell>
          <cell r="C23">
            <v>9599336609</v>
          </cell>
          <cell r="D23" t="str">
            <v>C-64, The Icon</v>
          </cell>
          <cell r="E23" t="str">
            <v>DLF Phase 5</v>
          </cell>
          <cell r="F23" t="str">
            <v>Thursday</v>
          </cell>
          <cell r="G23" t="str">
            <v>10 AM to 2:30 PM</v>
          </cell>
          <cell r="H23">
            <v>3000</v>
          </cell>
          <cell r="I23">
            <v>375</v>
          </cell>
          <cell r="J23" t="str">
            <v>Charm</v>
          </cell>
          <cell r="K23" t="str">
            <v>Thursday n Sunday // Hold today (08/02) Keep flowers outside of Door (17/05)</v>
          </cell>
          <cell r="M23" t="str">
            <v>Keep flowers outside of door always</v>
          </cell>
          <cell r="N23" t="str">
            <v>2  del of this cycle   -  1-cycles pmnt   Pending - Collect 3000</v>
          </cell>
          <cell r="O23" t="str">
            <v>Pur n P Eustoma ( 12 Inch ) 4 Leave Outside of door -- Don’t call n don’t ring bell    FF Sachet + Grass</v>
          </cell>
          <cell r="P23" t="str">
            <v>Pur n P Car ( 14 Inch ) 15 Keep Flowers at door-- Don’t call or don’t ring Bell    FF Sachet + Grass</v>
          </cell>
          <cell r="Q23" t="str">
            <v>B Daisy ( 12 Inch ) 15    Collect Payment Grass</v>
          </cell>
          <cell r="R23" t="str">
            <v>Sunflower ( 12 Inch ) 3 Keep Flowers at Door -- Don’t call or Ring the bell    FF Sachet + Grass</v>
          </cell>
          <cell r="S23" t="str">
            <v>P n Y Spray Daisy ( 14 Inch ) 4 Pls Keep at door -- Don’t Call 0r Ring Bell    FF Sachet + Grass</v>
          </cell>
          <cell r="T23" t="str">
            <v>O Asiatic ( 14 Inch ) 2   Ensure Collection Ensure Collection Grass</v>
          </cell>
        </row>
        <row r="24">
          <cell r="A24">
            <v>326</v>
          </cell>
          <cell r="B24" t="str">
            <v>Radhika Surana-- Before 10</v>
          </cell>
          <cell r="C24">
            <v>9871132800</v>
          </cell>
          <cell r="D24" t="str">
            <v>1204, The Magnolias</v>
          </cell>
          <cell r="E24" t="str">
            <v>Golf Course Road</v>
          </cell>
          <cell r="F24" t="str">
            <v>Thursday</v>
          </cell>
          <cell r="G24" t="str">
            <v>9 AM - 12 PM</v>
          </cell>
          <cell r="H24">
            <v>2750</v>
          </cell>
          <cell r="I24">
            <v>687.5</v>
          </cell>
          <cell r="J24" t="str">
            <v>Elation</v>
          </cell>
          <cell r="K24" t="str">
            <v>NO ORCHIDS, Prefer Lilies,Rajni and Gerbera(04/10) 1 week(22/04) Paytm from Anurag Surana(06/06) Paytm from Anurag Surana(02/07)  NO Orchid n BOP (25/01)  Skip 1 week (28/06) Hold 3rd aug and send on 7th Aug (03/08) Today returned (07/08) Skip this thursday and send on Monday (15/08) After 2nd Oct now (27/09) Skip 1 week (21/10) Hold n send after 8th Jan (13/12) Skip 1 week (30/01) Skip tom n sned on 19th (13/03) Skip 23rd and 30th (16/05) Skip 2 weeks and send mext del on 22nd June (12/06) Skip this week n start from tuesday (24/07) Skip 1 week (20/08) Skip 1 week (03/09) Skip 7th n 14th (06/11) Skip 5th Dec Del (02/12) skip 2 week (21/12) Today Returned (23/01) Skip 1 week and send on sunday (22/02) Skip tom and send on monday (05/03) Skip 1 week (19/03) Skip 2 weeks (05/04) Skip 2 weeks (31/05) Skip 1 week (19/08)  No Del on 18th, 25th and 2nd Oct (14/09) Returned today (09/10) Send this week on sunday and then thursday (05/11) Hold today n next weeks (27/11) Skip 1 week (25/12) Skip 1 week (30/03) Skip 4th n 11th June (28/05)</v>
          </cell>
          <cell r="L24" t="str">
            <v>BOP n ORCHID</v>
          </cell>
          <cell r="N24" t="str">
            <v>4  del of this cycle   -  0-cycles pmnt   Completed - Collect 0</v>
          </cell>
          <cell r="O24" t="str">
            <v>Pur n P Car ( 14 inch ) 32     2 Gypsola + FF Sachet</v>
          </cell>
          <cell r="P24" t="str">
            <v>P n W Glad ( 14 Inch ) 32     2 Limonium</v>
          </cell>
          <cell r="Q24" t="str">
            <v>Pur n P Car ( 14 Inch ) 32     2 Gypsola</v>
          </cell>
          <cell r="R24" t="str">
            <v>P Asiatic ( 14 Inch ) 6  Gate Pass Wahab Ke Pass Hai Collect Payment Collect Payment 2 Limonium</v>
          </cell>
          <cell r="S24" t="str">
            <v>P n W Spray Daisy ( 14 Inch ) 10     2 Gypsola + FF Sachet</v>
          </cell>
          <cell r="T24" t="str">
            <v>Mix Alstroemeria ( 12 Inch ) 30     2 Limonium + FF Sachet</v>
          </cell>
        </row>
        <row r="25">
          <cell r="A25">
            <v>888</v>
          </cell>
          <cell r="B25" t="str">
            <v>Ankita Mehta</v>
          </cell>
          <cell r="C25">
            <v>9868169896</v>
          </cell>
          <cell r="D25" t="str">
            <v>1B-71, Wellington Estate</v>
          </cell>
          <cell r="E25" t="str">
            <v>DLF Phase 5</v>
          </cell>
          <cell r="F25" t="str">
            <v>Thursday</v>
          </cell>
          <cell r="G25" t="str">
            <v>9 AM - 12 PM</v>
          </cell>
          <cell r="H25">
            <v>1450</v>
          </cell>
          <cell r="I25">
            <v>362.5</v>
          </cell>
          <cell r="J25" t="str">
            <v>Bliss</v>
          </cell>
          <cell r="K25" t="str">
            <v>Mix of Asiatic n Car(29/07) Send tom instead of Thursday(12/08) GLAD n ORCHID THIS CYCLE(28/08) ONLY LILY n CAR TILL SHE REVOKES n skip this week (04/09) Rajni n Rose Next(28/11) Lilies and Rose in this cycle(11/12)) Mixed Flowers only(30/08) Want Car// Orchid// Lily//Spray Daisy//Glad(19/09)  Flowers only from Car// Orchid// Lily//Spray Daisy//Glad(11/10) This cycle--Glad//BOP//Orchid//Lily(15/10) This cycle-- Glad//BOP//Orchid// Lily(14/11) This cycle-- Rose/Asiatic/BOP/G;ad/Guldawari and Orchid (25/09) No Upgrade-send lilies (19/10) Send nily next and always once in a cycle (15/12) NO SPRAY DAISY n GULDAWARI and sned Asiatic once in 1 cycle (19/01) Skip 1 week (24/01) Skip 1 week (06/03) Skip 1 week (05/ Skip 1 week 916/04)03) Skip 1 week (04/03) Skip 2 week (18/05) Send reaplacement tom (04/07) Sent replacememt todau (26/10) Skip 1 week (13/11) Skip 1 week (24/03) Skip 1 week (16/04) Return today (05/06) Skip 1 week (17/06) Skip 1 week (02/07) Skip 1 week (08/07) Send tom instaed of thursday this week (14/10) Send 1 del of ankita mehra today (21/10) Hold till 14th Jan (18/12) Change to Delight (30/01) Hold today (16/04) Send Replacement Tom (19/06) Skip 1 week (03/07)</v>
          </cell>
          <cell r="L25" t="str">
            <v xml:space="preserve">SPRAY DAISY n GULDAWARI </v>
          </cell>
          <cell r="M25" t="str">
            <v>Change to Deligh next (30/01)</v>
          </cell>
          <cell r="N25" t="str">
            <v>1  del of this cycle   -  1-cycles pmnt   Pending - Collect 1450</v>
          </cell>
          <cell r="O25" t="str">
            <v>Mix Alstroemeria ( 12 Inch ) 16     FF Sachet + Grass</v>
          </cell>
          <cell r="P25" t="str">
            <v>P n W Glad ( 14 Inch ) 16  Collect Payment Collect Payment Collect Payment Grass</v>
          </cell>
          <cell r="Q25" t="str">
            <v>P Asiatic ( 14 Inch ) 3     Grass</v>
          </cell>
          <cell r="R25" t="e">
            <v>#N/A</v>
          </cell>
          <cell r="S25" t="str">
            <v>G n W Car ( 14 Inch ) 16     FF Sachet + Grass</v>
          </cell>
          <cell r="T25" t="str">
            <v>Pur Eustoma ( 12 Inch ) 3     FF Sachet + Grass</v>
          </cell>
        </row>
        <row r="26">
          <cell r="A26">
            <v>2761</v>
          </cell>
          <cell r="B26" t="str">
            <v>Gyan</v>
          </cell>
          <cell r="C26">
            <v>9560719191</v>
          </cell>
          <cell r="D26" t="str">
            <v>J7, 2nd Floor, Signature Global City, Sec 37 D</v>
          </cell>
          <cell r="E26" t="str">
            <v>Dwarka Expressway</v>
          </cell>
          <cell r="F26" t="str">
            <v>Thursday</v>
          </cell>
          <cell r="G26" t="str">
            <v>4 PM to 7 PM</v>
          </cell>
          <cell r="H26">
            <v>1450</v>
          </cell>
          <cell r="I26">
            <v>362.5</v>
          </cell>
          <cell r="J26" t="str">
            <v>Bliss</v>
          </cell>
          <cell r="K26" t="str">
            <v>Upgraded as per scheme to Bliss for 5 Deliveries (22/08) No delivered today-send tom (02/10) Skip 1 week (26/11) Skip 2 week (28/01) Skip 2 week (10/03) No Sunflower ( 17/06)</v>
          </cell>
          <cell r="L26" t="str">
            <v>Sunflower</v>
          </cell>
          <cell r="N26" t="str">
            <v>2  del of this cycle   -  1-cycles pmnt   Pending - Collect 1450</v>
          </cell>
          <cell r="O26" t="str">
            <v>P Asiatic ( 14 Inch ) 2 Pur n P Car ( 14 Inch ) 7   Grass</v>
          </cell>
          <cell r="P26" t="str">
            <v>Pur Eustoma ( 12 Inch ) 2 Rajni ( 14 Inch ) 7   FF Sachet + Grass</v>
          </cell>
          <cell r="Q26" t="str">
            <v>Spray Daisy 3 B Daisy ( 12 Inch ) 7   FF Sachet + Grass</v>
          </cell>
          <cell r="R26" t="str">
            <v>O Asiatic ( ( 14 inch ) 2 Mix Car 7   Grass</v>
          </cell>
          <cell r="S26" t="str">
            <v>P Spray Daisy ( 14 Inch ) 3 P n W Glad ( 14 Inch ) 7   FF Sachet + Grass</v>
          </cell>
          <cell r="T26" t="str">
            <v>Y Spray Daisy ( 14 Inch ) 3 Mix Alstroemeria ( 12 Inch ) 7 Ensure Collection Ensure Collection FF Sachet + Grass</v>
          </cell>
        </row>
        <row r="27">
          <cell r="A27">
            <v>2250</v>
          </cell>
          <cell r="B27" t="str">
            <v>Saloni Gupta</v>
          </cell>
          <cell r="C27">
            <v>9810796682</v>
          </cell>
          <cell r="D27" t="str">
            <v>338, 3rd Floor, Espace</v>
          </cell>
          <cell r="E27" t="str">
            <v>Nirvana Country</v>
          </cell>
          <cell r="F27" t="str">
            <v>Sunday</v>
          </cell>
          <cell r="G27" t="str">
            <v>9 AM - 12 PM</v>
          </cell>
          <cell r="H27">
            <v>3088</v>
          </cell>
          <cell r="I27">
            <v>386</v>
          </cell>
          <cell r="J27" t="str">
            <v>Cutsomized-Biweekly</v>
          </cell>
          <cell r="K27"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 Do not count todays del (19/07)</v>
          </cell>
          <cell r="N27" t="str">
            <v>1  del of this cycle   -  1-cycles pmnt   Pending - Collect 3088</v>
          </cell>
          <cell r="O27" t="e">
            <v>#N/A</v>
          </cell>
          <cell r="P27" t="str">
            <v>W Asiatic ( 14 Inch ) 3     Grass</v>
          </cell>
          <cell r="Q27" t="str">
            <v>O Asiatic ( 14 Inch ) 3     Grass</v>
          </cell>
          <cell r="R27" t="str">
            <v>P Asiatic ( 14 Inch ) 2     Grass</v>
          </cell>
          <cell r="S27" t="str">
            <v>O Asiatic ( 14 Inch ) 3     Grass</v>
          </cell>
          <cell r="T27" t="str">
            <v>O Asiatic ( 14 Inch ) 3     Grass</v>
          </cell>
        </row>
        <row r="28">
          <cell r="A28">
            <v>2104</v>
          </cell>
          <cell r="B28" t="str">
            <v>Arun Gupta</v>
          </cell>
          <cell r="C28">
            <v>9999072697</v>
          </cell>
          <cell r="D28" t="str">
            <v>C-22m Arc Stationary</v>
          </cell>
          <cell r="E28" t="str">
            <v>Nirvana Country</v>
          </cell>
          <cell r="F28" t="str">
            <v>Thursday</v>
          </cell>
          <cell r="G28" t="str">
            <v>9 AM to 2 PM</v>
          </cell>
          <cell r="H28">
            <v>400</v>
          </cell>
          <cell r="I28">
            <v>100</v>
          </cell>
          <cell r="J28" t="str">
            <v>Customized</v>
          </cell>
          <cell r="K28" t="str">
            <v>4 Flowers at both Shop</v>
          </cell>
          <cell r="N28" t="str">
            <v>4  del of this cycle   -  0-cycles pmnt   In Process - Collect 0</v>
          </cell>
          <cell r="O28" t="str">
            <v xml:space="preserve">      </v>
          </cell>
          <cell r="P28" t="str">
            <v xml:space="preserve">Broken Flowers  5 1 Shop    </v>
          </cell>
          <cell r="Q28" t="str">
            <v xml:space="preserve">Broken Flowers  5     </v>
          </cell>
          <cell r="R28" t="str">
            <v xml:space="preserve">Broken Flowers  5 1 Shop    </v>
          </cell>
          <cell r="S28" t="str">
            <v xml:space="preserve">Broken Flowers  5 1 Shop    </v>
          </cell>
          <cell r="T28" t="str">
            <v>Broken Flowers  5 1 Shop    Grass</v>
          </cell>
        </row>
        <row r="29">
          <cell r="A29" t="str">
            <v>G-00036</v>
          </cell>
          <cell r="B29" t="str">
            <v>Aanchal Boora</v>
          </cell>
          <cell r="C29">
            <v>9654700022</v>
          </cell>
          <cell r="D29" t="str">
            <v>Flat - 1171, Ats Triumph, Wing B, Tower 1, 17th Floor, Sec 104</v>
          </cell>
          <cell r="E29" t="str">
            <v>Dwarka Expressway</v>
          </cell>
          <cell r="F29" t="str">
            <v>Thursday</v>
          </cell>
          <cell r="G29" t="str">
            <v>4 Pm to 7 PM</v>
          </cell>
          <cell r="H29">
            <v>1450</v>
          </cell>
          <cell r="I29">
            <v>362.5</v>
          </cell>
          <cell r="J29" t="str">
            <v>Bliss</v>
          </cell>
          <cell r="K29" t="str">
            <v>From Avni Ahuja // Skip tom (10/12) Paytm From Nitin Kunka // No Orchids (27/01) Skip 1 week (27/02) No Sunflowers (02/05)</v>
          </cell>
          <cell r="L29" t="str">
            <v xml:space="preserve">Orchid n Sunflowers </v>
          </cell>
          <cell r="M29" t="str">
            <v>One Kind</v>
          </cell>
          <cell r="N29" t="str">
            <v>1  del of this cycle   -  1-cycles pmnt   Pending - Collect 1450</v>
          </cell>
          <cell r="O29" t="e">
            <v>#N/A</v>
          </cell>
          <cell r="P29" t="e">
            <v>#N/A</v>
          </cell>
          <cell r="Q29" t="str">
            <v>P Asiatic ( 14 Inch ) 3    Collect Payment Grass</v>
          </cell>
          <cell r="R29" t="str">
            <v>Rajni ( 14 Inch ) 16     Grass</v>
          </cell>
          <cell r="S29" t="str">
            <v>P n Y Spray Daisy ( 14 Inch ) 5     FF Sachet + Grass</v>
          </cell>
          <cell r="T29" t="str">
            <v>G n W Car ( 14 inch ) 16     FF Sachet + Grass</v>
          </cell>
        </row>
        <row r="30">
          <cell r="A30">
            <v>2502</v>
          </cell>
          <cell r="B30" t="str">
            <v>Amrita Sarup</v>
          </cell>
          <cell r="C30">
            <v>7028026940</v>
          </cell>
          <cell r="D30" t="str">
            <v>D1/802, Experion Heartsong, Sec 108</v>
          </cell>
          <cell r="E30" t="str">
            <v>Dwarka Expressway</v>
          </cell>
          <cell r="F30" t="str">
            <v>Thursday</v>
          </cell>
          <cell r="G30" t="str">
            <v>4 Pm to 7 PM</v>
          </cell>
          <cell r="H30">
            <v>1450</v>
          </cell>
          <cell r="I30">
            <v>362.5</v>
          </cell>
          <cell r="J30" t="str">
            <v>Bliss</v>
          </cell>
          <cell r="K30" t="str">
            <v>No Asiatic n Spray Daisy // Today Hold (14/08) Replacement tom (04/12) No Orchid (11/12) No BOP n Orchid (12/12) Today Returned -send on Sunday (18/12) Returned today (01/01/26) Next 3 Deliveries with Premium (11/.04)</v>
          </cell>
          <cell r="L30" t="str">
            <v>BOP n Orchid</v>
          </cell>
          <cell r="M30" t="str">
            <v>Next 3 Deliveries with Premium (11/.04)</v>
          </cell>
          <cell r="N30" t="str">
            <v>4  del of this cycle   -  0-cycles pmnt   Completed - Collect 0</v>
          </cell>
          <cell r="O30" t="e">
            <v>#N/A</v>
          </cell>
          <cell r="P30" t="e">
            <v>#N/A</v>
          </cell>
          <cell r="Q30" t="str">
            <v>Pur n P Car ( 14 Inch ) 16     FF Sachet + Grass</v>
          </cell>
          <cell r="R30" t="str">
            <v>O Asiatic ( ( 14 inch ) 3     Grass</v>
          </cell>
          <cell r="S30" t="str">
            <v>Mix Car ( 14 Inch ) 16     Grass</v>
          </cell>
          <cell r="T30" t="str">
            <v>P n Y Spray Daisy ( 14 Inch ) 5     FF Sachet + Grass</v>
          </cell>
        </row>
        <row r="31">
          <cell r="A31">
            <v>3107</v>
          </cell>
          <cell r="B31" t="str">
            <v>Richa -- Icon</v>
          </cell>
          <cell r="C31">
            <v>9811394916</v>
          </cell>
          <cell r="D31" t="str">
            <v>B-173, the Icon</v>
          </cell>
          <cell r="E31" t="str">
            <v>DLF Phase 5</v>
          </cell>
          <cell r="F31" t="str">
            <v>Thursday</v>
          </cell>
          <cell r="G31" t="str">
            <v>10 AM to 2:30 PM</v>
          </cell>
          <cell r="H31">
            <v>1450</v>
          </cell>
          <cell r="I31">
            <v>362.5</v>
          </cell>
          <cell r="J31" t="str">
            <v>Bliss</v>
          </cell>
          <cell r="K31" t="str">
            <v>Paytm From Ankit Gupta (01/11) Skip 08th and 15th Jan (16/12) Hold till 16th Jan (19/12) Skip 1 week (12/02) Skip 1 week (11/03) Skip 1 week (01/04) Hold n strat from 02nd July (28/05)</v>
          </cell>
          <cell r="N31" t="str">
            <v>4  del of this cycle   -  0-cycles pmnt   Completed - Collect 0</v>
          </cell>
          <cell r="O31" t="e">
            <v>#N/A</v>
          </cell>
          <cell r="P31" t="e">
            <v>#N/A</v>
          </cell>
          <cell r="Q31" t="str">
            <v>Pur n P Car ( 14 Inch ) 16     FF Sachet + Grass</v>
          </cell>
          <cell r="R31" t="str">
            <v>P Asiatic ( 14 Inch ) 3     Grass</v>
          </cell>
          <cell r="S31" t="str">
            <v>P n W Glad ( 14 Inch ) 16     Grass</v>
          </cell>
          <cell r="T31" t="str">
            <v>P n Y Spray Daisy ( 14 Inch ) 5     FF Sachet + Grass</v>
          </cell>
        </row>
        <row r="32">
          <cell r="A32">
            <v>2395</v>
          </cell>
          <cell r="B32" t="str">
            <v>Anupma Katyal</v>
          </cell>
          <cell r="C32">
            <v>9999967563</v>
          </cell>
          <cell r="D32" t="str">
            <v>1484, Saraswati Kunj</v>
          </cell>
          <cell r="E32" t="str">
            <v>DLF Phase 5</v>
          </cell>
          <cell r="F32" t="str">
            <v>Thursday</v>
          </cell>
          <cell r="G32" t="str">
            <v>10 AM to 2:30 PM</v>
          </cell>
          <cell r="H32">
            <v>1950</v>
          </cell>
          <cell r="I32">
            <v>487.5</v>
          </cell>
          <cell r="J32" t="str">
            <v>Joy</v>
          </cell>
          <cell r="K32" t="str">
            <v>Return today (22/05) Hold today due to non payment (02/10) HDTNP (02/07) HDTNP (09/07)</v>
          </cell>
          <cell r="M32" t="str">
            <v>Mixed Flowers</v>
          </cell>
          <cell r="N32" t="str">
            <v>3  del of this cycle   -  1-cycles pmnt   Pending - Collect 1950</v>
          </cell>
          <cell r="O32" t="str">
            <v>Sunflower ( 12 Inch ) 5     FF Sachet + Grass</v>
          </cell>
          <cell r="P32" t="str">
            <v>P Asiatic ( 14 Inch ) 4     Grass</v>
          </cell>
          <cell r="Q32" t="e">
            <v>#N/A</v>
          </cell>
          <cell r="R32" t="e">
            <v>#N/A</v>
          </cell>
          <cell r="S32" t="e">
            <v>#N/A</v>
          </cell>
          <cell r="T32" t="str">
            <v>G n W Car ( 14 inch ) 22 Check with us before sending Check with us before sending Check with us before sending  FF Sachet + Grass</v>
          </cell>
        </row>
        <row r="33">
          <cell r="A33" t="str">
            <v>G-00015</v>
          </cell>
          <cell r="B33" t="str">
            <v>Harsh  - Unikon</v>
          </cell>
          <cell r="C33">
            <v>9015463811</v>
          </cell>
          <cell r="D33" t="str">
            <v>AR-903B, 3rd Floor, Aralias</v>
          </cell>
          <cell r="E33" t="str">
            <v>Golf Course Road</v>
          </cell>
          <cell r="F33" t="str">
            <v>Thursday</v>
          </cell>
          <cell r="G33" t="str">
            <v>4 Pm to 7 PM</v>
          </cell>
          <cell r="H33">
            <v>2750</v>
          </cell>
          <cell r="I33">
            <v>687.5</v>
          </cell>
          <cell r="J33" t="str">
            <v>Elation</v>
          </cell>
          <cell r="K33" t="str">
            <v>From Deep Bajaj // Message = Your boyfriend:p (05/11) Paytm from Simran Dhawan (04/03) Send 1 delivery tomorrow (17/03) Skip 1 week (10/04) Add change request from Jasjit -- 9560611229</v>
          </cell>
          <cell r="M33" t="str">
            <v>One time Single n One Time Mixed</v>
          </cell>
          <cell r="N33" t="str">
            <v>4  del of this cycle   -  0-cycles pmnt   In Process - Collect 0</v>
          </cell>
          <cell r="O33" t="str">
            <v>P n W Spray Daisy ( 14 Inch ) 5 Pur n P Car ( 14 Inch ) 16   2 Gypsola + FF Sachet</v>
          </cell>
          <cell r="P33" t="str">
            <v>P Asiatic ( 14 Inch ) 3 B Daisy ( 12 Inch ) 16   2 Limonium</v>
          </cell>
          <cell r="Q33" t="str">
            <v xml:space="preserve">Eustoma 4 Rajni ( 14 Inch ) 16   2 Gypsola + FF Sachet </v>
          </cell>
          <cell r="R33" t="str">
            <v>Sunflower ( 12 Inch ) 4 B Daisy ( 12 Inch ) 16   2 Limonium + FF Sachet</v>
          </cell>
          <cell r="S33" t="str">
            <v>P n W Spray Daisy ( 14 Inch ) 5 P n W Car ( 14 Inch ) 16   2 Gypsola + FF Sachet</v>
          </cell>
          <cell r="T33" t="str">
            <v>O Asiatic ( 14 Inch ) 3 Rajni 16   2 Limonium</v>
          </cell>
        </row>
        <row r="34">
          <cell r="A34">
            <v>2037</v>
          </cell>
          <cell r="B34" t="str">
            <v>Sharwan Chopra</v>
          </cell>
          <cell r="C34">
            <v>9971066995</v>
          </cell>
          <cell r="D34" t="str">
            <v>A-223, The Belaire</v>
          </cell>
          <cell r="E34" t="str">
            <v>Golf Course Road</v>
          </cell>
          <cell r="F34" t="str">
            <v>Thursday</v>
          </cell>
          <cell r="G34" t="str">
            <v>10 AM to 2:30 PM</v>
          </cell>
          <cell r="H34">
            <v>1950</v>
          </cell>
          <cell r="I34">
            <v>487.5</v>
          </cell>
          <cell r="J34" t="str">
            <v>Joy</v>
          </cell>
          <cell r="K34" t="str">
            <v>NO Car (15/02) Skip 3 Weeks (12/06) Skip 1 week (28/12) Hold all deliveries till 1st July (12/06) Skip 25th Dec (23/12) Hold due to non payment (29/01) Returned today (04/06) Skip 1 week (16/06)</v>
          </cell>
          <cell r="L34" t="str">
            <v>CAR</v>
          </cell>
          <cell r="N34" t="str">
            <v>4  del of this cycle   -  0-cycles pmnt   Completed - Collect 0</v>
          </cell>
          <cell r="O34" t="e">
            <v>#N/A</v>
          </cell>
          <cell r="P34" t="str">
            <v>Pur n P Eustoma ( 12 Inch ) 4     FF Sachet + Grass</v>
          </cell>
          <cell r="Q34" t="str">
            <v>Rajni ( 14 Inch ) 22     Grass</v>
          </cell>
          <cell r="R34" t="str">
            <v>O Asiatic ( ( 14 inch ) 4     Grass</v>
          </cell>
          <cell r="S34" t="str">
            <v>P n W Spray Daisy ( 14 Inch ) 7     FF Sachet + Grass</v>
          </cell>
          <cell r="T34" t="str">
            <v>Mix Glad ( 14 Inch ) 22     Grass</v>
          </cell>
        </row>
        <row r="35">
          <cell r="A35">
            <v>922</v>
          </cell>
          <cell r="B35" t="str">
            <v>Dr. Deepa Gupta</v>
          </cell>
          <cell r="C35">
            <v>8860079525</v>
          </cell>
          <cell r="D35" t="str">
            <v>Mayom Hospital, D block south city 1</v>
          </cell>
          <cell r="E35" t="str">
            <v>South City 1</v>
          </cell>
          <cell r="F35" t="str">
            <v>Thursday</v>
          </cell>
          <cell r="G35" t="str">
            <v>4 PM to 7 PM</v>
          </cell>
          <cell r="H35">
            <v>1450</v>
          </cell>
          <cell r="I35">
            <v>362.5</v>
          </cell>
          <cell r="J35" t="str">
            <v>Corporate</v>
          </cell>
          <cell r="K35" t="str">
            <v>1 del Missed(07/10) Return-send next week(31/12) Send replacement of Gerbera(30/10) Send on Monday this week(20/03) Return- hold package(08/07) Today returned-send next week(02/06) HDTNP (19/02)</v>
          </cell>
          <cell r="N35" t="str">
            <v>4  del of this cycle   -  0-cycles pmnt   In Process - Collect 0</v>
          </cell>
          <cell r="O35" t="str">
            <v>O Asiatic ( 14 Inch ) 3     Grass</v>
          </cell>
          <cell r="P35" t="str">
            <v>Pur Eustoma ( 12 Inch ) 3     FF Sachet + Grass</v>
          </cell>
          <cell r="Q35" t="str">
            <v>P Asiatic ( 14 Inch ) 3     Grass</v>
          </cell>
          <cell r="R35" t="str">
            <v>W Asiatic ( 14 Inch ) 3     Grass</v>
          </cell>
          <cell r="S35" t="str">
            <v>O Asiatic ( 14 Inch ) 3     Grass</v>
          </cell>
          <cell r="T35" t="str">
            <v>P n Y Spray Daisy ( 14 Inch ) 5     FF Sachet + Grass</v>
          </cell>
        </row>
        <row r="36">
          <cell r="A36">
            <v>2359</v>
          </cell>
          <cell r="B36" t="str">
            <v>Roshni Achpal</v>
          </cell>
          <cell r="C36">
            <v>9711170252</v>
          </cell>
          <cell r="D36" t="str">
            <v>A-102, Belaire</v>
          </cell>
          <cell r="E36" t="str">
            <v>Golf Course Road</v>
          </cell>
          <cell r="F36" t="str">
            <v>Thursday</v>
          </cell>
          <cell r="G36" t="str">
            <v>9 AM - 12 PM</v>
          </cell>
          <cell r="H36">
            <v>1450</v>
          </cell>
          <cell r="I36">
            <v>362.5</v>
          </cell>
          <cell r="J36" t="str">
            <v>Bliss</v>
          </cell>
          <cell r="K36" t="str">
            <v>Gift From Ankita Mehta  // Shift to Delight(04/12) Gpay from Alok Asrani (04/12) Skip 2 week (19/12) No car (01/05) Skip 2 weeks (19/08) No rajni (08/09) Skip 2 week (18/12) No Button Daisy 912/02) Skip 1 week (14/03) Do not count last del (13/05) Skip 1 week (11/06) Skip 1 week (25/07)</v>
          </cell>
          <cell r="L36" t="str">
            <v>Car n Rajni n Buttn Daisies</v>
          </cell>
          <cell r="N36" t="str">
            <v>2  del of this cycle   -  0-cycles pmnt   Completed - Collect 0</v>
          </cell>
          <cell r="O36" t="e">
            <v>#N/A</v>
          </cell>
          <cell r="P36" t="str">
            <v>Pur n P Car ( 14 Inch ) 9     FF Sachet + Grass</v>
          </cell>
          <cell r="Q36" t="str">
            <v>O Asiatic ( 14 Inch ) 2     Grass</v>
          </cell>
          <cell r="R36" t="str">
            <v>Mix Alstroemeria ( 12Inch ) 9     FF Sachet + Grass</v>
          </cell>
          <cell r="S36" t="str">
            <v>G n W Car ( 14 Inch ) 16     FF Sachet + Grass</v>
          </cell>
          <cell r="T36" t="str">
            <v>Mix Glad ( 14 Inch ) 16     Grass</v>
          </cell>
        </row>
        <row r="37">
          <cell r="A37">
            <v>2774</v>
          </cell>
          <cell r="B37" t="str">
            <v>Vandana Thakran</v>
          </cell>
          <cell r="C37">
            <v>9899589964</v>
          </cell>
          <cell r="D37" t="str">
            <v>H. No. 35, Cedar Crest</v>
          </cell>
          <cell r="E37" t="str">
            <v>Nirvana Country</v>
          </cell>
          <cell r="F37" t="str">
            <v>Sunday</v>
          </cell>
          <cell r="G37" t="str">
            <v>9 AM - 12 PM</v>
          </cell>
          <cell r="H37">
            <v>1600</v>
          </cell>
          <cell r="I37">
            <v>200</v>
          </cell>
          <cell r="J37" t="str">
            <v>Bloom</v>
          </cell>
          <cell r="N37" t="str">
            <v>8  del of this cycle   -  0-cycles pmnt   Completed - Collect 0</v>
          </cell>
          <cell r="O37" t="str">
            <v>Pur n P Car ( 14 inch ) 7     FF Sachet + Grass</v>
          </cell>
          <cell r="P37" t="str">
            <v>P n W Glad ( 14 Inch ) 7     Grass</v>
          </cell>
          <cell r="Q37" t="str">
            <v>Rajni ( 14 Inch ) 7     Grass</v>
          </cell>
          <cell r="R37" t="str">
            <v>P n W Car ( 14 Inch ) 7     FF Sachet + Grass</v>
          </cell>
          <cell r="S37" t="str">
            <v>Mix Alstroemeria ( 12 Inch ) 7     FF Sachet + Grass</v>
          </cell>
          <cell r="T37" t="str">
            <v>Rajni ( 14 Inch ) 7     Grass</v>
          </cell>
        </row>
        <row r="38">
          <cell r="A38">
            <v>3071</v>
          </cell>
          <cell r="B38" t="str">
            <v>Divya Rawat</v>
          </cell>
          <cell r="C38">
            <v>8390310325</v>
          </cell>
          <cell r="D38" t="str">
            <v>D-13/14, 1st Floor, DLF Exclusive Floor</v>
          </cell>
          <cell r="E38" t="str">
            <v>DLF Phase 5</v>
          </cell>
          <cell r="F38" t="str">
            <v>Thursday</v>
          </cell>
          <cell r="G38" t="str">
            <v>9 AM - 12 PM</v>
          </cell>
          <cell r="H38">
            <v>1450</v>
          </cell>
          <cell r="I38">
            <v>362.5</v>
          </cell>
          <cell r="J38" t="str">
            <v>Bliss</v>
          </cell>
          <cell r="K38" t="str">
            <v>Return today (04/12) Hold today (05/03) Returned today (28/05) HDTNP (25/06)</v>
          </cell>
          <cell r="N38" t="str">
            <v>2  del of this cycle   -  0-cycles pmnt   Completed - Collect 0</v>
          </cell>
          <cell r="O38" t="str">
            <v>Sunflower ( 12 Inch ) 2 P n W Glad ( 14 Inch ) 7   FF Sachet + Grass</v>
          </cell>
          <cell r="P38" t="e">
            <v>#N/A</v>
          </cell>
          <cell r="Q38" t="str">
            <v>P Asiatic ( 14 Inch ) 2 Rajni ( 14 Inch ) 7  Collect Payment Grass</v>
          </cell>
          <cell r="R38" t="str">
            <v>P Spray Daisy ( 14 Inch ) 3 P n W Car ( 14 Inch ) 7   FF Sachet + Grass</v>
          </cell>
          <cell r="S38" t="str">
            <v>Sunflower ( 12 Inch ) 2 Mix Alstroemeria ( 12 Inch ) 7   FF Sachet + Grass</v>
          </cell>
          <cell r="T38" t="str">
            <v>Pur Eustoma ( 12 Inch ) 2 Mix Glad ( 14 Inch ) 7   FF Sachet + Grass</v>
          </cell>
        </row>
        <row r="39">
          <cell r="A39">
            <v>1982</v>
          </cell>
          <cell r="B39" t="str">
            <v>Manvi Bajpai</v>
          </cell>
          <cell r="C39">
            <v>8860046280</v>
          </cell>
          <cell r="D39" t="str">
            <v>A-43, Westend Heights</v>
          </cell>
          <cell r="E39" t="str">
            <v>DLF Phase 5</v>
          </cell>
          <cell r="F39" t="str">
            <v>Thursday</v>
          </cell>
          <cell r="G39" t="str">
            <v>9 AM - 12 PM</v>
          </cell>
          <cell r="H39">
            <v>1450</v>
          </cell>
          <cell r="I39">
            <v>362.5</v>
          </cell>
          <cell r="J39" t="str">
            <v>Bliss</v>
          </cell>
          <cell r="K39" t="str">
            <v>Preferred Flowers-- Car//Rose//Guldawari//Gerbera//Orchid//Spray Daisy (27/09) 4th Del was on Hold (10/10) Skip 1 week (21/10) Skip 1 week (02/03) No Orchid (27/04) Hold n start after 15th Sep (18/08) Skip 1 week (19/10) Skip 1 week (17/12) Skip 2 week (17/03) Sending del today instead of tom (26/04) Skip 1 week (13/08) Skip 1 week (10/10) Return today (26/10) Today Hold (28/12) Skip 2 week (27/01) Skip 1 week (14/03) Skip 2 weks (17/04) Skip 2 week (01/06) Payment from Sreyansh Updhyay (19/07) Skip 18th to 25th (02/10) Skip 1 week (06/020</v>
          </cell>
          <cell r="L39" t="str">
            <v>ORCHID</v>
          </cell>
          <cell r="N39" t="str">
            <v>2  del of this cycle   -  0-cycles pmnt   Completed - Collect 0</v>
          </cell>
          <cell r="O39" t="e">
            <v>#N/A</v>
          </cell>
          <cell r="P39" t="e">
            <v>#N/A</v>
          </cell>
          <cell r="Q39" t="e">
            <v>#N/A</v>
          </cell>
          <cell r="R39" t="e">
            <v>#N/A</v>
          </cell>
          <cell r="S39" t="str">
            <v>G n W Car ( 14 Inch ) 16     FF Sachet + Grass</v>
          </cell>
          <cell r="T39" t="str">
            <v>O Asiatic ( 14 Inch ) 3     Grass</v>
          </cell>
        </row>
        <row r="40">
          <cell r="A40">
            <v>1998</v>
          </cell>
          <cell r="B40" t="str">
            <v>Shivani Katyal</v>
          </cell>
          <cell r="C40">
            <v>9811053756</v>
          </cell>
          <cell r="D40" t="str">
            <v>H. No. 1486, Sarsawati Kunj</v>
          </cell>
          <cell r="E40" t="str">
            <v>DLF Phase 5</v>
          </cell>
          <cell r="F40" t="str">
            <v>Thursday</v>
          </cell>
          <cell r="G40" t="str">
            <v>9:30 Am to 2 PM</v>
          </cell>
          <cell r="H40">
            <v>1950</v>
          </cell>
          <cell r="I40">
            <v>487.5</v>
          </cell>
          <cell r="J40" t="str">
            <v>Joy</v>
          </cell>
          <cell r="K40" t="str">
            <v>Rose//Orchid//Asiatic//Anthurium//Heliconia//BOP (28/10) NO Guldawari n Anthurium (09/02) Paytm From Manish K M K (08/09) Paytm from Manish Katyal // Gpay From Palak Katyal (22/03) No Glad Also (18/04) Couldn't deliver due to watrelogging--send on Sunday (29/08) Skip n send on sunday (01/10)</v>
          </cell>
          <cell r="L40" t="str">
            <v>GULDAWARI n ANTHURIUM n GLAD</v>
          </cell>
          <cell r="N40" t="str">
            <v>3  del of this cycle   -  0-cycles pmnt   CompletedNO COLLECTION-we have extra money - Collect -100</v>
          </cell>
          <cell r="O40" t="str">
            <v>Mix Alstroemeria ( 12 Inch ) 22     FF Sachet + Grass</v>
          </cell>
          <cell r="P40" t="str">
            <v>P n W Spray Daisy 7     FF Sachet + Grass</v>
          </cell>
          <cell r="Q40" t="str">
            <v>P Asiatic ( 14 Inch ) 4     Grass</v>
          </cell>
          <cell r="R40" t="str">
            <v>Rajni ( 14 Inch ) 22     Grass</v>
          </cell>
          <cell r="S40" t="str">
            <v>G n W Car ( 14 Inch ) 22     FF Sachet + Grass</v>
          </cell>
          <cell r="T40" t="str">
            <v>Mix Glad ( 14 Inch ) 22     Grass</v>
          </cell>
        </row>
        <row r="41">
          <cell r="A41">
            <v>20</v>
          </cell>
          <cell r="B41" t="str">
            <v>Mrs. Vandana Dutt Before 10</v>
          </cell>
          <cell r="C41">
            <v>9810771057</v>
          </cell>
          <cell r="D41" t="str">
            <v>15/002,South Close, Nirvana country</v>
          </cell>
          <cell r="E41" t="str">
            <v>Nirvana Country</v>
          </cell>
          <cell r="F41" t="str">
            <v>Thursday</v>
          </cell>
          <cell r="G41" t="str">
            <v>9 AM - 12 PM</v>
          </cell>
          <cell r="H41">
            <v>1450</v>
          </cell>
          <cell r="I41">
            <v>362.5</v>
          </cell>
          <cell r="J41" t="str">
            <v>Bliss</v>
          </cell>
          <cell r="K41" t="str">
            <v>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Dont snend tom -send on Monday (08/02) Had 350 Extra from pasyment of 2000 on 11th May, 250 adjusted, now have 100 extra with us(18/05) Sent replacement today (10/06) Spray Daisy -- white or Yellow and Glad white (06/09) 250 extra added against received walkin bouquet (12/09) Skip 1 week (13/10) Sending 1 Del today (22/10) Skip 2 week (19/05) Star from 19th (17/07) NO Flowers from 15th Aug to 29th Aug (27/07) Skip this 8th Del (02/08) Return today send tom (07/11) Skip 1 week (17/11) Skip 12th (09/12) Today returned (26/12) Skip 1 week (11/03) Skip 1 week (23/03) Skip 1 week (31/03) Today Returned (10/04) Today Returned (18/04) Skip 1 week (28/04) Skip 2 week (02/06) Hold , she will confirm (28/07) No delivery on 21st Aug (19/08) No flowers from 11th Sep to 25th Sep (05/09) Hold till 20th (10/11) Last cycle 950 was less received (06/11) Send one del tom (22/11) Skip 1 week (23/12) Skip 1 week (11/02) From Sunflower/Spray dausy/Eustoma (18/04) Hol dtill 15th July (30/06)</v>
          </cell>
          <cell r="M41" t="str">
            <v>From Sunflower/Spray dausy/Eustoma (18/04)</v>
          </cell>
          <cell r="N41" t="str">
            <v>3  del of this cycle   -  1-cycles pmnt   Pending - Collect 1450</v>
          </cell>
          <cell r="O41" t="e">
            <v>#N/A</v>
          </cell>
          <cell r="P41" t="str">
            <v>Mix Car 16     FF Sachet + Grass</v>
          </cell>
          <cell r="Q41" t="e">
            <v>#N/A</v>
          </cell>
          <cell r="R41" t="e">
            <v>#N/A</v>
          </cell>
          <cell r="S41" t="e">
            <v>#N/A</v>
          </cell>
          <cell r="T41" t="str">
            <v>G n W Car ( 14 inch ) 16     FF Sachet + Grass</v>
          </cell>
        </row>
        <row r="42">
          <cell r="A42">
            <v>3393</v>
          </cell>
          <cell r="B42" t="str">
            <v>Runul Vashishtha</v>
          </cell>
          <cell r="C42">
            <v>9871812384</v>
          </cell>
          <cell r="D42" t="str">
            <v>C-84, DLF Park Place, Park Drive, GCR</v>
          </cell>
          <cell r="E42" t="str">
            <v>Golf Course Road</v>
          </cell>
          <cell r="F42" t="str">
            <v>Thursday</v>
          </cell>
          <cell r="G42" t="str">
            <v>9 AM to 2 PM</v>
          </cell>
          <cell r="H42">
            <v>1450</v>
          </cell>
          <cell r="I42">
            <v>362.5</v>
          </cell>
          <cell r="J42" t="str">
            <v>Bliss</v>
          </cell>
          <cell r="N42" t="str">
            <v>4  del of this cycle   -  0-cycles pmnt   Completed - Collect 0</v>
          </cell>
          <cell r="O42" t="e">
            <v>#N/A</v>
          </cell>
          <cell r="P42" t="e">
            <v>#N/A</v>
          </cell>
          <cell r="Q42" t="str">
            <v>Pur n P Car ( 14 Inch ) 16     FF Sachet + Grass</v>
          </cell>
          <cell r="R42" t="str">
            <v>P Asiatic ( 14 Inch ) 3     Grass</v>
          </cell>
          <cell r="S42" t="str">
            <v>P n W Glad ( 14 Inch ) 16     Grass</v>
          </cell>
          <cell r="T42" t="str">
            <v>P n Y Spray Daisy ( 14 Inch ) 5     FF Sachet + Grass</v>
          </cell>
        </row>
        <row r="43">
          <cell r="A43">
            <v>2024</v>
          </cell>
          <cell r="B43" t="str">
            <v>Priyanka Katyal</v>
          </cell>
          <cell r="C43">
            <v>9958565556</v>
          </cell>
          <cell r="D43" t="str">
            <v>1487, Saraswati Kunj, Sector 53</v>
          </cell>
          <cell r="E43" t="str">
            <v>DLF Phase 5</v>
          </cell>
          <cell r="F43" t="str">
            <v>Thursday</v>
          </cell>
          <cell r="G43" t="str">
            <v>9 AM - 12 PM</v>
          </cell>
          <cell r="H43">
            <v>1950</v>
          </cell>
          <cell r="I43">
            <v>487.5</v>
          </cell>
          <cell r="J43" t="str">
            <v>Joy</v>
          </cell>
          <cell r="K43" t="str">
            <v>Sunday n Thursday//NO Oriental and Guldawari (29/12) Paytm From Sanjay Katyal (28/03) Hold till 8th June-- she will confirm the package (24/05)' Shift to felicity// Today hold --send tom (09/07) Lilies Tom (08/11) Paytm From Ace Promoters and Developers Pvt. Ltd (26/01) Send Replacement tom (17/02) Skip 1 week (10/07) Couldn't deliver due to water logging-send on sunday (29/08) Paytm from Sanjay Katyal (20/10) Skip 2 week (21/05) Hold till 13th Aiug (26/07) Premium Flwer extra Next (09/01)</v>
          </cell>
          <cell r="L43" t="str">
            <v>ORIENTAL n GULDAWARI</v>
          </cell>
          <cell r="M43" t="str">
            <v>Premium Flwer extra Next (09/01)</v>
          </cell>
          <cell r="N43" t="str">
            <v>2  del of this cycle   -   0 -cycles pmnt   Completed - Collect 0</v>
          </cell>
          <cell r="O43" t="str">
            <v>P n W Spray Daisy ( 14 Inch ) 7     FF Sachet + Grass</v>
          </cell>
          <cell r="P43" t="str">
            <v>O Asiatic ( 14 Inch ) 4     Grass</v>
          </cell>
          <cell r="Q43" t="str">
            <v>P n W Car ( 14 Inch ) 22     FF Sachet + Grass</v>
          </cell>
          <cell r="R43" t="str">
            <v>Rajni ( 14 Inch ) 22     Grass</v>
          </cell>
          <cell r="S43" t="str">
            <v>Mix Alstroemeria ( 12 Inch ) 22     FF Sachet + Grass</v>
          </cell>
          <cell r="T43" t="str">
            <v>Mix Glad ( 14 Inch ) 22     Grass</v>
          </cell>
        </row>
        <row r="44">
          <cell r="A44">
            <v>1978</v>
          </cell>
          <cell r="B44" t="str">
            <v>Anu-- After 6 PM</v>
          </cell>
          <cell r="C44" t="str">
            <v>98103 39602</v>
          </cell>
          <cell r="D44" t="str">
            <v xml:space="preserve">Tower 6, 901 Fresco </v>
          </cell>
          <cell r="E44" t="str">
            <v>Nirvana Country</v>
          </cell>
          <cell r="F44" t="str">
            <v>Thursday</v>
          </cell>
          <cell r="G44" t="str">
            <v>4 Pm to 7 PM</v>
          </cell>
          <cell r="H44">
            <v>4850</v>
          </cell>
          <cell r="I44">
            <v>606.25</v>
          </cell>
          <cell r="J44" t="str">
            <v>Poise</v>
          </cell>
          <cell r="K44"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44" t="str">
            <v>ROSE n RAJNI n HELICONIA n BOP</v>
          </cell>
          <cell r="M44" t="str">
            <v>after 6 pm on 19th (16/04)</v>
          </cell>
          <cell r="N44" t="str">
            <v>4  del of this cycle   -  0-cycles pmnt   Completed - Collect 0</v>
          </cell>
          <cell r="O44" t="str">
            <v>P Asiatic ( 14 Inch ) 2 Mix Alstroemeria ( 12 inch )  8 P n W Glad ( 14 Inch ) 8 Grass</v>
          </cell>
          <cell r="P44" t="str">
            <v>W Asiatic ( 14 Inch ) 2 P n Y Spray Daisy ( 14 Inch ) 4 Rajni ( 14 Inch ) 12 Grass</v>
          </cell>
          <cell r="Q44" t="str">
            <v>O Asiatic ( 14 Inch ) 2 Sunflower ( 12 Inch ) 4 Pur n P Car ( 14 Inch ) 12 Grass</v>
          </cell>
          <cell r="R44" t="str">
            <v>W Asiatic ( 14 Inch ) 2 Mix Alstroemeria ( 12 Inch ) 8 B Daisy 10 Grass</v>
          </cell>
          <cell r="S44" t="str">
            <v>P Asiatic ( 14 Inch ) 2 Sunflower 3 P n W  Car ( 14 Inch ) 12 Grass</v>
          </cell>
          <cell r="T44" t="str">
            <v>O Asiatic ( 14 Inch ) 2 P n Y Spray Daisy ( 14 Inch ) 4 Green n W  Car 12 Grass</v>
          </cell>
        </row>
        <row r="45">
          <cell r="A45">
            <v>14</v>
          </cell>
          <cell r="B45" t="str">
            <v>Ms. Neelam Bhalla </v>
          </cell>
          <cell r="C45">
            <v>9810546046</v>
          </cell>
          <cell r="D45" t="str">
            <v>H4, 4th Floor, Olive Residency, Mayfield Garden, Sec 57</v>
          </cell>
          <cell r="E45" t="str">
            <v>Artemis</v>
          </cell>
          <cell r="F45" t="str">
            <v>Thursday</v>
          </cell>
          <cell r="G45" t="str">
            <v>9 AM - 12 PM</v>
          </cell>
          <cell r="H45">
            <v>1950</v>
          </cell>
          <cell r="I45">
            <v>487.5</v>
          </cell>
          <cell r="J45" t="str">
            <v>Joy</v>
          </cell>
          <cell r="K45" t="str">
            <v>No Glad (19/05) Pls send Daisy in next del with Asiatic(11/12)  Orchids Next(26/06) Send Gerbera Next with Flower Food902/07)  Orchids next(21/11)  Oriental next(20/03) Y Spray Daisy tom(25/03) Only 1 kind of flowers now(20/05) S NO GLAD n BOP (30/12) Today returned-send tom (21/01) Skip 2 weeks (27/01) Send 1 Flower Food next (13/06) Skip 1 week (06/07) Skip 1 week (20/08) Aster in Del (19/10) Hold today -send tom (03/11) Skip 1 week (01/02) Skip 1 week (29/02) Hold till 1st July (15/06) Skip 1 week (24/07) Skip 29th (26/11) Skip tom (23/01) Skip tom (27/02) Skip 1 week (11/03) Skip 1 week (17/06) Skip 1 week (20/01) Skip 1 week (04/02) Skip thursday (24/02) Skip 1 week (16/06)</v>
          </cell>
          <cell r="L45" t="str">
            <v>GLAD n BOP n GERBERA</v>
          </cell>
          <cell r="N45" t="str">
            <v>2  del of this cycle   -  0-cycles pmnt   Completed - Collect 0</v>
          </cell>
          <cell r="O45" t="e">
            <v>#N/A</v>
          </cell>
          <cell r="P45" t="str">
            <v>Pur n P Eustoma ( 12 Inch ) 4     FF Sachet + Grass</v>
          </cell>
          <cell r="Q45" t="str">
            <v>Sunflower ( 12 Inch ) 5     FF Sachet + Grass</v>
          </cell>
          <cell r="R45" t="str">
            <v>Rajni ( 14 Inch ) 22     Grass</v>
          </cell>
          <cell r="S45" t="str">
            <v>G n W Car ( 14 Inch ) 22     FF Sachet + Grass</v>
          </cell>
          <cell r="T45" t="str">
            <v>W Asiatic 4     Grass</v>
          </cell>
        </row>
        <row r="46">
          <cell r="A46">
            <v>401</v>
          </cell>
          <cell r="B46" t="str">
            <v>Nameesha Verma -- Before 12PM</v>
          </cell>
          <cell r="C46">
            <v>9899240454</v>
          </cell>
          <cell r="D46" t="str">
            <v>D-4/102, Parsvanath Exotica</v>
          </cell>
          <cell r="E46" t="str">
            <v>DLF Phase 5</v>
          </cell>
          <cell r="F46" t="str">
            <v>Thursday</v>
          </cell>
          <cell r="G46" t="str">
            <v>Before 12 PM</v>
          </cell>
          <cell r="H46">
            <v>1600</v>
          </cell>
          <cell r="I46">
            <v>200</v>
          </cell>
          <cell r="J46" t="str">
            <v>Bloom</v>
          </cell>
          <cell r="K46"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46" t="str">
            <v>3 Car extra next (20/03)</v>
          </cell>
          <cell r="N46" t="str">
            <v>8  del of this cycle   -  0-cycles pmnt   Completed - Collect 0</v>
          </cell>
          <cell r="O46" t="str">
            <v>P Spray Daisy ( 14 Inch ) 2     FF Sachet + Grass</v>
          </cell>
          <cell r="P46" t="str">
            <v>Sunflower ( 12 Inch) 2     Grass</v>
          </cell>
          <cell r="Q46" t="str">
            <v>P n W Car ( 14 Inch ) 7    Collect Payment FF Sachet + Grass</v>
          </cell>
          <cell r="R46" t="str">
            <v>Mix Alstroemeria ( 12Inch ) 7     FF Sachet + Grass</v>
          </cell>
          <cell r="S46" t="str">
            <v>Rajni ( 14 Inch ) 7     Grass</v>
          </cell>
          <cell r="T46" t="str">
            <v>G n W Car ( 14 inch ) 7     FF Sachet + Grass</v>
          </cell>
        </row>
        <row r="47">
          <cell r="A47">
            <v>1319</v>
          </cell>
          <cell r="B47" t="str">
            <v>Mrs. Vandana Dutt Before 10</v>
          </cell>
          <cell r="C47">
            <v>9810771057</v>
          </cell>
          <cell r="D47" t="str">
            <v>15/002,South Close, Nirvana country</v>
          </cell>
          <cell r="E47" t="str">
            <v>Nirvana Country</v>
          </cell>
          <cell r="F47" t="str">
            <v>Thursday</v>
          </cell>
          <cell r="G47" t="str">
            <v>9 AM - 12 PM</v>
          </cell>
          <cell r="H47">
            <v>1950</v>
          </cell>
          <cell r="I47">
            <v>487.5</v>
          </cell>
          <cell r="J47" t="str">
            <v>Joy</v>
          </cell>
          <cell r="K47" t="str">
            <v>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No Flowers tom --send on Monday (08/02) Had 350 Extra from pasyment of 2000 on 11th May, 250 adjusted, now have 100 extra with us(18/05) Spray Daisy -- white or Yellow and Glad white (06/09) Skip 1 week (13/10) Sending 1 Del today (22/10) No Flowers till 4th Jan (17/12) Start from 19th (17/07) Hold till 5th Sep (14/08) Return today-send tom (07/11) Skip 1 week (17/11) Skip 12th (09/12) Today Returned (26/12) Skip 1 week (11/03) Skip 1 week (23/03) Skip 1 week (31/03) Today Returned (10/04) Today Returned (18/04) Skip 1 week (28/04) Skip 2 week (02/06) Hold she will confirm (28/07) Dont Send on 21st (19/08) No Flowers from 11th Sep to 25th Sep (05/09) Hold till 20th Oct (10/11) 1 Bouquet of Rajni on 31st and 500 gm Rose Petal on 8th Nov -- Total pf 1200 added (20/11) Send one delivery tom (22/11) Skip 1 week (23/12) Skip 1 week (1/02) From Sunflower/Spray dausy/Eustoma (18/04) Hold till 15th July (30/06)</v>
          </cell>
          <cell r="M47" t="str">
            <v>From Sunflower/Spray dausy/Eustoma (18/04)</v>
          </cell>
          <cell r="N47" t="str">
            <v>3  del of this cycle   -  1-cycles pmnt   Pending - Collect 1950</v>
          </cell>
          <cell r="O47" t="e">
            <v>#N/A</v>
          </cell>
          <cell r="P47" t="str">
            <v>P Asiatic 4     Grass</v>
          </cell>
          <cell r="Q47" t="e">
            <v>#N/A</v>
          </cell>
          <cell r="R47" t="e">
            <v>#N/A</v>
          </cell>
          <cell r="S47" t="e">
            <v>#N/A</v>
          </cell>
          <cell r="T47" t="str">
            <v>W Asiatic 4     Grass</v>
          </cell>
        </row>
        <row r="48">
          <cell r="A48">
            <v>849</v>
          </cell>
          <cell r="B48" t="str">
            <v>Shalini Sharma</v>
          </cell>
          <cell r="C48">
            <v>7838500808</v>
          </cell>
          <cell r="D48" t="str">
            <v>208, Espace</v>
          </cell>
          <cell r="E48" t="str">
            <v>Nirvana Country</v>
          </cell>
          <cell r="F48" t="str">
            <v>Thursday</v>
          </cell>
          <cell r="G48" t="str">
            <v>9:30 Am to 2 PM</v>
          </cell>
          <cell r="H48">
            <v>1450</v>
          </cell>
          <cell r="I48">
            <v>362.5</v>
          </cell>
          <cell r="J48" t="str">
            <v>Bliss</v>
          </cell>
          <cell r="K48" t="str">
            <v>W n R Car Tom(25/04)  GERBERA NEXT(16/09) NO ORCHIDS(24/01)  Sent a replacement today(17/04) Ros enext (26/11) NO GULDAWARI n ORCHIDS ()6/01) Skip 1 week (05/01) Replacement tom (12/02) Send Tom and skip 30th Mar (25/03) Replacement tom (06/07) Will Pick on 30th -- Dont Send on 02nd Nov (28/10) Send this week del on tuesday 925/01) Send W Asiatic on 11th this week instead of 15th Feb (08/02) Skip 1 week (14/03) Lilies Next (20/05) Hold after current cycle (04/12) Four plus 1 Pack //</v>
          </cell>
          <cell r="L48" t="str">
            <v>GULDAWARI n ORCHID</v>
          </cell>
          <cell r="M48" t="str">
            <v>Lilies Next (20/05)</v>
          </cell>
          <cell r="N48" t="str">
            <v>2  del of this cycle   -  0-cycles pmnt   Completed - Collect 0</v>
          </cell>
          <cell r="O48" t="str">
            <v>P n Y Spray Daisy ( 14 Inch ) 5     FF Sachet + Grass</v>
          </cell>
          <cell r="P48" t="str">
            <v>Pur n P Car ( 14 Inch ) 16  Collect Payment Collect Payment Collect Payment FF Sachet + Grass</v>
          </cell>
          <cell r="Q48" t="str">
            <v>Sunflower ( 12 Inch ) 4     FF Sachet + Grass</v>
          </cell>
          <cell r="R48" t="str">
            <v>Rajni ( 14 Inch ) 16     Grass</v>
          </cell>
          <cell r="S48" t="str">
            <v>O Asiatic ( 14 Inch ) 3     Grass</v>
          </cell>
          <cell r="T48" t="str">
            <v>Mix Glad ( 14 Inch ) 16     Grass</v>
          </cell>
        </row>
        <row r="49">
          <cell r="A49">
            <v>870</v>
          </cell>
          <cell r="B49" t="str">
            <v>Himabindu Kanchan</v>
          </cell>
          <cell r="C49">
            <v>9892501292</v>
          </cell>
          <cell r="D49" t="str">
            <v xml:space="preserve">D -13, Pinnacle Dlf Phase - 5 </v>
          </cell>
          <cell r="E49" t="str">
            <v>DLF Phase 5</v>
          </cell>
          <cell r="F49" t="str">
            <v>Thursday</v>
          </cell>
          <cell r="G49" t="str">
            <v>9 AM - 12 PM</v>
          </cell>
          <cell r="H49">
            <v>1600</v>
          </cell>
          <cell r="I49">
            <v>200</v>
          </cell>
          <cell r="J49" t="str">
            <v>Bloom</v>
          </cell>
          <cell r="K49"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49" t="str">
            <v>2  del of this cycle   -  1-cycles pmnt   Pending - Collect 1600</v>
          </cell>
          <cell r="O49" t="str">
            <v>Sunflower ( 12 Inch ) 2     FF Sachet + Grass</v>
          </cell>
          <cell r="P49" t="str">
            <v>Rajni ( 14 Inch ) 7     Grass</v>
          </cell>
          <cell r="Q49" t="str">
            <v>P n W Car ( 14 Inch ) 7     FF Sachet + Grass</v>
          </cell>
          <cell r="R49" t="str">
            <v>Y Spray Daisy ( 14 Inch ) 2     FF Sachet + Grass</v>
          </cell>
          <cell r="S49" t="str">
            <v>Sunflower ( 12 Inch ) 2     FF Sachet + Grass</v>
          </cell>
          <cell r="T49" t="str">
            <v>G n W Car ( 14 inch ) 7   Ensure Collection Ensure Collection FF Sachet + Grass</v>
          </cell>
        </row>
        <row r="50">
          <cell r="A50">
            <v>1455</v>
          </cell>
          <cell r="B50" t="str">
            <v>Gagan Ahluwalia</v>
          </cell>
          <cell r="C50">
            <v>9811105056</v>
          </cell>
          <cell r="D50" t="str">
            <v>C-82, The Summit</v>
          </cell>
          <cell r="E50" t="str">
            <v>Golf Course Road</v>
          </cell>
          <cell r="F50" t="str">
            <v>Thursday</v>
          </cell>
          <cell r="G50" t="str">
            <v>9 AM - 12 PM</v>
          </cell>
          <cell r="H50">
            <v>2300</v>
          </cell>
          <cell r="I50">
            <v>287.5</v>
          </cell>
          <cell r="J50" t="str">
            <v>Felicity</v>
          </cell>
          <cell r="K50"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50" t="str">
            <v>5  del of this cycle   -  0-cycles pmnt   Completed - Collect 0</v>
          </cell>
          <cell r="O50" t="str">
            <v>Pur n P Car ( 14 inch ) 11     FF Sachet + Grass</v>
          </cell>
          <cell r="P50" t="str">
            <v>P Spray Daisy ( 14 Inch ) 3     FF Sachet + Grass</v>
          </cell>
          <cell r="Q50" t="str">
            <v>Sunflower ( 12 Inch ) 3     FF Sachet + Grass</v>
          </cell>
          <cell r="R50" t="str">
            <v>P Asiatic ( 14 Inch ) 2     Grass</v>
          </cell>
          <cell r="S50" t="str">
            <v>Y Spray Daisy ( 14 Inch ) 3     FF Sachet + Grass</v>
          </cell>
          <cell r="T50" t="str">
            <v>Rajni ( 14 Inch ) 11     Grass</v>
          </cell>
        </row>
        <row r="51">
          <cell r="A51">
            <v>2868</v>
          </cell>
          <cell r="B51" t="str">
            <v>Group Captain Prabal Bir Singh</v>
          </cell>
          <cell r="C51">
            <v>7827468667</v>
          </cell>
          <cell r="D51" t="str">
            <v>603, Shivshakti CGHS, Plot-94, Near Ati Chowk</v>
          </cell>
          <cell r="E51" t="str">
            <v>DLF Phase 5</v>
          </cell>
          <cell r="F51" t="str">
            <v>Thursday</v>
          </cell>
          <cell r="G51" t="str">
            <v>9 AM to 2 PM</v>
          </cell>
          <cell r="H51">
            <v>1450</v>
          </cell>
          <cell r="I51">
            <v>362.5</v>
          </cell>
          <cell r="J51" t="str">
            <v>Bliss</v>
          </cell>
          <cell r="N51" t="str">
            <v>3  del of this cycle   -  0-cycles pmnt   Completed - Collect 0</v>
          </cell>
          <cell r="O51" t="str">
            <v>Sunflower ( 12 Inch ) 2     FF Sachet + Grass</v>
          </cell>
          <cell r="P51" t="str">
            <v>Rajni ( 14 Inch ) 9     Grass</v>
          </cell>
          <cell r="Q51" t="str">
            <v>P Asiatic ( 14 Inch ) 2     Grass</v>
          </cell>
          <cell r="R51" t="str">
            <v>P n W Car ( 14 Inch ) 16     FF Sachet + Grass</v>
          </cell>
          <cell r="S51" t="str">
            <v>P n Y Spray Daisy ( 14 Inch ) 5     FF Sachet + Grass</v>
          </cell>
          <cell r="T51" t="str">
            <v>Mix Glad ( 14 Inch ) 16     Grass</v>
          </cell>
        </row>
        <row r="52">
          <cell r="A52">
            <v>2569</v>
          </cell>
          <cell r="B52" t="str">
            <v>Mrs. Verma</v>
          </cell>
          <cell r="C52">
            <v>9971135993</v>
          </cell>
          <cell r="D52" t="str">
            <v>A1/192, 1st Floor, Sec 55, Sushant Lok-2, Near Orchid International School</v>
          </cell>
          <cell r="E52" t="str">
            <v>Sector 56</v>
          </cell>
          <cell r="F52" t="str">
            <v>Thursday</v>
          </cell>
          <cell r="G52" t="str">
            <v>9 AM - 12 PM</v>
          </cell>
          <cell r="H52">
            <v>1450</v>
          </cell>
          <cell r="I52">
            <v>362.5</v>
          </cell>
          <cell r="J52" t="str">
            <v>Bliss</v>
          </cell>
          <cell r="K52" t="str">
            <v>Return today (01/05) Return today (05/06) Send on Sunday This week (05/06) Upgrade to bliss from next cycle (20/09) Skip 1 week (04/02) Send Replacement tom of Asiatic Lily (16/04) Send Replacement tom (21/05) No Sunflower (21/05)</v>
          </cell>
          <cell r="L52" t="str">
            <v>Sunflower</v>
          </cell>
          <cell r="N52" t="str">
            <v>4  del of this cycle   -  0-cycles pmnt   CompletedNO COLLECTION-we have extra money - Collect -100</v>
          </cell>
          <cell r="O52" t="str">
            <v>Sunflower ( 12 Inch ) 2 P n W Glad ( 14 Inch ) 7   FF Sachet + Grass</v>
          </cell>
          <cell r="P52" t="str">
            <v>O Asiatic ( 14 Inch ) 2 B Daisy ( 12 Inch ) 7   Grass</v>
          </cell>
          <cell r="Q52" t="str">
            <v>P Spray Daisy ( 14 Inch ) 3 Rajni ( 14 Inch ) 7   FF Sachet + Grass</v>
          </cell>
          <cell r="R52" t="str">
            <v>Sunflower ( 12 Inch ) 2 P n W Car ( 14 Inch ) 7   FF Sachet + Grass</v>
          </cell>
          <cell r="S52" t="str">
            <v>P Asiatic ( 14 Inch ) 2 P n W Glad ( 14 Inch ) 7   Grass</v>
          </cell>
          <cell r="T52" t="str">
            <v>Sunflower ( 12 Inch ) 2 Mix Alstroemeria ( 12 Inch ) 7   Grass</v>
          </cell>
        </row>
        <row r="53">
          <cell r="A53">
            <v>58</v>
          </cell>
          <cell r="B53" t="str">
            <v>Ms. Anupma Chandna</v>
          </cell>
          <cell r="C53">
            <v>8130077970</v>
          </cell>
          <cell r="D53" t="str">
            <v>32, aspen greens, nirvana</v>
          </cell>
          <cell r="E53" t="str">
            <v>Nirvana Country</v>
          </cell>
          <cell r="F53" t="str">
            <v>Thursday</v>
          </cell>
          <cell r="G53" t="str">
            <v>9 AM - 12 PM</v>
          </cell>
          <cell r="H53">
            <v>1950</v>
          </cell>
          <cell r="I53">
            <v>487.5</v>
          </cell>
          <cell r="J53" t="str">
            <v>Joy</v>
          </cell>
          <cell r="K53" t="str">
            <v>No Rose // Hold n start from 04th Dec (03/11) No Greens</v>
          </cell>
          <cell r="L53" t="str">
            <v>Rose</v>
          </cell>
          <cell r="M53" t="str">
            <v>No Greens</v>
          </cell>
          <cell r="N53" t="str">
            <v>3  del of this cycle   -  0-cycles pmnt   Completed - Collect 30</v>
          </cell>
          <cell r="O53" t="str">
            <v>Sunflower ( 12 Inch ) 3 Pur n P Car ( 14 Inch ) 11   FF Sachet + Grass</v>
          </cell>
          <cell r="P53" t="str">
            <v>P Asiatic ( 14 Inch ) 2 B Daisy ( 12 Inch ) 11   Grass</v>
          </cell>
          <cell r="Q53" t="str">
            <v>P n Y Spray Daisy ( 14 Inch ) 5 Rajni ( 14 Inch ) 16   FF Sachet + Grass</v>
          </cell>
          <cell r="R53" t="str">
            <v>BOP ( 15 Inch ) 2 Mix Alstroemeria ( 12 Inch ) 11   FF Sachet + Grass</v>
          </cell>
          <cell r="S53" t="str">
            <v>O Asiatic ( 14 Inch ) 2 G n W Car ( 14 Inch ) 11   Grass</v>
          </cell>
          <cell r="T53" t="str">
            <v>Pur Eustoma ( 12 Inch ) 2 Mix Glad ( 14 Inch ) 11   FF Sachet + Grass</v>
          </cell>
        </row>
        <row r="54">
          <cell r="A54">
            <v>3247</v>
          </cell>
          <cell r="B54" t="str">
            <v>V P Singh</v>
          </cell>
          <cell r="C54">
            <v>9717986555</v>
          </cell>
          <cell r="D54" t="str">
            <v>WT04/701, Experion Windchantsm Sec 112</v>
          </cell>
          <cell r="E54" t="str">
            <v>Dwarka Expressway</v>
          </cell>
          <cell r="F54" t="str">
            <v>Thursday</v>
          </cell>
          <cell r="G54" t="str">
            <v>4 Pm to 7 PM</v>
          </cell>
          <cell r="H54">
            <v>1450</v>
          </cell>
          <cell r="I54">
            <v>362.5</v>
          </cell>
          <cell r="J54" t="str">
            <v>Bliss</v>
          </cell>
          <cell r="K54" t="str">
            <v>Paytm From Vijay Pratap Singh</v>
          </cell>
          <cell r="N54" t="str">
            <v>1  del of this cycle   -  0-cycles pmnt   Completed - Collect 0</v>
          </cell>
          <cell r="O54" t="str">
            <v>Sunflower ( 12 Inch ) 4 With Bouquet in Morning Pls With Bouquet in Morning Pls With Bouquet in Morning Pls  FF Sachet + Grass</v>
          </cell>
          <cell r="P54" t="str">
            <v>Pur Eustoma ( 12 Inch ) 3     FF Sachet + Grass</v>
          </cell>
          <cell r="Q54" t="str">
            <v>O Asiatic ( 14 Inch ) 3     Grass</v>
          </cell>
          <cell r="R54" t="str">
            <v>Rajni ( 14 Inch ) 16     Grass</v>
          </cell>
          <cell r="S54" t="str">
            <v>G n W Car ( 14 Inch ) 16     FF Sachet + Grass</v>
          </cell>
          <cell r="T54" t="str">
            <v>P n Y Spray Daisy ( 14 Inch ) 5     FF Sachet + Grass</v>
          </cell>
        </row>
        <row r="55">
          <cell r="A55">
            <v>3241</v>
          </cell>
          <cell r="B55" t="str">
            <v>Sunanda</v>
          </cell>
          <cell r="C55">
            <v>8800994226</v>
          </cell>
          <cell r="D55" t="str">
            <v>C-084, The Icon</v>
          </cell>
          <cell r="E55" t="str">
            <v>DLF Phase 5</v>
          </cell>
          <cell r="F55" t="str">
            <v>Thursday</v>
          </cell>
          <cell r="G55" t="str">
            <v>9 AM - 12 PM</v>
          </cell>
          <cell r="H55">
            <v>1450</v>
          </cell>
          <cell r="I55">
            <v>362.5</v>
          </cell>
          <cell r="J55" t="str">
            <v>Bliss</v>
          </cell>
          <cell r="K55" t="str">
            <v>One Kind // Skip 1 week (13/01) HDTNP (26/02) HDTNP (04/03) HDTNP (12/03)</v>
          </cell>
          <cell r="M55" t="str">
            <v>One Kind</v>
          </cell>
          <cell r="N55" t="str">
            <v>1  del of this cycle   -  1-cycles pmnt   Pending - Collect 1450</v>
          </cell>
          <cell r="O55" t="str">
            <v>Pur n P Car ( 14 inch ) 16     FF Sachet + Grass</v>
          </cell>
          <cell r="P55" t="str">
            <v>O Asiatic ( 14 Inch ) 3     Grass</v>
          </cell>
          <cell r="Q55" t="str">
            <v>Sunflower ( 12 Inch ) 4    Collect Payment FF Sachet + Grass</v>
          </cell>
          <cell r="R55" t="str">
            <v>Rajni ( 14 Inch ) 16     Grass</v>
          </cell>
          <cell r="S55" t="str">
            <v>P n Y Spray Daisy ( 14 Inch ) 5     FF Sachet + Grass</v>
          </cell>
          <cell r="T55" t="str">
            <v>Mix Glad ( 14 Inch ) 16     Grass</v>
          </cell>
        </row>
        <row r="56">
          <cell r="A56">
            <v>1656</v>
          </cell>
          <cell r="B56" t="str">
            <v>Eva-Pinnacle</v>
          </cell>
          <cell r="C56">
            <v>9560609907</v>
          </cell>
          <cell r="D56" t="str">
            <v>C-93, The Pinnacle</v>
          </cell>
          <cell r="E56" t="str">
            <v>DLF Phase 5</v>
          </cell>
          <cell r="F56" t="str">
            <v>Thursday</v>
          </cell>
          <cell r="G56" t="str">
            <v>9:30 Am to 2 PM</v>
          </cell>
          <cell r="H56">
            <v>1450</v>
          </cell>
          <cell r="I56">
            <v>362.5</v>
          </cell>
          <cell r="J56" t="str">
            <v>Bliss</v>
          </cell>
          <cell r="K56" t="str">
            <v>Paytm From Arvind Pachhapur(24/02) 750 pack-- Car//Guldawari//Rajni//Orchid//Asiatic(23/03) Hold today and send next6 week(14/04) Hold n start from 19th June(16/06) Skip 1 week (05/01) Received one more payment today (26/01) Payment was in process (20/03) Skip 1 week (28/06) Skip 1 week (29/06) Skip 3 week (21/05)</v>
          </cell>
          <cell r="N56" t="str">
            <v>3  del of this cycle   -  0-cycles pmnt   Completed - Collect 0</v>
          </cell>
          <cell r="O56" t="str">
            <v>Sunflower ( 12 Inch ) 2     FF Sachet + Grass</v>
          </cell>
          <cell r="P56" t="str">
            <v>Rajni ( 14 Inch ) 9     Grass</v>
          </cell>
          <cell r="Q56" t="str">
            <v>O Asiatic ( 14 Inch ) 2     Grass</v>
          </cell>
          <cell r="R56" t="e">
            <v>#N/A</v>
          </cell>
          <cell r="S56" t="str">
            <v>O Asiatic ( 14 Inch ) 3     Grass</v>
          </cell>
          <cell r="T56" t="str">
            <v>Mix Glad ( 14 Inch ) 16     Grass</v>
          </cell>
        </row>
        <row r="57">
          <cell r="A57">
            <v>396</v>
          </cell>
          <cell r="B57" t="str">
            <v>Dr. Deepa Gupta</v>
          </cell>
          <cell r="C57">
            <v>8860079525</v>
          </cell>
          <cell r="D57" t="str">
            <v>Mayom Hospital, D block south city 1</v>
          </cell>
          <cell r="E57" t="str">
            <v>South City 1</v>
          </cell>
          <cell r="F57" t="str">
            <v>Thursday</v>
          </cell>
          <cell r="G57" t="str">
            <v>4 PM to 7 PM</v>
          </cell>
          <cell r="H57">
            <v>1450</v>
          </cell>
          <cell r="I57">
            <v>362.5</v>
          </cell>
          <cell r="J57" t="str">
            <v>Corporate</v>
          </cell>
          <cell r="K57" t="str">
            <v>1 del Missed(07/10) Return-send next week(31/12) Send replacement of Gerbera(30/10) Send on Monday this week(20/03) Return- hold package(08/07) Today returned-send next week(02/06) HDTNP (19/02)</v>
          </cell>
          <cell r="N57" t="str">
            <v>4  del of this cycle   -  0-cycles pmnt   In Process - Collect 0</v>
          </cell>
          <cell r="O57" t="str">
            <v>Pur n P Car ( 14 inch ) 16     FF Sachet + Grass</v>
          </cell>
          <cell r="P57" t="str">
            <v>Rajni ( 14 Inch ) 16     Grass</v>
          </cell>
          <cell r="Q57" t="str">
            <v>P n W Glad ( 14 Inch ) 16     Grass</v>
          </cell>
          <cell r="R57" t="str">
            <v>P n W Car ( 14 Inch ) 16     FF Sachet + Grass</v>
          </cell>
          <cell r="S57" t="str">
            <v>Rajni ( 14 Inch ) 16     Grass</v>
          </cell>
          <cell r="T57" t="str">
            <v>B Daisy 10     Grass</v>
          </cell>
        </row>
        <row r="58">
          <cell r="A58">
            <v>237</v>
          </cell>
          <cell r="B58" t="str">
            <v>Mayom Hospital</v>
          </cell>
          <cell r="C58">
            <v>8860079525</v>
          </cell>
          <cell r="D58" t="str">
            <v>Mayom Hospital, D block south city 1</v>
          </cell>
          <cell r="H58">
            <v>3000</v>
          </cell>
          <cell r="I58">
            <v>375</v>
          </cell>
          <cell r="J58" t="str">
            <v>Corporate</v>
          </cell>
          <cell r="T58" t="str">
            <v>P n Y Spray Daisy ( 14 Inch )      FF Sachet + Grass</v>
          </cell>
        </row>
        <row r="59">
          <cell r="A59">
            <v>236</v>
          </cell>
          <cell r="B59" t="str">
            <v>Dr. Arti Gupta 1</v>
          </cell>
          <cell r="C59">
            <v>8860079525</v>
          </cell>
          <cell r="D59" t="str">
            <v>Mayom Hospital, D block south city 1</v>
          </cell>
          <cell r="E59" t="str">
            <v>South City 1</v>
          </cell>
          <cell r="F59" t="str">
            <v>Mondau</v>
          </cell>
          <cell r="G59" t="str">
            <v>9 AM - 12 PM</v>
          </cell>
          <cell r="H59">
            <v>1450</v>
          </cell>
          <cell r="I59">
            <v>362.5</v>
          </cell>
          <cell r="J59" t="str">
            <v>Corporate</v>
          </cell>
          <cell r="K59" t="str">
            <v>Pls send a replacement of Asiatic tomorrow(23/08)NO GERBERA(22/09) Start special Pack(13/04) Send Del on Monday this week(20/03) NEVER BUT DAISIES(29/10) Hold today (22/01) HDTNP (19/02) Sent one xtra del today (29/06) Hold today (09/07)</v>
          </cell>
          <cell r="N59" t="str">
            <v>1  del of this cycle   -  0-cycles pmnt   In Process - Collect 0</v>
          </cell>
          <cell r="O59" t="str">
            <v>P n W Glad ( 14 Inch ) 16     Grass</v>
          </cell>
          <cell r="P59" t="str">
            <v>Rajni ( 14 Inch ) 16     Grass</v>
          </cell>
          <cell r="Q59" t="str">
            <v>B Daisy ( 12 Inch ) 10     Grass</v>
          </cell>
          <cell r="R59" t="str">
            <v>P n W Car ( 14 Inch ) 16     FF Sachet + Grass</v>
          </cell>
          <cell r="S59" t="str">
            <v>Rajni ( 14 Inch ) 16     Grass</v>
          </cell>
          <cell r="T59" t="str">
            <v>B Daisy 10     Grass</v>
          </cell>
        </row>
        <row r="60">
          <cell r="A60">
            <v>3363</v>
          </cell>
          <cell r="B60" t="str">
            <v>Shipra Malhotra -- Same Flowers</v>
          </cell>
          <cell r="C60">
            <v>9819952391</v>
          </cell>
          <cell r="D60" t="str">
            <v>F-12, First Floor, Galacy Apartments</v>
          </cell>
          <cell r="E60" t="str">
            <v>DLF Phase 5</v>
          </cell>
          <cell r="F60" t="str">
            <v>Thursday</v>
          </cell>
          <cell r="G60" t="str">
            <v>3:30 PM to 7:30 PM</v>
          </cell>
          <cell r="H60">
            <v>1450</v>
          </cell>
          <cell r="I60">
            <v>362.5</v>
          </cell>
          <cell r="J60" t="str">
            <v>Bliss</v>
          </cell>
          <cell r="K60" t="str">
            <v>Same Flowers in her Both subscription</v>
          </cell>
          <cell r="M60" t="str">
            <v>Same Flowers in Both Pack (13/05)</v>
          </cell>
          <cell r="N60" t="str">
            <v>1  del of this cycle   -  0-cycles pmnt   Completed - Collect 0</v>
          </cell>
          <cell r="O60" t="e">
            <v>#N/A</v>
          </cell>
          <cell r="P60" t="e">
            <v>#N/A</v>
          </cell>
          <cell r="Q60" t="e">
            <v>#N/A</v>
          </cell>
          <cell r="R60" t="e">
            <v>#N/A</v>
          </cell>
          <cell r="S60" t="e">
            <v>#N/A</v>
          </cell>
          <cell r="T60" t="str">
            <v>G n W Car ( 14 inch ) 16     FF Sachet + Grass</v>
          </cell>
        </row>
        <row r="61">
          <cell r="A61">
            <v>3326</v>
          </cell>
          <cell r="B61" t="str">
            <v>Ms. Rani</v>
          </cell>
          <cell r="C61">
            <v>9313104941</v>
          </cell>
          <cell r="D61" t="str">
            <v>J-151, Park Place</v>
          </cell>
          <cell r="E61" t="str">
            <v>DLF Phase 5</v>
          </cell>
          <cell r="F61" t="str">
            <v>Thursday</v>
          </cell>
          <cell r="G61" t="str">
            <v>9 AM to 2 PM</v>
          </cell>
          <cell r="H61">
            <v>1450</v>
          </cell>
          <cell r="I61">
            <v>362.5</v>
          </cell>
          <cell r="J61" t="str">
            <v>Bliss</v>
          </cell>
          <cell r="K61" t="str">
            <v>Start From July (06/06)</v>
          </cell>
          <cell r="N61" t="str">
            <v>4  del of this cycle   -  0-cycles pmnt   Completed - Collect 0</v>
          </cell>
          <cell r="O61" t="e">
            <v>#N/A</v>
          </cell>
          <cell r="P61" t="e">
            <v>#N/A</v>
          </cell>
          <cell r="Q61" t="str">
            <v>Pur n P Car ( 14 Inch ) 16     FF Sachet + Grass</v>
          </cell>
          <cell r="R61" t="str">
            <v>W Asiatic ( 14 Inch ) 3   Collect Payment Collect Payment Grass</v>
          </cell>
          <cell r="S61" t="str">
            <v>P n W Glad ( 14 Inch ) 16     Grass</v>
          </cell>
          <cell r="T61" t="str">
            <v>P n Y Spray Daisy ( 14 Inch ) 5     FF Sachet + Grass</v>
          </cell>
        </row>
        <row r="62">
          <cell r="A62">
            <v>2779</v>
          </cell>
          <cell r="B62" t="str">
            <v>Riddhi Desai</v>
          </cell>
          <cell r="C62">
            <v>8130497969</v>
          </cell>
          <cell r="D62" t="str">
            <v>D-71, The Icon</v>
          </cell>
          <cell r="E62" t="str">
            <v>Golf Course Road</v>
          </cell>
          <cell r="F62" t="str">
            <v>Sunday</v>
          </cell>
          <cell r="G62" t="str">
            <v>9 AM to 2 PM</v>
          </cell>
          <cell r="H62">
            <v>1600</v>
          </cell>
          <cell r="I62">
            <v>200</v>
          </cell>
          <cell r="J62" t="str">
            <v>Bloom</v>
          </cell>
          <cell r="K62" t="str">
            <v>Send this week on Saturday (14/08) Skip 1 week (21/12) Hold till 2nd June (20/05)</v>
          </cell>
          <cell r="N62" t="str">
            <v>4  del of this cycle   -  0-cycles pmnt   Completed - Collect 0</v>
          </cell>
          <cell r="O62" t="str">
            <v>Sunflower ( 12 Inch ) 2     FF Sachet + Grass</v>
          </cell>
          <cell r="P62" t="str">
            <v>Rajni ( 14 Inch ) 7     Grass</v>
          </cell>
          <cell r="Q62" t="str">
            <v>Pur n P Car ( 14 Inch ) 7     FF Sachet + Grass</v>
          </cell>
          <cell r="R62" t="str">
            <v>P Spray Daisy ( 14 Inch ) 2     FF Sachet + Grass</v>
          </cell>
          <cell r="S62" t="str">
            <v>P n W Glad ( 14 Inch ) 7     Grass</v>
          </cell>
          <cell r="T62" t="str">
            <v>Rajni ( 14 Inch ) 7     Grass</v>
          </cell>
        </row>
        <row r="63">
          <cell r="A63">
            <v>894</v>
          </cell>
          <cell r="B63" t="str">
            <v>Dr. Roma Kumar</v>
          </cell>
          <cell r="C63" t="str">
            <v>98110 87708</v>
          </cell>
          <cell r="D63" t="str">
            <v>RT-181, Royalton Tower
Inside Princeton Estate
DLF City Phase-V
Gurgaon-122009
Haryana</v>
          </cell>
          <cell r="E63" t="str">
            <v>DLF Phase 5</v>
          </cell>
          <cell r="F63" t="str">
            <v>Thursday</v>
          </cell>
          <cell r="G63" t="str">
            <v>9 AM - 12 PM</v>
          </cell>
          <cell r="H63">
            <v>3000</v>
          </cell>
          <cell r="I63">
            <v>375</v>
          </cell>
          <cell r="J63" t="str">
            <v>Charm</v>
          </cell>
          <cell r="K63"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v>
          </cell>
          <cell r="L63" t="str">
            <v>ORCHID</v>
          </cell>
          <cell r="N63" t="str">
            <v>1  del of this cycle   -  1-cycles pmnt   Pending - Collect 3000</v>
          </cell>
          <cell r="O63" t="str">
            <v>P Asiatic ( 14 Inch ) 3     Grass</v>
          </cell>
          <cell r="P63" t="str">
            <v>Rajni ( 14 Inch ) 15     Grass</v>
          </cell>
          <cell r="Q63" t="str">
            <v>B Daisy ( 12 Inch ) 15     Grass</v>
          </cell>
          <cell r="R63" t="str">
            <v>G Anthurium 3     Grass</v>
          </cell>
          <cell r="S63" t="e">
            <v>#N/A</v>
          </cell>
          <cell r="T63" t="str">
            <v>Y Asiatic ( 14 inch ) 3     Grass</v>
          </cell>
        </row>
        <row r="64">
          <cell r="A64">
            <v>1098</v>
          </cell>
          <cell r="B64" t="str">
            <v>Rahul Sehgal</v>
          </cell>
          <cell r="C64">
            <v>9810022182</v>
          </cell>
          <cell r="D64" t="str">
            <v>418-A, Hamilton Court</v>
          </cell>
          <cell r="E64" t="str">
            <v>DLF Phase 4</v>
          </cell>
          <cell r="F64" t="str">
            <v>Thursday</v>
          </cell>
          <cell r="G64" t="str">
            <v>4 Pm to 7 PM</v>
          </cell>
          <cell r="H64">
            <v>1950</v>
          </cell>
          <cell r="I64">
            <v>487.5</v>
          </cell>
          <cell r="J64" t="str">
            <v>Joy</v>
          </cell>
          <cell r="K64" t="str">
            <v>P Glad First(02/09/20) Next Oriental and send only Glad/Oriental and asiatic(17/09/20)  Only Oriental and Gladioli(26/10) Now Send-- Glad // BOP + Guldawari // Oriental Lily// Heliconia(19/12) Send Glad tom -- No White(23/12) Send all flowesr now and mixed always but NO RAJNI(19/01) NO WHITE COLOR(04/03) NO BOP(21/03) NO ORCHID(02/04) Shift to Friday now(04/04) Sent 1 Flower Food today(06/06) Send on sat this week only(10/10) Y Chrysanthemum nextr and Lilies after that(23/10) NO HELICONIA(26/10) NO GERBERA(18/02) Skip thsi week(25/02) Day chang eto thursday evening slot(08/03) Do not count last delivery(20/03) Send replacement tomorrow (05/07)</v>
          </cell>
          <cell r="L64" t="str">
            <v>ROSE n RAJNI</v>
          </cell>
          <cell r="N64" t="str">
            <v>2  del of this cycle   -  0-cycles pmnt   Completed - Collect 0</v>
          </cell>
          <cell r="O64" t="str">
            <v>P n W Spray Daisy ( 14 Inch ) 7     FF Sachet + Grass</v>
          </cell>
          <cell r="P64" t="str">
            <v>O Asiatic ( 14 Inch ) 4     Grass</v>
          </cell>
          <cell r="Q64" t="str">
            <v>P n W Glad ( 14 Inch ) 22     Grass</v>
          </cell>
          <cell r="R64" t="str">
            <v>Mix Alstroemeria ( 12Inch ) 22     FF Sachet + Grass</v>
          </cell>
          <cell r="S64" t="str">
            <v>G n W Car ( 14 Inch ) 22     FF Sachet + Grass</v>
          </cell>
          <cell r="T64" t="str">
            <v>P n Y Spray Daisy ( 14 Inch ) 7     FF Sachet + Grass</v>
          </cell>
        </row>
        <row r="65">
          <cell r="A65">
            <v>2076</v>
          </cell>
          <cell r="B65" t="str">
            <v>Divya Jain Midas</v>
          </cell>
          <cell r="C65">
            <v>9910172233</v>
          </cell>
          <cell r="D65" t="str">
            <v>Midas Touch, 1st Floor, A Block, Nirvana Courtyard</v>
          </cell>
          <cell r="E65" t="str">
            <v>Nirvana Country</v>
          </cell>
          <cell r="F65" t="str">
            <v>Thursday</v>
          </cell>
          <cell r="G65" t="str">
            <v>9 AM - 12 PM</v>
          </cell>
          <cell r="H65">
            <v>1450</v>
          </cell>
          <cell r="I65">
            <v>362.5</v>
          </cell>
          <cell r="J65" t="str">
            <v>Bliss</v>
          </cell>
          <cell r="K65" t="str">
            <v>Sent replacement today (01/06) Send 1 Vase with next delivery (10/10) Send 1 Rassee Vase and Flowers tom (29/11) Sent 1 vase today (30/1) 1500 cash and 100 via paytm (07/01) One deliv sent today (26/02) Sent one del today (10/06) sent one del today (21/07) GMom Quiz Voucher Added (07/08) 1 Vase sent today (11/11) Send one del tom and with either rose or Car (02/12) Sent one del today (28/04)</v>
          </cell>
          <cell r="N65" t="str">
            <v>1  del of this cycle   -  1-cycles pmnt   Pending - Collect 1400</v>
          </cell>
          <cell r="O65" t="str">
            <v>Sunflower ( 12 Inch ) 4     FF Sachet + Grass</v>
          </cell>
          <cell r="P65" t="str">
            <v>Pur Eustoma ( 12 Inch ) 3     FF Sachet + Grass</v>
          </cell>
          <cell r="Q65" t="str">
            <v>O Asiatic ( 14 Inch ) 3     Grass</v>
          </cell>
          <cell r="R65" t="str">
            <v>Rajni ( 14 Inch ) 16     Grass</v>
          </cell>
          <cell r="S65" t="str">
            <v>G n W Car ( 14 Inch ) 16     FF Sachet + Grass</v>
          </cell>
          <cell r="T65" t="str">
            <v>P n Y Spray Daisy ( 14 Inch ) 5     FF Sachet + Grass</v>
          </cell>
        </row>
        <row r="66">
          <cell r="A66">
            <v>2294</v>
          </cell>
          <cell r="B66" t="str">
            <v>Sonal Verma</v>
          </cell>
          <cell r="C66">
            <v>9711499808</v>
          </cell>
          <cell r="D66" t="str">
            <v>H. No. 19, 1st Floor, Cedar Crest</v>
          </cell>
          <cell r="E66" t="str">
            <v>Nirvana Country</v>
          </cell>
          <cell r="F66" t="str">
            <v>Thursday</v>
          </cell>
          <cell r="G66" t="str">
            <v>9 AM - 12 PM</v>
          </cell>
          <cell r="H66">
            <v>1450</v>
          </cell>
          <cell r="I66">
            <v>362.5</v>
          </cell>
          <cell r="J66" t="str">
            <v>Bliss</v>
          </cell>
          <cell r="K66" t="str">
            <v>Skip 1 week (11/03) Skip 1 week (21/05) Pls skip 1 week (18/06) Sent one del today (10/12) Hold due to non payment (29/01) Hold due to non payment (04/02) HDTNP (19/02) HDTNP (26/02) HDTNP (21/05) HDTNP (28/05) HDTNP (04/06) HDTNP (11/06) HDTNP (18/06) HDTNP (25/06) HDTNP (02/07) Paytm From Sandeep Verma (09/07)</v>
          </cell>
          <cell r="N66" t="str">
            <v>4  del of this cycle   -  0-cycles pmnt   Completed - Collect 0</v>
          </cell>
          <cell r="O66" t="e">
            <v>#N/A</v>
          </cell>
          <cell r="P66" t="e">
            <v>#N/A</v>
          </cell>
          <cell r="Q66" t="str">
            <v xml:space="preserve">Collect Rs 725 Carry Reciept Book     </v>
          </cell>
          <cell r="R66" t="str">
            <v xml:space="preserve">Collect 725  Carry Receipt Bookl     </v>
          </cell>
          <cell r="S66" t="str">
            <v>G n W Car ( 14 Inch ) 16     FF Sachet + Grass</v>
          </cell>
          <cell r="T66" t="str">
            <v>Y Asiatic ( 14 inch ) 3     Grass</v>
          </cell>
        </row>
        <row r="67">
          <cell r="A67">
            <v>1140</v>
          </cell>
          <cell r="B67" t="str">
            <v>Nidhi Singh</v>
          </cell>
          <cell r="C67" t="str">
            <v>8383036664//9899389873</v>
          </cell>
          <cell r="D67" t="str">
            <v>D-8/3, Ground Floor DLF Exclusive Floors</v>
          </cell>
          <cell r="E67" t="str">
            <v>DLF Phase 5</v>
          </cell>
          <cell r="F67" t="str">
            <v>Thursday</v>
          </cell>
          <cell r="G67" t="str">
            <v>9 AM - 12 PM</v>
          </cell>
          <cell r="H67">
            <v>2300</v>
          </cell>
          <cell r="I67">
            <v>287.5</v>
          </cell>
          <cell r="J67" t="str">
            <v>Felicity</v>
          </cell>
          <cell r="K67"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67" t="str">
            <v>ROSE</v>
          </cell>
          <cell r="N67" t="str">
            <v>7  del of this cycle   -  0-cycles pmnt   Completed - Collect 0</v>
          </cell>
          <cell r="O67" t="str">
            <v>Rajni ( 14 Inch ) 11     Grass</v>
          </cell>
          <cell r="P67" t="str">
            <v>P n W Glad ( 14 Inch ) 11     Grass</v>
          </cell>
          <cell r="Q67" t="str">
            <v>Pur n P Car ( 14 Inch ) 11     FF Sachet + Grass</v>
          </cell>
          <cell r="R67" t="str">
            <v>Rajni ( 14 Inch ) 11     Grass</v>
          </cell>
          <cell r="S67" t="str">
            <v>P n W Glad ( 14 Inch ) 11     Grass</v>
          </cell>
          <cell r="T67" t="str">
            <v>Y Asiatic ( 14 inch ) 2     Grass</v>
          </cell>
        </row>
        <row r="68">
          <cell r="A68" t="str">
            <v>B56528</v>
          </cell>
          <cell r="B68" t="str">
            <v>Suhina Banga</v>
          </cell>
          <cell r="C68">
            <v>9810699839</v>
          </cell>
          <cell r="D68" t="str">
            <v>D1-903 Ireo Skyon, sector 60 gurgaon</v>
          </cell>
          <cell r="E68" t="str">
            <v>Ghata</v>
          </cell>
          <cell r="F68" t="str">
            <v>Thursday</v>
          </cell>
          <cell r="G68" t="str">
            <v>By 9:30 AM</v>
          </cell>
          <cell r="H68">
            <v>2500</v>
          </cell>
          <cell r="I68">
            <v>2500</v>
          </cell>
          <cell r="J68" t="str">
            <v>Bouquet</v>
          </cell>
          <cell r="K68" t="str">
            <v>From Raunak Banga // Happy Birthday Suhina</v>
          </cell>
          <cell r="N68" t="str">
            <v>1  del of this cycle   -  0-cycles pmnt   In Process - Collect 0</v>
          </cell>
          <cell r="O68" t="e">
            <v>#N/A</v>
          </cell>
          <cell r="P68" t="e">
            <v>#N/A</v>
          </cell>
          <cell r="Q68" t="e">
            <v>#N/A</v>
          </cell>
          <cell r="R68" t="e">
            <v>#N/A</v>
          </cell>
          <cell r="S68" t="e">
            <v>#N/A</v>
          </cell>
          <cell r="T68" t="str">
            <v xml:space="preserve">Semi Bloom P n W Oriental + P n W Car + Y Spray Daisy 4 + 15 + 5 Single Wrap Message   </v>
          </cell>
        </row>
        <row r="69">
          <cell r="A69">
            <v>484</v>
          </cell>
          <cell r="B69" t="str">
            <v>Deepti Chhabra</v>
          </cell>
          <cell r="C69">
            <v>9811230451</v>
          </cell>
          <cell r="D69" t="str">
            <v>A-061, Westend Heights</v>
          </cell>
          <cell r="E69" t="str">
            <v>DLF Phase 5</v>
          </cell>
          <cell r="F69" t="str">
            <v>Thursday</v>
          </cell>
          <cell r="G69" t="str">
            <v>4 PM to 7PM</v>
          </cell>
          <cell r="H69">
            <v>1950</v>
          </cell>
          <cell r="I69">
            <v>487.5</v>
          </cell>
          <cell r="J69" t="str">
            <v>Joy</v>
          </cell>
          <cell r="K69" t="str">
            <v>Sat to Thursday//Hold n start from 23rd Nov(31/10) Add changed(01/02) Paytm from Vishal Chabra(22/02) Send Replacement(03/03) Skip this week(18/03) Skip next del(14/06) 1 stick extra next Del(12/07 FF Sold Today(19/07) Send rajni Tom(02/08) Send FF Next(13/09) Next Asiatic n 2 sticks extra(25/09) Rajni Next(05/12) Skip 1 week(20/12) Hold-send tom(14/02) Upgraded to 1250, send remaining 5 sticks tom(04/09) Skip1 week(05/11) Skip 1 week(18/11)  Hold today and skip 1 week(11/12) Skip 1 week(20/03) Sent replacement today(08/04) Skip 2 weeks(21/06) Skip 1 week (09/11) Skip 1 more week (16/11) NO ROSE (29/12) Send replacemet tom (08/04) Pink n green Spray Car Tom (03/05) Skip 2 weeks (01/06) Skip 1 week (23/10) Skip 1 week (15/11) Today hold (11/01) Skip 1 week (16/03) Skip 2 week (22/10) Paytm from Arti Lakra (17/01) Skip 1 week(12/04) Skip 1 week912/04) Yesterday Returned (24/10) Skip tom (07/01) Hold due to non payment (04/02) Skip 2 week (16/05) Hod n start from July (04/06)</v>
          </cell>
          <cell r="L69" t="str">
            <v>ROSE</v>
          </cell>
          <cell r="N69" t="str">
            <v>4  del of this cycle   -  0-cycles pmnt   Completed - Collect 0</v>
          </cell>
          <cell r="O69" t="e">
            <v>#N/A</v>
          </cell>
          <cell r="P69" t="e">
            <v>#N/A</v>
          </cell>
          <cell r="Q69" t="str">
            <v>Pur n P Car ( 14 Inch ) 22     FF Sachet + Grass</v>
          </cell>
          <cell r="R69" t="str">
            <v>Rajni ( 14 Inch ) 22   Collect Payment Collect Payment Grass</v>
          </cell>
          <cell r="S69" t="str">
            <v>O Asiatic ( 14 Inch ) 4     Grass</v>
          </cell>
          <cell r="T69" t="str">
            <v>P n Y Spray Daisy ( 14 Inch ) 7     FF Sachet + Grass</v>
          </cell>
        </row>
        <row r="70">
          <cell r="A70">
            <v>2406</v>
          </cell>
          <cell r="B70" t="str">
            <v>Vermeen Kapoor</v>
          </cell>
          <cell r="C70">
            <v>9873458198</v>
          </cell>
          <cell r="D70" t="str">
            <v>B-59, South City 2</v>
          </cell>
          <cell r="E70" t="str">
            <v>Nirvana Country</v>
          </cell>
          <cell r="F70" t="str">
            <v>Thursday</v>
          </cell>
          <cell r="G70" t="str">
            <v>9:30 Am to 2 PM</v>
          </cell>
          <cell r="H70">
            <v>1450</v>
          </cell>
          <cell r="I70">
            <v>362.5</v>
          </cell>
          <cell r="J70" t="str">
            <v>Bliss</v>
          </cell>
          <cell r="K70" t="str">
            <v>Referred by Swati Khandelwal?/ Mixed Flowers // Send replace,ent tom (19/02) Day Changed to Thursday (08/04) today returned-send tom (24/07)</v>
          </cell>
          <cell r="M70" t="str">
            <v>Mixed Flowers</v>
          </cell>
          <cell r="N70" t="str">
            <v>1  del of this cycle   -  0-cycles pmnt   Completed - Collect 0</v>
          </cell>
          <cell r="O70" t="str">
            <v>Sunflower ( 12 Inch ) 2 P n W Glad ( 14 Inch ) 7   FF Sachet + Grass</v>
          </cell>
          <cell r="P70" t="str">
            <v>P Asiatic ( 14 Inch ) 2 B Daisy ( 12 Inch ) 7   Grass</v>
          </cell>
          <cell r="Q70" t="str">
            <v>P Spray Daisy ( 14 Inch ) 3 Rajni ( 14 Inch ) 7   FF Sachet + Grass</v>
          </cell>
          <cell r="R70" t="str">
            <v>Sunflower ( 12 Inch ) 2 P n W Car ( 14 Inch ) 7   FF Sachet + Grass</v>
          </cell>
          <cell r="S70" t="str">
            <v>O Asiatic ( 14 Inch ) 2 P n W Glad ( 14 Inch ) 7   Grass</v>
          </cell>
          <cell r="T70" t="str">
            <v>Pur Eustoma ( 12 Inch ) 2 Mix Alstroemeria ( 12 Inch ) 7   FF Sachet + Grass</v>
          </cell>
        </row>
        <row r="71">
          <cell r="A71">
            <v>61</v>
          </cell>
          <cell r="B71" t="str">
            <v>Megha Manchanda -- Bliss Pack</v>
          </cell>
          <cell r="C71">
            <v>9871919500</v>
          </cell>
          <cell r="D71" t="str">
            <v>T-3/302, Unitech Harmony</v>
          </cell>
          <cell r="E71" t="str">
            <v>Nirvana Country</v>
          </cell>
          <cell r="F71" t="str">
            <v>Thursday</v>
          </cell>
          <cell r="G71" t="str">
            <v>9 AM - 12 PM</v>
          </cell>
          <cell r="H71">
            <v>1450</v>
          </cell>
          <cell r="I71">
            <v>362.5</v>
          </cell>
          <cell r="J71" t="str">
            <v>Bliss</v>
          </cell>
          <cell r="K71" t="str">
            <v>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v>
          </cell>
          <cell r="N71" t="str">
            <v>3  del of this cycle   -  0-cycles pmnt   Completed - Collect 0</v>
          </cell>
          <cell r="O71" t="str">
            <v>Sunflower ( 12 Inch ) 2     FF Sachet + Grass</v>
          </cell>
          <cell r="P71" t="e">
            <v>#N/A</v>
          </cell>
          <cell r="Q71" t="str">
            <v>Rajni ( 14 Inch ) 9     Grass</v>
          </cell>
          <cell r="R71" t="str">
            <v>P Asiatic ( 14 Inch ) 3     Grass</v>
          </cell>
          <cell r="S71" t="str">
            <v>G n W Car ( 14 Inch ) 16     FF Sachet + Grass</v>
          </cell>
          <cell r="T71" t="str">
            <v>P n Y Spray Daisy ( 14 Inch ) 5     FF Sachet + Grass</v>
          </cell>
        </row>
        <row r="72">
          <cell r="A72">
            <v>2205</v>
          </cell>
          <cell r="B72" t="str">
            <v>Shubhra Gupta</v>
          </cell>
          <cell r="C72">
            <v>9811981626</v>
          </cell>
          <cell r="D72" t="str">
            <v>ES-245, Espace</v>
          </cell>
          <cell r="E72" t="str">
            <v>Nirvana Country</v>
          </cell>
          <cell r="F72" t="str">
            <v>Thursday</v>
          </cell>
          <cell r="G72" t="str">
            <v>9 AM - 12 PM</v>
          </cell>
          <cell r="H72">
            <v>1450</v>
          </cell>
          <cell r="I72">
            <v>362.5</v>
          </cell>
          <cell r="J72" t="str">
            <v>Bliss</v>
          </cell>
          <cell r="K72" t="str">
            <v>Paytm From 9811656524 // No Orchids // Skip 1 week (01/10) Same flowers from last  2weeks, pls Check (06/11) Paytm from Gaurav Gupta (0703)</v>
          </cell>
          <cell r="L72" t="str">
            <v>ORCHID</v>
          </cell>
          <cell r="M72" t="str">
            <v>Same Flowers from 2 week, Pls Check (06/11)</v>
          </cell>
          <cell r="N72" t="str">
            <v>4  del of this cycle   -  0-cycles pmnt   Completed - Collect 0</v>
          </cell>
          <cell r="O72" t="str">
            <v>P n W Spray Daisy ( 14 Inch ) 5     FF Sachet + Grass</v>
          </cell>
          <cell r="P72" t="str">
            <v>B Daisy ( 12 Inch ) 16     Grass</v>
          </cell>
          <cell r="Q72" t="str">
            <v>P Asiatic ( 14 Inch ) 3     Grass</v>
          </cell>
          <cell r="R72" t="str">
            <v>Rajni ( 14 Inch ) 16     Grass</v>
          </cell>
          <cell r="S72" t="str">
            <v>G n W Car ( 14 Inch ) 16     FF Sachet + Grass</v>
          </cell>
          <cell r="T72" t="str">
            <v>Mix Glad ( 14 Inch ) 16     Grass</v>
          </cell>
        </row>
        <row r="73">
          <cell r="A73">
            <v>2684</v>
          </cell>
          <cell r="B73" t="str">
            <v>Meenakshi Bhatia</v>
          </cell>
          <cell r="C73">
            <v>9958428097</v>
          </cell>
          <cell r="D73" t="str">
            <v>T-E/244, The Crest</v>
          </cell>
          <cell r="E73" t="str">
            <v>Golf Course Road</v>
          </cell>
          <cell r="F73" t="str">
            <v>Thursday</v>
          </cell>
          <cell r="G73" t="str">
            <v>9 AM - 12 PM</v>
          </cell>
          <cell r="H73">
            <v>2750</v>
          </cell>
          <cell r="I73">
            <v>687.5</v>
          </cell>
          <cell r="J73" t="str">
            <v>Elation</v>
          </cell>
          <cell r="K73" t="str">
            <v>Hold she will confirm (17/05) Send on Sunday this week (23/05) Next Del on Sunday (29/05) 1 Spray daisy next (22/06) Send anthurium n BOP too (19/07) Skip 1 week (02/08) Skip 1 week and confirm before sending (24/08) Change day to Thursday (25/10) Today Hold (06/11) Send del on sunday and then from 18th (12/12) Skip 1 week (07/04)</v>
          </cell>
          <cell r="M73" t="str">
            <v>Send BOP and Anthuriums too (10/07) Chcek before sending (24/08)</v>
          </cell>
          <cell r="N73" t="str">
            <v>4  del of this cycle   -  0-cycles pmnt   Completed - Collect 0</v>
          </cell>
          <cell r="O73" t="str">
            <v xml:space="preserve">O Asiatic ( 14 Inch ) 3 P n W Glad ( 14 Inch ) 16   2 Gypsola </v>
          </cell>
          <cell r="P73" t="str">
            <v>P n Y Spray Daisy ( 14 Inch ) 4 B Daisy ( 12 Inch ) 16   2 Limonium + FF Sachet</v>
          </cell>
          <cell r="Q73" t="e">
            <v>#N/A</v>
          </cell>
          <cell r="R73" t="e">
            <v>#N/A</v>
          </cell>
          <cell r="S73" t="e">
            <v>#N/A</v>
          </cell>
          <cell r="T73" t="str">
            <v>Y Asiatic ( 14 inch ) 3 G n W Car ( 14 Inch ) 16   2 Gypsola</v>
          </cell>
        </row>
        <row r="74">
          <cell r="A74">
            <v>2716</v>
          </cell>
          <cell r="B74" t="str">
            <v>Simmi Chopra</v>
          </cell>
          <cell r="C74">
            <v>9891744488</v>
          </cell>
          <cell r="D74" t="str">
            <v>B/145, Suncity, Golf Course Road</v>
          </cell>
          <cell r="E74" t="str">
            <v>Golf Course Road</v>
          </cell>
          <cell r="F74" t="str">
            <v>Thursday</v>
          </cell>
          <cell r="G74" t="str">
            <v>9 AM - 12 PM</v>
          </cell>
          <cell r="H74">
            <v>2750</v>
          </cell>
          <cell r="I74">
            <v>687.5</v>
          </cell>
          <cell r="J74" t="str">
            <v>Elation</v>
          </cell>
          <cell r="K74" t="str">
            <v>Upgrade to Elation (27/08) Send 10 B daisy next extra (04/10) Today Hold (04/12) Send one Del Tom (30/12)</v>
          </cell>
          <cell r="M74" t="str">
            <v>Send on del tom and no del on 1st Jan (30/12)</v>
          </cell>
          <cell r="N74" t="str">
            <v>1  del of this cycle   -  1-cycles pmnt   Pending - Collect 2750</v>
          </cell>
          <cell r="O74" t="str">
            <v xml:space="preserve">P Asiatic ( 14 Inch ) 3 P n W Glad ( 14 Inch ) 16   2 Gypsola </v>
          </cell>
          <cell r="P74" t="str">
            <v>Pur n P Eustoma ( 12 Inch ) 4 Pur n P Car ( 14 Inch ) 16   2 Limonium + FF Sachet</v>
          </cell>
          <cell r="Q74" t="str">
            <v xml:space="preserve">P n W Spray Daisy ( 14 Inch ) 5 Rajni ( 14 Inch ) 16   2 Gypsola + FF Sachet </v>
          </cell>
          <cell r="R74" t="str">
            <v>Sunflower ( 12 Inch ) 4 Mix Alstroemeria ( 12 Inch ) 16   2 Limonium + FF Sachet</v>
          </cell>
          <cell r="S74" t="str">
            <v>O Asiatic ( 14 Inch ) 3 P n W Glad ( 14 Inch ) 16   2 Gypsola</v>
          </cell>
          <cell r="T74" t="str">
            <v>Pur n P Eustoma ( 12 Inch ) 4 G n W Car ( 14 Inch ) 16   2 Limonium + FF Sachet</v>
          </cell>
        </row>
        <row r="75">
          <cell r="A75">
            <v>3364</v>
          </cell>
          <cell r="B75" t="str">
            <v>Shipra Malhotra -- Same Flowers</v>
          </cell>
          <cell r="C75">
            <v>9819952391</v>
          </cell>
          <cell r="D75" t="str">
            <v>F-12, First Floor, Galacy Apartments</v>
          </cell>
          <cell r="E75" t="str">
            <v>DLF Phase 5</v>
          </cell>
          <cell r="F75" t="str">
            <v>Sunday</v>
          </cell>
          <cell r="G75" t="str">
            <v>3:30 PM to 7:30 PM</v>
          </cell>
          <cell r="H75">
            <v>1450</v>
          </cell>
          <cell r="I75">
            <v>362.5</v>
          </cell>
          <cell r="J75" t="str">
            <v>Bliss</v>
          </cell>
          <cell r="K75" t="str">
            <v>Same Flowers in her Both subscription // Skip 1 week and next week send after 5 PM (17/06)</v>
          </cell>
          <cell r="M75" t="str">
            <v>After 5 PM on 28th (17/06)</v>
          </cell>
          <cell r="N75" t="str">
            <v>1  del of this cycle   -  0-cycles pmnt   Completed - Collect 0</v>
          </cell>
          <cell r="O75" t="e">
            <v>#N/A</v>
          </cell>
          <cell r="P75" t="e">
            <v>#N/A</v>
          </cell>
          <cell r="Q75" t="e">
            <v>#N/A</v>
          </cell>
          <cell r="R75" t="e">
            <v>#N/A</v>
          </cell>
          <cell r="S75" t="e">
            <v>#N/A</v>
          </cell>
          <cell r="T75" t="str">
            <v>G n W Car ( 14 inch ) 16     FF Sachet + Grass</v>
          </cell>
        </row>
        <row r="76">
          <cell r="A76">
            <v>826</v>
          </cell>
          <cell r="B76" t="str">
            <v>Anuradha M Agarwal</v>
          </cell>
          <cell r="C76">
            <v>9811201606</v>
          </cell>
          <cell r="D76" t="str">
            <v>A-82, Westend Heights</v>
          </cell>
          <cell r="E76" t="str">
            <v>DLF Phase 5</v>
          </cell>
          <cell r="F76" t="str">
            <v>Thursday</v>
          </cell>
          <cell r="G76" t="str">
            <v>9 AM to 2 PM</v>
          </cell>
          <cell r="H76">
            <v>1450</v>
          </cell>
          <cell r="I76">
            <v>362.5</v>
          </cell>
          <cell r="J76" t="str">
            <v>Bliss</v>
          </cell>
          <cell r="K76" t="str">
            <v>Sending on 20th instaed of 21st,bcoz of Holi(18/03) This Cycle flowers -- Lilies / Orchids / Carnations/Gladioli(07/04) Orchid Next(25/04) Skip 2 week(11/06) Send on Friday this week(12/08) NO ORCHID, today returned-send glad tom(22/08)ASIATIC AND  ORCHID ONCE A CYCLE WITHOUT PLASTIC CAP(22/12) Returned-send Tom(16/01) Day chenged to saturday n ORCHID NEXT(18/01) Do not consider this week del and AVOID YELLOW COLOR FOR SOME WEEK, Send Orchid Next(23/02) Orchid next (27/05) Orchid next (09/06) Hold after current cycle (09/06) Return today (10/10) Skip 1 week (25/10) Skip this thursday (16/02) Skip 1 week (23/03) Today Returned and skip next week Laos (14/08) Skip 2 week (11/10) Skip 2 week (21/12)</v>
          </cell>
          <cell r="N76" t="str">
            <v>2  del of this cycle   -  0-cycles pmnt   Completed - Collect 0</v>
          </cell>
          <cell r="O76" t="str">
            <v>O Asiatic ( 14 Inch ) 3     Grass</v>
          </cell>
          <cell r="P76" t="str">
            <v>B Daisy ( 12 Inch ) 9     Grass</v>
          </cell>
          <cell r="Q76" t="str">
            <v>P n W Car ( 14 Inch ) 9     FF Sachet + Grass</v>
          </cell>
          <cell r="R76" t="str">
            <v>Rajni ( 14 Inch ) 9     Grass</v>
          </cell>
          <cell r="S76" t="str">
            <v>P n Y Spray Daisy ( 14 Inch ) 5     FF Sachet + Grass</v>
          </cell>
          <cell r="T76" t="str">
            <v>Mix Glad ( 14 Inch ) 16     Grass</v>
          </cell>
        </row>
        <row r="77">
          <cell r="A77">
            <v>366</v>
          </cell>
          <cell r="B77" t="str">
            <v>Dr. Arti Gupta 1</v>
          </cell>
          <cell r="C77">
            <v>8860079525</v>
          </cell>
          <cell r="D77" t="str">
            <v>Mayom Hospital, D block south city 1</v>
          </cell>
          <cell r="E77" t="str">
            <v>South City 1</v>
          </cell>
          <cell r="F77" t="str">
            <v>Monday</v>
          </cell>
          <cell r="G77" t="str">
            <v>9 AM - 12 PM</v>
          </cell>
          <cell r="H77">
            <v>1450</v>
          </cell>
          <cell r="I77">
            <v>362.5</v>
          </cell>
          <cell r="J77" t="str">
            <v>Corporate</v>
          </cell>
          <cell r="K77" t="str">
            <v>NO GERBERA(22/09)Start special Pack(13/04) Extend 1 ddlivery as we are sending 1 Nargis Today(22/12) Send Del on Monday this week(20/03) Send Replacemenmt of Car(20/09/20) NEVER BUT DAISIES(29/10) Spray daisy Next(03/03) Sent Replacement today(01/08) Hold today (22/01) HDTNP (19/02) Sent one extra del today (29/06) Hold today (09/07)</v>
          </cell>
          <cell r="N77" t="str">
            <v>1  del of this cycle   -  0-cycles pmnt   In Process - Collect 0</v>
          </cell>
          <cell r="O77" t="str">
            <v>O Asiatic ( 14 Inch ) 3     Grass</v>
          </cell>
          <cell r="P77" t="str">
            <v>Pur Eustoma ( 12 Inch ) 3     FF Sachet + Grass</v>
          </cell>
          <cell r="Q77" t="str">
            <v>P Asiatic ( 14 Inch ) 3     Grass</v>
          </cell>
          <cell r="R77" t="str">
            <v>W Asiatic ( 14 Inch ) 3     Grass</v>
          </cell>
          <cell r="S77" t="str">
            <v>O Asiatic ( 14 Inch ) 3     Grass</v>
          </cell>
          <cell r="T77" t="str">
            <v>Y Asiatic ( 14 inch ) 3     Grass</v>
          </cell>
        </row>
        <row r="78">
          <cell r="A78">
            <v>949</v>
          </cell>
          <cell r="B78" t="str">
            <v>Meenu Amrith-- Evening Only</v>
          </cell>
          <cell r="C78">
            <v>9891350735</v>
          </cell>
          <cell r="D78" t="str">
            <v>H. No. 579, Ground Floor,Near Dell-- Sec-43</v>
          </cell>
          <cell r="E78" t="str">
            <v>DLF Phase 5</v>
          </cell>
          <cell r="F78" t="str">
            <v>Thursday</v>
          </cell>
          <cell r="G78" t="str">
            <v>10 AM to 2:30 PM</v>
          </cell>
          <cell r="H78">
            <v>1450</v>
          </cell>
          <cell r="I78">
            <v>362.5</v>
          </cell>
          <cell r="J78" t="str">
            <v>Bliss</v>
          </cell>
          <cell r="K78" t="str">
            <v>Sunday to Thurs//Skip next week(21/01) Skip 1 week(12/02) Hold n start from 1st week of May(06/03) Pls start from coming Tuesday(14/03)  Send Sunday Del on Sat This week(12/11) Skip 1 week(29/01) today hold and skip 1 more week(27/02) Start from 24th Mar(08/03) Hold n start from 16th June(18/05) Hold 3 Weeks(13/07) she saying that 10th Del Not received(11/11) Not avaible till 25th (14/11) Hold today(19/01) Skip 2 weeks (22/02) Skip 2 weeks (26/06) Hold n start after 15th Sep (18/08) Skip Tom (28/02) Hold n start from 13th June (24/05) Skip 1 week (23/07) Skip 1 week (04/12) Skip 1 week (12/03) Skip 1 week (18/01) Skip 1 weeek (13/05)</v>
          </cell>
          <cell r="N78" t="str">
            <v>2  del of this cycle   -  0-cycles pmnt   Completed - Collect 0</v>
          </cell>
          <cell r="O78" t="str">
            <v>Pur n P Car ( 14 inch ) 16     FF Sachet + Grass</v>
          </cell>
          <cell r="P78" t="str">
            <v>Pur Eustoma ( 12 Inch ) 3     FF Sachet + Grass</v>
          </cell>
          <cell r="Q78" t="str">
            <v>P n W Glad ( 14 Inch ) 16     Grass</v>
          </cell>
          <cell r="R78" t="str">
            <v>Sunflower ( 12 Inch ) 4     FF Sachet + Grass</v>
          </cell>
          <cell r="S78" t="str">
            <v>O Asiatic ( 14 Inch ) 3     Grass</v>
          </cell>
          <cell r="T78" t="str">
            <v>G n W Car ( 14 inch ) 16     FF Sachet + Grass</v>
          </cell>
        </row>
        <row r="79">
          <cell r="A79">
            <v>3097</v>
          </cell>
          <cell r="B79" t="str">
            <v>Jamie Miller</v>
          </cell>
          <cell r="C79">
            <v>7428737502</v>
          </cell>
          <cell r="D79" t="str">
            <v>D-072, The DLF Crest</v>
          </cell>
          <cell r="E79" t="str">
            <v>Golf Course Road</v>
          </cell>
          <cell r="F79" t="str">
            <v>Thursday</v>
          </cell>
          <cell r="G79" t="str">
            <v>9:30 Am to 2 PM</v>
          </cell>
          <cell r="H79">
            <v>2750</v>
          </cell>
          <cell r="I79">
            <v>687.5</v>
          </cell>
          <cell r="J79" t="str">
            <v>Elation</v>
          </cell>
          <cell r="K79" t="str">
            <v>From James Brittan // Skip 2 week (20/12) Today Returned (22/01) Skip 3 weeks (26/01) Skip 1 week (17/03) Skip 2 week (31/05) Skip 2 weeks (03/07)</v>
          </cell>
          <cell r="N79" t="str">
            <v>4  del of this cycle   -  0-cycles pmnt   Completed - Collect 0</v>
          </cell>
          <cell r="O79" t="str">
            <v xml:space="preserve">P Asiatic ( 14 Inch ) 3 Pur n P Car ( 14 Inch ) 16   2 Gypsola </v>
          </cell>
          <cell r="P79" t="str">
            <v>Sunflower ( 12 Inch) 4 B Daisy ( 12 Inch ) 16   2 Limonium + FF Sachet</v>
          </cell>
          <cell r="Q79" t="str">
            <v xml:space="preserve">Pur n P Eustoma ( 12 Inch ) 4 Rajni ( 14 Inch ) 16   </v>
          </cell>
          <cell r="R79" t="e">
            <v>#N/A</v>
          </cell>
          <cell r="S79" t="e">
            <v>#N/A</v>
          </cell>
          <cell r="T79" t="str">
            <v>Y Asiatic ( 14 inch ) 3 G n W Car ( 14 Inch ) 16   2 Limonium</v>
          </cell>
        </row>
        <row r="80">
          <cell r="A80">
            <v>884</v>
          </cell>
          <cell r="B80" t="str">
            <v>Bhavna Taneja</v>
          </cell>
          <cell r="C80">
            <v>9811192021</v>
          </cell>
          <cell r="D80" t="str">
            <v>F-214, DLF The Crest,Sec-54</v>
          </cell>
          <cell r="E80" t="str">
            <v>Golf Course Road</v>
          </cell>
          <cell r="F80" t="str">
            <v>Thursday</v>
          </cell>
          <cell r="G80" t="str">
            <v>9:30 AM to 2 PM</v>
          </cell>
          <cell r="H80">
            <v>1950</v>
          </cell>
          <cell r="I80">
            <v>487.5</v>
          </cell>
          <cell r="J80" t="str">
            <v>Joy</v>
          </cell>
          <cell r="K80" t="str">
            <v>Send 2 Stick exytra next(14/09) Send lilies next(27/09) Send Tom instead of Sat and send Lilies(22/10) Send del tom with Orchids(30/10) Send 2 Asiatic on Friday instead of satirday(21/11) Google Pay from Harsh Taneja(08/02) Send on 20th and don’t send on 22nd(15/02) Hold n start from 7th Mar (20/02) TRY FOR WEDNESDAY(19/05/20) Send next del on friday with 2 extra Asiatic lily for 200Rs.(27/05/2020) Sending 30th Del on 29th May(28/05/2020) UPI From Harsh Vir Taneja(05/06/2020) Upgrade to 850 (30/07/20) Send Tom instead of 30th Oct)(27/10) Sending tom due to Diwali(11/11) Change to Bloom Pack(08/04) Next del on Monday (23/12) Send Lilies Next (24/12) Dont send on thursday -- send on Monday (04/01) NO BOP n GULDAWARI (29/01) Skip this monday and send on tuesday this week (16/05) Skip this wek and send on Thursday (26/08) Skip next thursday and sned on sunday (22/03) Skip 2 wek (02/06) Skip tom n send on sunday (26/06) No GERBERA (01/08) 1000 cash and 250 via paytm (21/11) Send on tuesday this week (22/12) Paytm from Harshveer Taneja (16/05) Payment REceived on 08th May also via Cash(18/05) skip 1 week (31/05) Skip 1 week (20/12) Start from 25th June (12/06)</v>
          </cell>
          <cell r="L80" t="str">
            <v>GULDAWARI n BOP n GERBERA</v>
          </cell>
          <cell r="M80" t="str">
            <v>Mixed Now</v>
          </cell>
          <cell r="N80" t="str">
            <v>1  del of this cycle   -  1-cycles pmnt   Pending - Collect 1900</v>
          </cell>
          <cell r="O80" t="e">
            <v>#N/A</v>
          </cell>
          <cell r="P80" t="str">
            <v>Pur n P Car ( 14 Inch ) 16     FF Sachet + Grass</v>
          </cell>
          <cell r="Q80" t="str">
            <v>Sunflower ( 12 Inch ) 4    Collect Payment FF Sachet + Grass</v>
          </cell>
          <cell r="R80" t="str">
            <v>Rajni ( 14 Inch ) 16     Grass</v>
          </cell>
          <cell r="S80" t="str">
            <v>P Asiatic ( 14 Inch ) 3     Grass</v>
          </cell>
          <cell r="T80" t="str">
            <v>Mix Glad ( 14 Inch ) 22     Grass</v>
          </cell>
        </row>
        <row r="81">
          <cell r="A81">
            <v>2666</v>
          </cell>
          <cell r="B81" t="str">
            <v>Gunjan Malhotra</v>
          </cell>
          <cell r="C81">
            <v>9971518253</v>
          </cell>
          <cell r="D81" t="str">
            <v>H. No. 298C, 1st Floor, Block G, Sushant Lok-2</v>
          </cell>
          <cell r="E81" t="str">
            <v>Artemis</v>
          </cell>
          <cell r="F81" t="str">
            <v>Thursday</v>
          </cell>
          <cell r="G81" t="str">
            <v>4 PM to 7 PM</v>
          </cell>
          <cell r="H81">
            <v>1450</v>
          </cell>
          <cell r="I81">
            <v>362.5</v>
          </cell>
          <cell r="J81" t="str">
            <v>Bliss</v>
          </cell>
          <cell r="K81" t="str">
            <v>Paytm From Gunjan Malhotra // Hold n start from 04th Sep (02/08) Change day to Thursday (31/08) Do not count last Del (20/12) Skip 1 week (02/02) Skip 1 week (25/03)</v>
          </cell>
          <cell r="N81" t="str">
            <v>2  del of this cycle   -  0-cycles pmnt   Completed - Collect 0</v>
          </cell>
          <cell r="O81" t="str">
            <v>Mix Alstroemeria ( 12 Inch ) 16     FF Sachet + Grass</v>
          </cell>
          <cell r="P81" t="str">
            <v>Pur Eustoma ( 12 Inch ) 3     FF Sachet + Grass</v>
          </cell>
          <cell r="Q81" t="str">
            <v>P Asiatic ( 14 Inch ) 3     Grass</v>
          </cell>
          <cell r="R81" t="str">
            <v>Rajni ( 14 Inch ) 16     Grass</v>
          </cell>
          <cell r="S81" t="str">
            <v>G n W Car ( 14 Inch ) 16     FF Sachet + Grass</v>
          </cell>
          <cell r="T81" t="str">
            <v>P n Y Spray Daisy ( 14 Inch ) 5     FF Sachet + Grass</v>
          </cell>
        </row>
        <row r="82">
          <cell r="A82">
            <v>1898</v>
          </cell>
          <cell r="B82" t="str">
            <v>Shipra</v>
          </cell>
          <cell r="C82">
            <v>8447778677</v>
          </cell>
          <cell r="D82" t="str">
            <v xml:space="preserve">C-94 Trinity </v>
          </cell>
          <cell r="E82" t="str">
            <v>DLF Phase 5</v>
          </cell>
          <cell r="F82" t="str">
            <v>Saturday</v>
          </cell>
          <cell r="G82" t="str">
            <v>4 Pm to 7 PM</v>
          </cell>
          <cell r="H82">
            <v>1600</v>
          </cell>
          <cell r="I82">
            <v>200</v>
          </cell>
          <cell r="J82" t="str">
            <v>Bloom</v>
          </cell>
          <cell r="K82"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 HDTNP (12/07) HDTNP (16/07) HDTNP (19/07)</v>
          </cell>
          <cell r="N82" t="str">
            <v>3  del of this cycle   -  1-cycles pmnt   Pending - Collect 1600</v>
          </cell>
          <cell r="O82" t="e">
            <v>#N/A</v>
          </cell>
          <cell r="P82" t="str">
            <v>Sunflower ( 12 Inch) 2     FF Sachet + Grass</v>
          </cell>
          <cell r="Q82" t="str">
            <v>Rajni ( 14 Inch ) 7     Grass</v>
          </cell>
          <cell r="R82" t="str">
            <v>Sunflower ( 12 Inch ) 2   Collect Payment Collect Payment Grass</v>
          </cell>
          <cell r="S82" t="e">
            <v>#N/A</v>
          </cell>
          <cell r="T82" t="str">
            <v>Rajni ( 14 Inch ) 7 Check with us before sending Check with us before sending Check with us before sending  Grass</v>
          </cell>
        </row>
        <row r="83">
          <cell r="A83">
            <v>3385</v>
          </cell>
          <cell r="B83" t="str">
            <v>Srishti Verma</v>
          </cell>
          <cell r="C83">
            <v>9604584926</v>
          </cell>
          <cell r="D83" t="str">
            <v>H. No. 126, Flat No. 302, Road D3, Indira Colony, Sec 52</v>
          </cell>
          <cell r="E83" t="str">
            <v>Artemis</v>
          </cell>
          <cell r="F83" t="str">
            <v>Thursday</v>
          </cell>
          <cell r="G83" t="str">
            <v>4 Pm to 7 PM</v>
          </cell>
          <cell r="H83">
            <v>1950</v>
          </cell>
          <cell r="I83">
            <v>487.5</v>
          </cell>
          <cell r="J83" t="str">
            <v>Joy</v>
          </cell>
          <cell r="K83" t="str">
            <v>Skip 1 Week (06/07)</v>
          </cell>
          <cell r="N83" t="str">
            <v>4  del of this cycle   -  0-cycles pmnt   Completed - Collect 0</v>
          </cell>
          <cell r="O83" t="e">
            <v>#N/A</v>
          </cell>
          <cell r="P83" t="str">
            <v>Pur n P Car ( 14 Inch ) 22     FF Sachet + Grass</v>
          </cell>
          <cell r="Q83" t="str">
            <v>O Asiatic ( 14 Inch ) 4     Grass</v>
          </cell>
          <cell r="R83" t="e">
            <v>#N/A</v>
          </cell>
          <cell r="S83" t="str">
            <v>Mix Car ( 14 Inch ) 22     FF Sachet + Grass</v>
          </cell>
          <cell r="T83" t="str">
            <v>P n Y Spray Daisy ( 14 Inch ) 7     FF Sachet + Grass</v>
          </cell>
        </row>
        <row r="84">
          <cell r="A84">
            <v>3128</v>
          </cell>
          <cell r="B84" t="str">
            <v>Shikha Malhotra</v>
          </cell>
          <cell r="C84">
            <v>9873498869</v>
          </cell>
          <cell r="D84" t="str">
            <v>M-254, Park Place</v>
          </cell>
          <cell r="E84" t="str">
            <v>Golf Course Road</v>
          </cell>
          <cell r="F84" t="str">
            <v>Thursday</v>
          </cell>
          <cell r="G84" t="str">
            <v>4 PM to 7 PM</v>
          </cell>
          <cell r="H84">
            <v>1450</v>
          </cell>
          <cell r="I84">
            <v>362.5</v>
          </cell>
          <cell r="J84" t="str">
            <v>Bliss</v>
          </cell>
          <cell r="K84" t="str">
            <v>Skip 2 week after 13th (07/11) Today Hold (04/12) Paytm From Vivek Malhotra //</v>
          </cell>
          <cell r="N84" t="str">
            <v>2  del of this cycle   -  0-cycles pmnt   Completed - Collect 0</v>
          </cell>
          <cell r="O84" t="str">
            <v>Pur n P Car ( 14 inch ) 16     FF Sachet + Grass</v>
          </cell>
          <cell r="P84" t="str">
            <v>P Asiatic ( 14 Inch ) 3  Collect Payment Collect Payment Collect Payment Grass</v>
          </cell>
          <cell r="Q84" t="str">
            <v>Rajni ( 14 Inch ) 16     Grass</v>
          </cell>
          <cell r="R84" t="str">
            <v>P n Y Spray Daisy ( 14 Inch ) 5     FF Sachet + Grass</v>
          </cell>
          <cell r="S84" t="str">
            <v>Asiatic 3     Grass</v>
          </cell>
          <cell r="T84" t="str">
            <v>G n W Car ( 14 inch ) 16     FF Sachet + Grass</v>
          </cell>
        </row>
        <row r="85">
          <cell r="A85">
            <v>309</v>
          </cell>
          <cell r="B85" t="str">
            <v>Ms Swati Bhise--before 10</v>
          </cell>
          <cell r="C85">
            <v>9811806611</v>
          </cell>
          <cell r="D85" t="str">
            <v xml:space="preserve">TG-5/4B Orchid Garden Sun city Sec - 54 </v>
          </cell>
          <cell r="E85" t="str">
            <v>Golf Course Road</v>
          </cell>
          <cell r="F85" t="str">
            <v>Thursday</v>
          </cell>
          <cell r="G85" t="str">
            <v>9 AM - 12 PM</v>
          </cell>
          <cell r="H85">
            <v>2750</v>
          </cell>
          <cell r="I85">
            <v>687.5</v>
          </cell>
          <cell r="J85" t="str">
            <v>Elation</v>
          </cell>
          <cell r="K85" t="str">
            <v>Sunday to thurs//Orchid in 1st Del and no Rose/Rajni/Gerbera till they come in good shape(08/07) Next B or W Orchid(02/12) Car Next(09/12) Next Orchid(06/01) Orchid Next(10/02)  Gerbera tom(13/08)NEVER PURPLE ORCHID--SEND W n B ORCHID Next(22/09) Y Asiatic Next(03/11)  Send 1 Del tom (02/07) Orchid Next (27/07) Skip 1 week (20/11) Send 1 Del Tom (10/02) Skip next Del (16/02) Hold n start from 10th June (20/03) Today Returned again (04/07) Returned again (11/07) Send this thursday and then skip 1 week (23/07) Hold today (08/08) Skip 2 more weeks (09/08) Today Returned (21/11) Skip 1 week (11/12) Skip 1 week (24/12) Skip 1 more week (25/01) Skip 1 week (18/02) Hold till 9th Mar (24/02) Hold now (11/09) Skip next week (27/11) Return today (18/12) Today Returned again (25/12) Skip tom (18/02) Skip 1 week (28/02) Skip 1 week (19/03) Skip 1 week (21/03)  Skip tom (09/04) Skip next week (16/04) Skip 3 week (20/04) Skip 1 week (14/05) Skip 1 week (17/05) Skip 1 week (03/06) Skip next week (02/07)</v>
          </cell>
          <cell r="M85" t="str">
            <v>Upgrade to Elation next (14/08)</v>
          </cell>
          <cell r="N85" t="str">
            <v>1  del of this cycle   -  1-cycles pmnt   Pending - Collect 2750</v>
          </cell>
          <cell r="O85" t="str">
            <v>P n W Glad ( 14 Inch ) 32     2 Limonium</v>
          </cell>
          <cell r="P85" t="str">
            <v>Pur n P Eustoma ( 12 Inch ) 6  Collect Payment Collect Payment Collect Payment 2 Limonium + FF Sachet</v>
          </cell>
          <cell r="Q85" t="str">
            <v xml:space="preserve">Pur n P Car ( 14 Inch ) 32     2 Gypsola + FF Sachet </v>
          </cell>
          <cell r="R85" t="e">
            <v>#N/A</v>
          </cell>
          <cell r="S85" t="str">
            <v>O Asiatic ( 14 Inch ) 6     2 Gypsola</v>
          </cell>
          <cell r="T85" t="str">
            <v>B Orchid  10     2 Limonium + FF Sachet</v>
          </cell>
        </row>
        <row r="86">
          <cell r="A86">
            <v>442</v>
          </cell>
          <cell r="B86" t="str">
            <v>Ruchi Mathure--Before 10:30 AM</v>
          </cell>
          <cell r="C86">
            <v>9871265555</v>
          </cell>
          <cell r="D86" t="str">
            <v>D-013, Westend height, DLF-5</v>
          </cell>
          <cell r="E86" t="str">
            <v>DLF Phase 5</v>
          </cell>
          <cell r="F86" t="str">
            <v>Thursday</v>
          </cell>
          <cell r="G86" t="str">
            <v>9 AM - 12 PM</v>
          </cell>
          <cell r="H86">
            <v>1450</v>
          </cell>
          <cell r="I86">
            <v>362.5</v>
          </cell>
          <cell r="J86" t="str">
            <v>Bliss</v>
          </cell>
          <cell r="K86" t="str">
            <v>No White Flowers(22/08)Skip this week n start from Thursday(26/09)Skip this week(29/11) Skip n sned on Monday(27/01) Return-send tom(17/02) NO P CAR(18/02)Return-send on Friday(24/02) Return-doesn't need Special Pack(14/04) Upgrade to 650 Plan(02/05) Skip this week n send on Monday(07/06) Skip 1 week(13/09) Skip 1 week(26/10) Skip 1 week(14/12) 150 adjusted against extra paid in Nargis to be delivered on 1st jan(30/12) Skip 1 week(26/01) Last week del was missed- pls send tom(07/03) Skip 2 weeks(18/03)NO WHITE FLOWERS(30/12) Send on saturdya this week instead of Thursday(12/11) Send on saturday this week(21/12) Getting only Car and asiatic-- Pls send all flowers(07/01) 10th Del missed-send them on saturday(11/03) NO WHITE FLOWERS(01/04) Hold n start from 2nd June(29/04) Last Thursday Missed(04/06) Skip this week n send on Sunday this week(22/06) Send Tom 1 Del with Rajni (11/07) Send 1 Del Tom(17/07) Today returned (28/07) NO GOLDEN GRASS(11/08) Sent 1 del Today(13/09) Skip tom and sned on Sunday (24/11) nEXT DEL SEND ON 31ST INSTEAD OF 30TH (24/12) Skip 1 week (20/01) Sent replacement today (14/04) send on monday this week only (21/04) Hold till 2nd Aug (07/07) Sent 1 del today and dont send tom (30/08) Skip tom Del n Send on Sunday (01/11) Today returned (09/11) No Del del till 3rd DEc (15/12) Skip 1 week (30/01) Skip on 14th and send on Sunday (12/03) Skip n sned on sunday (08/05) Hold today (30/05) Payment from Kapil M (16/06) Paytm From Kapil M (14/07) Skip 1 week (26/11) Skip nexty del (03/12) Hold till 15th Apr (18/04) No Sunflower (13/03) Skip this thursday and sned on sunday (20/04) Skip 1 week (20/05)</v>
          </cell>
          <cell r="L86" t="str">
            <v>Sunflower</v>
          </cell>
          <cell r="M86" t="str">
            <v>No White even in mixed // Skip 23rd and sned on 26th (20/04)</v>
          </cell>
          <cell r="N86" t="str">
            <v>4  del of this cycle   -  0-cycles pmnt   Completed - Collect 0</v>
          </cell>
          <cell r="O86" t="str">
            <v>P n Y Spray Daisy ( 14 Inch ) 5 No White Flower  No White Flower   FF Sachet + Grass</v>
          </cell>
          <cell r="P86" t="str">
            <v>Pur n P Car ( 14 Inch ) 16     FF Sachet + Grass</v>
          </cell>
          <cell r="Q86" t="str">
            <v>Pur Eustoma ( 12 Inch ) 3     FF Sachet + Grass</v>
          </cell>
          <cell r="R86" t="str">
            <v>Rajni ( 14 Inch ) 16     Grass</v>
          </cell>
          <cell r="S86" t="str">
            <v>P n W Glad ( 14 Inch ) 16     Grass</v>
          </cell>
          <cell r="T86" t="str">
            <v>Y Asiatic ( 14 inch ) 3     Grass</v>
          </cell>
        </row>
        <row r="87">
          <cell r="A87" t="str">
            <v>B56526</v>
          </cell>
          <cell r="B87" t="str">
            <v>Abhijeet Mukherjee</v>
          </cell>
          <cell r="C87" t="str">
            <v xml:space="preserve"> 88029 99303</v>
          </cell>
          <cell r="D87" t="str">
            <v xml:space="preserve">Tower 6 Apartment no 401, Palm Terrace Select, Sector 66, </v>
          </cell>
          <cell r="E87" t="str">
            <v>Badshahpur</v>
          </cell>
          <cell r="F87" t="str">
            <v>Saturday</v>
          </cell>
          <cell r="G87" t="str">
            <v>By 9:30 AM</v>
          </cell>
          <cell r="H87">
            <v>800</v>
          </cell>
          <cell r="I87">
            <v>800</v>
          </cell>
          <cell r="J87" t="str">
            <v>Bouquet</v>
          </cell>
          <cell r="K87" t="str">
            <v>Happy Birthday Namrata!</v>
          </cell>
          <cell r="N87" t="str">
            <v>1  del of this cycle   -  0-cycles pmnt   In Process - Collect 0</v>
          </cell>
          <cell r="O87" t="e">
            <v>#N/A</v>
          </cell>
          <cell r="P87" t="e">
            <v>#N/A</v>
          </cell>
          <cell r="Q87" t="e">
            <v>#N/A</v>
          </cell>
          <cell r="R87" t="e">
            <v>#N/A</v>
          </cell>
          <cell r="S87" t="e">
            <v>#N/A</v>
          </cell>
          <cell r="T87" t="str">
            <v xml:space="preserve">Y Asiatic ( 14 inch ) 4 Walkin Tissue Wrap Message   </v>
          </cell>
        </row>
        <row r="88">
          <cell r="A88">
            <v>3063</v>
          </cell>
          <cell r="B88" t="str">
            <v>Shinjini Mehrotra</v>
          </cell>
          <cell r="C88">
            <v>9810198315</v>
          </cell>
          <cell r="D88" t="str">
            <v>F-109, 2nd Floor, Suncity</v>
          </cell>
          <cell r="E88" t="str">
            <v>Golf Course Road</v>
          </cell>
          <cell r="F88" t="str">
            <v>Thursday</v>
          </cell>
          <cell r="G88" t="str">
            <v>9 AM - 12 PM</v>
          </cell>
          <cell r="H88">
            <v>1450</v>
          </cell>
          <cell r="I88">
            <v>362.5</v>
          </cell>
          <cell r="J88" t="str">
            <v>Bliss</v>
          </cell>
          <cell r="K88" t="str">
            <v>Hold 4 Weeks (04/12) Skip 1 week (14/02) Skip 2 week (28/02) Skip 1 week  (01/04) Hold till 29th Apr (06/04)</v>
          </cell>
          <cell r="N88" t="str">
            <v>3  del of this cycle   -  0-cycles pmnt   CompletedNO COLLECTION-we have extra money - Collect -100</v>
          </cell>
          <cell r="O88" t="str">
            <v>Sunflower ( 12 Inch ) 4     FF Sachet + Grass</v>
          </cell>
          <cell r="P88" t="str">
            <v>P n W Glad ( 14 Inch ) 16     Grass</v>
          </cell>
          <cell r="Q88" t="str">
            <v>P Asiatic ( 14 Inch ) 3     Grass</v>
          </cell>
          <cell r="R88" t="str">
            <v>Rajni ( 14 Inch ) 16     Grass</v>
          </cell>
          <cell r="S88" t="str">
            <v>G n W Car ( 14 Inch ) 16     FF Sachet + Grass</v>
          </cell>
          <cell r="T88" t="str">
            <v>P n Y Spray Daisy ( 14 Inch ) 5     FF Sachet + Grass</v>
          </cell>
        </row>
        <row r="89">
          <cell r="A89">
            <v>3212</v>
          </cell>
          <cell r="B89" t="str">
            <v>Sheeba Rana</v>
          </cell>
          <cell r="C89">
            <v>9958849523</v>
          </cell>
          <cell r="D89" t="str">
            <v>T-14/1202, The Close North</v>
          </cell>
          <cell r="E89" t="str">
            <v>Nirvana Country</v>
          </cell>
          <cell r="F89" t="str">
            <v>Thursday</v>
          </cell>
          <cell r="G89" t="str">
            <v>4 Pm to 7 PM</v>
          </cell>
          <cell r="H89">
            <v>1450</v>
          </cell>
          <cell r="I89">
            <v>1450</v>
          </cell>
          <cell r="J89" t="str">
            <v>Bliss</v>
          </cell>
          <cell r="K89" t="str">
            <v>Skip 1 week (31/12)</v>
          </cell>
          <cell r="N89" t="str">
            <v>1  del of this cycle   -  1-cycles pmnt   Pending - Collect 1450</v>
          </cell>
          <cell r="O89" t="str">
            <v>P Asiatic ( 14 Inch ) 2     Grass</v>
          </cell>
          <cell r="P89" t="str">
            <v>Pur n P Car ( 14 Inch ) 16     FF Sachet + Grass</v>
          </cell>
          <cell r="Q89" t="str">
            <v>P n Y Spray Daisy ( 14 Inch ) 5     FF Sachet + Grass</v>
          </cell>
          <cell r="R89" t="str">
            <v>Rajni ( 14 Inch ) 16     Grass</v>
          </cell>
          <cell r="S89" t="str">
            <v>O Asiatic 2     Grass</v>
          </cell>
          <cell r="T89" t="str">
            <v>G n W Car ( 14 inch ) 16     Grass</v>
          </cell>
        </row>
        <row r="90">
          <cell r="A90">
            <v>19</v>
          </cell>
          <cell r="B90" t="str">
            <v>Mrs. Geeta Chopra</v>
          </cell>
          <cell r="C90">
            <v>9811373448</v>
          </cell>
          <cell r="D90" t="str">
            <v>E-64,Ground Floor,Suncity,Sec-54</v>
          </cell>
          <cell r="E90" t="str">
            <v>Golf Course Road</v>
          </cell>
          <cell r="F90" t="str">
            <v>Thursday</v>
          </cell>
          <cell r="G90" t="str">
            <v>9 AM - 12 PM</v>
          </cell>
          <cell r="H90">
            <v>1450</v>
          </cell>
          <cell r="I90">
            <v>362.5</v>
          </cell>
          <cell r="J90" t="str">
            <v>Bliss</v>
          </cell>
          <cell r="K90" t="str">
            <v>Sunday to Thurs//No Rajni (22/05)NO GERBERA(11/08), next time 3 sticks extra (30/3) Send replacement with 3 sticks extra tom and send special pack too(14/04) NO GLAD(22/06) NO ORCHID(13/07) Send FF Next Week(20/07) FF Sold today(27/07) Add Changed(20/12) SEND ALL FLOWERS(18/02) START WITH 650 PLAN(19/05/20) Send Replacement(14/07) Send Replacement (04/11) Hold due to non payment (02/01) Hold due to non payment (08/01) today missed send on sunday (28/05)</v>
          </cell>
          <cell r="N90" t="str">
            <v>2  del of this cycle   -  1-cycles pmnt   Pending - Collect 1450</v>
          </cell>
          <cell r="O90" t="str">
            <v>O Asiatic ( 14 Inch ) 3     Grass</v>
          </cell>
          <cell r="P90" t="str">
            <v>B Daisy ( 12 Inch ) 16  Collect Payment Collect Payment Collect Payment Grass</v>
          </cell>
          <cell r="Q90" t="str">
            <v>Pur n P Car ( 14 Inch ) 16    Collect Payment FF Sachet + Grass</v>
          </cell>
          <cell r="R90" t="str">
            <v>Sunflower ( 12 Inch ) 4     FF Sachet + Grass</v>
          </cell>
          <cell r="S90" t="str">
            <v>P n W Glad ( 14 Inch ) 16     Grass</v>
          </cell>
          <cell r="T90" t="str">
            <v>P n Y Spray Daisy ( 14 Inch ) 5   Ensure Collection Ensure Collection FF Sachet + Grass</v>
          </cell>
        </row>
        <row r="91">
          <cell r="A91">
            <v>2246</v>
          </cell>
          <cell r="B91" t="str">
            <v>Amita Gupta</v>
          </cell>
          <cell r="C91">
            <v>9811985450</v>
          </cell>
          <cell r="D91" t="str">
            <v>146, Cedar Crest</v>
          </cell>
          <cell r="E91" t="str">
            <v>Nirvana Country</v>
          </cell>
          <cell r="F91" t="str">
            <v>Thursday</v>
          </cell>
          <cell r="G91" t="str">
            <v>9 AM - 12 PM</v>
          </cell>
          <cell r="H91">
            <v>1600</v>
          </cell>
          <cell r="I91">
            <v>200</v>
          </cell>
          <cell r="J91" t="str">
            <v>Bloom</v>
          </cell>
          <cell r="K91" t="str">
            <v>Return today (03/10) Change to bliss (23/10) No Orchid (24/10) Send a vase tom (20/08) Upgrade to bliss (17/12)</v>
          </cell>
          <cell r="L91" t="str">
            <v>Orchid</v>
          </cell>
          <cell r="M91" t="str">
            <v>1 Vase Tom (20/08)</v>
          </cell>
          <cell r="N91" t="str">
            <v>7  del of this cycle   -  0-cycles pmnt   Completed - Collect 0</v>
          </cell>
          <cell r="O91" t="str">
            <v>Sunflower ( 12 Inch ) 2     FF Sachet + Grass</v>
          </cell>
          <cell r="P91" t="str">
            <v>P n W Glad ( 14 Inch ) 7     Grass</v>
          </cell>
          <cell r="Q91" t="str">
            <v>P n W Car ( 14 Inch ) 7     FF Sachet + Grass</v>
          </cell>
          <cell r="R91" t="str">
            <v>Sunflower ( 12 Inch ) 2     FF Sachet + Grass</v>
          </cell>
          <cell r="S91" t="str">
            <v>P n W Glad ( 14 Inch ) 7     Grass</v>
          </cell>
          <cell r="T91" t="str">
            <v>Y Spray Daisy ( 14 Inch ) 2     FF Sachet + Grass</v>
          </cell>
        </row>
        <row r="92">
          <cell r="A92">
            <v>3415</v>
          </cell>
          <cell r="B92" t="str">
            <v>Sanjay Singh</v>
          </cell>
          <cell r="C92">
            <v>9868216569</v>
          </cell>
          <cell r="D92" t="str">
            <v>WT-1/1902, Experion Windchants, Sec 112</v>
          </cell>
          <cell r="E92" t="str">
            <v>Dwarka Expressway</v>
          </cell>
          <cell r="F92" t="str">
            <v>Thursday</v>
          </cell>
          <cell r="G92" t="str">
            <v>4 Pm to 7 PM</v>
          </cell>
          <cell r="H92">
            <v>1450</v>
          </cell>
          <cell r="I92">
            <v>362.5</v>
          </cell>
          <cell r="J92" t="str">
            <v>Bliss</v>
          </cell>
          <cell r="K92" t="str">
            <v>From 9575027271</v>
          </cell>
          <cell r="N92" t="str">
            <v>1  del of this cycle   -  0-cycles pmnt   Completed - Collect 0</v>
          </cell>
          <cell r="O92" t="e">
            <v>#N/A</v>
          </cell>
          <cell r="P92" t="e">
            <v>#N/A</v>
          </cell>
          <cell r="Q92" t="e">
            <v>#N/A</v>
          </cell>
          <cell r="R92" t="e">
            <v>#N/A</v>
          </cell>
          <cell r="S92" t="e">
            <v>#N/A</v>
          </cell>
          <cell r="T92" t="str">
            <v>P n W Car ( 14 Inch ) 16     FF Sachet + Grass</v>
          </cell>
        </row>
        <row r="93">
          <cell r="A93">
            <v>3270</v>
          </cell>
          <cell r="B93" t="str">
            <v>Tanya Sharma</v>
          </cell>
          <cell r="C93">
            <v>7022251818</v>
          </cell>
          <cell r="D93" t="str">
            <v>T-8/202, Chintel Serenity, Sec 109</v>
          </cell>
          <cell r="E93" t="str">
            <v>Dwarka Expressway</v>
          </cell>
          <cell r="F93" t="str">
            <v>Thursday</v>
          </cell>
          <cell r="G93" t="str">
            <v>4 Pm to 7 PM</v>
          </cell>
          <cell r="H93">
            <v>1950</v>
          </cell>
          <cell r="I93">
            <v>487.5</v>
          </cell>
          <cell r="J93" t="str">
            <v>Joy</v>
          </cell>
          <cell r="K93" t="str">
            <v>No Yellow wn Purple // no Rajni (02/02) No ALstroemeria and do not count last del(19/06) Pls Don’t count last del (26/06)</v>
          </cell>
          <cell r="L93" t="str">
            <v>Rajni n Alstroemeria</v>
          </cell>
          <cell r="M93" t="str">
            <v>No Yellow wn Purple // Stock Next (02/03)</v>
          </cell>
          <cell r="N93" t="str">
            <v>2  del of this cycle   -  0-cycles pmnt   Completed - Collect 0</v>
          </cell>
          <cell r="O93" t="str">
            <v>P Eustoma ( 12 Inch ) 2 Mix Alstroemeria ( 12 inch )  11   FF Sachet + Grass</v>
          </cell>
          <cell r="P93" t="str">
            <v>O Asiatic ( 14 Inch ) 2 Rajni ( 14 Inch ) 11   Grass</v>
          </cell>
          <cell r="Q93" t="str">
            <v>P n Y Spray Daisy ( 14 Inch ) 4 P n W Glad ( 14 Inch ) 11   FF Sachet + Grass</v>
          </cell>
          <cell r="R93" t="str">
            <v>P Asiatic ( 14 Inch ) 2 P n W Car ( 14 Inch ) 11   Grass</v>
          </cell>
          <cell r="S93" t="str">
            <v>Asiatic  2 Mix Car ( 12 Inch ) 11   FF Sachet + Grass</v>
          </cell>
          <cell r="T93" t="str">
            <v>P Eustoma ( 12 Inch ) 2 Mix Glad ( 14 Inch ) 11 NO Yellow n Purple Color  FF Sachet + Grass</v>
          </cell>
        </row>
        <row r="94">
          <cell r="A94">
            <v>2525</v>
          </cell>
          <cell r="B94" t="str">
            <v>Sonia Kalra</v>
          </cell>
          <cell r="C94">
            <v>9810512391</v>
          </cell>
          <cell r="D94" t="str">
            <v>C-264, Sushant Lok-1</v>
          </cell>
          <cell r="E94" t="str">
            <v>M G Road</v>
          </cell>
          <cell r="F94" t="str">
            <v>Tuesday</v>
          </cell>
          <cell r="G94" t="str">
            <v>10 AM to 2:30 PM</v>
          </cell>
          <cell r="H94">
            <v>1450</v>
          </cell>
          <cell r="I94">
            <v>362.5</v>
          </cell>
          <cell r="J94" t="str">
            <v>Bliss</v>
          </cell>
          <cell r="K94" t="str">
            <v>Change Rs 50// Hold today n skip 1 week(29/07) Paytm from harsonia Kalra (03/09) Skip Tuesday and sned on Thursday this week (19/07)</v>
          </cell>
          <cell r="N94" t="str">
            <v>3  del of this cycle   -  0-cycles pmnt   CompletedNO COLLECTION-we have extra money - Collect -57</v>
          </cell>
          <cell r="O94" t="e">
            <v>#N/A</v>
          </cell>
          <cell r="P94" t="e">
            <v>#N/A</v>
          </cell>
          <cell r="Q94" t="e">
            <v>#N/A</v>
          </cell>
          <cell r="R94" t="e">
            <v>#N/A</v>
          </cell>
          <cell r="S94" t="e">
            <v>#N/A</v>
          </cell>
          <cell r="T94" t="str">
            <v>Mix Glad ( 14 Inch ) 16     Grass</v>
          </cell>
        </row>
        <row r="95">
          <cell r="A95">
            <v>836</v>
          </cell>
          <cell r="B95" t="str">
            <v>Namrata Khandelwal -- After 5 PM</v>
          </cell>
          <cell r="C95">
            <v>9818392977</v>
          </cell>
          <cell r="D95" t="str">
            <v>1119, Magnolia</v>
          </cell>
          <cell r="E95" t="str">
            <v>DLF Phase 5</v>
          </cell>
          <cell r="F95" t="str">
            <v>Thursday</v>
          </cell>
          <cell r="G95" t="str">
            <v>After 5 PM</v>
          </cell>
          <cell r="H95">
            <v>4750</v>
          </cell>
          <cell r="I95">
            <v>1187.5</v>
          </cell>
          <cell r="J95" t="str">
            <v>Enchantment</v>
          </cell>
          <cell r="K95" t="str">
            <v>Sunday n Thursday//Tuesday and Satirday(20/04)Monday and Thursday(22/01)Friday and Sunday Now//Monday and Friday// AVOID CAR(09/05)  NO RAJNI TILL IT HAS FRAGRANCE(03/10)  NO CAR N GLAD(15/12)  Send Gerbera next(02/09/20) Preferred Flowers-- Car + Guldawari + Heliconia(30/11) Send Asiatic Lily and BOP or Anthurium(03/12) Hold n start after 20th Dec(09/12) Skip 1 week(07/05) Hold n send on 23rd n after(10/08) 2 Pack of 2850(01/09) Skip next delivery(09/09) Skip tom Delivery(12/09) Skip coming delivery (06/10) Next Del from tuesday (28/10) Skip tom del (11/11) Skip next del (18/11) No wchange to Weekly Plan (28/11) Hold n start from 4th Feb (04/01) Hold tom (24/02) Skip 1 week (02/03) Skip 2 weeks (25/03) Hold till 19th May (24/04) Skip thursday Del (02/10) Skip tom Del (07/10) Skip tom also (11/10) Skip tom (21/10) NO ROSE (04/01) Skip 1 week (08/01) Start from 1st Feb (24/01) Skip 1 Week (21/02) Skip 1 week (29/02) Skip 1 week (06/03). NO POLLEN FLOWERS EVER (27/04) Skip 1 week (12/05) Skip next Del (15/06) Skip this thursday (28/07) Skip 1 week (14/08) Skip 1 week (20/08) Skip tom (28/08) Skip tom (31/08) Hold today (08/09) No Asiatic/Gerbera and Rose (17/09) No Lily (19/10) Skip 1 week (30/10) Skip 1 week (11/12) Hold today and send tom (10/04) Send this week del on wednesday (21/04) Skip this week (29/05) Send on wednsday this week (02/06) Skip 1 week (03/09) Skip 1  Skip tom (07/01)week (11/09) No Gerbera (28/11) Skip 1 week (11/02) Skip 1 week (18/02) Skip tom (04/03) Skip 2 weeks (24/05)</v>
          </cell>
          <cell r="L95" t="str">
            <v>Pllen Flowers and Gerbera</v>
          </cell>
          <cell r="M95" t="str">
            <v>No Polen Flowers (20/08)</v>
          </cell>
          <cell r="N95" t="str">
            <v>3  del of this cycle   -  0-cycles pmnt   Completed - Collect 0</v>
          </cell>
          <cell r="O95" t="e">
            <v>#N/A</v>
          </cell>
          <cell r="P95" t="e">
            <v>#N/A</v>
          </cell>
          <cell r="Q95" t="e">
            <v>#N/A</v>
          </cell>
          <cell r="R95" t="e">
            <v>#N/A</v>
          </cell>
          <cell r="S95" t="str">
            <v>P n Y Spray Daisy ( 14 Inch ) 10 G n W Car ( 14 Inch ) 30   3 Areca Palm + 3 Gypsola</v>
          </cell>
          <cell r="T95" t="str">
            <v>Pur n P Eustoma ( 12 Inch ) 6 Mix Glad ( 14 Inch ) 30   3 Areca Palm + 3 3 Limonium</v>
          </cell>
        </row>
        <row r="96">
          <cell r="A96">
            <v>1438</v>
          </cell>
          <cell r="B96" t="str">
            <v>Aishwarya G Aiyar</v>
          </cell>
          <cell r="C96">
            <v>9884857311</v>
          </cell>
          <cell r="D96" t="str">
            <v>A-173, The Pinnacle</v>
          </cell>
          <cell r="E96" t="str">
            <v>DLF Phase 5</v>
          </cell>
          <cell r="F96" t="str">
            <v>Thursday</v>
          </cell>
          <cell r="G96" t="str">
            <v>9 AM - 12 PM</v>
          </cell>
          <cell r="H96">
            <v>1600</v>
          </cell>
          <cell r="I96">
            <v>200</v>
          </cell>
          <cell r="J96" t="str">
            <v>Bloom</v>
          </cell>
          <cell r="K96"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96" t="str">
            <v>7  del of this cycle   -  0-cycles pmnt   Completed - Collect 0</v>
          </cell>
          <cell r="O96" t="e">
            <v>#N/A</v>
          </cell>
          <cell r="P96" t="str">
            <v>P n W Car ( 14 inch ) 7     FF Sachet + Grass</v>
          </cell>
          <cell r="Q96" t="str">
            <v>P n W Glad ( 14 Inch ) 7     Grass</v>
          </cell>
          <cell r="R96" t="str">
            <v>Rajni ( 14 Inch ) 7   Collect Payment Collect Payment Grass</v>
          </cell>
          <cell r="S96" t="str">
            <v>Y Spray Daisy ( 14 Inch ) 2     FF Sachet + Grass</v>
          </cell>
          <cell r="T96" t="str">
            <v>Y Spray Daisy ( 14 Inch ) 2     FF Sachet + Grass</v>
          </cell>
        </row>
        <row r="97">
          <cell r="A97">
            <v>203</v>
          </cell>
          <cell r="B97" t="str">
            <v>Alok divatia -- After 10 AM</v>
          </cell>
          <cell r="C97">
            <v>9819355743</v>
          </cell>
          <cell r="D97" t="str">
            <v>BLC 263, 26th Floor, Tower C, The Belaire</v>
          </cell>
          <cell r="E97" t="str">
            <v>Golf Course Road</v>
          </cell>
          <cell r="F97" t="str">
            <v>Thursday</v>
          </cell>
          <cell r="G97" t="str">
            <v>9 AM - 12 PM</v>
          </cell>
          <cell r="H97">
            <v>8648</v>
          </cell>
          <cell r="I97">
            <v>2162</v>
          </cell>
          <cell r="J97" t="str">
            <v>Customized</v>
          </cell>
          <cell r="K97" t="str">
            <v>Tues to Thurs//After 10 AM, Lilis only and 12 lilies + 24 carnations, Never combo of Red n white, all flowers shd be of diff color(12/06)Skip tom n then on Tuesday(08/09) Return-send tom(16/12) NO ROSE(20/12) 14 Lily and 24 Car(24/09) Send 18 spray daisy instead of Asiatic next(30/03) Change package cost to 6300(20/07) Hold from today (05/12)</v>
          </cell>
          <cell r="N97" t="str">
            <v>4  del of this cycle   -  0-cycles pmnt   Completed - Collect 0</v>
          </cell>
          <cell r="O97" t="str">
            <v xml:space="preserve">O n P Asiatic ( 14 Inch ) 14 P n W Car ( 14 Inch ) 24   </v>
          </cell>
          <cell r="P97" t="str">
            <v>O n W Asiatic ( 14 Inch ) 14 R n P Car ( 14 Inch ) 24   4 Areca Palm + 2 Gypsola + 2 Limonim</v>
          </cell>
          <cell r="Q97" t="str">
            <v>Y n P Asiatic ( 14 Inch ) 14 Pur n W Car ( 14 Inch ) 24   4 Areca Palm + 2 Gypsola + 2 Limonium</v>
          </cell>
          <cell r="R97" t="str">
            <v xml:space="preserve">O n W Asiatic ( 14 inch ) 14 P n W Car ( 14 Inch ) 24   </v>
          </cell>
          <cell r="S97" t="str">
            <v>O n P Asiatic  ( 14 Inch ) 14 G n W Car ( 14 Inch ) 24   4 Areca Palm + 2 Gypsola + 2 Limonium</v>
          </cell>
          <cell r="T97" t="str">
            <v>Y n W Asiatic ( 14 Inch ) 14 Pur n P Car ( 14 Inch ) 24   4 Areca Palm + 2 Gypsola + 2 Limonium</v>
          </cell>
        </row>
        <row r="98">
          <cell r="B98" t="str">
            <v xml:space="preserve"> Awaneesh Sharma</v>
          </cell>
          <cell r="C98">
            <v>8586000561</v>
          </cell>
          <cell r="D98" t="str">
            <v>Flat No 124 , Ground Floor , M2K Aura Society , Infront of Hilton Hotel , Sector -47 , Gurugram</v>
          </cell>
          <cell r="G98" t="str">
            <v xml:space="preserve">Before 12 </v>
          </cell>
          <cell r="H98">
            <v>600</v>
          </cell>
          <cell r="J98" t="str">
            <v>Bouquet</v>
          </cell>
          <cell r="K98" t="str">
            <v>Send today from Srishti Makhija 
Before 12 
10 glad and 5 Rajnigandha in walkin tissue wrap to 
Name Awaneesh Sharma
Number 8586000561
Address
Flat No 124 , Ground Floor , M2K Aura Society , Infront of Hilton Hotel , Sector -47 , Gurugram</v>
          </cell>
          <cell r="T98" t="str">
            <v xml:space="preserve">Glad and Rajnigandha 10+5 walkin tissue wrap     </v>
          </cell>
        </row>
        <row r="99">
          <cell r="B99" t="str">
            <v>Mukti Aggarwal</v>
          </cell>
          <cell r="C99" t="str">
            <v xml:space="preserve"> 99100 49851</v>
          </cell>
          <cell r="D99" t="str">
            <v>G- 201
GPL Eden Heights,
Darbaripur Road
Sector 70,
Gurgaon</v>
          </cell>
          <cell r="G99" t="str">
            <v xml:space="preserve"> before 12:30pm</v>
          </cell>
          <cell r="H99">
            <v>1350</v>
          </cell>
          <cell r="J99" t="str">
            <v>Bouquet</v>
          </cell>
          <cell r="K99" t="str">
            <v>Today from Deepa Kulkarni
To 
Mukti Aggarwal
G- 201
GPL Eden Heights,
Darbaripur Road
Sector 70,
Gurgaon
+91 99100 49851
Message: 
Dearest Mukti:
Last few weeks ko bhoolane ka prayaas. Hope the colours brighten up your day and ease the aches and pain when you see them. 
Love and light always,
Deepa
Today from Deepa Kulkarni
To 
Mukti Aggarwal
G- 201
GPL Eden Heights,
Darbaripur Road
Sector 70,
Gurgaon
+91 99100 49851
Message: 
Dearest Mukti:
Last few weeks ko bhoolane ka prayaas. Hope the colours brighten up your day and ease the aches and pain when you see them. 
Love and light always,
Deepa
Pls send 7 sunflowers and 6 blue daisy in tissue wrap today before 12:30pm</v>
          </cell>
          <cell r="T99" t="str">
            <v xml:space="preserve">Sunflowers and  blue daisy 7+6 tissue wrap Message   </v>
          </cell>
        </row>
        <row r="100">
          <cell r="B100" t="str">
            <v>Pooja Mullik BPTP Amstoria</v>
          </cell>
          <cell r="D100" t="str">
            <v>BPTP Amstoria, Sec 102</v>
          </cell>
          <cell r="G100" t="str">
            <v xml:space="preserve"> before 1:30pm</v>
          </cell>
          <cell r="H100">
            <v>1450</v>
          </cell>
          <cell r="J100" t="str">
            <v>Bouquet</v>
          </cell>
          <cell r="K100" t="str">
            <v>Pls send one bouquet with 3 pink or white semi bloom oriental and 10 pink n white carnations in tissue wrap to bptp amstoria at reception.. pls carry delivery challan, order by pooja mallik bptp , pls deliver before 1:30pm</v>
          </cell>
          <cell r="T100" t="str">
            <v xml:space="preserve">Pink or white semi bloom oriental and pink n white carnations 3+10 tissue wrap    </v>
          </cell>
        </row>
        <row r="101">
          <cell r="B101" t="str">
            <v>Sonan Chauhan</v>
          </cell>
          <cell r="C101">
            <v>9810440637</v>
          </cell>
          <cell r="D101" t="str">
            <v>T-7 Flat No 202 The North Close</v>
          </cell>
          <cell r="G101" t="str">
            <v>Before 3 Pm</v>
          </cell>
          <cell r="H101">
            <v>1200</v>
          </cell>
          <cell r="J101" t="str">
            <v>Bouquet</v>
          </cell>
          <cell r="T101" t="str">
            <v xml:space="preserve">Asiatic+ Mix Car 4+10 Single Wrap    </v>
          </cell>
        </row>
        <row r="102">
          <cell r="A102" t="str">
            <v>B55243</v>
          </cell>
          <cell r="B102" t="str">
            <v>Manisha Dilawari</v>
          </cell>
          <cell r="C102">
            <v>9810653326</v>
          </cell>
          <cell r="D102" t="str">
            <v>Building-6/5B, The Hibiscus</v>
          </cell>
          <cell r="H102" t="str">
            <v>Only Payment</v>
          </cell>
          <cell r="I102" t="str">
            <v>Only Payment</v>
          </cell>
          <cell r="J102" t="str">
            <v>Only Payment</v>
          </cell>
          <cell r="K102" t="str">
            <v>Only Payment</v>
          </cell>
          <cell r="L102" t="str">
            <v>Only Payment</v>
          </cell>
          <cell r="M102" t="str">
            <v>Only Payment</v>
          </cell>
          <cell r="N102" t="str">
            <v>Only Payment</v>
          </cell>
          <cell r="O102" t="str">
            <v>Only Payment</v>
          </cell>
          <cell r="P102" t="str">
            <v>Only Payment</v>
          </cell>
          <cell r="Q102" t="str">
            <v>Only Payment</v>
          </cell>
          <cell r="R102" t="str">
            <v>Only Payment</v>
          </cell>
          <cell r="S102" t="str">
            <v>Only Payment</v>
          </cell>
          <cell r="T102" t="str">
            <v xml:space="preserve">Only Payment Only Payment Only Payment Only Payment Only Payment Only Payment </v>
          </cell>
        </row>
        <row r="103">
          <cell r="B103" t="str">
            <v>Arushi Kukreja</v>
          </cell>
          <cell r="C103" t="str">
            <v>70328 07468‬</v>
          </cell>
          <cell r="D103" t="str">
            <v>B 801 , emaar palm drive, golf course extension road sector 66 gurgaon</v>
          </cell>
          <cell r="G103" t="str">
            <v>Before 4 Pm</v>
          </cell>
          <cell r="H103">
            <v>1360</v>
          </cell>
          <cell r="J103" t="str">
            <v>Bouquet</v>
          </cell>
          <cell r="K103" t="str">
            <v>Pls send 2 arrangement 
One with 6 pink n white carnations and baby’s breath in sponge and cover the sponge with white sheet
Other with 12 pink n white carnations with baby’s breath in sponge and cover sponge with white sheet 
To Arushi Kukreja — +91 70328 07468 before 4pm for 1360</v>
          </cell>
          <cell r="T103" t="str">
            <v xml:space="preserve">One with 6 pink n white carnations and baby’s breath in sponge and cover the sponge with white sheet 1 12 pink n white carnations with baby’s breath in sponge and cover sponge with white sheet  1   </v>
          </cell>
        </row>
        <row r="104">
          <cell r="A104">
            <v>2716</v>
          </cell>
          <cell r="B104" t="str">
            <v>Simmi Chopra</v>
          </cell>
          <cell r="C104">
            <v>9891744488</v>
          </cell>
          <cell r="D104" t="str">
            <v>B/145, Suncity, Golf Course Road</v>
          </cell>
          <cell r="G104" t="str">
            <v>Complemenyty</v>
          </cell>
          <cell r="H104" t="str">
            <v>Complemenyty</v>
          </cell>
          <cell r="I104" t="str">
            <v>Complemenyty</v>
          </cell>
          <cell r="J104" t="str">
            <v>Complemenyty</v>
          </cell>
          <cell r="K104" t="str">
            <v>Complemenyty</v>
          </cell>
          <cell r="L104" t="str">
            <v>Complemenyty</v>
          </cell>
          <cell r="M104" t="str">
            <v>Complemenyty</v>
          </cell>
          <cell r="N104" t="str">
            <v>Complemenyty</v>
          </cell>
          <cell r="T104" t="str">
            <v>G n W Car ( 14 Inch ) 7     Grass</v>
          </cell>
        </row>
        <row r="105">
          <cell r="A105">
            <v>3307</v>
          </cell>
          <cell r="B105" t="str">
            <v>Amit Jindal</v>
          </cell>
          <cell r="C105">
            <v>8860400001</v>
          </cell>
          <cell r="D105" t="str">
            <v>T-5/1401, Vipul Greens</v>
          </cell>
          <cell r="G105" t="str">
            <v>before 6:30 pm</v>
          </cell>
          <cell r="H105">
            <v>2100</v>
          </cell>
          <cell r="J105" t="str">
            <v>Bouquet</v>
          </cell>
          <cell r="K105" t="str">
            <v>Pls send today a mix of semi bloom pink n white orinetal lilies in walkin tissue wrap to Amit Jindal —  +91 88604 00001, before 6:30 pm — pls failakar thoda bada banana aur Gypso thoda jyada use kar lena 
Message 
Happy Birthday Rajeev</v>
          </cell>
          <cell r="T105" t="str">
            <v xml:space="preserve">mix of semi bloom pink n white orinetal lilies 7 walkin tissue wrap+Massage    </v>
          </cell>
        </row>
        <row r="106">
          <cell r="B106" t="str">
            <v xml:space="preserve">Mandeep kaur </v>
          </cell>
          <cell r="C106">
            <v>8872082463</v>
          </cell>
          <cell r="D106" t="str">
            <v>Flate no 125   T 2B Princeton Estate</v>
          </cell>
          <cell r="G106" t="str">
            <v>By 7 PM</v>
          </cell>
          <cell r="H106">
            <v>1600</v>
          </cell>
          <cell r="J106" t="str">
            <v xml:space="preserve">Arrengment </v>
          </cell>
          <cell r="T106" t="str">
            <v xml:space="preserve">Oriental + Asiatic + car + Rose  1 + 3 + 6 +5 Bunch + 10inch Vase     </v>
          </cell>
        </row>
      </sheetData>
      <sheetData sheetId="23"/>
      <sheetData sheetId="24"/>
      <sheetData sheetId="25"/>
      <sheetData sheetId="26"/>
      <sheetData sheetId="27"/>
      <sheetData sheetId="28"/>
      <sheetData sheetId="29">
        <row r="2">
          <cell r="A2">
            <v>3410</v>
          </cell>
          <cell r="B2" t="str">
            <v>Tarishka Gupta</v>
          </cell>
          <cell r="C2">
            <v>9870128711</v>
          </cell>
          <cell r="D2" t="str">
            <v>A1/804, Unitech The Residences</v>
          </cell>
          <cell r="E2" t="str">
            <v>Sohna Road 2</v>
          </cell>
          <cell r="F2" t="str">
            <v>Thursday</v>
          </cell>
          <cell r="G2" t="str">
            <v>4 PM to 7 PM</v>
          </cell>
          <cell r="H2">
            <v>1450</v>
          </cell>
          <cell r="I2">
            <v>362.5</v>
          </cell>
          <cell r="J2" t="str">
            <v>Bliss</v>
          </cell>
          <cell r="N2" t="str">
            <v>3  del of this cycle   -  0-cycles pmnt   Completed - Collect 0</v>
          </cell>
          <cell r="O2" t="e">
            <v>#N/A</v>
          </cell>
          <cell r="P2" t="e">
            <v>#N/A</v>
          </cell>
          <cell r="Q2" t="e">
            <v>#N/A</v>
          </cell>
          <cell r="R2" t="str">
            <v>G n W Car ( 14 Inch ) 16     FF Sachet + Grass</v>
          </cell>
          <cell r="S2" t="str">
            <v>Y Asiatic ( 14 inch ) 3     Grass</v>
          </cell>
          <cell r="T2" t="str">
            <v>Mix Glad ( 14 Inch ) 16     FF Sachet + Grass</v>
          </cell>
        </row>
        <row r="3">
          <cell r="A3" t="str">
            <v>G-00066</v>
          </cell>
          <cell r="B3" t="str">
            <v>Aastha Vernma</v>
          </cell>
          <cell r="C3">
            <v>8581860035</v>
          </cell>
          <cell r="D3" t="str">
            <v>T-3/604, Takshila Heights, Sec 37 C</v>
          </cell>
          <cell r="E3" t="str">
            <v>Old Gurgaon</v>
          </cell>
          <cell r="F3" t="str">
            <v>Thursday</v>
          </cell>
          <cell r="G3" t="str">
            <v>4 PM to 7PM</v>
          </cell>
          <cell r="H3">
            <v>1450</v>
          </cell>
          <cell r="I3">
            <v>362.5</v>
          </cell>
          <cell r="J3" t="str">
            <v>Bliss</v>
          </cell>
          <cell r="K3" t="str">
            <v>From Srishti Verma</v>
          </cell>
          <cell r="N3" t="str">
            <v>3  del of this cycle   -  0-cycles pmnt   Completed - Collect 0</v>
          </cell>
          <cell r="O3" t="e">
            <v>#N/A</v>
          </cell>
          <cell r="P3" t="e">
            <v>#N/A</v>
          </cell>
          <cell r="Q3" t="e">
            <v>#N/A</v>
          </cell>
          <cell r="R3" t="str">
            <v>G n W Car ( 14 Inch ) 16     FF Sachet + Grass</v>
          </cell>
          <cell r="S3" t="str">
            <v>O Asiatic ( 14 Inch ) 3     Grass</v>
          </cell>
          <cell r="T3" t="str">
            <v>Mix Glad ( 14 Inch ) 16     FF Sachet + Grass</v>
          </cell>
        </row>
        <row r="4">
          <cell r="A4">
            <v>3411</v>
          </cell>
          <cell r="B4" t="str">
            <v>Chetna Bhardwaj</v>
          </cell>
          <cell r="C4">
            <v>8810598664</v>
          </cell>
          <cell r="D4" t="str">
            <v>A1/22C, ILD Grand Sec 37 C</v>
          </cell>
          <cell r="E4" t="str">
            <v>Dwarka Expressway</v>
          </cell>
          <cell r="F4" t="str">
            <v>Thursday</v>
          </cell>
          <cell r="G4" t="str">
            <v>4 PM to 7 PM</v>
          </cell>
          <cell r="H4">
            <v>1450</v>
          </cell>
          <cell r="I4">
            <v>362.5</v>
          </cell>
          <cell r="J4" t="str">
            <v>Bliss</v>
          </cell>
          <cell r="N4" t="str">
            <v>3  del of this cycle   -  0-cycles pmnt   Completed - Collect 0</v>
          </cell>
          <cell r="O4" t="e">
            <v>#N/A</v>
          </cell>
          <cell r="P4" t="e">
            <v>#N/A</v>
          </cell>
          <cell r="Q4" t="e">
            <v>#N/A</v>
          </cell>
          <cell r="R4" t="e">
            <v>#N/A</v>
          </cell>
          <cell r="S4" t="str">
            <v>O Asiatic ( 14 Inch ) 3     Grass</v>
          </cell>
          <cell r="T4" t="str">
            <v>Mix Glad ( 14 Inch ) 16     FF Sachet + Grass</v>
          </cell>
        </row>
        <row r="5">
          <cell r="A5">
            <v>2761</v>
          </cell>
          <cell r="B5" t="str">
            <v>Gyan</v>
          </cell>
          <cell r="C5">
            <v>9560719191</v>
          </cell>
          <cell r="D5" t="str">
            <v>J7, 2nd Floor, Signature Global City, Sec 37 D</v>
          </cell>
          <cell r="E5" t="str">
            <v>Dwarka Expressway</v>
          </cell>
          <cell r="F5" t="str">
            <v>Thursday</v>
          </cell>
          <cell r="G5" t="str">
            <v>4 PM to 7 PM</v>
          </cell>
          <cell r="H5">
            <v>1450</v>
          </cell>
          <cell r="I5">
            <v>362.5</v>
          </cell>
          <cell r="J5" t="str">
            <v>Bliss</v>
          </cell>
          <cell r="K5" t="str">
            <v>Upgraded as per scheme to Bliss for 5 Deliveries (22/08) No delivered today-send tom (02/10) Skip 1 week (26/11) Skip 2 week (28/01) Skip 2 week (10/03) No Sunflower ( 17/06)</v>
          </cell>
          <cell r="L5" t="str">
            <v>Sunflower</v>
          </cell>
          <cell r="N5" t="str">
            <v>3  del of this cycle   -   0-cycles pmnt   Completed - Collect 0</v>
          </cell>
          <cell r="O5" t="str">
            <v>Pur Eustoma ( 12 Inch ) 2 Rajni ( 14 Inch ) 7   FF Sachet + Grass</v>
          </cell>
          <cell r="P5" t="str">
            <v>Spray Daisy 3 B Daisy ( 12 Inch ) 7   FF Sachet + Grass</v>
          </cell>
          <cell r="Q5" t="str">
            <v>O Asiatic ( ( 14 inch ) 2 Mix Car 7   Grass</v>
          </cell>
          <cell r="R5" t="str">
            <v>P Spray Daisy ( 14 Inch ) 3 P n W Glad ( 14 Inch ) 7   FF Sachet + Grass</v>
          </cell>
          <cell r="S5" t="str">
            <v>Y Spray Daisy ( 14 Inch ) 3 Mix Alstroemeria ( 12 Inch ) 7 Ensure Collection Ensure Collection FF Sachet + Grass</v>
          </cell>
          <cell r="T5" t="str">
            <v>P Eustoma ( 12 Inch ) 2 R  n W Car ( 14 inch ) 7   FF Sachet + Grass</v>
          </cell>
        </row>
        <row r="6">
          <cell r="A6" t="str">
            <v>G-00036</v>
          </cell>
          <cell r="B6" t="str">
            <v>Aanchal Boora</v>
          </cell>
          <cell r="C6">
            <v>9654700022</v>
          </cell>
          <cell r="D6" t="str">
            <v>Flat - 1171, Ats Triumph, Wing B, Tower 1, 17th Floor, Sec 104</v>
          </cell>
          <cell r="E6" t="str">
            <v>Dwarka Expressway</v>
          </cell>
          <cell r="F6" t="str">
            <v>Thursday</v>
          </cell>
          <cell r="G6" t="str">
            <v>4 Pm to 7 PM</v>
          </cell>
          <cell r="H6">
            <v>1450</v>
          </cell>
          <cell r="I6">
            <v>362.5</v>
          </cell>
          <cell r="J6" t="str">
            <v>Bliss</v>
          </cell>
          <cell r="K6" t="str">
            <v>From Avni Ahuja // Skip tom (10/12) Paytm From Nitin Kunka // No Orchids (27/01) Skip 1 week (27/02) No Sunflowers (02/05)</v>
          </cell>
          <cell r="L6" t="str">
            <v xml:space="preserve">Orchid n Sunflowers </v>
          </cell>
          <cell r="M6" t="str">
            <v>One Kind</v>
          </cell>
          <cell r="N6" t="str">
            <v>2  del of this cycle   -  0-cycles pmnt   Completed - Collect 0</v>
          </cell>
          <cell r="O6" t="e">
            <v>#N/A</v>
          </cell>
          <cell r="P6" t="str">
            <v>P Asiatic ( 14 Inch ) 3    Collect Payment Grass</v>
          </cell>
          <cell r="Q6" t="str">
            <v>Rajni ( 14 Inch ) 16     Grass</v>
          </cell>
          <cell r="R6" t="str">
            <v>P n Y Spray Daisy ( 14 Inch ) 5     FF Sachet + Grass</v>
          </cell>
          <cell r="S6" t="str">
            <v>G n W Car ( 14 inch ) 16     FF Sachet + Grass</v>
          </cell>
          <cell r="T6" t="str">
            <v>Mix Glad ( 14 Inch ) 16     FF Sachet + Grass</v>
          </cell>
        </row>
        <row r="7">
          <cell r="A7">
            <v>2502</v>
          </cell>
          <cell r="B7" t="str">
            <v>Amrita Sarup</v>
          </cell>
          <cell r="C7">
            <v>7028026940</v>
          </cell>
          <cell r="D7" t="str">
            <v>D1/802, Experion Heartsong, Sec 108</v>
          </cell>
          <cell r="E7" t="str">
            <v>Dwarka Expressway</v>
          </cell>
          <cell r="F7" t="str">
            <v>Thursday</v>
          </cell>
          <cell r="G7" t="str">
            <v>4 Pm to 7 PM</v>
          </cell>
          <cell r="H7">
            <v>1450</v>
          </cell>
          <cell r="I7">
            <v>362.5</v>
          </cell>
          <cell r="J7" t="str">
            <v>Bliss</v>
          </cell>
          <cell r="K7" t="str">
            <v>No Asiatic n Spray Daisy // Today Hold (14/08) Replacement tom (04/12) No Orchid (11/12) No BOP n Orchid (12/12) Today Returned -send on Sunday (18/12) Returned today (01/01/26) Next 3 Deliveries with Premium (11/.04)</v>
          </cell>
          <cell r="L7" t="str">
            <v>BOP n Orchid</v>
          </cell>
          <cell r="M7" t="str">
            <v>Next 3 Deliveries with Premium (11/.04)</v>
          </cell>
          <cell r="N7" t="str">
            <v>1  del of this cycle   -  1-cycles pmnt   Pending - Collect 1450</v>
          </cell>
          <cell r="O7" t="e">
            <v>#N/A</v>
          </cell>
          <cell r="P7" t="str">
            <v>Pur n P Car ( 14 Inch ) 16     FF Sachet + Grass</v>
          </cell>
          <cell r="Q7" t="str">
            <v>O Asiatic ( ( 14 inch ) 3     Grass</v>
          </cell>
          <cell r="R7" t="str">
            <v>Mix Car ( 14 Inch ) 16     Grass</v>
          </cell>
          <cell r="S7" t="str">
            <v>P n Y Spray Daisy ( 14 Inch ) 5     FF Sachet + Grass</v>
          </cell>
          <cell r="T7" t="str">
            <v>Mix Glad ( 14 Inch ) 16     FF Sachet + Grass</v>
          </cell>
        </row>
        <row r="8">
          <cell r="A8">
            <v>3417</v>
          </cell>
          <cell r="B8" t="str">
            <v>Ravindra Mittal</v>
          </cell>
          <cell r="C8">
            <v>7011050555</v>
          </cell>
          <cell r="D8" t="str">
            <v>3 GF 1, ATS Kocoon, Sec 109</v>
          </cell>
          <cell r="E8" t="str">
            <v>Dwarka Expressway</v>
          </cell>
          <cell r="F8" t="str">
            <v>Thursday</v>
          </cell>
          <cell r="G8" t="str">
            <v>4 PM to 7 PM</v>
          </cell>
          <cell r="H8">
            <v>1950</v>
          </cell>
          <cell r="I8">
            <v>487.5</v>
          </cell>
          <cell r="J8" t="str">
            <v>Joy</v>
          </cell>
          <cell r="N8" t="str">
            <v>1  del of this cycle   -  1-cycles pmnt   Pending - Collect 1950</v>
          </cell>
          <cell r="O8" t="e">
            <v>#N/A</v>
          </cell>
          <cell r="P8" t="e">
            <v>#N/A</v>
          </cell>
          <cell r="Q8" t="e">
            <v>#N/A</v>
          </cell>
          <cell r="R8" t="e">
            <v>#N/A</v>
          </cell>
          <cell r="S8" t="e">
            <v>#N/A</v>
          </cell>
          <cell r="T8" t="str">
            <v>R n W Car ( 14 Inch ) 22   Ensure Collection Ensure Collection FF Sachet + Grass</v>
          </cell>
        </row>
        <row r="9">
          <cell r="A9">
            <v>3270</v>
          </cell>
          <cell r="B9" t="str">
            <v>Tanya Sharma</v>
          </cell>
          <cell r="C9">
            <v>7022251818</v>
          </cell>
          <cell r="D9" t="str">
            <v>T-8/202, Chintel Serenity, Sec 109</v>
          </cell>
          <cell r="E9" t="str">
            <v>Dwarka Expressway</v>
          </cell>
          <cell r="F9" t="str">
            <v>Thursday</v>
          </cell>
          <cell r="G9" t="str">
            <v>4 Pm to 7 PM</v>
          </cell>
          <cell r="H9">
            <v>1950</v>
          </cell>
          <cell r="I9">
            <v>487.5</v>
          </cell>
          <cell r="J9" t="str">
            <v>Joy</v>
          </cell>
          <cell r="K9" t="str">
            <v>No Yellow wn Purple // no Rajni (02/02) No ALstroemeria and do not count last del(19/06) Pls Don’t count last del (26/06)</v>
          </cell>
          <cell r="L9" t="str">
            <v>Rajni n Alstroemeria</v>
          </cell>
          <cell r="M9" t="str">
            <v>No Yellow wn Purple // Stock Next (02/03)</v>
          </cell>
          <cell r="N9" t="str">
            <v>3  del of this cycle   -  0-cycles pmnt   Completed - Collect 0</v>
          </cell>
          <cell r="O9" t="str">
            <v>O Asiatic ( 14 Inch ) 2 Rajni ( 14 Inch ) 11   Grass</v>
          </cell>
          <cell r="P9" t="str">
            <v>P n Y Spray Daisy ( 14 Inch ) 4 P n W Glad ( 14 Inch ) 11   FF Sachet + Grass</v>
          </cell>
          <cell r="Q9" t="str">
            <v>P Asiatic ( 14 Inch ) 2 P n W Car ( 14 Inch ) 11   Grass</v>
          </cell>
          <cell r="R9" t="str">
            <v>Asiatic  2 Mix Car ( 12 Inch ) 11   FF Sachet + Grass</v>
          </cell>
          <cell r="S9" t="str">
            <v>P Eustoma ( 12 Inch ) 2 Mix Glad ( 14 Inch ) 11 NO Yellow n Purple Color  FF Sachet + Grass</v>
          </cell>
          <cell r="T9" t="str">
            <v>P n W Spray Daisy ( 14 Inch ) 4 R n W Car ( 14 Inch )  11   FF Sachet + Grass</v>
          </cell>
        </row>
        <row r="10">
          <cell r="A10">
            <v>3247</v>
          </cell>
          <cell r="B10" t="str">
            <v>V P Singh</v>
          </cell>
          <cell r="C10">
            <v>9717986555</v>
          </cell>
          <cell r="D10" t="str">
            <v>WT04/701, Experion Windchantsm Sec 112</v>
          </cell>
          <cell r="E10" t="str">
            <v>Dwarka Expressway</v>
          </cell>
          <cell r="F10" t="str">
            <v>Thursday</v>
          </cell>
          <cell r="G10" t="str">
            <v>4 Pm to 7 PM</v>
          </cell>
          <cell r="H10">
            <v>1450</v>
          </cell>
          <cell r="I10">
            <v>362.5</v>
          </cell>
          <cell r="J10" t="str">
            <v>Bliss</v>
          </cell>
          <cell r="K10" t="str">
            <v>Paytm From Vijay Pratap Singh</v>
          </cell>
          <cell r="N10" t="str">
            <v>2  del of this cycle   -  0-cycles pmnt   Completed - Collect 0</v>
          </cell>
          <cell r="O10" t="str">
            <v>Pur Eustoma ( 12 Inch ) 3     FF Sachet + Grass</v>
          </cell>
          <cell r="P10" t="str">
            <v>O Asiatic ( 14 Inch ) 3     Grass</v>
          </cell>
          <cell r="Q10" t="str">
            <v>Rajni ( 14 Inch ) 16     Grass</v>
          </cell>
          <cell r="R10" t="str">
            <v>G n W Car ( 14 Inch ) 16     FF Sachet + Grass</v>
          </cell>
          <cell r="S10" t="str">
            <v>P n Y Spray Daisy ( 14 Inch ) 5     FF Sachet + Grass</v>
          </cell>
          <cell r="T10" t="str">
            <v>Mix Glad ( 14 Inch ) 16     FF Sachet + Grass</v>
          </cell>
        </row>
        <row r="11">
          <cell r="A11">
            <v>3415</v>
          </cell>
          <cell r="B11" t="str">
            <v>Sanjay Singh</v>
          </cell>
          <cell r="C11">
            <v>9868216569</v>
          </cell>
          <cell r="D11" t="str">
            <v>WT-1/1902, Experion Windchants, Sec 112</v>
          </cell>
          <cell r="E11" t="str">
            <v>Dwarka Expressway</v>
          </cell>
          <cell r="F11" t="str">
            <v>Thursday</v>
          </cell>
          <cell r="G11" t="str">
            <v>4 Pm to 7 PM</v>
          </cell>
          <cell r="H11">
            <v>1450</v>
          </cell>
          <cell r="I11">
            <v>362.5</v>
          </cell>
          <cell r="J11" t="str">
            <v>Bliss</v>
          </cell>
          <cell r="K11" t="str">
            <v>From 9575027271</v>
          </cell>
          <cell r="N11" t="str">
            <v>2  del of this cycle   -  0-cycles pmnt   Completed - Collect 0</v>
          </cell>
          <cell r="O11" t="e">
            <v>#N/A</v>
          </cell>
          <cell r="P11" t="e">
            <v>#N/A</v>
          </cell>
          <cell r="Q11" t="e">
            <v>#N/A</v>
          </cell>
          <cell r="R11" t="e">
            <v>#N/A</v>
          </cell>
          <cell r="S11" t="str">
            <v>P n W Car ( 14 Inch ) 16     FF Sachet + Grass</v>
          </cell>
          <cell r="T11" t="str">
            <v>Mix Glad ( 14 Inch ) 16     Grass</v>
          </cell>
        </row>
        <row r="12">
          <cell r="A12">
            <v>236</v>
          </cell>
          <cell r="B12" t="str">
            <v>Dr. Arti Gupta 1</v>
          </cell>
          <cell r="C12">
            <v>8860079525</v>
          </cell>
          <cell r="D12" t="str">
            <v>Mayom Hospital, D block south city 1</v>
          </cell>
          <cell r="E12" t="str">
            <v>South City 1</v>
          </cell>
          <cell r="F12" t="str">
            <v>Mondau</v>
          </cell>
          <cell r="G12" t="str">
            <v>9 AM - 12 PM</v>
          </cell>
          <cell r="H12">
            <v>1450</v>
          </cell>
          <cell r="I12">
            <v>362.5</v>
          </cell>
          <cell r="J12" t="str">
            <v>Corporate</v>
          </cell>
          <cell r="K12" t="str">
            <v>Pls send a replacement of Asiatic tomorrow(23/08)NO GERBERA(22/09) Start special Pack(13/04) Send Del on Monday this week(20/03) NEVER BUT DAISIES(29/10) Hold today (22/01) HDTNP (19/02) Sent one xtra del today (29/06) Hold today (09/07)</v>
          </cell>
          <cell r="N12" t="str">
            <v>2  del of this cycle   -  0-cycles pmnt   In Process - Collect 0</v>
          </cell>
          <cell r="O12" t="str">
            <v>Rajni ( 14 Inch ) 16     Grass</v>
          </cell>
          <cell r="P12" t="str">
            <v>B Daisy ( 12 Inch ) 10     Grass</v>
          </cell>
          <cell r="Q12" t="str">
            <v>P n W Car ( 14 Inch ) 16     FF Sachet + Grass</v>
          </cell>
          <cell r="R12" t="str">
            <v>Rajni ( 14 Inch ) 16     Grass</v>
          </cell>
          <cell r="S12" t="str">
            <v>B Daisy 10     Grass</v>
          </cell>
          <cell r="T12" t="str">
            <v>Mix Glad ( 14 Inch ) 16     FF Sachet + Grass</v>
          </cell>
        </row>
        <row r="13">
          <cell r="A13">
            <v>366</v>
          </cell>
          <cell r="B13" t="str">
            <v>Dr. Arti Gupta 1</v>
          </cell>
          <cell r="C13">
            <v>8860079525</v>
          </cell>
          <cell r="D13" t="str">
            <v>Mayom Hospital, D block south city 1</v>
          </cell>
          <cell r="E13" t="str">
            <v>South City 1</v>
          </cell>
          <cell r="F13" t="str">
            <v>Monday</v>
          </cell>
          <cell r="G13" t="str">
            <v>9 AM - 12 PM</v>
          </cell>
          <cell r="H13">
            <v>1450</v>
          </cell>
          <cell r="I13">
            <v>362.5</v>
          </cell>
          <cell r="J13" t="str">
            <v>Corporate</v>
          </cell>
          <cell r="K13" t="str">
            <v>NO GERBERA(22/09)Start special Pack(13/04) Extend 1 ddlivery as we are sending 1 Nargis Today(22/12) Send Del on Monday this week(20/03) Send Replacemenmt of Car(20/09/20) NEVER BUT DAISIES(29/10) Spray daisy Next(03/03) Sent Replacement today(01/08) Hold today (22/01) HDTNP (19/02) Sent one extra del today (29/06) Hold today (09/07)</v>
          </cell>
          <cell r="N13" t="str">
            <v>2  del of this cycle   -  0-cycles pmnt   In Process - Collect 0</v>
          </cell>
          <cell r="O13" t="str">
            <v>Pur Eustoma ( 12 Inch ) 3     FF Sachet + Grass</v>
          </cell>
          <cell r="P13" t="str">
            <v>P Asiatic ( 14 Inch ) 3     Grass</v>
          </cell>
          <cell r="Q13" t="str">
            <v>W Asiatic ( 14 Inch ) 3     Grass</v>
          </cell>
          <cell r="R13" t="str">
            <v>O Asiatic ( 14 Inch ) 3     Grass</v>
          </cell>
          <cell r="S13" t="str">
            <v>Y Asiatic ( 14 inch ) 3     Grass</v>
          </cell>
          <cell r="T13" t="str">
            <v>M n W  Spray Daisy ( 14 Inch ) 5     FF Sachet + Grass</v>
          </cell>
        </row>
        <row r="14">
          <cell r="A14">
            <v>61</v>
          </cell>
          <cell r="B14" t="str">
            <v>Megha Manchanda -- Bliss Pack</v>
          </cell>
          <cell r="C14">
            <v>9871919500</v>
          </cell>
          <cell r="D14" t="str">
            <v>T-3/302, Unitech Harmony</v>
          </cell>
          <cell r="E14" t="str">
            <v>Nirvana Country</v>
          </cell>
          <cell r="F14" t="str">
            <v>Thursday</v>
          </cell>
          <cell r="G14" t="str">
            <v>9 AM - 12 PM</v>
          </cell>
          <cell r="H14">
            <v>1450</v>
          </cell>
          <cell r="I14">
            <v>362.5</v>
          </cell>
          <cell r="J14" t="str">
            <v>Bliss</v>
          </cell>
          <cell r="K14" t="str">
            <v>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v>
          </cell>
          <cell r="N14" t="str">
            <v>4  del of this cycle   -  0-cycles pmnt   Completed - Collect 0</v>
          </cell>
          <cell r="O14" t="e">
            <v>#N/A</v>
          </cell>
          <cell r="P14" t="str">
            <v>Rajni ( 14 Inch ) 9     Grass</v>
          </cell>
          <cell r="Q14" t="str">
            <v>P Asiatic ( 14 Inch ) 3     Grass</v>
          </cell>
          <cell r="R14" t="str">
            <v>G n W Car ( 14 Inch ) 16     FF Sachet + Grass</v>
          </cell>
          <cell r="S14" t="str">
            <v>P n Y Spray Daisy ( 14 Inch ) 5     FF Sachet + Grass</v>
          </cell>
          <cell r="T14" t="str">
            <v>Mix Glad ( 14 Inch ) 16     FF Sachet + Grass</v>
          </cell>
        </row>
        <row r="15">
          <cell r="A15">
            <v>2481</v>
          </cell>
          <cell r="B15" t="str">
            <v>Puneet Mahajan</v>
          </cell>
          <cell r="C15">
            <v>9810110847</v>
          </cell>
          <cell r="D15" t="str">
            <v>D-19, 4th Floor, Siuth City -2, Opp Arcadia Mall</v>
          </cell>
          <cell r="E15" t="str">
            <v>Nirvana Country</v>
          </cell>
          <cell r="F15" t="str">
            <v>Sunday</v>
          </cell>
          <cell r="G15" t="str">
            <v>9 AM - 12 PM</v>
          </cell>
          <cell r="H15">
            <v>2300</v>
          </cell>
          <cell r="I15">
            <v>287.5</v>
          </cell>
          <cell r="J15" t="str">
            <v>Felicity</v>
          </cell>
          <cell r="K15" t="str">
            <v>Send Sponge// Day Changed to Sunday (16/04) Paytm From Sri Sai makers (20/04) Change to felicity (17/05) HDTNP (23/07)</v>
          </cell>
          <cell r="N15" t="str">
            <v>5  del of this cycle   -  0-cycles pmnt   Completed - Collect 0</v>
          </cell>
          <cell r="O15" t="str">
            <v>P Asiatic ( 14 Inch ) 2     Grass</v>
          </cell>
          <cell r="P15" t="str">
            <v>Sunflower ( 12 Inch ) 3     FF Sachet + Grass</v>
          </cell>
          <cell r="Q15" t="str">
            <v>Rajni ( 14 Inch ) 11     Grass</v>
          </cell>
          <cell r="R15" t="str">
            <v>O Asiatic ( 14 Inch ) 2     Grass</v>
          </cell>
          <cell r="S15" t="e">
            <v>#N/A</v>
          </cell>
          <cell r="T15" t="str">
            <v>R n W Car ( 14 Inch ) 11     FF Sachet + Grass</v>
          </cell>
        </row>
        <row r="16">
          <cell r="A16">
            <v>3133</v>
          </cell>
          <cell r="B16" t="str">
            <v>Anastasiia Liapicheva</v>
          </cell>
          <cell r="C16" t="str">
            <v>7678659573 // '+79029329098</v>
          </cell>
          <cell r="D16" t="str">
            <v>B1/602, Palm Groove Heights, Ardee City Sec 52</v>
          </cell>
          <cell r="E16" t="str">
            <v>Sushant Estate</v>
          </cell>
          <cell r="F16" t="str">
            <v>Thursday</v>
          </cell>
          <cell r="G16" t="str">
            <v>9 AM - 12 PM</v>
          </cell>
          <cell r="H16">
            <v>1450</v>
          </cell>
          <cell r="I16">
            <v>362.5</v>
          </cell>
          <cell r="J16" t="str">
            <v>Bliss</v>
          </cell>
          <cell r="K16" t="str">
            <v>No Lilies (02/11) No White Greens (02/12) Skip 1 week (07/01) skip 1 week (27/01) No Sunflower (06/03) Skip 1 week (06/06)</v>
          </cell>
          <cell r="L16" t="str">
            <v>Lily n Sunflower n White Greens</v>
          </cell>
          <cell r="M16" t="str">
            <v>No White Greens n Mixed Flowers</v>
          </cell>
          <cell r="N16" t="str">
            <v>4  del of this cycle   -  0-cycles pmnt   Completed - Collect 0</v>
          </cell>
          <cell r="O16" t="str">
            <v>Y Spray Daisy 3 P n W Car ( 14 Inch ) 7   FF Sachet + Grass</v>
          </cell>
          <cell r="P16" t="str">
            <v>P Eustoma ( 12 Inch ) 2 Rajni ( 14 Inch ) 7   FF Sachet + Grass</v>
          </cell>
          <cell r="Q16" t="str">
            <v>W Asiatic ( 14 Inch ) 2 Mix Alstroemeria ( 12 Inch ) 7   Grass</v>
          </cell>
          <cell r="R16" t="str">
            <v>P Spray Daisy ( 14 Inch ) 3 P n W Glad ( 14 Inch ) 7   FF Sachet + Grass</v>
          </cell>
          <cell r="S16" t="str">
            <v>Pur Eustoma ( 12 Inch ) 2 G n W Car ( 14 Inch ) 7   FF Sachet + Grass</v>
          </cell>
          <cell r="T16" t="str">
            <v>BOP ( 15 Inch ) 2 Rajni ( 14 Inch ) 7   FF Sachet + Grass</v>
          </cell>
        </row>
        <row r="17">
          <cell r="A17">
            <v>2406</v>
          </cell>
          <cell r="B17" t="str">
            <v>Vermeen Kapoor</v>
          </cell>
          <cell r="C17">
            <v>9873458198</v>
          </cell>
          <cell r="D17" t="str">
            <v>B-59, South City 2</v>
          </cell>
          <cell r="E17" t="str">
            <v>Nirvana Country</v>
          </cell>
          <cell r="F17" t="str">
            <v>Thursday</v>
          </cell>
          <cell r="G17" t="str">
            <v>9:30 Am to 2 PM</v>
          </cell>
          <cell r="H17">
            <v>1450</v>
          </cell>
          <cell r="I17">
            <v>362.5</v>
          </cell>
          <cell r="J17" t="str">
            <v>Bliss</v>
          </cell>
          <cell r="K17" t="str">
            <v>Referred by Swati Khandelwal?/ Mixed Flowers // Send replace,ent tom (19/02) Day Changed to Thursday (08/04) today returned-send tom (24/07)</v>
          </cell>
          <cell r="M17" t="str">
            <v>Mixed Flowers</v>
          </cell>
          <cell r="N17" t="str">
            <v>2  del of this cycle   -  0-cycles pmnt   Completed - Collect 0</v>
          </cell>
          <cell r="O17" t="str">
            <v>P Asiatic ( 14 Inch ) 2 B Daisy ( 12 Inch ) 7   Grass</v>
          </cell>
          <cell r="P17" t="str">
            <v>P Spray Daisy ( 14 Inch ) 3 Rajni ( 14 Inch ) 7   FF Sachet + Grass</v>
          </cell>
          <cell r="Q17" t="str">
            <v>Sunflower ( 12 Inch ) 2 P n W Car ( 14 Inch ) 7   FF Sachet + Grass</v>
          </cell>
          <cell r="R17" t="str">
            <v>O Asiatic ( 14 Inch ) 2 P n W Glad ( 14 Inch ) 7   Grass</v>
          </cell>
          <cell r="S17" t="str">
            <v>Pur Eustoma ( 12 Inch ) 2 Mix Alstroemeria ( 12 Inch ) 7   FF Sachet + Grass</v>
          </cell>
          <cell r="T17" t="str">
            <v>Y Spray Daisy ( 14 Inch ) 3 P n W Car ( 14 inch ) 7   FF Sachet + Grass</v>
          </cell>
        </row>
        <row r="18">
          <cell r="A18">
            <v>396</v>
          </cell>
          <cell r="B18" t="str">
            <v>Dr. Deepa Gupta</v>
          </cell>
          <cell r="C18">
            <v>8860079525</v>
          </cell>
          <cell r="D18" t="str">
            <v>Mayom Hospital, D block south city 1</v>
          </cell>
          <cell r="E18" t="str">
            <v>South City 1</v>
          </cell>
          <cell r="F18" t="str">
            <v>Thursday</v>
          </cell>
          <cell r="G18" t="str">
            <v>4 PM to 7 PM</v>
          </cell>
          <cell r="H18">
            <v>1450</v>
          </cell>
          <cell r="I18">
            <v>362.5</v>
          </cell>
          <cell r="J18" t="str">
            <v>Corporate</v>
          </cell>
          <cell r="K18" t="str">
            <v>1 del Missed(07/10) Return-send next week(31/12) Send replacement of Gerbera(30/10) Send on Monday this week(20/03) Return- hold package(08/07) Today returned-send next week(02/06) HDTNP (19/02)</v>
          </cell>
          <cell r="N18" t="str">
            <v>1  del of this cycle   -  0-cycles pmnt   In Process - Collect 0</v>
          </cell>
          <cell r="O18" t="str">
            <v>Rajni ( 14 Inch ) 16     Grass</v>
          </cell>
          <cell r="P18" t="str">
            <v>P n W Glad ( 14 Inch ) 16     Grass</v>
          </cell>
          <cell r="Q18" t="str">
            <v>P n W Car ( 14 Inch ) 16     FF Sachet + Grass</v>
          </cell>
          <cell r="R18" t="str">
            <v>Rajni ( 14 Inch ) 16     Grass</v>
          </cell>
          <cell r="S18" t="str">
            <v>B Daisy 10     Grass</v>
          </cell>
          <cell r="T18" t="str">
            <v>Mix Glad ( 14 Inch ) 16     FF Sachet + Grass</v>
          </cell>
        </row>
        <row r="19">
          <cell r="A19">
            <v>2294</v>
          </cell>
          <cell r="B19" t="str">
            <v>Sonal Verma</v>
          </cell>
          <cell r="C19">
            <v>9711499808</v>
          </cell>
          <cell r="D19" t="str">
            <v>H. No. 19, 1st Floor, Cedar Crest</v>
          </cell>
          <cell r="E19" t="str">
            <v>Nirvana Country</v>
          </cell>
          <cell r="F19" t="str">
            <v>Thursday</v>
          </cell>
          <cell r="G19" t="str">
            <v>9 AM - 12 PM</v>
          </cell>
          <cell r="H19">
            <v>1450</v>
          </cell>
          <cell r="I19">
            <v>362.5</v>
          </cell>
          <cell r="J19" t="str">
            <v>Bliss</v>
          </cell>
          <cell r="K19" t="str">
            <v>Skip 1 week (11/03) Skip 1 week (21/05) Pls skip 1 week (18/06) Sent one del today (10/12) Hold due to non payment (29/01) Hold due to non payment (04/02) HDTNP (19/02) HDTNP (26/02) HDTNP (21/05) HDTNP (28/05) HDTNP (04/06) HDTNP (11/06) HDTNP (18/06) HDTNP (25/06) HDTNP (02/07) Paytm From Sandeep Verma (09/07)</v>
          </cell>
          <cell r="N19" t="str">
            <v>1  del of this cycle   -  1-cycles pmnt   Pending - Collect 1450</v>
          </cell>
          <cell r="O19" t="e">
            <v>#N/A</v>
          </cell>
          <cell r="P19" t="str">
            <v xml:space="preserve">Collect Rs 725 Carry Reciept Book     </v>
          </cell>
          <cell r="Q19" t="str">
            <v xml:space="preserve">Collect 725  Carry Receipt Bookl     </v>
          </cell>
          <cell r="R19" t="str">
            <v>G n W Car ( 14 Inch ) 16     FF Sachet + Grass</v>
          </cell>
          <cell r="S19" t="str">
            <v>Y Asiatic ( 14 inch ) 3     Grass</v>
          </cell>
          <cell r="T19" t="str">
            <v>Mix Alstroemeria ( 12 Inch ) 16   Ensure Collection Ensure Collection FF Sachet + Grass</v>
          </cell>
        </row>
        <row r="20">
          <cell r="A20">
            <v>2644</v>
          </cell>
          <cell r="B20" t="str">
            <v>Sanjeet Kaur</v>
          </cell>
          <cell r="C20">
            <v>7889438209</v>
          </cell>
          <cell r="D20" t="str">
            <v>601, Emerald Green, Sector 52</v>
          </cell>
          <cell r="E20" t="str">
            <v>Artemis</v>
          </cell>
          <cell r="F20" t="str">
            <v>Thursday</v>
          </cell>
          <cell r="G20" t="str">
            <v>9:30 Am to 2 PM</v>
          </cell>
          <cell r="H20">
            <v>1450</v>
          </cell>
          <cell r="I20">
            <v>362.5</v>
          </cell>
          <cell r="J20" t="str">
            <v>Bliss</v>
          </cell>
          <cell r="K20" t="str">
            <v>1 Gypsola in each Del (16/05) Paytm From Arshia Kaur (13/06) Paytm From Yogpal Singh (20/12) Do not count todays delivery (30/04)</v>
          </cell>
          <cell r="M20" t="str">
            <v>1 Gyposla in each Del</v>
          </cell>
          <cell r="N20" t="str">
            <v>4  del of this cycle   -  0-cycles pmnt   Completed - Collect 0</v>
          </cell>
          <cell r="O20" t="str">
            <v>B Daisy ( 12 Inch ) 9     Grass</v>
          </cell>
          <cell r="P20" t="str">
            <v>P Asiatic ( 14 Inch ) 2     Grass</v>
          </cell>
          <cell r="Q20" t="str">
            <v>Pur n P Car ( 14 Inch ) 16     FF Sachet + Grass</v>
          </cell>
          <cell r="R20" t="str">
            <v>P n Y Spray Daisy ( 14 Inch ) 5     FF Sachet + Grass</v>
          </cell>
          <cell r="S20" t="str">
            <v>Mix Glad ( 14 Inch ) 16     Grass</v>
          </cell>
          <cell r="T20" t="str">
            <v>O Asiatic ( 14 Inch ) 3     Grass</v>
          </cell>
        </row>
        <row r="21">
          <cell r="A21">
            <v>2774</v>
          </cell>
          <cell r="B21" t="str">
            <v>Vandana Thakran</v>
          </cell>
          <cell r="C21">
            <v>9899589964</v>
          </cell>
          <cell r="D21" t="str">
            <v>H. No. 35, Cedar Crest</v>
          </cell>
          <cell r="E21" t="str">
            <v>Nirvana Country</v>
          </cell>
          <cell r="F21" t="str">
            <v>Sunday</v>
          </cell>
          <cell r="G21" t="str">
            <v>9 AM - 12 PM</v>
          </cell>
          <cell r="H21">
            <v>1600</v>
          </cell>
          <cell r="I21">
            <v>200</v>
          </cell>
          <cell r="J21" t="str">
            <v>Bloom</v>
          </cell>
          <cell r="N21" t="str">
            <v>2  del of this cycle   -  0-cycles pmnt   Completed - Collect 0</v>
          </cell>
          <cell r="O21" t="str">
            <v>P n W Glad ( 14 Inch ) 7     Grass</v>
          </cell>
          <cell r="P21" t="str">
            <v>Rajni ( 14 Inch ) 7     Grass</v>
          </cell>
          <cell r="Q21" t="str">
            <v>P n W Car ( 14 Inch ) 7     FF Sachet + Grass</v>
          </cell>
          <cell r="R21" t="str">
            <v>Mix Alstroemeria ( 12 Inch ) 7     FF Sachet + Grass</v>
          </cell>
          <cell r="S21" t="str">
            <v>Rajni ( 14 Inch ) 7     Grass</v>
          </cell>
          <cell r="T21" t="str">
            <v>P Spray Daisy ( 14 Inch ) 2     FF Sachet + Grass</v>
          </cell>
        </row>
        <row r="22">
          <cell r="A22">
            <v>894</v>
          </cell>
          <cell r="B22" t="str">
            <v>Dr. Roma Kumar</v>
          </cell>
          <cell r="C22" t="str">
            <v>98110 87708</v>
          </cell>
          <cell r="D22" t="str">
            <v>RT-181, Royalton Tower
Inside Princeton Estate
DLF City Phase-V
Gurgaon-122009
Haryana</v>
          </cell>
          <cell r="E22" t="str">
            <v>DLF Phase 5</v>
          </cell>
          <cell r="F22" t="str">
            <v>Thursday</v>
          </cell>
          <cell r="G22" t="str">
            <v>9 AM - 12 PM</v>
          </cell>
          <cell r="H22">
            <v>3000</v>
          </cell>
          <cell r="I22">
            <v>375</v>
          </cell>
          <cell r="J22" t="str">
            <v>Charm</v>
          </cell>
          <cell r="K22"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 Hold today (26/07)</v>
          </cell>
          <cell r="L22" t="str">
            <v>ORCHID</v>
          </cell>
          <cell r="N22" t="str">
            <v>2  del of this cycle   -  1-cycles pmnt   Pending - Collect 3000</v>
          </cell>
          <cell r="O22" t="str">
            <v>Rajni ( 14 Inch ) 15     Grass</v>
          </cell>
          <cell r="P22" t="str">
            <v>B Daisy ( 12 Inch ) 15     Grass</v>
          </cell>
          <cell r="Q22" t="str">
            <v>G Anthurium 3     Grass</v>
          </cell>
          <cell r="R22" t="e">
            <v>#N/A</v>
          </cell>
          <cell r="S22" t="str">
            <v>Y Asiatic ( 14 inch ) 3     Grass</v>
          </cell>
          <cell r="T22" t="str">
            <v>Rajni ( 14 Inch ) 15     Grass</v>
          </cell>
        </row>
        <row r="23">
          <cell r="A23">
            <v>2246</v>
          </cell>
          <cell r="B23" t="str">
            <v>Amita Gupta</v>
          </cell>
          <cell r="C23">
            <v>9811985450</v>
          </cell>
          <cell r="D23" t="str">
            <v>146, Cedar Crest</v>
          </cell>
          <cell r="E23" t="str">
            <v>Nirvana Country</v>
          </cell>
          <cell r="F23" t="str">
            <v>Thursday</v>
          </cell>
          <cell r="G23" t="str">
            <v>9 AM - 12 PM</v>
          </cell>
          <cell r="H23">
            <v>1600</v>
          </cell>
          <cell r="I23">
            <v>200</v>
          </cell>
          <cell r="J23" t="str">
            <v>Bloom</v>
          </cell>
          <cell r="K23" t="str">
            <v>Return today (03/10) Change to bliss (23/10) No Orchid (24/10) Send a vase tom (20/08) Upgrade to bliss (17/12)</v>
          </cell>
          <cell r="L23" t="str">
            <v>Orchid</v>
          </cell>
          <cell r="M23" t="str">
            <v>1 Vase Tom (20/08)</v>
          </cell>
          <cell r="N23" t="str">
            <v>1  del of this cycle   -  1-cycles pmnt   Pending - Collect 1600</v>
          </cell>
          <cell r="O23" t="str">
            <v>P n W Glad ( 14 Inch ) 7     Grass</v>
          </cell>
          <cell r="P23" t="str">
            <v>P n W Car ( 14 Inch ) 7     FF Sachet + Grass</v>
          </cell>
          <cell r="Q23" t="str">
            <v>Sunflower ( 12 Inch ) 2     FF Sachet + Grass</v>
          </cell>
          <cell r="R23" t="str">
            <v>P n W Glad ( 14 Inch ) 7     Grass</v>
          </cell>
          <cell r="S23" t="str">
            <v>Y Spray Daisy ( 14 Inch ) 2     FF Sachet + Grass</v>
          </cell>
          <cell r="T23" t="str">
            <v>Mix Alstroemeria ( 12 Inch ) 7     FF Sachet + Grass</v>
          </cell>
        </row>
        <row r="24">
          <cell r="A24">
            <v>58</v>
          </cell>
          <cell r="B24" t="str">
            <v>Ms. Anupma Chandna</v>
          </cell>
          <cell r="C24">
            <v>8130077970</v>
          </cell>
          <cell r="D24" t="str">
            <v>32, aspen greens, nirvana</v>
          </cell>
          <cell r="E24" t="str">
            <v>Nirvana Country</v>
          </cell>
          <cell r="F24" t="str">
            <v>Thursday</v>
          </cell>
          <cell r="G24" t="str">
            <v>9 AM - 12 PM</v>
          </cell>
          <cell r="H24">
            <v>1950</v>
          </cell>
          <cell r="I24">
            <v>487.5</v>
          </cell>
          <cell r="J24" t="str">
            <v>Joy</v>
          </cell>
          <cell r="K24" t="str">
            <v>No Rose // Hold n start from 04th Dec (03/11) No Greens</v>
          </cell>
          <cell r="L24" t="str">
            <v>Rose</v>
          </cell>
          <cell r="M24" t="str">
            <v>No Greens</v>
          </cell>
          <cell r="N24" t="str">
            <v>4  del of this cycle   -  0-cycles pmnt   Completed - Collect 30</v>
          </cell>
          <cell r="O24" t="str">
            <v>P Asiatic ( 14 Inch ) 2 B Daisy ( 12 Inch ) 11   Grass</v>
          </cell>
          <cell r="P24" t="str">
            <v>P n Y Spray Daisy ( 14 Inch ) 5 Rajni ( 14 Inch ) 16   FF Sachet + Grass</v>
          </cell>
          <cell r="Q24" t="str">
            <v>BOP ( 15 Inch ) 2 Mix Alstroemeria ( 12 Inch ) 11   FF Sachet + Grass</v>
          </cell>
          <cell r="R24" t="str">
            <v>O Asiatic ( 14 Inch ) 2 G n W Car ( 14 Inch ) 11   Grass</v>
          </cell>
          <cell r="S24" t="str">
            <v>Pur Eustoma ( 12 Inch ) 2 Mix Glad ( 14 Inch ) 11   FF Sachet + Grass</v>
          </cell>
          <cell r="T24" t="str">
            <v>P n W Spray Daisy ( 14 Inch ) 4 Rajni ( 14 Inch ) 11   FF Sachet + Grass</v>
          </cell>
        </row>
        <row r="25">
          <cell r="A25">
            <v>2250</v>
          </cell>
          <cell r="B25" t="str">
            <v>Saloni Gupta</v>
          </cell>
          <cell r="C25">
            <v>9810796682</v>
          </cell>
          <cell r="D25" t="str">
            <v>338, 3rd Floor, Espace</v>
          </cell>
          <cell r="E25" t="str">
            <v>Nirvana Country</v>
          </cell>
          <cell r="F25" t="str">
            <v>Tuesday</v>
          </cell>
          <cell r="G25" t="str">
            <v>9 AM - 12 PM</v>
          </cell>
          <cell r="H25">
            <v>3088</v>
          </cell>
          <cell r="I25">
            <v>386</v>
          </cell>
          <cell r="J25" t="str">
            <v>Cutsomized-Biweekly</v>
          </cell>
          <cell r="K25"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 Do not count todays del (19/07)</v>
          </cell>
          <cell r="N25" t="str">
            <v>3  del of this cycle   -  0-cycles pmnt   Completed - Collect 0</v>
          </cell>
          <cell r="O25" t="str">
            <v>W Asiatic ( 14 Inch ) 3     Grass</v>
          </cell>
          <cell r="P25" t="str">
            <v>O Asiatic ( 14 Inch ) 3     Grass</v>
          </cell>
          <cell r="Q25" t="str">
            <v>P Asiatic ( 14 Inch ) 2     Grass</v>
          </cell>
          <cell r="R25" t="str">
            <v>O Asiatic ( 14 Inch ) 3     Grass</v>
          </cell>
          <cell r="S25" t="str">
            <v>O Asiatic ( 14 Inch ) 3     Grass</v>
          </cell>
          <cell r="T25" t="str">
            <v>W Asiatic ( 14 Inch ) 3     Grass</v>
          </cell>
        </row>
        <row r="26">
          <cell r="A26">
            <v>172</v>
          </cell>
          <cell r="B26" t="str">
            <v>Rachna Rathee</v>
          </cell>
          <cell r="C26">
            <v>9811779661</v>
          </cell>
          <cell r="D26" t="str">
            <v xml:space="preserve">DX-106 flat no,Kendriya vihar Sector 56
</v>
          </cell>
          <cell r="E26" t="str">
            <v>Sector 56</v>
          </cell>
          <cell r="F26" t="str">
            <v>Thursday</v>
          </cell>
          <cell r="G26" t="str">
            <v>9 AM - 12 PM</v>
          </cell>
          <cell r="H26">
            <v>1450</v>
          </cell>
          <cell r="I26">
            <v>362.5</v>
          </cell>
          <cell r="J26" t="str">
            <v>Bliss</v>
          </cell>
          <cell r="K26" t="str">
            <v>Sendng rtrnd of 30 th on 1st(30/06)Retrnd pls send white Orchid(30/06) NO GERBERA(04/08) Paytm from raj Singh(08/12) Skip 1 week(21/12) NO Daisy(12/01) Hold n sned after 15th Apr(29/03) Hold n start after 10th Sep(30/08) NO DAISY(09/11) NO ROSE(21/12) Today return-send tom(10/10/20) Sending Del Tom due to Diwali(11/11) Referal payout of 162 added against Mr. Shoran(030/11) Referal credit added with ref to Apala das Gupta(29/03) Today hold and send after 11th May and ask before del(30/04) Hold till 28th Feb (10/02) Hold 3 Weeks (10/07) No Blue Orchid (23/10) Extra added against less mogra in Diwali Flowers (26/11) send replacement tom (04/07) Hold she will confirm when to start (13/05) No Gerbera (07/08) Send replacement tom (27/03)</v>
          </cell>
          <cell r="L26" t="str">
            <v>BLUE ORCHID n GERBERA</v>
          </cell>
          <cell r="N26" t="str">
            <v>2  del of this cycle   -  0-cycles pmnt   Completed - Collect 0</v>
          </cell>
          <cell r="O26" t="e">
            <v>#N/A</v>
          </cell>
          <cell r="P26" t="str">
            <v>Pur n P Car ( 14 Inch ) 16     FF Sachet + Grass</v>
          </cell>
          <cell r="Q26" t="str">
            <v>Sunflower ( 12 Inch ) 4     FF Sachet + Grass</v>
          </cell>
          <cell r="R26" t="str">
            <v>P n Y Spray Daisy ( 14 Inch ) 5     FF Sachet + Grass</v>
          </cell>
          <cell r="S26" t="str">
            <v>Mix Glad ( 14 Inch ) 16     Grass</v>
          </cell>
          <cell r="T26" t="str">
            <v>O Asiatic ( 14 Inch ) 3     Grass</v>
          </cell>
        </row>
        <row r="27">
          <cell r="A27" t="str">
            <v>G-00015</v>
          </cell>
          <cell r="B27" t="str">
            <v>Harsh  - Unikon</v>
          </cell>
          <cell r="C27">
            <v>9015463811</v>
          </cell>
          <cell r="D27" t="str">
            <v>AR-903B, 3rd Floor, Aralias</v>
          </cell>
          <cell r="E27" t="str">
            <v>Golf Course Road</v>
          </cell>
          <cell r="F27" t="str">
            <v>Thursday</v>
          </cell>
          <cell r="G27" t="str">
            <v>4 Pm to 7 PM</v>
          </cell>
          <cell r="H27">
            <v>2750</v>
          </cell>
          <cell r="I27">
            <v>687.5</v>
          </cell>
          <cell r="J27" t="str">
            <v>Elation</v>
          </cell>
          <cell r="K27" t="str">
            <v>From Deep Bajaj // Message = Your boyfriend:p (05/11) Paytm from Simran Dhawan (04/03) Send 1 delivery tomorrow (17/03) Skip 1 week (10/04) Add change request from Jasjit -- 9560611229</v>
          </cell>
          <cell r="M27" t="str">
            <v>One time Single n One Time Mixed</v>
          </cell>
          <cell r="N27" t="str">
            <v>1  del of this cycle   -  0-cycles pmnt   In Process - Collect 0</v>
          </cell>
          <cell r="O27" t="str">
            <v>P Asiatic ( 14 Inch ) 3 B Daisy ( 12 Inch ) 16   2 Limonium</v>
          </cell>
          <cell r="P27" t="str">
            <v xml:space="preserve">Eustoma 4 Rajni ( 14 Inch ) 16   2 Gypsola + FF Sachet </v>
          </cell>
          <cell r="Q27" t="str">
            <v>Sunflower ( 12 Inch ) 4 B Daisy ( 12 Inch ) 16   2 Limonium + FF Sachet</v>
          </cell>
          <cell r="R27" t="str">
            <v>P n W Spray Daisy ( 14 Inch ) 5 P n W Car ( 14 Inch ) 16   2 Gypsola + FF Sachet</v>
          </cell>
          <cell r="S27" t="str">
            <v>O Asiatic ( 14 Inch ) 3 Rajni 16   2 Limonium</v>
          </cell>
          <cell r="T27" t="str">
            <v>Pur n P Eustoma ( 12 Inch ) 4 Mix Alstroemeria ( 12 Inch ) 16   2 Gypsola + FF Sachet</v>
          </cell>
        </row>
        <row r="28">
          <cell r="A28">
            <v>3122</v>
          </cell>
          <cell r="B28" t="str">
            <v>Abha Ghosh</v>
          </cell>
          <cell r="C28">
            <v>9650001674</v>
          </cell>
          <cell r="D28" t="str">
            <v>6A, Galicia, Raisina Residency, Sec 59</v>
          </cell>
          <cell r="E28" t="str">
            <v>Ghata</v>
          </cell>
          <cell r="F28" t="str">
            <v>Thursday</v>
          </cell>
          <cell r="G28" t="str">
            <v>9 AM - 12 PM</v>
          </cell>
          <cell r="H28">
            <v>1450</v>
          </cell>
          <cell r="I28">
            <v>362.5</v>
          </cell>
          <cell r="J28" t="str">
            <v>Bliss</v>
          </cell>
          <cell r="K28" t="str">
            <v>Returned yesterday (07/11)</v>
          </cell>
          <cell r="N28" t="str">
            <v>3  del of this cycle   -  0-cycles pmnt   Completed - Collect 0</v>
          </cell>
          <cell r="O28" t="str">
            <v>B Daisy ( 12 Inch ) 16     Grass</v>
          </cell>
          <cell r="P28" t="str">
            <v>P Asiatic ( 14 Inch ) 3     Grass</v>
          </cell>
          <cell r="Q28" t="str">
            <v>Rajni ( 14 Inch ) 16     Grass</v>
          </cell>
          <cell r="R28" t="str">
            <v>G n W Car ( 14 Inch ) 16     FF Sachet + Grass</v>
          </cell>
          <cell r="S28" t="str">
            <v>P n Y Spray Daisy ( 14 Inch ) 5     FF Sachet + Grass</v>
          </cell>
          <cell r="T28" t="str">
            <v>B Daisy 12     FF Sachet + Grass</v>
          </cell>
        </row>
        <row r="29">
          <cell r="A29">
            <v>2395</v>
          </cell>
          <cell r="B29" t="str">
            <v>Anupma Katyal</v>
          </cell>
          <cell r="C29">
            <v>9999967563</v>
          </cell>
          <cell r="D29" t="str">
            <v>1484, Saraswati Kunj</v>
          </cell>
          <cell r="E29" t="str">
            <v>DLF Phase 5</v>
          </cell>
          <cell r="F29" t="str">
            <v>Thursday</v>
          </cell>
          <cell r="G29" t="str">
            <v>10 AM to 2:30 PM</v>
          </cell>
          <cell r="H29">
            <v>1950</v>
          </cell>
          <cell r="I29">
            <v>487.5</v>
          </cell>
          <cell r="J29" t="str">
            <v>Collection Only</v>
          </cell>
          <cell r="K29" t="str">
            <v>Return today (22/05) Hold today due to non payment (02/10) HDTNP (02/07) HDTNP (09/07) HDTNP (23/07)</v>
          </cell>
          <cell r="M29" t="str">
            <v>Mixed Flowers</v>
          </cell>
          <cell r="N29" t="str">
            <v>2  del of this cycle   -  1-cycles pmnt   Pending - Collect 1950</v>
          </cell>
          <cell r="O29" t="str">
            <v>P Asiatic ( 14 Inch ) 4     Grass</v>
          </cell>
          <cell r="P29" t="e">
            <v>#N/A</v>
          </cell>
          <cell r="Q29" t="e">
            <v>#N/A</v>
          </cell>
          <cell r="R29" t="e">
            <v>#N/A</v>
          </cell>
          <cell r="S29" t="str">
            <v>G n W Car ( 14 inch ) 22 Check with us before sending Check with us before sending Check with us before sending  FF Sachet + Grass</v>
          </cell>
          <cell r="T29" t="str">
            <v xml:space="preserve">Collect 487 and Close Package Carry Receipt Book     </v>
          </cell>
        </row>
        <row r="30">
          <cell r="A30" t="str">
            <v>B56436</v>
          </cell>
          <cell r="B30" t="str">
            <v>Bhopesh Mittal</v>
          </cell>
          <cell r="C30">
            <v>9999482660</v>
          </cell>
          <cell r="D30" t="str">
            <v>C-81, 2nd Floor, Suncity</v>
          </cell>
          <cell r="E30" t="str">
            <v>Golf Course Road</v>
          </cell>
          <cell r="F30" t="str">
            <v>Sunday</v>
          </cell>
          <cell r="G30" t="str">
            <v>By 11 AM</v>
          </cell>
          <cell r="H30">
            <v>600</v>
          </cell>
          <cell r="I30">
            <v>600</v>
          </cell>
          <cell r="J30" t="str">
            <v>Bouquet</v>
          </cell>
          <cell r="K30" t="str">
            <v>From Rotary Club// Wish you a very Happy Birthday.  From RCGQE (11/07)</v>
          </cell>
          <cell r="N30" t="str">
            <v>1  del of this cycle   -  0-cycles pmnt   In Process - Collect 0</v>
          </cell>
          <cell r="O30" t="e">
            <v>#N/A</v>
          </cell>
          <cell r="P30" t="e">
            <v>#N/A</v>
          </cell>
          <cell r="Q30" t="e">
            <v>#N/A</v>
          </cell>
          <cell r="R30" t="e">
            <v>#N/A</v>
          </cell>
          <cell r="S30" t="e">
            <v>#N/A</v>
          </cell>
          <cell r="T30" t="str">
            <v xml:space="preserve">P n W Car ( 14 Inch )  15 Walkin Tissue Wrap Message   </v>
          </cell>
        </row>
        <row r="31">
          <cell r="A31">
            <v>888</v>
          </cell>
          <cell r="B31" t="str">
            <v>Ankita Mehta</v>
          </cell>
          <cell r="C31">
            <v>9868169896</v>
          </cell>
          <cell r="D31" t="str">
            <v>1B-71, Wellington Estate</v>
          </cell>
          <cell r="E31" t="str">
            <v>DLF Phase 5</v>
          </cell>
          <cell r="F31" t="str">
            <v>Thursday</v>
          </cell>
          <cell r="G31" t="str">
            <v>9 AM - 12 PM</v>
          </cell>
          <cell r="H31">
            <v>1450</v>
          </cell>
          <cell r="I31">
            <v>362.5</v>
          </cell>
          <cell r="J31" t="str">
            <v>Bliss</v>
          </cell>
          <cell r="K31" t="str">
            <v>Mix of Asiatic n Car(29/07) Send tom instead of Thursday(12/08) GLAD n ORCHID THIS CYCLE(28/08) ONLY LILY n CAR TILL SHE REVOKES n skip this week (04/09) Rajni n Rose Next(28/11) Lilies and Rose in this cycle(11/12)) Mixed Flowers only(30/08) Want Car// Orchid// Lily//Spray Daisy//Glad(19/09)  Flowers only from Car// Orchid// Lily//Spray Daisy//Glad(11/10) This cycle--Glad//BOP//Orchid//Lily(15/10) This cycle-- Glad//BOP//Orchid// Lily(14/11) This cycle-- Rose/Asiatic/BOP/G;ad/Guldawari and Orchid (25/09) No Upgrade-send lilies (19/10) Send nily next and always once in a cycle (15/12) NO SPRAY DAISY n GULDAWARI and sned Asiatic once in 1 cycle (19/01) Skip 1 week (24/01) Skip 1 week (06/03) Skip 1 week (05/ Skip 1 week 916/04)03) Skip 1 week (04/03) Skip 2 week (18/05) Send reaplacement tom (04/07) Sent replacememt todau (26/10) Skip 1 week (13/11) Skip 1 week (24/03) Skip 1 week (16/04) Return today (05/06) Skip 1 week (17/06) Skip 1 week (02/07) Skip 1 week (08/07) Send tom instaed of thursday this week (14/10) Send 1 del of ankita mehra today (21/10) Hold till 14th Jan (18/12) Change to Delight (30/01) Hold today (16/04) Send Replacement Tom (19/06) Skip 1 week (03/07)</v>
          </cell>
          <cell r="L31" t="str">
            <v xml:space="preserve">SPRAY DAISY n GULDAWARI </v>
          </cell>
          <cell r="M31" t="str">
            <v>Change to Deligh next (30/01)</v>
          </cell>
          <cell r="N31" t="str">
            <v>2  del of this cycle   -  0-cycles pmnt   Completed - Collect 0</v>
          </cell>
          <cell r="O31" t="str">
            <v>P n W Glad ( 14 Inch ) 16  Collect Payment Collect Payment Collect Payment Grass</v>
          </cell>
          <cell r="P31" t="str">
            <v>P Asiatic ( 14 Inch ) 3     Grass</v>
          </cell>
          <cell r="Q31" t="e">
            <v>#N/A</v>
          </cell>
          <cell r="R31" t="str">
            <v>G n W Car ( 14 Inch ) 16     FF Sachet + Grass</v>
          </cell>
          <cell r="S31" t="str">
            <v>Pur Eustoma ( 12 Inch ) 3     FF Sachet + Grass</v>
          </cell>
          <cell r="T31" t="str">
            <v>Mix Alstroemeria ( 12 Inch ) 16     FF Sachet + Grass</v>
          </cell>
        </row>
        <row r="32">
          <cell r="A32">
            <v>2205</v>
          </cell>
          <cell r="B32" t="str">
            <v>Shubhra Gupta</v>
          </cell>
          <cell r="C32">
            <v>9811981626</v>
          </cell>
          <cell r="D32" t="str">
            <v>ES-245, Espace</v>
          </cell>
          <cell r="E32" t="str">
            <v>Nirvana Country</v>
          </cell>
          <cell r="F32" t="str">
            <v>Thursday</v>
          </cell>
          <cell r="G32" t="str">
            <v>9 AM - 12 PM</v>
          </cell>
          <cell r="H32">
            <v>1450</v>
          </cell>
          <cell r="I32">
            <v>362.5</v>
          </cell>
          <cell r="J32" t="str">
            <v>Bliss</v>
          </cell>
          <cell r="K32" t="str">
            <v>Paytm From 9811656524 // No Orchids // Skip 1 week (01/10) Same flowers from last  2weeks, pls Check (06/11) Paytm from Gaurav Gupta (0703)</v>
          </cell>
          <cell r="L32" t="str">
            <v>ORCHID</v>
          </cell>
          <cell r="M32" t="str">
            <v>Same Flowers from 2 week, Pls Check (06/11)</v>
          </cell>
          <cell r="N32" t="str">
            <v>1  del of this cycle   -  0-cycles pmnt   Completed - Collect 0</v>
          </cell>
          <cell r="O32" t="str">
            <v>B Daisy ( 12 Inch ) 16     Grass</v>
          </cell>
          <cell r="P32" t="str">
            <v>P Asiatic ( 14 Inch ) 3     Grass</v>
          </cell>
          <cell r="Q32" t="str">
            <v>Rajni ( 14 Inch ) 16     Grass</v>
          </cell>
          <cell r="R32" t="str">
            <v>G n W Car ( 14 Inch ) 16     FF Sachet + Grass</v>
          </cell>
          <cell r="S32" t="str">
            <v>Mix Glad ( 14 Inch ) 16     Grass</v>
          </cell>
          <cell r="T32" t="str">
            <v>P n Y Spray Daisy ( 14 Inch ) 5     FF Sachet + Grass</v>
          </cell>
        </row>
        <row r="33">
          <cell r="A33" t="str">
            <v>G-00028</v>
          </cell>
          <cell r="B33" t="str">
            <v>Niharika Mohanty</v>
          </cell>
          <cell r="C33">
            <v>9711098608</v>
          </cell>
          <cell r="D33" t="str">
            <v>W2A-151, Wellington Estate</v>
          </cell>
          <cell r="E33" t="str">
            <v>DLF Phase 5</v>
          </cell>
          <cell r="F33" t="str">
            <v>Thursday</v>
          </cell>
          <cell r="G33" t="str">
            <v>10 AM to 2:30 PM</v>
          </cell>
          <cell r="H33">
            <v>1950</v>
          </cell>
          <cell r="I33">
            <v>487.5</v>
          </cell>
          <cell r="J33" t="str">
            <v>Joy</v>
          </cell>
          <cell r="K33" t="str">
            <v>From Akriti Chopra // Mixed Flowers // Skip this week (11/03) Skip 1 week (11/03)  Skip 2 week (18/06) Skip 1 week (13/08) Skip 1 week (14/10) Skip 2 weeks (12/11) Skip 1 week (03/12) Skip 1 week (03/01) Hold today (21/05) Skip tom (03/06) Skip today and next week (18/06(</v>
          </cell>
          <cell r="M33" t="str">
            <v>Mixed Flowers</v>
          </cell>
          <cell r="N33" t="str">
            <v>1  del of this cycle   -  1-cycles pmnt   Pending - Collect 1950</v>
          </cell>
          <cell r="O33" t="e">
            <v>#N/A</v>
          </cell>
          <cell r="P33" t="str">
            <v>P Eustoma ( 12 Inch ) 2 Pur n W Car ( 14 Inch ) 11   FF Sachet + Grass</v>
          </cell>
          <cell r="Q33" t="str">
            <v>P Asiatic ( 14 Inch ) 2 Rajni ( 14 Inch ) 11 Collect Payment Collect Payment Grass</v>
          </cell>
          <cell r="R33" t="str">
            <v>P n W Spray Daisy ( 14 Inch ) 4 P n W Glad ( 14 Inch ) 11   FF Sachet + Grass</v>
          </cell>
          <cell r="S33" t="str">
            <v>Sunflower ( 12 Inch ) 3 Mix Alstroemeria ( 12 Inch ) 11 Ensure Collection Ensure Collection FF Sachet + Grass</v>
          </cell>
          <cell r="T33" t="str">
            <v>W Eustoma ( 12 Inch ) 2 R n W Car ( 14 Inch )  11   FF Sachet + Grass</v>
          </cell>
        </row>
        <row r="34">
          <cell r="A34">
            <v>2204</v>
          </cell>
          <cell r="B34" t="str">
            <v>Bidisha Dey</v>
          </cell>
          <cell r="C34">
            <v>9811969982</v>
          </cell>
          <cell r="D34" t="str">
            <v>C-24, Carlton Estate-1, Club Drive</v>
          </cell>
          <cell r="E34" t="str">
            <v>DLF Phase 5</v>
          </cell>
          <cell r="F34" t="str">
            <v>Thursday</v>
          </cell>
          <cell r="G34" t="str">
            <v>9:30 Am to 2 PM</v>
          </cell>
          <cell r="H34">
            <v>1450</v>
          </cell>
          <cell r="I34">
            <v>362.5</v>
          </cell>
          <cell r="J34" t="str">
            <v>Bliss</v>
          </cell>
          <cell r="K34" t="str">
            <v>Skip 1 week (03/06) Returned send next week (11/07) Skip 1 week (08/01) Skip 1 week (26/03) Skip tom (02/07) Today Returned (20/11) HDTNP (25/06)</v>
          </cell>
          <cell r="N34" t="str">
            <v>4  del of this cycle   -  0-cycles pmnt   Completed - Collect 0</v>
          </cell>
          <cell r="O34" t="e">
            <v>#N/A</v>
          </cell>
          <cell r="P34" t="str">
            <v>P Asiatic ( 14 Inch ) 3    Collect payment Grass</v>
          </cell>
          <cell r="Q34" t="str">
            <v>Rajni ( 14 Inch ) 16     Grass</v>
          </cell>
          <cell r="R34" t="str">
            <v>G n W Car ( 14 Inch ) 16     FF Sachet + Grass</v>
          </cell>
          <cell r="S34" t="str">
            <v>P n Y Spray Daisy ( 14 Inch ) 5     FF Sachet + Grass</v>
          </cell>
          <cell r="T34" t="str">
            <v>Mix Glad ( 14 Inch ) 16     FF Sachet + Grass</v>
          </cell>
        </row>
        <row r="35">
          <cell r="A35">
            <v>3071</v>
          </cell>
          <cell r="B35" t="str">
            <v>Divya Rawat</v>
          </cell>
          <cell r="C35">
            <v>8390310325</v>
          </cell>
          <cell r="D35" t="str">
            <v>D-13/14, 1st Floor, DLF Exclusive Floor</v>
          </cell>
          <cell r="E35" t="str">
            <v>DLF Phase 5</v>
          </cell>
          <cell r="F35" t="str">
            <v>Thursday</v>
          </cell>
          <cell r="G35" t="str">
            <v>9 AM - 12 PM</v>
          </cell>
          <cell r="H35">
            <v>1450</v>
          </cell>
          <cell r="I35">
            <v>362.5</v>
          </cell>
          <cell r="J35" t="str">
            <v>Bliss</v>
          </cell>
          <cell r="K35" t="str">
            <v>Return today (04/12) Hold today (05/03) Returned today (28/05) HDTNP (25/06)</v>
          </cell>
          <cell r="N35" t="str">
            <v>3  del of this cycle   -  0-cycles pmnt   Completed - Collect 0</v>
          </cell>
          <cell r="O35" t="e">
            <v>#N/A</v>
          </cell>
          <cell r="P35" t="str">
            <v>P Asiatic ( 14 Inch ) 2 Rajni ( 14 Inch ) 7  Collect Payment Grass</v>
          </cell>
          <cell r="Q35" t="str">
            <v>P Spray Daisy ( 14 Inch ) 3 P n W Car ( 14 Inch ) 7   FF Sachet + Grass</v>
          </cell>
          <cell r="R35" t="str">
            <v>Sunflower ( 12 Inch ) 2 Mix Alstroemeria ( 12 Inch ) 7   FF Sachet + Grass</v>
          </cell>
          <cell r="S35" t="str">
            <v>Pur Eustoma ( 12 Inch ) 2 Mix Glad ( 14 Inch ) 7   FF Sachet + Grass</v>
          </cell>
          <cell r="T35" t="str">
            <v>W Asiatic ( 14 Inch ) 2 R n W Car ( 14 Inch )  7   Grass</v>
          </cell>
        </row>
        <row r="36">
          <cell r="A36">
            <v>2355</v>
          </cell>
          <cell r="B36" t="str">
            <v>Convinience Enterprises-Veena Anand</v>
          </cell>
          <cell r="C36">
            <v>9810031208</v>
          </cell>
          <cell r="D36" t="str">
            <v>307, Aralyas, DLF 5</v>
          </cell>
          <cell r="E36" t="str">
            <v>Golf Course Road</v>
          </cell>
          <cell r="F36" t="str">
            <v>Thursday</v>
          </cell>
          <cell r="G36" t="str">
            <v>By 10 AM</v>
          </cell>
          <cell r="H36">
            <v>2750</v>
          </cell>
          <cell r="I36">
            <v>687.5</v>
          </cell>
          <cell r="J36" t="str">
            <v>Corporate</v>
          </cell>
          <cell r="K36" t="str">
            <v>Skip this Thursday and send on Sunday (20/11)Hold and send on 12th Now (31/12) Do Not count last Del (02/07) Skip 1 week (10/09) Skip 2 week (18/05)</v>
          </cell>
          <cell r="N36" t="str">
            <v>1  del of this cycle   -  0-cycles pmnt   In Process - Collect 0</v>
          </cell>
          <cell r="O36" t="e">
            <v>#N/A</v>
          </cell>
          <cell r="P36" t="e">
            <v>#N/A</v>
          </cell>
          <cell r="Q36" t="str">
            <v>Rajni ( 14 Inch ) 32     2 Limonium</v>
          </cell>
          <cell r="R36" t="str">
            <v>P n Y Spray Daisy ( 14 Inch ) 10     2 Gypsola + FF Sachet</v>
          </cell>
          <cell r="S36" t="str">
            <v>O Asiatic ( 14 Inch ) 6     2 Limonium</v>
          </cell>
          <cell r="T36" t="str">
            <v>Mix Alstroemeria ( 12 Inch ) 32     2 Gypsola + FF Sachet</v>
          </cell>
        </row>
        <row r="37">
          <cell r="A37">
            <v>1140</v>
          </cell>
          <cell r="B37" t="str">
            <v>Nidhi Singh</v>
          </cell>
          <cell r="C37" t="str">
            <v>8383036664//9899389873</v>
          </cell>
          <cell r="D37" t="str">
            <v>D-8/3, Ground Floor DLF Exclusive Floors</v>
          </cell>
          <cell r="E37" t="str">
            <v>DLF Phase 5</v>
          </cell>
          <cell r="F37" t="str">
            <v>Thursday</v>
          </cell>
          <cell r="G37" t="str">
            <v>9 AM - 12 PM</v>
          </cell>
          <cell r="H37">
            <v>2300</v>
          </cell>
          <cell r="I37">
            <v>287.5</v>
          </cell>
          <cell r="J37" t="str">
            <v>Felicity</v>
          </cell>
          <cell r="K37"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37" t="str">
            <v>ROSE</v>
          </cell>
          <cell r="N37" t="str">
            <v>1  del of this cycle   -  1-cycles pmnt   Pending - Collect 2300</v>
          </cell>
          <cell r="O37" t="str">
            <v>P n W Glad ( 14 Inch ) 11     Grass</v>
          </cell>
          <cell r="P37" t="str">
            <v>Pur n P Car ( 14 Inch ) 11     FF Sachet + Grass</v>
          </cell>
          <cell r="Q37" t="str">
            <v>Rajni ( 14 Inch ) 11     Grass</v>
          </cell>
          <cell r="R37" t="str">
            <v>P n W Glad ( 14 Inch ) 11     Grass</v>
          </cell>
          <cell r="S37" t="str">
            <v>Y Asiatic ( 14 inch ) 2     Grass</v>
          </cell>
          <cell r="T37" t="str">
            <v>Mix Alstroemeria ( 12 Inch ) 11     FF Sachet + Grass</v>
          </cell>
        </row>
        <row r="38">
          <cell r="A38">
            <v>922</v>
          </cell>
          <cell r="B38" t="str">
            <v>Dr. Deepa Gupta</v>
          </cell>
          <cell r="C38">
            <v>8860079525</v>
          </cell>
          <cell r="D38" t="str">
            <v>Mayom Hospital, D block south city 1</v>
          </cell>
          <cell r="E38" t="str">
            <v>South City 1</v>
          </cell>
          <cell r="F38" t="str">
            <v>Thursday</v>
          </cell>
          <cell r="G38" t="str">
            <v>4 PM to 7 PM</v>
          </cell>
          <cell r="H38">
            <v>1450</v>
          </cell>
          <cell r="I38">
            <v>362.5</v>
          </cell>
          <cell r="J38" t="str">
            <v>Corporate</v>
          </cell>
          <cell r="K38" t="str">
            <v>1 del Missed(07/10) Return-send next week(31/12) Send replacement of Gerbera(30/10) Send on Monday this week(20/03) Return- hold package(08/07) Today returned-send next week(02/06) HDTNP (19/02)</v>
          </cell>
          <cell r="N38" t="str">
            <v>1  del of this cycle   -  0-cycles pmnt   In Process - Collect 0</v>
          </cell>
          <cell r="O38" t="str">
            <v>Pur Eustoma ( 12 Inch ) 3     FF Sachet + Grass</v>
          </cell>
          <cell r="P38" t="str">
            <v>P Asiatic ( 14 Inch ) 3     Grass</v>
          </cell>
          <cell r="Q38" t="str">
            <v>W Asiatic ( 14 Inch ) 3     Grass</v>
          </cell>
          <cell r="R38" t="str">
            <v>O Asiatic ( 14 Inch ) 3     Grass</v>
          </cell>
          <cell r="S38" t="str">
            <v>P n Y Spray Daisy ( 14 Inch ) 5     FF Sachet + Grass</v>
          </cell>
          <cell r="T38" t="str">
            <v>P n W Eustoma 3     Grass</v>
          </cell>
        </row>
        <row r="39">
          <cell r="A39">
            <v>179</v>
          </cell>
          <cell r="B39" t="str">
            <v>Sarita Dosaj</v>
          </cell>
          <cell r="C39">
            <v>9810077026</v>
          </cell>
          <cell r="D39" t="str">
            <v>B-24, Trinity Towers</v>
          </cell>
          <cell r="E39" t="str">
            <v>DLF Phase 5</v>
          </cell>
          <cell r="F39" t="str">
            <v>Thursday</v>
          </cell>
          <cell r="G39" t="str">
            <v>9 AM - 12 PM</v>
          </cell>
          <cell r="H39">
            <v>1450</v>
          </cell>
          <cell r="I39">
            <v>362.5</v>
          </cell>
          <cell r="J39" t="str">
            <v>Bliss</v>
          </cell>
          <cell r="K39" t="str">
            <v>One Color Flower ( 06/06) HDTNP (25/06)</v>
          </cell>
          <cell r="M39" t="str">
            <v>One Color Flower ( 06/06)</v>
          </cell>
          <cell r="N39" t="str">
            <v>3  del of this cycle   -  0-cycles pmnt   Completed - Collect 0</v>
          </cell>
          <cell r="O39" t="e">
            <v>#N/A</v>
          </cell>
          <cell r="P39" t="str">
            <v>Sunflower ( 12 Inch ) 4    Collect payment FF Sachet + Grass</v>
          </cell>
          <cell r="Q39" t="str">
            <v>P n W Car ( 14 Inch ) 16     FF Sachet + Grass</v>
          </cell>
          <cell r="R39" t="str">
            <v>P n W Spray Daisy ( 14 Inch ) 5     FF Sachet + Grass</v>
          </cell>
          <cell r="S39" t="str">
            <v>P Glad ( 14 Inch ) 16 Ensure Collection Ensure Collection Ensure Collection  Grass</v>
          </cell>
          <cell r="T39" t="str">
            <v>W Asiatic ( 14 Inch ) 3     Grass</v>
          </cell>
        </row>
        <row r="40">
          <cell r="A40">
            <v>849</v>
          </cell>
          <cell r="B40" t="str">
            <v>Shalini Sharma</v>
          </cell>
          <cell r="C40">
            <v>7838500808</v>
          </cell>
          <cell r="D40" t="str">
            <v>208, Espace</v>
          </cell>
          <cell r="E40" t="str">
            <v>Nirvana Country</v>
          </cell>
          <cell r="F40" t="str">
            <v>Thursday</v>
          </cell>
          <cell r="G40" t="str">
            <v>9:30 Am to 2 PM</v>
          </cell>
          <cell r="H40">
            <v>1450</v>
          </cell>
          <cell r="I40">
            <v>362.5</v>
          </cell>
          <cell r="J40" t="str">
            <v>Bliss</v>
          </cell>
          <cell r="K40" t="str">
            <v>W n R Car Tom(25/04)  GERBERA NEXT(16/09) NO ORCHIDS(24/01)  Sent a replacement today(17/04) Ros enext (26/11) NO GULDAWARI n ORCHIDS ()6/01) Skip 1 week (05/01) Replacement tom (12/02) Send Tom and skip 30th Mar (25/03) Replacement tom (06/07) Will Pick on 30th -- Dont Send on 02nd Nov (28/10) Send this week del on tuesday 925/01) Send W Asiatic on 11th this week instead of 15th Feb (08/02) Skip 1 week (14/03) Lilies Next (20/05) Hold after current cycle (04/12) Four plus 1 Pack //</v>
          </cell>
          <cell r="L40" t="str">
            <v>GULDAWARI n ORCHID</v>
          </cell>
          <cell r="M40" t="str">
            <v>Lilies Next (20/05)</v>
          </cell>
          <cell r="N40" t="str">
            <v>3  del of this cycle   -  0-cycles pmnt   Completed - Collect 0</v>
          </cell>
          <cell r="O40" t="str">
            <v>Pur n P Car ( 14 Inch ) 16  Collect Payment Collect Payment Collect Payment FF Sachet + Grass</v>
          </cell>
          <cell r="P40" t="str">
            <v>Sunflower ( 12 Inch ) 4     FF Sachet + Grass</v>
          </cell>
          <cell r="Q40" t="str">
            <v>Rajni ( 14 Inch ) 16     Grass</v>
          </cell>
          <cell r="R40" t="str">
            <v>O Asiatic ( 14 Inch ) 3     Grass</v>
          </cell>
          <cell r="S40" t="str">
            <v>Mix Glad ( 14 Inch ) 16     Grass</v>
          </cell>
          <cell r="T40" t="str">
            <v>P n Y Spray Daisy ( 14 Inch ) 5     FF Sachet + Grass</v>
          </cell>
        </row>
        <row r="41">
          <cell r="A41">
            <v>1998</v>
          </cell>
          <cell r="B41" t="str">
            <v>Shivani Katyal</v>
          </cell>
          <cell r="C41">
            <v>9811053756</v>
          </cell>
          <cell r="D41" t="str">
            <v>H. No. 1486, Sarsawati Kunj</v>
          </cell>
          <cell r="E41" t="str">
            <v>DLF Phase 5</v>
          </cell>
          <cell r="F41" t="str">
            <v>Thursday</v>
          </cell>
          <cell r="G41" t="str">
            <v>9:30 Am to 2 PM</v>
          </cell>
          <cell r="H41">
            <v>1950</v>
          </cell>
          <cell r="I41">
            <v>487.5</v>
          </cell>
          <cell r="J41" t="str">
            <v>Joy</v>
          </cell>
          <cell r="K41" t="str">
            <v>Rose//Orchid//Asiatic//Anthurium//Heliconia//BOP (28/10) NO Guldawari n Anthurium (09/02) Paytm From Manish K M K (08/09) Paytm from Manish Katyal // Gpay From Palak Katyal (22/03) No Glad Also (18/04) Couldn't deliver due to watrelogging--send on Sunday (29/08) Skip n send on sunday (01/10)</v>
          </cell>
          <cell r="L41" t="str">
            <v>GULDAWARI n ANTHURIUM n GLAD</v>
          </cell>
          <cell r="N41" t="str">
            <v>4  del of this cycle   -  0-cycles pmnt   CompletedNO COLLECTION-we have extra money - Collect -100</v>
          </cell>
          <cell r="O41" t="str">
            <v>P n W Spray Daisy 7     FF Sachet + Grass</v>
          </cell>
          <cell r="P41" t="str">
            <v>P Asiatic ( 14 Inch ) 4     Grass</v>
          </cell>
          <cell r="Q41" t="str">
            <v>Rajni ( 14 Inch ) 22     Grass</v>
          </cell>
          <cell r="R41" t="str">
            <v>G n W Car ( 14 Inch ) 22     FF Sachet + Grass</v>
          </cell>
          <cell r="S41" t="str">
            <v>Mix Glad ( 14 Inch ) 22     Grass</v>
          </cell>
          <cell r="T41" t="str">
            <v>Mix Alstroemeria ( 12 Inch ) 22     FF Sachet + Grass</v>
          </cell>
        </row>
        <row r="42">
          <cell r="A42">
            <v>237</v>
          </cell>
          <cell r="B42" t="str">
            <v>Mayom Hospital</v>
          </cell>
          <cell r="C42">
            <v>8860079525</v>
          </cell>
          <cell r="D42" t="str">
            <v>Mayom Hospital, D block south city 1</v>
          </cell>
          <cell r="H42">
            <v>3000</v>
          </cell>
          <cell r="J42" t="str">
            <v>Corporate</v>
          </cell>
          <cell r="T42" t="str">
            <v xml:space="preserve">Mix Glad ( 14 Inch ) 16     </v>
          </cell>
        </row>
        <row r="43">
          <cell r="A43">
            <v>244</v>
          </cell>
          <cell r="B43" t="str">
            <v>Garima jain</v>
          </cell>
          <cell r="C43">
            <v>9958581403</v>
          </cell>
          <cell r="D43" t="str">
            <v xml:space="preserve"> G-901, Central Park 1, Golf Course Road    Sec 42 Gurgaon  122002</v>
          </cell>
          <cell r="E43" t="str">
            <v>Golf Course Road</v>
          </cell>
          <cell r="F43" t="str">
            <v>Thursday</v>
          </cell>
          <cell r="G43" t="str">
            <v>9 AM - 12 PM</v>
          </cell>
          <cell r="H43">
            <v>1450</v>
          </cell>
          <cell r="I43">
            <v>1450</v>
          </cell>
          <cell r="J43" t="str">
            <v>Bliss</v>
          </cell>
          <cell r="K43" t="str">
            <v>Sat to Thurs//Flowers other than Car pl (21/07)Send on Sunday instead of sat this week(19/10) Upgrade to 650 Plan(03/05) Add changed(13/07) NO CAR(07/09) Send a replacement (06/10) NO CAR(13/12) 200 Paytm Done(14/12) paytm of 200 from Anuj sarin(14/12) Sending 30th Del on 29th May(28/05/2020) ONLY LILIES(23/08/20) Day Changed to Saturday(14/10) Skip this week an semd next week(13/03) Hold n start from 29th Jan(25/12 ) Received 200 today via Gpay(26/12) Diff Flowesr every week(08/04)  Sent replacement today(22/04) Skip 1 week(17/06) Today Returned (13/06) Do not Count last Del (17/08) Skip 1 week (22/12) Skip 2 week (23/05) Send on sunday this week (01/10) Return-not at home (23/10) One Payment of 1000 received on 05th Feb (06/03) Returned (04/06)</v>
          </cell>
          <cell r="N43" t="str">
            <v>2  del of this cycle   -  0-cycles pmnt   Completed - Collect 0</v>
          </cell>
          <cell r="O43" t="str">
            <v>Pur Eustoma ( 12 Inch ) 3     FF Sachet + Grass</v>
          </cell>
          <cell r="P43" t="str">
            <v>Rajni ( 14 Inch ) 16     Grass</v>
          </cell>
          <cell r="Q43" t="str">
            <v>O Asiatic ( 14 Inch ) 3     Grass</v>
          </cell>
          <cell r="R43" t="str">
            <v>P n Y Spray Daisy ( 14 Inch ) 5     FF Sachet + Grass</v>
          </cell>
          <cell r="S43" t="str">
            <v>Mix Glad ( 14 Inch ) 16     Grass</v>
          </cell>
          <cell r="T43" t="str">
            <v>R n W Car ( 14 Inch ) 16     FF Sachet + Grass</v>
          </cell>
        </row>
        <row r="44">
          <cell r="A44">
            <v>2307</v>
          </cell>
          <cell r="B44" t="str">
            <v>Alpna Jain</v>
          </cell>
          <cell r="C44">
            <v>9599336609</v>
          </cell>
          <cell r="D44" t="str">
            <v>C-64, The Icon</v>
          </cell>
          <cell r="E44" t="str">
            <v>DLF Phase 5</v>
          </cell>
          <cell r="F44" t="str">
            <v>Thursday</v>
          </cell>
          <cell r="G44" t="str">
            <v>10 AM to 2:30 PM</v>
          </cell>
          <cell r="H44">
            <v>3000</v>
          </cell>
          <cell r="I44">
            <v>375</v>
          </cell>
          <cell r="J44" t="str">
            <v>Charm</v>
          </cell>
          <cell r="K44" t="str">
            <v>Thursday n Sunday // Hold today (08/02) Keep flowers outside of Door (17/05)</v>
          </cell>
          <cell r="M44" t="str">
            <v>Keep flowers outside of door always</v>
          </cell>
          <cell r="N44" t="str">
            <v>4  del of this cycle   -  0-cycles pmnt   Completed - Collect 0</v>
          </cell>
          <cell r="O44" t="str">
            <v>Pur n P Car ( 14 Inch ) 15 Keep Flowers at door-- Don’t call or don’t ring Bell    FF Sachet + Grass</v>
          </cell>
          <cell r="P44" t="str">
            <v>B Daisy ( 12 Inch ) 15    Collect Payment Grass</v>
          </cell>
          <cell r="Q44" t="str">
            <v>Sunflower ( 12 Inch ) 3 Keep Flowers at Door -- Don’t call or Ring the bell    FF Sachet + Grass</v>
          </cell>
          <cell r="R44" t="str">
            <v>P n Y Spray Daisy ( 14 Inch ) 4 Pls Keep at door -- Don’t Call 0r Ring Bell    FF Sachet + Grass</v>
          </cell>
          <cell r="S44" t="str">
            <v>O Asiatic ( 14 Inch ) 2   Ensure Collection Ensure Collection Grass</v>
          </cell>
          <cell r="T44" t="str">
            <v>Mix Glad ( 14 Inch ) 15 Keep at door nad Don’t call or ring Bell    FF Sachet + Grass</v>
          </cell>
        </row>
        <row r="45">
          <cell r="A45">
            <v>1319</v>
          </cell>
          <cell r="B45" t="str">
            <v>Mrs. Vandana Dutt Before 10</v>
          </cell>
          <cell r="C45">
            <v>9810771057</v>
          </cell>
          <cell r="D45" t="str">
            <v>15/002,South Close, Nirvana country</v>
          </cell>
          <cell r="E45" t="str">
            <v>Nirvana Country</v>
          </cell>
          <cell r="F45" t="str">
            <v>Thursday</v>
          </cell>
          <cell r="G45" t="str">
            <v>9 AM - 12 PM</v>
          </cell>
          <cell r="H45">
            <v>1950</v>
          </cell>
          <cell r="I45">
            <v>487.5</v>
          </cell>
          <cell r="J45" t="str">
            <v>Joy</v>
          </cell>
          <cell r="K45" t="str">
            <v>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No Flowers tom --send on Monday (08/02) Had 350 Extra from pasyment of 2000 on 11th May, 250 adjusted, now have 100 extra with us(18/05) Spray Daisy -- white or Yellow and Glad white (06/09) Skip 1 week (13/10) Sending 1 Del today (22/10) No Flowers till 4th Jan (17/12) Start from 19th (17/07) Hold till 5th Sep (14/08) Return today-send tom (07/11) Skip 1 week (17/11) Skip 12th (09/12) Today Returned (26/12) Skip 1 week (11/03) Skip 1 week (23/03) Skip 1 week (31/03) Today Returned (10/04) Today Returned (18/04) Skip 1 week (28/04) Skip 2 week (02/06) Hold she will confirm (28/07) Dont Send on 21st (19/08) No Flowers from 11th Sep to 25th Sep (05/09) Hold till 20th Oct (10/11) 1 Bouquet of Rajni on 31st and 500 gm Rose Petal on 8th Nov -- Total pf 1200 added (20/11) Send one delivery tom (22/11) Skip 1 week (23/12) Skip 1 week (1/02) From Sunflower/Spray dausy/Eustoma (18/04) Hold till 15th July (30/06)</v>
          </cell>
          <cell r="M45" t="str">
            <v>From Sunflower/Spray dausy/Eustoma (18/04)</v>
          </cell>
          <cell r="N45" t="str">
            <v>4  del of this cycle   -  0-cycles pmnt   Completed - Collect 0</v>
          </cell>
          <cell r="O45" t="str">
            <v>P Asiatic 4     Grass</v>
          </cell>
          <cell r="P45" t="e">
            <v>#N/A</v>
          </cell>
          <cell r="Q45" t="e">
            <v>#N/A</v>
          </cell>
          <cell r="R45" t="e">
            <v>#N/A</v>
          </cell>
          <cell r="S45" t="str">
            <v>W Asiatic 4     Grass</v>
          </cell>
          <cell r="T45" t="str">
            <v>W Asiatic ( 14 Inch ) 4     Grass</v>
          </cell>
        </row>
        <row r="46">
          <cell r="A46">
            <v>1098</v>
          </cell>
          <cell r="B46" t="str">
            <v>Rahul Sehgal</v>
          </cell>
          <cell r="C46">
            <v>9810022182</v>
          </cell>
          <cell r="D46" t="str">
            <v>418-A, Hamilton Court</v>
          </cell>
          <cell r="E46" t="str">
            <v>DLF Phase 4</v>
          </cell>
          <cell r="F46" t="str">
            <v>Thursday</v>
          </cell>
          <cell r="G46" t="str">
            <v>4 Pm to 7 PM</v>
          </cell>
          <cell r="H46">
            <v>1950</v>
          </cell>
          <cell r="I46">
            <v>487.5</v>
          </cell>
          <cell r="J46" t="str">
            <v>Joy</v>
          </cell>
          <cell r="K46" t="str">
            <v>P Glad First(02/09/20) Next Oriental and send only Glad/Oriental and asiatic(17/09/20)  Only Oriental and Gladioli(26/10) Now Send-- Glad // BOP + Guldawari // Oriental Lily// Heliconia(19/12) Send Glad tom -- No White(23/12) Send all flowesr now and mixed always but NO RAJNI(19/01) NO WHITE COLOR(04/03) NO BOP(21/03) NO ORCHID(02/04) Shift to Friday now(04/04) Sent 1 Flower Food today(06/06) Send on sat this week only(10/10) Y Chrysanthemum nextr and Lilies after that(23/10) NO HELICONIA(26/10) NO GERBERA(18/02) Skip thsi week(25/02) Day chang eto thursday evening slot(08/03) Do not count last delivery(20/03) Send replacement tomorrow (05/07)</v>
          </cell>
          <cell r="L46" t="str">
            <v>ROSE n RAJNI</v>
          </cell>
          <cell r="N46" t="str">
            <v>3  del of this cycle   -  0-cycles pmnt   Completed - Collect 0</v>
          </cell>
          <cell r="O46" t="str">
            <v>O Asiatic ( 14 Inch ) 4     Grass</v>
          </cell>
          <cell r="P46" t="str">
            <v>P n W Glad ( 14 Inch ) 22     Grass</v>
          </cell>
          <cell r="Q46" t="str">
            <v>Mix Alstroemeria ( 12Inch ) 22     FF Sachet + Grass</v>
          </cell>
          <cell r="R46" t="str">
            <v>G n W Car ( 14 Inch ) 22     FF Sachet + Grass</v>
          </cell>
          <cell r="S46" t="str">
            <v>P n Y Spray Daisy ( 14 Inch ) 7     FF Sachet + Grass</v>
          </cell>
          <cell r="T46" t="str">
            <v>W Asiatic ( 14 Inch ) 4     Grass</v>
          </cell>
        </row>
        <row r="47">
          <cell r="A47">
            <v>3241</v>
          </cell>
          <cell r="B47" t="str">
            <v>Sunanda</v>
          </cell>
          <cell r="C47">
            <v>8800994226</v>
          </cell>
          <cell r="D47" t="str">
            <v>C-084, The Icon</v>
          </cell>
          <cell r="E47" t="str">
            <v>DLF Phase 5</v>
          </cell>
          <cell r="F47" t="str">
            <v>Thursday</v>
          </cell>
          <cell r="G47" t="str">
            <v>9 AM - 12 PM</v>
          </cell>
          <cell r="H47">
            <v>1450</v>
          </cell>
          <cell r="I47">
            <v>362.5</v>
          </cell>
          <cell r="J47" t="str">
            <v>Bliss</v>
          </cell>
          <cell r="K47" t="str">
            <v>One Kind // Skip 1 week (13/01) HDTNP (26/02) HDTNP (04/03) HDTNP (12/03)</v>
          </cell>
          <cell r="M47" t="str">
            <v>One Kind</v>
          </cell>
          <cell r="N47" t="str">
            <v>2  del of this cycle   -  0-cycles pmnt   Completed - Collect 0</v>
          </cell>
          <cell r="O47" t="str">
            <v>O Asiatic ( 14 Inch ) 3     Grass</v>
          </cell>
          <cell r="P47" t="str">
            <v>Sunflower ( 12 Inch ) 4    Collect Payment FF Sachet + Grass</v>
          </cell>
          <cell r="Q47" t="str">
            <v>Rajni ( 14 Inch ) 16     Grass</v>
          </cell>
          <cell r="R47" t="str">
            <v>P n Y Spray Daisy ( 14 Inch ) 5     FF Sachet + Grass</v>
          </cell>
          <cell r="S47" t="str">
            <v>Mix Glad ( 14 Inch ) 16     Grass</v>
          </cell>
          <cell r="T47" t="str">
            <v>R n W Car ( 14 Inch ) 16     FF Sachet + Grass</v>
          </cell>
        </row>
        <row r="48">
          <cell r="A48">
            <v>3107</v>
          </cell>
          <cell r="B48" t="str">
            <v>Richa -- Icon</v>
          </cell>
          <cell r="C48">
            <v>9811394916</v>
          </cell>
          <cell r="D48" t="str">
            <v>B-173, the Icon</v>
          </cell>
          <cell r="E48" t="str">
            <v>DLF Phase 5</v>
          </cell>
          <cell r="F48" t="str">
            <v>Thursday</v>
          </cell>
          <cell r="G48" t="str">
            <v>10 AM to 2:30 PM</v>
          </cell>
          <cell r="H48">
            <v>1450</v>
          </cell>
          <cell r="I48">
            <v>362.5</v>
          </cell>
          <cell r="J48" t="str">
            <v>Bliss</v>
          </cell>
          <cell r="K48" t="str">
            <v>Paytm From Ankit Gupta (01/11) Skip 08th and 15th Jan (16/12) Hold till 16th Jan (19/12) Skip 1 week (12/02) Skip 1 week (11/03) Skip 1 week (01/04) Hold n strat from 02nd July (28/05)</v>
          </cell>
          <cell r="N48" t="str">
            <v>1  del of this cycle   -  1-cycles pmnt   Pending - Collect 1450</v>
          </cell>
          <cell r="O48" t="e">
            <v>#N/A</v>
          </cell>
          <cell r="P48" t="str">
            <v>Pur n P Car ( 14 Inch ) 16     FF Sachet + Grass</v>
          </cell>
          <cell r="Q48" t="str">
            <v>P Asiatic ( 14 Inch ) 3     Grass</v>
          </cell>
          <cell r="R48" t="str">
            <v>P n W Glad ( 14 Inch ) 16     Grass</v>
          </cell>
          <cell r="S48" t="str">
            <v>P n Y Spray Daisy ( 14 Inch ) 5     FF Sachet + Grass</v>
          </cell>
          <cell r="T48" t="str">
            <v>Mix Alstroemeria ( 12 Inch ) 16     FF Sachet + Grass</v>
          </cell>
        </row>
        <row r="49">
          <cell r="A49">
            <v>3144</v>
          </cell>
          <cell r="B49" t="str">
            <v>Samar Singh</v>
          </cell>
          <cell r="C49">
            <v>9582363043</v>
          </cell>
          <cell r="D49" t="str">
            <v>C-13, DLF Icon</v>
          </cell>
          <cell r="E49" t="str">
            <v>DLF Phase 5</v>
          </cell>
          <cell r="F49" t="str">
            <v>Thursday</v>
          </cell>
          <cell r="G49" t="str">
            <v>9 AM to 2 PM</v>
          </cell>
          <cell r="H49">
            <v>1450</v>
          </cell>
          <cell r="I49">
            <v>362.5</v>
          </cell>
          <cell r="J49" t="str">
            <v>Bliss</v>
          </cell>
          <cell r="K49" t="str">
            <v>Mixed Flowers // Day Changed to Sunday (20/12) Day Changed to Thursday (10/01) Skip 2 week (11/02) Send one Del tom (07/07) Today hold n send on Sunday (23/07)</v>
          </cell>
          <cell r="M49" t="str">
            <v>Mixed Flowers</v>
          </cell>
          <cell r="N49" t="str">
            <v>1  del of this cycle   -  1-cycles pmnt   Pending - Collect 1450</v>
          </cell>
          <cell r="O49" t="str">
            <v>Sunflower ( 12 Inch) 2 P n W Car ( 14 Inch ) 7   FF Sachet + Grass</v>
          </cell>
          <cell r="P49" t="str">
            <v>Pur Eustoma ( 12 Inch ) 2 Rajni ( 14 Inch ) 7   FF Sachet + Grass</v>
          </cell>
          <cell r="Q49" t="e">
            <v>#N/A</v>
          </cell>
          <cell r="R49" t="str">
            <v>P Spray Daisy ( 14 Inch ) 3 Carnation 7   FF Sachet + Grass</v>
          </cell>
          <cell r="S49" t="str">
            <v>O Asiatic ( 14 Inch ) 2 Mix Glad ( 14 Inch ) 7   Grass</v>
          </cell>
          <cell r="T49" t="str">
            <v>Sunflower ( 12 Inch ) 2 Mix Alstroemeria ( 12 Inch ) 7   FF Sachet + Grass</v>
          </cell>
        </row>
        <row r="50">
          <cell r="A50">
            <v>326</v>
          </cell>
          <cell r="B50" t="str">
            <v>Radhika Surana-- Before 10</v>
          </cell>
          <cell r="C50">
            <v>9871132800</v>
          </cell>
          <cell r="D50" t="str">
            <v>1204, The Magnolias</v>
          </cell>
          <cell r="E50" t="str">
            <v>Golf Course Road</v>
          </cell>
          <cell r="F50" t="str">
            <v>Thursday</v>
          </cell>
          <cell r="G50" t="str">
            <v>9 AM - 12 PM</v>
          </cell>
          <cell r="H50">
            <v>2750</v>
          </cell>
          <cell r="I50">
            <v>687.5</v>
          </cell>
          <cell r="J50" t="str">
            <v>Elation</v>
          </cell>
          <cell r="K50" t="str">
            <v>NO ORCHIDS, Prefer Lilies,Rajni and Gerbera(04/10) 1 week(22/04) Paytm from Anurag Surana(06/06) Paytm from Anurag Surana(02/07)  NO Orchid n BOP (25/01)  Skip 1 week (28/06) Hold 3rd aug and send on 7th Aug (03/08) Today returned (07/08) Skip this thursday and send on Monday (15/08) After 2nd Oct now (27/09) Skip 1 week (21/10) Hold n send after 8th Jan (13/12) Skip 1 week (30/01) Skip tom n sned on 19th (13/03) Skip 23rd and 30th (16/05) Skip 2 weeks and send mext del on 22nd June (12/06) Skip this week n start from tuesday (24/07) Skip 1 week (20/08) Skip 1 week (03/09) Skip 7th n 14th (06/11) Skip 5th Dec Del (02/12) skip 2 week (21/12) Today Returned (23/01) Skip 1 week and send on sunday (22/02) Skip tom and send on monday (05/03) Skip 1 week (19/03) Skip 2 weeks (05/04) Skip 2 weeks (31/05) Skip 1 week (19/08)  No Del on 18th, 25th and 2nd Oct (14/09) Returned today (09/10) Send this week on sunday and then thursday (05/11) Hold today n next weeks (27/11) Skip 1 week (25/12) Skip 1 week (30/03) Skip 4th n 11th June (28/05)</v>
          </cell>
          <cell r="L50" t="str">
            <v>BOP n ORCHID</v>
          </cell>
          <cell r="N50" t="str">
            <v>1  del of this cycle   -  1-cycles pmnt   Pending - Collect 2750</v>
          </cell>
          <cell r="O50" t="str">
            <v>P n W Glad ( 14 Inch ) 32     2 Limonium</v>
          </cell>
          <cell r="P50" t="str">
            <v>Pur n P Car ( 14 Inch ) 32     2 Gypsola</v>
          </cell>
          <cell r="Q50" t="str">
            <v>P Asiatic ( 14 Inch ) 6  Gate Pass Wahab Ke Pass Hai Collect Payment Collect Payment 2 Limonium</v>
          </cell>
          <cell r="R50" t="str">
            <v>P n W Spray Daisy ( 14 Inch ) 10     2 Gypsola + FF Sachet</v>
          </cell>
          <cell r="S50" t="str">
            <v>Mix Alstroemeria ( 12 Inch ) 30     2 Limonium + FF Sachet</v>
          </cell>
          <cell r="T50" t="str">
            <v>Red n White Carnation ( 14 Inch ) 32     2 Gypsola + FF Sachet</v>
          </cell>
        </row>
        <row r="51">
          <cell r="A51">
            <v>2076</v>
          </cell>
          <cell r="B51" t="str">
            <v>Divya Jain Midas</v>
          </cell>
          <cell r="C51">
            <v>9910172233</v>
          </cell>
          <cell r="D51" t="str">
            <v>Midas Touch, 1st Floor, A Block, Nirvana Courtyard</v>
          </cell>
          <cell r="E51" t="str">
            <v>Nirvana Country</v>
          </cell>
          <cell r="F51" t="str">
            <v>Thursday</v>
          </cell>
          <cell r="G51" t="str">
            <v>9 AM - 12 PM</v>
          </cell>
          <cell r="H51">
            <v>1450</v>
          </cell>
          <cell r="I51">
            <v>362.5</v>
          </cell>
          <cell r="J51" t="str">
            <v>Bliss</v>
          </cell>
          <cell r="K51" t="str">
            <v>Sent replacement today (01/06) Send 1 Vase with next delivery (10/10) Send 1 Rassee Vase and Flowers tom (29/11) Sent 1 vase today (30/1) 1500 cash and 100 via paytm (07/01) One deliv sent today (26/02) Sent one del today (10/06) sent one del today (21/07) GMom Quiz Voucher Added (07/08) 1 Vase sent today (11/11) Send one del tom and with either rose or Car (02/12) Sent one del today (28/04)</v>
          </cell>
          <cell r="N51" t="str">
            <v>2  del of this cycle   -  1-cycles pmnt   Pending - Collect 1400</v>
          </cell>
          <cell r="O51" t="str">
            <v>Pur Eustoma ( 12 Inch ) 3     FF Sachet + Grass</v>
          </cell>
          <cell r="P51" t="str">
            <v>O Asiatic ( 14 Inch ) 3     Grass</v>
          </cell>
          <cell r="Q51" t="str">
            <v>Rajni ( 14 Inch ) 16     Grass</v>
          </cell>
          <cell r="R51" t="str">
            <v>G n W Car ( 14 Inch ) 16     FF Sachet + Grass</v>
          </cell>
          <cell r="S51" t="str">
            <v>P n Y Spray Daisy ( 14 Inch ) 5     FF Sachet + Grass</v>
          </cell>
          <cell r="T51" t="str">
            <v>Pink Eustoma 3     FF Sachet + Grass</v>
          </cell>
        </row>
        <row r="52">
          <cell r="A52">
            <v>3363</v>
          </cell>
          <cell r="B52" t="str">
            <v>Shipra Malhotra -- Same Flowers</v>
          </cell>
          <cell r="C52">
            <v>9819952391</v>
          </cell>
          <cell r="D52" t="str">
            <v>F-12, First Floor, Galaxy Apartments</v>
          </cell>
          <cell r="E52" t="str">
            <v>DLF Phase 5</v>
          </cell>
          <cell r="F52" t="str">
            <v>Thursday</v>
          </cell>
          <cell r="G52" t="str">
            <v>3:30 PM to 7:30 PM</v>
          </cell>
          <cell r="H52">
            <v>1450</v>
          </cell>
          <cell r="I52">
            <v>362.5</v>
          </cell>
          <cell r="J52" t="str">
            <v>Bliss</v>
          </cell>
          <cell r="K52" t="str">
            <v>Same Flowers in her Both subscription</v>
          </cell>
          <cell r="M52" t="str">
            <v>Same Flowers in Both Pack (13/05)</v>
          </cell>
          <cell r="N52" t="str">
            <v>2  del of this cycle   -  0-cycles pmnt   Completed - Collect 0</v>
          </cell>
          <cell r="O52" t="e">
            <v>#N/A</v>
          </cell>
          <cell r="P52" t="e">
            <v>#N/A</v>
          </cell>
          <cell r="Q52" t="e">
            <v>#N/A</v>
          </cell>
          <cell r="R52" t="e">
            <v>#N/A</v>
          </cell>
          <cell r="S52" t="str">
            <v>G n W Car ( 14 inch ) 16     FF Sachet + Grass</v>
          </cell>
          <cell r="T52" t="str">
            <v>O Asiatic ( 14 Inch ) 3     Grass</v>
          </cell>
        </row>
        <row r="53">
          <cell r="A53">
            <v>3364</v>
          </cell>
          <cell r="B53" t="str">
            <v>Shipra Malhotra -- Same Flowers</v>
          </cell>
          <cell r="C53">
            <v>9819952391</v>
          </cell>
          <cell r="D53" t="str">
            <v>F-12, First Floor, Galaxy Apartments</v>
          </cell>
          <cell r="E53" t="str">
            <v>DLF Phase 5</v>
          </cell>
          <cell r="F53" t="str">
            <v>Sunday</v>
          </cell>
          <cell r="G53" t="str">
            <v>3:30 PM to 7:30 PM</v>
          </cell>
          <cell r="H53">
            <v>1450</v>
          </cell>
          <cell r="I53">
            <v>362.5</v>
          </cell>
          <cell r="J53" t="str">
            <v>Bliss</v>
          </cell>
          <cell r="K53" t="str">
            <v>Same Flowers in her Both subscription // Skip 1 week and next week send after 5 PM (17/06)</v>
          </cell>
          <cell r="M53" t="str">
            <v>After 5 PM on 28th (17/06)</v>
          </cell>
          <cell r="N53" t="str">
            <v>2  del of this cycle   -  0-cycles pmnt   Completed - Collect 0</v>
          </cell>
          <cell r="O53" t="e">
            <v>#N/A</v>
          </cell>
          <cell r="P53" t="e">
            <v>#N/A</v>
          </cell>
          <cell r="Q53" t="e">
            <v>#N/A</v>
          </cell>
          <cell r="R53" t="e">
            <v>#N/A</v>
          </cell>
          <cell r="S53" t="str">
            <v>G n W Car ( 14 inch ) 16     FF Sachet + Grass</v>
          </cell>
          <cell r="T53" t="str">
            <v>O Asiatic ( 14 Inch ) 3     Grass</v>
          </cell>
        </row>
        <row r="54">
          <cell r="A54">
            <v>2779</v>
          </cell>
          <cell r="B54" t="str">
            <v>Riddhi Desai</v>
          </cell>
          <cell r="C54">
            <v>8130497969</v>
          </cell>
          <cell r="D54" t="str">
            <v>D-71, The Icon</v>
          </cell>
          <cell r="E54" t="str">
            <v>Golf Course Road</v>
          </cell>
          <cell r="F54" t="str">
            <v>Sunday</v>
          </cell>
          <cell r="G54" t="str">
            <v>9 AM to 2 PM</v>
          </cell>
          <cell r="H54">
            <v>1600</v>
          </cell>
          <cell r="I54">
            <v>200</v>
          </cell>
          <cell r="J54" t="str">
            <v>Bloom</v>
          </cell>
          <cell r="K54" t="str">
            <v>Send this week on Saturday (14/08) Skip 1 week (21/12) Hold till 2nd June (20/05)</v>
          </cell>
          <cell r="N54" t="str">
            <v>6  del of this cycle   -  0-cycles pmnt   Completed - Collect 0</v>
          </cell>
          <cell r="O54" t="str">
            <v>Rajni ( 14 Inch ) 7     Grass</v>
          </cell>
          <cell r="P54" t="str">
            <v>Pur n P Car ( 14 Inch ) 7     FF Sachet + Grass</v>
          </cell>
          <cell r="Q54" t="str">
            <v>P Spray Daisy ( 14 Inch ) 2     FF Sachet + Grass</v>
          </cell>
          <cell r="R54" t="str">
            <v>P n W Glad ( 14 Inch ) 7     Grass</v>
          </cell>
          <cell r="S54" t="str">
            <v>Rajni ( 14 Inch ) 7     Grass</v>
          </cell>
          <cell r="T54" t="str">
            <v>Mix Alstroemeria ( 12 Inch ) 7     FF Sachet + Grass</v>
          </cell>
        </row>
        <row r="55">
          <cell r="A55">
            <v>2359</v>
          </cell>
          <cell r="B55" t="str">
            <v>Roshni Achpal</v>
          </cell>
          <cell r="C55">
            <v>9711170252</v>
          </cell>
          <cell r="D55" t="str">
            <v>A-102, Belaire</v>
          </cell>
          <cell r="E55" t="str">
            <v>Golf Course Road</v>
          </cell>
          <cell r="F55" t="str">
            <v>Thursday</v>
          </cell>
          <cell r="G55" t="str">
            <v>9 AM - 12 PM</v>
          </cell>
          <cell r="H55">
            <v>1450</v>
          </cell>
          <cell r="I55">
            <v>362.5</v>
          </cell>
          <cell r="J55" t="str">
            <v>Bliss</v>
          </cell>
          <cell r="K55" t="str">
            <v>Gift From Ankita Mehta  // Shift to Delight(04/12) Gpay from Alok Asrani (04/12) Skip 2 week (19/12) No car (01/05) Skip 2 weeks (19/08) No rajni (08/09) Skip 2 week (18/12) No Button Daisy 912/02) Skip 1 week (14/03) Do not count last del (13/05) Skip 1 week (11/06) Skip 1 week (25/07)</v>
          </cell>
          <cell r="L55" t="str">
            <v>Car n Rajni n Buttn Daisies</v>
          </cell>
          <cell r="N55" t="str">
            <v>3  del of this cycle   -  0-cycles pmnt   Completed - Collect 0</v>
          </cell>
          <cell r="O55" t="str">
            <v>Pur n P Car ( 14 Inch ) 9     FF Sachet + Grass</v>
          </cell>
          <cell r="P55" t="str">
            <v>O Asiatic ( 14 Inch ) 2     Grass</v>
          </cell>
          <cell r="Q55" t="str">
            <v>Mix Alstroemeria ( 12Inch ) 9     FF Sachet + Grass</v>
          </cell>
          <cell r="R55" t="str">
            <v>G n W Car ( 14 Inch ) 16     FF Sachet + Grass</v>
          </cell>
          <cell r="S55" t="str">
            <v>Mix Glad ( 14 Inch ) 16     Grass</v>
          </cell>
          <cell r="T55" t="str">
            <v>P n Y Spray Daisy ( 14 Inch ) 5     FF Sachet + Grass</v>
          </cell>
        </row>
        <row r="56">
          <cell r="A56">
            <v>2037</v>
          </cell>
          <cell r="B56" t="str">
            <v>Sharwan Chopra</v>
          </cell>
          <cell r="C56">
            <v>9971066995</v>
          </cell>
          <cell r="D56" t="str">
            <v>A-223, The Belaire</v>
          </cell>
          <cell r="E56" t="str">
            <v>Golf Course Road</v>
          </cell>
          <cell r="F56" t="str">
            <v>Thursday</v>
          </cell>
          <cell r="G56" t="str">
            <v>10 AM to 2:30 PM</v>
          </cell>
          <cell r="H56">
            <v>1950</v>
          </cell>
          <cell r="I56">
            <v>487.5</v>
          </cell>
          <cell r="J56" t="str">
            <v>Joy</v>
          </cell>
          <cell r="K56" t="str">
            <v>NO Car (15/02) Skip 3 Weeks (12/06) Skip 1 week (28/12) Hold all deliveries till 1st July (12/06) Skip 25th Dec (23/12) Hold due to non payment (29/01) Returned today (04/06) Skip 1 week (16/06)</v>
          </cell>
          <cell r="L56" t="str">
            <v>CAR</v>
          </cell>
          <cell r="N56" t="str">
            <v>1  del of this cycle   -  1-cycles pmnt   Pending - Collect 1950</v>
          </cell>
          <cell r="O56" t="str">
            <v>Pur n P Eustoma ( 12 Inch ) 4     FF Sachet + Grass</v>
          </cell>
          <cell r="P56" t="str">
            <v>Rajni ( 14 Inch ) 22     Grass</v>
          </cell>
          <cell r="Q56" t="str">
            <v>O Asiatic ( ( 14 inch ) 4     Grass</v>
          </cell>
          <cell r="R56" t="str">
            <v>P n W Spray Daisy ( 14 Inch ) 7     FF Sachet + Grass</v>
          </cell>
          <cell r="S56" t="str">
            <v>Mix Glad ( 14 Inch ) 22     Grass</v>
          </cell>
          <cell r="T56" t="str">
            <v>Mix Alstroemeria ( 12 Inch ) 22     FF Sachet + Grass</v>
          </cell>
        </row>
        <row r="57">
          <cell r="A57">
            <v>203</v>
          </cell>
          <cell r="B57" t="str">
            <v>Alok divatia -- After 10 AM</v>
          </cell>
          <cell r="C57">
            <v>9819355743</v>
          </cell>
          <cell r="D57" t="str">
            <v>BLC 263, 26th Floor, Tower C, The Belaire</v>
          </cell>
          <cell r="E57" t="str">
            <v>Golf Course Road</v>
          </cell>
          <cell r="F57" t="str">
            <v>Thursday</v>
          </cell>
          <cell r="G57" t="str">
            <v>9 AM - 12 PM</v>
          </cell>
          <cell r="H57">
            <v>8648</v>
          </cell>
          <cell r="I57">
            <v>2162</v>
          </cell>
          <cell r="J57" t="str">
            <v>Customized</v>
          </cell>
          <cell r="K57" t="str">
            <v>Tues to Thurs//After 10 AM, Lilis only and 12 lilies + 24 carnations, Never combo of Red n white, all flowers shd be of diff color(12/06)Skip tom n then on Tuesday(08/09) Return-send tom(16/12) NO ROSE(20/12) 14 Lily and 24 Car(24/09) Send 18 spray daisy instead of Asiatic next(30/03) Change package cost to 6300(20/07) Hold from today (05/12)</v>
          </cell>
          <cell r="N57" t="str">
            <v>1  del of this cycle   -  1-cycles pmnt   Pending - Collect 8648</v>
          </cell>
          <cell r="O57" t="str">
            <v>O n W Asiatic ( 14 Inch ) 14 R n P Car ( 14 Inch ) 24   4 Areca Palm + 2 Gypsola + 2 Limonim</v>
          </cell>
          <cell r="P57" t="str">
            <v>Y n P Asiatic ( 14 Inch ) 14 Pur n W Car ( 14 Inch ) 24   4 Areca Palm + 2 Gypsola + 2 Limonium</v>
          </cell>
          <cell r="Q57" t="str">
            <v xml:space="preserve">O n W Asiatic ( 14 inch ) 14 P n W Car ( 14 Inch ) 24   </v>
          </cell>
          <cell r="R57" t="str">
            <v>O n P Asiatic  ( 14 Inch ) 14 G n W Car ( 14 Inch ) 24   4 Areca Palm + 2 Gypsola + 2 Limonium</v>
          </cell>
          <cell r="S57" t="str">
            <v>Y n W Asiatic ( 14 Inch ) 14 Pur n P Car ( 14 Inch ) 24   4 Areca Palm + 2 Gypsola + 2 Limonium</v>
          </cell>
          <cell r="T57" t="str">
            <v>O n W Asiatic ( 14 Inch ) 14 P n W Car ( 14 inch ) 24   4 Areca Palm + 2 Gypsola + 2 Limonium</v>
          </cell>
        </row>
        <row r="58">
          <cell r="A58">
            <v>20</v>
          </cell>
          <cell r="B58" t="str">
            <v>Mrs. Vandana Dutt Before 10</v>
          </cell>
          <cell r="C58">
            <v>9810771057</v>
          </cell>
          <cell r="D58" t="str">
            <v>15/002,South Close, Nirvana country</v>
          </cell>
          <cell r="E58" t="str">
            <v>Nirvana Country</v>
          </cell>
          <cell r="F58" t="str">
            <v>Thursday</v>
          </cell>
          <cell r="G58" t="str">
            <v>9 AM - 12 PM</v>
          </cell>
          <cell r="H58">
            <v>1450</v>
          </cell>
          <cell r="I58">
            <v>362.5</v>
          </cell>
          <cell r="J58" t="str">
            <v>Bliss</v>
          </cell>
          <cell r="K58" t="str">
            <v>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Dont snend tom -send on Monday (08/02) Had 350 Extra from pasyment of 2000 on 11th May, 250 adjusted, now have 100 extra with us(18/05) Sent replacement today (10/06) Spray Daisy -- white or Yellow and Glad white (06/09) 250 extra added against received walkin bouquet (12/09) Skip 1 week (13/10) Sending 1 Del today (22/10) Skip 2 week (19/05) Star from 19th (17/07) NO Flowers from 15th Aug to 29th Aug (27/07) Skip this 8th Del (02/08) Return today send tom (07/11) Skip 1 week (17/11) Skip 12th (09/12) Today returned (26/12) Skip 1 week (11/03) Skip 1 week (23/03) Skip 1 week (31/03) Today Returned (10/04) Today Returned (18/04) Skip 1 week (28/04) Skip 2 week (02/06) Hold , she will confirm (28/07) No delivery on 21st Aug (19/08) No flowers from 11th Sep to 25th Sep (05/09) Hold till 20th (10/11) Last cycle 950 was less received (06/11) Send one del tom (22/11) Skip 1 week (23/12) Skip 1 week (11/02) From Sunflower/Spray dausy/Eustoma (18/04) Hol dtill 15th July (30/06)</v>
          </cell>
          <cell r="M58" t="str">
            <v>From Sunflower/Spray dausy/Eustoma (18/04)</v>
          </cell>
          <cell r="N58" t="str">
            <v>4  del of this cycle   -  0-cycles pmnt   Completed - Collect 0</v>
          </cell>
          <cell r="O58" t="str">
            <v>Mix Car 16     FF Sachet + Grass</v>
          </cell>
          <cell r="P58" t="e">
            <v>#N/A</v>
          </cell>
          <cell r="Q58" t="e">
            <v>#N/A</v>
          </cell>
          <cell r="R58" t="e">
            <v>#N/A</v>
          </cell>
          <cell r="S58" t="str">
            <v>G n W Car ( 14 inch ) 16     FF Sachet + Grass</v>
          </cell>
          <cell r="T58" t="str">
            <v>P n W Car ( 14 Inch ) 16     FF Sachet + Grass</v>
          </cell>
        </row>
        <row r="59">
          <cell r="A59">
            <v>1898</v>
          </cell>
          <cell r="B59" t="str">
            <v>Shipra</v>
          </cell>
          <cell r="C59">
            <v>8447778677</v>
          </cell>
          <cell r="D59" t="str">
            <v xml:space="preserve">C-94 Trinity </v>
          </cell>
          <cell r="E59" t="str">
            <v>DLF Phase 5</v>
          </cell>
          <cell r="F59" t="str">
            <v>Saturday</v>
          </cell>
          <cell r="G59" t="str">
            <v>4 Pm to 7 PM</v>
          </cell>
          <cell r="H59">
            <v>1600</v>
          </cell>
          <cell r="I59">
            <v>200</v>
          </cell>
          <cell r="J59" t="str">
            <v>Bloom</v>
          </cell>
          <cell r="K59"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 HDTNP (12/07) HDTNP (16/07) HDTNP (19/07)</v>
          </cell>
          <cell r="N59" t="str">
            <v>5  del of this cycle   -  0-cycles pmnt   Completed - Collect 0</v>
          </cell>
          <cell r="O59" t="str">
            <v>Sunflower ( 12 Inch) 2     FF Sachet + Grass</v>
          </cell>
          <cell r="P59" t="str">
            <v>Rajni ( 14 Inch ) 7     Grass</v>
          </cell>
          <cell r="Q59" t="str">
            <v>Sunflower ( 12 Inch ) 2   Collect Payment Collect Payment Grass</v>
          </cell>
          <cell r="R59" t="e">
            <v>#N/A</v>
          </cell>
          <cell r="S59" t="str">
            <v>Rajni ( 14 Inch ) 7 Check with us before sending Check with us before sending Check with us before sending  Grass</v>
          </cell>
          <cell r="T59" t="str">
            <v>Y Spray Daisy ( 14 Inch ) 2     FF Sachet + Grass</v>
          </cell>
        </row>
        <row r="60">
          <cell r="A60">
            <v>3128</v>
          </cell>
          <cell r="B60" t="str">
            <v>Shikha Malhotra</v>
          </cell>
          <cell r="C60">
            <v>9873498869</v>
          </cell>
          <cell r="D60" t="str">
            <v>M-254, Park Place</v>
          </cell>
          <cell r="E60" t="str">
            <v>Golf Course Road</v>
          </cell>
          <cell r="F60" t="str">
            <v>Thursday</v>
          </cell>
          <cell r="G60" t="str">
            <v>4 PM to 7 PM</v>
          </cell>
          <cell r="H60">
            <v>1450</v>
          </cell>
          <cell r="I60">
            <v>362.5</v>
          </cell>
          <cell r="J60" t="str">
            <v>Bliss</v>
          </cell>
          <cell r="K60" t="str">
            <v>Skip 2 week after 13th (07/11) Today Hold (04/12) Paytm From Vivek Malhotra //</v>
          </cell>
          <cell r="N60" t="str">
            <v>3  del of this cycle   -  0-cycles pmnt   Completed - Collect 0</v>
          </cell>
          <cell r="O60" t="str">
            <v>P Asiatic ( 14 Inch ) 3  Collect Payment Collect Payment Collect Payment Grass</v>
          </cell>
          <cell r="P60" t="str">
            <v>Rajni ( 14 Inch ) 16     Grass</v>
          </cell>
          <cell r="Q60" t="str">
            <v>P n Y Spray Daisy ( 14 Inch ) 5     FF Sachet + Grass</v>
          </cell>
          <cell r="R60" t="str">
            <v>Asiatic 3     Grass</v>
          </cell>
          <cell r="S60" t="str">
            <v>G n W Car ( 14 inch ) 16     FF Sachet + Grass</v>
          </cell>
          <cell r="T60" t="str">
            <v>Mix Glad ( 14 Inch ) 16     FF Sachet + Grass</v>
          </cell>
        </row>
        <row r="61">
          <cell r="A61">
            <v>2666</v>
          </cell>
          <cell r="B61" t="str">
            <v>Gunjan Malhotra</v>
          </cell>
          <cell r="C61">
            <v>9971518253</v>
          </cell>
          <cell r="D61" t="str">
            <v>H. No. 298C, 1st Floor, Block G, Sushant Lok-2</v>
          </cell>
          <cell r="E61" t="str">
            <v>Artemis</v>
          </cell>
          <cell r="F61" t="str">
            <v>Thursday</v>
          </cell>
          <cell r="G61" t="str">
            <v>4 PM to 7 PM</v>
          </cell>
          <cell r="H61">
            <v>1450</v>
          </cell>
          <cell r="I61">
            <v>362.5</v>
          </cell>
          <cell r="J61" t="str">
            <v>Bliss</v>
          </cell>
          <cell r="K61" t="str">
            <v>Paytm From Gunjan Malhotra // Hold n start from 04th Sep (02/08) Change day to Thursday (31/08) Do not count last Del (20/12) Skip 1 week (02/02) Skip 1 week (25/03)</v>
          </cell>
          <cell r="N61" t="str">
            <v>3  del of this cycle   -  0-cycles pmnt   Completed - Collect 0</v>
          </cell>
          <cell r="O61" t="str">
            <v>Pur Eustoma ( 12 Inch ) 3     FF Sachet + Grass</v>
          </cell>
          <cell r="P61" t="str">
            <v>P Asiatic ( 14 Inch ) 3     Grass</v>
          </cell>
          <cell r="Q61" t="str">
            <v>Rajni ( 14 Inch ) 16     Grass</v>
          </cell>
          <cell r="R61" t="str">
            <v>G n W Car ( 14 Inch ) 16     FF Sachet + Grass</v>
          </cell>
          <cell r="S61" t="str">
            <v>P n Y Spray Daisy ( 14 Inch ) 5     FF Sachet + Grass</v>
          </cell>
          <cell r="T61" t="str">
            <v>Mix Glad ( 14 Inch ) 16     FF Sachet + Grass</v>
          </cell>
        </row>
        <row r="62">
          <cell r="A62">
            <v>221</v>
          </cell>
          <cell r="B62" t="str">
            <v>Convinience Enterprises-Sonali anand</v>
          </cell>
          <cell r="C62">
            <v>9810524040</v>
          </cell>
          <cell r="D62" t="str">
            <v>E-243 belaire apartments</v>
          </cell>
          <cell r="E62" t="str">
            <v>Golf Course Road</v>
          </cell>
          <cell r="F62" t="str">
            <v>Thursday</v>
          </cell>
          <cell r="G62" t="str">
            <v>9 AM - 12 PM</v>
          </cell>
          <cell r="H62">
            <v>2750</v>
          </cell>
          <cell r="I62">
            <v>687.5</v>
          </cell>
          <cell r="J62" t="str">
            <v>Corporate</v>
          </cell>
          <cell r="K62" t="str">
            <v>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v>
          </cell>
          <cell r="N62" t="str">
            <v>3  del of this cycle   -  0-cycles pmnt   In Process - Collect 0</v>
          </cell>
          <cell r="O62" t="e">
            <v>#N/A</v>
          </cell>
          <cell r="P62" t="str">
            <v xml:space="preserve">P Asiatic ( 14 Inch ) 6     </v>
          </cell>
          <cell r="Q62" t="str">
            <v>R n W Car ( 14 Inch ) 32     2 Limonium + FF Sachet</v>
          </cell>
          <cell r="R62" t="str">
            <v>P n Y Spray Daisy ( 14 Inch ) 10     2 Gypsola + FF Sachet</v>
          </cell>
          <cell r="S62" t="str">
            <v>O Asiatic ( 14 Inch ) 6     2 Limonium</v>
          </cell>
          <cell r="T62" t="str">
            <v>Mix Alstroemeria ( 12 Inch ) 32     2 Gypsola + FF Sachet</v>
          </cell>
        </row>
        <row r="63">
          <cell r="A63">
            <v>1656</v>
          </cell>
          <cell r="B63" t="str">
            <v>Eva-Pinnacle</v>
          </cell>
          <cell r="C63">
            <v>9560609907</v>
          </cell>
          <cell r="D63" t="str">
            <v>C-93, The Pinnacle</v>
          </cell>
          <cell r="E63" t="str">
            <v>DLF Phase 5</v>
          </cell>
          <cell r="F63" t="str">
            <v>Thursday</v>
          </cell>
          <cell r="G63" t="str">
            <v>9:30 Am to 2 PM</v>
          </cell>
          <cell r="H63">
            <v>1450</v>
          </cell>
          <cell r="I63">
            <v>362.5</v>
          </cell>
          <cell r="J63" t="str">
            <v>Bliss</v>
          </cell>
          <cell r="K63" t="str">
            <v>Paytm From Arvind Pachhapur(24/02) 750 pack-- Car//Guldawari//Rajni//Orchid//Asiatic(23/03) Hold today and send next6 week(14/04) Hold n start from 19th June(16/06) Skip 1 week (05/01) Received one more payment today (26/01) Payment was in process (20/03) Skip 1 week (28/06) Skip 1 week (29/06) Skip 3 week (21/05)</v>
          </cell>
          <cell r="N63" t="str">
            <v>4  del of this cycle   -  0-cycles pmnt   Completed - Collect 0</v>
          </cell>
          <cell r="O63" t="str">
            <v>Rajni ( 14 Inch ) 9     Grass</v>
          </cell>
          <cell r="P63" t="str">
            <v>O Asiatic ( 14 Inch ) 2     Grass</v>
          </cell>
          <cell r="Q63" t="e">
            <v>#N/A</v>
          </cell>
          <cell r="R63" t="str">
            <v>O Asiatic ( 14 Inch ) 3     Grass</v>
          </cell>
          <cell r="S63" t="str">
            <v>Mix Glad ( 14 Inch ) 16     Grass</v>
          </cell>
          <cell r="T63" t="str">
            <v>P n Y Spray Daisy ( 14 Inch ) 5     FF Sachet + Grass</v>
          </cell>
        </row>
        <row r="64">
          <cell r="A64">
            <v>921</v>
          </cell>
          <cell r="B64" t="str">
            <v>Anumeha</v>
          </cell>
          <cell r="C64" t="str">
            <v>9899901949// 9953511987</v>
          </cell>
          <cell r="D64" t="str">
            <v>T-04/1701, South Close</v>
          </cell>
          <cell r="E64" t="str">
            <v>Nirvana Country</v>
          </cell>
          <cell r="F64" t="str">
            <v>Thursday</v>
          </cell>
          <cell r="G64" t="str">
            <v>9 AM - 12 PM</v>
          </cell>
          <cell r="H64">
            <v>1450</v>
          </cell>
          <cell r="I64">
            <v>362.5</v>
          </cell>
          <cell r="J64" t="str">
            <v>Bliss</v>
          </cell>
          <cell r="K64" t="str">
            <v>Pls send Orchid 1st del(20/11)Send a replacement tom(25/11) Only Rajni,Asiatic and Roses(28/12) Lilies next(01/01) Lilies next(22/01) Lily Next(19/10) Send Replacement on Thursday(05/11) Lilies next-- Orange Or Yellow(17/11) Last Del Missed-Sending Tom(12/12) Returned-send from next week(16/12) Send Gerbera Tom(19/01) Daisy Next(01/02) Roses Tom(16/02) Received 50 today(02/03) Gerbera Next(08/03) Gerbera Tom(22/01) Lilies twice in cycle and Daisy/ Rajnigandha Only// Lily Next (01/02) O Asiatic Next(14/02) NO DAISY// NO SPRAY DAISY(06/03) Yel Gerbera Next(17/03) Spray Daisy with Purple in centre tom in evening slot(09/04) send on 3rd now(02/05) W n Yellow Gerbera Tom(02/03) Gpay from Lallan Singh(17/03) Recieved payment from Anumeha account today(07/04) Received Gpay from Joy Deep(28/04) Paytm From Joydeep Mukherjee(08/09) Hold for 3 weeks (19/12) Hold for 2 weeks (25/01) Skip 1 week (02/03) No rajni till oct (31/08) Send replacement tom (01/11) Skip tom (10/12) Skip 5th Del (28/02) Today Hold (28/05) Skip 2 week (25/07)</v>
          </cell>
          <cell r="M64" t="str">
            <v>No rajni till Oct (31/08)</v>
          </cell>
          <cell r="N64" t="str">
            <v>2  del of this cycle   -  1-cycles pmnt   Pending - Collect 1450</v>
          </cell>
          <cell r="O64" t="str">
            <v>Pur n P Car ( 14 Inch ) 16     FF Sachet + Grass</v>
          </cell>
          <cell r="P64" t="str">
            <v>O Asiatic ( 14 Inch ) 3     Grass</v>
          </cell>
          <cell r="Q64" t="str">
            <v>P n Y Gerbera ( 12 Inch ) 16     FF Sachet + Grass</v>
          </cell>
          <cell r="R64" t="e">
            <v>#N/A</v>
          </cell>
          <cell r="S64" t="e">
            <v>#N/A</v>
          </cell>
          <cell r="T64" t="str">
            <v>R n W Car ( 14 Inch ) 16     FF Sachet + Grass</v>
          </cell>
        </row>
        <row r="65">
          <cell r="A65">
            <v>870</v>
          </cell>
          <cell r="B65" t="str">
            <v>Himabindu Kanchan</v>
          </cell>
          <cell r="C65">
            <v>9892501292</v>
          </cell>
          <cell r="D65" t="str">
            <v xml:space="preserve">D -13, Pinnacle Dlf Phase - 5 </v>
          </cell>
          <cell r="E65" t="str">
            <v>DLF Phase 5</v>
          </cell>
          <cell r="F65" t="str">
            <v>Thursday</v>
          </cell>
          <cell r="G65" t="str">
            <v>9 AM - 12 PM</v>
          </cell>
          <cell r="H65">
            <v>1600</v>
          </cell>
          <cell r="I65">
            <v>200</v>
          </cell>
          <cell r="J65" t="str">
            <v>Bloom</v>
          </cell>
          <cell r="K65"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65" t="str">
            <v>4  del of this cycle   -  0-cycles pmnt   Completed - Collect 0</v>
          </cell>
          <cell r="O65" t="str">
            <v>Rajni ( 14 Inch ) 7     Grass</v>
          </cell>
          <cell r="P65" t="str">
            <v>P n W Car ( 14 Inch ) 7     FF Sachet + Grass</v>
          </cell>
          <cell r="Q65" t="str">
            <v>Y Spray Daisy ( 14 Inch ) 2     FF Sachet + Grass</v>
          </cell>
          <cell r="R65" t="str">
            <v>Sunflower ( 12 Inch ) 2     FF Sachet + Grass</v>
          </cell>
          <cell r="S65" t="str">
            <v>G n W Car ( 14 inch ) 7   Ensure Collection Ensure Collection FF Sachet + Grass</v>
          </cell>
          <cell r="T65" t="str">
            <v>P Spray Daisy ( 14 Inch ) 2     FF Sachet + Grass</v>
          </cell>
        </row>
        <row r="66">
          <cell r="A66">
            <v>3097</v>
          </cell>
          <cell r="B66" t="str">
            <v>Jamie Miller</v>
          </cell>
          <cell r="C66">
            <v>7428737502</v>
          </cell>
          <cell r="D66" t="str">
            <v>D-072, The DLF Crest</v>
          </cell>
          <cell r="E66" t="str">
            <v>Golf Course Road</v>
          </cell>
          <cell r="F66" t="str">
            <v>Thursday</v>
          </cell>
          <cell r="G66" t="str">
            <v>9:30 Am to 2 PM</v>
          </cell>
          <cell r="H66">
            <v>2750</v>
          </cell>
          <cell r="I66">
            <v>687.5</v>
          </cell>
          <cell r="J66" t="str">
            <v>Elation</v>
          </cell>
          <cell r="K66" t="str">
            <v>From James Brittan // Skip 2 week (20/12) Today Returned (22/01) Skip 3 weeks (26/01) Skip 1 week (17/03) Skip 2 week (31/05) Skip 2 weeks (03/07)</v>
          </cell>
          <cell r="N66" t="str">
            <v>1  del of this cycle   -  0-cycles pmnt   Completed - Collect 0</v>
          </cell>
          <cell r="O66" t="str">
            <v>Sunflower ( 12 Inch) 4 B Daisy ( 12 Inch ) 16   2 Limonium + FF Sachet</v>
          </cell>
          <cell r="P66" t="str">
            <v xml:space="preserve">Pur n P Eustoma ( 12 Inch ) 4 Rajni ( 14 Inch ) 16   </v>
          </cell>
          <cell r="Q66" t="e">
            <v>#N/A</v>
          </cell>
          <cell r="R66" t="e">
            <v>#N/A</v>
          </cell>
          <cell r="S66" t="str">
            <v>Y Asiatic ( 14 inch ) 3 G n W Car ( 14 Inch ) 16   2 Limonium</v>
          </cell>
          <cell r="T66" t="str">
            <v>BOP ( 15 Inch ) 3 Mix Alstroemeria ( 12 Inch ) 16   2 Gypsola + FF Sachet</v>
          </cell>
        </row>
        <row r="67">
          <cell r="A67">
            <v>884</v>
          </cell>
          <cell r="B67" t="str">
            <v>Bhavna Taneja</v>
          </cell>
          <cell r="C67">
            <v>9811192021</v>
          </cell>
          <cell r="D67" t="str">
            <v>F-214, DLF The Crest,Sec-54</v>
          </cell>
          <cell r="E67" t="str">
            <v>Golf Course Road</v>
          </cell>
          <cell r="F67" t="str">
            <v>Thursday</v>
          </cell>
          <cell r="G67" t="str">
            <v>9:30 AM to 2 PM</v>
          </cell>
          <cell r="H67">
            <v>1950</v>
          </cell>
          <cell r="I67">
            <v>487.5</v>
          </cell>
          <cell r="J67" t="str">
            <v>Joy</v>
          </cell>
          <cell r="K67" t="str">
            <v>Send 2 Stick exytra next(14/09) Send lilies next(27/09) Send Tom instead of Sat and send Lilies(22/10) Send del tom with Orchids(30/10) Send 2 Asiatic on Friday instead of satirday(21/11) Google Pay from Harsh Taneja(08/02) Send on 20th and don’t send on 22nd(15/02) Hold n start from 7th Mar (20/02) TRY FOR WEDNESDAY(19/05/20) Send next del on friday with 2 extra Asiatic lily for 200Rs.(27/05/2020) Sending 30th Del on 29th May(28/05/2020) UPI From Harsh Vir Taneja(05/06/2020) Upgrade to 850 (30/07/20) Send Tom instead of 30th Oct)(27/10) Sending tom due to Diwali(11/11) Change to Bloom Pack(08/04) Next del on Monday (23/12) Send Lilies Next (24/12) Dont send on thursday -- send on Monday (04/01) NO BOP n GULDAWARI (29/01) Skip this monday and send on tuesday this week (16/05) Skip this wek and send on Thursday (26/08) Skip next thursday and sned on sunday (22/03) Skip 2 wek (02/06) Skip tom n send on sunday (26/06) No GERBERA (01/08) 1000 cash and 250 via paytm (21/11) Send on tuesday this week (22/12) Paytm from Harshveer Taneja (16/05) Payment REceived on 08th May also via Cash(18/05) skip 1 week (31/05) Skip 1 week (20/12) Start from 25th June (12/06)</v>
          </cell>
          <cell r="L67" t="str">
            <v>GULDAWARI n BOP n GERBERA</v>
          </cell>
          <cell r="M67" t="str">
            <v>Mixed Now</v>
          </cell>
          <cell r="N67" t="str">
            <v>2  del of this cycle   -  0-cycles pmnt   CompletedNO COLLECTION-we have extra money - Collect -50</v>
          </cell>
          <cell r="O67" t="str">
            <v>Pur n P Car ( 14 Inch ) 16     FF Sachet + Grass</v>
          </cell>
          <cell r="P67" t="str">
            <v>Sunflower ( 12 Inch ) 4    Collect Payment FF Sachet + Grass</v>
          </cell>
          <cell r="Q67" t="str">
            <v>Rajni ( 14 Inch ) 16     Grass</v>
          </cell>
          <cell r="R67" t="str">
            <v>P Asiatic ( 14 Inch ) 3     Grass</v>
          </cell>
          <cell r="S67" t="str">
            <v>Mix Glad ( 14 Inch ) 22     Grass</v>
          </cell>
          <cell r="T67" t="str">
            <v>P n Y Spray Daisy ( 14 Inch ) 7     FF Sachet + Grass</v>
          </cell>
        </row>
        <row r="68">
          <cell r="A68">
            <v>2024</v>
          </cell>
          <cell r="B68" t="str">
            <v>Priyanka Katyal</v>
          </cell>
          <cell r="C68">
            <v>9958565556</v>
          </cell>
          <cell r="D68" t="str">
            <v>1487, Saraswati Kunj, Sector 53</v>
          </cell>
          <cell r="E68" t="str">
            <v>DLF Phase 5</v>
          </cell>
          <cell r="F68" t="str">
            <v>Thursday</v>
          </cell>
          <cell r="G68" t="str">
            <v>9 AM - 12 PM</v>
          </cell>
          <cell r="H68">
            <v>1950</v>
          </cell>
          <cell r="I68">
            <v>487.5</v>
          </cell>
          <cell r="J68" t="str">
            <v>Joy</v>
          </cell>
          <cell r="K68" t="str">
            <v>Sunday n Thursday//NO Oriental and Guldawari (29/12) Paytm From Sanjay Katyal (28/03) Hold till 8th June-- she will confirm the package (24/05)' Shift to felicity// Today hold --send tom (09/07) Lilies Tom (08/11) Paytm From Ace Promoters and Developers Pvt. Ltd (26/01) Send Replacement tom (17/02) Skip 1 week (10/07) Couldn't deliver due to water logging-send on sunday (29/08) Paytm from Sanjay Katyal (20/10) Skip 2 week (21/05) Hold till 13th Aiug (26/07) Premium Flwer extra Next (09/01)</v>
          </cell>
          <cell r="L68" t="str">
            <v>ORIENTAL n GULDAWARI</v>
          </cell>
          <cell r="M68" t="str">
            <v>Premium Flwer extra Next (09/01)</v>
          </cell>
          <cell r="N68" t="str">
            <v>3  del of this cycle   -  0-cycles pmnt   Completed - Collect 0</v>
          </cell>
          <cell r="O68" t="str">
            <v>O Asiatic ( 14 Inch ) 4     Grass</v>
          </cell>
          <cell r="P68" t="str">
            <v>P n W Car ( 14 Inch ) 22     FF Sachet + Grass</v>
          </cell>
          <cell r="Q68" t="str">
            <v>Rajni ( 14 Inch ) 22     Grass</v>
          </cell>
          <cell r="R68" t="str">
            <v>Mix Alstroemeria ( 12 Inch ) 22     FF Sachet + Grass</v>
          </cell>
          <cell r="S68" t="str">
            <v>Mix Glad ( 14 Inch ) 22     Grass</v>
          </cell>
          <cell r="T68" t="str">
            <v>P n Y Spray Daisy ( 14 Inch ) 7     FF Sachet + Grass</v>
          </cell>
        </row>
        <row r="69">
          <cell r="A69">
            <v>1638</v>
          </cell>
          <cell r="B69" t="str">
            <v>Arvinder</v>
          </cell>
          <cell r="C69">
            <v>9717121144</v>
          </cell>
          <cell r="D69" t="str">
            <v>T-15/1202, Close South</v>
          </cell>
          <cell r="E69" t="str">
            <v>Nirvana Country</v>
          </cell>
          <cell r="F69" t="str">
            <v>Monday</v>
          </cell>
          <cell r="G69" t="str">
            <v>9 AM - 12 PM</v>
          </cell>
          <cell r="H69">
            <v>1450</v>
          </cell>
          <cell r="I69">
            <v>362.5</v>
          </cell>
          <cell r="J69" t="str">
            <v>Bliss</v>
          </cell>
          <cell r="K69" t="str">
            <v>Asiatic//Rajni//Guldawari//Gladioli(19/02) Received another Paytm of 750 today(18/07) No Rose n Rajni (26/12) Hold today (20/05) Change Add (20/05) Skip 1 week (28/08)</v>
          </cell>
          <cell r="L69" t="str">
            <v>Rose n Rajni</v>
          </cell>
          <cell r="N69" t="str">
            <v>1  del of this cycle   -  0-cycles pmnt   Completed - Collect 0</v>
          </cell>
          <cell r="O69" t="e">
            <v>#N/A</v>
          </cell>
          <cell r="P69" t="e">
            <v>#N/A</v>
          </cell>
          <cell r="Q69" t="e">
            <v>#N/A</v>
          </cell>
          <cell r="R69" t="e">
            <v>#N/A</v>
          </cell>
          <cell r="S69" t="e">
            <v>#N/A</v>
          </cell>
          <cell r="T69" t="str">
            <v>R n W Car ( 14 Inch ) 16     FF Sachet + Grass</v>
          </cell>
        </row>
        <row r="70">
          <cell r="A70" t="str">
            <v>B51357</v>
          </cell>
          <cell r="B70" t="str">
            <v>Swathi</v>
          </cell>
          <cell r="C70">
            <v>9150077050</v>
          </cell>
          <cell r="D70" t="str">
            <v>56. Cedar Crest, 2nd Floor</v>
          </cell>
          <cell r="G70" t="str">
            <v>Before 1 Pm</v>
          </cell>
          <cell r="H70">
            <v>1080</v>
          </cell>
          <cell r="J70" t="str">
            <v>Bouquet</v>
          </cell>
          <cell r="K70" t="str">
            <v>Swathi
+91 91 5007 705 0
12 mixed carnations- pink, shaded purple mix 
6 spray daisies- pink, yellow and white 
Dono ko alag alag greens laga ke sutli se baandh dena
No tape
Bouquet nahi banana hai, butter paper mein jaayega</v>
          </cell>
          <cell r="T70" t="str">
            <v xml:space="preserve">Carnations- pink, shaded purple mix spray daisies- pink, yellow and white  12+6 Dono ko alag alag greens laga ke sutli se baandh dena
No tape
Bouquet nahi banana hai, butter paper mein jaayega    </v>
          </cell>
        </row>
        <row r="71">
          <cell r="A71">
            <v>2509</v>
          </cell>
          <cell r="B71" t="str">
            <v>Shrija Majumder</v>
          </cell>
          <cell r="C71">
            <v>8910369663</v>
          </cell>
          <cell r="D71" t="str">
            <v>G-803, BPTP Freedom Park Life</v>
          </cell>
          <cell r="E71" t="str">
            <v>Artemis</v>
          </cell>
          <cell r="F71" t="str">
            <v>Thursday</v>
          </cell>
          <cell r="G71" t="str">
            <v>9:30 Am to 2 PM</v>
          </cell>
          <cell r="H71">
            <v>1450</v>
          </cell>
          <cell r="I71">
            <v>1450</v>
          </cell>
          <cell r="J71" t="str">
            <v>Bliss</v>
          </cell>
          <cell r="K71" t="str">
            <v>Only Seasonals // skip tom (26/04) Skip 1 week (25/06) Hold today (14/08) Send tom after 7 PM (20/08) Skip 1 week (27/08) Skip 1 week (05/03) send replacement tom (28/03) Skip 2 week (15/07)</v>
          </cell>
          <cell r="M71" t="str">
            <v>Seasonlas</v>
          </cell>
          <cell r="N71" t="str">
            <v>4  del of this cycle   -  0-cycles pmnt   Completed - Collect 0</v>
          </cell>
          <cell r="O71" t="str">
            <v>P n W Glad ( 14 Inch ) 16     Grass</v>
          </cell>
          <cell r="P71" t="str">
            <v>Rajni ( 14 Inch ) 16     Grass</v>
          </cell>
          <cell r="Q71" t="str">
            <v>R n W Car ( 14 Inch ) 16     FF Sachet + Grass</v>
          </cell>
          <cell r="R71" t="e">
            <v>#N/A</v>
          </cell>
          <cell r="S71" t="e">
            <v>#N/A</v>
          </cell>
          <cell r="T71" t="str">
            <v>O Asiatic 3     Grass</v>
          </cell>
        </row>
        <row r="72">
          <cell r="A72">
            <v>1438</v>
          </cell>
          <cell r="B72" t="str">
            <v>Aishwarya G Aiyar</v>
          </cell>
          <cell r="C72">
            <v>9884857311</v>
          </cell>
          <cell r="D72" t="str">
            <v>A-173, The Pinnacle</v>
          </cell>
          <cell r="E72" t="str">
            <v>DLF Phase 5</v>
          </cell>
          <cell r="F72" t="str">
            <v>Thursday</v>
          </cell>
          <cell r="G72" t="str">
            <v>9 AM - 12 PM</v>
          </cell>
          <cell r="H72">
            <v>1600</v>
          </cell>
          <cell r="I72">
            <v>200</v>
          </cell>
          <cell r="J72" t="str">
            <v>Bloom</v>
          </cell>
          <cell r="K72"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72" t="str">
            <v>1  del of this cycle   -  1-cycles pmnt   Pending - Collect 1600</v>
          </cell>
          <cell r="O72" t="str">
            <v>P n W Car ( 14 inch ) 7     FF Sachet + Grass</v>
          </cell>
          <cell r="P72" t="str">
            <v>P n W Glad ( 14 Inch ) 7     Grass</v>
          </cell>
          <cell r="Q72" t="str">
            <v>Rajni ( 14 Inch ) 7   Collect Payment Collect Payment Grass</v>
          </cell>
          <cell r="R72" t="str">
            <v>Y Spray Daisy ( 14 Inch ) 2     FF Sachet + Grass</v>
          </cell>
          <cell r="S72" t="str">
            <v>Y Spray Daisy ( 14 Inch ) 2     FF Sachet + Grass</v>
          </cell>
          <cell r="T72" t="str">
            <v>Rajni ( 14 Inch ) 7     Grass</v>
          </cell>
        </row>
        <row r="73">
          <cell r="A73">
            <v>1181</v>
          </cell>
          <cell r="B73" t="str">
            <v>Parul Sharma --Elation</v>
          </cell>
          <cell r="C73">
            <v>8800895944</v>
          </cell>
          <cell r="D73" t="str">
            <v>Villa-27, The Legend</v>
          </cell>
          <cell r="E73" t="str">
            <v>Artemis</v>
          </cell>
          <cell r="F73" t="str">
            <v>Thursday</v>
          </cell>
          <cell r="G73" t="str">
            <v>9 AM to 2 PM</v>
          </cell>
          <cell r="H73">
            <v>1950</v>
          </cell>
          <cell r="I73">
            <v>487.5</v>
          </cell>
          <cell r="J73" t="str">
            <v>Joy</v>
          </cell>
          <cell r="K73" t="str">
            <v>Tuesday and Thursday//Change day to Thursday(21/12) Car Next(18/01) NO ORCHIDS(20/01) Car Next(02/02) Sending on 20th instaed of 21st,bcoz of Holi(18/03) Today FF Sent(11/04) Paytm from ritu Kaur(12/04) Send replacement(12/04) Send Special Pack(08/05) Received payment of special pack(10/05) Hold n start from 2nd week of july(04/060 Inform Before sending(01/07) Start from next week(10/07) Sending on 14th instrad of 15th Aug(13/08) Today Hold-send tom(26/09) Send double del tom(23/10) R car Tom(15/01) Send Replacement tom(27/02) Hold n start from 3rd week of April(18/03) NO Rose n NO Orchids----Send R Car Next(21/12) Rajnigandha Next(12/01) Replace ment next and send Flower food(10/04) Recvd 250 from Gpay(15/07) Return-not at home(14/09) Shift to Elation(18/10) Skip 1 week(27/06) Hold n start from July (12/06) Hold due to non Payment (15/01) Paytm From Vinay Deopujari (26/02)</v>
          </cell>
          <cell r="M73" t="str">
            <v>Before 11:30 AM</v>
          </cell>
          <cell r="N73" t="str">
            <v>4  del of this cycle   -  0-cycles pmnt   Completed - Collect 0</v>
          </cell>
          <cell r="O73" t="str">
            <v>P n W Car ( 14 inch ) 22     FF Sachet + Grass</v>
          </cell>
          <cell r="P73" t="str">
            <v>Sunflower ( 12 Inch ) 5     FF Sachet + Grass</v>
          </cell>
          <cell r="Q73" t="str">
            <v>W Asiatic ( 14 Inch ) 4     Grass</v>
          </cell>
          <cell r="R73" t="str">
            <v>Mix Alstroemeria ( 12 Inch ) 22     FF Sachet + Grass</v>
          </cell>
          <cell r="S73" t="str">
            <v>G n W Car ( 14 inch ) 22     FF Sachet + Grass</v>
          </cell>
          <cell r="T73" t="str">
            <v>P n Y Spray Daisy ( 14 Inch ) 7     FF Sachet + Grass</v>
          </cell>
        </row>
        <row r="74">
          <cell r="A74">
            <v>2104</v>
          </cell>
          <cell r="B74" t="str">
            <v>Arun Gupta</v>
          </cell>
          <cell r="C74">
            <v>9999072697</v>
          </cell>
          <cell r="D74" t="str">
            <v>C-22m Arc Stationary</v>
          </cell>
          <cell r="E74" t="str">
            <v>Nirvana Country</v>
          </cell>
          <cell r="F74" t="str">
            <v>Thursday</v>
          </cell>
          <cell r="G74" t="str">
            <v>9 AM to 2 PM</v>
          </cell>
          <cell r="H74">
            <v>400</v>
          </cell>
          <cell r="I74">
            <v>100</v>
          </cell>
          <cell r="J74" t="str">
            <v>Customized</v>
          </cell>
          <cell r="K74" t="str">
            <v>4 Flowers at both Shop</v>
          </cell>
          <cell r="N74" t="str">
            <v>1  del of this cycle   -  0-cycles pmnt   In Process - Collect 0</v>
          </cell>
          <cell r="O74" t="str">
            <v xml:space="preserve">Broken Flowers  5 1 Shop    </v>
          </cell>
          <cell r="P74" t="str">
            <v xml:space="preserve">Broken Flowers  5     </v>
          </cell>
          <cell r="Q74" t="str">
            <v xml:space="preserve">Broken Flowers  5 1 Shop    </v>
          </cell>
          <cell r="R74" t="str">
            <v xml:space="preserve">Broken Flowers  5 1 Shop    </v>
          </cell>
          <cell r="S74" t="str">
            <v>Broken Flowers  5 1 Shop    Grass</v>
          </cell>
          <cell r="T74" t="str">
            <v>Broken Flowers 5      Grass</v>
          </cell>
        </row>
        <row r="75">
          <cell r="A75" t="str">
            <v>B56596</v>
          </cell>
          <cell r="B75" t="str">
            <v>Manvi Diljun</v>
          </cell>
          <cell r="C75">
            <v>9910173299</v>
          </cell>
          <cell r="D75" t="str">
            <v>T-21/1404, Orchid Petal</v>
          </cell>
          <cell r="E75" t="str">
            <v>Sohna Road 1</v>
          </cell>
          <cell r="F75" t="str">
            <v>Wednesday</v>
          </cell>
          <cell r="G75" t="str">
            <v>By 8 PM</v>
          </cell>
          <cell r="H75">
            <v>650</v>
          </cell>
          <cell r="I75">
            <v>650</v>
          </cell>
          <cell r="J75" t="str">
            <v>Bouquet</v>
          </cell>
          <cell r="K75" t="str">
            <v>From Reema Bose Suri // Dearest Hemang ( uncle, mamu)  Wish you a vey Happy Birthday..    Love     All of Us (29/07)</v>
          </cell>
          <cell r="N75" t="str">
            <v>1  del of this cycle   -  0-cycles pmnt   In Process - Collect 0</v>
          </cell>
          <cell r="O75" t="e">
            <v>#N/A</v>
          </cell>
          <cell r="P75" t="e">
            <v>#N/A</v>
          </cell>
          <cell r="Q75" t="e">
            <v>#N/A</v>
          </cell>
          <cell r="R75" t="e">
            <v>#N/A</v>
          </cell>
          <cell r="S75" t="e">
            <v>#N/A</v>
          </cell>
          <cell r="T75" t="str">
            <v xml:space="preserve">P n W Car + G Button Daisy  8 + 3 Walkin Tissue Wrap Message   </v>
          </cell>
        </row>
        <row r="76">
          <cell r="A76">
            <v>2684</v>
          </cell>
          <cell r="B76" t="str">
            <v>Meenakshi Bhatia</v>
          </cell>
          <cell r="C76">
            <v>9958428097</v>
          </cell>
          <cell r="D76" t="str">
            <v>T-E/244, The Crest</v>
          </cell>
          <cell r="E76" t="str">
            <v>Golf Course Road</v>
          </cell>
          <cell r="F76" t="str">
            <v>Thursday</v>
          </cell>
          <cell r="G76" t="str">
            <v>9 AM - 12 PM</v>
          </cell>
          <cell r="H76">
            <v>2750</v>
          </cell>
          <cell r="I76">
            <v>687.5</v>
          </cell>
          <cell r="J76" t="str">
            <v>Elation</v>
          </cell>
          <cell r="K76" t="str">
            <v>Hold she will confirm (17/05) Send on Sunday this week (23/05) Next Del on Sunday (29/05) 1 Spray daisy next (22/06) Send anthurium n BOP too (19/07) Skip 1 week (02/08) Skip 1 week and confirm before sending (24/08) Change day to Thursday (25/10) Today Hold (06/11) Send del on sunday and then from 18th (12/12) Skip 1 week (07/04)</v>
          </cell>
          <cell r="M76" t="str">
            <v>Send BOP and Anthuriums too (10/07) Chcek before sending (24/08)</v>
          </cell>
          <cell r="N76" t="str">
            <v>1  del of this cycle   -  1-cycles pmnt   Pending - Collect 2750</v>
          </cell>
          <cell r="O76" t="str">
            <v>P n Y Spray Daisy ( 14 Inch ) 4 B Daisy ( 12 Inch ) 16   2 Limonium + FF Sachet</v>
          </cell>
          <cell r="P76" t="e">
            <v>#N/A</v>
          </cell>
          <cell r="Q76" t="e">
            <v>#N/A</v>
          </cell>
          <cell r="R76" t="e">
            <v>#N/A</v>
          </cell>
          <cell r="S76" t="str">
            <v>Y Asiatic ( 14 inch ) 3 G n W Car ( 14 Inch ) 16   2 Gypsola</v>
          </cell>
          <cell r="T76" t="str">
            <v>Pur n P Eustoma ( 12 Inch ) 4 Mix Alstroemeria ( 12 Inch ) 16   2 Gypsola + FF Sachet</v>
          </cell>
        </row>
        <row r="77">
          <cell r="A77">
            <v>826</v>
          </cell>
          <cell r="B77" t="str">
            <v>Anuradha M Agarwal</v>
          </cell>
          <cell r="C77">
            <v>9811201606</v>
          </cell>
          <cell r="D77" t="str">
            <v>A-82, Westend Heights</v>
          </cell>
          <cell r="E77" t="str">
            <v>DLF Phase 5</v>
          </cell>
          <cell r="F77" t="str">
            <v>Thursday</v>
          </cell>
          <cell r="G77" t="str">
            <v>9 AM to 2 PM</v>
          </cell>
          <cell r="H77">
            <v>1450</v>
          </cell>
          <cell r="I77">
            <v>362.5</v>
          </cell>
          <cell r="J77" t="str">
            <v>Bliss</v>
          </cell>
          <cell r="K77" t="str">
            <v>Sending on 20th instaed of 21st,bcoz of Holi(18/03) This Cycle flowers -- Lilies / Orchids / Carnations/Gladioli(07/04) Orchid Next(25/04) Skip 2 week(11/06) Send on Friday this week(12/08) NO ORCHID, today returned-send glad tom(22/08)ASIATIC AND  ORCHID ONCE A CYCLE WITHOUT PLASTIC CAP(22/12) Returned-send Tom(16/01) Day chenged to saturday n ORCHID NEXT(18/01) Do not consider this week del and AVOID YELLOW COLOR FOR SOME WEEK, Send Orchid Next(23/02) Orchid next (27/05) Orchid next (09/06) Hold after current cycle (09/06) Return today (10/10) Skip 1 week (25/10) Skip this thursday (16/02) Skip 1 week (23/03) Today Returned and skip next week Laos (14/08) Skip 2 week (11/10) Skip 2 week (21/12)</v>
          </cell>
          <cell r="N77" t="str">
            <v>3  del of this cycle   -  0-cycles pmnt   Completed - Collect 0</v>
          </cell>
          <cell r="O77" t="str">
            <v>B Daisy ( 12 Inch ) 9     Grass</v>
          </cell>
          <cell r="P77" t="str">
            <v>P n W Car ( 14 Inch ) 9     FF Sachet + Grass</v>
          </cell>
          <cell r="Q77" t="str">
            <v>Rajni ( 14 Inch ) 9     Grass</v>
          </cell>
          <cell r="R77" t="str">
            <v>P n Y Spray Daisy ( 14 Inch ) 5     FF Sachet + Grass</v>
          </cell>
          <cell r="S77" t="str">
            <v>Mix Glad ( 14 Inch ) 16     Grass</v>
          </cell>
          <cell r="T77" t="str">
            <v>O Asiatic ( 14 Inch ) 3     Grass</v>
          </cell>
        </row>
        <row r="78">
          <cell r="A78">
            <v>3385</v>
          </cell>
          <cell r="B78" t="str">
            <v>Srishti Verma</v>
          </cell>
          <cell r="C78">
            <v>9604584926</v>
          </cell>
          <cell r="D78" t="str">
            <v>H. No. 126, Flat No. 302, Road D3, Indira Colony, Sec 52</v>
          </cell>
          <cell r="E78" t="str">
            <v>Artemis</v>
          </cell>
          <cell r="F78" t="str">
            <v>Thursday</v>
          </cell>
          <cell r="G78" t="str">
            <v>4 Pm to 7 PM</v>
          </cell>
          <cell r="H78">
            <v>1950</v>
          </cell>
          <cell r="I78">
            <v>487.5</v>
          </cell>
          <cell r="J78" t="str">
            <v>Joy</v>
          </cell>
          <cell r="K78" t="str">
            <v>Skip 1 Week (06/07) Skip 1 week (29/07)</v>
          </cell>
          <cell r="N78" t="str">
            <v>1  del of this cycle   -  1-cycles pmnt   Pending - Collect 1950</v>
          </cell>
          <cell r="O78" t="str">
            <v>Pur n P Car ( 14 Inch ) 22     FF Sachet + Grass</v>
          </cell>
          <cell r="P78" t="str">
            <v>O Asiatic ( 14 Inch ) 4     Grass</v>
          </cell>
          <cell r="Q78" t="e">
            <v>#N/A</v>
          </cell>
          <cell r="R78" t="str">
            <v>Mix Car ( 14 Inch ) 22     FF Sachet + Grass</v>
          </cell>
          <cell r="S78" t="str">
            <v>P n Y Spray Daisy ( 14 Inch ) 7     FF Sachet + Grass</v>
          </cell>
          <cell r="T78" t="str">
            <v>Mix Glad ( 14 Inch ) 22   Ensure Collection Ensure Collection FF Sachet + Grass</v>
          </cell>
        </row>
        <row r="79">
          <cell r="A79">
            <v>3212</v>
          </cell>
          <cell r="B79" t="str">
            <v>Sheeba Rana</v>
          </cell>
          <cell r="C79">
            <v>9958849523</v>
          </cell>
          <cell r="D79" t="str">
            <v>T-14/1202, The Close North</v>
          </cell>
          <cell r="E79" t="str">
            <v>Nirvana Country</v>
          </cell>
          <cell r="F79" t="str">
            <v>Thursday</v>
          </cell>
          <cell r="G79" t="str">
            <v>4 Pm to 7 PM</v>
          </cell>
          <cell r="H79">
            <v>1450</v>
          </cell>
          <cell r="I79">
            <v>1450</v>
          </cell>
          <cell r="J79" t="str">
            <v>Bliss</v>
          </cell>
          <cell r="K79" t="str">
            <v>Skip 1 week (31/12)</v>
          </cell>
          <cell r="N79" t="str">
            <v>2  del of this cycle   -  0-cycles pmnt   Completed - Collect 0</v>
          </cell>
          <cell r="O79" t="str">
            <v>Pur n P Car ( 14 Inch ) 16     FF Sachet + Grass</v>
          </cell>
          <cell r="P79" t="str">
            <v>P n Y Spray Daisy ( 14 Inch ) 5     FF Sachet + Grass</v>
          </cell>
          <cell r="Q79" t="str">
            <v>Rajni ( 14 Inch ) 16     Grass</v>
          </cell>
          <cell r="R79" t="str">
            <v>O Asiatic 2     Grass</v>
          </cell>
          <cell r="S79" t="str">
            <v>G n W Car ( 14 inch ) 16     Grass</v>
          </cell>
          <cell r="T79" t="str">
            <v>M n W  Spray Daisy ( 14 Inch ) 5     FF Sachet + Grass</v>
          </cell>
        </row>
        <row r="80">
          <cell r="A80">
            <v>3326</v>
          </cell>
          <cell r="B80" t="str">
            <v>Ms. Rani</v>
          </cell>
          <cell r="C80">
            <v>9313104941</v>
          </cell>
          <cell r="D80" t="str">
            <v>J-151, Park Place</v>
          </cell>
          <cell r="E80" t="str">
            <v>DLF Phase 5</v>
          </cell>
          <cell r="F80" t="str">
            <v>Thursday</v>
          </cell>
          <cell r="G80" t="str">
            <v>9 AM to 2 PM</v>
          </cell>
          <cell r="H80">
            <v>1450</v>
          </cell>
          <cell r="I80">
            <v>362.5</v>
          </cell>
          <cell r="J80" t="str">
            <v>Bliss</v>
          </cell>
          <cell r="K80" t="str">
            <v>Start From July (06/06)</v>
          </cell>
          <cell r="N80" t="str">
            <v>1  del of this cycle   -  1-cycles pmnt   Pending - Collect 1450</v>
          </cell>
          <cell r="O80" t="e">
            <v>#N/A</v>
          </cell>
          <cell r="P80" t="str">
            <v>Pur n P Car ( 14 Inch ) 16     FF Sachet + Grass</v>
          </cell>
          <cell r="Q80" t="str">
            <v>W Asiatic ( 14 Inch ) 3   Collect Payment Collect Payment Grass</v>
          </cell>
          <cell r="R80" t="str">
            <v>P n W Glad ( 14 Inch ) 16     Grass</v>
          </cell>
          <cell r="S80" t="str">
            <v>P n Y Spray Daisy ( 14 Inch ) 5     FF Sachet + Grass</v>
          </cell>
          <cell r="T80" t="str">
            <v>Mix Alstroemeria ( 12 Inch ) 16     FF Sachet + Grass</v>
          </cell>
        </row>
        <row r="81">
          <cell r="A81" t="str">
            <v>B56593</v>
          </cell>
          <cell r="B81" t="str">
            <v>Banasree Basu</v>
          </cell>
          <cell r="C81">
            <v>9958290344</v>
          </cell>
          <cell r="D81" t="str">
            <v>A-2/501, The world Spa East, Sec 30</v>
          </cell>
          <cell r="E81" t="str">
            <v>South City 1</v>
          </cell>
          <cell r="F81" t="str">
            <v>Thursday</v>
          </cell>
          <cell r="G81" t="str">
            <v>By 9:30 AM</v>
          </cell>
          <cell r="H81">
            <v>1200</v>
          </cell>
          <cell r="I81">
            <v>1200</v>
          </cell>
          <cell r="J81" t="str">
            <v>Bouquet</v>
          </cell>
          <cell r="K81" t="str">
            <v>6 W Asiatic in Tissue awrap</v>
          </cell>
          <cell r="N81" t="str">
            <v>1  del of this cycle   -  0-cycles pmnt   Completed - Collect 0</v>
          </cell>
          <cell r="O81" t="e">
            <v>#N/A</v>
          </cell>
          <cell r="P81" t="e">
            <v>#N/A</v>
          </cell>
          <cell r="Q81" t="e">
            <v>#N/A</v>
          </cell>
          <cell r="R81" t="e">
            <v>#N/A</v>
          </cell>
          <cell r="S81" t="e">
            <v>#N/A</v>
          </cell>
          <cell r="T81" t="str">
            <v xml:space="preserve">Semi Bloom W Asiatic  6 Walkin Tissue Wrap    </v>
          </cell>
        </row>
        <row r="82">
          <cell r="A82" t="str">
            <v>B56599</v>
          </cell>
          <cell r="B82" t="str">
            <v>Madhu</v>
          </cell>
          <cell r="C82" t="str">
            <v>99993 64696</v>
          </cell>
          <cell r="D82" t="str">
            <v>C2/201, Vatika City</v>
          </cell>
          <cell r="E82" t="str">
            <v>Sohna Road 1</v>
          </cell>
          <cell r="F82" t="str">
            <v>Thursday</v>
          </cell>
          <cell r="G82" t="str">
            <v>By 10 AM</v>
          </cell>
          <cell r="H82">
            <v>1350</v>
          </cell>
          <cell r="I82">
            <v>1350</v>
          </cell>
          <cell r="J82" t="str">
            <v>Bouquet</v>
          </cell>
          <cell r="K82" t="str">
            <v>From Yashima/
Contact number of Madhu 
99993 64696
Message 
Message
Dear Madhu,
Wishing you a year where you find more moments that make your heart feel full!! 
Happy Birthday dear!!
Love Always
Anu RK
Sent via Yashima already in the sheet</v>
          </cell>
          <cell r="N82" t="str">
            <v>1  del of this cycle   -  0-cycles pmnt   In Process - Collect 0</v>
          </cell>
          <cell r="T82" t="str">
            <v xml:space="preserve">Rajni + 1 Ft Bamboo 15 Rajni in Single Wrap and Bamboo with Oink Ribbon Only Message   </v>
          </cell>
        </row>
        <row r="83">
          <cell r="A83">
            <v>2655</v>
          </cell>
          <cell r="B83" t="str">
            <v>Komal - Abante</v>
          </cell>
          <cell r="C83" t="str">
            <v>0124-4042908</v>
          </cell>
          <cell r="D83" t="str">
            <v>Abante,C-301-02, 3rd Floor, M3M Urbana, Sec 67</v>
          </cell>
          <cell r="E83" t="str">
            <v>Badshahpur</v>
          </cell>
          <cell r="F83" t="str">
            <v>Sunday</v>
          </cell>
          <cell r="G83" t="str">
            <v>By 12 PM</v>
          </cell>
          <cell r="H83">
            <v>4000</v>
          </cell>
          <cell r="I83">
            <v>500</v>
          </cell>
          <cell r="J83" t="str">
            <v>Corporate</v>
          </cell>
          <cell r="K83" t="str">
            <v>Day Changed to // Send tomorrow (02/10) Send tom (26/01)</v>
          </cell>
          <cell r="N83" t="str">
            <v>1  del of this cycle   -  0-cycles pmnt   In Process - Collect 0</v>
          </cell>
          <cell r="O83" t="e">
            <v>#N/A</v>
          </cell>
          <cell r="P83" t="e">
            <v>#N/A</v>
          </cell>
          <cell r="Q83" t="e">
            <v>#N/A</v>
          </cell>
          <cell r="R83" t="e">
            <v>#N/A</v>
          </cell>
          <cell r="S83" t="e">
            <v>#N/A</v>
          </cell>
          <cell r="T83" t="str">
            <v xml:space="preserve">Arrangement 1 By 10 AM    </v>
          </cell>
        </row>
        <row r="84">
          <cell r="A84">
            <v>3393</v>
          </cell>
          <cell r="B84" t="str">
            <v>Runul Vashishtha</v>
          </cell>
          <cell r="C84">
            <v>9871812384</v>
          </cell>
          <cell r="D84" t="str">
            <v>C-84, DLF Park Place, Park Drive, GCR</v>
          </cell>
          <cell r="E84" t="str">
            <v>Golf Course Road</v>
          </cell>
          <cell r="F84" t="str">
            <v>Thursday</v>
          </cell>
          <cell r="G84" t="str">
            <v>9 AM to 2 PM</v>
          </cell>
          <cell r="H84">
            <v>1450</v>
          </cell>
          <cell r="I84">
            <v>362.5</v>
          </cell>
          <cell r="J84" t="str">
            <v>Bliss</v>
          </cell>
          <cell r="N84" t="str">
            <v>1  del of this cycle   -  1-cycles pmnt   Pending - Collect 1450</v>
          </cell>
          <cell r="O84" t="e">
            <v>#N/A</v>
          </cell>
          <cell r="P84" t="str">
            <v>Pur n P Car ( 14 Inch ) 16     FF Sachet + Grass</v>
          </cell>
          <cell r="Q84" t="str">
            <v>P Asiatic ( 14 Inch ) 3     Grass</v>
          </cell>
          <cell r="R84" t="str">
            <v>P n W Glad ( 14 Inch ) 16     Grass</v>
          </cell>
          <cell r="S84" t="str">
            <v>P n Y Spray Daisy ( 14 Inch ) 5     FF Sachet + Grass</v>
          </cell>
          <cell r="T84" t="str">
            <v>Mix Alstroemeria ( 12 Inch ) 16   Ensure Collection  FF Sachet + Grass</v>
          </cell>
        </row>
        <row r="85">
          <cell r="A85">
            <v>309</v>
          </cell>
          <cell r="B85" t="str">
            <v>Ms Swati Bhise--before 10</v>
          </cell>
          <cell r="C85">
            <v>9811806611</v>
          </cell>
          <cell r="D85" t="str">
            <v xml:space="preserve">TG-5/4B Orchid Garden Sun city Sec - 54 </v>
          </cell>
          <cell r="E85" t="str">
            <v>Golf Course Road</v>
          </cell>
          <cell r="F85" t="str">
            <v>Thursday</v>
          </cell>
          <cell r="G85" t="str">
            <v>9 AM - 12 PM</v>
          </cell>
          <cell r="H85">
            <v>2750</v>
          </cell>
          <cell r="I85">
            <v>687.5</v>
          </cell>
          <cell r="J85" t="str">
            <v>Elation</v>
          </cell>
          <cell r="K85" t="str">
            <v>Sunday to thurs//Orchid in 1st Del and no Rose/Rajni/Gerbera till they come in good shape(08/07) Next B or W Orchid(02/12) Car Next(09/12) Next Orchid(06/01) Orchid Next(10/02)  Gerbera tom(13/08)NEVER PURPLE ORCHID--SEND W n B ORCHID Next(22/09) Y Asiatic Next(03/11)  Send 1 Del tom (02/07) Orchid Next (27/07) Skip 1 week (20/11) Send 1 Del Tom (10/02) Skip next Del (16/02) Hold n start from 10th June (20/03) Today Returned again (04/07) Returned again (11/07) Send this thursday and then skip 1 week (23/07) Hold today (08/08) Skip 2 more weeks (09/08) Today Returned (21/11) Skip 1 week (11/12) Skip 1 week (24/12) Skip 1 more week (25/01) Skip 1 week (18/02) Hold till 9th Mar (24/02) Hold now (11/09) Skip next week (27/11) Return today (18/12) Today Returned again (25/12) Skip tom (18/02) Skip 1 week (28/02) Skip 1 week (19/03) Skip 1 week (21/03)  Skip tom (09/04) Skip next week (16/04) Skip 3 week (20/04) Skip 1 week (14/05) Skip 1 week (17/05) Skip 1 week (03/06) Skip next week (02/07)</v>
          </cell>
          <cell r="M85" t="str">
            <v>Upgrade to Elation next (14/08)</v>
          </cell>
          <cell r="N85" t="str">
            <v>2  del of this cycle   -  0-cycles pmnt   Completed - Collect 0</v>
          </cell>
          <cell r="O85" t="str">
            <v>Pur n P Eustoma ( 12 Inch ) 6  Collect Payment Collect Payment Collect Payment 2 Limonium + FF Sachet</v>
          </cell>
          <cell r="P85" t="str">
            <v xml:space="preserve">Pur n P Car ( 14 Inch ) 32     2 Gypsola + FF Sachet </v>
          </cell>
          <cell r="Q85" t="e">
            <v>#N/A</v>
          </cell>
          <cell r="R85" t="str">
            <v>O Asiatic ( 14 Inch ) 6     2 Gypsola</v>
          </cell>
          <cell r="S85" t="str">
            <v>B Orchid  10     2 Limonium + FF Sachet</v>
          </cell>
          <cell r="T85" t="str">
            <v>P n Y Spray Daisy ( 14 Inch ) 10     2 Gypsola + FF Sachet</v>
          </cell>
        </row>
        <row r="86">
          <cell r="A86">
            <v>2716</v>
          </cell>
          <cell r="B86" t="str">
            <v>Simmi Chopra</v>
          </cell>
          <cell r="C86">
            <v>9891744488</v>
          </cell>
          <cell r="D86" t="str">
            <v>B/145, Suncity, Golf Course Road</v>
          </cell>
          <cell r="E86" t="str">
            <v>Golf Course Road</v>
          </cell>
          <cell r="F86" t="str">
            <v>Thursday</v>
          </cell>
          <cell r="G86" t="str">
            <v>9 AM - 12 PM</v>
          </cell>
          <cell r="H86">
            <v>2750</v>
          </cell>
          <cell r="I86">
            <v>687.5</v>
          </cell>
          <cell r="J86" t="str">
            <v>Elation</v>
          </cell>
          <cell r="K86" t="str">
            <v>Upgrade to Elation (27/08) Send 10 B daisy next extra (04/10) Today Hold (04/12) Send one Del Tom (30/12)</v>
          </cell>
          <cell r="M86" t="str">
            <v>Send on del tom and no del on 1st Jan (30/12)</v>
          </cell>
          <cell r="N86" t="str">
            <v>2  del of this cycle   -  1-cycles pmnt   Pending - Collect 2750</v>
          </cell>
          <cell r="O86" t="str">
            <v>Pur n P Eustoma ( 12 Inch ) 4 Pur n P Car ( 14 Inch ) 16   2 Limonium + FF Sachet</v>
          </cell>
          <cell r="P86" t="str">
            <v xml:space="preserve">P n W Spray Daisy ( 14 Inch ) 5 Rajni ( 14 Inch ) 16   2 Gypsola + FF Sachet </v>
          </cell>
          <cell r="Q86" t="str">
            <v>Sunflower ( 12 Inch ) 4 Mix Alstroemeria ( 12 Inch ) 16   2 Limonium + FF Sachet</v>
          </cell>
          <cell r="R86" t="str">
            <v>O Asiatic ( 14 Inch ) 3 P n W Glad ( 14 Inch ) 16   2 Gypsola</v>
          </cell>
          <cell r="S86" t="str">
            <v>Pur n P Eustoma ( 12 Inch ) 4 G n W Car ( 14 Inch ) 16   2 Limonium + FF Sachet</v>
          </cell>
          <cell r="T86" t="str">
            <v>P n Y Spray Daisy ( 14 Inch ) 5 Mix Alstroemeria ( 12 Inch ) 16 Ensure Collection  2 Gypsola + FF Sachet</v>
          </cell>
        </row>
        <row r="87">
          <cell r="A87">
            <v>1982</v>
          </cell>
          <cell r="B87" t="str">
            <v>Manvi Bajpai</v>
          </cell>
          <cell r="C87">
            <v>8860046280</v>
          </cell>
          <cell r="D87" t="str">
            <v>A-43, Westend Heights</v>
          </cell>
          <cell r="E87" t="str">
            <v>DLF Phase 5</v>
          </cell>
          <cell r="F87" t="str">
            <v>Thursday</v>
          </cell>
          <cell r="G87" t="str">
            <v>9 AM - 12 PM</v>
          </cell>
          <cell r="H87">
            <v>1450</v>
          </cell>
          <cell r="I87">
            <v>362.5</v>
          </cell>
          <cell r="J87" t="str">
            <v>Bliss</v>
          </cell>
          <cell r="K87" t="str">
            <v>Preferred Flowers-- Car//Rose//Guldawari//Gerbera//Orchid//Spray Daisy (27/09) 4th Del was on Hold (10/10) Skip 1 week (21/10) Skip 1 week (02/03) No Orchid (27/04) Hold n start after 15th Sep (18/08) Skip 1 week (19/10) Skip 1 week (17/12) Skip 2 week (17/03) Sending del today instead of tom (26/04) Skip 1 week (13/08) Skip 1 week (10/10) Return today (26/10) Today Hold (28/12) Skip 2 week (27/01) Skip 1 week (14/03) Skip 2 weks (17/04) Skip 2 week (01/06) Payment from Sreyansh Updhyay (19/07) Skip 18th to 25th (02/10) Skip 1 week (06/020</v>
          </cell>
          <cell r="L87" t="str">
            <v>ORCHID</v>
          </cell>
          <cell r="N87" t="str">
            <v>3  del of this cycle   -  0-cycles pmnt   Completed - Collect 0</v>
          </cell>
          <cell r="O87" t="e">
            <v>#N/A</v>
          </cell>
          <cell r="P87" t="e">
            <v>#N/A</v>
          </cell>
          <cell r="Q87" t="e">
            <v>#N/A</v>
          </cell>
          <cell r="R87" t="str">
            <v>G n W Car ( 14 Inch ) 16     FF Sachet + Grass</v>
          </cell>
          <cell r="S87" t="str">
            <v>O Asiatic ( 14 Inch ) 3     Grass</v>
          </cell>
          <cell r="T87" t="str">
            <v>Mix Glad ( 14 Inch ) 16     FF Sachet + Grass</v>
          </cell>
        </row>
        <row r="88">
          <cell r="A88">
            <v>484</v>
          </cell>
          <cell r="B88" t="str">
            <v>Deepti Chhabra</v>
          </cell>
          <cell r="C88">
            <v>9811230451</v>
          </cell>
          <cell r="D88" t="str">
            <v>A-061, Westend Heights</v>
          </cell>
          <cell r="E88" t="str">
            <v>DLF Phase 5</v>
          </cell>
          <cell r="F88" t="str">
            <v>Thursday</v>
          </cell>
          <cell r="G88" t="str">
            <v>4 PM to 7PM</v>
          </cell>
          <cell r="H88">
            <v>1950</v>
          </cell>
          <cell r="I88">
            <v>487.5</v>
          </cell>
          <cell r="J88" t="str">
            <v>Joy</v>
          </cell>
          <cell r="K88" t="str">
            <v>Sat to Thursday//Hold n start from 23rd Nov(31/10) Add changed(01/02) Paytm from Vishal Chabra(22/02) Send Replacement(03/03) Skip this week(18/03) Skip next del(14/06) 1 stick extra next Del(12/07 FF Sold Today(19/07) Send rajni Tom(02/08) Send FF Next(13/09) Next Asiatic n 2 sticks extra(25/09) Rajni Next(05/12) Skip 1 week(20/12) Hold-send tom(14/02) Upgraded to 1250, send remaining 5 sticks tom(04/09) Skip1 week(05/11) Skip 1 week(18/11)  Hold today and skip 1 week(11/12) Skip 1 week(20/03) Sent replacement today(08/04) Skip 2 weeks(21/06) Skip 1 week (09/11) Skip 1 more week (16/11) NO ROSE (29/12) Send replacemet tom (08/04) Pink n green Spray Car Tom (03/05) Skip 2 weeks (01/06) Skip 1 week (23/10) Skip 1 week (15/11) Today hold (11/01) Skip 1 week (16/03) Skip 2 week (22/10) Paytm from Arti Lakra (17/01) Skip 1 week(12/04) Skip 1 week912/04) Yesterday Returned (24/10) Skip tom (07/01) Hold due to non payment (04/02) Skip 2 week (16/05) Hod n start from July (04/06)</v>
          </cell>
          <cell r="L88" t="str">
            <v>ROSE</v>
          </cell>
          <cell r="N88" t="str">
            <v>1  del of this cycle   -  1-cycles pmnt   Pending - Collect 1950</v>
          </cell>
          <cell r="O88" t="e">
            <v>#N/A</v>
          </cell>
          <cell r="P88" t="str">
            <v>Pur n P Car ( 14 Inch ) 22     FF Sachet + Grass</v>
          </cell>
          <cell r="Q88" t="str">
            <v>Rajni ( 14 Inch ) 22   Collect Payment Collect Payment Grass</v>
          </cell>
          <cell r="R88" t="str">
            <v>O Asiatic ( 14 Inch ) 4     Grass</v>
          </cell>
          <cell r="S88" t="str">
            <v>P n Y Spray Daisy ( 14 Inch ) 7     FF Sachet + Grass</v>
          </cell>
          <cell r="T88" t="str">
            <v>Mix Glad ( 14 Inch ) 22     FF Sachet + Grass</v>
          </cell>
        </row>
        <row r="89">
          <cell r="A89">
            <v>3063</v>
          </cell>
          <cell r="B89" t="str">
            <v>Shinjini Mehrotra</v>
          </cell>
          <cell r="C89">
            <v>9810198315</v>
          </cell>
          <cell r="D89" t="str">
            <v>F-109, 2nd Floor, Suncity</v>
          </cell>
          <cell r="E89" t="str">
            <v>Golf Course Road</v>
          </cell>
          <cell r="F89" t="str">
            <v>Thursday</v>
          </cell>
          <cell r="G89" t="str">
            <v>9 AM - 12 PM</v>
          </cell>
          <cell r="H89">
            <v>1450</v>
          </cell>
          <cell r="I89">
            <v>362.5</v>
          </cell>
          <cell r="J89" t="str">
            <v>Bliss</v>
          </cell>
          <cell r="K89" t="str">
            <v>Hold 4 Weeks (04/12) Skip 1 week (14/02) Skip 2 week (28/02) Skip 1 week  (01/04) Hold till 29th Apr (06/04)</v>
          </cell>
          <cell r="N89" t="str">
            <v>4  del of this cycle   -  0-cycles pmnt   CompletedNO COLLECTION-we have extra money - Collect -100</v>
          </cell>
          <cell r="O89" t="str">
            <v>P n W Glad ( 14 Inch ) 16     Grass</v>
          </cell>
          <cell r="P89" t="str">
            <v>P Asiatic ( 14 Inch ) 3     Grass</v>
          </cell>
          <cell r="Q89" t="str">
            <v>Rajni ( 14 Inch ) 16     Grass</v>
          </cell>
          <cell r="R89" t="str">
            <v>G n W Car ( 14 Inch ) 16     FF Sachet + Grass</v>
          </cell>
          <cell r="S89" t="str">
            <v>P n Y Spray Daisy ( 14 Inch ) 5     FF Sachet + Grass</v>
          </cell>
          <cell r="T89" t="str">
            <v>Mix Alstroemeria ( 12 Inch ) 16     FF Sachet + Grass</v>
          </cell>
        </row>
        <row r="90">
          <cell r="A90">
            <v>442</v>
          </cell>
          <cell r="B90" t="str">
            <v>Ruchi Mathure--Before 10:30 AM</v>
          </cell>
          <cell r="C90">
            <v>9871265555</v>
          </cell>
          <cell r="D90" t="str">
            <v>D-013, Westend height, DLF-5</v>
          </cell>
          <cell r="E90" t="str">
            <v>DLF Phase 5</v>
          </cell>
          <cell r="F90" t="str">
            <v>Thursday</v>
          </cell>
          <cell r="G90" t="str">
            <v>9 AM - 12 PM</v>
          </cell>
          <cell r="H90">
            <v>1450</v>
          </cell>
          <cell r="I90">
            <v>362.5</v>
          </cell>
          <cell r="J90" t="str">
            <v>Bliss</v>
          </cell>
          <cell r="K90" t="str">
            <v>No White Flowers(22/08)Skip this week n start from Thursday(26/09)Skip this week(29/11) Skip n sned on Monday(27/01) Return-send tom(17/02) NO P CAR(18/02)Return-send on Friday(24/02) Return-doesn't need Special Pack(14/04) Upgrade to 650 Plan(02/05) Skip this week n send on Monday(07/06) Skip 1 week(13/09) Skip 1 week(26/10) Skip 1 week(14/12) 150 adjusted against extra paid in Nargis to be delivered on 1st jan(30/12) Skip 1 week(26/01) Last week del was missed- pls send tom(07/03) Skip 2 weeks(18/03)NO WHITE FLOWERS(30/12) Send on saturdya this week instead of Thursday(12/11) Send on saturday this week(21/12) Getting only Car and asiatic-- Pls send all flowers(07/01) 10th Del missed-send them on saturday(11/03) NO WHITE FLOWERS(01/04) Hold n start from 2nd June(29/04) Last Thursday Missed(04/06) Skip this week n send on Sunday this week(22/06) Send Tom 1 Del with Rajni (11/07) Send 1 Del Tom(17/07) Today returned (28/07) NO GOLDEN GRASS(11/08) Sent 1 del Today(13/09) Skip tom and sned on Sunday (24/11) nEXT DEL SEND ON 31ST INSTEAD OF 30TH (24/12) Skip 1 week (20/01) Sent replacement today (14/04) send on monday this week only (21/04) Hold till 2nd Aug (07/07) Sent 1 del today and dont send tom (30/08) Skip tom Del n Send on Sunday (01/11) Today returned (09/11) No Del del till 3rd DEc (15/12) Skip 1 week (30/01) Skip on 14th and send on Sunday (12/03) Skip n sned on sunday (08/05) Hold today (30/05) Payment from Kapil M (16/06) Paytm From Kapil M (14/07) Skip 1 week (26/11) Skip nexty del (03/12) Hold till 15th Apr (18/04) No Sunflower (13/03) Skip this thursday and sned on sunday (20/04) Skip 1 week (20/05)</v>
          </cell>
          <cell r="L90" t="str">
            <v>Sunflower</v>
          </cell>
          <cell r="M90" t="str">
            <v>No White even in mixed // Skip 23rd and sned on 26th (20/04)</v>
          </cell>
          <cell r="N90" t="str">
            <v>1  del of this cycle   -  0-cycles pmnt   Completed - Collect 0</v>
          </cell>
          <cell r="O90" t="str">
            <v>Pur n P Car ( 14 Inch ) 16     FF Sachet + Grass</v>
          </cell>
          <cell r="P90" t="str">
            <v>Pur Eustoma ( 12 Inch ) 3     FF Sachet + Grass</v>
          </cell>
          <cell r="Q90" t="str">
            <v>Rajni ( 14 Inch ) 16     Grass</v>
          </cell>
          <cell r="R90" t="str">
            <v>P n W Glad ( 14 Inch ) 16     Grass</v>
          </cell>
          <cell r="S90" t="str">
            <v>Y Asiatic ( 14 inch ) 3     Grass</v>
          </cell>
          <cell r="T90" t="str">
            <v>P n Y Spray Daisy ( 14 Inch ) 5     FF Sachet + Grass</v>
          </cell>
        </row>
        <row r="91">
          <cell r="A91">
            <v>19</v>
          </cell>
          <cell r="B91" t="str">
            <v>Mrs. Geeta Chopra</v>
          </cell>
          <cell r="C91">
            <v>9811373448</v>
          </cell>
          <cell r="D91" t="str">
            <v>E-64,Ground Floor,Suncity,Sec-54</v>
          </cell>
          <cell r="H91">
            <v>1450</v>
          </cell>
          <cell r="J91" t="str">
            <v>Bliss</v>
          </cell>
          <cell r="T91" t="str">
            <v>Pink n White  16     FF Sachet + Grass</v>
          </cell>
        </row>
        <row r="92">
          <cell r="A92">
            <v>949</v>
          </cell>
          <cell r="B92" t="str">
            <v>Meenu Amrith-- Evening Only</v>
          </cell>
          <cell r="C92">
            <v>9891350735</v>
          </cell>
          <cell r="D92" t="str">
            <v>H. No. 579, Ground Floor,Near Dell-- Sec-43</v>
          </cell>
          <cell r="E92" t="str">
            <v>DLF Phase 5</v>
          </cell>
          <cell r="F92" t="str">
            <v>Thursday</v>
          </cell>
          <cell r="G92" t="str">
            <v>10 AM to 2:30 PM</v>
          </cell>
          <cell r="H92">
            <v>1450</v>
          </cell>
          <cell r="I92">
            <v>362.5</v>
          </cell>
          <cell r="J92" t="str">
            <v>Bliss</v>
          </cell>
          <cell r="K92" t="str">
            <v>Sunday to Thurs//Skip next week(21/01) Skip 1 week(12/02) Hold n start from 1st week of May(06/03) Pls start from coming Tuesday(14/03)  Send Sunday Del on Sat This week(12/11) Skip 1 week(29/01) today hold and skip 1 more week(27/02) Start from 24th Mar(08/03) Hold n start from 16th June(18/05) Hold 3 Weeks(13/07) she saying that 10th Del Not received(11/11) Not avaible till 25th (14/11) Hold today(19/01) Skip 2 weeks (22/02) Skip 2 weeks (26/06) Hold n start after 15th Sep (18/08) Skip Tom (28/02) Hold n start from 13th June (24/05) Skip 1 week (23/07) Skip 1 week (04/12) Skip 1 week (12/03) Skip 1 week (18/01) Skip 1 weeek (13/05)</v>
          </cell>
          <cell r="N92" t="str">
            <v>3  del of this cycle   -  0-cycles pmnt   Completed - Collect 0</v>
          </cell>
          <cell r="O92" t="str">
            <v>Pur Eustoma ( 12 Inch ) 3     FF Sachet + Grass</v>
          </cell>
          <cell r="P92" t="str">
            <v>P n W Glad ( 14 Inch ) 16     Grass</v>
          </cell>
          <cell r="Q92" t="str">
            <v>Sunflower ( 12 Inch ) 4     FF Sachet + Grass</v>
          </cell>
          <cell r="R92" t="str">
            <v>O Asiatic ( 14 Inch ) 3     Grass</v>
          </cell>
          <cell r="S92" t="str">
            <v>G n W Car ( 14 inch ) 16     FF Sachet + Grass</v>
          </cell>
          <cell r="T92" t="str">
            <v>P n Y Spray Daisy ( 14 Inch ) 5     FF Sachet + Grass</v>
          </cell>
        </row>
        <row r="93">
          <cell r="A93">
            <v>2569</v>
          </cell>
          <cell r="B93" t="str">
            <v>Mrs. Verma</v>
          </cell>
          <cell r="C93">
            <v>9971135993</v>
          </cell>
          <cell r="D93" t="str">
            <v>A1/192, 1st Floor, Sec 55, Sushant Lok-2, Near Orchid International School</v>
          </cell>
          <cell r="E93" t="str">
            <v>Sector 56</v>
          </cell>
          <cell r="F93" t="str">
            <v>Thursday</v>
          </cell>
          <cell r="G93" t="str">
            <v>9 AM - 12 PM</v>
          </cell>
          <cell r="H93">
            <v>1450</v>
          </cell>
          <cell r="I93">
            <v>362.5</v>
          </cell>
          <cell r="J93" t="str">
            <v>Bliss</v>
          </cell>
          <cell r="K93" t="str">
            <v>Return today (01/05) Return today (05/06) Send on Sunday This week (05/06) Upgrade to bliss from next cycle (20/09) Skip 1 week (04/02) Send Replacement tom of Asiatic Lily (16/04) Send Replacement tom (21/05) No Sunflower (21/05)</v>
          </cell>
          <cell r="L93" t="str">
            <v>Sunflower</v>
          </cell>
          <cell r="N93" t="str">
            <v>1  del of this cycle   -  1-cycles pmnt   Pending - Collect 1350</v>
          </cell>
          <cell r="O93" t="str">
            <v>O Asiatic ( 14 Inch ) 2 B Daisy ( 12 Inch ) 7   Grass</v>
          </cell>
          <cell r="P93" t="str">
            <v>P Spray Daisy ( 14 Inch ) 3 Rajni ( 14 Inch ) 7   FF Sachet + Grass</v>
          </cell>
          <cell r="Q93" t="str">
            <v>Sunflower ( 12 Inch ) 2 P n W Car ( 14 Inch ) 7   FF Sachet + Grass</v>
          </cell>
          <cell r="R93" t="str">
            <v>P Asiatic ( 14 Inch ) 2 P n W Glad ( 14 Inch ) 7   Grass</v>
          </cell>
          <cell r="S93" t="str">
            <v>Sunflower ( 12 Inch ) 2 Mix Alstroemeria ( 12 Inch ) 7   Grass</v>
          </cell>
          <cell r="T93" t="str">
            <v>P Eustoma ( 12 Inch ) 2 P n W Car ( 14 inch ) 7   FF Sachet + Grass</v>
          </cell>
        </row>
        <row r="94">
          <cell r="A94">
            <v>401</v>
          </cell>
          <cell r="B94" t="str">
            <v>Nameesha Verma -- Before 12PM</v>
          </cell>
          <cell r="C94">
            <v>9899240454</v>
          </cell>
          <cell r="D94" t="str">
            <v>D-4/102, Parsvanath Exotica</v>
          </cell>
          <cell r="E94" t="str">
            <v>DLF Phase 5</v>
          </cell>
          <cell r="F94" t="str">
            <v>Thursday</v>
          </cell>
          <cell r="G94" t="str">
            <v>Before 12 PM</v>
          </cell>
          <cell r="H94">
            <v>1600</v>
          </cell>
          <cell r="I94">
            <v>200</v>
          </cell>
          <cell r="J94" t="str">
            <v>Bloom</v>
          </cell>
          <cell r="K94"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94" t="str">
            <v>3 Car extra next (20/03)</v>
          </cell>
          <cell r="N94" t="str">
            <v>2  del of this cycle   -  1-cycles pmnt   Pending - Collect 1600</v>
          </cell>
          <cell r="O94" t="str">
            <v>Sunflower ( 12 Inch) 2     Grass</v>
          </cell>
          <cell r="P94" t="str">
            <v>P n W Car ( 14 Inch ) 7    Collect Payment FF Sachet + Grass</v>
          </cell>
          <cell r="Q94" t="str">
            <v>Mix Alstroemeria ( 12Inch ) 7     FF Sachet + Grass</v>
          </cell>
          <cell r="R94" t="str">
            <v>Rajni ( 14 Inch ) 7     Grass</v>
          </cell>
          <cell r="S94" t="str">
            <v>G n W Car ( 14 inch ) 7     FF Sachet + Grass</v>
          </cell>
          <cell r="T94" t="str">
            <v>Mix Alstroemeria ( 12 Inch ) 7     FF Sachet + Grass</v>
          </cell>
        </row>
        <row r="95">
          <cell r="A95">
            <v>14</v>
          </cell>
          <cell r="B95" t="str">
            <v>Ms. Neelam Bhalla </v>
          </cell>
          <cell r="C95">
            <v>9810546046</v>
          </cell>
          <cell r="D95" t="str">
            <v>H4, 4th Floor, Olive Residency, Mayfield Garden, Sec 57</v>
          </cell>
          <cell r="E95" t="str">
            <v>Artemis</v>
          </cell>
          <cell r="F95" t="str">
            <v>Thursday</v>
          </cell>
          <cell r="G95" t="str">
            <v>9 AM - 12 PM</v>
          </cell>
          <cell r="H95">
            <v>1950</v>
          </cell>
          <cell r="I95">
            <v>487.5</v>
          </cell>
          <cell r="J95" t="str">
            <v>Joy</v>
          </cell>
          <cell r="K95" t="str">
            <v>No Glad (19/05) Pls send Daisy in next del with Asiatic(11/12)  Orchids Next(26/06) Send Gerbera Next with Flower Food902/07)  Orchids next(21/11)  Oriental next(20/03) Y Spray Daisy tom(25/03) Only 1 kind of flowers now(20/05) S NO GLAD n BOP (30/12) Today returned-send tom (21/01) Skip 2 weeks (27/01) Send 1 Flower Food next (13/06) Skip 1 week (06/07) Skip 1 week (20/08) Aster in Del (19/10) Hold today -send tom (03/11) Skip 1 week (01/02) Skip 1 week (29/02) Hold till 1st July (15/06) Skip 1 week (24/07) Skip 29th (26/11) Skip tom (23/01) Skip tom (27/02) Skip 1 week (11/03) Skip 1 week (17/06) Skip 1 week (20/01) Skip 1 week (04/02) Skip thursday (24/02) Skip 1 week (16/06)</v>
          </cell>
          <cell r="L95" t="str">
            <v>GLAD n BOP n GERBERA</v>
          </cell>
          <cell r="N95" t="str">
            <v>3  del of this cycle   -  0-cycles pmnt   Completed - Collect 0</v>
          </cell>
          <cell r="O95" t="str">
            <v>Pur n P Eustoma ( 12 Inch ) 4     FF Sachet + Grass</v>
          </cell>
          <cell r="P95" t="str">
            <v>Sunflower ( 12 Inch ) 5     FF Sachet + Grass</v>
          </cell>
          <cell r="Q95" t="str">
            <v>Rajni ( 14 Inch ) 22     Grass</v>
          </cell>
          <cell r="R95" t="str">
            <v>G n W Car ( 14 Inch ) 22     FF Sachet + Grass</v>
          </cell>
          <cell r="S95" t="str">
            <v>W Asiatic 4     Grass</v>
          </cell>
          <cell r="T95" t="str">
            <v>P n Y Spray Daisy ( 14 Inch ) 7     FF Sachet + Grass</v>
          </cell>
        </row>
        <row r="96">
          <cell r="A96">
            <v>3396</v>
          </cell>
          <cell r="B96" t="str">
            <v>Shivani Gogia</v>
          </cell>
          <cell r="C96">
            <v>7838568324</v>
          </cell>
          <cell r="D96" t="str">
            <v>A-105, 1st Floor, Siushant Lok 3, Sec 57</v>
          </cell>
          <cell r="E96" t="str">
            <v>Sector 56</v>
          </cell>
          <cell r="F96" t="str">
            <v>Thursday</v>
          </cell>
          <cell r="G96" t="str">
            <v>9:30 Am to 2 PM</v>
          </cell>
          <cell r="H96">
            <v>1450</v>
          </cell>
          <cell r="I96">
            <v>362.5</v>
          </cell>
          <cell r="J96" t="str">
            <v>Customized</v>
          </cell>
          <cell r="K96" t="str">
            <v>14 rajni</v>
          </cell>
          <cell r="N96" t="str">
            <v>1  del of this cycle   -  1-cycles pmnt   Pending - Collect 1450</v>
          </cell>
          <cell r="O96" t="e">
            <v>#N/A</v>
          </cell>
          <cell r="P96" t="str">
            <v>Rajni ( 14 Inch ) 14     Grass</v>
          </cell>
          <cell r="Q96" t="str">
            <v>O Asiatic ( ( 14 inch ) 3     FF Sachet + Grass</v>
          </cell>
          <cell r="R96" t="str">
            <v>G n W Car ( 14 Inch ) 16     FF Sachet + Grass</v>
          </cell>
          <cell r="S96" t="str">
            <v>P n Y Spray Daisy ( 14 Inch ) 5     FF Sachet + Grass</v>
          </cell>
          <cell r="T96" t="str">
            <v>Mix Glad ( 14 Inch ) 16   Ensure Collection Ensure Collection FF Sachet + Grass</v>
          </cell>
        </row>
        <row r="97">
          <cell r="A97" t="str">
            <v>B56599</v>
          </cell>
          <cell r="B97" t="str">
            <v>Madhu</v>
          </cell>
          <cell r="C97" t="str">
            <v>99993 64696</v>
          </cell>
          <cell r="D97" t="str">
            <v>C2/201, Vatika City</v>
          </cell>
          <cell r="H97">
            <v>1050</v>
          </cell>
          <cell r="J97" t="str">
            <v>Bouquet</v>
          </cell>
          <cell r="K97" t="str">
            <v>Send to Madhu Thapliyal today from Kanchan Yadav 
Message
.Happiest birthday Madhu 
Love 
Kanchan , Pankaj, kuhu n pihu</v>
          </cell>
          <cell r="T97" t="str">
            <v xml:space="preserve">Pink Carnation 15 Brown Wrap Message   </v>
          </cell>
        </row>
        <row r="98">
          <cell r="B98" t="str">
            <v>Jasbir Singh</v>
          </cell>
          <cell r="C98">
            <v>9997092561</v>
          </cell>
          <cell r="D98" t="str">
            <v>514-A, The Camellias</v>
          </cell>
          <cell r="G98" t="str">
            <v>By 12 PM</v>
          </cell>
          <cell r="H98" t="str">
            <v>Only Collection</v>
          </cell>
          <cell r="I98" t="str">
            <v>Only Collection</v>
          </cell>
          <cell r="J98" t="str">
            <v>Only Collection</v>
          </cell>
          <cell r="K98" t="str">
            <v>Only Collection</v>
          </cell>
          <cell r="L98" t="str">
            <v>Only Collection</v>
          </cell>
          <cell r="M98" t="str">
            <v>Only Collection</v>
          </cell>
          <cell r="N98" t="str">
            <v xml:space="preserve">  Pls Collect    1,36,514 hai total amount- jitna dengi utna le aayega</v>
          </cell>
          <cell r="T98" t="str">
            <v xml:space="preserve">      </v>
          </cell>
        </row>
        <row r="99">
          <cell r="A99">
            <v>2868</v>
          </cell>
          <cell r="B99" t="str">
            <v>Group Captain Prabal Bir Singh</v>
          </cell>
          <cell r="C99">
            <v>7827468667</v>
          </cell>
          <cell r="D99" t="str">
            <v>603, Shivshakti CGHS, Plot-94, Near Ati Chowk</v>
          </cell>
          <cell r="E99" t="str">
            <v>DLF Phase 5</v>
          </cell>
          <cell r="F99" t="str">
            <v>Thursday</v>
          </cell>
          <cell r="G99" t="str">
            <v>9 AM to 2 PM</v>
          </cell>
          <cell r="H99">
            <v>1450</v>
          </cell>
          <cell r="I99">
            <v>362.5</v>
          </cell>
          <cell r="J99" t="str">
            <v>Bliss</v>
          </cell>
          <cell r="N99" t="str">
            <v>4  del of this cycle   -  0-cycles pmnt   Completed - Collect 0</v>
          </cell>
          <cell r="O99" t="str">
            <v>Rajni ( 14 Inch ) 9     Grass</v>
          </cell>
          <cell r="P99" t="str">
            <v>P Asiatic ( 14 Inch ) 2     Grass</v>
          </cell>
          <cell r="Q99" t="str">
            <v>P n W Car ( 14 Inch ) 16     FF Sachet + Grass</v>
          </cell>
          <cell r="R99" t="str">
            <v>P n Y Spray Daisy ( 14 Inch ) 5     FF Sachet + Grass</v>
          </cell>
          <cell r="S99" t="str">
            <v>Mix Glad ( 14 Inch ) 16     Grass</v>
          </cell>
          <cell r="T99" t="str">
            <v>Mix Alstroemeria ( 12 Inch ) 16     FF Sachet + Grass</v>
          </cell>
        </row>
        <row r="100">
          <cell r="A100" t="str">
            <v>B56597</v>
          </cell>
          <cell r="B100" t="str">
            <v>Kshipra Pavirthan</v>
          </cell>
          <cell r="C100">
            <v>9910577608</v>
          </cell>
          <cell r="D100" t="str">
            <v>4156, Aradhya Homes, 3rd Floor, Ansal Versalia</v>
          </cell>
          <cell r="E100" t="str">
            <v>Badshahpur</v>
          </cell>
          <cell r="F100" t="str">
            <v>Thursday</v>
          </cell>
          <cell r="G100" t="str">
            <v>By 11 AM</v>
          </cell>
          <cell r="H100">
            <v>2300</v>
          </cell>
          <cell r="I100">
            <v>2300</v>
          </cell>
          <cell r="J100" t="str">
            <v>Bouquet</v>
          </cell>
          <cell r="K100" t="str">
            <v>40 Red Rose in Full Tissue Wrap// Hi Kships, Wish you a very healed and happy 40th !!      From This moment and beyond the best of the health, wealth, joy, happiness, success, strength and prosperity stays with you every step of the way.         May Lord Krishna and Sir's blessing and guidance leads you every moment.      I love you with all my heart. Wishing you very BEST always ( 3 Heart Image)</v>
          </cell>
          <cell r="N100" t="str">
            <v>1  del of this cycle   -  0-cycles pmnt   Completed - Collect 0</v>
          </cell>
          <cell r="O100" t="e">
            <v>#N/A</v>
          </cell>
          <cell r="P100" t="e">
            <v>#N/A</v>
          </cell>
          <cell r="Q100" t="e">
            <v>#N/A</v>
          </cell>
          <cell r="R100" t="e">
            <v>#N/A</v>
          </cell>
          <cell r="S100" t="e">
            <v>#N/A</v>
          </cell>
          <cell r="T100" t="str">
            <v xml:space="preserve">R Rose 40 Full Tissue Wrap Message   </v>
          </cell>
        </row>
        <row r="101">
          <cell r="A101" t="str">
            <v>B56598</v>
          </cell>
          <cell r="B101" t="str">
            <v>Kshipra Pavirthan</v>
          </cell>
          <cell r="C101">
            <v>9910577608</v>
          </cell>
          <cell r="D101" t="str">
            <v>4156, Aradhya Homes, 3rd Floor, Ansal Versalia</v>
          </cell>
          <cell r="E101" t="str">
            <v>Badshahpur</v>
          </cell>
          <cell r="F101" t="str">
            <v>Thursday</v>
          </cell>
          <cell r="G101" t="str">
            <v>By 11 AM</v>
          </cell>
          <cell r="H101">
            <v>1700</v>
          </cell>
          <cell r="I101">
            <v>1700</v>
          </cell>
          <cell r="J101" t="str">
            <v>Bouquet</v>
          </cell>
          <cell r="K101" t="str">
            <v>2 Orange Asiatic + 3 W Car + 1 Red Anthurium + 5 Red Spray Daisy in Vase // Happy Birthday Masi!! We love and miss you loads. You are such a talented women to look up to and we are beyond proud of everything you've done and accomplished just at 40! ( Even if you don't look it LOL) . We want to see you soon so hopefully that ticket gets bought ASAP!    Love you loads and have a blessed birthday         Anvi, Nimay, Jiju (29/07)</v>
          </cell>
          <cell r="N101" t="str">
            <v>1  del of this cycle   -  0-cycles pmnt   Completed - Collect 0</v>
          </cell>
          <cell r="O101" t="e">
            <v>#N/A</v>
          </cell>
          <cell r="P101" t="e">
            <v>#N/A</v>
          </cell>
          <cell r="Q101" t="e">
            <v>#N/A</v>
          </cell>
          <cell r="R101" t="e">
            <v>#N/A</v>
          </cell>
          <cell r="S101" t="e">
            <v>#N/A</v>
          </cell>
          <cell r="T101" t="str">
            <v xml:space="preserve">O Asiatic + W Car + Red Anthurium + Red Spray Daisy  2 + 3 + 1 + 5 Square Vase Arrangement Message   </v>
          </cell>
        </row>
        <row r="102">
          <cell r="A102">
            <v>1978</v>
          </cell>
          <cell r="B102" t="str">
            <v>Anu-- After 6 PM</v>
          </cell>
          <cell r="C102" t="str">
            <v>98103 39602</v>
          </cell>
          <cell r="D102" t="str">
            <v xml:space="preserve">Tower 6, 901 Fresco </v>
          </cell>
          <cell r="E102" t="str">
            <v>Nirvana Country</v>
          </cell>
          <cell r="F102" t="str">
            <v>Thursday</v>
          </cell>
          <cell r="G102" t="str">
            <v>4 Pm to 7 PM</v>
          </cell>
          <cell r="H102">
            <v>4850</v>
          </cell>
          <cell r="I102">
            <v>606.25</v>
          </cell>
          <cell r="J102" t="str">
            <v>Poise</v>
          </cell>
          <cell r="K102"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102" t="str">
            <v>ROSE n RAJNI n HELICONIA n BOP</v>
          </cell>
          <cell r="M102" t="str">
            <v>after 6 pm on 19th (16/04)</v>
          </cell>
          <cell r="N102" t="str">
            <v>6  del of this cycle   -  0-cycles pmnt   Completed - Collect 0</v>
          </cell>
          <cell r="O102" t="str">
            <v>W Asiatic ( 14 Inch ) 2 P n Y Spray Daisy ( 14 Inch ) 4 Rajni ( 14 Inch ) 12 Grass</v>
          </cell>
          <cell r="P102" t="str">
            <v>O Asiatic ( 14 Inch ) 2 Sunflower ( 12 Inch ) 4 Pur n P Car ( 14 Inch ) 12 Grass</v>
          </cell>
          <cell r="Q102" t="str">
            <v>W Asiatic ( 14 Inch ) 2 Mix Alstroemeria ( 12 Inch ) 8 B Daisy 10 Grass</v>
          </cell>
          <cell r="R102" t="str">
            <v>P Asiatic ( 14 Inch ) 2 Sunflower 3 P n W  Car ( 14 Inch ) 12 Grass</v>
          </cell>
          <cell r="S102" t="str">
            <v>O Asiatic ( 14 Inch ) 2 P n Y Spray Daisy ( 14 Inch ) 4 Green n W  Car 12 Grass</v>
          </cell>
          <cell r="T102" t="str">
            <v>W Asiatic ( 14 Inch ) 2 Mix Eustoma ( 12 Inch ) 3 Mix Alstroemeria ( 12 Inch ) 12 Grass</v>
          </cell>
        </row>
        <row r="103">
          <cell r="B103" t="str">
            <v xml:space="preserve">Shivaani Grover </v>
          </cell>
          <cell r="C103" t="str">
            <v>98104 26440</v>
          </cell>
          <cell r="D103" t="str">
            <v>Tower 6/604
The Palms, Unitech South City 1, Sector 41
Gurgaon 122001
Haryana
India</v>
          </cell>
          <cell r="G103" t="str">
            <v xml:space="preserve">Between 1-3 </v>
          </cell>
          <cell r="H103">
            <v>1380</v>
          </cell>
          <cell r="J103" t="str">
            <v>Bouquet</v>
          </cell>
          <cell r="K103" t="str">
            <v>Today between 1-3 
From 
+91 98104 26440
To 
Shivaani Grover 
Flat No 604, 
Tower 6
The Palms, Unitech South City 1, Sector 41
Gurgaon 122001
Haryana
India
Message on the card 
Happy Birthday Gaurav.
May God bless you with good health and happiness always. 
With loads of love 
Mumma - Papa
Shivaani</v>
          </cell>
          <cell r="T103" t="str">
            <v xml:space="preserve">White Spray Daisy + Blue Daisy 8+8 Brown Wrap Message   </v>
          </cell>
        </row>
        <row r="104">
          <cell r="B104" t="str">
            <v>Kapil Arora</v>
          </cell>
          <cell r="C104" t="str">
            <v xml:space="preserve"> 96500 50785</v>
          </cell>
          <cell r="D104" t="str">
            <v xml:space="preserve"> E-92, The ICON DLF Phase 5</v>
          </cell>
          <cell r="G104" t="str">
            <v>7:30 to 8:30 pm,</v>
          </cell>
          <cell r="H104">
            <v>1200</v>
          </cell>
          <cell r="J104" t="str">
            <v>Bouquet</v>
          </cell>
          <cell r="K104" t="str">
            <v>Kapil Arora
+91 96500 50785
E-92, The ICON DLF Phase 5
Pls send 4 semi bloom pink oriental lilies with greens today 7:30 to 8:30 pm, 1200 already received</v>
          </cell>
          <cell r="N104" t="str">
            <v xml:space="preserve"> No Collection </v>
          </cell>
          <cell r="T104" t="str">
            <v xml:space="preserve">Semi bloom pink oriental lilies  4 Arica+Grass    </v>
          </cell>
        </row>
        <row r="105">
          <cell r="A105" t="str">
            <v>B55401</v>
          </cell>
          <cell r="B105" t="str">
            <v>Sangeeta</v>
          </cell>
          <cell r="C105">
            <v>7303715100</v>
          </cell>
          <cell r="D105" t="str">
            <v>Flat 907A, FW9, 7th Floor, M3M Golf Estate, Sec 65, Gurgaon</v>
          </cell>
          <cell r="G105" t="str">
            <v>Around 8pm</v>
          </cell>
          <cell r="H105">
            <v>2100</v>
          </cell>
          <cell r="J105" t="str">
            <v>Bouquet</v>
          </cell>
          <cell r="K105" t="str">
            <v>Pls send a bunch of 7 semibloom pink orienral lilies in walkin tissue wrap today to Sangeeta Central Park  — +91 73037 15100, around 8pm and collect cash of 4000 including previous payment of 1900..
Shall share message in some time..</v>
          </cell>
          <cell r="N105" t="str">
            <v>collect cash of 4900  including previous payment of 1900                                               Carry 100 change</v>
          </cell>
          <cell r="T105" t="str">
            <v xml:space="preserve">Semibloom pink orienral lilies  10 walkin tissue wrap  Message   </v>
          </cell>
        </row>
        <row r="106">
          <cell r="A106">
            <v>921</v>
          </cell>
          <cell r="B106" t="str">
            <v>Anumeha</v>
          </cell>
          <cell r="C106">
            <v>9899901949</v>
          </cell>
          <cell r="D106" t="str">
            <v>T-04/1701, South Close</v>
          </cell>
          <cell r="G106" t="str">
            <v>7:30-8:00</v>
          </cell>
          <cell r="H106">
            <v>1200</v>
          </cell>
          <cell r="J106" t="str">
            <v>Bouquet</v>
          </cell>
          <cell r="K106" t="str">
            <v>Send today late evening 
2 white and 2 pink oriental lilies in walkin tissue wrap to
T4 - 1701 , The Close South
Anumeha
Between 7:30-8:00</v>
          </cell>
          <cell r="T106" t="str">
            <v xml:space="preserve">Pink n White Oreintal 4 walkin tissue wrap    </v>
          </cell>
        </row>
        <row r="107">
          <cell r="B107" t="str">
            <v>99580 77344‬</v>
          </cell>
          <cell r="C107" t="str">
            <v>99580 77344‬</v>
          </cell>
          <cell r="D107" t="str">
            <v>M 1406, Emaar Palm Drive, Golf course extension road, Badshahpur, Sector 66</v>
          </cell>
          <cell r="G107" t="str">
            <v>Before 5:30</v>
          </cell>
          <cell r="H107">
            <v>1850</v>
          </cell>
          <cell r="J107" t="str">
            <v>Bouquet</v>
          </cell>
          <cell r="T107" t="str">
            <v xml:space="preserve">Mix Flowers Bouquet  Tissue Wrap    </v>
          </cell>
        </row>
      </sheetData>
      <sheetData sheetId="30"/>
      <sheetData sheetId="3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8-26"/>
      <sheetName val="02-08-26"/>
      <sheetName val=" 03-08-26"/>
      <sheetName val="04-08-26"/>
      <sheetName val=" 05-08-26"/>
      <sheetName val="06-08-26"/>
      <sheetName val="07-08-26"/>
      <sheetName val="08-08-26"/>
      <sheetName val="09-08-26"/>
      <sheetName val="10-08-26"/>
      <sheetName val=" 11-08-26"/>
      <sheetName val="12-08-26"/>
    </sheetNames>
    <sheetDataSet>
      <sheetData sheetId="0"/>
      <sheetData sheetId="1"/>
      <sheetData sheetId="2"/>
      <sheetData sheetId="3"/>
      <sheetData sheetId="4"/>
      <sheetData sheetId="5">
        <row r="2">
          <cell r="A2">
            <v>894</v>
          </cell>
          <cell r="B2" t="str">
            <v>Dr. Roma Kumar</v>
          </cell>
          <cell r="C2" t="str">
            <v>98110 87708</v>
          </cell>
          <cell r="D2" t="str">
            <v>RT-181, Royalton Tower
Inside Princeton Estate
DLF City Phase-V
Gurgaon-122009
Haryana</v>
          </cell>
          <cell r="E2" t="str">
            <v>DLF Phase 5</v>
          </cell>
          <cell r="F2" t="str">
            <v>Thursday</v>
          </cell>
          <cell r="G2" t="str">
            <v>9 AM - 12 PM</v>
          </cell>
          <cell r="H2">
            <v>3000</v>
          </cell>
          <cell r="I2">
            <v>375</v>
          </cell>
          <cell r="J2" t="str">
            <v>Charm</v>
          </cell>
          <cell r="K2"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 Hold today (26/07)</v>
          </cell>
          <cell r="L2" t="str">
            <v>ORCHID</v>
          </cell>
          <cell r="N2" t="str">
            <v>4  del of this cycle   -  1-cycles pmnt   Pending - Collect 3000</v>
          </cell>
          <cell r="O2" t="str">
            <v>B Daisy ( 12 Inch ) 15     Grass</v>
          </cell>
          <cell r="P2" t="str">
            <v>G Anthurium 3     Grass</v>
          </cell>
          <cell r="Q2" t="e">
            <v>#N/A</v>
          </cell>
          <cell r="R2" t="str">
            <v>Y Asiatic ( 14 inch ) 3     Grass</v>
          </cell>
          <cell r="S2" t="str">
            <v>Rajni ( 14 Inch ) 15     Grass</v>
          </cell>
          <cell r="T2" t="str">
            <v>W Eustoma ( 12 Inch ) 3     FF Sachet + Grass</v>
          </cell>
        </row>
        <row r="3">
          <cell r="A3">
            <v>3410</v>
          </cell>
          <cell r="B3" t="str">
            <v>Tarishka Gupta</v>
          </cell>
          <cell r="C3">
            <v>9870128711</v>
          </cell>
          <cell r="D3" t="str">
            <v>A1/804, Unitech The Residences</v>
          </cell>
          <cell r="E3" t="str">
            <v>Sohna Road 2</v>
          </cell>
          <cell r="F3" t="str">
            <v>Thursday</v>
          </cell>
          <cell r="G3" t="str">
            <v>4 PM to 7 PM</v>
          </cell>
          <cell r="H3">
            <v>1450</v>
          </cell>
          <cell r="I3">
            <v>362.5</v>
          </cell>
          <cell r="J3" t="str">
            <v>Bliss</v>
          </cell>
          <cell r="N3" t="str">
            <v>4  del of this cycle   -  0-cycles pmnt   Completed - Collect 0</v>
          </cell>
          <cell r="O3" t="e">
            <v>#N/A</v>
          </cell>
          <cell r="P3" t="e">
            <v>#N/A</v>
          </cell>
          <cell r="Q3" t="str">
            <v>G n W Car ( 14 Inch ) 16     FF Sachet + Grass</v>
          </cell>
          <cell r="R3" t="str">
            <v>Y Asiatic ( 14 inch ) 3     Grass</v>
          </cell>
          <cell r="S3" t="str">
            <v>Mix Glad ( 14 Inch ) 16     FF Sachet + Grass</v>
          </cell>
          <cell r="T3" t="str">
            <v>P n Y Spray Daisy ( 14 inch ) 5     FF Sachet + Grass</v>
          </cell>
        </row>
        <row r="4">
          <cell r="A4" t="str">
            <v>G-00066</v>
          </cell>
          <cell r="B4" t="str">
            <v>Aastha Vernma</v>
          </cell>
          <cell r="C4">
            <v>8581860035</v>
          </cell>
          <cell r="D4" t="str">
            <v>T-3/604, Takshila Heights, Sec 37 C</v>
          </cell>
          <cell r="E4" t="str">
            <v>Old Gurgaon</v>
          </cell>
          <cell r="F4" t="str">
            <v>Thursday</v>
          </cell>
          <cell r="G4" t="str">
            <v>4 PM to 7PM</v>
          </cell>
          <cell r="H4">
            <v>1450</v>
          </cell>
          <cell r="I4">
            <v>362.5</v>
          </cell>
          <cell r="J4" t="str">
            <v>Bliss</v>
          </cell>
          <cell r="K4" t="str">
            <v>From Srishti Verma</v>
          </cell>
          <cell r="N4" t="str">
            <v>4  del of this cycle   -  0-cycles pmnt   Completed - Collect 0</v>
          </cell>
          <cell r="O4" t="e">
            <v>#N/A</v>
          </cell>
          <cell r="P4" t="e">
            <v>#N/A</v>
          </cell>
          <cell r="Q4" t="str">
            <v>G n W Car ( 14 Inch ) 16     FF Sachet + Grass</v>
          </cell>
          <cell r="R4" t="str">
            <v>O Asiatic ( 14 Inch ) 3     Grass</v>
          </cell>
          <cell r="S4" t="str">
            <v>Mix Glad ( 14 Inch ) 16     FF Sachet + Grass</v>
          </cell>
          <cell r="T4" t="str">
            <v>P n Y Spray Daisy ( 14 inch ) 5     FF Sachet + Grass</v>
          </cell>
        </row>
        <row r="5">
          <cell r="A5">
            <v>3411</v>
          </cell>
          <cell r="B5" t="str">
            <v>Chetna Bhardwaj</v>
          </cell>
          <cell r="C5">
            <v>8810598664</v>
          </cell>
          <cell r="D5" t="str">
            <v>A1/22C, ILD Grand Sec 37 C</v>
          </cell>
          <cell r="E5" t="str">
            <v>Dwarka Expressway</v>
          </cell>
          <cell r="F5" t="str">
            <v>Thursday</v>
          </cell>
          <cell r="G5" t="str">
            <v>4 PM to 7 PM</v>
          </cell>
          <cell r="H5">
            <v>1450</v>
          </cell>
          <cell r="I5">
            <v>362.5</v>
          </cell>
          <cell r="J5" t="str">
            <v>Bliss</v>
          </cell>
          <cell r="N5" t="str">
            <v>4  del of this cycle   -  0-cycles pmnt   Completed - Collect 0</v>
          </cell>
          <cell r="O5" t="e">
            <v>#N/A</v>
          </cell>
          <cell r="P5" t="e">
            <v>#N/A</v>
          </cell>
          <cell r="Q5" t="e">
            <v>#N/A</v>
          </cell>
          <cell r="R5" t="str">
            <v>O Asiatic ( 14 Inch ) 3     Grass</v>
          </cell>
          <cell r="S5" t="str">
            <v>Mix Glad ( 14 Inch ) 16     FF Sachet + Grass</v>
          </cell>
          <cell r="T5" t="str">
            <v>P n Y Spray Daisy ( 14 inch ) 5     FF Sachet + Grass</v>
          </cell>
        </row>
        <row r="6">
          <cell r="A6">
            <v>2761</v>
          </cell>
          <cell r="B6" t="str">
            <v>Gyan</v>
          </cell>
          <cell r="C6">
            <v>9560719191</v>
          </cell>
          <cell r="D6" t="str">
            <v>J7, 2nd Floor, Signature Global City, Sec 37 D</v>
          </cell>
          <cell r="E6" t="str">
            <v>Dwarka Expressway</v>
          </cell>
          <cell r="F6" t="str">
            <v>Thursday</v>
          </cell>
          <cell r="G6" t="str">
            <v>4 PM to 7 PM</v>
          </cell>
          <cell r="H6">
            <v>1450</v>
          </cell>
          <cell r="I6">
            <v>362.5</v>
          </cell>
          <cell r="J6" t="str">
            <v>Bliss</v>
          </cell>
          <cell r="K6" t="str">
            <v>Upgraded as per scheme to Bliss for 5 Deliveries (22/08) No delivered today-send tom (02/10) Skip 1 week (26/11) Skip 2 week (28/01) Skip 2 week (10/03) No Sunflower ( 17/06)</v>
          </cell>
          <cell r="L6" t="str">
            <v>Sunflower</v>
          </cell>
          <cell r="N6" t="str">
            <v>4  del of this cycle   -  0-cycles pmnt   Completed - Collect 0</v>
          </cell>
          <cell r="O6" t="str">
            <v>Spray Daisy 3 B Daisy ( 12 Inch ) 7   FF Sachet + Grass</v>
          </cell>
          <cell r="P6" t="str">
            <v>O Asiatic ( ( 14 inch ) 2 Mix Car 7   Grass</v>
          </cell>
          <cell r="Q6" t="str">
            <v>P Spray Daisy ( 14 Inch ) 3 P n W Glad ( 14 Inch ) 7   FF Sachet + Grass</v>
          </cell>
          <cell r="R6" t="str">
            <v>Y Spray Daisy ( 14 Inch ) 3 Mix Alstroemeria ( 12 Inch ) 7 Ensure Collection Ensure Collection FF Sachet + Grass</v>
          </cell>
          <cell r="S6" t="str">
            <v>P Eustoma ( 12 Inch ) 2 R  n W Car ( 14 inch ) 7   FF Sachet + Grass</v>
          </cell>
          <cell r="T6" t="str">
            <v>W Asiatic ( 14 Inch ) 2 Mix Glad ( 14 Inch ) 7   Grass</v>
          </cell>
        </row>
        <row r="7">
          <cell r="A7" t="str">
            <v>G-00036</v>
          </cell>
          <cell r="B7" t="str">
            <v>Aanchal Boora</v>
          </cell>
          <cell r="C7">
            <v>9654700022</v>
          </cell>
          <cell r="D7" t="str">
            <v>Flat - 1171, Ats Triumph, Wing B, Tower 1, 17th Floor, Sec 104</v>
          </cell>
          <cell r="E7" t="str">
            <v>Dwarka Expressway</v>
          </cell>
          <cell r="F7" t="str">
            <v>Thursday</v>
          </cell>
          <cell r="G7" t="str">
            <v>4 Pm to 7 PM</v>
          </cell>
          <cell r="H7">
            <v>1450</v>
          </cell>
          <cell r="I7">
            <v>362.5</v>
          </cell>
          <cell r="J7" t="str">
            <v>Bliss</v>
          </cell>
          <cell r="K7" t="str">
            <v>From Avni Ahuja // Skip tom (10/12) Paytm From Nitin Kunka // No Orchids (27/01) Skip 1 week (27/02) No Sunflowers (02/05)</v>
          </cell>
          <cell r="L7" t="str">
            <v xml:space="preserve">Orchid n Sunflowers </v>
          </cell>
          <cell r="M7" t="str">
            <v>One Kind</v>
          </cell>
          <cell r="N7" t="str">
            <v>3  del of this cycle   -  0-cycles pmnt   Completed - Collect 0</v>
          </cell>
          <cell r="O7" t="str">
            <v>P Asiatic ( 14 Inch ) 3    Collect Payment Grass</v>
          </cell>
          <cell r="P7" t="str">
            <v>Rajni ( 14 Inch ) 16     Grass</v>
          </cell>
          <cell r="Q7" t="str">
            <v>P n Y Spray Daisy ( 14 Inch ) 5     FF Sachet + Grass</v>
          </cell>
          <cell r="R7" t="str">
            <v>G n W Car ( 14 inch ) 16     FF Sachet + Grass</v>
          </cell>
          <cell r="S7" t="str">
            <v>Mix Glad ( 14 Inch ) 16     FF Sachet + Grass</v>
          </cell>
          <cell r="T7" t="str">
            <v>Pur n W Eustoma ( 12 Inch ) 3     FF Sachet + Grass</v>
          </cell>
        </row>
        <row r="8">
          <cell r="A8">
            <v>2502</v>
          </cell>
          <cell r="B8" t="str">
            <v>Amrita Sarup</v>
          </cell>
          <cell r="C8">
            <v>7028026940</v>
          </cell>
          <cell r="D8" t="str">
            <v>D1/802, Experion Heartsong, Sec 108</v>
          </cell>
          <cell r="E8" t="str">
            <v>Dwarka Expressway</v>
          </cell>
          <cell r="F8" t="str">
            <v>Thursday</v>
          </cell>
          <cell r="G8" t="str">
            <v>4 Pm to 7 PM</v>
          </cell>
          <cell r="H8">
            <v>1450</v>
          </cell>
          <cell r="I8">
            <v>362.5</v>
          </cell>
          <cell r="J8" t="str">
            <v>Bliss</v>
          </cell>
          <cell r="K8" t="str">
            <v>No Asiatic n Spray Daisy // Today Hold (14/08) Replacement tom (04/12) No Orchid (11/12) No BOP n Orchid (12/12) Today Returned -send on Sunday (18/12) Returned today (01/01/26) Next 3 Deliveries with Premium (11/.04)</v>
          </cell>
          <cell r="L8" t="str">
            <v>BOP n Orchid</v>
          </cell>
          <cell r="M8" t="str">
            <v>Next 3 Deliveries with Premium (11/.04)</v>
          </cell>
          <cell r="N8" t="str">
            <v>2  del of this cycle   -  0-cycles pmnt   Completed - Collect 0</v>
          </cell>
          <cell r="O8" t="str">
            <v>Pur n P Car ( 14 Inch ) 16     FF Sachet + Grass</v>
          </cell>
          <cell r="P8" t="str">
            <v>O Asiatic ( ( 14 inch ) 3     Grass</v>
          </cell>
          <cell r="Q8" t="str">
            <v>Mix Car ( 14 Inch ) 16     Grass</v>
          </cell>
          <cell r="R8" t="str">
            <v>P n Y Spray Daisy ( 14 Inch ) 5     FF Sachet + Grass</v>
          </cell>
          <cell r="S8" t="str">
            <v>Mix Glad ( 14 Inch ) 16     FF Sachet + Grass</v>
          </cell>
          <cell r="T8" t="str">
            <v>Pur n W Eustoma ( 12 Inch ) 3     FF Sachet + Grass</v>
          </cell>
        </row>
        <row r="9">
          <cell r="A9">
            <v>3417</v>
          </cell>
          <cell r="B9" t="str">
            <v>Ravindra Mittal</v>
          </cell>
          <cell r="C9">
            <v>7011050555</v>
          </cell>
          <cell r="D9" t="str">
            <v>3 GF 1, ATS Kocoon, Sec 109</v>
          </cell>
          <cell r="E9" t="str">
            <v>Dwarka Expressway</v>
          </cell>
          <cell r="F9" t="str">
            <v>Thursday</v>
          </cell>
          <cell r="G9" t="str">
            <v>4 PM to 7 PM</v>
          </cell>
          <cell r="H9">
            <v>1950</v>
          </cell>
          <cell r="I9">
            <v>487.5</v>
          </cell>
          <cell r="J9" t="str">
            <v>Joy</v>
          </cell>
          <cell r="N9" t="str">
            <v>2  del of this cycle   -  0-cycles pmnt   Completed - Collect 0</v>
          </cell>
          <cell r="O9" t="e">
            <v>#N/A</v>
          </cell>
          <cell r="P9" t="e">
            <v>#N/A</v>
          </cell>
          <cell r="Q9" t="e">
            <v>#N/A</v>
          </cell>
          <cell r="R9" t="e">
            <v>#N/A</v>
          </cell>
          <cell r="S9" t="str">
            <v>R n W Car ( 14 Inch ) 22   Ensure Collection Ensure Collection FF Sachet + Grass</v>
          </cell>
          <cell r="T9" t="str">
            <v>O Asiatic ( 14 Inch ) 4     Grass</v>
          </cell>
        </row>
        <row r="10">
          <cell r="A10">
            <v>3270</v>
          </cell>
          <cell r="B10" t="str">
            <v>Tanya Sharma</v>
          </cell>
          <cell r="C10">
            <v>7022251818</v>
          </cell>
          <cell r="D10" t="str">
            <v>T-8/202, Chintel Serenity, Sec 109</v>
          </cell>
          <cell r="E10" t="str">
            <v>Dwarka Expressway</v>
          </cell>
          <cell r="F10" t="str">
            <v>Thursday</v>
          </cell>
          <cell r="G10" t="str">
            <v>4 Pm to 7 PM</v>
          </cell>
          <cell r="H10">
            <v>1950</v>
          </cell>
          <cell r="I10">
            <v>487.5</v>
          </cell>
          <cell r="J10" t="str">
            <v>Joy</v>
          </cell>
          <cell r="K10" t="str">
            <v>No Yellow wn Purple // no Rajni (02/02) No ALstroemeria and do not count last del(19/06) Pls Don’t count last del (26/06)</v>
          </cell>
          <cell r="L10" t="str">
            <v>Rajni n Alstroemeria</v>
          </cell>
          <cell r="M10" t="str">
            <v>No Yellow wn Purple // Stock Next (02/03)</v>
          </cell>
          <cell r="N10" t="str">
            <v>4  del of this cycle   -  0-cycles pmnt   Completed - Collect 0</v>
          </cell>
          <cell r="O10" t="str">
            <v>P n Y Spray Daisy ( 14 Inch ) 4 P n W Glad ( 14 Inch ) 11   FF Sachet + Grass</v>
          </cell>
          <cell r="P10" t="str">
            <v>P Asiatic ( 14 Inch ) 2 P n W Car ( 14 Inch ) 11   Grass</v>
          </cell>
          <cell r="Q10" t="str">
            <v>Asiatic  2 Mix Car ( 12 Inch ) 11   FF Sachet + Grass</v>
          </cell>
          <cell r="R10" t="str">
            <v>P Eustoma ( 12 Inch ) 2 Mix Glad ( 14 Inch ) 11 NO Yellow n Purple Color  FF Sachet + Grass</v>
          </cell>
          <cell r="S10" t="str">
            <v>P n W Spray Daisy ( 14 Inch ) 4 R n W Car ( 14 Inch )  11   FF Sachet + Grass</v>
          </cell>
          <cell r="T10" t="str">
            <v>W Asiatic ( 14 Inch ) 2 Mix Glad ( 14 Inch ) 11   Grass</v>
          </cell>
        </row>
        <row r="11">
          <cell r="A11">
            <v>3247</v>
          </cell>
          <cell r="B11" t="str">
            <v>V P Singh</v>
          </cell>
          <cell r="C11">
            <v>9717986555</v>
          </cell>
          <cell r="D11" t="str">
            <v>WT04/701, Experion Windchantsm Sec 112</v>
          </cell>
          <cell r="E11" t="str">
            <v>Dwarka Expressway</v>
          </cell>
          <cell r="F11" t="str">
            <v>Thursday</v>
          </cell>
          <cell r="G11" t="str">
            <v>4 Pm to 7 PM</v>
          </cell>
          <cell r="H11">
            <v>1450</v>
          </cell>
          <cell r="I11">
            <v>362.5</v>
          </cell>
          <cell r="J11" t="str">
            <v>Bliss</v>
          </cell>
          <cell r="K11" t="str">
            <v>Paytm From Vijay Pratap Singh</v>
          </cell>
          <cell r="N11" t="str">
            <v>3  del of this cycle   -  0-cycles pmnt   Completed - Collect 0</v>
          </cell>
          <cell r="O11" t="str">
            <v>O Asiatic ( 14 Inch ) 3     Grass</v>
          </cell>
          <cell r="P11" t="str">
            <v>Rajni ( 14 Inch ) 16     Grass</v>
          </cell>
          <cell r="Q11" t="str">
            <v>G n W Car ( 14 Inch ) 16     FF Sachet + Grass</v>
          </cell>
          <cell r="R11" t="str">
            <v>P n Y Spray Daisy ( 14 Inch ) 5     FF Sachet + Grass</v>
          </cell>
          <cell r="S11" t="str">
            <v>Mix Glad ( 14 Inch ) 16     FF Sachet + Grass</v>
          </cell>
          <cell r="T11" t="str">
            <v>Pur n W Eustoma ( 12 Inch ) 3     FF Sachet + Grass</v>
          </cell>
        </row>
        <row r="12">
          <cell r="A12">
            <v>3415</v>
          </cell>
          <cell r="B12" t="str">
            <v>Sanjay Singh</v>
          </cell>
          <cell r="C12">
            <v>9868216569</v>
          </cell>
          <cell r="D12" t="str">
            <v>WT-1/1902, Experion Windchants, Sec 112</v>
          </cell>
          <cell r="E12" t="str">
            <v>Dwarka Expressway</v>
          </cell>
          <cell r="F12" t="str">
            <v>Thursday</v>
          </cell>
          <cell r="G12" t="str">
            <v>4 Pm to 7 PM</v>
          </cell>
          <cell r="H12">
            <v>1450</v>
          </cell>
          <cell r="I12">
            <v>362.5</v>
          </cell>
          <cell r="J12" t="str">
            <v>Bliss</v>
          </cell>
          <cell r="K12" t="str">
            <v>From 9575027271</v>
          </cell>
          <cell r="N12" t="str">
            <v>3  del of this cycle   -  0-cycles pmnt   Completed - Collect 0</v>
          </cell>
          <cell r="O12" t="e">
            <v>#N/A</v>
          </cell>
          <cell r="P12" t="e">
            <v>#N/A</v>
          </cell>
          <cell r="Q12" t="e">
            <v>#N/A</v>
          </cell>
          <cell r="R12" t="str">
            <v>P n W Car ( 14 Inch ) 16     FF Sachet + Grass</v>
          </cell>
          <cell r="S12" t="str">
            <v>Mix Glad ( 14 Inch ) 16     Grass</v>
          </cell>
          <cell r="T12" t="str">
            <v>O Asiatic ( 14 Inch ) 3     Grass</v>
          </cell>
        </row>
        <row r="13">
          <cell r="A13">
            <v>3420</v>
          </cell>
          <cell r="B13" t="str">
            <v>Umang Tyagi</v>
          </cell>
          <cell r="C13">
            <v>9068374206</v>
          </cell>
          <cell r="D13" t="str">
            <v>A-904,Gorej Icon, Sec 88-A</v>
          </cell>
          <cell r="E13" t="str">
            <v>Dwarka Expressway</v>
          </cell>
          <cell r="F13" t="str">
            <v>Thursday</v>
          </cell>
          <cell r="G13" t="str">
            <v>4 PM to 7PM</v>
          </cell>
          <cell r="H13">
            <v>1600</v>
          </cell>
          <cell r="I13">
            <v>800</v>
          </cell>
          <cell r="J13" t="str">
            <v>Bliss - FRT</v>
          </cell>
          <cell r="N13" t="str">
            <v>3  del of this cycle   -  0-cycles pmnt   Completed - Collect 0</v>
          </cell>
          <cell r="O13" t="e">
            <v>#N/A</v>
          </cell>
          <cell r="P13" t="e">
            <v>#N/A</v>
          </cell>
          <cell r="Q13" t="e">
            <v>#N/A</v>
          </cell>
          <cell r="R13" t="e">
            <v>#N/A</v>
          </cell>
          <cell r="S13" t="e">
            <v>#N/A</v>
          </cell>
          <cell r="T13" t="str">
            <v>Pur n P Car ( 16 Inch ) 16     FF Sachet + Grass</v>
          </cell>
        </row>
        <row r="14">
          <cell r="A14">
            <v>396</v>
          </cell>
          <cell r="B14" t="str">
            <v>Dr. Deepa Gupta</v>
          </cell>
          <cell r="C14">
            <v>8860079525</v>
          </cell>
          <cell r="D14" t="str">
            <v>Mayom Hospital, D block south city 1</v>
          </cell>
          <cell r="E14" t="str">
            <v>South City 1</v>
          </cell>
          <cell r="F14" t="str">
            <v>Thursday</v>
          </cell>
          <cell r="G14" t="str">
            <v>4 PM to 7 PM</v>
          </cell>
          <cell r="H14">
            <v>1450</v>
          </cell>
          <cell r="I14">
            <v>362.5</v>
          </cell>
          <cell r="J14" t="str">
            <v>Corporate</v>
          </cell>
          <cell r="K14" t="str">
            <v>1 del Missed(07/10) Return-send next week(31/12) Send replacement of Gerbera(30/10) Send on Monday this week(20/03) Return- hold package(08/07) Today returned-send next week(02/06) HDTNP (19/02)</v>
          </cell>
          <cell r="N14" t="str">
            <v>2  del of this cycle   -  0-cycles pmnt   In Process - Collect 0</v>
          </cell>
          <cell r="O14" t="str">
            <v>P n W Glad ( 14 Inch ) 16     Grass</v>
          </cell>
          <cell r="P14" t="str">
            <v>P n W Car ( 14 Inch ) 16     FF Sachet + Grass</v>
          </cell>
          <cell r="Q14" t="str">
            <v>Rajni ( 14 Inch ) 16     Grass</v>
          </cell>
          <cell r="R14" t="str">
            <v>B Daisy 10     Grass</v>
          </cell>
          <cell r="S14" t="str">
            <v>Mix Glad ( 14 Inch ) 16     FF Sachet + Grass</v>
          </cell>
          <cell r="T14" t="str">
            <v>R n W Car ( 14 Inch ) 16     FF Sachet + Grass</v>
          </cell>
        </row>
        <row r="15">
          <cell r="A15">
            <v>922</v>
          </cell>
          <cell r="B15" t="str">
            <v>Dr. Deepa Gupta</v>
          </cell>
          <cell r="C15">
            <v>8860079525</v>
          </cell>
          <cell r="D15" t="str">
            <v>Mayom Hospital, D block south city 1</v>
          </cell>
          <cell r="E15" t="str">
            <v>South City 1</v>
          </cell>
          <cell r="F15" t="str">
            <v>Thursday</v>
          </cell>
          <cell r="G15" t="str">
            <v>4 PM to 7 PM</v>
          </cell>
          <cell r="H15">
            <v>1450</v>
          </cell>
          <cell r="I15">
            <v>362.5</v>
          </cell>
          <cell r="J15" t="str">
            <v>Corporate</v>
          </cell>
          <cell r="K15" t="str">
            <v>1 del Missed(07/10) Return-send next week(31/12) Send replacement of Gerbera(30/10) Send on Monday this week(20/03) Return- hold package(08/07) Today returned-send next week(02/06) HDTNP (19/02)</v>
          </cell>
          <cell r="N15" t="str">
            <v>2  del of this cycle   -  0-cycles pmnt   In Process - Collect 0</v>
          </cell>
          <cell r="O15" t="str">
            <v>P Asiatic ( 14 Inch ) 3     Grass</v>
          </cell>
          <cell r="P15" t="str">
            <v>W Asiatic ( 14 Inch ) 3     Grass</v>
          </cell>
          <cell r="Q15" t="str">
            <v>O Asiatic ( 14 Inch ) 3     Grass</v>
          </cell>
          <cell r="R15" t="str">
            <v>P n Y Spray Daisy ( 14 Inch ) 5     FF Sachet + Grass</v>
          </cell>
          <cell r="S15" t="str">
            <v>P n W Eustoma 3     Grass</v>
          </cell>
          <cell r="T15" t="str">
            <v>W Asiatic ( 14 Inch ) 3     Grass</v>
          </cell>
        </row>
        <row r="16">
          <cell r="A16">
            <v>236</v>
          </cell>
          <cell r="B16" t="str">
            <v>Dr. Arti Gupta 1</v>
          </cell>
          <cell r="C16">
            <v>8860079525</v>
          </cell>
          <cell r="D16" t="str">
            <v>Mayom Hospital, D block south city 1</v>
          </cell>
          <cell r="E16" t="str">
            <v>South City 1</v>
          </cell>
          <cell r="F16" t="str">
            <v>Mondau</v>
          </cell>
          <cell r="G16" t="str">
            <v>9 AM - 12 PM</v>
          </cell>
          <cell r="H16">
            <v>1450</v>
          </cell>
          <cell r="I16">
            <v>362.5</v>
          </cell>
          <cell r="J16" t="str">
            <v>Corporate</v>
          </cell>
          <cell r="K16" t="str">
            <v>Pls send a replacement of Asiatic tomorrow(23/08)NO GERBERA(22/09) Start special Pack(13/04) Send Del on Monday this week(20/03) NEVER BUT DAISIES(29/10) Hold today (22/01) HDTNP (19/02) Sent one xtra del today (29/06) Hold today (09/07)</v>
          </cell>
          <cell r="N16" t="str">
            <v>3  del of this cycle   -  0-cycles pmnt   In Process - Collect 0</v>
          </cell>
          <cell r="O16" t="str">
            <v>B Daisy ( 12 Inch ) 10     Grass</v>
          </cell>
          <cell r="P16" t="str">
            <v>P n W Car ( 14 Inch ) 16     FF Sachet + Grass</v>
          </cell>
          <cell r="Q16" t="str">
            <v>Rajni ( 14 Inch ) 16     Grass</v>
          </cell>
          <cell r="R16" t="str">
            <v>B Daisy 10     Grass</v>
          </cell>
          <cell r="S16" t="str">
            <v>Mix Glad ( 14 Inch ) 16     FF Sachet + Grass</v>
          </cell>
          <cell r="T16" t="str">
            <v>R n W Car ( 14 Inch ) 16     FF Sachet + Grass</v>
          </cell>
        </row>
        <row r="17">
          <cell r="A17">
            <v>366</v>
          </cell>
          <cell r="B17" t="str">
            <v>Dr. Arti Gupta 1</v>
          </cell>
          <cell r="C17">
            <v>8860079525</v>
          </cell>
          <cell r="D17" t="str">
            <v>Mayom Hospital, D block south city 1</v>
          </cell>
          <cell r="E17" t="str">
            <v>South City 1</v>
          </cell>
          <cell r="F17" t="str">
            <v>Monday</v>
          </cell>
          <cell r="G17" t="str">
            <v>9 AM - 12 PM</v>
          </cell>
          <cell r="H17">
            <v>1450</v>
          </cell>
          <cell r="I17">
            <v>362.5</v>
          </cell>
          <cell r="J17" t="str">
            <v>Corporate</v>
          </cell>
          <cell r="K17" t="str">
            <v>NO GERBERA(22/09)Start special Pack(13/04) Extend 1 ddlivery as we are sending 1 Nargis Today(22/12) Send Del on Monday this week(20/03) Send Replacemenmt of Car(20/09/20) NEVER BUT DAISIES(29/10) Spray daisy Next(03/03) Sent Replacement today(01/08) Hold today (22/01) HDTNP (19/02) Sent one extra del today (29/06) Hold today (09/07)</v>
          </cell>
          <cell r="N17" t="str">
            <v>3  del of this cycle   -  0-cycles pmnt   In Process - Collect 0</v>
          </cell>
          <cell r="O17" t="str">
            <v>P Asiatic ( 14 Inch ) 3     Grass</v>
          </cell>
          <cell r="P17" t="str">
            <v>W Asiatic ( 14 Inch ) 3     Grass</v>
          </cell>
          <cell r="Q17" t="str">
            <v>O Asiatic ( 14 Inch ) 3     Grass</v>
          </cell>
          <cell r="R17" t="str">
            <v>Y Asiatic ( 14 inch ) 3     Grass</v>
          </cell>
          <cell r="S17" t="str">
            <v>M n W  Spray Daisy ( 14 Inch ) 5     FF Sachet + Grass</v>
          </cell>
          <cell r="T17" t="str">
            <v>Pur n W Eustoma ( 12 Inch ) 3     FF Sachet + Grass</v>
          </cell>
        </row>
        <row r="18">
          <cell r="A18">
            <v>237</v>
          </cell>
          <cell r="B18" t="str">
            <v>Mayom Hospital</v>
          </cell>
          <cell r="C18">
            <v>8860079525</v>
          </cell>
          <cell r="D18" t="str">
            <v>Mayom Hospital, D block south city 1</v>
          </cell>
          <cell r="E18" t="str">
            <v>South City 1</v>
          </cell>
          <cell r="F18" t="str">
            <v>Sunday</v>
          </cell>
          <cell r="G18" t="str">
            <v>9 AM - 12 PM</v>
          </cell>
          <cell r="H18">
            <v>3000</v>
          </cell>
          <cell r="I18">
            <v>375</v>
          </cell>
          <cell r="J18" t="str">
            <v>Corporate</v>
          </cell>
          <cell r="K18" t="str">
            <v>Sending on 20th instaed of 21st,bcoz of Holi(18/03) Send on Monday this week(20/03)</v>
          </cell>
          <cell r="N18" t="str">
            <v>2  del of this cycle   -  0-cycles pmnt   In Process - Collect 0</v>
          </cell>
          <cell r="O18" t="str">
            <v xml:space="preserve">P n W Glad ( 14 Inch ) 15     </v>
          </cell>
          <cell r="P18" t="str">
            <v>P n W Car ( 14 Inch ) 16     FF Sachet + Grass</v>
          </cell>
          <cell r="Q18" t="str">
            <v>P n W Glad ( 14 Inch ) 16     Grass</v>
          </cell>
          <cell r="R18" t="str">
            <v>P n Y Spray Daisy ( 14 Inch )      FF Sachet + Grass</v>
          </cell>
          <cell r="S18" t="str">
            <v xml:space="preserve">Mix Glad ( 14 Inch ) 16     </v>
          </cell>
          <cell r="T18" t="str">
            <v xml:space="preserve">Mix Alstroemeria ( 12 Inch ) 15     </v>
          </cell>
        </row>
        <row r="19">
          <cell r="A19">
            <v>1098</v>
          </cell>
          <cell r="B19" t="str">
            <v>Rahul Sehgal</v>
          </cell>
          <cell r="C19">
            <v>9810022182</v>
          </cell>
          <cell r="D19" t="str">
            <v>418-A, Hamilton Court</v>
          </cell>
          <cell r="E19" t="str">
            <v>DLF Phase 4</v>
          </cell>
          <cell r="F19" t="str">
            <v>Thursday</v>
          </cell>
          <cell r="G19" t="str">
            <v>4 Pm to 7 PM</v>
          </cell>
          <cell r="H19">
            <v>1950</v>
          </cell>
          <cell r="I19">
            <v>487.5</v>
          </cell>
          <cell r="J19" t="str">
            <v>Joy</v>
          </cell>
          <cell r="K19" t="str">
            <v>P Glad First(02/09/20) Next Oriental and send only Glad/Oriental and asiatic(17/09/20)  Only Oriental and Gladioli(26/10) Now Send-- Glad // BOP + Guldawari // Oriental Lily// Heliconia(19/12) Send Glad tom -- No White(23/12) Send all flowesr now and mixed always but NO RAJNI(19/01) NO WHITE COLOR(04/03) NO BOP(21/03) NO ORCHID(02/04) Shift to Friday now(04/04) Sent 1 Flower Food today(06/06) Send on sat this week only(10/10) Y Chrysanthemum nextr and Lilies after that(23/10) NO HELICONIA(26/10) NO GERBERA(18/02) Skip thsi week(25/02) Day chang eto thursday evening slot(08/03) Do not count last delivery(20/03) Send replacement tomorrow (05/07)</v>
          </cell>
          <cell r="L19" t="str">
            <v>ROSE n RAJNI</v>
          </cell>
          <cell r="N19" t="str">
            <v>4  del of this cycle   -  0-cycles pmnt   Completed - Collect 0</v>
          </cell>
          <cell r="O19" t="str">
            <v>P n W Glad ( 14 Inch ) 22     Grass</v>
          </cell>
          <cell r="P19" t="str">
            <v>Mix Alstroemeria ( 12Inch ) 22     FF Sachet + Grass</v>
          </cell>
          <cell r="Q19" t="str">
            <v>G n W Car ( 14 Inch ) 22     FF Sachet + Grass</v>
          </cell>
          <cell r="R19" t="str">
            <v>P n Y Spray Daisy ( 14 Inch ) 7     FF Sachet + Grass</v>
          </cell>
          <cell r="S19" t="str">
            <v>W Asiatic ( 14 Inch ) 4     Grass</v>
          </cell>
          <cell r="T19" t="str">
            <v>Pur n W Eustoma ( 12 Inch ) 4     FF Sachet + Grass</v>
          </cell>
        </row>
        <row r="20">
          <cell r="A20">
            <v>3363</v>
          </cell>
          <cell r="B20" t="str">
            <v>Shipra Malhotra -- Same Flowers</v>
          </cell>
          <cell r="C20">
            <v>9819952391</v>
          </cell>
          <cell r="D20" t="str">
            <v>F-12, First Floor, Galacy Apartments</v>
          </cell>
          <cell r="E20" t="str">
            <v>DLF Phase 5</v>
          </cell>
          <cell r="F20" t="str">
            <v>Thursday</v>
          </cell>
          <cell r="G20" t="str">
            <v>3:30 PM to 7:30 PM</v>
          </cell>
          <cell r="H20">
            <v>1450</v>
          </cell>
          <cell r="I20">
            <v>362.5</v>
          </cell>
          <cell r="J20" t="str">
            <v>Bliss</v>
          </cell>
          <cell r="K20" t="str">
            <v>Same Flowers in her Both subscription</v>
          </cell>
          <cell r="M20" t="str">
            <v>Same Flowers in Both Pack (13/05)</v>
          </cell>
          <cell r="N20" t="str">
            <v>3  del of this cycle   -  0-cycles pmnt   Completed - Collect 0</v>
          </cell>
          <cell r="O20" t="e">
            <v>#N/A</v>
          </cell>
          <cell r="P20" t="e">
            <v>#N/A</v>
          </cell>
          <cell r="Q20" t="e">
            <v>#N/A</v>
          </cell>
          <cell r="R20" t="str">
            <v>G n W Car ( 14 inch ) 16     FF Sachet + Grass</v>
          </cell>
          <cell r="S20" t="str">
            <v>O Asiatic ( 14 Inch ) 3     Grass</v>
          </cell>
          <cell r="T20" t="str">
            <v>Mix Glad ( 14 Inch ) 16     Grass</v>
          </cell>
        </row>
        <row r="21">
          <cell r="A21">
            <v>3364</v>
          </cell>
          <cell r="B21" t="str">
            <v>Shipra Malhotra -- Same Flowers</v>
          </cell>
          <cell r="C21">
            <v>9819952391</v>
          </cell>
          <cell r="D21" t="str">
            <v>F-12, First Floor, Galacy Apartments</v>
          </cell>
          <cell r="E21" t="str">
            <v>DLF Phase 5</v>
          </cell>
          <cell r="F21" t="str">
            <v>Sunday</v>
          </cell>
          <cell r="G21" t="str">
            <v>3:30 PM to 7:30 PM</v>
          </cell>
          <cell r="H21">
            <v>1450</v>
          </cell>
          <cell r="I21">
            <v>362.5</v>
          </cell>
          <cell r="J21" t="str">
            <v>Bliss</v>
          </cell>
          <cell r="K21" t="str">
            <v>Same Flowers in her Both subscription // Skip 1 week and next week send after 5 PM (17/06)</v>
          </cell>
          <cell r="M21" t="str">
            <v>After 5 PM on 28th (17/06)</v>
          </cell>
          <cell r="N21" t="str">
            <v>3  del of this cycle   -  0-cycles pmnt   Completed - Collect 0</v>
          </cell>
          <cell r="O21" t="e">
            <v>#N/A</v>
          </cell>
          <cell r="P21" t="e">
            <v>#N/A</v>
          </cell>
          <cell r="Q21" t="e">
            <v>#N/A</v>
          </cell>
          <cell r="R21" t="str">
            <v>G n W Car ( 14 inch ) 16     FF Sachet + Grass</v>
          </cell>
          <cell r="S21" t="str">
            <v>O Asiatic ( 14 Inch ) 3     Grass</v>
          </cell>
          <cell r="T21" t="str">
            <v>Mix Glad ( 14 Inch ) 16     Grass</v>
          </cell>
        </row>
        <row r="22">
          <cell r="A22">
            <v>1898</v>
          </cell>
          <cell r="B22" t="str">
            <v>Shipra</v>
          </cell>
          <cell r="C22">
            <v>8447778677</v>
          </cell>
          <cell r="D22" t="str">
            <v xml:space="preserve">C-94 Trinity </v>
          </cell>
          <cell r="E22" t="str">
            <v>DLF Phase 5</v>
          </cell>
          <cell r="F22" t="str">
            <v>Saturday</v>
          </cell>
          <cell r="G22" t="str">
            <v>4 Pm to 7 PM</v>
          </cell>
          <cell r="H22">
            <v>1600</v>
          </cell>
          <cell r="I22">
            <v>200</v>
          </cell>
          <cell r="J22" t="str">
            <v>Bloom</v>
          </cell>
          <cell r="K22"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 HDTNP (12/07) HDTNP (16/07) HDTNP (19/07)</v>
          </cell>
          <cell r="N22" t="str">
            <v>7  del of this cycle   -  0-cycles pmnt   Completed - Collect 0</v>
          </cell>
          <cell r="O22" t="str">
            <v>Rajni ( 14 Inch ) 7     Grass</v>
          </cell>
          <cell r="P22" t="str">
            <v>Sunflower ( 12 Inch ) 2   Collect Payment Collect Payment Grass</v>
          </cell>
          <cell r="Q22" t="e">
            <v>#N/A</v>
          </cell>
          <cell r="R22" t="str">
            <v>Rajni ( 14 Inch ) 7 Check with us before sending Check with us before sending Check with us before sending  Grass</v>
          </cell>
          <cell r="S22" t="str">
            <v>Y Spray Daisy ( 14 Inch ) 2     FF Sachet + Grass</v>
          </cell>
          <cell r="T22" t="str">
            <v>Rajni ( 14 Inch ) 7     Grass</v>
          </cell>
        </row>
        <row r="23">
          <cell r="A23" t="str">
            <v>G-00015</v>
          </cell>
          <cell r="B23" t="str">
            <v>Harsh  - Unikon</v>
          </cell>
          <cell r="C23">
            <v>9015463811</v>
          </cell>
          <cell r="D23" t="str">
            <v>AR-903B, 3rd Floor, Aralias</v>
          </cell>
          <cell r="E23" t="str">
            <v>Golf Course Road</v>
          </cell>
          <cell r="F23" t="str">
            <v>Thursday</v>
          </cell>
          <cell r="G23" t="str">
            <v>4 Pm to 7 PM</v>
          </cell>
          <cell r="H23">
            <v>2750</v>
          </cell>
          <cell r="I23">
            <v>687.5</v>
          </cell>
          <cell r="J23" t="str">
            <v>Elation</v>
          </cell>
          <cell r="K23" t="str">
            <v>From Deep Bajaj // Message = Your boyfriend:p (05/11) Paytm from Simran Dhawan (04/03) Send 1 delivery tomorrow (17/03) Skip 1 week (10/04) Add change request from Jasjit -- 9560611229</v>
          </cell>
          <cell r="M23" t="str">
            <v>One time Single n One Time Mixed</v>
          </cell>
          <cell r="N23" t="str">
            <v>2  del of this cycle   -  0-cycles pmnt   In Process - Collect 0</v>
          </cell>
          <cell r="O23" t="str">
            <v xml:space="preserve">Eustoma 4 Rajni ( 14 Inch ) 16   2 Gypsola + FF Sachet </v>
          </cell>
          <cell r="P23" t="str">
            <v>Sunflower ( 12 Inch ) 4 B Daisy ( 12 Inch ) 16   2 Limonium + FF Sachet</v>
          </cell>
          <cell r="Q23" t="str">
            <v>P n W Spray Daisy ( 14 Inch ) 5 P n W Car ( 14 Inch ) 16   2 Gypsola + FF Sachet</v>
          </cell>
          <cell r="R23" t="str">
            <v>O Asiatic ( 14 Inch ) 3 Rajni 16   2 Limonium</v>
          </cell>
          <cell r="S23" t="str">
            <v>Pur n P Eustoma ( 12 Inch ) 4 Mix Alstroemeria ( 12 Inch ) 16   2 Gypsola + FF Sachet</v>
          </cell>
          <cell r="T23" t="str">
            <v>BOP 3 P n W Car ( 14 Inch ) 16   2 Limonium + FF Sachet</v>
          </cell>
        </row>
        <row r="24">
          <cell r="A24">
            <v>836</v>
          </cell>
          <cell r="B24" t="str">
            <v>Namrata Khandelwal -- After 5 PM</v>
          </cell>
          <cell r="C24">
            <v>9818392977</v>
          </cell>
          <cell r="D24" t="str">
            <v>1119, Magnolia</v>
          </cell>
          <cell r="E24" t="str">
            <v>DLF Phase 5</v>
          </cell>
          <cell r="F24" t="str">
            <v>Thursday</v>
          </cell>
          <cell r="G24" t="str">
            <v>After 5 PM</v>
          </cell>
          <cell r="H24">
            <v>4750</v>
          </cell>
          <cell r="I24">
            <v>1187.5</v>
          </cell>
          <cell r="J24" t="str">
            <v>Enchantment</v>
          </cell>
          <cell r="K24" t="str">
            <v>Sunday n Thursday//Tuesday and Satirday(20/04)Monday and Thursday(22/01)Friday and Sunday Now//Monday and Friday// AVOID CAR(09/05)  NO RAJNI TILL IT HAS FRAGRANCE(03/10)  NO CAR N GLAD(15/12)  Send Gerbera next(02/09/20) Preferred Flowers-- Car + Guldawari + Heliconia(30/11) Send Asiatic Lily and BOP or Anthurium(03/12) Hold n start after 20th Dec(09/12) Skip 1 week(07/05) Hold n send on 23rd n after(10/08) 2 Pack of 2850(01/09) Skip next delivery(09/09) Skip tom Delivery(12/09) Skip coming delivery (06/10) Next Del from tuesday (28/10) Skip tom del (11/11) Skip next del (18/11) No wchange to Weekly Plan (28/11) Hold n start from 4th Feb (04/01) Hold tom (24/02) Skip 1 week (02/03) Skip 2 weeks (25/03) Hold till 19th May (24/04) Skip thursday Del (02/10) Skip tom Del (07/10) Skip tom also (11/10) Skip tom (21/10) NO ROSE (04/01) Skip 1 week (08/01) Start from 1st Feb (24/01) Skip 1 Week (21/02) Skip 1 week (29/02) Skip 1 week (06/03). NO POLLEN FLOWERS EVER (27/04) Skip 1 week (12/05) Skip next Del (15/06) Skip this thursday (28/07) Skip 1 week (14/08) Skip 1 week (20/08) Skip tom (28/08) Skip tom (31/08) Hold today (08/09) No Asiatic/Gerbera and Rose (17/09) No Lily (19/10) Skip 1 week (30/10) Skip 1 week (11/12) Hold today and send tom (10/04) Send this week del on wednesday (21/04) Skip this week (29/05) Send on wednsday this week (02/06) Skip 1 week (03/09) Skip 1  Skip tom (07/01)week (11/09) No Gerbera (28/11) Skip 1 week (11/02) Skip 1 week (18/02) Skip tom (04/03) Skip 2 weeks (24/05) Skip 1 week (27/07)</v>
          </cell>
          <cell r="L24" t="str">
            <v>Pllen Flowers and Gerbera</v>
          </cell>
          <cell r="M24" t="str">
            <v>No Polen Flowers (20/08)</v>
          </cell>
          <cell r="N24" t="str">
            <v>4  del of this cycle   -  0-cycles pmnt   Completed - Collect 0</v>
          </cell>
          <cell r="O24" t="e">
            <v>#N/A</v>
          </cell>
          <cell r="P24" t="e">
            <v>#N/A</v>
          </cell>
          <cell r="Q24" t="str">
            <v>P n Y Spray Daisy ( 14 Inch ) 10 G n W Car ( 14 Inch ) 30   3 Areca Palm + 3 Gypsola</v>
          </cell>
          <cell r="R24" t="str">
            <v>Pur n P Eustoma ( 12 Inch ) 6 Mix Glad ( 14 Inch ) 30   3 Areca Palm + 3 3 Limonium</v>
          </cell>
          <cell r="S24" t="e">
            <v>#N/A</v>
          </cell>
          <cell r="T24" t="str">
            <v>BOP 5 P n W Car ( 14 Inch ) 30   3 Areca palm + 3 Gypsola</v>
          </cell>
        </row>
        <row r="25">
          <cell r="A25">
            <v>888</v>
          </cell>
          <cell r="B25" t="str">
            <v>Ankita Mehta</v>
          </cell>
          <cell r="C25">
            <v>9868169896</v>
          </cell>
          <cell r="D25" t="str">
            <v>1B-71, Wellington Estate</v>
          </cell>
          <cell r="E25" t="str">
            <v>DLF Phase 5</v>
          </cell>
          <cell r="F25" t="str">
            <v>Thursday</v>
          </cell>
          <cell r="G25" t="str">
            <v>9 AM - 12 PM</v>
          </cell>
          <cell r="H25">
            <v>1450</v>
          </cell>
          <cell r="I25">
            <v>362.5</v>
          </cell>
          <cell r="J25" t="str">
            <v>Bliss</v>
          </cell>
          <cell r="K25" t="str">
            <v>Mix of Asiatic n Car(29/07) Send tom instead of Thursday(12/08) GLAD n ORCHID THIS CYCLE(28/08) ONLY LILY n CAR TILL SHE REVOKES n skip this week (04/09) Rajni n Rose Next(28/11) Lilies and Rose in this cycle(11/12)) Mixed Flowers only(30/08) Want Car// Orchid// Lily//Spray Daisy//Glad(19/09)  Flowers only from Car// Orchid// Lily//Spray Daisy//Glad(11/10) This cycle--Glad//BOP//Orchid//Lily(15/10) This cycle-- Glad//BOP//Orchid// Lily(14/11) This cycle-- Rose/Asiatic/BOP/G;ad/Guldawari and Orchid (25/09) No Upgrade-send lilies (19/10) Send nily next and always once in a cycle (15/12) NO SPRAY DAISY n GULDAWARI and sned Asiatic once in 1 cycle (19/01) Skip 1 week (24/01) Skip 1 week (06/03) Skip 1 week (05/ Skip 1 week 916/04)03) Skip 1 week (04/03) Skip 2 week (18/05) Send reaplacement tom (04/07) Sent replacememt todau (26/10) Skip 1 week (13/11) Skip 1 week (24/03) Skip 1 week (16/04) Return today (05/06) Skip 1 week (17/06) Skip 1 week (02/07) Skip 1 week (08/07) Send tom instaed of thursday this week (14/10) Send 1 del of ankita mehra today (21/10) Hold till 14th Jan (18/12) Change to Delight (30/01) Hold today (16/04) Send Replacement Tom (19/06) Skip 1 week (03/07)</v>
          </cell>
          <cell r="L25" t="str">
            <v xml:space="preserve">SPRAY DAISY n GULDAWARI </v>
          </cell>
          <cell r="M25" t="str">
            <v>Change to Deligh next (30/01)</v>
          </cell>
          <cell r="N25" t="str">
            <v>3  del of this cycle   -  0-cycles pmnt   Completed - Collect 0</v>
          </cell>
          <cell r="O25" t="str">
            <v>P Asiatic ( 14 Inch ) 3     Grass</v>
          </cell>
          <cell r="P25" t="e">
            <v>#N/A</v>
          </cell>
          <cell r="Q25" t="str">
            <v>G n W Car ( 14 Inch ) 16     FF Sachet + Grass</v>
          </cell>
          <cell r="R25" t="str">
            <v>Pur Eustoma ( 12 Inch ) 3     FF Sachet + Grass</v>
          </cell>
          <cell r="S25" t="str">
            <v>Mix Alstroemeria ( 12 Inch ) 16     FF Sachet + Grass</v>
          </cell>
          <cell r="T25" t="str">
            <v>Mix Glad ( 14 Inch ) 16     Grass</v>
          </cell>
        </row>
        <row r="26">
          <cell r="A26" t="str">
            <v>G-00028</v>
          </cell>
          <cell r="B26" t="str">
            <v>Niharika Mohanty</v>
          </cell>
          <cell r="C26">
            <v>9711098608</v>
          </cell>
          <cell r="D26" t="str">
            <v>W2A-151, Wellington Estate</v>
          </cell>
          <cell r="E26" t="str">
            <v>DLF Phase 5</v>
          </cell>
          <cell r="F26" t="str">
            <v>Thursday</v>
          </cell>
          <cell r="G26" t="str">
            <v>10 AM to 2:30 PM</v>
          </cell>
          <cell r="H26">
            <v>1950</v>
          </cell>
          <cell r="I26">
            <v>487.5</v>
          </cell>
          <cell r="J26" t="str">
            <v>Joy</v>
          </cell>
          <cell r="K26" t="str">
            <v>From Akriti Chopra // Mixed Flowers // Skip this week (11/03) Skip 1 week (11/03)  Skip 2 week (18/06) Skip 1 week (13/08) Skip 1 week (14/10) Skip 2 weeks (12/11) Skip 1 week (03/12) Skip 1 week (03/01) Hold today (21/05) Skip tom (03/06) Skip today and next week (18/06(</v>
          </cell>
          <cell r="M26" t="str">
            <v>Mixed Flowers</v>
          </cell>
          <cell r="N26" t="str">
            <v>2  del of this cycle   -  1-cycles pmnt   Pending - Collect 1950</v>
          </cell>
          <cell r="O26" t="str">
            <v>P Eustoma ( 12 Inch ) 2 Pur n W Car ( 14 Inch ) 11   FF Sachet + Grass</v>
          </cell>
          <cell r="P26" t="str">
            <v>P Asiatic ( 14 Inch ) 2 Rajni ( 14 Inch ) 11 Collect Payment Collect Payment Grass</v>
          </cell>
          <cell r="Q26" t="str">
            <v>P n W Spray Daisy ( 14 Inch ) 4 P n W Glad ( 14 Inch ) 11   FF Sachet + Grass</v>
          </cell>
          <cell r="R26" t="str">
            <v>Sunflower ( 12 Inch ) 3 Mix Alstroemeria ( 12 Inch ) 11 Ensure Collection Ensure Collection FF Sachet + Grass</v>
          </cell>
          <cell r="S26" t="str">
            <v>W Eustoma ( 12 Inch ) 2 R n W Car ( 14 Inch )  11   FF Sachet + Grass</v>
          </cell>
          <cell r="T26" t="str">
            <v>O Asiatic ( 14 Inch ) 2 Mix Glad ( 14 Inch ) 11   Grass</v>
          </cell>
        </row>
        <row r="27">
          <cell r="A27">
            <v>3235</v>
          </cell>
          <cell r="B27" t="str">
            <v>Nishant -- Wellington</v>
          </cell>
          <cell r="C27">
            <v>9833057481</v>
          </cell>
          <cell r="D27" t="str">
            <v>Flat-1B/101, Wellington Estate</v>
          </cell>
          <cell r="E27" t="str">
            <v>DLF Phase 5</v>
          </cell>
          <cell r="F27" t="str">
            <v>Thursday</v>
          </cell>
          <cell r="G27" t="str">
            <v>9 AM - 12 PM</v>
          </cell>
          <cell r="H27">
            <v>1450</v>
          </cell>
          <cell r="I27">
            <v>362.5</v>
          </cell>
          <cell r="J27" t="str">
            <v>Bliss</v>
          </cell>
          <cell r="K27" t="str">
            <v>Paytm From Nishant Pandita // HDTNP (05/03) No Glad or Rajni (06/06) HDTNP (23/07) HDTNP (30/07)</v>
          </cell>
          <cell r="L27" t="str">
            <v>Glad n Rajni</v>
          </cell>
          <cell r="N27" t="str">
            <v>3  del of this cycle   -  0-cycles pmnt   Completed - Collect 0</v>
          </cell>
          <cell r="O27" t="str">
            <v>P n Y Spray Daisy ( 14 Inch ) 5     FF Sachet + Grass</v>
          </cell>
          <cell r="P27" t="str">
            <v>Mix Alstroemeria ( 12Inch ) 16     FF Sachet + Grass</v>
          </cell>
          <cell r="Q27" t="str">
            <v>G n W Car ( 14 Inch ) 16     FF Sachet + Grass</v>
          </cell>
          <cell r="R27" t="e">
            <v>#N/A</v>
          </cell>
          <cell r="S27" t="e">
            <v>#N/A</v>
          </cell>
          <cell r="T27" t="str">
            <v>O Asiatic ( 14 Inch ) 3     Grass</v>
          </cell>
        </row>
        <row r="28">
          <cell r="A28">
            <v>2204</v>
          </cell>
          <cell r="B28" t="str">
            <v>Bidisha Dey</v>
          </cell>
          <cell r="C28">
            <v>9811969982</v>
          </cell>
          <cell r="D28" t="str">
            <v>C-24, Carlton Estate-1, Club Drive</v>
          </cell>
          <cell r="E28" t="str">
            <v>DLF Phase 5</v>
          </cell>
          <cell r="F28" t="str">
            <v>Thursday</v>
          </cell>
          <cell r="G28" t="str">
            <v>9:30 Am to 2 PM</v>
          </cell>
          <cell r="H28">
            <v>1450</v>
          </cell>
          <cell r="I28">
            <v>362.5</v>
          </cell>
          <cell r="J28" t="str">
            <v>Bliss</v>
          </cell>
          <cell r="K28" t="str">
            <v>Skip 1 week (03/06) Returned send next week (11/07) Skip 1 week (08/01) Skip 1 week (26/03) Skip tom (02/07) Today Returned (20/11) HDTNP (25/06)</v>
          </cell>
          <cell r="N28" t="str">
            <v>1  del of this cycle   -  0-cycles pmnt   Completed - Collect 0</v>
          </cell>
          <cell r="O28" t="str">
            <v>P Asiatic ( 14 Inch ) 3    Collect payment Grass</v>
          </cell>
          <cell r="P28" t="str">
            <v>Rajni ( 14 Inch ) 16     Grass</v>
          </cell>
          <cell r="Q28" t="str">
            <v>G n W Car ( 14 Inch ) 16     FF Sachet + Grass</v>
          </cell>
          <cell r="R28" t="str">
            <v>P n Y Spray Daisy ( 14 Inch ) 5     FF Sachet + Grass</v>
          </cell>
          <cell r="S28" t="str">
            <v>Mix Glad ( 14 Inch ) 16     FF Sachet + Grass</v>
          </cell>
          <cell r="T28" t="str">
            <v>Pur n W Eustoma ( 12 Inch ) 3     FF Sachet + Grass</v>
          </cell>
        </row>
        <row r="29">
          <cell r="A29">
            <v>3422</v>
          </cell>
          <cell r="B29" t="str">
            <v>Parul Dutt</v>
          </cell>
          <cell r="C29">
            <v>8447443866</v>
          </cell>
          <cell r="D29" t="str">
            <v>B-43, Carlton Estate 1</v>
          </cell>
          <cell r="E29" t="str">
            <v>DLF Phase 1</v>
          </cell>
          <cell r="F29" t="str">
            <v>Thursday</v>
          </cell>
          <cell r="G29" t="str">
            <v>9 AM - 12 PM</v>
          </cell>
          <cell r="H29">
            <v>1450</v>
          </cell>
          <cell r="I29">
            <v>362.5</v>
          </cell>
          <cell r="J29" t="str">
            <v>Bliss</v>
          </cell>
          <cell r="N29" t="str">
            <v>1  del of this cycle   -  0-cycles pmnt   Completed - Collect 0</v>
          </cell>
          <cell r="O29" t="e">
            <v>#N/A</v>
          </cell>
          <cell r="P29" t="e">
            <v>#N/A</v>
          </cell>
          <cell r="Q29" t="e">
            <v>#N/A</v>
          </cell>
          <cell r="R29" t="e">
            <v>#N/A</v>
          </cell>
          <cell r="S29" t="e">
            <v>#N/A</v>
          </cell>
          <cell r="T29" t="str">
            <v>P n W car ( 14 Inch ) 16     FF Sachet + Grass</v>
          </cell>
        </row>
        <row r="30">
          <cell r="A30">
            <v>3071</v>
          </cell>
          <cell r="B30" t="str">
            <v>Divya Rawat</v>
          </cell>
          <cell r="C30">
            <v>8390310325</v>
          </cell>
          <cell r="D30" t="str">
            <v>D-13/14, 1st Floor, DLF Exclusive Floor</v>
          </cell>
          <cell r="E30" t="str">
            <v>DLF Phase 5</v>
          </cell>
          <cell r="F30" t="str">
            <v>Thursday</v>
          </cell>
          <cell r="G30" t="str">
            <v>9 AM - 12 PM</v>
          </cell>
          <cell r="H30">
            <v>1450</v>
          </cell>
          <cell r="I30">
            <v>362.5</v>
          </cell>
          <cell r="J30" t="str">
            <v>Bliss</v>
          </cell>
          <cell r="K30" t="str">
            <v>Return today (04/12) Hold today (05/03) Returned today (28/05) HDTNP (25/06)</v>
          </cell>
          <cell r="N30" t="str">
            <v>4  del of this cycle   -  0-cycles pmnt   Completed - Collect 0</v>
          </cell>
          <cell r="O30" t="str">
            <v>P Asiatic ( 14 Inch ) 2 Rajni ( 14 Inch ) 7  Collect Payment Grass</v>
          </cell>
          <cell r="P30" t="str">
            <v>P Spray Daisy ( 14 Inch ) 3 P n W Car ( 14 Inch ) 7   FF Sachet + Grass</v>
          </cell>
          <cell r="Q30" t="str">
            <v>Sunflower ( 12 Inch ) 2 Mix Alstroemeria ( 12 Inch ) 7   FF Sachet + Grass</v>
          </cell>
          <cell r="R30" t="str">
            <v>Pur Eustoma ( 12 Inch ) 2 Mix Glad ( 14 Inch ) 7   FF Sachet + Grass</v>
          </cell>
          <cell r="S30" t="str">
            <v>W Asiatic ( 14 Inch ) 2 R n W Car ( 14 Inch )  7   Grass</v>
          </cell>
          <cell r="T30" t="str">
            <v>Y Spray Daisy ( 14 Inch ) 3 Mix Alstroemeria ( 12 Inch ) 7   FF Sachet + Grass</v>
          </cell>
        </row>
        <row r="31">
          <cell r="A31">
            <v>1140</v>
          </cell>
          <cell r="B31" t="str">
            <v>Nidhi Singh</v>
          </cell>
          <cell r="C31" t="str">
            <v>8383036664//9899389873</v>
          </cell>
          <cell r="D31" t="str">
            <v>D-8/3, Ground Floor DLF Exclusive Floors</v>
          </cell>
          <cell r="E31" t="str">
            <v>DLF Phase 5</v>
          </cell>
          <cell r="F31" t="str">
            <v>Thursday</v>
          </cell>
          <cell r="G31" t="str">
            <v>9 AM - 12 PM</v>
          </cell>
          <cell r="H31">
            <v>2300</v>
          </cell>
          <cell r="I31">
            <v>287.5</v>
          </cell>
          <cell r="J31" t="str">
            <v>Felicity</v>
          </cell>
          <cell r="K31"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31" t="str">
            <v>ROSE</v>
          </cell>
          <cell r="N31" t="str">
            <v>3  del of this cycle   -  0-cycles pmnt   Completed - Collect 0</v>
          </cell>
          <cell r="O31" t="str">
            <v>Pur n P Car ( 14 Inch ) 11     FF Sachet + Grass</v>
          </cell>
          <cell r="P31" t="str">
            <v>Rajni ( 14 Inch ) 11     Grass</v>
          </cell>
          <cell r="Q31" t="str">
            <v>P n W Glad ( 14 Inch ) 11     Grass</v>
          </cell>
          <cell r="R31" t="str">
            <v>Y Asiatic ( 14 inch ) 2     Grass</v>
          </cell>
          <cell r="S31" t="str">
            <v>Mix Alstroemeria ( 12 Inch ) 11     FF Sachet + Grass</v>
          </cell>
          <cell r="T31" t="str">
            <v>Rajni ( 14 Inch ) 11     Grass</v>
          </cell>
        </row>
        <row r="32">
          <cell r="A32">
            <v>179</v>
          </cell>
          <cell r="B32" t="str">
            <v>Sarita Dosaj</v>
          </cell>
          <cell r="C32">
            <v>9810077026</v>
          </cell>
          <cell r="D32" t="str">
            <v>B-24, Trinity Towers</v>
          </cell>
          <cell r="E32" t="str">
            <v>DLF Phase 5</v>
          </cell>
          <cell r="F32" t="str">
            <v>Thursday</v>
          </cell>
          <cell r="G32" t="str">
            <v>9 AM - 12 PM</v>
          </cell>
          <cell r="H32">
            <v>1450</v>
          </cell>
          <cell r="I32">
            <v>362.5</v>
          </cell>
          <cell r="J32" t="str">
            <v>Bliss</v>
          </cell>
          <cell r="K32" t="str">
            <v>One Color Flower ( 06/06) HDTNP (25/06)</v>
          </cell>
          <cell r="M32" t="str">
            <v>One Color Flower ( 06/06)</v>
          </cell>
          <cell r="N32" t="str">
            <v>4  del of this cycle   -  0-cycles pmnt   Completed - Collect 0</v>
          </cell>
          <cell r="O32" t="str">
            <v>Sunflower ( 12 Inch ) 4    Collect payment FF Sachet + Grass</v>
          </cell>
          <cell r="P32" t="str">
            <v>P n W Car ( 14 Inch ) 16     FF Sachet + Grass</v>
          </cell>
          <cell r="Q32" t="str">
            <v>P n W Spray Daisy ( 14 Inch ) 5     FF Sachet + Grass</v>
          </cell>
          <cell r="R32" t="str">
            <v>P Glad ( 14 Inch ) 16 Ensure Collection Ensure Collection Ensure Collection  Grass</v>
          </cell>
          <cell r="S32" t="str">
            <v>W Asiatic ( 14 Inch ) 3     Grass</v>
          </cell>
          <cell r="T32" t="str">
            <v>Mix Alstroemeria ( 12 Inch ) 16     FF Sachet + Grass</v>
          </cell>
        </row>
        <row r="33">
          <cell r="A33">
            <v>2307</v>
          </cell>
          <cell r="B33" t="str">
            <v>Alpna Jain</v>
          </cell>
          <cell r="C33">
            <v>9599336609</v>
          </cell>
          <cell r="D33" t="str">
            <v>C-64, The Icon</v>
          </cell>
          <cell r="E33" t="str">
            <v>DLF Phase 5</v>
          </cell>
          <cell r="F33" t="str">
            <v>Thursday</v>
          </cell>
          <cell r="G33" t="str">
            <v>10 AM to 2:30 PM</v>
          </cell>
          <cell r="H33">
            <v>3000</v>
          </cell>
          <cell r="I33">
            <v>375</v>
          </cell>
          <cell r="J33" t="str">
            <v>Charm</v>
          </cell>
          <cell r="K33" t="str">
            <v>Thursday n Sunday // Hold today (08/02) Keep flowers outside of Door (17/05)</v>
          </cell>
          <cell r="M33" t="str">
            <v>Keep flowers outside of door always</v>
          </cell>
          <cell r="N33" t="str">
            <v>6  del of this cycle   -  0-cycles pmnt   Completed - Collect 0</v>
          </cell>
          <cell r="O33" t="str">
            <v>B Daisy ( 12 Inch ) 15    Collect Payment Grass</v>
          </cell>
          <cell r="P33" t="str">
            <v>Sunflower ( 12 Inch ) 3 Keep Flowers at Door -- Don’t call or Ring the bell    FF Sachet + Grass</v>
          </cell>
          <cell r="Q33" t="str">
            <v>P n Y Spray Daisy ( 14 Inch ) 4 Pls Keep at door -- Don’t Call 0r Ring Bell    FF Sachet + Grass</v>
          </cell>
          <cell r="R33" t="str">
            <v>O Asiatic ( 14 Inch ) 2   Ensure Collection Ensure Collection Grass</v>
          </cell>
          <cell r="S33" t="str">
            <v>Mix Glad ( 14 Inch ) 15 Keep at door nad Don’t call or ring Bell    FF Sachet + Grass</v>
          </cell>
          <cell r="T33" t="str">
            <v>W Eustoma ( 12 Inch ) 3 Pls Keep at door-- do not call 0r ring the bell    FF Sachet + Grass</v>
          </cell>
        </row>
        <row r="34">
          <cell r="A34">
            <v>3241</v>
          </cell>
          <cell r="B34" t="str">
            <v>Sunanda</v>
          </cell>
          <cell r="C34">
            <v>8800994226</v>
          </cell>
          <cell r="D34" t="str">
            <v>C-084, The Icon</v>
          </cell>
          <cell r="E34" t="str">
            <v>DLF Phase 5</v>
          </cell>
          <cell r="F34" t="str">
            <v>Thursday</v>
          </cell>
          <cell r="G34" t="str">
            <v>9 AM - 12 PM</v>
          </cell>
          <cell r="H34">
            <v>1450</v>
          </cell>
          <cell r="I34">
            <v>362.5</v>
          </cell>
          <cell r="J34" t="str">
            <v>Bliss</v>
          </cell>
          <cell r="K34" t="str">
            <v>One Kind // Skip 1 week (13/01) HDTNP (26/02) HDTNP (04/03) HDTNP (12/03)</v>
          </cell>
          <cell r="M34" t="str">
            <v>One Kind</v>
          </cell>
          <cell r="N34" t="str">
            <v>3  del of this cycle   -  0-cycles pmnt   Completed - Collect 0</v>
          </cell>
          <cell r="O34" t="str">
            <v>Sunflower ( 12 Inch ) 4    Collect Payment FF Sachet + Grass</v>
          </cell>
          <cell r="P34" t="str">
            <v>Rajni ( 14 Inch ) 16     Grass</v>
          </cell>
          <cell r="Q34" t="str">
            <v>P n Y Spray Daisy ( 14 Inch ) 5     FF Sachet + Grass</v>
          </cell>
          <cell r="R34" t="str">
            <v>Mix Glad ( 14 Inch ) 16     Grass</v>
          </cell>
          <cell r="S34" t="str">
            <v>R n W Car ( 14 Inch ) 16     FF Sachet + Grass</v>
          </cell>
          <cell r="T34" t="str">
            <v>O Asiatic ( 14 Inch ) 3     Grass</v>
          </cell>
        </row>
        <row r="35">
          <cell r="A35">
            <v>3107</v>
          </cell>
          <cell r="B35" t="str">
            <v>Richa -- Icon</v>
          </cell>
          <cell r="C35">
            <v>9811394916</v>
          </cell>
          <cell r="D35" t="str">
            <v>B-173, the Icon</v>
          </cell>
          <cell r="E35" t="str">
            <v>DLF Phase 5</v>
          </cell>
          <cell r="F35" t="str">
            <v>Thursday</v>
          </cell>
          <cell r="G35" t="str">
            <v>10 AM to 2:30 PM</v>
          </cell>
          <cell r="H35">
            <v>1450</v>
          </cell>
          <cell r="I35">
            <v>362.5</v>
          </cell>
          <cell r="J35" t="str">
            <v>Bliss</v>
          </cell>
          <cell r="K35" t="str">
            <v>Paytm From Ankit Gupta (01/11) Skip 08th and 15th Jan (16/12) Hold till 16th Jan (19/12) Skip 1 week (12/02) Skip 1 week (11/03) Skip 1 week (01/04) Hold n strat from 02nd July (28/05)</v>
          </cell>
          <cell r="N35" t="str">
            <v>2  del of this cycle   -  0-cycles pmnt   Completed - Collect 0</v>
          </cell>
          <cell r="O35" t="str">
            <v>Pur n P Car ( 14 Inch ) 16     FF Sachet + Grass</v>
          </cell>
          <cell r="P35" t="str">
            <v>P Asiatic ( 14 Inch ) 3     Grass</v>
          </cell>
          <cell r="Q35" t="str">
            <v>P n W Glad ( 14 Inch ) 16     Grass</v>
          </cell>
          <cell r="R35" t="str">
            <v>P n Y Spray Daisy ( 14 Inch ) 5     FF Sachet + Grass</v>
          </cell>
          <cell r="S35" t="str">
            <v>Mix Alstroemeria ( 12 Inch ) 16     FF Sachet + Grass</v>
          </cell>
          <cell r="T35" t="str">
            <v>Pur n W Eustoma ( 12 Inch ) 3     FF Sachet + Grass</v>
          </cell>
        </row>
        <row r="36">
          <cell r="A36">
            <v>3144</v>
          </cell>
          <cell r="B36" t="str">
            <v>Samar Singh</v>
          </cell>
          <cell r="C36">
            <v>9582363043</v>
          </cell>
          <cell r="D36" t="str">
            <v>C-13, DLF Icon</v>
          </cell>
          <cell r="E36" t="str">
            <v>DLF Phase 5</v>
          </cell>
          <cell r="F36" t="str">
            <v>Thursday</v>
          </cell>
          <cell r="G36" t="str">
            <v>9 AM to 2 PM</v>
          </cell>
          <cell r="H36">
            <v>1450</v>
          </cell>
          <cell r="I36">
            <v>362.5</v>
          </cell>
          <cell r="J36" t="str">
            <v>Bliss</v>
          </cell>
          <cell r="K36" t="str">
            <v>Mixed Flowers // Day Changed to Sunday (20/12) Day Changed to Thursday (10/01) Skip 2 week (11/02) Send one Del tom (07/07) Today hold n send on Sunday (23/07)</v>
          </cell>
          <cell r="N36" t="str">
            <v>2  del of this cycle   -  0-cycles pmnt   Completed - Collect 0</v>
          </cell>
          <cell r="O36" t="str">
            <v>Pur Eustoma ( 12 Inch ) 2 Rajni ( 14 Inch ) 7   FF Sachet + Grass</v>
          </cell>
          <cell r="P36" t="e">
            <v>#N/A</v>
          </cell>
          <cell r="Q36" t="str">
            <v>P Spray Daisy ( 14 Inch ) 3 Carnation 7   FF Sachet + Grass</v>
          </cell>
          <cell r="R36" t="str">
            <v>O Asiatic ( 14 Inch ) 2 Mix Glad ( 14 Inch ) 7   Grass</v>
          </cell>
          <cell r="S36" t="str">
            <v>Sunflower ( 12 Inch ) 2 Mix Alstroemeria ( 12 Inch ) 7   FF Sachet + Grass</v>
          </cell>
          <cell r="T36" t="str">
            <v>Pur n W Eustoma ( 12 Inch ) 2 P n W Car ( 14 Inch ) 7   FF Sachet + Grass</v>
          </cell>
        </row>
        <row r="37">
          <cell r="A37">
            <v>2779</v>
          </cell>
          <cell r="B37" t="str">
            <v>Riddhi Desai</v>
          </cell>
          <cell r="C37">
            <v>8130497969</v>
          </cell>
          <cell r="D37" t="str">
            <v>D-71, The Icon</v>
          </cell>
          <cell r="E37" t="str">
            <v>Golf Course Road</v>
          </cell>
          <cell r="F37" t="str">
            <v>Sunday</v>
          </cell>
          <cell r="G37" t="str">
            <v>9 AM to 2 PM</v>
          </cell>
          <cell r="H37">
            <v>1600</v>
          </cell>
          <cell r="I37">
            <v>200</v>
          </cell>
          <cell r="J37" t="str">
            <v>Bloom</v>
          </cell>
          <cell r="K37" t="str">
            <v>Send this week on Saturday (14/08) Skip 1 week (21/12) Hold till 2nd June (20/05)</v>
          </cell>
          <cell r="N37" t="str">
            <v>8  del of this cycle   -  0-cycles pmnt   Completed - Collect 0</v>
          </cell>
          <cell r="O37" t="str">
            <v>Pur n P Car ( 14 Inch ) 7     FF Sachet + Grass</v>
          </cell>
          <cell r="P37" t="str">
            <v>P Spray Daisy ( 14 Inch ) 2     FF Sachet + Grass</v>
          </cell>
          <cell r="Q37" t="str">
            <v>P n W Glad ( 14 Inch ) 7     Grass</v>
          </cell>
          <cell r="R37" t="str">
            <v>Rajni ( 14 Inch ) 7     Grass</v>
          </cell>
          <cell r="S37" t="str">
            <v>Mix Alstroemeria ( 12 Inch ) 7     FF Sachet + Grass</v>
          </cell>
          <cell r="T37" t="str">
            <v>Mix Glad ( 14 Inch ) 7     Grass</v>
          </cell>
        </row>
        <row r="38">
          <cell r="A38">
            <v>1656</v>
          </cell>
          <cell r="B38" t="str">
            <v>Eva-Pinnacle</v>
          </cell>
          <cell r="C38">
            <v>9560609907</v>
          </cell>
          <cell r="D38" t="str">
            <v>C-93, The Pinnacle</v>
          </cell>
          <cell r="E38" t="str">
            <v>DLF Phase 5</v>
          </cell>
          <cell r="F38" t="str">
            <v>Thursday</v>
          </cell>
          <cell r="G38" t="str">
            <v>9:30 Am to 2 PM</v>
          </cell>
          <cell r="H38">
            <v>1450</v>
          </cell>
          <cell r="I38">
            <v>362.5</v>
          </cell>
          <cell r="J38" t="str">
            <v>Bliss</v>
          </cell>
          <cell r="K38" t="str">
            <v>Paytm From Arvind Pachhapur(24/02) 750 pack-- Car//Guldawari//Rajni//Orchid//Asiatic(23/03) Hold today and send next6 week(14/04) Hold n start from 19th June(16/06) Skip 1 week (05/01) Received one more payment today (26/01) Payment was in process (20/03) Skip 1 week (28/06) Skip 1 week (29/06) Skip 3 week (21/05)</v>
          </cell>
          <cell r="N38" t="str">
            <v>1  del of this cycle   -  1-cycles pmnt   Pending - Collect 1450</v>
          </cell>
          <cell r="O38" t="str">
            <v>O Asiatic ( 14 Inch ) 2     Grass</v>
          </cell>
          <cell r="P38" t="e">
            <v>#N/A</v>
          </cell>
          <cell r="Q38" t="str">
            <v>O Asiatic ( 14 Inch ) 3     Grass</v>
          </cell>
          <cell r="R38" t="str">
            <v>Mix Glad ( 14 Inch ) 16     Grass</v>
          </cell>
          <cell r="S38" t="str">
            <v>P n Y Spray Daisy ( 14 Inch ) 5     FF Sachet + Grass</v>
          </cell>
          <cell r="T38" t="str">
            <v>R n W Car ( 14 Inch ) 16     FF Sachet + Grass</v>
          </cell>
        </row>
        <row r="39">
          <cell r="A39">
            <v>870</v>
          </cell>
          <cell r="B39" t="str">
            <v>Himabindu Kanchan</v>
          </cell>
          <cell r="C39">
            <v>9892501292</v>
          </cell>
          <cell r="D39" t="str">
            <v xml:space="preserve">D -13, Pinnacle Dlf Phase - 5 </v>
          </cell>
          <cell r="E39" t="str">
            <v>DLF Phase 5</v>
          </cell>
          <cell r="F39" t="str">
            <v>Thursday</v>
          </cell>
          <cell r="G39" t="str">
            <v>9 AM - 12 PM</v>
          </cell>
          <cell r="H39">
            <v>1600</v>
          </cell>
          <cell r="I39">
            <v>200</v>
          </cell>
          <cell r="J39" t="str">
            <v>Bloom</v>
          </cell>
          <cell r="K39"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39" t="str">
            <v>6  del of this cycle   -  0-cycles pmnt   Completed - Collect 0</v>
          </cell>
          <cell r="O39" t="str">
            <v>P n W Car ( 14 Inch ) 7     FF Sachet + Grass</v>
          </cell>
          <cell r="P39" t="str">
            <v>Y Spray Daisy ( 14 Inch ) 2     FF Sachet + Grass</v>
          </cell>
          <cell r="Q39" t="str">
            <v>Sunflower ( 12 Inch ) 2     FF Sachet + Grass</v>
          </cell>
          <cell r="R39" t="str">
            <v>G n W Car ( 14 inch ) 7   Ensure Collection Ensure Collection FF Sachet + Grass</v>
          </cell>
          <cell r="S39" t="str">
            <v>P Spray Daisy ( 14 Inch ) 2     FF Sachet + Grass</v>
          </cell>
          <cell r="T39" t="str">
            <v>Rajni ( 14 Inch ) 7     Grass</v>
          </cell>
        </row>
        <row r="40">
          <cell r="A40">
            <v>1438</v>
          </cell>
          <cell r="B40" t="str">
            <v>Aishwarya G Aiyar</v>
          </cell>
          <cell r="C40">
            <v>9884857311</v>
          </cell>
          <cell r="D40" t="str">
            <v>A-173, The Pinnacle</v>
          </cell>
          <cell r="E40" t="str">
            <v>DLF Phase 5</v>
          </cell>
          <cell r="F40" t="str">
            <v>Thursday</v>
          </cell>
          <cell r="G40" t="str">
            <v>9 AM - 12 PM</v>
          </cell>
          <cell r="H40">
            <v>1600</v>
          </cell>
          <cell r="I40">
            <v>200</v>
          </cell>
          <cell r="J40" t="str">
            <v>Bloom</v>
          </cell>
          <cell r="K40"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40" t="str">
            <v>3  del of this cycle   -  1-cycles pmnt   Pending - Collect 1600</v>
          </cell>
          <cell r="O40" t="str">
            <v>P n W Glad ( 14 Inch ) 7     Grass</v>
          </cell>
          <cell r="P40" t="str">
            <v>Rajni ( 14 Inch ) 7   Collect Payment Collect Payment Grass</v>
          </cell>
          <cell r="Q40" t="str">
            <v>Y Spray Daisy ( 14 Inch ) 2     FF Sachet + Grass</v>
          </cell>
          <cell r="R40" t="str">
            <v>Y Spray Daisy ( 14 Inch ) 2     FF Sachet + Grass</v>
          </cell>
          <cell r="S40" t="str">
            <v>Rajni ( 14 Inch ) 7     Grass</v>
          </cell>
          <cell r="T40" t="str">
            <v>Sunflower ( 12 Inch ) 2   Ensure Collection Ensure Collection FF Sachet + Grass</v>
          </cell>
        </row>
        <row r="41">
          <cell r="A41">
            <v>571</v>
          </cell>
          <cell r="B41" t="str">
            <v>Mrs. Singh</v>
          </cell>
          <cell r="C41">
            <v>9873099320</v>
          </cell>
          <cell r="D41" t="str">
            <v>D 42, pinnacle, Dlf ph 5, Golf course road</v>
          </cell>
          <cell r="E41" t="str">
            <v>DLF Phase 5</v>
          </cell>
          <cell r="F41" t="str">
            <v>Thursday</v>
          </cell>
          <cell r="G41" t="str">
            <v>9 AM - 12 PM</v>
          </cell>
          <cell r="H41">
            <v>1600</v>
          </cell>
          <cell r="I41">
            <v>200</v>
          </cell>
          <cell r="J41" t="str">
            <v>Bloom</v>
          </cell>
          <cell r="K41"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 Today Returned (19/07) Hold till 31st July (22/07) One Del tom (30/07)</v>
          </cell>
          <cell r="N41" t="str">
            <v>5  del of this cycle   -  0-cycles pmnt   Completed - Collect 0</v>
          </cell>
          <cell r="O41" t="str">
            <v>P n W Car ( 14 Inch ) 7     FF Sachet + Grass</v>
          </cell>
          <cell r="P41" t="str">
            <v>O Asiatic ( ( 14 inch ) 2     Grass</v>
          </cell>
          <cell r="Q41" t="str">
            <v>P n W Glad ( 14 Inch ) 7     Grass</v>
          </cell>
          <cell r="R41" t="e">
            <v>#N/A</v>
          </cell>
          <cell r="S41" t="e">
            <v>#N/A</v>
          </cell>
          <cell r="T41" t="str">
            <v>Mix Alstroemeria ( 12 Inch ) 7     FF Sachet + Grass</v>
          </cell>
        </row>
        <row r="42">
          <cell r="A42">
            <v>826</v>
          </cell>
          <cell r="B42" t="str">
            <v>Anuradha M Agarwal</v>
          </cell>
          <cell r="C42">
            <v>9811201606</v>
          </cell>
          <cell r="D42" t="str">
            <v>A-82, Westend Heights</v>
          </cell>
          <cell r="E42" t="str">
            <v>DLF Phase 5</v>
          </cell>
          <cell r="F42" t="str">
            <v>Thursday</v>
          </cell>
          <cell r="G42" t="str">
            <v>9 AM to 2 PM</v>
          </cell>
          <cell r="H42">
            <v>1450</v>
          </cell>
          <cell r="I42">
            <v>362.5</v>
          </cell>
          <cell r="J42" t="str">
            <v>Bliss</v>
          </cell>
          <cell r="K42" t="str">
            <v>Sending on 20th instaed of 21st,bcoz of Holi(18/03) This Cycle flowers -- Lilies / Orchids / Carnations/Gladioli(07/04) Orchid Next(25/04) Skip 2 week(11/06) Send on Friday this week(12/08) NO ORCHID, today returned-send glad tom(22/08)ASIATIC AND  ORCHID ONCE A CYCLE WITHOUT PLASTIC CAP(22/12) Returned-send Tom(16/01) Day chenged to saturday n ORCHID NEXT(18/01) Do not consider this week del and AVOID YELLOW COLOR FOR SOME WEEK, Send Orchid Next(23/02) Orchid next (27/05) Orchid next (09/06) Hold after current cycle (09/06) Return today (10/10) Skip 1 week (25/10) Skip this thursday (16/02) Skip 1 week (23/03) Today Returned and skip next week Laos (14/08) Skip 2 week (11/10) Skip 2 week (21/12)</v>
          </cell>
          <cell r="N42" t="str">
            <v>4  del of this cycle   -  0-cycles pmnt   Completed - Collect 0</v>
          </cell>
          <cell r="O42" t="str">
            <v>P n W Car ( 14 Inch ) 9     FF Sachet + Grass</v>
          </cell>
          <cell r="P42" t="str">
            <v>Rajni ( 14 Inch ) 9     Grass</v>
          </cell>
          <cell r="Q42" t="str">
            <v>P n Y Spray Daisy ( 14 Inch ) 5     FF Sachet + Grass</v>
          </cell>
          <cell r="R42" t="str">
            <v>Mix Glad ( 14 Inch ) 16     Grass</v>
          </cell>
          <cell r="S42" t="str">
            <v>O Asiatic ( 14 Inch ) 3     Grass</v>
          </cell>
          <cell r="T42" t="str">
            <v>R n W Car ( 14 Inch ) 16     FF Sachet + Grass</v>
          </cell>
        </row>
        <row r="43">
          <cell r="A43">
            <v>1982</v>
          </cell>
          <cell r="B43" t="str">
            <v>Manvi Bajpai</v>
          </cell>
          <cell r="C43">
            <v>8860046280</v>
          </cell>
          <cell r="D43" t="str">
            <v>A-43, Westend Heights</v>
          </cell>
          <cell r="E43" t="str">
            <v>DLF Phase 5</v>
          </cell>
          <cell r="F43" t="str">
            <v>Thursday</v>
          </cell>
          <cell r="G43" t="str">
            <v>9 AM - 12 PM</v>
          </cell>
          <cell r="H43">
            <v>1450</v>
          </cell>
          <cell r="I43">
            <v>362.5</v>
          </cell>
          <cell r="J43" t="str">
            <v>Bliss</v>
          </cell>
          <cell r="K43" t="str">
            <v>Preferred Flowers-- Car//Rose//Guldawari//Gerbera//Orchid//Spray Daisy (27/09) 4th Del was on Hold (10/10) Skip 1 week (21/10) Skip 1 week (02/03) No Orchid (27/04) Hold n start after 15th Sep (18/08) Skip 1 week (19/10) Skip 1 week (17/12) Skip 2 week (17/03) Sending del today instead of tom (26/04) Skip 1 week (13/08) Skip 1 week (10/10) Return today (26/10) Today Hold (28/12) Skip 2 week (27/01) Skip 1 week (14/03) Skip 2 weks (17/04) Skip 2 week (01/06) Payment from Sreyansh Updhyay (19/07) Skip 18th to 25th (02/10) Skip 1 week (06/020</v>
          </cell>
          <cell r="L43" t="str">
            <v>ORCHID</v>
          </cell>
          <cell r="N43" t="str">
            <v>4  del of this cycle   -  0-cycles pmnt   Completed - Collect 0</v>
          </cell>
          <cell r="O43" t="e">
            <v>#N/A</v>
          </cell>
          <cell r="P43" t="e">
            <v>#N/A</v>
          </cell>
          <cell r="Q43" t="str">
            <v>G n W Car ( 14 Inch ) 16     FF Sachet + Grass</v>
          </cell>
          <cell r="R43" t="str">
            <v>O Asiatic ( 14 Inch ) 3     Grass</v>
          </cell>
          <cell r="S43" t="str">
            <v>Mix Glad ( 14 Inch ) 16     FF Sachet + Grass</v>
          </cell>
          <cell r="T43" t="str">
            <v>Pur n W Eustoma ( 12 Inch ) 3     FF Sachet + Grass</v>
          </cell>
        </row>
        <row r="44">
          <cell r="A44">
            <v>2509</v>
          </cell>
          <cell r="B44" t="str">
            <v>Shrija Majumder</v>
          </cell>
          <cell r="C44">
            <v>8910369663</v>
          </cell>
          <cell r="D44" t="str">
            <v>G-803, BPTP Freedom Park Life</v>
          </cell>
          <cell r="E44" t="str">
            <v>Artemis</v>
          </cell>
          <cell r="F44" t="str">
            <v>Thursday</v>
          </cell>
          <cell r="G44" t="str">
            <v>9:30 Am to 2 PM</v>
          </cell>
          <cell r="H44">
            <v>1450</v>
          </cell>
          <cell r="I44">
            <v>1450</v>
          </cell>
          <cell r="J44" t="str">
            <v>Bliss</v>
          </cell>
          <cell r="K44" t="str">
            <v>Only Seasonals // skip tom (26/04) Skip 1 week (25/06) Hold today (14/08) Send tom after 7 PM (20/08) Skip 1 week (27/08) Skip 1 week (05/03) send replacement tom (28/03) Skip 2 week (15/07)</v>
          </cell>
          <cell r="M44" t="str">
            <v>Seasonlas</v>
          </cell>
          <cell r="N44" t="str">
            <v>1  del of this cycle   -  0-cycles pmnt   Completed - Collect 0</v>
          </cell>
          <cell r="O44" t="str">
            <v>Rajni ( 14 Inch ) 16     Grass</v>
          </cell>
          <cell r="P44" t="str">
            <v>R n W Car ( 14 Inch ) 16     FF Sachet + Grass</v>
          </cell>
          <cell r="Q44" t="e">
            <v>#N/A</v>
          </cell>
          <cell r="R44" t="e">
            <v>#N/A</v>
          </cell>
          <cell r="S44" t="str">
            <v>O Asiatic 3     Grass</v>
          </cell>
          <cell r="T44" t="str">
            <v>Mix Glad ( 14 Inch ) 16     Grass</v>
          </cell>
        </row>
        <row r="45">
          <cell r="A45">
            <v>1181</v>
          </cell>
          <cell r="B45" t="str">
            <v>Parul Sharma --Elation</v>
          </cell>
          <cell r="C45">
            <v>8800895944</v>
          </cell>
          <cell r="D45" t="str">
            <v>Villa-27, The Legend</v>
          </cell>
          <cell r="E45" t="str">
            <v>Artemis</v>
          </cell>
          <cell r="F45" t="str">
            <v>Thursday</v>
          </cell>
          <cell r="G45" t="str">
            <v>9 AM to 2 PM</v>
          </cell>
          <cell r="H45">
            <v>1950</v>
          </cell>
          <cell r="I45">
            <v>487.5</v>
          </cell>
          <cell r="J45" t="str">
            <v>Joy</v>
          </cell>
          <cell r="K45" t="str">
            <v>Tuesday and Thursday//Change day to Thursday(21/12) Car Next(18/01) NO ORCHIDS(20/01) Car Next(02/02) Sending on 20th instaed of 21st,bcoz of Holi(18/03) Today FF Sent(11/04) Paytm from ritu Kaur(12/04) Send replacement(12/04) Send Special Pack(08/05) Received payment of special pack(10/05) Hold n start from 2nd week of july(04/060 Inform Before sending(01/07) Start from next week(10/07) Sending on 14th instrad of 15th Aug(13/08) Today Hold-send tom(26/09) Send double del tom(23/10) R car Tom(15/01) Send Replacement tom(27/02) Hold n start from 3rd week of April(18/03) NO Rose n NO Orchids----Send R Car Next(21/12) Rajnigandha Next(12/01) Replace ment next and send Flower food(10/04) Recvd 250 from Gpay(15/07) Return-not at home(14/09) Shift to Elation(18/10) Skip 1 week(27/06) Hold n start from July (12/06) Hold due to non Payment (15/01) Paytm From Vinay Deopujari (26/02)</v>
          </cell>
          <cell r="M45" t="str">
            <v>Before 11:30 AM</v>
          </cell>
          <cell r="N45" t="str">
            <v>1  del of this cycle   -  1-cycles pmnt   Pending - Collect 1950</v>
          </cell>
          <cell r="O45" t="str">
            <v>Sunflower ( 12 Inch ) 5     FF Sachet + Grass</v>
          </cell>
          <cell r="P45" t="str">
            <v>W Asiatic ( 14 Inch ) 4     Grass</v>
          </cell>
          <cell r="Q45" t="str">
            <v>Mix Alstroemeria ( 12 Inch ) 22     FF Sachet + Grass</v>
          </cell>
          <cell r="R45" t="str">
            <v>G n W Car ( 14 inch ) 22     FF Sachet + Grass</v>
          </cell>
          <cell r="S45" t="str">
            <v>P n Y Spray Daisy ( 14 Inch ) 7     FF Sachet + Grass</v>
          </cell>
          <cell r="T45" t="str">
            <v>Mix Glad ( 14 Inch ) 22     Grass</v>
          </cell>
        </row>
        <row r="46">
          <cell r="A46">
            <v>2774</v>
          </cell>
          <cell r="B46" t="str">
            <v>Vandana Thakran</v>
          </cell>
          <cell r="C46">
            <v>9899589964</v>
          </cell>
          <cell r="D46" t="str">
            <v>H. No. 35, Cedar Crest</v>
          </cell>
          <cell r="E46" t="str">
            <v>Nirvana Country</v>
          </cell>
          <cell r="F46" t="str">
            <v>Sunday</v>
          </cell>
          <cell r="G46" t="str">
            <v>9 AM - 12 PM</v>
          </cell>
          <cell r="H46">
            <v>1600</v>
          </cell>
          <cell r="I46">
            <v>200</v>
          </cell>
          <cell r="J46" t="str">
            <v>Bloom</v>
          </cell>
          <cell r="N46" t="str">
            <v>4  del of this cycle   -  0-cycles pmnt   Completed - Collect 0</v>
          </cell>
          <cell r="O46" t="str">
            <v>Rajni ( 14 Inch ) 7     Grass</v>
          </cell>
          <cell r="P46" t="str">
            <v>P n W Car ( 14 Inch ) 7     FF Sachet + Grass</v>
          </cell>
          <cell r="Q46" t="str">
            <v>Mix Alstroemeria ( 12 Inch ) 7     FF Sachet + Grass</v>
          </cell>
          <cell r="R46" t="str">
            <v>Rajni ( 14 Inch ) 7     Grass</v>
          </cell>
          <cell r="S46" t="str">
            <v>P Spray Daisy ( 14 Inch ) 2     FF Sachet + Grass</v>
          </cell>
          <cell r="T46" t="str">
            <v>Sunflower ( 12 Inch ) 2     FF Sachet + Grass</v>
          </cell>
        </row>
        <row r="47">
          <cell r="A47">
            <v>58</v>
          </cell>
          <cell r="B47" t="str">
            <v>Ms. Anupma Chandna</v>
          </cell>
          <cell r="C47">
            <v>8130077970</v>
          </cell>
          <cell r="D47" t="str">
            <v>32, aspen greens, nirvana</v>
          </cell>
          <cell r="E47" t="str">
            <v>Nirvana Country</v>
          </cell>
          <cell r="F47" t="str">
            <v>Thursday</v>
          </cell>
          <cell r="G47" t="str">
            <v>9 AM - 12 PM</v>
          </cell>
          <cell r="H47">
            <v>1950</v>
          </cell>
          <cell r="I47">
            <v>487.5</v>
          </cell>
          <cell r="J47" t="str">
            <v>Joy</v>
          </cell>
          <cell r="K47" t="str">
            <v>No Rose // Hold n start from 04th Dec (03/11) No Greens</v>
          </cell>
          <cell r="L47" t="str">
            <v>Rose</v>
          </cell>
          <cell r="M47" t="str">
            <v>No Greens</v>
          </cell>
          <cell r="N47" t="str">
            <v>1  del of this cycle   -  1-cycles pmnt   Pending - Collect 1980</v>
          </cell>
          <cell r="O47" t="str">
            <v>P n Y Spray Daisy ( 14 Inch ) 5 Rajni ( 14 Inch ) 16   FF Sachet + Grass</v>
          </cell>
          <cell r="P47" t="str">
            <v>BOP ( 15 Inch ) 2 Mix Alstroemeria ( 12 Inch ) 11   FF Sachet + Grass</v>
          </cell>
          <cell r="Q47" t="str">
            <v>O Asiatic ( 14 Inch ) 2 G n W Car ( 14 Inch ) 11   Grass</v>
          </cell>
          <cell r="R47" t="str">
            <v>Pur Eustoma ( 12 Inch ) 2 Mix Glad ( 14 Inch ) 11   FF Sachet + Grass</v>
          </cell>
          <cell r="S47" t="str">
            <v>P n W Spray Daisy ( 14 Inch ) 4 Rajni ( 14 Inch ) 11   FF Sachet + Grass</v>
          </cell>
          <cell r="T47" t="str">
            <v>W Asiatic ( 14 Inch ) 3 Mix Alstroemeria ( 12 Inch ) 11   FF Sachet + Grass</v>
          </cell>
        </row>
        <row r="48">
          <cell r="A48">
            <v>2250</v>
          </cell>
          <cell r="B48" t="str">
            <v>Saloni Gupta</v>
          </cell>
          <cell r="C48">
            <v>9810796682</v>
          </cell>
          <cell r="D48" t="str">
            <v>338, 3rd Floor, Espace</v>
          </cell>
          <cell r="E48" t="str">
            <v>Nirvana Country</v>
          </cell>
          <cell r="F48" t="str">
            <v>Tuesday</v>
          </cell>
          <cell r="G48" t="str">
            <v>9 AM - 12 PM</v>
          </cell>
          <cell r="H48">
            <v>3088</v>
          </cell>
          <cell r="I48">
            <v>386</v>
          </cell>
          <cell r="J48" t="str">
            <v>Cutsomized-Biweekly</v>
          </cell>
          <cell r="K48"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 Do not count todays del (19/07)</v>
          </cell>
          <cell r="N48" t="str">
            <v>6  del of this cycle   -  0-cycles pmnt   Completed - Collect 0</v>
          </cell>
          <cell r="O48" t="str">
            <v>O Asiatic ( 14 Inch ) 3     Grass</v>
          </cell>
          <cell r="P48" t="str">
            <v>P Asiatic ( 14 Inch ) 2     Grass</v>
          </cell>
          <cell r="Q48" t="str">
            <v>O Asiatic ( 14 Inch ) 3     Grass</v>
          </cell>
          <cell r="R48" t="str">
            <v>O Asiatic ( 14 Inch ) 3     Grass</v>
          </cell>
          <cell r="S48" t="str">
            <v>W Asiatic ( 14 Inch ) 3     Grass</v>
          </cell>
          <cell r="T48" t="str">
            <v>O Asiatic ( 14 Inch ) 3     Grass</v>
          </cell>
        </row>
        <row r="49">
          <cell r="A49">
            <v>2205</v>
          </cell>
          <cell r="B49" t="str">
            <v>Shubhra Gupta</v>
          </cell>
          <cell r="C49">
            <v>9811981626</v>
          </cell>
          <cell r="D49" t="str">
            <v>ES-245, Espace</v>
          </cell>
          <cell r="E49" t="str">
            <v>Nirvana Country</v>
          </cell>
          <cell r="F49" t="str">
            <v>Thursday</v>
          </cell>
          <cell r="G49" t="str">
            <v>9 AM - 12 PM</v>
          </cell>
          <cell r="H49">
            <v>1450</v>
          </cell>
          <cell r="I49">
            <v>362.5</v>
          </cell>
          <cell r="J49" t="str">
            <v>Bliss</v>
          </cell>
          <cell r="K49" t="str">
            <v>Paytm From 9811656524 // No Orchids // Skip 1 week (01/10) Same flowers from last  2weeks, pls Check (06/11) Paytm from Gaurav Gupta (0703)</v>
          </cell>
          <cell r="L49" t="str">
            <v>ORCHID</v>
          </cell>
          <cell r="M49" t="str">
            <v>Same Flowers from 2 week, Pls Check (06/11)</v>
          </cell>
          <cell r="N49" t="str">
            <v>2  del of this cycle   -  0-cycles pmnt   Completed - Collect 0</v>
          </cell>
          <cell r="O49" t="str">
            <v>P Asiatic ( 14 Inch ) 3     Grass</v>
          </cell>
          <cell r="P49" t="str">
            <v>Rajni ( 14 Inch ) 16     Grass</v>
          </cell>
          <cell r="Q49" t="str">
            <v>G n W Car ( 14 Inch ) 16     FF Sachet + Grass</v>
          </cell>
          <cell r="R49" t="str">
            <v>Mix Glad ( 14 Inch ) 16     Grass</v>
          </cell>
          <cell r="S49" t="str">
            <v>P n Y Spray Daisy ( 14 Inch ) 5     FF Sachet + Grass</v>
          </cell>
          <cell r="T49" t="str">
            <v>Pur n W Eustoma ( 12 Inch ) 3     FF Sachet + Grass</v>
          </cell>
        </row>
        <row r="50">
          <cell r="A50">
            <v>849</v>
          </cell>
          <cell r="B50" t="str">
            <v>Shalini Sharma</v>
          </cell>
          <cell r="C50">
            <v>7838500808</v>
          </cell>
          <cell r="D50" t="str">
            <v>208, Espace</v>
          </cell>
          <cell r="E50" t="str">
            <v>Nirvana Country</v>
          </cell>
          <cell r="F50" t="str">
            <v>Thursday</v>
          </cell>
          <cell r="G50" t="str">
            <v>9:30 Am to 2 PM</v>
          </cell>
          <cell r="H50">
            <v>1450</v>
          </cell>
          <cell r="I50">
            <v>362.5</v>
          </cell>
          <cell r="J50" t="str">
            <v>Bliss</v>
          </cell>
          <cell r="K50" t="str">
            <v>W n R Car Tom(25/04)  GERBERA NEXT(16/09) NO ORCHIDS(24/01)  Sent a replacement today(17/04) Ros enext (26/11) NO GULDAWARI n ORCHIDS ()6/01) Skip 1 week (05/01) Replacement tom (12/02) Send Tom and skip 30th Mar (25/03) Replacement tom (06/07) Will Pick on 30th -- Dont Send on 02nd Nov (28/10) Send this week del on tuesday 925/01) Send W Asiatic on 11th this week instead of 15th Feb (08/02) Skip 1 week (14/03) Lilies Next (20/05) Hold after current cycle (04/12) Four plus 1 Pack //</v>
          </cell>
          <cell r="L50" t="str">
            <v>GULDAWARI n ORCHID</v>
          </cell>
          <cell r="M50" t="str">
            <v>Lilies Next (20/05)</v>
          </cell>
          <cell r="N50" t="str">
            <v>4  del of this cycle   -  0-cycles pmnt   Completed - Collect 0</v>
          </cell>
          <cell r="O50" t="str">
            <v>Sunflower ( 12 Inch ) 4     FF Sachet + Grass</v>
          </cell>
          <cell r="P50" t="str">
            <v>Rajni ( 14 Inch ) 16     Grass</v>
          </cell>
          <cell r="Q50" t="str">
            <v>O Asiatic ( 14 Inch ) 3     Grass</v>
          </cell>
          <cell r="R50" t="str">
            <v>Mix Glad ( 14 Inch ) 16     Grass</v>
          </cell>
          <cell r="S50" t="str">
            <v>P n Y Spray Daisy ( 14 Inch ) 5     FF Sachet + Grass</v>
          </cell>
          <cell r="T50" t="str">
            <v>R n W Car ( 14 Inch ) 16     FF Sachet + Grass</v>
          </cell>
        </row>
        <row r="51">
          <cell r="A51">
            <v>1319</v>
          </cell>
          <cell r="B51" t="str">
            <v>Mrs. Vandana Dutt Before 10</v>
          </cell>
          <cell r="C51">
            <v>9810771057</v>
          </cell>
          <cell r="D51" t="str">
            <v>15/002,South Close, Nirvana country</v>
          </cell>
          <cell r="E51" t="str">
            <v>Nirvana Country</v>
          </cell>
          <cell r="F51" t="str">
            <v>Thursday</v>
          </cell>
          <cell r="G51" t="str">
            <v>9 AM - 12 PM</v>
          </cell>
          <cell r="H51">
            <v>1950</v>
          </cell>
          <cell r="I51">
            <v>487.5</v>
          </cell>
          <cell r="J51" t="str">
            <v>Joy</v>
          </cell>
          <cell r="K51" t="str">
            <v>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No Flowers tom --send on Monday (08/02) Had 350 Extra from pasyment of 2000 on 11th May, 250 adjusted, now have 100 extra with us(18/05) Spray Daisy -- white or Yellow and Glad white (06/09) Skip 1 week (13/10) Sending 1 Del today (22/10) No Flowers till 4th Jan (17/12) Start from 19th (17/07) Hold till 5th Sep (14/08) Return today-send tom (07/11) Skip 1 week (17/11) Skip 12th (09/12) Today Returned (26/12) Skip 1 week (11/03) Skip 1 week (23/03) Skip 1 week (31/03) Today Returned (10/04) Today Returned (18/04) Skip 1 week (28/04) Skip 2 week (02/06) Hold she will confirm (28/07) Dont Send on 21st (19/08) No Flowers from 11th Sep to 25th Sep (05/09) Hold till 20th Oct (10/11) 1 Bouquet of Rajni on 31st and 500 gm Rose Petal on 8th Nov -- Total pf 1200 added (20/11) Send one delivery tom (22/11) Skip 1 week (23/12) Skip 1 week (1/02) From Sunflower/Spray dausy/Eustoma (18/04) Hold till 15th July (30/06)</v>
          </cell>
          <cell r="M51" t="str">
            <v>From Sunflower/Spray dausy/Eustoma (18/04)</v>
          </cell>
          <cell r="N51" t="str">
            <v>1  del of this cycle   -  1-cycles pmnt   Pending - Collect 1950</v>
          </cell>
          <cell r="O51" t="e">
            <v>#N/A</v>
          </cell>
          <cell r="P51" t="e">
            <v>#N/A</v>
          </cell>
          <cell r="Q51" t="e">
            <v>#N/A</v>
          </cell>
          <cell r="R51" t="str">
            <v>W Asiatic 4     Grass</v>
          </cell>
          <cell r="S51" t="str">
            <v>W Asiatic ( 14 Inch ) 4     Grass</v>
          </cell>
          <cell r="T51" t="str">
            <v>W Oriental ( 14 Inch ) 3     Grass</v>
          </cell>
        </row>
        <row r="52">
          <cell r="A52">
            <v>20</v>
          </cell>
          <cell r="B52" t="str">
            <v>Mrs. Vandana Dutt Before 10</v>
          </cell>
          <cell r="C52">
            <v>9810771057</v>
          </cell>
          <cell r="D52" t="str">
            <v>15/002,South Close, Nirvana country</v>
          </cell>
          <cell r="E52" t="str">
            <v>Nirvana Country</v>
          </cell>
          <cell r="F52" t="str">
            <v>Thursday</v>
          </cell>
          <cell r="G52" t="str">
            <v>9 AM - 12 PM</v>
          </cell>
          <cell r="H52">
            <v>1450</v>
          </cell>
          <cell r="I52">
            <v>362.5</v>
          </cell>
          <cell r="J52" t="str">
            <v>Bliss</v>
          </cell>
          <cell r="K52" t="str">
            <v>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Dont snend tom -send on Monday (08/02) Had 350 Extra from pasyment of 2000 on 11th May, 250 adjusted, now have 100 extra with us(18/05) Sent replacement today (10/06) Spray Daisy -- white or Yellow and Glad white (06/09) 250 extra added against received walkin bouquet (12/09) Skip 1 week (13/10) Sending 1 Del today (22/10) Skip 2 week (19/05) Star from 19th (17/07) NO Flowers from 15th Aug to 29th Aug (27/07) Skip this 8th Del (02/08) Return today send tom (07/11) Skip 1 week (17/11) Skip 12th (09/12) Today returned (26/12) Skip 1 week (11/03) Skip 1 week (23/03) Skip 1 week (31/03) Today Returned (10/04) Today Returned (18/04) Skip 1 week (28/04) Skip 2 week (02/06) Hold , she will confirm (28/07) No delivery on 21st Aug (19/08) No flowers from 11th Sep to 25th Sep (05/09) Hold till 20th (10/11) Last cycle 950 was less received (06/11) Send one del tom (22/11) Skip 1 week (23/12) Skip 1 week (11/02) From Sunflower/Spray dausy/Eustoma (18/04) Hol dtill 15th July (30/06)</v>
          </cell>
          <cell r="M52" t="str">
            <v>From Sunflower/Spray dausy/Eustoma (18/04)</v>
          </cell>
          <cell r="N52" t="str">
            <v>1  del of this cycle   -  1-cycles pmnt   Pending - Collect 1450</v>
          </cell>
          <cell r="O52" t="e">
            <v>#N/A</v>
          </cell>
          <cell r="P52" t="e">
            <v>#N/A</v>
          </cell>
          <cell r="Q52" t="e">
            <v>#N/A</v>
          </cell>
          <cell r="R52" t="str">
            <v>G n W Car ( 14 inch ) 16     FF Sachet + Grass</v>
          </cell>
          <cell r="S52" t="str">
            <v>P n W Car ( 14 Inch ) 16     FF Sachet + Grass</v>
          </cell>
          <cell r="T52" t="str">
            <v>P n W car ( 14 Inch ) 16     FF Sachet + Grass</v>
          </cell>
        </row>
        <row r="53">
          <cell r="A53">
            <v>921</v>
          </cell>
          <cell r="B53" t="str">
            <v>Anumeha</v>
          </cell>
          <cell r="C53" t="str">
            <v>9899901949// 9953511987</v>
          </cell>
          <cell r="D53" t="str">
            <v>T-04/1701, South Close</v>
          </cell>
          <cell r="E53" t="str">
            <v>Nirvana Country</v>
          </cell>
          <cell r="F53" t="str">
            <v>Thursday</v>
          </cell>
          <cell r="G53" t="str">
            <v>9 AM - 12 PM</v>
          </cell>
          <cell r="H53">
            <v>1450</v>
          </cell>
          <cell r="I53">
            <v>362.5</v>
          </cell>
          <cell r="J53" t="str">
            <v>Bliss</v>
          </cell>
          <cell r="K53" t="str">
            <v>Pls send Orchid 1st del(20/11)Send a replacement tom(25/11) Only Rajni,Asiatic and Roses(28/12) Lilies next(01/01) Lilies next(22/01) Lily Next(19/10) Send Replacement on Thursday(05/11) Lilies next-- Orange Or Yellow(17/11) Last Del Missed-Sending Tom(12/12) Returned-send from next week(16/12) Send Gerbera Tom(19/01) Daisy Next(01/02) Roses Tom(16/02) Received 50 today(02/03) Gerbera Next(08/03) Gerbera Tom(22/01) Lilies twice in cycle and Daisy/ Rajnigandha Only// Lily Next (01/02) O Asiatic Next(14/02) NO DAISY// NO SPRAY DAISY(06/03) Yel Gerbera Next(17/03) Spray Daisy with Purple in centre tom in evening slot(09/04) send on 3rd now(02/05) W n Yellow Gerbera Tom(02/03) Gpay from Lallan Singh(17/03) Recieved payment from Anumeha account today(07/04) Received Gpay from Joy Deep(28/04) Paytm From Joydeep Mukherjee(08/09) Hold for 3 weeks (19/12) Hold for 2 weeks (25/01) Skip 1 week (02/03) No rajni till oct (31/08) Send replacement tom (01/11) Skip tom (10/12) Skip 5th Del (28/02) Today Hold (28/05) Skip 2 week (25/07)</v>
          </cell>
          <cell r="M53" t="str">
            <v>No rajni till Oct (31/08)</v>
          </cell>
          <cell r="N53" t="str">
            <v>3  del of this cycle   -  0-cycles pmnt   Completed - Collect 0</v>
          </cell>
          <cell r="O53" t="str">
            <v>O Asiatic ( 14 Inch ) 3     Grass</v>
          </cell>
          <cell r="P53" t="str">
            <v>P n Y Gerbera ( 12 Inch ) 16     FF Sachet + Grass</v>
          </cell>
          <cell r="Q53" t="e">
            <v>#N/A</v>
          </cell>
          <cell r="R53" t="e">
            <v>#N/A</v>
          </cell>
          <cell r="S53" t="str">
            <v>R n W Car ( 14 Inch ) 16     FF Sachet + Grass</v>
          </cell>
          <cell r="T53" t="str">
            <v>P n Y Spray Daisy ( 14 inch ) 5     FF Sachet + Grass</v>
          </cell>
        </row>
        <row r="54">
          <cell r="A54">
            <v>61</v>
          </cell>
          <cell r="B54" t="str">
            <v>Megha Manchanda -- Bliss Pack</v>
          </cell>
          <cell r="C54">
            <v>9871919500</v>
          </cell>
          <cell r="D54" t="str">
            <v>T-3/302, Unitech Harmony</v>
          </cell>
          <cell r="E54" t="str">
            <v>Nirvana Country</v>
          </cell>
          <cell r="F54" t="str">
            <v>Thursday</v>
          </cell>
          <cell r="G54" t="str">
            <v>9 AM - 12 PM</v>
          </cell>
          <cell r="H54">
            <v>1450</v>
          </cell>
          <cell r="I54">
            <v>362.5</v>
          </cell>
          <cell r="J54" t="str">
            <v>Bliss</v>
          </cell>
          <cell r="K54" t="str">
            <v>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v>
          </cell>
          <cell r="N54" t="str">
            <v>1  del of this cycle   -  1-cycles pmnt   Pending - Collect 1450</v>
          </cell>
          <cell r="O54" t="str">
            <v>Rajni ( 14 Inch ) 9     Grass</v>
          </cell>
          <cell r="P54" t="str">
            <v>P Asiatic ( 14 Inch ) 3     Grass</v>
          </cell>
          <cell r="Q54" t="str">
            <v>G n W Car ( 14 Inch ) 16     FF Sachet + Grass</v>
          </cell>
          <cell r="R54" t="str">
            <v>P n Y Spray Daisy ( 14 Inch ) 5     FF Sachet + Grass</v>
          </cell>
          <cell r="S54" t="str">
            <v>Mix Glad ( 14 Inch ) 16     FF Sachet + Grass</v>
          </cell>
          <cell r="T54" t="str">
            <v>Pur n W Eustoma ( 12 Inch ) 3     FF Sachet + Grass</v>
          </cell>
        </row>
        <row r="55">
          <cell r="A55">
            <v>2481</v>
          </cell>
          <cell r="B55" t="str">
            <v>Puneet Mahajan</v>
          </cell>
          <cell r="C55">
            <v>9810110847</v>
          </cell>
          <cell r="D55" t="str">
            <v>D-19, 4th Floor, Siuth City -2, Opp Arcadia Mall</v>
          </cell>
          <cell r="E55" t="str">
            <v>Nirvana Country</v>
          </cell>
          <cell r="F55" t="str">
            <v>Sunday</v>
          </cell>
          <cell r="G55" t="str">
            <v>9 AM - 12 PM</v>
          </cell>
          <cell r="H55">
            <v>2300</v>
          </cell>
          <cell r="I55">
            <v>287.5</v>
          </cell>
          <cell r="J55" t="str">
            <v>Felicity</v>
          </cell>
          <cell r="K55" t="str">
            <v>Send Sponge// Day Changed to Sunday (16/04) Paytm From Sri Sai makers (20/04) Change to felicity (17/05) HDTNP (23/07)</v>
          </cell>
          <cell r="N55" t="str">
            <v>7  del of this cycle   -  0-cycles pmnt   Completed - Collect 0</v>
          </cell>
          <cell r="O55" t="str">
            <v>Sunflower ( 12 Inch ) 3     FF Sachet + Grass</v>
          </cell>
          <cell r="P55" t="str">
            <v>Rajni ( 14 Inch ) 11     Grass</v>
          </cell>
          <cell r="Q55" t="str">
            <v>O Asiatic ( 14 Inch ) 2     Grass</v>
          </cell>
          <cell r="R55" t="e">
            <v>#N/A</v>
          </cell>
          <cell r="S55" t="str">
            <v>R n W Car ( 14 Inch ) 11     FF Sachet + Grass</v>
          </cell>
          <cell r="T55" t="str">
            <v>W Asiatic ( 14 Inch ) 2     Grass</v>
          </cell>
        </row>
        <row r="56">
          <cell r="A56">
            <v>2406</v>
          </cell>
          <cell r="B56" t="str">
            <v>Vermeen Kapoor</v>
          </cell>
          <cell r="C56">
            <v>9873458198</v>
          </cell>
          <cell r="D56" t="str">
            <v>B-59, South City 2</v>
          </cell>
          <cell r="E56" t="str">
            <v>Nirvana Country</v>
          </cell>
          <cell r="F56" t="str">
            <v>Thursday</v>
          </cell>
          <cell r="G56" t="str">
            <v>9:30 Am to 2 PM</v>
          </cell>
          <cell r="H56">
            <v>1450</v>
          </cell>
          <cell r="I56">
            <v>362.5</v>
          </cell>
          <cell r="J56" t="str">
            <v>Bliss</v>
          </cell>
          <cell r="K56" t="str">
            <v>Referred by Swati Khandelwal?/ Mixed Flowers // Send replace,ent tom (19/02) Day Changed to Thursday (08/04) today returned-send tom (24/07)</v>
          </cell>
          <cell r="M56" t="str">
            <v>Mixed Flowers</v>
          </cell>
          <cell r="N56" t="str">
            <v>3  del of this cycle   -  0-cycles pmnt   Completed - Collect 0</v>
          </cell>
          <cell r="O56" t="str">
            <v>P Spray Daisy ( 14 Inch ) 3 Rajni ( 14 Inch ) 7   FF Sachet + Grass</v>
          </cell>
          <cell r="P56" t="str">
            <v>Sunflower ( 12 Inch ) 2 P n W Car ( 14 Inch ) 7   FF Sachet + Grass</v>
          </cell>
          <cell r="Q56" t="str">
            <v>O Asiatic ( 14 Inch ) 2 P n W Glad ( 14 Inch ) 7   Grass</v>
          </cell>
          <cell r="R56" t="str">
            <v>Pur Eustoma ( 12 Inch ) 2 Mix Alstroemeria ( 12 Inch ) 7   FF Sachet + Grass</v>
          </cell>
          <cell r="S56" t="str">
            <v>Y Spray Daisy ( 14 Inch ) 3 P n W Car ( 14 inch ) 7   FF Sachet + Grass</v>
          </cell>
          <cell r="T56" t="str">
            <v>W Asiatic ( 14 Inch ) 2 Mix Glad ( 14 Inch ) 7   FF Sachet + Grass</v>
          </cell>
        </row>
        <row r="57">
          <cell r="A57">
            <v>2076</v>
          </cell>
          <cell r="B57" t="str">
            <v>Divya Jain Midas</v>
          </cell>
          <cell r="C57">
            <v>9910172233</v>
          </cell>
          <cell r="D57" t="str">
            <v>Midas Touch, 1st Floor, A Block, Nirvana Courtyard</v>
          </cell>
          <cell r="E57" t="str">
            <v>Nirvana Country</v>
          </cell>
          <cell r="F57" t="str">
            <v>Thursday</v>
          </cell>
          <cell r="G57" t="str">
            <v>9 AM - 12 PM</v>
          </cell>
          <cell r="H57">
            <v>1450</v>
          </cell>
          <cell r="I57">
            <v>362.5</v>
          </cell>
          <cell r="J57" t="str">
            <v>Bliss</v>
          </cell>
          <cell r="K57" t="str">
            <v>Sent replacement today (01/06) Send 1 Vase with next delivery (10/10) Send 1 Rassee Vase and Flowers tom (29/11) Sent 1 vase today (30/1) 1500 cash and 100 via paytm (07/01) One deliv sent today (26/02) Sent one del today (10/06) sent one del today (21/07) GMom Quiz Voucher Added (07/08) 1 Vase sent today (11/11) Send one del tom and with either rose or Car (02/12) Sent one del today (28/04)</v>
          </cell>
          <cell r="N57" t="str">
            <v>3  del of this cycle   -  0-cycles pmnt   Completed - Collect 0</v>
          </cell>
          <cell r="O57" t="str">
            <v>O Asiatic ( 14 Inch ) 3     Grass</v>
          </cell>
          <cell r="P57" t="str">
            <v>Rajni ( 14 Inch ) 16     Grass</v>
          </cell>
          <cell r="Q57" t="str">
            <v>G n W Car ( 14 Inch ) 16     FF Sachet + Grass</v>
          </cell>
          <cell r="R57" t="str">
            <v>P n Y Spray Daisy ( 14 Inch ) 5     FF Sachet + Grass</v>
          </cell>
          <cell r="S57" t="str">
            <v>Pink Eustoma 3     FF Sachet + Grass</v>
          </cell>
          <cell r="T57" t="str">
            <v>Mix Glad ( 14 Inch ) 16     Grass</v>
          </cell>
        </row>
        <row r="58">
          <cell r="A58">
            <v>2104</v>
          </cell>
          <cell r="B58" t="str">
            <v>Arun Gupta</v>
          </cell>
          <cell r="C58">
            <v>9999072697</v>
          </cell>
          <cell r="D58" t="str">
            <v>C-22m Arc Stationary</v>
          </cell>
          <cell r="E58" t="str">
            <v>Nirvana Country</v>
          </cell>
          <cell r="F58" t="str">
            <v>Thursday</v>
          </cell>
          <cell r="G58" t="str">
            <v>9 AM to 2 PM</v>
          </cell>
          <cell r="H58">
            <v>400</v>
          </cell>
          <cell r="I58">
            <v>100</v>
          </cell>
          <cell r="J58" t="str">
            <v>Customized</v>
          </cell>
          <cell r="K58" t="str">
            <v>4 Flowers at both Shop</v>
          </cell>
          <cell r="N58" t="str">
            <v>2  del of this cycle   -  0-cycles pmnt   In Process - Collect 0</v>
          </cell>
          <cell r="O58" t="str">
            <v xml:space="preserve">Broken Flowers  5     </v>
          </cell>
          <cell r="P58" t="str">
            <v xml:space="preserve">Broken Flowers  5 1 Shop    </v>
          </cell>
          <cell r="Q58" t="str">
            <v xml:space="preserve">Broken Flowers  5 1 Shop    </v>
          </cell>
          <cell r="R58" t="str">
            <v>Broken Flowers  5 1 Shop    Grass</v>
          </cell>
          <cell r="S58" t="str">
            <v>Broken Flowers 5      Grass</v>
          </cell>
          <cell r="T58" t="str">
            <v>Broken Flowers  5 1 Shop    Grass</v>
          </cell>
        </row>
        <row r="59">
          <cell r="A59" t="str">
            <v>B56663</v>
          </cell>
          <cell r="B59" t="str">
            <v>Rakhi</v>
          </cell>
          <cell r="C59">
            <v>9871084679</v>
          </cell>
          <cell r="D59" t="str">
            <v>81/1, Emilia, B1 Jasmine Street, Vatika City</v>
          </cell>
          <cell r="E59" t="str">
            <v>Sohna Road 1</v>
          </cell>
          <cell r="F59" t="str">
            <v>Thursday</v>
          </cell>
          <cell r="G59" t="str">
            <v>By 10 AM</v>
          </cell>
          <cell r="H59">
            <v>800</v>
          </cell>
          <cell r="I59">
            <v>800</v>
          </cell>
          <cell r="J59" t="str">
            <v>Bouquet</v>
          </cell>
          <cell r="K59" t="str">
            <v>From Seema Anand// Happiest birthday pretty Rakhi! God bless you!
   Lots of love and best wishes from Seema Sunil and lavu</v>
          </cell>
          <cell r="N59" t="str">
            <v>1  del of this cycle   -  0-cycles pmnt   In Process - Collect 0</v>
          </cell>
          <cell r="O59" t="e">
            <v>#N/A</v>
          </cell>
          <cell r="P59" t="e">
            <v>#N/A</v>
          </cell>
          <cell r="Q59" t="e">
            <v>#N/A</v>
          </cell>
          <cell r="R59" t="e">
            <v>#N/A</v>
          </cell>
          <cell r="S59" t="e">
            <v>#N/A</v>
          </cell>
          <cell r="T59" t="str">
            <v xml:space="preserve">G n P n Y Spray Daisy  8 Walkin Tissue Wrap Message   </v>
          </cell>
        </row>
        <row r="60">
          <cell r="A60" t="str">
            <v>B56661</v>
          </cell>
          <cell r="B60" t="str">
            <v>Reema Bose Suri</v>
          </cell>
          <cell r="C60">
            <v>9818199482</v>
          </cell>
          <cell r="D60" t="str">
            <v>B-54, Spaze privi, Sec-72, Sohna Road</v>
          </cell>
          <cell r="E60" t="str">
            <v>Badshahpur</v>
          </cell>
          <cell r="F60" t="str">
            <v>Thursday</v>
          </cell>
          <cell r="G60" t="str">
            <v>By 10 AM</v>
          </cell>
          <cell r="H60">
            <v>1000</v>
          </cell>
          <cell r="I60">
            <v>1000</v>
          </cell>
          <cell r="J60" t="str">
            <v>Bouquet</v>
          </cell>
          <cell r="K60" t="str">
            <v>From Sharmishtha // Dear Reema,
Wishing you a very Happy Birthday!! Have a wonderful day...missing all your fabulous house parties...
Lots of Love, 
Sharvani, Sharmishtha and Venkatesh</v>
          </cell>
          <cell r="N60" t="str">
            <v>1  del of this cycle   -  0-cycles pmnt   In Process - Collect 0</v>
          </cell>
          <cell r="O60" t="e">
            <v>#N/A</v>
          </cell>
          <cell r="P60" t="e">
            <v>#N/A</v>
          </cell>
          <cell r="Q60" t="e">
            <v>#N/A</v>
          </cell>
          <cell r="R60" t="e">
            <v>#N/A</v>
          </cell>
          <cell r="S60" t="e">
            <v>#N/A</v>
          </cell>
          <cell r="T60" t="str">
            <v xml:space="preserve">Sunflower + P Spray Daisy + G Button Daisy  4 + 2 + 2 Walkin Tissue Wrap Message   </v>
          </cell>
        </row>
        <row r="61">
          <cell r="B61" t="str">
            <v xml:space="preserve"> Megha</v>
          </cell>
          <cell r="C61" t="str">
            <v>+91 98185 25564</v>
          </cell>
          <cell r="D61" t="str">
            <v>B-65, Sushant lok-3 
Sector 57
Gurgaon</v>
          </cell>
          <cell r="G61" t="str">
            <v xml:space="preserve">Before 3.30 </v>
          </cell>
          <cell r="H61">
            <v>3150</v>
          </cell>
          <cell r="I61">
            <v>3150</v>
          </cell>
          <cell r="J61" t="str">
            <v>Bouquet</v>
          </cell>
          <cell r="K61" t="str">
            <v>From 
‪+91 95601 26622‬
Today
3150 received 
To
+91 98185 25564 Megha
B-65, Sushant lok-3 
Sector 57
Gurgaon
Message 
Dear Megha &amp; Mr. Hitesh,
Thank you both for going out of your way to help me secure this internship. I truly appreciate the effort you put into making this opportunity possible.
Megha, thank you for your guidance and encouragement. Mr. Hitesh, thank you for your support and for helping make this opportunity possible.
This internship is an important step towards my legal career, and I am incredibly grateful to both of you for being a part of this milestone and for helping me take one step closer to my career goals.
With heartfelt gratitude,
Durvi Mehta</v>
          </cell>
          <cell r="T61" t="str">
            <v xml:space="preserve">Pink Car+Pink Oreintal 21+4 Square Vase Arrangement Message   </v>
          </cell>
        </row>
        <row r="62">
          <cell r="A62">
            <v>2961</v>
          </cell>
          <cell r="B62" t="str">
            <v>Vasudha Sagar</v>
          </cell>
          <cell r="C62">
            <v>9818837167</v>
          </cell>
          <cell r="D62" t="str">
            <v>E-002, The Residency, Aardee City, Gate No. 2</v>
          </cell>
          <cell r="E62" t="str">
            <v>Sushant Estate</v>
          </cell>
          <cell r="F62" t="str">
            <v>Thursday</v>
          </cell>
          <cell r="G62" t="str">
            <v>9 AM to 2 PM</v>
          </cell>
          <cell r="H62">
            <v>1450</v>
          </cell>
          <cell r="I62">
            <v>362.5</v>
          </cell>
          <cell r="J62" t="str">
            <v>Bliss</v>
          </cell>
          <cell r="K62" t="str">
            <v>Paytm From Vasudha Rana (26/02) Send 4 FF Sachet Next (27/02) HDTNP (21/05) Send on sat this week (22/05) HDTNP (25/06) HDTNP (09/07)</v>
          </cell>
          <cell r="M62" t="str">
            <v>4 FF Next (27/02)</v>
          </cell>
          <cell r="N62" t="str">
            <v>1  del of this cycle   -   0-cycles pmnt   Completed - Collect 0</v>
          </cell>
          <cell r="O62" t="str">
            <v xml:space="preserve">Collect 500 n Close      </v>
          </cell>
          <cell r="P62" t="str">
            <v xml:space="preserve">Collect 500  n Close Carry Receipt Book     </v>
          </cell>
          <cell r="Q62" t="e">
            <v>#N/A</v>
          </cell>
          <cell r="R62" t="e">
            <v>#N/A</v>
          </cell>
          <cell r="S62" t="e">
            <v>#N/A</v>
          </cell>
          <cell r="T62" t="str">
            <v>R n W Car ( 14 Inch ) 16     FF Sachet + Grass</v>
          </cell>
        </row>
        <row r="63">
          <cell r="A63">
            <v>2644</v>
          </cell>
          <cell r="B63" t="str">
            <v>Sanjeet Kaur</v>
          </cell>
          <cell r="C63">
            <v>7889438209</v>
          </cell>
          <cell r="D63" t="str">
            <v>601, Emerald Green, Sector 52</v>
          </cell>
          <cell r="E63" t="str">
            <v>Artemis</v>
          </cell>
          <cell r="F63" t="str">
            <v>Thursday</v>
          </cell>
          <cell r="G63" t="str">
            <v>9:30 Am to 2 PM</v>
          </cell>
          <cell r="H63">
            <v>1450</v>
          </cell>
          <cell r="I63">
            <v>362.5</v>
          </cell>
          <cell r="J63" t="str">
            <v>Bliss</v>
          </cell>
          <cell r="K63" t="str">
            <v>1 Gypsola in each Del (16/05) Paytm From Arshia Kaur (13/06) Paytm From Yogpal Singh (20/12) Do not count todays delivery (30/04)</v>
          </cell>
          <cell r="M63" t="str">
            <v>1 Gyposla in each Del</v>
          </cell>
          <cell r="N63" t="str">
            <v>1  del of this cycle   -  1-cycles pmnt   Pending - Collect 1450</v>
          </cell>
          <cell r="O63" t="str">
            <v>P Asiatic ( 14 Inch ) 2     Grass</v>
          </cell>
          <cell r="P63" t="str">
            <v>Pur n P Car ( 14 Inch ) 16     FF Sachet + Grass</v>
          </cell>
          <cell r="Q63" t="str">
            <v>P n Y Spray Daisy ( 14 Inch ) 5     FF Sachet + Grass</v>
          </cell>
          <cell r="R63" t="str">
            <v>Mix Glad ( 14 Inch ) 16     Grass</v>
          </cell>
          <cell r="S63" t="str">
            <v>O Asiatic ( 14 Inch ) 3     Grass</v>
          </cell>
          <cell r="T63" t="str">
            <v>Mix Alstroemeria ( 12 Inch ) 16     FF Sachet + Grass</v>
          </cell>
        </row>
        <row r="64">
          <cell r="A64">
            <v>172</v>
          </cell>
          <cell r="B64" t="str">
            <v>Rachna Rathee</v>
          </cell>
          <cell r="C64">
            <v>9811779661</v>
          </cell>
          <cell r="D64" t="str">
            <v xml:space="preserve">DX-106 flat no,Kendriya vihar Sector 56
</v>
          </cell>
          <cell r="E64" t="str">
            <v>Sector 56</v>
          </cell>
          <cell r="F64" t="str">
            <v>Thursday</v>
          </cell>
          <cell r="G64" t="str">
            <v>9 AM - 12 PM</v>
          </cell>
          <cell r="H64">
            <v>1450</v>
          </cell>
          <cell r="I64">
            <v>362.5</v>
          </cell>
          <cell r="J64" t="str">
            <v>Bliss</v>
          </cell>
          <cell r="K64" t="str">
            <v>Sendng rtrnd of 30 th on 1st(30/06)Retrnd pls send white Orchid(30/06) NO GERBERA(04/08) Paytm from raj Singh(08/12) Skip 1 week(21/12) NO Daisy(12/01) Hold n sned after 15th Apr(29/03) Hold n start after 10th Sep(30/08) NO DAISY(09/11) NO ROSE(21/12) Today return-send tom(10/10/20) Sending Del Tom due to Diwali(11/11) Referal payout of 162 added against Mr. Shoran(030/11) Referal credit added with ref to Apala das Gupta(29/03) Today hold and send after 11th May and ask before del(30/04) Hold till 28th Feb (10/02) Hold 3 Weeks (10/07) No Blue Orchid (23/10) Extra added against less mogra in Diwali Flowers (26/11) send replacement tom (04/07) Hold she will confirm when to start (13/05) No Gerbera (07/08) Send replacement tom (27/03)</v>
          </cell>
          <cell r="L64" t="str">
            <v>BLUE ORCHID n GERBERA</v>
          </cell>
          <cell r="N64" t="str">
            <v>3  del of this cycle   -  0-cycles pmnt   Completed - Collect 0</v>
          </cell>
          <cell r="O64" t="str">
            <v>Pur n P Car ( 14 Inch ) 16     FF Sachet + Grass</v>
          </cell>
          <cell r="P64" t="str">
            <v>Sunflower ( 12 Inch ) 4     FF Sachet + Grass</v>
          </cell>
          <cell r="Q64" t="str">
            <v>P n Y Spray Daisy ( 14 Inch ) 5     FF Sachet + Grass</v>
          </cell>
          <cell r="R64" t="str">
            <v>Mix Glad ( 14 Inch ) 16     Grass</v>
          </cell>
          <cell r="S64" t="str">
            <v>O Asiatic ( 14 Inch ) 3     Grass</v>
          </cell>
          <cell r="T64" t="str">
            <v>Mix Alstroemeria ( 12 Inch ) 16     FF Sachet + Grass</v>
          </cell>
        </row>
        <row r="65">
          <cell r="A65">
            <v>1998</v>
          </cell>
          <cell r="B65" t="str">
            <v>Shivani Katyal</v>
          </cell>
          <cell r="C65">
            <v>9811053756</v>
          </cell>
          <cell r="D65" t="str">
            <v>H. No. 1486, Sarsawati Kunj</v>
          </cell>
          <cell r="E65" t="str">
            <v>DLF Phase 5</v>
          </cell>
          <cell r="F65" t="str">
            <v>Thursday</v>
          </cell>
          <cell r="G65" t="str">
            <v>9:30 Am to 2 PM</v>
          </cell>
          <cell r="H65">
            <v>1950</v>
          </cell>
          <cell r="I65">
            <v>487.5</v>
          </cell>
          <cell r="J65" t="str">
            <v>Joy</v>
          </cell>
          <cell r="K65" t="str">
            <v>Rose//Orchid//Asiatic//Anthurium//Heliconia//BOP (28/10) NO Guldawari n Anthurium (09/02) Paytm From Manish K M K (08/09) Paytm from Manish Katyal // Gpay From Palak Katyal (22/03) No Glad Also (18/04) Couldn't deliver due to watrelogging--send on Sunday (29/08) Skip n send on sunday (01/10)</v>
          </cell>
          <cell r="L65" t="str">
            <v>GULDAWARI n ANTHURIUM n GLAD</v>
          </cell>
          <cell r="N65" t="str">
            <v>1  del of this cycle   -  1-cycles pmnt   Pending - Collect 1850</v>
          </cell>
          <cell r="O65" t="str">
            <v>P Asiatic ( 14 Inch ) 4     Grass</v>
          </cell>
          <cell r="P65" t="str">
            <v>Rajni ( 14 Inch ) 22     Grass</v>
          </cell>
          <cell r="Q65" t="str">
            <v>G n W Car ( 14 Inch ) 22     FF Sachet + Grass</v>
          </cell>
          <cell r="R65" t="str">
            <v>Mix Glad ( 14 Inch ) 22     Grass</v>
          </cell>
          <cell r="S65" t="str">
            <v>Mix Alstroemeria ( 12 Inch ) 22     FF Sachet + Grass</v>
          </cell>
          <cell r="T65" t="str">
            <v>Pur n W Eustoma ( 12 Inch ) 4     FF Sachet + Grass</v>
          </cell>
        </row>
        <row r="66">
          <cell r="A66">
            <v>3128</v>
          </cell>
          <cell r="B66" t="str">
            <v>Shikha Malhotra</v>
          </cell>
          <cell r="C66">
            <v>9873498869</v>
          </cell>
          <cell r="D66" t="str">
            <v>M-254, Park Place</v>
          </cell>
          <cell r="E66" t="str">
            <v>Golf Course Road</v>
          </cell>
          <cell r="F66" t="str">
            <v>Thursday</v>
          </cell>
          <cell r="G66" t="str">
            <v>4 PM to 7 PM</v>
          </cell>
          <cell r="H66">
            <v>1450</v>
          </cell>
          <cell r="I66">
            <v>362.5</v>
          </cell>
          <cell r="J66" t="str">
            <v>Bliss</v>
          </cell>
          <cell r="K66" t="str">
            <v>Skip 2 week after 13th (07/11) Today Hold (04/12) Paytm From Vivek Malhotra //</v>
          </cell>
          <cell r="N66" t="str">
            <v>4  del of this cycle   -  0-cycles pmnt   Completed - Collect 0</v>
          </cell>
          <cell r="O66" t="str">
            <v>Rajni ( 14 Inch ) 16     Grass</v>
          </cell>
          <cell r="P66" t="str">
            <v>P n Y Spray Daisy ( 14 Inch ) 5     FF Sachet + Grass</v>
          </cell>
          <cell r="Q66" t="str">
            <v>Asiatic 3     Grass</v>
          </cell>
          <cell r="R66" t="str">
            <v>G n W Car ( 14 inch ) 16     FF Sachet + Grass</v>
          </cell>
          <cell r="S66" t="str">
            <v>Mix Glad ( 14 Inch ) 16     FF Sachet + Grass</v>
          </cell>
          <cell r="T66" t="str">
            <v>Pur n W Eustoma ( 12 Inch ) 3     FF Sachet + Grass</v>
          </cell>
        </row>
        <row r="67">
          <cell r="A67">
            <v>2655</v>
          </cell>
          <cell r="B67" t="str">
            <v>Komal - Abante</v>
          </cell>
          <cell r="C67" t="str">
            <v>0124-4042908</v>
          </cell>
          <cell r="D67" t="str">
            <v>Abante,C-301-02, 3rd Floor, M3M Urbana, Sec 67</v>
          </cell>
          <cell r="E67" t="str">
            <v>Badshahpur</v>
          </cell>
          <cell r="F67" t="str">
            <v>Sunday</v>
          </cell>
          <cell r="G67" t="str">
            <v>By 12 PM</v>
          </cell>
          <cell r="H67">
            <v>4000</v>
          </cell>
          <cell r="I67">
            <v>500</v>
          </cell>
          <cell r="J67" t="str">
            <v>Corporate</v>
          </cell>
          <cell r="K67" t="str">
            <v>Day Changed to // Send tomorrow (02/10) Send tom (26/01)</v>
          </cell>
          <cell r="N67" t="str">
            <v>2  del of this cycle   -  0-cycles pmnt   In Process - Collect 0</v>
          </cell>
          <cell r="O67" t="e">
            <v>#N/A</v>
          </cell>
          <cell r="P67" t="e">
            <v>#N/A</v>
          </cell>
          <cell r="Q67" t="e">
            <v>#N/A</v>
          </cell>
          <cell r="R67" t="e">
            <v>#N/A</v>
          </cell>
          <cell r="S67" t="str">
            <v xml:space="preserve">Arrangement 1 By 10 AM    </v>
          </cell>
          <cell r="T67" t="str">
            <v xml:space="preserve">Arrangement 1 Delivery by 10 AM    </v>
          </cell>
        </row>
        <row r="68">
          <cell r="A68">
            <v>2355</v>
          </cell>
          <cell r="B68" t="str">
            <v>Convinience Enterprises-Veena Anand</v>
          </cell>
          <cell r="C68">
            <v>9810031208</v>
          </cell>
          <cell r="D68" t="str">
            <v>307, Aralyas, DLF 5</v>
          </cell>
          <cell r="E68" t="str">
            <v>Golf Course Road</v>
          </cell>
          <cell r="F68" t="str">
            <v>Thursday</v>
          </cell>
          <cell r="G68" t="str">
            <v>By 10 AM</v>
          </cell>
          <cell r="H68">
            <v>2750</v>
          </cell>
          <cell r="I68">
            <v>687.5</v>
          </cell>
          <cell r="J68" t="str">
            <v>Corporate</v>
          </cell>
          <cell r="K68" t="str">
            <v>Skip this Thursday and send on Sunday (20/11)Hold and send on 12th Now (31/12) Do Not count last Del (02/07) Skip 1 week (10/09) Skip 2 week (18/05)</v>
          </cell>
          <cell r="N68" t="str">
            <v>2  del of this cycle   -  0-cycles pmnt   In Process - Collect 0</v>
          </cell>
          <cell r="O68" t="e">
            <v>#N/A</v>
          </cell>
          <cell r="P68" t="str">
            <v>Rajni ( 14 Inch ) 32     2 Limonium</v>
          </cell>
          <cell r="Q68" t="str">
            <v>P n Y Spray Daisy ( 14 Inch ) 10     2 Gypsola + FF Sachet</v>
          </cell>
          <cell r="R68" t="str">
            <v>O Asiatic ( 14 Inch ) 6     2 Limonium</v>
          </cell>
          <cell r="S68" t="str">
            <v>Mix Alstroemeria ( 12 Inch ) 32     2 Gypsola + FF Sachet</v>
          </cell>
          <cell r="T68" t="str">
            <v>Mix Glad ( 14 Inch ) 32     2 Limonium</v>
          </cell>
        </row>
        <row r="69">
          <cell r="A69">
            <v>244</v>
          </cell>
          <cell r="B69" t="str">
            <v>Garima jain</v>
          </cell>
          <cell r="C69">
            <v>9958581403</v>
          </cell>
          <cell r="D69" t="str">
            <v xml:space="preserve"> G-901, Central Park 1, Golf Course Road    Sec 42 Gurgaon  122002</v>
          </cell>
          <cell r="E69" t="str">
            <v>Golf Course Road</v>
          </cell>
          <cell r="F69" t="str">
            <v>Thursday</v>
          </cell>
          <cell r="G69" t="str">
            <v>9 AM - 12 PM</v>
          </cell>
          <cell r="H69">
            <v>1450</v>
          </cell>
          <cell r="I69">
            <v>1450</v>
          </cell>
          <cell r="J69" t="str">
            <v>Bliss</v>
          </cell>
          <cell r="K69" t="str">
            <v>Sat to Thurs//Flowers other than Car pl (21/07)Send on Sunday instead of sat this week(19/10) Upgrade to 650 Plan(03/05) Add changed(13/07) NO CAR(07/09) Send a replacement (06/10) NO CAR(13/12) 200 Paytm Done(14/12) paytm of 200 from Anuj sarin(14/12) Sending 30th Del on 29th May(28/05/2020) ONLY LILIES(23/08/20) Day Changed to Saturday(14/10) Skip this week an semd next week(13/03) Hold n start from 29th Jan(25/12 ) Received 200 today via Gpay(26/12) Diff Flowesr every week(08/04)  Sent replacement today(22/04) Skip 1 week(17/06) Today Returned (13/06) Do not Count last Del (17/08) Skip 1 week (22/12) Skip 2 week (23/05) Send on sunday this week (01/10) Return-not at home (23/10) One Payment of 1000 received on 05th Feb (06/03) Returned (04/06)</v>
          </cell>
          <cell r="N69" t="str">
            <v>3  del of this cycle   -  0-cycles pmnt   Completed - Collect 0</v>
          </cell>
          <cell r="O69" t="str">
            <v>Rajni ( 14 Inch ) 16     Grass</v>
          </cell>
          <cell r="P69" t="str">
            <v>O Asiatic ( 14 Inch ) 3     Grass</v>
          </cell>
          <cell r="Q69" t="str">
            <v>P n Y Spray Daisy ( 14 Inch ) 5     FF Sachet + Grass</v>
          </cell>
          <cell r="R69" t="str">
            <v>Mix Glad ( 14 Inch ) 16     Grass</v>
          </cell>
          <cell r="S69" t="str">
            <v>R n W Car ( 14 Inch ) 16     FF Sachet + Grass</v>
          </cell>
          <cell r="T69" t="str">
            <v>Pur n W Eustoma ( 12 Inch ) 3     FF Sachet + Grass</v>
          </cell>
        </row>
        <row r="70">
          <cell r="A70">
            <v>1396</v>
          </cell>
          <cell r="B70" t="str">
            <v>Shalini Malhotra</v>
          </cell>
          <cell r="C70">
            <v>9899897993</v>
          </cell>
          <cell r="D70" t="str">
            <v>2017, The Magnolias</v>
          </cell>
          <cell r="E70" t="str">
            <v>Nirvana Country</v>
          </cell>
          <cell r="F70" t="str">
            <v>Thursday</v>
          </cell>
          <cell r="G70" t="str">
            <v>9 AM - 12 PM</v>
          </cell>
          <cell r="H70">
            <v>2750</v>
          </cell>
          <cell r="I70">
            <v>687.5</v>
          </cell>
          <cell r="J70" t="str">
            <v>Elation</v>
          </cell>
          <cell r="K70" t="str">
            <v>Saturday n Tuesday//Monday and Friday//From Vandana Garg/ NO RAJNI AND GLAD(28/07) NO Glad -send replacement tom(06/08)NO BOP ALSO(31/08) ONLY ROSE//CAR//LILY NOW(16/12)  NO--GULDAWARI/GLADIOLI/RAJNI/BOP(07/02)  NO ROSE//RAJNI//GLAD (24/09) Skip 1 week (11/12) nNo GLAD n RAJNI (26/12) Hold n start from 1st Aug (27/07) Replacement of asiatic sent today (05/08) Skip 1 week (12/08) Now after 27th Dec (18/12) Pls Skip 1 week (27/09) Pls Skip coming 4th (31/12) Hold till 29th Mar (15/03) Hold till 29th Mar (15/03) Do not coint last delivery (03/08) No Del till 07th Apr (20/03) Skip 1 week (11/05)</v>
          </cell>
          <cell r="L70" t="str">
            <v>Orchid n GLAD</v>
          </cell>
          <cell r="N70" t="str">
            <v>1  del of this cycle   -  1-cycles pmnt   Pending - Collect 2750</v>
          </cell>
          <cell r="O70" t="e">
            <v>#N/A</v>
          </cell>
          <cell r="P70" t="e">
            <v>#N/A</v>
          </cell>
          <cell r="Q70" t="e">
            <v>#N/A</v>
          </cell>
          <cell r="R70" t="e">
            <v>#N/A</v>
          </cell>
          <cell r="S70" t="e">
            <v>#N/A</v>
          </cell>
          <cell r="T70" t="str">
            <v>O Asiatic ( 14 Inch ) 6     2 Limonium</v>
          </cell>
        </row>
        <row r="71">
          <cell r="A71">
            <v>326</v>
          </cell>
          <cell r="B71" t="str">
            <v>Radhika Surana-- Before 10</v>
          </cell>
          <cell r="C71">
            <v>9871132800</v>
          </cell>
          <cell r="D71" t="str">
            <v>1204, The Magnolias</v>
          </cell>
          <cell r="E71" t="str">
            <v>Golf Course Road</v>
          </cell>
          <cell r="F71" t="str">
            <v>Thursday</v>
          </cell>
          <cell r="G71" t="str">
            <v>9 AM - 12 PM</v>
          </cell>
          <cell r="H71">
            <v>2750</v>
          </cell>
          <cell r="I71">
            <v>687.5</v>
          </cell>
          <cell r="J71" t="str">
            <v>Elation</v>
          </cell>
          <cell r="K71" t="str">
            <v>NO ORCHIDS, Prefer Lilies,Rajni and Gerbera(04/10) 1 week(22/04) Paytm from Anurag Surana(06/06) Paytm from Anurag Surana(02/07)  NO Orchid n BOP (25/01)  Skip 1 week (28/06) Hold 3rd aug and send on 7th Aug (03/08) Today returned (07/08) Skip this thursday and send on Monday (15/08) After 2nd Oct now (27/09) Skip 1 week (21/10) Hold n send after 8th Jan (13/12) Skip 1 week (30/01) Skip tom n sned on 19th (13/03) Skip 23rd and 30th (16/05) Skip 2 weeks and send mext del on 22nd June (12/06) Skip this week n start from tuesday (24/07) Skip 1 week (20/08) Skip 1 week (03/09) Skip 7th n 14th (06/11) Skip 5th Dec Del (02/12) skip 2 week (21/12) Today Returned (23/01) Skip 1 week and send on sunday (22/02) Skip tom and send on monday (05/03) Skip 1 week (19/03) Skip 2 weeks (05/04) Skip 2 weeks (31/05) Skip 1 week (19/08)  No Del on 18th, 25th and 2nd Oct (14/09) Returned today (09/10) Send this week on sunday and then thursday (05/11) Hold today n next weeks (27/11) Skip 1 week (25/12) Skip 1 week (30/03) Skip 4th n 11th June (28/05)</v>
          </cell>
          <cell r="L71" t="str">
            <v>BOP n ORCHID</v>
          </cell>
          <cell r="N71" t="str">
            <v>2  del of this cycle   -  1-cycles pmnt   Pending - Collect 2750</v>
          </cell>
          <cell r="O71" t="str">
            <v>Pur n P Car ( 14 Inch ) 32     2 Gypsola</v>
          </cell>
          <cell r="P71" t="str">
            <v>P Asiatic ( 14 Inch ) 6  Gate Pass Wahab Ke Pass Hai Collect Payment Collect Payment 2 Limonium</v>
          </cell>
          <cell r="Q71" t="str">
            <v>P n W Spray Daisy ( 14 Inch ) 10     2 Gypsola + FF Sachet</v>
          </cell>
          <cell r="R71" t="str">
            <v>Mix Alstroemeria ( 12 Inch ) 30     2 Limonium + FF Sachet</v>
          </cell>
          <cell r="S71" t="str">
            <v>Red n White Carnation ( 14 Inch ) 32     2 Gypsola + FF Sachet</v>
          </cell>
          <cell r="T71" t="str">
            <v>Pur n W Eustoma ( 12 Inch ) 6     2 Limonium + FF Sachet</v>
          </cell>
        </row>
        <row r="72">
          <cell r="A72">
            <v>2359</v>
          </cell>
          <cell r="B72" t="str">
            <v>Roshni Achpal</v>
          </cell>
          <cell r="C72">
            <v>9711170252</v>
          </cell>
          <cell r="D72" t="str">
            <v>A-102, Belaire</v>
          </cell>
          <cell r="E72" t="str">
            <v>Golf Course Road</v>
          </cell>
          <cell r="F72" t="str">
            <v>Thursday</v>
          </cell>
          <cell r="G72" t="str">
            <v>9 AM - 12 PM</v>
          </cell>
          <cell r="H72">
            <v>1450</v>
          </cell>
          <cell r="I72">
            <v>362.5</v>
          </cell>
          <cell r="J72" t="str">
            <v>Bliss</v>
          </cell>
          <cell r="K72" t="str">
            <v>Gift From Ankita Mehta  // Shift to Delight(04/12) Gpay from Alok Asrani (04/12) Skip 2 week (19/12) No car (01/05) Skip 2 weeks (19/08) No rajni (08/09) Skip 2 week (18/12) No Button Daisy 912/02) Skip 1 week (14/03) Do not count last del (13/05) Skip 1 week (11/06) Skip 1 week (25/07)</v>
          </cell>
          <cell r="L72" t="str">
            <v>Car n Rajni n Buttn Daisies</v>
          </cell>
          <cell r="N72" t="str">
            <v>4  del of this cycle   -  0-cycles pmnt   Completed - Collect 0</v>
          </cell>
          <cell r="O72" t="str">
            <v>O Asiatic ( 14 Inch ) 2     Grass</v>
          </cell>
          <cell r="P72" t="str">
            <v>Mix Alstroemeria ( 12Inch ) 9     FF Sachet + Grass</v>
          </cell>
          <cell r="Q72" t="str">
            <v>G n W Car ( 14 Inch ) 16     FF Sachet + Grass</v>
          </cell>
          <cell r="R72" t="str">
            <v>Mix Glad ( 14 Inch ) 16     Grass</v>
          </cell>
          <cell r="S72" t="str">
            <v>P n Y Spray Daisy ( 14 Inch ) 5     FF Sachet + Grass</v>
          </cell>
          <cell r="T72" t="str">
            <v>O Asiatic ( 14 Inch ) 3     Grass</v>
          </cell>
        </row>
        <row r="73">
          <cell r="A73">
            <v>2037</v>
          </cell>
          <cell r="B73" t="str">
            <v>Sharwan Chopra</v>
          </cell>
          <cell r="C73">
            <v>9971066995</v>
          </cell>
          <cell r="D73" t="str">
            <v>A-223, The Belaire</v>
          </cell>
          <cell r="E73" t="str">
            <v>Golf Course Road</v>
          </cell>
          <cell r="F73" t="str">
            <v>Thursday</v>
          </cell>
          <cell r="G73" t="str">
            <v>10 AM to 2:30 PM</v>
          </cell>
          <cell r="H73">
            <v>1950</v>
          </cell>
          <cell r="I73">
            <v>487.5</v>
          </cell>
          <cell r="J73" t="str">
            <v>Joy</v>
          </cell>
          <cell r="K73" t="str">
            <v>NO Car (15/02) Skip 3 Weeks (12/06) Skip 1 week (28/12) Hold all deliveries till 1st July (12/06) Skip 25th Dec (23/12) Hold due to non payment (29/01) Returned today (04/06) Skip 1 week (16/06)</v>
          </cell>
          <cell r="L73" t="str">
            <v>CAR</v>
          </cell>
          <cell r="N73" t="str">
            <v>2  del of this cycle   -  0-cycles pmnt   Completed - Collect 0</v>
          </cell>
          <cell r="O73" t="str">
            <v>Rajni ( 14 Inch ) 22     Grass</v>
          </cell>
          <cell r="P73" t="str">
            <v>O Asiatic ( ( 14 inch ) 4     Grass</v>
          </cell>
          <cell r="Q73" t="str">
            <v>P n W Spray Daisy ( 14 Inch ) 7     FF Sachet + Grass</v>
          </cell>
          <cell r="R73" t="str">
            <v>Mix Glad ( 14 Inch ) 22     Grass</v>
          </cell>
          <cell r="S73" t="str">
            <v>Mix Alstroemeria ( 12 Inch ) 22     FF Sachet + Grass</v>
          </cell>
          <cell r="T73" t="str">
            <v>Pur n W Eustoma ( 12 Inch ) 4     FF Sachet + Grass</v>
          </cell>
        </row>
        <row r="74">
          <cell r="A74">
            <v>203</v>
          </cell>
          <cell r="B74" t="str">
            <v>Alok divatia -- After 10 AM</v>
          </cell>
          <cell r="C74">
            <v>9819355743</v>
          </cell>
          <cell r="D74" t="str">
            <v>BLC 263, 26th Floor, Tower C, The Belaire</v>
          </cell>
          <cell r="E74" t="str">
            <v>Golf Course Road</v>
          </cell>
          <cell r="F74" t="str">
            <v>Thursday</v>
          </cell>
          <cell r="G74" t="str">
            <v>9 AM - 12 PM</v>
          </cell>
          <cell r="H74">
            <v>8648</v>
          </cell>
          <cell r="I74">
            <v>2162</v>
          </cell>
          <cell r="J74" t="str">
            <v>Customized</v>
          </cell>
          <cell r="K74" t="str">
            <v>Tues to Thurs//After 10 AM, Lilis only and 12 lilies + 24 carnations, Never combo of Red n white, all flowers shd be of diff color(12/06)Skip tom n then on Tuesday(08/09) Return-send tom(16/12) NO ROSE(20/12) 14 Lily and 24 Car(24/09) Send 18 spray daisy instead of Asiatic next(30/03) Change package cost to 6300(20/07) Hold from today (05/12)</v>
          </cell>
          <cell r="N74" t="str">
            <v>2  del of this cycle   -  0-cycles pmnt   Completed - Collect 0</v>
          </cell>
          <cell r="O74" t="str">
            <v>Y n P Asiatic ( 14 Inch ) 14 Pur n W Car ( 14 Inch ) 24   4 Areca Palm + 2 Gypsola + 2 Limonium</v>
          </cell>
          <cell r="P74" t="str">
            <v xml:space="preserve">O n W Asiatic ( 14 inch ) 14 P n W Car ( 14 Inch ) 24   </v>
          </cell>
          <cell r="Q74" t="str">
            <v>O n P Asiatic  ( 14 Inch ) 14 G n W Car ( 14 Inch ) 24   4 Areca Palm + 2 Gypsola + 2 Limonium</v>
          </cell>
          <cell r="R74" t="str">
            <v>Y n W Asiatic ( 14 Inch ) 14 Pur n P Car ( 14 Inch ) 24   4 Areca Palm + 2 Gypsola + 2 Limonium</v>
          </cell>
          <cell r="S74" t="str">
            <v>O n W Asiatic ( 14 Inch ) 14 P n W Car ( 14 inch ) 24   4 Areca Palm + 2 Gypsola + 2 Limonium</v>
          </cell>
          <cell r="T74" t="str">
            <v>O Asiatic ( 14 Inch ) 14 R n P Car ( 14 Inch ) 24   4 Areca palm + 2 Gypsola + 2 Limonium</v>
          </cell>
        </row>
        <row r="75">
          <cell r="A75">
            <v>221</v>
          </cell>
          <cell r="B75" t="str">
            <v>Convinience Enterprises-Sonali anand</v>
          </cell>
          <cell r="C75">
            <v>9810524040</v>
          </cell>
          <cell r="D75" t="str">
            <v>E-243 belaire apartments</v>
          </cell>
          <cell r="E75" t="str">
            <v>Golf Course Road</v>
          </cell>
          <cell r="F75" t="str">
            <v>Thursday</v>
          </cell>
          <cell r="G75" t="str">
            <v>9 AM - 12 PM</v>
          </cell>
          <cell r="H75">
            <v>2750</v>
          </cell>
          <cell r="I75">
            <v>687.5</v>
          </cell>
          <cell r="J75" t="str">
            <v>Corporate</v>
          </cell>
          <cell r="K75" t="str">
            <v>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v>
          </cell>
          <cell r="N75" t="str">
            <v>4  del of this cycle   -  0-cycles pmnt   In Process - Collect 0</v>
          </cell>
          <cell r="O75" t="str">
            <v xml:space="preserve">P Asiatic ( 14 Inch ) 6     </v>
          </cell>
          <cell r="P75" t="str">
            <v>R n W Car ( 14 Inch ) 32     2 Limonium + FF Sachet</v>
          </cell>
          <cell r="Q75" t="str">
            <v>P n Y Spray Daisy ( 14 Inch ) 10     2 Gypsola + FF Sachet</v>
          </cell>
          <cell r="R75" t="str">
            <v>O Asiatic ( 14 Inch ) 6     2 Limonium</v>
          </cell>
          <cell r="S75" t="str">
            <v>Mix Alstroemeria ( 12 Inch ) 32     2 Gypsola + FF Sachet</v>
          </cell>
          <cell r="T75" t="str">
            <v>Mix Glad ( 14 Inch ) 32     2 Limonium</v>
          </cell>
        </row>
        <row r="76">
          <cell r="A76">
            <v>3097</v>
          </cell>
          <cell r="B76" t="str">
            <v>Jamie Miller</v>
          </cell>
          <cell r="C76">
            <v>7428737502</v>
          </cell>
          <cell r="D76" t="str">
            <v>D-072, The DLF Crest</v>
          </cell>
          <cell r="E76" t="str">
            <v>Golf Course Road</v>
          </cell>
          <cell r="F76" t="str">
            <v>Thursday</v>
          </cell>
          <cell r="G76" t="str">
            <v>9:30 Am to 2 PM</v>
          </cell>
          <cell r="H76">
            <v>2750</v>
          </cell>
          <cell r="I76">
            <v>687.5</v>
          </cell>
          <cell r="J76" t="str">
            <v>Elation</v>
          </cell>
          <cell r="K76" t="str">
            <v>From James Brittan // Skip 2 week (20/12) Today Returned (22/01) Skip 3 weeks (26/01) Skip 1 week (17/03) Skip 2 week (31/05) Skip 2 weeks (03/07)</v>
          </cell>
          <cell r="N76" t="str">
            <v>2  del of this cycle   -  0-cycles pmnt   Completed - Collect 0</v>
          </cell>
          <cell r="O76" t="str">
            <v xml:space="preserve">Pur n P Eustoma ( 12 Inch ) 4 Rajni ( 14 Inch ) 16   </v>
          </cell>
          <cell r="P76" t="e">
            <v>#N/A</v>
          </cell>
          <cell r="Q76" t="e">
            <v>#N/A</v>
          </cell>
          <cell r="R76" t="str">
            <v>Y Asiatic ( 14 inch ) 3 G n W Car ( 14 Inch ) 16   2 Limonium</v>
          </cell>
          <cell r="S76" t="str">
            <v>BOP ( 15 Inch ) 3 Mix Alstroemeria ( 12 Inch ) 16   2 Gypsola + FF Sachet</v>
          </cell>
          <cell r="T76" t="str">
            <v>G n P Spray Daisy ( 14 Inch ) 5 Mix Glad ( 14 Inch ) 16   2 Limonium + FF Sachet</v>
          </cell>
        </row>
        <row r="77">
          <cell r="A77">
            <v>884</v>
          </cell>
          <cell r="B77" t="str">
            <v>Bhavna Taneja</v>
          </cell>
          <cell r="C77">
            <v>9811192021</v>
          </cell>
          <cell r="D77" t="str">
            <v>F-214, DLF The Crest,Sec-54</v>
          </cell>
          <cell r="E77" t="str">
            <v>Golf Course Road</v>
          </cell>
          <cell r="F77" t="str">
            <v>Thursday</v>
          </cell>
          <cell r="G77" t="str">
            <v>9:30 AM to 2 PM</v>
          </cell>
          <cell r="H77">
            <v>1950</v>
          </cell>
          <cell r="I77">
            <v>487.5</v>
          </cell>
          <cell r="J77" t="str">
            <v>Joy</v>
          </cell>
          <cell r="K77" t="str">
            <v>Send 2 Stick exytra next(14/09) Send lilies next(27/09) Send Tom instead of Sat and send Lilies(22/10) Send del tom with Orchids(30/10) Send 2 Asiatic on Friday instead of satirday(21/11) Google Pay from Harsh Taneja(08/02) Send on 20th and don’t send on 22nd(15/02) Hold n start from 7th Mar (20/02) TRY FOR WEDNESDAY(19/05/20) Send next del on friday with 2 extra Asiatic lily for 200Rs.(27/05/2020) Sending 30th Del on 29th May(28/05/2020) UPI From Harsh Vir Taneja(05/06/2020) Upgrade to 850 (30/07/20) Send Tom instead of 30th Oct)(27/10) Sending tom due to Diwali(11/11) Change to Bloom Pack(08/04) Next del on Monday (23/12) Send Lilies Next (24/12) Dont send on thursday -- send on Monday (04/01) NO BOP n GULDAWARI (29/01) Skip this monday and send on tuesday this week (16/05) Skip this wek and send on Thursday (26/08) Skip next thursday and sned on sunday (22/03) Skip 2 wek (02/06) Skip tom n send on sunday (26/06) No GERBERA (01/08) 1000 cash and 250 via paytm (21/11) Send on tuesday this week (22/12) Paytm from Harshveer Taneja (16/05) Payment REceived on 08th May also via Cash(18/05) skip 1 week (31/05) Skip 1 week (20/12) Start from 25th June (12/06)</v>
          </cell>
          <cell r="L77" t="str">
            <v>GULDAWARI n BOP n GERBERA</v>
          </cell>
          <cell r="M77" t="str">
            <v>Mixed Now</v>
          </cell>
          <cell r="N77" t="str">
            <v>3  del of this cycle   -  0-cycles pmnt   CompletedNO COLLECTION-we have extra money - Collect -50</v>
          </cell>
          <cell r="O77" t="str">
            <v>Sunflower ( 12 Inch ) 4    Collect Payment FF Sachet + Grass</v>
          </cell>
          <cell r="P77" t="str">
            <v>Rajni ( 14 Inch ) 16     Grass</v>
          </cell>
          <cell r="Q77" t="str">
            <v>P Asiatic ( 14 Inch ) 3     Grass</v>
          </cell>
          <cell r="R77" t="str">
            <v>Mix Glad ( 14 Inch ) 22     Grass</v>
          </cell>
          <cell r="S77" t="str">
            <v>P n Y Spray Daisy ( 14 Inch ) 7     FF Sachet + Grass</v>
          </cell>
          <cell r="T77" t="str">
            <v>R n W Car ( 14 Inch ) 22     FF Sachet + Grass</v>
          </cell>
        </row>
        <row r="78">
          <cell r="A78">
            <v>2684</v>
          </cell>
          <cell r="B78" t="str">
            <v>Meenakshi Bhatia</v>
          </cell>
          <cell r="C78">
            <v>9958428097</v>
          </cell>
          <cell r="D78" t="str">
            <v>T-E/244, The Crest</v>
          </cell>
          <cell r="E78" t="str">
            <v>Golf Course Road</v>
          </cell>
          <cell r="F78" t="str">
            <v>Thursday</v>
          </cell>
          <cell r="G78" t="str">
            <v>9 AM - 12 PM</v>
          </cell>
          <cell r="H78">
            <v>2750</v>
          </cell>
          <cell r="I78">
            <v>687.5</v>
          </cell>
          <cell r="J78" t="str">
            <v>Elation</v>
          </cell>
          <cell r="K78" t="str">
            <v>Hold she will confirm (17/05) Send on Sunday this week (23/05) Next Del on Sunday (29/05) 1 Spray daisy next (22/06) Send anthurium n BOP too (19/07) Skip 1 week (02/08) Skip 1 week and confirm before sending (24/08) Change day to Thursday (25/10) Today Hold (06/11) Send del on sunday and then from 18th (12/12) Skip 1 week (07/04)</v>
          </cell>
          <cell r="M78" t="str">
            <v>Send BOP and Anthuriums too (10/07) Chcek before sending (24/08)</v>
          </cell>
          <cell r="N78" t="str">
            <v>2  del of this cycle   -  0-cycles pmnt   Completed - Collect 0</v>
          </cell>
          <cell r="O78" t="e">
            <v>#N/A</v>
          </cell>
          <cell r="P78" t="e">
            <v>#N/A</v>
          </cell>
          <cell r="Q78" t="e">
            <v>#N/A</v>
          </cell>
          <cell r="R78" t="str">
            <v>Y Asiatic ( 14 inch ) 3 G n W Car ( 14 Inch ) 16   2 Gypsola</v>
          </cell>
          <cell r="S78" t="str">
            <v>Pur n P Eustoma ( 12 Inch ) 4 Mix Alstroemeria ( 12 Inch ) 16   2 Gypsola + FF Sachet</v>
          </cell>
          <cell r="T78" t="str">
            <v>G n P Spray Daisy ( 14 Inch ) 5 Mix Glad ( 14 Inch ) 16   2 Limonium + FF Sachet</v>
          </cell>
        </row>
        <row r="79">
          <cell r="A79">
            <v>3326</v>
          </cell>
          <cell r="B79" t="str">
            <v>Ms. Rani</v>
          </cell>
          <cell r="C79">
            <v>9313104941</v>
          </cell>
          <cell r="D79" t="str">
            <v>J-151, Park Place</v>
          </cell>
          <cell r="E79" t="str">
            <v>DLF Phase 5</v>
          </cell>
          <cell r="F79" t="str">
            <v>Thursday</v>
          </cell>
          <cell r="G79" t="str">
            <v>9 AM to 2 PM</v>
          </cell>
          <cell r="H79">
            <v>1450</v>
          </cell>
          <cell r="I79">
            <v>362.5</v>
          </cell>
          <cell r="J79" t="str">
            <v>Bliss</v>
          </cell>
          <cell r="K79" t="str">
            <v>Start From July (06/06)</v>
          </cell>
          <cell r="N79" t="str">
            <v>2  del of this cycle   -  1-cycles pmnt   Pending - Collect 1450</v>
          </cell>
          <cell r="O79" t="str">
            <v>Pur n P Car ( 14 Inch ) 16     FF Sachet + Grass</v>
          </cell>
          <cell r="P79" t="str">
            <v>W Asiatic ( 14 Inch ) 3   Collect Payment Collect Payment Grass</v>
          </cell>
          <cell r="Q79" t="str">
            <v>P n W Glad ( 14 Inch ) 16     Grass</v>
          </cell>
          <cell r="R79" t="str">
            <v>P n Y Spray Daisy ( 14 Inch ) 5     FF Sachet + Grass</v>
          </cell>
          <cell r="S79" t="str">
            <v>Mix Alstroemeria ( 12 Inch ) 16     FF Sachet + Grass</v>
          </cell>
          <cell r="T79" t="str">
            <v>Pur n W Eustoma ( 12 Inch ) 3   Ensure Collection Ensure Collection FF Sachet + Grass</v>
          </cell>
        </row>
        <row r="80">
          <cell r="A80">
            <v>3393</v>
          </cell>
          <cell r="B80" t="str">
            <v>Runul Vashishtha</v>
          </cell>
          <cell r="C80">
            <v>9871812384</v>
          </cell>
          <cell r="D80" t="str">
            <v>C-84, DLF Park Place, Park Drive, GCR</v>
          </cell>
          <cell r="E80" t="str">
            <v>Golf Course Road</v>
          </cell>
          <cell r="F80" t="str">
            <v>Thursday</v>
          </cell>
          <cell r="G80" t="str">
            <v>9 AM to 2 PM</v>
          </cell>
          <cell r="H80">
            <v>1450</v>
          </cell>
          <cell r="I80">
            <v>362.5</v>
          </cell>
          <cell r="J80" t="str">
            <v>Bliss</v>
          </cell>
          <cell r="N80" t="str">
            <v>2  del of this cycle   -  0-cycles pmnt   Completed - Collect 0</v>
          </cell>
          <cell r="O80" t="str">
            <v>Pur n P Car ( 14 Inch ) 16     FF Sachet + Grass</v>
          </cell>
          <cell r="P80" t="str">
            <v>P Asiatic ( 14 Inch ) 3     Grass</v>
          </cell>
          <cell r="Q80" t="str">
            <v>P n W Glad ( 14 Inch ) 16     Grass</v>
          </cell>
          <cell r="R80" t="str">
            <v>P n Y Spray Daisy ( 14 Inch ) 5     FF Sachet + Grass</v>
          </cell>
          <cell r="S80" t="str">
            <v>Mix Alstroemeria ( 12 Inch ) 16   Ensure Collection  FF Sachet + Grass</v>
          </cell>
          <cell r="T80" t="str">
            <v>Pur n W Eustoma ( 12 Inch ) 3     FF Sachet + Grass</v>
          </cell>
        </row>
        <row r="81">
          <cell r="A81">
            <v>309</v>
          </cell>
          <cell r="B81" t="str">
            <v>Ms Swati Bhise--before 10</v>
          </cell>
          <cell r="C81">
            <v>9811806611</v>
          </cell>
          <cell r="D81" t="str">
            <v xml:space="preserve">TG-5/4B Orchid Garden Sun city Sec - 54 </v>
          </cell>
          <cell r="E81" t="str">
            <v>Golf Course Road</v>
          </cell>
          <cell r="F81" t="str">
            <v>Thursday</v>
          </cell>
          <cell r="G81" t="str">
            <v>9 AM - 12 PM</v>
          </cell>
          <cell r="H81">
            <v>2750</v>
          </cell>
          <cell r="I81">
            <v>687.5</v>
          </cell>
          <cell r="J81" t="str">
            <v>Elation</v>
          </cell>
          <cell r="K81" t="str">
            <v>Sunday to thurs//Orchid in 1st Del and no Rose/Rajni/Gerbera till they come in good shape(08/07) Next B or W Orchid(02/12) Car Next(09/12) Next Orchid(06/01) Orchid Next(10/02)  Gerbera tom(13/08)NEVER PURPLE ORCHID--SEND W n B ORCHID Next(22/09) Y Asiatic Next(03/11)  Send 1 Del tom (02/07) Orchid Next (27/07) Skip 1 week (20/11) Send 1 Del Tom (10/02) Skip next Del (16/02) Hold n start from 10th June (20/03) Today Returned again (04/07) Returned again (11/07) Send this thursday and then skip 1 week (23/07) Hold today (08/08) Skip 2 more weeks (09/08) Today Returned (21/11) Skip 1 week (11/12) Skip 1 week (24/12) Skip 1 more week (25/01) Skip 1 week (18/02) Hold till 9th Mar (24/02) Hold now (11/09) Skip next week (27/11) Return today (18/12) Today Returned again (25/12) Skip tom (18/02) Skip 1 week (28/02) Skip 1 week (19/03) Skip 1 week (21/03)  Skip tom (09/04) Skip next week (16/04) Skip 3 week (20/04) Skip 1 week (14/05) Skip 1 week (17/05) Skip 1 week (03/06) Skip next week (02/07)</v>
          </cell>
          <cell r="M81" t="str">
            <v>Upgrade to Elation next (14/08)</v>
          </cell>
          <cell r="N81" t="str">
            <v>3  del of this cycle   -  0-cycles pmnt   Completed - Collect 0</v>
          </cell>
          <cell r="O81" t="str">
            <v xml:space="preserve">Pur n P Car ( 14 Inch ) 32     2 Gypsola + FF Sachet </v>
          </cell>
          <cell r="P81" t="e">
            <v>#N/A</v>
          </cell>
          <cell r="Q81" t="str">
            <v>O Asiatic ( 14 Inch ) 6     2 Gypsola</v>
          </cell>
          <cell r="R81" t="str">
            <v>B Orchid  10     2 Limonium + FF Sachet</v>
          </cell>
          <cell r="S81" t="str">
            <v>P n Y Spray Daisy ( 14 Inch ) 10     2 Gypsola + FF Sachet</v>
          </cell>
          <cell r="T81" t="str">
            <v>Mix Glad ( 14 Inch ) 32     2 Limonium</v>
          </cell>
        </row>
        <row r="82">
          <cell r="A82">
            <v>2716</v>
          </cell>
          <cell r="B82" t="str">
            <v>Simmi Chopra</v>
          </cell>
          <cell r="C82">
            <v>9891744488</v>
          </cell>
          <cell r="D82" t="str">
            <v>B/145, Suncity, Golf Course Road</v>
          </cell>
          <cell r="E82" t="str">
            <v>Golf Course Road</v>
          </cell>
          <cell r="F82" t="str">
            <v>Thursday</v>
          </cell>
          <cell r="G82" t="str">
            <v>9 AM - 12 PM</v>
          </cell>
          <cell r="H82">
            <v>2750</v>
          </cell>
          <cell r="I82">
            <v>687.5</v>
          </cell>
          <cell r="J82" t="str">
            <v>Elation</v>
          </cell>
          <cell r="K82" t="str">
            <v>Upgrade to Elation (27/08) Send 10 B daisy next extra (04/10) Today Hold (04/12) Send one Del Tom (30/12)</v>
          </cell>
          <cell r="M82" t="str">
            <v>Send on del tom and no del on 1st Jan (30/12)</v>
          </cell>
          <cell r="N82" t="str">
            <v>3  del of this cycle   -  0-cycles pmnt   Completed - Collect 0</v>
          </cell>
          <cell r="O82" t="str">
            <v xml:space="preserve">P n W Spray Daisy ( 14 Inch ) 5 Rajni ( 14 Inch ) 16   2 Gypsola + FF Sachet </v>
          </cell>
          <cell r="P82" t="str">
            <v>Sunflower ( 12 Inch ) 4 Mix Alstroemeria ( 12 Inch ) 16   2 Limonium + FF Sachet</v>
          </cell>
          <cell r="Q82" t="str">
            <v>O Asiatic ( 14 Inch ) 3 P n W Glad ( 14 Inch ) 16   2 Gypsola</v>
          </cell>
          <cell r="R82" t="str">
            <v>Pur n P Eustoma ( 12 Inch ) 4 G n W Car ( 14 Inch ) 16   2 Limonium + FF Sachet</v>
          </cell>
          <cell r="S82" t="str">
            <v>P n Y Spray Daisy ( 14 Inch ) 5 Mix Alstroemeria ( 12 Inch ) 16 Ensure Collection  2 Gypsola + FF Sachet</v>
          </cell>
          <cell r="T82" t="str">
            <v>O Asiatic ( 14 Inch ) 3 Mix Glad ( 14 Inch ) 16   2 Limonium + FF Sachet</v>
          </cell>
        </row>
        <row r="83">
          <cell r="A83">
            <v>3063</v>
          </cell>
          <cell r="B83" t="str">
            <v>Shinjini Mehrotra</v>
          </cell>
          <cell r="C83">
            <v>9810198315</v>
          </cell>
          <cell r="D83" t="str">
            <v>F-109, 2nd Floor, Suncity</v>
          </cell>
          <cell r="E83" t="str">
            <v>Golf Course Road</v>
          </cell>
          <cell r="F83" t="str">
            <v>Thursday</v>
          </cell>
          <cell r="G83" t="str">
            <v>9 AM - 12 PM</v>
          </cell>
          <cell r="H83">
            <v>1450</v>
          </cell>
          <cell r="I83">
            <v>362.5</v>
          </cell>
          <cell r="J83" t="str">
            <v>Bliss</v>
          </cell>
          <cell r="K83" t="str">
            <v>Hold 4 Weeks (04/12) Skip 1 week (14/02) Skip 2 week (28/02) Skip 1 week  (01/04) Hold till 29th Apr (06/04)</v>
          </cell>
          <cell r="N83" t="str">
            <v>1  del of this cycle   -  1-cycles pmnt   Pending - Collect 1350</v>
          </cell>
          <cell r="O83" t="str">
            <v>P Asiatic ( 14 Inch ) 3     Grass</v>
          </cell>
          <cell r="P83" t="str">
            <v>Rajni ( 14 Inch ) 16     Grass</v>
          </cell>
          <cell r="Q83" t="str">
            <v>G n W Car ( 14 Inch ) 16     FF Sachet + Grass</v>
          </cell>
          <cell r="R83" t="str">
            <v>P n Y Spray Daisy ( 14 Inch ) 5     FF Sachet + Grass</v>
          </cell>
          <cell r="S83" t="str">
            <v>Mix Alstroemeria ( 12 Inch ) 16     FF Sachet + Grass</v>
          </cell>
          <cell r="T83" t="str">
            <v>Mix Glad ( 14 Inch ) 16     Grass</v>
          </cell>
        </row>
        <row r="84">
          <cell r="A84">
            <v>19</v>
          </cell>
          <cell r="B84" t="str">
            <v>Mrs. Geeta Chopra</v>
          </cell>
          <cell r="C84">
            <v>9811373448</v>
          </cell>
          <cell r="D84" t="str">
            <v>E-64,Ground Floor,Suncity,Sec-54</v>
          </cell>
          <cell r="E84" t="str">
            <v>Golf Course Road</v>
          </cell>
          <cell r="F84" t="str">
            <v>Thursday</v>
          </cell>
          <cell r="G84" t="str">
            <v>9 AM - 12 PM</v>
          </cell>
          <cell r="H84">
            <v>1450</v>
          </cell>
          <cell r="I84">
            <v>362.5</v>
          </cell>
          <cell r="J84" t="str">
            <v>Bliss</v>
          </cell>
          <cell r="K84" t="str">
            <v>Sunday to Thurs//No Rajni (22/05)NO GERBERA(11/08), next time 3 sticks extra (30/3) Send replacement with 3 sticks extra tom and send special pack too(14/04) NO GLAD(22/06) NO ORCHID(13/07) Send FF Next Week(20/07) FF Sold today(27/07) Add Changed(20/12) SEND ALL FLOWERS(18/02) START WITH 650 PLAN(19/05/20) Send Replacement(14/07) Send Replacement (04/11) Hold due to non payment (02/01) Hold due to non payment (08/01) today missed send on sunday (28/05) HDTNP (29/07)</v>
          </cell>
          <cell r="N84" t="str">
            <v>4  del of this cycle   -  0-cycles pmnt   Completed - Collect 0</v>
          </cell>
          <cell r="O84" t="str">
            <v>Pur n P Car ( 14 Inch ) 16    Collect Payment FF Sachet + Grass</v>
          </cell>
          <cell r="P84" t="str">
            <v>Sunflower ( 12 Inch ) 4     FF Sachet + Grass</v>
          </cell>
          <cell r="Q84" t="str">
            <v>P n W Glad ( 14 Inch ) 16     Grass</v>
          </cell>
          <cell r="R84" t="str">
            <v>P n Y Spray Daisy ( 14 Inch ) 5   Ensure Collection Ensure Collection FF Sachet + Grass</v>
          </cell>
          <cell r="S84" t="str">
            <v>Pink n White  16     FF Sachet + Grass</v>
          </cell>
          <cell r="T84" t="str">
            <v>Pur n W Eustoma ( 12 Inch ) 3     FF Sachet + Grass</v>
          </cell>
        </row>
        <row r="85">
          <cell r="A85">
            <v>2666</v>
          </cell>
          <cell r="B85" t="str">
            <v>Gunjan Malhotra</v>
          </cell>
          <cell r="C85">
            <v>9971518253</v>
          </cell>
          <cell r="D85" t="str">
            <v>H. No. 298C, 1st Floor, Block G, Sushant Lok-2</v>
          </cell>
          <cell r="E85" t="str">
            <v>Artemis</v>
          </cell>
          <cell r="F85" t="str">
            <v>Thursday</v>
          </cell>
          <cell r="G85" t="str">
            <v>4 PM to 7 PM</v>
          </cell>
          <cell r="H85">
            <v>1450</v>
          </cell>
          <cell r="I85">
            <v>362.5</v>
          </cell>
          <cell r="J85" t="str">
            <v>Bliss</v>
          </cell>
          <cell r="K85" t="str">
            <v>Paytm From Gunjan Malhotra // Hold n start from 04th Sep (02/08) Change day to Thursday (31/08) Do not count last Del (20/12) Skip 1 week (02/02) Skip 1 week (25/03)</v>
          </cell>
          <cell r="N85" t="str">
            <v>4  del of this cycle   -  0-cycles pmnt   Completed - Collect 0</v>
          </cell>
          <cell r="O85" t="str">
            <v>P Asiatic ( 14 Inch ) 3     Grass</v>
          </cell>
          <cell r="P85" t="str">
            <v>Rajni ( 14 Inch ) 16     Grass</v>
          </cell>
          <cell r="Q85" t="str">
            <v>G n W Car ( 14 Inch ) 16     FF Sachet + Grass</v>
          </cell>
          <cell r="R85" t="str">
            <v>P n Y Spray Daisy ( 14 Inch ) 5     FF Sachet + Grass</v>
          </cell>
          <cell r="S85" t="str">
            <v>Mix Glad ( 14 Inch ) 16     FF Sachet + Grass</v>
          </cell>
          <cell r="T85" t="str">
            <v>Mix Alstroemeria ( 12 Inch ) 16     FF Sachet + Grass</v>
          </cell>
        </row>
        <row r="86">
          <cell r="A86">
            <v>3385</v>
          </cell>
          <cell r="B86" t="str">
            <v>Srishti Verma</v>
          </cell>
          <cell r="C86">
            <v>9604584926</v>
          </cell>
          <cell r="D86" t="str">
            <v>H. No. 126, Flat No. 302, Road D3, Indira Colony, Sec 52</v>
          </cell>
          <cell r="E86" t="str">
            <v>Artemis</v>
          </cell>
          <cell r="F86" t="str">
            <v>Thursday</v>
          </cell>
          <cell r="G86" t="str">
            <v>4 Pm to 7 PM</v>
          </cell>
          <cell r="H86">
            <v>1950</v>
          </cell>
          <cell r="I86">
            <v>487.5</v>
          </cell>
          <cell r="J86" t="str">
            <v>Joy</v>
          </cell>
          <cell r="K86" t="str">
            <v>Skip 1 Week (06/07) Skip 1 week (29/07) Do not count last Del (01/08)</v>
          </cell>
          <cell r="N86" t="str">
            <v>1  del of this cycle   -  1-cycles pmnt   Pending - Collect 1950</v>
          </cell>
          <cell r="O86" t="str">
            <v>O Asiatic ( 14 Inch ) 4     Grass</v>
          </cell>
          <cell r="P86" t="e">
            <v>#N/A</v>
          </cell>
          <cell r="Q86" t="str">
            <v>Mix Car ( 14 Inch ) 22     FF Sachet + Grass</v>
          </cell>
          <cell r="R86" t="str">
            <v>P n Y Spray Daisy ( 14 Inch ) 7     FF Sachet + Grass</v>
          </cell>
          <cell r="S86" t="str">
            <v>Mix Glad ( 14 Inch ) 22   Ensure Collection Ensure Collection FF Sachet + Grass</v>
          </cell>
          <cell r="T86" t="str">
            <v>Pur n W Eustoma ( 12 Inch ) 4     FF Sachet + Grass</v>
          </cell>
        </row>
        <row r="87">
          <cell r="A87" t="str">
            <v>G-00068</v>
          </cell>
          <cell r="B87" t="str">
            <v>Pahel Goyal</v>
          </cell>
          <cell r="C87">
            <v>9755147590</v>
          </cell>
          <cell r="D87" t="str">
            <v>212, 2nd Floor, Axon Corporate Stays, Near Artemis Hospital</v>
          </cell>
          <cell r="E87" t="str">
            <v>Artemis</v>
          </cell>
          <cell r="F87" t="str">
            <v>Thursday</v>
          </cell>
          <cell r="G87" t="str">
            <v>5:30 to 7:30 PM</v>
          </cell>
          <cell r="H87">
            <v>1450</v>
          </cell>
          <cell r="I87">
            <v>362.5</v>
          </cell>
          <cell r="J87" t="str">
            <v>Bliss</v>
          </cell>
          <cell r="K87" t="str">
            <v>From 7597216412 send one transparent Vase also with Pink Ribbon// Saw you smiling wide, holding that flower and couldn’t take my eyes off after that. You are not alone, as these cute flowers will always be there for my beautiful pamsiee. Take full care of them with your sweet smile and comfy water. Love you.</v>
          </cell>
          <cell r="N87" t="str">
            <v>1  del of this cycle   -  0-cycles pmnt   Completed - Collect 0</v>
          </cell>
          <cell r="O87" t="e">
            <v>#N/A</v>
          </cell>
          <cell r="P87" t="e">
            <v>#N/A</v>
          </cell>
          <cell r="Q87" t="e">
            <v>#N/A</v>
          </cell>
          <cell r="R87" t="e">
            <v>#N/A</v>
          </cell>
          <cell r="S87" t="e">
            <v>#N/A</v>
          </cell>
          <cell r="T87" t="str">
            <v>P n W car ( 14 Inch ) 16 1 BMF Vase with Ribbon Message   FF Sachet + Grass</v>
          </cell>
        </row>
        <row r="88">
          <cell r="A88">
            <v>3212</v>
          </cell>
          <cell r="B88" t="str">
            <v>Sheeba Rana</v>
          </cell>
          <cell r="C88">
            <v>9958849523</v>
          </cell>
          <cell r="D88" t="str">
            <v>T-14/1202, The Close North</v>
          </cell>
          <cell r="E88" t="str">
            <v>Nirvana Country</v>
          </cell>
          <cell r="F88" t="str">
            <v>Thursday</v>
          </cell>
          <cell r="G88" t="str">
            <v>4 Pm to 7 PM</v>
          </cell>
          <cell r="H88">
            <v>1450</v>
          </cell>
          <cell r="I88">
            <v>1450</v>
          </cell>
          <cell r="J88" t="str">
            <v>Bliss</v>
          </cell>
          <cell r="K88" t="str">
            <v>Skip 1 week (31/12)</v>
          </cell>
          <cell r="N88" t="str">
            <v>3  del of this cycle   -  0-cycles pmnt   Completed - Collect 0</v>
          </cell>
          <cell r="O88" t="str">
            <v>P n Y Spray Daisy ( 14 Inch ) 5     FF Sachet + Grass</v>
          </cell>
          <cell r="P88" t="str">
            <v>Rajni ( 14 Inch ) 16     Grass</v>
          </cell>
          <cell r="Q88" t="str">
            <v>O Asiatic 2     Grass</v>
          </cell>
          <cell r="R88" t="str">
            <v>G n W Car ( 14 inch ) 16     Grass</v>
          </cell>
          <cell r="S88" t="str">
            <v>M n W  Spray Daisy ( 14 Inch ) 5     FF Sachet + Grass</v>
          </cell>
          <cell r="T88" t="str">
            <v>Mix Glad ( 14 Inch ) 16     Grass</v>
          </cell>
        </row>
        <row r="89">
          <cell r="A89">
            <v>1978</v>
          </cell>
          <cell r="B89" t="str">
            <v>Anu-- After 6 PM</v>
          </cell>
          <cell r="C89" t="str">
            <v>98103 39602</v>
          </cell>
          <cell r="D89" t="str">
            <v xml:space="preserve">Tower 6, 901 Fresco </v>
          </cell>
          <cell r="E89" t="str">
            <v>Nirvana Country</v>
          </cell>
          <cell r="F89" t="str">
            <v>Thursday</v>
          </cell>
          <cell r="G89" t="str">
            <v>4 Pm to 7 PM</v>
          </cell>
          <cell r="H89">
            <v>4850</v>
          </cell>
          <cell r="I89">
            <v>606.25</v>
          </cell>
          <cell r="J89" t="str">
            <v>Poise</v>
          </cell>
          <cell r="K89"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89" t="str">
            <v>ROSE n RAJNI n HELICONIA n BOP</v>
          </cell>
          <cell r="M89" t="str">
            <v>after 6 pm on 19th (16/04)</v>
          </cell>
          <cell r="N89" t="str">
            <v>8  del of this cycle   -  0-cycles pmnt   Completed - Collect 0</v>
          </cell>
          <cell r="O89" t="str">
            <v>O Asiatic ( 14 Inch ) 2 Sunflower ( 12 Inch ) 4 Pur n P Car ( 14 Inch ) 12 Grass</v>
          </cell>
          <cell r="P89" t="str">
            <v>W Asiatic ( 14 Inch ) 2 Mix Alstroemeria ( 12 Inch ) 8 B Daisy 10 Grass</v>
          </cell>
          <cell r="Q89" t="str">
            <v>P Asiatic ( 14 Inch ) 2 Sunflower 3 P n W  Car ( 14 Inch ) 12 Grass</v>
          </cell>
          <cell r="R89" t="str">
            <v>O Asiatic ( 14 Inch ) 2 P n Y Spray Daisy ( 14 Inch ) 4 Green n W  Car 12 Grass</v>
          </cell>
          <cell r="S89" t="str">
            <v>W Asiatic ( 14 Inch ) 2 Mix Eustoma ( 12 Inch ) 3 Mix Alstroemeria ( 12 Inch ) 12 Grass</v>
          </cell>
          <cell r="T89" t="str">
            <v>O Asiatic ( 14 Inch ) 2 Sunflower ( 12 Inch ) 3 Mix Glad ( 14 Inch ) 10 Grass</v>
          </cell>
        </row>
        <row r="90">
          <cell r="A90">
            <v>484</v>
          </cell>
          <cell r="B90" t="str">
            <v>Deepti Chhabra</v>
          </cell>
          <cell r="C90">
            <v>9811230451</v>
          </cell>
          <cell r="D90" t="str">
            <v>A-061, Westend Heights</v>
          </cell>
          <cell r="E90" t="str">
            <v>DLF Phase 5</v>
          </cell>
          <cell r="F90" t="str">
            <v>Thursday</v>
          </cell>
          <cell r="G90" t="str">
            <v>4 PM to 7PM</v>
          </cell>
          <cell r="H90">
            <v>1950</v>
          </cell>
          <cell r="I90">
            <v>487.5</v>
          </cell>
          <cell r="J90" t="str">
            <v>Joy</v>
          </cell>
          <cell r="K90" t="str">
            <v>Sat to Thursday//Hold n start from 23rd Nov(31/10) Add changed(01/02) Paytm from Vishal Chabra(22/02) Send Replacement(03/03) Skip this week(18/03) Skip next del(14/06) 1 stick extra next Del(12/07 FF Sold Today(19/07) Send rajni Tom(02/08) Send FF Next(13/09) Next Asiatic n 2 sticks extra(25/09) Rajni Next(05/12) Skip 1 week(20/12) Hold-send tom(14/02) Upgraded to 1250, send remaining 5 sticks tom(04/09) Skip1 week(05/11) Skip 1 week(18/11)  Hold today and skip 1 week(11/12) Skip 1 week(20/03) Sent replacement today(08/04) Skip 2 weeks(21/06) Skip 1 week (09/11) Skip 1 more week (16/11) NO ROSE (29/12) Send replacemet tom (08/04) Pink n green Spray Car Tom (03/05) Skip 2 weeks (01/06) Skip 1 week (23/10) Skip 1 week (15/11) Today hold (11/01) Skip 1 week (16/03) Skip 2 week (22/10) Paytm from Arti Lakra (17/01) Skip 1 week(12/04) Skip 1 week912/04) Yesterday Returned (24/10) Skip tom (07/01) Hold due to non payment (04/02) Skip 2 week (16/05) Hod n start from July (04/06)</v>
          </cell>
          <cell r="L90" t="str">
            <v>ROSE</v>
          </cell>
          <cell r="N90" t="str">
            <v>2  del of this cycle   -  1-cycles pmnt   Pending - Collect 1950</v>
          </cell>
          <cell r="O90" t="str">
            <v>Pur n P Car ( 14 Inch ) 22     FF Sachet + Grass</v>
          </cell>
          <cell r="P90" t="str">
            <v>Rajni ( 14 Inch ) 22   Collect Payment Collect Payment Grass</v>
          </cell>
          <cell r="Q90" t="str">
            <v>O Asiatic ( 14 Inch ) 4     Grass</v>
          </cell>
          <cell r="R90" t="str">
            <v>P n Y Spray Daisy ( 14 Inch ) 7     FF Sachet + Grass</v>
          </cell>
          <cell r="S90" t="str">
            <v>Mix Glad ( 14 Inch ) 22     FF Sachet + Grass</v>
          </cell>
          <cell r="T90" t="str">
            <v>Pur n W Eustoma ( 12 Inch ) 4   Ensure Collection Ensure Collection FF Sachet + Grass</v>
          </cell>
        </row>
        <row r="91">
          <cell r="A91">
            <v>442</v>
          </cell>
          <cell r="B91" t="str">
            <v>Ruchi Mathure--Before 10:30 AM</v>
          </cell>
          <cell r="C91">
            <v>9871265555</v>
          </cell>
          <cell r="D91" t="str">
            <v>D-013, Westend height, DLF-5</v>
          </cell>
          <cell r="E91" t="str">
            <v>DLF Phase 5</v>
          </cell>
          <cell r="F91" t="str">
            <v>Thursday</v>
          </cell>
          <cell r="G91" t="str">
            <v>9 AM - 12 PM</v>
          </cell>
          <cell r="H91">
            <v>1450</v>
          </cell>
          <cell r="I91">
            <v>362.5</v>
          </cell>
          <cell r="J91" t="str">
            <v>Bliss</v>
          </cell>
          <cell r="K91" t="str">
            <v>No White Flowers(22/08)Skip this week n start from Thursday(26/09)Skip this week(29/11) Skip n sned on Monday(27/01) Return-send tom(17/02) NO P CAR(18/02)Return-send on Friday(24/02) Return-doesn't need Special Pack(14/04) Upgrade to 650 Plan(02/05) Skip this week n send on Monday(07/06) Skip 1 week(13/09) Skip 1 week(26/10) Skip 1 week(14/12) 150 adjusted against extra paid in Nargis to be delivered on 1st jan(30/12) Skip 1 week(26/01) Last week del was missed- pls send tom(07/03) Skip 2 weeks(18/03)NO WHITE FLOWERS(30/12) Send on saturdya this week instead of Thursday(12/11) Send on saturday this week(21/12) Getting only Car and asiatic-- Pls send all flowers(07/01) 10th Del missed-send them on saturday(11/03) NO WHITE FLOWERS(01/04) Hold n start from 2nd June(29/04) Last Thursday Missed(04/06) Skip this week n send on Sunday this week(22/06) Send Tom 1 Del with Rajni (11/07) Send 1 Del Tom(17/07) Today returned (28/07) NO GOLDEN GRASS(11/08) Sent 1 del Today(13/09) Skip tom and sned on Sunday (24/11) nEXT DEL SEND ON 31ST INSTEAD OF 30TH (24/12) Skip 1 week (20/01) Sent replacement today (14/04) send on monday this week only (21/04) Hold till 2nd Aug (07/07) Sent 1 del today and dont send tom (30/08) Skip tom Del n Send on Sunday (01/11) Today returned (09/11) No Del del till 3rd DEc (15/12) Skip 1 week (30/01) Skip on 14th and send on Sunday (12/03) Skip n sned on sunday (08/05) Hold today (30/05) Payment from Kapil M (16/06) Paytm From Kapil M (14/07) Skip 1 week (26/11) Skip nexty del (03/12) Hold till 15th Apr (18/04) No Sunflower (13/03) Skip this thursday and sned on sunday (20/04) Skip 1 week (20/05)</v>
          </cell>
          <cell r="L91" t="str">
            <v>Sunflower</v>
          </cell>
          <cell r="M91" t="str">
            <v>No White even in mixed // Skip 23rd and sned on 26th (20/04)</v>
          </cell>
          <cell r="N91" t="str">
            <v>2  del of this cycle   -  0-cycles pmnt   Completed - Collect 0</v>
          </cell>
          <cell r="O91" t="str">
            <v>Pur Eustoma ( 12 Inch ) 3     FF Sachet + Grass</v>
          </cell>
          <cell r="P91" t="str">
            <v>Rajni ( 14 Inch ) 16     Grass</v>
          </cell>
          <cell r="Q91" t="str">
            <v>P n W Glad ( 14 Inch ) 16     Grass</v>
          </cell>
          <cell r="R91" t="str">
            <v>Y Asiatic ( 14 inch ) 3     Grass</v>
          </cell>
          <cell r="S91" t="str">
            <v>P n Y Spray Daisy ( 14 Inch ) 5     FF Sachet + Grass</v>
          </cell>
          <cell r="T91" t="str">
            <v>R n P Car ( 14 Inch ) 16 No White Color    FF Sachet + Grass</v>
          </cell>
        </row>
        <row r="92">
          <cell r="A92">
            <v>949</v>
          </cell>
          <cell r="B92" t="str">
            <v>Meenu Amrith-- Evening Only</v>
          </cell>
          <cell r="C92">
            <v>9891350735</v>
          </cell>
          <cell r="D92" t="str">
            <v>H. No. 579, Ground Floor,Near Dell-- Sec-43</v>
          </cell>
          <cell r="E92" t="str">
            <v>DLF Phase 5</v>
          </cell>
          <cell r="F92" t="str">
            <v>Thursday</v>
          </cell>
          <cell r="G92" t="str">
            <v>10 AM to 2:30 PM</v>
          </cell>
          <cell r="H92">
            <v>1450</v>
          </cell>
          <cell r="I92">
            <v>362.5</v>
          </cell>
          <cell r="J92" t="str">
            <v>Bliss</v>
          </cell>
          <cell r="K92" t="str">
            <v>Sunday to Thurs//Skip next week(21/01) Skip 1 week(12/02) Hold n start from 1st week of May(06/03) Pls start from coming Tuesday(14/03)  Send Sunday Del on Sat This week(12/11) Skip 1 week(29/01) today hold and skip 1 more week(27/02) Start from 24th Mar(08/03) Hold n start from 16th June(18/05) Hold 3 Weeks(13/07) she saying that 10th Del Not received(11/11) Not avaible till 25th (14/11) Hold today(19/01) Skip 2 weeks (22/02) Skip 2 weeks (26/06) Hold n start after 15th Sep (18/08) Skip Tom (28/02) Hold n start from 13th June (24/05) Skip 1 week (23/07) Skip 1 week (04/12) Skip 1 week (12/03) Skip 1 week (18/01) Skip 1 weeek (13/05)</v>
          </cell>
          <cell r="N92" t="str">
            <v>4  del of this cycle   -  0-cycles pmnt   Completed - Collect 0</v>
          </cell>
          <cell r="O92" t="str">
            <v>P n W Glad ( 14 Inch ) 16     Grass</v>
          </cell>
          <cell r="P92" t="str">
            <v>Sunflower ( 12 Inch ) 4     FF Sachet + Grass</v>
          </cell>
          <cell r="Q92" t="str">
            <v>O Asiatic ( 14 Inch ) 3     Grass</v>
          </cell>
          <cell r="R92" t="str">
            <v>G n W Car ( 14 inch ) 16     FF Sachet + Grass</v>
          </cell>
          <cell r="S92" t="str">
            <v>P n Y Spray Daisy ( 14 Inch ) 5     FF Sachet + Grass</v>
          </cell>
          <cell r="T92" t="str">
            <v>Mix Alstroemeria ( 12 Inch ) 16     FF Sachet + Grass</v>
          </cell>
        </row>
        <row r="93">
          <cell r="A93">
            <v>2569</v>
          </cell>
          <cell r="B93" t="str">
            <v>Mrs. Verma</v>
          </cell>
          <cell r="C93">
            <v>9971135993</v>
          </cell>
          <cell r="D93" t="str">
            <v>A1/192, 1st Floor, Sec 55, Sushant Lok-2, Near Orchid International School</v>
          </cell>
          <cell r="E93" t="str">
            <v>Sector 56</v>
          </cell>
          <cell r="F93" t="str">
            <v>Thursday</v>
          </cell>
          <cell r="G93" t="str">
            <v>9 AM - 12 PM</v>
          </cell>
          <cell r="H93">
            <v>1450</v>
          </cell>
          <cell r="I93">
            <v>362.5</v>
          </cell>
          <cell r="J93" t="str">
            <v>Bliss</v>
          </cell>
          <cell r="K93" t="str">
            <v>Return today (01/05) Return today (05/06) Send on Sunday This week (05/06) Upgrade to bliss from next cycle (20/09) Skip 1 week (04/02) Send Replacement tom of Asiatic Lily (16/04) Send Replacement tom (21/05) No Sunflower (21/05)</v>
          </cell>
          <cell r="L93" t="str">
            <v>Sunflower</v>
          </cell>
          <cell r="N93" t="str">
            <v>2  del of this cycle   -  1-cycles pmnt   Pending - Collect 1350</v>
          </cell>
          <cell r="O93" t="str">
            <v>P Spray Daisy ( 14 Inch ) 3 Rajni ( 14 Inch ) 7   FF Sachet + Grass</v>
          </cell>
          <cell r="P93" t="str">
            <v>Sunflower ( 12 Inch ) 2 P n W Car ( 14 Inch ) 7   FF Sachet + Grass</v>
          </cell>
          <cell r="Q93" t="str">
            <v>P Asiatic ( 14 Inch ) 2 P n W Glad ( 14 Inch ) 7   Grass</v>
          </cell>
          <cell r="R93" t="str">
            <v>Sunflower ( 12 Inch ) 2 Mix Alstroemeria ( 12 Inch ) 7   Grass</v>
          </cell>
          <cell r="S93" t="str">
            <v>P Eustoma ( 12 Inch ) 2 P n W Car ( 14 inch ) 7   FF Sachet + Grass</v>
          </cell>
          <cell r="T93" t="str">
            <v>P Spray Daisy ( 14 Inch ) 3 Mix Glad ( 14 Inch ) 7 Ensure Collection Ensure Collection FF Sachet + Grass</v>
          </cell>
        </row>
        <row r="94">
          <cell r="A94" t="str">
            <v>B56662</v>
          </cell>
          <cell r="B94" t="str">
            <v>Dr. Suboohi Rizvi</v>
          </cell>
          <cell r="C94">
            <v>9899519091</v>
          </cell>
          <cell r="D94" t="str">
            <v>B-106, Rail Vihar, Sec 15 Part -2</v>
          </cell>
          <cell r="E94" t="str">
            <v>Old Gurgaon</v>
          </cell>
          <cell r="F94" t="str">
            <v>Thursday</v>
          </cell>
          <cell r="G94" t="str">
            <v>3 to 4 PM</v>
          </cell>
          <cell r="H94">
            <v>2100</v>
          </cell>
          <cell r="I94">
            <v>2100</v>
          </cell>
          <cell r="J94" t="str">
            <v>Bouquet</v>
          </cell>
          <cell r="K94" t="str">
            <v>5 W Oriental and 3 Sunflower // In the Loving Memory of our dear friend Dr Hema Rawal, 
Batch of 1989
We may have walked different paths but the years we spent together- the lectures, examinations , the laughter, the friendship and the countless memories- will always remain a cherished part of our lives.
We all remember you as a down to earth person with a wonderful smile.You were and will always remain a part of 1989 Batch family.
May your soul rest in peace.
May your family find strength and comfort in love and prayers of all your friends and classmates.
With love, respect and remembrance.
Your 1989 Medical College Batch mates. 
Years May pass but memories of our student days remain forever.</v>
          </cell>
          <cell r="N94" t="str">
            <v>1  del of this cycle   -  0-cycles pmnt   In Process - Collect 0</v>
          </cell>
          <cell r="O94" t="e">
            <v>#N/A</v>
          </cell>
          <cell r="P94" t="e">
            <v>#N/A</v>
          </cell>
          <cell r="Q94" t="e">
            <v>#N/A</v>
          </cell>
          <cell r="R94" t="e">
            <v>#N/A</v>
          </cell>
          <cell r="S94" t="e">
            <v>#N/A</v>
          </cell>
          <cell r="T94" t="str">
            <v xml:space="preserve">Semi Bloom W Oriental + Sunflower 5 + 3 Front Tissue Wrap + Message    </v>
          </cell>
        </row>
        <row r="95">
          <cell r="A95" t="str">
            <v>B56659</v>
          </cell>
          <cell r="B95" t="str">
            <v>Himanshu Dhawan</v>
          </cell>
          <cell r="C95" t="str">
            <v xml:space="preserve"> 98185 45000</v>
          </cell>
          <cell r="D95" t="str">
            <v xml:space="preserve">Flat 002,Tower 05
Parsavnath Green Ville 
</v>
          </cell>
          <cell r="E95" t="str">
            <v>Sohna Road 1</v>
          </cell>
          <cell r="F95" t="str">
            <v>Thursday</v>
          </cell>
          <cell r="G95" t="str">
            <v>By 5 PM</v>
          </cell>
          <cell r="H95">
            <v>800</v>
          </cell>
          <cell r="I95">
            <v>800</v>
          </cell>
          <cell r="J95" t="str">
            <v>Bouquet</v>
          </cell>
          <cell r="K95" t="str">
            <v>2 Bunch of Rajni // Wish you a speedy recovery, Dadi.</v>
          </cell>
          <cell r="N95" t="str">
            <v>1  del of this cycle   -  0-cycles pmnt   In Process - Collect 0</v>
          </cell>
          <cell r="O95" t="e">
            <v>#N/A</v>
          </cell>
          <cell r="P95" t="e">
            <v>#N/A</v>
          </cell>
          <cell r="Q95" t="e">
            <v>#N/A</v>
          </cell>
          <cell r="R95" t="e">
            <v>#N/A</v>
          </cell>
          <cell r="S95" t="e">
            <v>#N/A</v>
          </cell>
          <cell r="T95" t="str">
            <v xml:space="preserve">( Rajni ) + ( Rajni )  ( 10 ) + ( 10 )  2 Single Wrap Message   </v>
          </cell>
        </row>
        <row r="96">
          <cell r="A96" t="str">
            <v>B56657</v>
          </cell>
          <cell r="B96" t="str">
            <v>Ira Yadav</v>
          </cell>
          <cell r="C96">
            <v>9958239349</v>
          </cell>
          <cell r="D96" t="str">
            <v>825, 1st Floor, Sec 17 A</v>
          </cell>
          <cell r="E96" t="str">
            <v>Old Gurgaon</v>
          </cell>
          <cell r="F96" t="str">
            <v>Thursday</v>
          </cell>
          <cell r="G96" t="str">
            <v>9 AM - 12 PM</v>
          </cell>
          <cell r="H96">
            <v>1050</v>
          </cell>
          <cell r="I96">
            <v>1050</v>
          </cell>
          <cell r="J96" t="str">
            <v>Bouquet</v>
          </cell>
          <cell r="K96" t="str">
            <v>5 Rajni + 1 Orange Asiatic + 10 Spray Car + 2 Blue Daisy</v>
          </cell>
          <cell r="N96" t="str">
            <v>1  del of this cycle   -  1-cycles pmnt   Pending - Collect 1050</v>
          </cell>
          <cell r="O96" t="e">
            <v>#N/A</v>
          </cell>
          <cell r="P96" t="e">
            <v>#N/A</v>
          </cell>
          <cell r="Q96" t="e">
            <v>#N/A</v>
          </cell>
          <cell r="R96" t="e">
            <v>#N/A</v>
          </cell>
          <cell r="S96" t="e">
            <v>#N/A</v>
          </cell>
          <cell r="T96" t="str">
            <v>Rajni + O Asiatic + Peach Spray Car + B Daisy  5 + 1 + 10 + 2     Areca palm + Grass</v>
          </cell>
        </row>
        <row r="97">
          <cell r="A97">
            <v>2024</v>
          </cell>
          <cell r="B97" t="str">
            <v>Priyanka Katyal</v>
          </cell>
          <cell r="C97">
            <v>9958565556</v>
          </cell>
          <cell r="D97" t="str">
            <v>1487, Saraswati Kunj, Sector 53</v>
          </cell>
          <cell r="E97" t="str">
            <v>DLF Phase 5</v>
          </cell>
          <cell r="F97" t="str">
            <v>Thursday</v>
          </cell>
          <cell r="G97" t="str">
            <v>9 AM - 12 PM</v>
          </cell>
          <cell r="H97">
            <v>1950</v>
          </cell>
          <cell r="I97">
            <v>487.5</v>
          </cell>
          <cell r="J97" t="str">
            <v>Joy</v>
          </cell>
          <cell r="K97" t="str">
            <v>Sunday n Thursday//NO Oriental and Guldawari (29/12) Paytm From Sanjay Katyal (28/03) Hold till 8th June-- she will confirm the package (24/05)' Shift to felicity// Today hold --send tom (09/07) Lilies Tom (08/11) Paytm From Ace Promoters and Developers Pvt. Ltd (26/01) Send Replacement tom (17/02) Skip 1 week (10/07) Couldn't deliver due to water logging-send on sunday (29/08) Paytm from Sanjay Katyal (20/10) Skip 2 week (21/05) Hold till 13th Aiug (26/07) Premium Flwer extra Next (09/01)</v>
          </cell>
          <cell r="L97" t="str">
            <v>ORIENTAL n GULDAWARI</v>
          </cell>
          <cell r="M97" t="str">
            <v>Premium Flwer extra Next (09/01)</v>
          </cell>
          <cell r="N97" t="str">
            <v>4  del of this cycle   -  0-cycles pmnt   Completed - Collect 0</v>
          </cell>
          <cell r="O97" t="str">
            <v>P n W Car ( 14 Inch ) 22     FF Sachet + Grass</v>
          </cell>
          <cell r="P97" t="str">
            <v>Rajni ( 14 Inch ) 22     Grass</v>
          </cell>
          <cell r="Q97" t="str">
            <v>Mix Alstroemeria ( 12 Inch ) 22     FF Sachet + Grass</v>
          </cell>
          <cell r="R97" t="str">
            <v>Mix Glad ( 14 Inch ) 22     Grass</v>
          </cell>
          <cell r="S97" t="str">
            <v>P n Y Spray Daisy ( 14 Inch ) 7     FF Sachet + Grass</v>
          </cell>
          <cell r="T97" t="str">
            <v>W Asiatic ( 14 Inch ) 4     Grass</v>
          </cell>
        </row>
        <row r="98">
          <cell r="A98">
            <v>401</v>
          </cell>
          <cell r="B98" t="str">
            <v>Nameesha Verma -- Before 12PM</v>
          </cell>
          <cell r="C98">
            <v>9899240454</v>
          </cell>
          <cell r="D98" t="str">
            <v>D-4/102, Parsvanath Exotica</v>
          </cell>
          <cell r="E98" t="str">
            <v>DLF Phase 5</v>
          </cell>
          <cell r="F98" t="str">
            <v>Thursday</v>
          </cell>
          <cell r="G98" t="str">
            <v>Before 12 PM</v>
          </cell>
          <cell r="H98">
            <v>1600</v>
          </cell>
          <cell r="I98">
            <v>200</v>
          </cell>
          <cell r="J98" t="str">
            <v>Bloom</v>
          </cell>
          <cell r="K98"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98" t="str">
            <v>3 Car extra next (20/03)</v>
          </cell>
          <cell r="N98" t="str">
            <v>4  del of this cycle   -  0-cycles pmnt   Completed - Collect 0</v>
          </cell>
          <cell r="O98" t="str">
            <v>P n W Car ( 14 Inch ) 7    Collect Payment FF Sachet + Grass</v>
          </cell>
          <cell r="P98" t="str">
            <v>Mix Alstroemeria ( 12Inch ) 7     FF Sachet + Grass</v>
          </cell>
          <cell r="Q98" t="str">
            <v>Rajni ( 14 Inch ) 7     Grass</v>
          </cell>
          <cell r="R98" t="str">
            <v>G n W Car ( 14 inch ) 7     FF Sachet + Grass</v>
          </cell>
          <cell r="S98" t="str">
            <v>Mix Alstroemeria ( 12 Inch ) 7     FF Sachet + Grass</v>
          </cell>
          <cell r="T98" t="str">
            <v>Glad 7     Grass</v>
          </cell>
        </row>
        <row r="99">
          <cell r="A99">
            <v>2868</v>
          </cell>
          <cell r="B99" t="str">
            <v>Group Captain Prabal Bir Singh</v>
          </cell>
          <cell r="C99">
            <v>7827468667</v>
          </cell>
          <cell r="D99" t="str">
            <v>603, Shivshakti CGHS, Plot-94, Near Ati Chowk</v>
          </cell>
          <cell r="E99" t="str">
            <v>DLF Phase 5</v>
          </cell>
          <cell r="F99" t="str">
            <v>Thursday</v>
          </cell>
          <cell r="G99" t="str">
            <v>9 AM to 2 PM</v>
          </cell>
          <cell r="H99">
            <v>1450</v>
          </cell>
          <cell r="I99">
            <v>362.5</v>
          </cell>
          <cell r="J99" t="str">
            <v>Bliss</v>
          </cell>
          <cell r="N99" t="str">
            <v>1  del of this cycle   -  0-cycles pmnt   Completed - Collect 0</v>
          </cell>
          <cell r="O99" t="str">
            <v>P Asiatic ( 14 Inch ) 2     Grass</v>
          </cell>
          <cell r="P99" t="str">
            <v>P n W Car ( 14 Inch ) 16     FF Sachet + Grass</v>
          </cell>
          <cell r="Q99" t="str">
            <v>P n Y Spray Daisy ( 14 Inch ) 5     FF Sachet + Grass</v>
          </cell>
          <cell r="R99" t="str">
            <v>Mix Glad ( 14 Inch ) 16     Grass</v>
          </cell>
          <cell r="S99" t="str">
            <v>Mix Alstroemeria ( 12 Inch ) 16     FF Sachet + Grass</v>
          </cell>
          <cell r="T99" t="str">
            <v>Pur n W Eustoma ( 12 Inch ) 3     FF Sachet + Grass</v>
          </cell>
        </row>
        <row r="100">
          <cell r="A100">
            <v>3122</v>
          </cell>
          <cell r="B100" t="str">
            <v>Abha Ghosh</v>
          </cell>
          <cell r="C100">
            <v>9650001674</v>
          </cell>
          <cell r="D100" t="str">
            <v>6A, Galicia, Raisina Residency, Sec 59</v>
          </cell>
          <cell r="E100" t="str">
            <v>Ghata</v>
          </cell>
          <cell r="F100" t="str">
            <v>Thursday</v>
          </cell>
          <cell r="G100" t="str">
            <v>9 AM - 12 PM</v>
          </cell>
          <cell r="H100">
            <v>1450</v>
          </cell>
          <cell r="I100">
            <v>362.5</v>
          </cell>
          <cell r="J100" t="str">
            <v>Bliss</v>
          </cell>
          <cell r="K100" t="str">
            <v>Returned yesterday (07/11)</v>
          </cell>
          <cell r="N100" t="str">
            <v>4  del of this cycle   -  0-cycles pmnt   Completed - Collect 0</v>
          </cell>
          <cell r="O100" t="str">
            <v>P Asiatic ( 14 Inch ) 3     Grass</v>
          </cell>
          <cell r="P100" t="str">
            <v>Rajni ( 14 Inch ) 16     Grass</v>
          </cell>
          <cell r="Q100" t="str">
            <v>G n W Car ( 14 Inch ) 16     FF Sachet + Grass</v>
          </cell>
          <cell r="R100" t="str">
            <v>P n Y Spray Daisy ( 14 Inch ) 5     FF Sachet + Grass</v>
          </cell>
          <cell r="S100" t="str">
            <v>B Daisy 12     FF Sachet + Grass</v>
          </cell>
          <cell r="T100" t="str">
            <v>Mix Glad ( 14 Inch ) 16     Grass</v>
          </cell>
        </row>
      </sheetData>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8050A-B328-436A-A6A8-AB9D6AC80592}">
  <sheetPr filterMode="1"/>
  <dimension ref="A1:AD86"/>
  <sheetViews>
    <sheetView tabSelected="1" zoomScale="62" workbookViewId="0">
      <selection activeCell="W51" sqref="W51"/>
    </sheetView>
  </sheetViews>
  <sheetFormatPr defaultRowHeight="14" x14ac:dyDescent="0.3"/>
  <cols>
    <col min="1" max="1" width="6.19921875" customWidth="1"/>
    <col min="3" max="7" width="0" hidden="1" customWidth="1"/>
    <col min="8" max="8" width="7.69921875" customWidth="1"/>
    <col min="9" max="9" width="0" hidden="1" customWidth="1"/>
    <col min="10" max="10" width="8.19921875" customWidth="1"/>
    <col min="11" max="11" width="135.19921875" hidden="1" customWidth="1"/>
  </cols>
  <sheetData>
    <row r="1" spans="1:30" ht="103.7" customHeight="1" x14ac:dyDescent="0.3">
      <c r="A1" s="1" t="s">
        <v>0</v>
      </c>
      <c r="B1" s="2" t="s">
        <v>1</v>
      </c>
      <c r="C1" s="3" t="s">
        <v>2</v>
      </c>
      <c r="D1" s="4" t="s">
        <v>3</v>
      </c>
      <c r="E1" s="4" t="s">
        <v>4</v>
      </c>
      <c r="F1" s="4" t="s">
        <v>5</v>
      </c>
      <c r="G1" s="4" t="s">
        <v>6</v>
      </c>
      <c r="H1" s="5" t="s">
        <v>7</v>
      </c>
      <c r="I1" s="5" t="s">
        <v>8</v>
      </c>
      <c r="J1" s="2" t="s">
        <v>9</v>
      </c>
      <c r="K1" s="4" t="s">
        <v>10</v>
      </c>
      <c r="L1" s="6" t="s">
        <v>11</v>
      </c>
      <c r="M1" s="6" t="s">
        <v>12</v>
      </c>
      <c r="N1" s="7" t="s">
        <v>13</v>
      </c>
      <c r="O1" s="35" t="s">
        <v>375</v>
      </c>
      <c r="P1" s="35" t="s">
        <v>376</v>
      </c>
      <c r="Q1" s="35" t="s">
        <v>377</v>
      </c>
      <c r="R1" s="35" t="s">
        <v>378</v>
      </c>
      <c r="S1" s="35" t="s">
        <v>379</v>
      </c>
      <c r="T1" s="35" t="s">
        <v>380</v>
      </c>
      <c r="U1" s="35" t="s">
        <v>381</v>
      </c>
      <c r="V1" s="35" t="s">
        <v>382</v>
      </c>
      <c r="W1" s="35" t="s">
        <v>381</v>
      </c>
      <c r="X1" s="35" t="s">
        <v>383</v>
      </c>
      <c r="Y1" s="35" t="s">
        <v>381</v>
      </c>
      <c r="Z1" s="35" t="s">
        <v>384</v>
      </c>
      <c r="AA1" s="35" t="s">
        <v>385</v>
      </c>
      <c r="AB1" s="35" t="s">
        <v>386</v>
      </c>
      <c r="AC1" s="35" t="s">
        <v>387</v>
      </c>
      <c r="AD1" s="35" t="s">
        <v>388</v>
      </c>
    </row>
    <row r="2" spans="1:30" ht="113.4" hidden="1" customHeight="1" x14ac:dyDescent="0.3">
      <c r="A2" s="1">
        <v>921</v>
      </c>
      <c r="B2" s="14" t="s">
        <v>20</v>
      </c>
      <c r="C2" s="12" t="s">
        <v>21</v>
      </c>
      <c r="D2" s="12" t="s">
        <v>22</v>
      </c>
      <c r="E2" s="10" t="s">
        <v>23</v>
      </c>
      <c r="F2" s="15" t="s">
        <v>15</v>
      </c>
      <c r="G2" s="11" t="s">
        <v>24</v>
      </c>
      <c r="H2" s="9">
        <v>1450</v>
      </c>
      <c r="I2" s="9">
        <v>362.5</v>
      </c>
      <c r="J2" s="10" t="s">
        <v>25</v>
      </c>
      <c r="K2" s="16" t="s">
        <v>26</v>
      </c>
      <c r="L2" s="9"/>
      <c r="M2" s="10" t="s">
        <v>27</v>
      </c>
      <c r="N2" s="13" t="s">
        <v>19</v>
      </c>
      <c r="O2" s="34" t="str">
        <f>VLOOKUP(A2,'[1]09-07-26'!$A$2:$T$89,20,0)</f>
        <v>P n Y Gerbera ( 12 Inch ) 16     FF Sachet + Grass</v>
      </c>
      <c r="P2" s="34" t="e">
        <f>VLOOKUP(A2,'[1]16-07-26'!$A$2:$T$95,20,0)</f>
        <v>#N/A</v>
      </c>
      <c r="Q2" s="34" t="e">
        <f>VLOOKUP(A2,'[1]23-07-26'!$A$2:$T$106,20,0)</f>
        <v>#N/A</v>
      </c>
      <c r="R2" s="34" t="str">
        <f>VLOOKUP(A2,'[1]30-07-26'!$A$2:$T$107,20,0)</f>
        <v>R n W Car ( 14 Inch ) 16     FF Sachet + Grass</v>
      </c>
      <c r="S2" s="34" t="str">
        <f>VLOOKUP(A2,'[2]06-08-26'!$A$2:$T$100,20,0)</f>
        <v>P n Y Spray Daisy ( 14 inch ) 5     FF Sachet + Grass</v>
      </c>
      <c r="T2" s="34" t="s">
        <v>396</v>
      </c>
      <c r="U2" s="34">
        <v>3</v>
      </c>
      <c r="V2" s="34"/>
      <c r="W2" s="34"/>
      <c r="X2" s="34"/>
      <c r="Y2" s="34"/>
      <c r="Z2" s="34" t="s">
        <v>406</v>
      </c>
      <c r="AA2" s="34"/>
      <c r="AB2" s="34"/>
      <c r="AC2" s="34"/>
      <c r="AD2" s="34"/>
    </row>
    <row r="3" spans="1:30" ht="113.4" hidden="1" customHeight="1" x14ac:dyDescent="0.3">
      <c r="A3" s="1">
        <v>3235</v>
      </c>
      <c r="B3" s="14" t="s">
        <v>28</v>
      </c>
      <c r="C3" s="9">
        <v>9833057481</v>
      </c>
      <c r="D3" s="10" t="s">
        <v>29</v>
      </c>
      <c r="E3" s="10" t="s">
        <v>14</v>
      </c>
      <c r="F3" s="10" t="s">
        <v>15</v>
      </c>
      <c r="G3" s="11" t="s">
        <v>24</v>
      </c>
      <c r="H3" s="9">
        <v>1450</v>
      </c>
      <c r="I3" s="9">
        <v>362.5</v>
      </c>
      <c r="J3" s="10" t="s">
        <v>25</v>
      </c>
      <c r="K3" s="10" t="s">
        <v>30</v>
      </c>
      <c r="L3" s="10" t="s">
        <v>31</v>
      </c>
      <c r="M3" s="9"/>
      <c r="N3" s="13" t="s">
        <v>19</v>
      </c>
      <c r="O3" s="34" t="str">
        <f>VLOOKUP(A3,'[1]09-07-26'!$A$2:$T$89,20,0)</f>
        <v>Mix Alstroemeria ( 12Inch ) 16     FF Sachet + Grass</v>
      </c>
      <c r="P3" s="34" t="str">
        <f>VLOOKUP(A3,'[1]16-07-26'!$A$2:$T$95,20,0)</f>
        <v>G n W Car ( 14 Inch ) 16     FF Sachet + Grass</v>
      </c>
      <c r="Q3" s="34" t="e">
        <f>VLOOKUP(A3,'[1]23-07-26'!$A$2:$T$106,20,0)</f>
        <v>#N/A</v>
      </c>
      <c r="R3" s="34" t="e">
        <f>VLOOKUP(A3,'[1]30-07-26'!$A$2:$T$107,20,0)</f>
        <v>#N/A</v>
      </c>
      <c r="S3" s="34" t="str">
        <f>VLOOKUP(A3,'[2]06-08-26'!$A$2:$T$100,20,0)</f>
        <v>O Asiatic ( 14 Inch ) 3     Grass</v>
      </c>
      <c r="T3" s="34" t="s">
        <v>410</v>
      </c>
      <c r="U3" s="34">
        <v>5</v>
      </c>
      <c r="V3" s="34"/>
      <c r="W3" s="34"/>
      <c r="X3" s="34"/>
      <c r="Y3" s="34"/>
      <c r="Z3" s="34" t="s">
        <v>405</v>
      </c>
      <c r="AA3" s="34"/>
      <c r="AB3" s="34"/>
      <c r="AC3" s="34"/>
      <c r="AD3" s="34"/>
    </row>
    <row r="4" spans="1:30" ht="113.4" hidden="1" customHeight="1" x14ac:dyDescent="0.3">
      <c r="A4" s="1">
        <v>571</v>
      </c>
      <c r="B4" s="14" t="s">
        <v>32</v>
      </c>
      <c r="C4" s="1">
        <v>9873099320</v>
      </c>
      <c r="D4" s="1" t="s">
        <v>33</v>
      </c>
      <c r="E4" s="12" t="s">
        <v>14</v>
      </c>
      <c r="F4" s="12" t="s">
        <v>15</v>
      </c>
      <c r="G4" s="11" t="s">
        <v>24</v>
      </c>
      <c r="H4" s="9">
        <v>1600</v>
      </c>
      <c r="I4" s="9">
        <v>200</v>
      </c>
      <c r="J4" s="17" t="s">
        <v>34</v>
      </c>
      <c r="K4" s="12" t="s">
        <v>35</v>
      </c>
      <c r="L4" s="9"/>
      <c r="M4" s="9"/>
      <c r="N4" s="13" t="s">
        <v>216</v>
      </c>
      <c r="O4" s="34" t="str">
        <f>VLOOKUP(A4,'[1]09-07-26'!$A$2:$T$89,20,0)</f>
        <v>O Asiatic ( ( 14 inch ) 2     Grass</v>
      </c>
      <c r="P4" s="34" t="str">
        <f>VLOOKUP(A4,'[1]16-07-26'!$A$2:$T$95,20,0)</f>
        <v>P n W Glad ( 14 Inch ) 7     Grass</v>
      </c>
      <c r="Q4" s="34" t="e">
        <f>VLOOKUP(A4,'[1]23-07-26'!$A$2:$T$106,20,0)</f>
        <v>#N/A</v>
      </c>
      <c r="R4" s="34" t="e">
        <f>VLOOKUP(A4,'[1]30-07-26'!$A$2:$T$107,20,0)</f>
        <v>#N/A</v>
      </c>
      <c r="S4" s="34" t="str">
        <f>VLOOKUP(A4,'[2]06-08-26'!$A$2:$T$100,20,0)</f>
        <v>Mix Alstroemeria ( 12 Inch ) 7     FF Sachet + Grass</v>
      </c>
      <c r="T4" s="34" t="s">
        <v>393</v>
      </c>
      <c r="U4" s="34">
        <v>7</v>
      </c>
      <c r="V4" s="34"/>
      <c r="W4" s="34"/>
      <c r="X4" s="34"/>
      <c r="Y4" s="34"/>
      <c r="Z4" s="34" t="s">
        <v>406</v>
      </c>
      <c r="AA4" s="34"/>
      <c r="AB4" s="34"/>
      <c r="AC4" s="34"/>
      <c r="AD4" s="34"/>
    </row>
    <row r="5" spans="1:30" ht="113.4" hidden="1" customHeight="1" x14ac:dyDescent="0.3">
      <c r="A5" s="1">
        <v>3247</v>
      </c>
      <c r="B5" s="14" t="s">
        <v>36</v>
      </c>
      <c r="C5" s="9">
        <v>9717986555</v>
      </c>
      <c r="D5" s="10" t="s">
        <v>37</v>
      </c>
      <c r="E5" s="10" t="s">
        <v>38</v>
      </c>
      <c r="F5" s="10" t="s">
        <v>15</v>
      </c>
      <c r="G5" s="18" t="s">
        <v>39</v>
      </c>
      <c r="H5" s="9">
        <v>1450</v>
      </c>
      <c r="I5" s="9">
        <v>362.5</v>
      </c>
      <c r="J5" s="10" t="s">
        <v>25</v>
      </c>
      <c r="K5" s="10" t="s">
        <v>40</v>
      </c>
      <c r="L5" s="9"/>
      <c r="M5" s="9"/>
      <c r="N5" s="13" t="s">
        <v>19</v>
      </c>
      <c r="O5" s="34" t="str">
        <f>VLOOKUP(A5,'[1]09-07-26'!$A$2:$T$89,20,0)</f>
        <v>Rajni ( 14 Inch ) 16     Grass</v>
      </c>
      <c r="P5" s="34" t="str">
        <f>VLOOKUP(A5,'[1]16-07-26'!$A$2:$T$95,20,0)</f>
        <v>G n W Car ( 14 Inch ) 16     FF Sachet + Grass</v>
      </c>
      <c r="Q5" s="34" t="str">
        <f>VLOOKUP(A5,'[1]23-07-26'!$A$2:$T$106,20,0)</f>
        <v>P n Y Spray Daisy ( 14 Inch ) 5     FF Sachet + Grass</v>
      </c>
      <c r="R5" s="34" t="str">
        <f>VLOOKUP(A5,'[1]30-07-26'!$A$2:$T$107,20,0)</f>
        <v>Mix Glad ( 14 Inch ) 16     FF Sachet + Grass</v>
      </c>
      <c r="S5" s="34" t="str">
        <f>VLOOKUP(A5,'[2]06-08-26'!$A$2:$T$100,20,0)</f>
        <v>Pur n W Eustoma ( 12 Inch ) 3     FF Sachet + Grass</v>
      </c>
      <c r="T5" s="34" t="s">
        <v>411</v>
      </c>
      <c r="U5" s="34">
        <v>3</v>
      </c>
      <c r="V5" s="34"/>
      <c r="W5" s="34"/>
      <c r="X5" s="34"/>
      <c r="Y5" s="34"/>
      <c r="Z5" s="34" t="s">
        <v>406</v>
      </c>
      <c r="AA5" s="34"/>
      <c r="AB5" s="34"/>
      <c r="AC5" s="34"/>
      <c r="AD5" s="34"/>
    </row>
    <row r="6" spans="1:30" ht="113.4" hidden="1" customHeight="1" x14ac:dyDescent="0.3">
      <c r="A6" s="1">
        <v>14</v>
      </c>
      <c r="B6" s="14" t="s">
        <v>41</v>
      </c>
      <c r="C6" s="14">
        <v>9810546046</v>
      </c>
      <c r="D6" s="10" t="s">
        <v>42</v>
      </c>
      <c r="E6" s="10" t="s">
        <v>43</v>
      </c>
      <c r="F6" s="12" t="s">
        <v>15</v>
      </c>
      <c r="G6" s="11" t="s">
        <v>24</v>
      </c>
      <c r="H6" s="9">
        <v>1950</v>
      </c>
      <c r="I6" s="9">
        <v>487.5</v>
      </c>
      <c r="J6" s="17" t="s">
        <v>17</v>
      </c>
      <c r="K6" s="12" t="s">
        <v>44</v>
      </c>
      <c r="L6" s="10" t="s">
        <v>45</v>
      </c>
      <c r="M6" s="9"/>
      <c r="N6" s="13" t="s">
        <v>19</v>
      </c>
      <c r="O6" s="34" t="str">
        <f>VLOOKUP(A6,'[1]09-07-26'!$A$2:$T$89,20,0)</f>
        <v>Rajni ( 14 Inch ) 22     Grass</v>
      </c>
      <c r="P6" s="34" t="str">
        <f>VLOOKUP(A6,'[1]16-07-26'!$A$2:$T$95,20,0)</f>
        <v>G n W Car ( 14 Inch ) 22     FF Sachet + Grass</v>
      </c>
      <c r="Q6" s="34" t="str">
        <f>VLOOKUP(A6,'[1]23-07-26'!$A$2:$T$106,20,0)</f>
        <v>W Asiatic 4     Grass</v>
      </c>
      <c r="R6" s="34" t="str">
        <f>VLOOKUP(A6,'[1]30-07-26'!$A$2:$T$107,20,0)</f>
        <v>P n Y Spray Daisy ( 14 Inch ) 7     FF Sachet + Grass</v>
      </c>
      <c r="S6" s="34" t="e">
        <f>VLOOKUP(A6,'[2]06-08-26'!$A$2:$T$100,20,0)</f>
        <v>#N/A</v>
      </c>
      <c r="T6" s="34" t="s">
        <v>417</v>
      </c>
      <c r="U6" s="34">
        <v>4</v>
      </c>
      <c r="V6" s="34"/>
      <c r="W6" s="34"/>
      <c r="X6" s="34"/>
      <c r="Y6" s="34"/>
      <c r="Z6" s="34" t="s">
        <v>405</v>
      </c>
      <c r="AA6" s="34"/>
      <c r="AB6" s="34"/>
      <c r="AC6" s="34"/>
      <c r="AD6" s="34"/>
    </row>
    <row r="7" spans="1:30" ht="113.4" hidden="1" customHeight="1" x14ac:dyDescent="0.3">
      <c r="A7" s="1">
        <v>870</v>
      </c>
      <c r="B7" s="19" t="s">
        <v>46</v>
      </c>
      <c r="C7" s="1">
        <v>9892501292</v>
      </c>
      <c r="D7" s="1" t="s">
        <v>47</v>
      </c>
      <c r="E7" s="1" t="s">
        <v>14</v>
      </c>
      <c r="F7" s="12" t="s">
        <v>15</v>
      </c>
      <c r="G7" s="11" t="s">
        <v>24</v>
      </c>
      <c r="H7" s="9">
        <v>1600</v>
      </c>
      <c r="I7" s="9">
        <v>200</v>
      </c>
      <c r="J7" s="10" t="s">
        <v>34</v>
      </c>
      <c r="K7" s="12" t="s">
        <v>48</v>
      </c>
      <c r="L7" s="9"/>
      <c r="M7" s="9"/>
      <c r="N7" s="13" t="s">
        <v>389</v>
      </c>
      <c r="O7" s="34" t="str">
        <f>VLOOKUP(A7,'[1]09-07-26'!$A$2:$T$89,20,0)</f>
        <v>Y Spray Daisy ( 14 Inch ) 2     FF Sachet + Grass</v>
      </c>
      <c r="P7" s="34" t="str">
        <f>VLOOKUP(A7,'[1]16-07-26'!$A$2:$T$95,20,0)</f>
        <v>Sunflower ( 12 Inch ) 2     FF Sachet + Grass</v>
      </c>
      <c r="Q7" s="34" t="str">
        <f>VLOOKUP(A7,'[1]23-07-26'!$A$2:$T$106,20,0)</f>
        <v>G n W Car ( 14 inch ) 7   Ensure Collection Ensure Collection FF Sachet + Grass</v>
      </c>
      <c r="R7" s="34" t="str">
        <f>VLOOKUP(A7,'[1]30-07-26'!$A$2:$T$107,20,0)</f>
        <v>P Spray Daisy ( 14 Inch ) 2     FF Sachet + Grass</v>
      </c>
      <c r="S7" s="34" t="str">
        <f>VLOOKUP(A7,'[2]06-08-26'!$A$2:$T$100,20,0)</f>
        <v>Rajni ( 14 Inch ) 7     Grass</v>
      </c>
      <c r="T7" s="34" t="s">
        <v>394</v>
      </c>
      <c r="U7" s="34">
        <v>7</v>
      </c>
      <c r="V7" s="34"/>
      <c r="W7" s="34"/>
      <c r="X7" s="34"/>
      <c r="Y7" s="34"/>
      <c r="Z7" s="34" t="s">
        <v>405</v>
      </c>
      <c r="AA7" s="34"/>
      <c r="AB7" s="34"/>
      <c r="AC7" s="34"/>
      <c r="AD7" s="34"/>
    </row>
    <row r="8" spans="1:30" ht="113.4" hidden="1" customHeight="1" x14ac:dyDescent="0.3">
      <c r="A8" s="12" t="s">
        <v>49</v>
      </c>
      <c r="B8" s="14" t="s">
        <v>50</v>
      </c>
      <c r="C8" s="14">
        <v>9654700022</v>
      </c>
      <c r="D8" s="10" t="s">
        <v>51</v>
      </c>
      <c r="E8" s="10" t="s">
        <v>38</v>
      </c>
      <c r="F8" s="10" t="s">
        <v>15</v>
      </c>
      <c r="G8" s="20" t="s">
        <v>39</v>
      </c>
      <c r="H8" s="9">
        <v>1450</v>
      </c>
      <c r="I8" s="9">
        <v>362.5</v>
      </c>
      <c r="J8" s="10" t="s">
        <v>25</v>
      </c>
      <c r="K8" s="10" t="s">
        <v>52</v>
      </c>
      <c r="L8" s="10" t="s">
        <v>53</v>
      </c>
      <c r="M8" s="10" t="s">
        <v>54</v>
      </c>
      <c r="N8" s="13" t="s">
        <v>19</v>
      </c>
      <c r="O8" s="34" t="str">
        <f>VLOOKUP(A8,'[1]09-07-26'!$A$2:$T$89,20,0)</f>
        <v>Rajni ( 14 Inch ) 16     Grass</v>
      </c>
      <c r="P8" s="34" t="str">
        <f>VLOOKUP(A8,'[1]16-07-26'!$A$2:$T$95,20,0)</f>
        <v>P n Y Spray Daisy ( 14 Inch ) 5     FF Sachet + Grass</v>
      </c>
      <c r="Q8" s="34" t="str">
        <f>VLOOKUP(A8,'[1]23-07-26'!$A$2:$T$106,20,0)</f>
        <v>G n W Car ( 14 inch ) 16     FF Sachet + Grass</v>
      </c>
      <c r="R8" s="34" t="str">
        <f>VLOOKUP(A8,'[1]30-07-26'!$A$2:$T$107,20,0)</f>
        <v>Mix Glad ( 14 Inch ) 16     FF Sachet + Grass</v>
      </c>
      <c r="S8" s="34" t="str">
        <f>VLOOKUP(A8,'[2]06-08-26'!$A$2:$T$100,20,0)</f>
        <v>Pur n W Eustoma ( 12 Inch ) 3     FF Sachet + Grass</v>
      </c>
      <c r="T8" s="34" t="s">
        <v>401</v>
      </c>
      <c r="U8" s="34">
        <v>3</v>
      </c>
      <c r="V8" s="34"/>
      <c r="W8" s="34"/>
      <c r="X8" s="34"/>
      <c r="Y8" s="34"/>
      <c r="Z8" s="34" t="s">
        <v>406</v>
      </c>
      <c r="AA8" s="34"/>
      <c r="AB8" s="34"/>
      <c r="AC8" s="34"/>
      <c r="AD8" s="34"/>
    </row>
    <row r="9" spans="1:30" ht="113.4" hidden="1" customHeight="1" x14ac:dyDescent="0.3">
      <c r="A9" s="1">
        <v>888</v>
      </c>
      <c r="B9" s="14" t="s">
        <v>55</v>
      </c>
      <c r="C9" s="21">
        <v>9868169896</v>
      </c>
      <c r="D9" s="12" t="s">
        <v>56</v>
      </c>
      <c r="E9" s="12" t="s">
        <v>14</v>
      </c>
      <c r="F9" s="12" t="s">
        <v>15</v>
      </c>
      <c r="G9" s="11" t="s">
        <v>24</v>
      </c>
      <c r="H9" s="9">
        <v>1450</v>
      </c>
      <c r="I9" s="9">
        <v>362.5</v>
      </c>
      <c r="J9" s="10" t="s">
        <v>25</v>
      </c>
      <c r="K9" s="12" t="s">
        <v>57</v>
      </c>
      <c r="L9" s="10" t="s">
        <v>58</v>
      </c>
      <c r="M9" s="10" t="s">
        <v>59</v>
      </c>
      <c r="N9" s="13" t="s">
        <v>19</v>
      </c>
      <c r="O9" s="34" t="e">
        <f>VLOOKUP(A9,'[1]09-07-26'!$A$2:$T$89,20,0)</f>
        <v>#N/A</v>
      </c>
      <c r="P9" s="34" t="str">
        <f>VLOOKUP(A9,'[1]16-07-26'!$A$2:$T$95,20,0)</f>
        <v>G n W Car ( 14 Inch ) 16     FF Sachet + Grass</v>
      </c>
      <c r="Q9" s="34" t="str">
        <f>VLOOKUP(A9,'[1]23-07-26'!$A$2:$T$106,20,0)</f>
        <v>Pur Eustoma ( 12 Inch ) 3     FF Sachet + Grass</v>
      </c>
      <c r="R9" s="34" t="str">
        <f>VLOOKUP(A9,'[1]30-07-26'!$A$2:$T$107,20,0)</f>
        <v>Mix Alstroemeria ( 12 Inch ) 16     FF Sachet + Grass</v>
      </c>
      <c r="S9" s="34" t="str">
        <f>VLOOKUP(A9,'[2]06-08-26'!$A$2:$T$100,20,0)</f>
        <v>Mix Glad ( 14 Inch ) 16     Grass</v>
      </c>
      <c r="T9" s="34" t="s">
        <v>411</v>
      </c>
      <c r="U9" s="34">
        <v>3</v>
      </c>
      <c r="V9" s="34"/>
      <c r="W9" s="34"/>
      <c r="X9" s="34"/>
      <c r="Y9" s="34"/>
      <c r="Z9" s="34" t="s">
        <v>406</v>
      </c>
      <c r="AA9" s="34"/>
      <c r="AB9" s="34"/>
      <c r="AC9" s="34"/>
      <c r="AD9" s="34"/>
    </row>
    <row r="10" spans="1:30" ht="113.4" hidden="1" customHeight="1" x14ac:dyDescent="0.3">
      <c r="A10" s="1">
        <v>884</v>
      </c>
      <c r="B10" s="14" t="s">
        <v>60</v>
      </c>
      <c r="C10" s="9">
        <v>9811192021</v>
      </c>
      <c r="D10" s="9" t="s">
        <v>61</v>
      </c>
      <c r="E10" s="9" t="s">
        <v>62</v>
      </c>
      <c r="F10" s="9" t="s">
        <v>15</v>
      </c>
      <c r="G10" s="9" t="s">
        <v>63</v>
      </c>
      <c r="H10" s="9">
        <v>1950</v>
      </c>
      <c r="I10" s="9">
        <v>487.5</v>
      </c>
      <c r="J10" s="10" t="s">
        <v>17</v>
      </c>
      <c r="K10" s="10" t="s">
        <v>64</v>
      </c>
      <c r="L10" s="9" t="s">
        <v>65</v>
      </c>
      <c r="M10" s="10" t="s">
        <v>66</v>
      </c>
      <c r="N10" s="13" t="s">
        <v>67</v>
      </c>
      <c r="O10" s="34" t="str">
        <f>VLOOKUP(A10,'[1]09-07-26'!$A$2:$T$89,20,0)</f>
        <v>Rajni ( 14 Inch ) 16     Grass</v>
      </c>
      <c r="P10" s="34" t="str">
        <f>VLOOKUP(A10,'[1]16-07-26'!$A$2:$T$95,20,0)</f>
        <v>P Asiatic ( 14 Inch ) 3     Grass</v>
      </c>
      <c r="Q10" s="34" t="str">
        <f>VLOOKUP(A10,'[1]23-07-26'!$A$2:$T$106,20,0)</f>
        <v>Mix Glad ( 14 Inch ) 22     Grass</v>
      </c>
      <c r="R10" s="34" t="str">
        <f>VLOOKUP(A10,'[1]30-07-26'!$A$2:$T$107,20,0)</f>
        <v>P n Y Spray Daisy ( 14 Inch ) 7     FF Sachet + Grass</v>
      </c>
      <c r="S10" s="34" t="str">
        <f>VLOOKUP(A10,'[2]06-08-26'!$A$2:$T$100,20,0)</f>
        <v>R n W Car ( 14 Inch ) 22     FF Sachet + Grass</v>
      </c>
      <c r="T10" s="34" t="s">
        <v>403</v>
      </c>
      <c r="U10" s="34">
        <v>22</v>
      </c>
      <c r="V10" s="34"/>
      <c r="W10" s="34"/>
      <c r="X10" s="34"/>
      <c r="Y10" s="34"/>
      <c r="Z10" s="34" t="s">
        <v>405</v>
      </c>
      <c r="AA10" s="34"/>
      <c r="AB10" s="34"/>
      <c r="AC10" s="34"/>
      <c r="AD10" s="34"/>
    </row>
    <row r="11" spans="1:30" ht="113.4" hidden="1" customHeight="1" x14ac:dyDescent="0.3">
      <c r="A11" s="1">
        <v>236</v>
      </c>
      <c r="B11" s="22" t="s">
        <v>68</v>
      </c>
      <c r="C11" s="1">
        <v>8860079525</v>
      </c>
      <c r="D11" s="1" t="s">
        <v>69</v>
      </c>
      <c r="E11" s="1" t="s">
        <v>70</v>
      </c>
      <c r="F11" s="12" t="s">
        <v>71</v>
      </c>
      <c r="G11" s="11" t="s">
        <v>24</v>
      </c>
      <c r="H11" s="9">
        <v>1450</v>
      </c>
      <c r="I11" s="9">
        <v>362.5</v>
      </c>
      <c r="J11" s="23" t="s">
        <v>72</v>
      </c>
      <c r="K11" s="12" t="s">
        <v>73</v>
      </c>
      <c r="L11" s="9"/>
      <c r="M11" s="9"/>
      <c r="N11" s="13" t="s">
        <v>76</v>
      </c>
      <c r="O11" s="34" t="str">
        <f>VLOOKUP(A11,'[1]09-07-26'!$A$2:$T$89,20,0)</f>
        <v>P n W Car ( 14 Inch ) 16     FF Sachet + Grass</v>
      </c>
      <c r="P11" s="34" t="str">
        <f>VLOOKUP(A11,'[1]16-07-26'!$A$2:$T$95,20,0)</f>
        <v>Rajni ( 14 Inch ) 16     Grass</v>
      </c>
      <c r="Q11" s="34" t="str">
        <f>VLOOKUP(A11,'[1]23-07-26'!$A$2:$T$106,20,0)</f>
        <v>B Daisy 10     Grass</v>
      </c>
      <c r="R11" s="34" t="str">
        <f>VLOOKUP(A11,'[1]30-07-26'!$A$2:$T$107,20,0)</f>
        <v>Mix Glad ( 14 Inch ) 16     FF Sachet + Grass</v>
      </c>
      <c r="S11" s="34" t="str">
        <f>VLOOKUP(A11,'[2]06-08-26'!$A$2:$T$100,20,0)</f>
        <v>R n W Car ( 14 Inch ) 16     FF Sachet + Grass</v>
      </c>
      <c r="T11" s="34" t="s">
        <v>403</v>
      </c>
      <c r="U11" s="34">
        <v>16</v>
      </c>
      <c r="V11" s="34"/>
      <c r="W11" s="34"/>
      <c r="X11" s="34"/>
      <c r="Y11" s="34"/>
      <c r="Z11" s="34" t="s">
        <v>405</v>
      </c>
      <c r="AA11" s="34"/>
      <c r="AB11" s="34"/>
      <c r="AC11" s="34"/>
      <c r="AD11" s="34"/>
    </row>
    <row r="12" spans="1:30" ht="113.4" hidden="1" customHeight="1" x14ac:dyDescent="0.3">
      <c r="A12" s="1">
        <v>366</v>
      </c>
      <c r="B12" s="22" t="s">
        <v>68</v>
      </c>
      <c r="C12" s="1">
        <v>8860079525</v>
      </c>
      <c r="D12" s="1" t="s">
        <v>69</v>
      </c>
      <c r="E12" s="1" t="s">
        <v>70</v>
      </c>
      <c r="F12" s="12" t="s">
        <v>74</v>
      </c>
      <c r="G12" s="11" t="s">
        <v>24</v>
      </c>
      <c r="H12" s="9">
        <v>1450</v>
      </c>
      <c r="I12" s="9">
        <v>362.5</v>
      </c>
      <c r="J12" s="23" t="s">
        <v>72</v>
      </c>
      <c r="K12" s="12" t="s">
        <v>75</v>
      </c>
      <c r="L12" s="9"/>
      <c r="M12" s="9"/>
      <c r="N12" s="13" t="s">
        <v>76</v>
      </c>
      <c r="O12" s="34" t="str">
        <f>VLOOKUP(A12,'[1]09-07-26'!$A$2:$T$89,20,0)</f>
        <v>W Asiatic ( 14 Inch ) 3     Grass</v>
      </c>
      <c r="P12" s="34" t="str">
        <f>VLOOKUP(A12,'[1]16-07-26'!$A$2:$T$95,20,0)</f>
        <v>O Asiatic ( 14 Inch ) 3     Grass</v>
      </c>
      <c r="Q12" s="34" t="str">
        <f>VLOOKUP(A12,'[1]23-07-26'!$A$2:$T$106,20,0)</f>
        <v>Y Asiatic ( 14 inch ) 3     Grass</v>
      </c>
      <c r="R12" s="34" t="str">
        <f>VLOOKUP(A12,'[1]30-07-26'!$A$2:$T$107,20,0)</f>
        <v>M n W  Spray Daisy ( 14 Inch ) 5     FF Sachet + Grass</v>
      </c>
      <c r="S12" s="34" t="str">
        <f>VLOOKUP(A12,'[2]06-08-26'!$A$2:$T$100,20,0)</f>
        <v>Pur n W Eustoma ( 12 Inch ) 3     FF Sachet + Grass</v>
      </c>
      <c r="T12" s="34" t="s">
        <v>396</v>
      </c>
      <c r="U12" s="34">
        <v>3</v>
      </c>
      <c r="V12" s="34"/>
      <c r="W12" s="34"/>
      <c r="X12" s="34"/>
      <c r="Y12" s="34"/>
      <c r="Z12" s="34" t="s">
        <v>406</v>
      </c>
      <c r="AA12" s="34"/>
      <c r="AB12" s="34"/>
      <c r="AC12" s="34"/>
      <c r="AD12" s="34"/>
    </row>
    <row r="13" spans="1:30" ht="113.4" hidden="1" customHeight="1" x14ac:dyDescent="0.3">
      <c r="A13" s="12">
        <v>894</v>
      </c>
      <c r="B13" s="24" t="s">
        <v>77</v>
      </c>
      <c r="C13" s="25" t="s">
        <v>78</v>
      </c>
      <c r="D13" s="25" t="s">
        <v>79</v>
      </c>
      <c r="E13" s="12" t="s">
        <v>14</v>
      </c>
      <c r="F13" s="12" t="s">
        <v>15</v>
      </c>
      <c r="G13" s="11" t="s">
        <v>24</v>
      </c>
      <c r="H13" s="9">
        <v>3000</v>
      </c>
      <c r="I13" s="9">
        <v>375</v>
      </c>
      <c r="J13" s="10" t="s">
        <v>80</v>
      </c>
      <c r="K13" s="12" t="s">
        <v>81</v>
      </c>
      <c r="L13" s="10" t="s">
        <v>82</v>
      </c>
      <c r="M13" s="9"/>
      <c r="N13" s="13" t="s">
        <v>390</v>
      </c>
      <c r="O13" s="34" t="str">
        <f>VLOOKUP(A13,'[1]09-07-26'!$A$2:$T$89,20,0)</f>
        <v>G Anthurium 3     Grass</v>
      </c>
      <c r="P13" s="34" t="e">
        <f>VLOOKUP(A13,'[1]16-07-26'!$A$2:$T$95,20,0)</f>
        <v>#N/A</v>
      </c>
      <c r="Q13" s="34" t="str">
        <f>VLOOKUP(A13,'[1]23-07-26'!$A$2:$T$106,20,0)</f>
        <v>Y Asiatic ( 14 inch ) 3     Grass</v>
      </c>
      <c r="R13" s="34" t="str">
        <f>VLOOKUP(A13,'[1]30-07-26'!$A$2:$T$107,20,0)</f>
        <v>Rajni ( 14 Inch ) 15     Grass</v>
      </c>
      <c r="S13" s="34" t="str">
        <f>VLOOKUP(A13,'[2]06-08-26'!$A$2:$T$100,20,0)</f>
        <v>W Eustoma ( 12 Inch ) 3     FF Sachet + Grass</v>
      </c>
      <c r="T13" s="34" t="s">
        <v>395</v>
      </c>
      <c r="U13" s="34">
        <v>4</v>
      </c>
      <c r="V13" s="34"/>
      <c r="W13" s="34"/>
      <c r="X13" s="34"/>
      <c r="Y13" s="34"/>
      <c r="Z13" s="34" t="s">
        <v>405</v>
      </c>
      <c r="AA13" s="34"/>
      <c r="AB13" s="34"/>
      <c r="AC13" s="34"/>
      <c r="AD13" s="34"/>
    </row>
    <row r="14" spans="1:30" ht="113.4" hidden="1" customHeight="1" x14ac:dyDescent="0.3">
      <c r="A14" s="1">
        <v>244</v>
      </c>
      <c r="B14" s="14" t="s">
        <v>84</v>
      </c>
      <c r="C14" s="26">
        <v>9958581403</v>
      </c>
      <c r="D14" s="10" t="s">
        <v>85</v>
      </c>
      <c r="E14" s="10" t="s">
        <v>62</v>
      </c>
      <c r="F14" s="12" t="s">
        <v>15</v>
      </c>
      <c r="G14" s="11" t="s">
        <v>24</v>
      </c>
      <c r="H14" s="9">
        <v>1450</v>
      </c>
      <c r="I14" s="9">
        <v>1450</v>
      </c>
      <c r="J14" s="12" t="s">
        <v>25</v>
      </c>
      <c r="K14" s="12" t="s">
        <v>86</v>
      </c>
      <c r="L14" s="9"/>
      <c r="M14" s="9"/>
      <c r="N14" s="13" t="s">
        <v>19</v>
      </c>
      <c r="O14" s="34" t="str">
        <f>VLOOKUP(A14,'[1]09-07-26'!$A$2:$T$89,20,0)</f>
        <v>O Asiatic ( 14 Inch ) 3     Grass</v>
      </c>
      <c r="P14" s="34" t="str">
        <f>VLOOKUP(A14,'[1]16-07-26'!$A$2:$T$95,20,0)</f>
        <v>P n Y Spray Daisy ( 14 Inch ) 5     FF Sachet + Grass</v>
      </c>
      <c r="Q14" s="34" t="str">
        <f>VLOOKUP(A14,'[1]23-07-26'!$A$2:$T$106,20,0)</f>
        <v>Mix Glad ( 14 Inch ) 16     Grass</v>
      </c>
      <c r="R14" s="34" t="str">
        <f>VLOOKUP(A14,'[1]30-07-26'!$A$2:$T$107,20,0)</f>
        <v>R n W Car ( 14 Inch ) 16     FF Sachet + Grass</v>
      </c>
      <c r="S14" s="34" t="str">
        <f>VLOOKUP(A14,'[2]06-08-26'!$A$2:$T$100,20,0)</f>
        <v>Pur n W Eustoma ( 12 Inch ) 3     FF Sachet + Grass</v>
      </c>
      <c r="T14" s="34" t="s">
        <v>403</v>
      </c>
      <c r="U14" s="34">
        <v>16</v>
      </c>
      <c r="V14" s="34"/>
      <c r="W14" s="34"/>
      <c r="X14" s="34"/>
      <c r="Y14" s="34"/>
      <c r="Z14" s="34" t="s">
        <v>405</v>
      </c>
      <c r="AA14" s="34"/>
      <c r="AB14" s="34"/>
      <c r="AC14" s="34"/>
      <c r="AD14" s="34"/>
    </row>
    <row r="15" spans="1:30" ht="113.4" hidden="1" customHeight="1" x14ac:dyDescent="0.3">
      <c r="A15" s="1">
        <v>309</v>
      </c>
      <c r="B15" s="14" t="s">
        <v>87</v>
      </c>
      <c r="C15" s="9">
        <v>9811806611</v>
      </c>
      <c r="D15" s="10" t="s">
        <v>88</v>
      </c>
      <c r="E15" s="1" t="s">
        <v>62</v>
      </c>
      <c r="F15" s="12" t="s">
        <v>15</v>
      </c>
      <c r="G15" s="11" t="s">
        <v>24</v>
      </c>
      <c r="H15" s="9">
        <v>2750</v>
      </c>
      <c r="I15" s="9">
        <v>687.5</v>
      </c>
      <c r="J15" s="12" t="s">
        <v>89</v>
      </c>
      <c r="K15" s="12" t="s">
        <v>90</v>
      </c>
      <c r="L15" s="9"/>
      <c r="M15" s="10" t="s">
        <v>91</v>
      </c>
      <c r="N15" s="13" t="s">
        <v>19</v>
      </c>
      <c r="O15" s="34" t="e">
        <f>VLOOKUP(A15,'[1]09-07-26'!$A$2:$T$89,20,0)</f>
        <v>#N/A</v>
      </c>
      <c r="P15" s="34" t="str">
        <f>VLOOKUP(A15,'[1]16-07-26'!$A$2:$T$95,20,0)</f>
        <v>O Asiatic ( 14 Inch ) 6     2 Gypsola</v>
      </c>
      <c r="Q15" s="34" t="str">
        <f>VLOOKUP(A15,'[1]23-07-26'!$A$2:$T$106,20,0)</f>
        <v>B Orchid  10     2 Limonium + FF Sachet</v>
      </c>
      <c r="R15" s="34" t="str">
        <f>VLOOKUP(A15,'[1]30-07-26'!$A$2:$T$107,20,0)</f>
        <v>P n Y Spray Daisy ( 14 Inch ) 10     2 Gypsola + FF Sachet</v>
      </c>
      <c r="S15" s="34" t="str">
        <f>VLOOKUP(A15,'[2]06-08-26'!$A$2:$T$100,20,0)</f>
        <v>Mix Glad ( 14 Inch ) 32     2 Limonium</v>
      </c>
      <c r="T15" s="34" t="s">
        <v>394</v>
      </c>
      <c r="U15" s="34">
        <v>32</v>
      </c>
      <c r="V15" s="34"/>
      <c r="W15" s="34"/>
      <c r="X15" s="34"/>
      <c r="Y15" s="34"/>
      <c r="Z15" s="34" t="s">
        <v>422</v>
      </c>
      <c r="AA15" s="34"/>
      <c r="AB15" s="34"/>
      <c r="AC15" s="34"/>
      <c r="AD15" s="34"/>
    </row>
    <row r="16" spans="1:30" ht="113.4" hidden="1" customHeight="1" x14ac:dyDescent="0.3">
      <c r="A16" s="1">
        <v>172</v>
      </c>
      <c r="B16" s="14" t="s">
        <v>92</v>
      </c>
      <c r="C16" s="1">
        <v>9811779661</v>
      </c>
      <c r="D16" s="12" t="s">
        <v>93</v>
      </c>
      <c r="E16" s="10" t="s">
        <v>94</v>
      </c>
      <c r="F16" s="12" t="s">
        <v>15</v>
      </c>
      <c r="G16" s="11" t="s">
        <v>24</v>
      </c>
      <c r="H16" s="9">
        <v>1450</v>
      </c>
      <c r="I16" s="9">
        <v>362.5</v>
      </c>
      <c r="J16" s="10" t="s">
        <v>25</v>
      </c>
      <c r="K16" s="12" t="s">
        <v>95</v>
      </c>
      <c r="L16" s="10" t="s">
        <v>96</v>
      </c>
      <c r="M16" s="9"/>
      <c r="N16" s="13" t="s">
        <v>19</v>
      </c>
      <c r="O16" s="34" t="str">
        <f>VLOOKUP(A16,'[1]09-07-26'!$A$2:$T$89,20,0)</f>
        <v>Sunflower ( 12 Inch ) 4     FF Sachet + Grass</v>
      </c>
      <c r="P16" s="34" t="str">
        <f>VLOOKUP(A16,'[1]16-07-26'!$A$2:$T$95,20,0)</f>
        <v>P n Y Spray Daisy ( 14 Inch ) 5     FF Sachet + Grass</v>
      </c>
      <c r="Q16" s="34" t="str">
        <f>VLOOKUP(A16,'[1]23-07-26'!$A$2:$T$106,20,0)</f>
        <v>Mix Glad ( 14 Inch ) 16     Grass</v>
      </c>
      <c r="R16" s="34" t="str">
        <f>VLOOKUP(A16,'[1]30-07-26'!$A$2:$T$107,20,0)</f>
        <v>O Asiatic ( 14 Inch ) 3     Grass</v>
      </c>
      <c r="S16" s="34" t="str">
        <f>VLOOKUP(A16,'[2]06-08-26'!$A$2:$T$100,20,0)</f>
        <v>Mix Alstroemeria ( 12 Inch ) 16     FF Sachet + Grass</v>
      </c>
      <c r="T16" s="34" t="s">
        <v>394</v>
      </c>
      <c r="U16" s="34">
        <v>16</v>
      </c>
      <c r="V16" s="34"/>
      <c r="W16" s="34"/>
      <c r="X16" s="34"/>
      <c r="Y16" s="34"/>
      <c r="Z16" s="34" t="s">
        <v>405</v>
      </c>
      <c r="AA16" s="34"/>
      <c r="AB16" s="34"/>
      <c r="AC16" s="34"/>
      <c r="AD16" s="34"/>
    </row>
    <row r="17" spans="1:30" ht="113.4" hidden="1" customHeight="1" x14ac:dyDescent="0.3">
      <c r="A17" s="1">
        <v>2250</v>
      </c>
      <c r="B17" s="14" t="s">
        <v>97</v>
      </c>
      <c r="C17" s="9">
        <v>9810796682</v>
      </c>
      <c r="D17" s="10" t="s">
        <v>98</v>
      </c>
      <c r="E17" s="10" t="s">
        <v>23</v>
      </c>
      <c r="F17" s="10" t="s">
        <v>99</v>
      </c>
      <c r="G17" s="11" t="s">
        <v>24</v>
      </c>
      <c r="H17" s="9">
        <v>3088</v>
      </c>
      <c r="I17" s="9">
        <v>386</v>
      </c>
      <c r="J17" s="10" t="s">
        <v>100</v>
      </c>
      <c r="K17" s="10" t="s">
        <v>101</v>
      </c>
      <c r="L17" s="9"/>
      <c r="M17" s="9"/>
      <c r="N17" s="13" t="s">
        <v>389</v>
      </c>
      <c r="O17" s="34" t="str">
        <f>VLOOKUP(A17,'[1]09-07-26'!$A$2:$T$89,20,0)</f>
        <v>P Asiatic ( 14 Inch ) 2     Grass</v>
      </c>
      <c r="P17" s="34" t="str">
        <f>VLOOKUP(A17,'[1]16-07-26'!$A$2:$T$95,20,0)</f>
        <v>O Asiatic ( 14 Inch ) 3     Grass</v>
      </c>
      <c r="Q17" s="34" t="str">
        <f>VLOOKUP(A17,'[1]23-07-26'!$A$2:$T$106,20,0)</f>
        <v>O Asiatic ( 14 Inch ) 3     Grass</v>
      </c>
      <c r="R17" s="34" t="str">
        <f>VLOOKUP(A17,'[1]30-07-26'!$A$2:$T$107,20,0)</f>
        <v>W Asiatic ( 14 Inch ) 3     Grass</v>
      </c>
      <c r="S17" s="34" t="str">
        <f>VLOOKUP(A17,'[2]06-08-26'!$A$2:$T$100,20,0)</f>
        <v>O Asiatic ( 14 Inch ) 3     Grass</v>
      </c>
      <c r="T17" s="34" t="s">
        <v>396</v>
      </c>
      <c r="U17" s="34">
        <v>3</v>
      </c>
      <c r="V17" s="34"/>
      <c r="W17" s="34"/>
      <c r="X17" s="34"/>
      <c r="Y17" s="34"/>
      <c r="Z17" s="34" t="s">
        <v>406</v>
      </c>
      <c r="AA17" s="34"/>
      <c r="AB17" s="34"/>
      <c r="AC17" s="34"/>
      <c r="AD17" s="34"/>
    </row>
    <row r="18" spans="1:30" ht="113.4" hidden="1" customHeight="1" x14ac:dyDescent="0.3">
      <c r="A18" s="1">
        <v>3415</v>
      </c>
      <c r="B18" s="14" t="s">
        <v>102</v>
      </c>
      <c r="C18" s="9">
        <v>9868216569</v>
      </c>
      <c r="D18" s="10" t="s">
        <v>103</v>
      </c>
      <c r="E18" s="10" t="s">
        <v>38</v>
      </c>
      <c r="F18" s="10" t="s">
        <v>15</v>
      </c>
      <c r="G18" s="20" t="s">
        <v>39</v>
      </c>
      <c r="H18" s="9">
        <v>1450</v>
      </c>
      <c r="I18" s="9">
        <v>362.5</v>
      </c>
      <c r="J18" s="10" t="s">
        <v>25</v>
      </c>
      <c r="K18" s="10" t="s">
        <v>104</v>
      </c>
      <c r="L18" s="9"/>
      <c r="M18" s="9"/>
      <c r="N18" s="13" t="s">
        <v>19</v>
      </c>
      <c r="O18" s="34" t="e">
        <f>VLOOKUP(A18,'[1]09-07-26'!$A$2:$T$89,20,0)</f>
        <v>#N/A</v>
      </c>
      <c r="P18" s="34" t="e">
        <f>VLOOKUP(A18,'[1]16-07-26'!$A$2:$T$95,20,0)</f>
        <v>#N/A</v>
      </c>
      <c r="Q18" s="34" t="str">
        <f>VLOOKUP(A18,'[1]23-07-26'!$A$2:$T$106,20,0)</f>
        <v>P n W Car ( 14 Inch ) 16     FF Sachet + Grass</v>
      </c>
      <c r="R18" s="34" t="str">
        <f>VLOOKUP(A18,'[1]30-07-26'!$A$2:$T$107,20,0)</f>
        <v>Mix Glad ( 14 Inch ) 16     Grass</v>
      </c>
      <c r="S18" s="34" t="str">
        <f>VLOOKUP(A18,'[2]06-08-26'!$A$2:$T$100,20,0)</f>
        <v>O Asiatic ( 14 Inch ) 3     Grass</v>
      </c>
      <c r="T18" s="34" t="s">
        <v>410</v>
      </c>
      <c r="U18" s="34">
        <v>5</v>
      </c>
      <c r="V18" s="34"/>
      <c r="W18" s="34"/>
      <c r="X18" s="34"/>
      <c r="Y18" s="34"/>
      <c r="Z18" s="34" t="s">
        <v>405</v>
      </c>
      <c r="AA18" s="34"/>
      <c r="AB18" s="34"/>
      <c r="AC18" s="34"/>
      <c r="AD18" s="34"/>
    </row>
    <row r="19" spans="1:30" ht="113.4" hidden="1" customHeight="1" x14ac:dyDescent="0.3">
      <c r="A19" s="1">
        <v>3212</v>
      </c>
      <c r="B19" s="14" t="s">
        <v>105</v>
      </c>
      <c r="C19" s="26">
        <v>9958849523</v>
      </c>
      <c r="D19" s="10" t="s">
        <v>106</v>
      </c>
      <c r="E19" s="10" t="s">
        <v>23</v>
      </c>
      <c r="F19" s="10" t="s">
        <v>15</v>
      </c>
      <c r="G19" s="20" t="s">
        <v>39</v>
      </c>
      <c r="H19" s="9">
        <v>1450</v>
      </c>
      <c r="I19" s="9">
        <v>1450</v>
      </c>
      <c r="J19" s="12" t="s">
        <v>25</v>
      </c>
      <c r="K19" s="10" t="s">
        <v>107</v>
      </c>
      <c r="L19" s="9"/>
      <c r="M19" s="9"/>
      <c r="N19" s="13" t="s">
        <v>19</v>
      </c>
      <c r="O19" s="34" t="str">
        <f>VLOOKUP(A19,'[1]09-07-26'!$A$2:$T$89,20,0)</f>
        <v>Rajni ( 14 Inch ) 16     Grass</v>
      </c>
      <c r="P19" s="34" t="str">
        <f>VLOOKUP(A19,'[1]16-07-26'!$A$2:$T$95,20,0)</f>
        <v>O Asiatic 2     Grass</v>
      </c>
      <c r="Q19" s="34" t="str">
        <f>VLOOKUP(A19,'[1]23-07-26'!$A$2:$T$106,20,0)</f>
        <v>G n W Car ( 14 inch ) 16     Grass</v>
      </c>
      <c r="R19" s="34" t="str">
        <f>VLOOKUP(A19,'[1]30-07-26'!$A$2:$T$107,20,0)</f>
        <v>M n W  Spray Daisy ( 14 Inch ) 5     FF Sachet + Grass</v>
      </c>
      <c r="S19" s="34" t="str">
        <f>VLOOKUP(A19,'[2]06-08-26'!$A$2:$T$100,20,0)</f>
        <v>Mix Glad ( 14 Inch ) 16     Grass</v>
      </c>
      <c r="T19" s="34" t="s">
        <v>412</v>
      </c>
      <c r="U19" s="34">
        <v>3</v>
      </c>
      <c r="V19" s="34"/>
      <c r="W19" s="34"/>
      <c r="X19" s="34"/>
      <c r="Y19" s="34"/>
      <c r="Z19" s="34" t="s">
        <v>405</v>
      </c>
      <c r="AA19" s="34"/>
      <c r="AB19" s="34"/>
      <c r="AC19" s="34"/>
      <c r="AD19" s="34"/>
    </row>
    <row r="20" spans="1:30" ht="113.4" hidden="1" customHeight="1" x14ac:dyDescent="0.3">
      <c r="A20" s="1">
        <v>3363</v>
      </c>
      <c r="B20" s="14" t="s">
        <v>108</v>
      </c>
      <c r="C20" s="9">
        <v>9819952391</v>
      </c>
      <c r="D20" s="10" t="s">
        <v>109</v>
      </c>
      <c r="E20" s="10" t="s">
        <v>14</v>
      </c>
      <c r="F20" s="10" t="s">
        <v>15</v>
      </c>
      <c r="G20" s="20" t="s">
        <v>110</v>
      </c>
      <c r="H20" s="9">
        <v>1450</v>
      </c>
      <c r="I20" s="9">
        <v>362.5</v>
      </c>
      <c r="J20" s="12" t="s">
        <v>25</v>
      </c>
      <c r="K20" s="10" t="s">
        <v>111</v>
      </c>
      <c r="L20" s="9"/>
      <c r="M20" s="10" t="s">
        <v>112</v>
      </c>
      <c r="N20" s="13" t="s">
        <v>19</v>
      </c>
      <c r="O20" s="34" t="e">
        <f>VLOOKUP(A20,'[1]09-07-26'!$A$2:$T$89,20,0)</f>
        <v>#N/A</v>
      </c>
      <c r="P20" s="34" t="e">
        <f>VLOOKUP(A20,'[1]16-07-26'!$A$2:$T$95,20,0)</f>
        <v>#N/A</v>
      </c>
      <c r="Q20" s="34" t="str">
        <f>VLOOKUP(A20,'[1]23-07-26'!$A$2:$T$106,20,0)</f>
        <v>G n W Car ( 14 inch ) 16     FF Sachet + Grass</v>
      </c>
      <c r="R20" s="34" t="str">
        <f>VLOOKUP(A20,'[1]30-07-26'!$A$2:$T$107,20,0)</f>
        <v>O Asiatic ( 14 Inch ) 3     Grass</v>
      </c>
      <c r="S20" s="34" t="str">
        <f>VLOOKUP(A20,'[2]06-08-26'!$A$2:$T$100,20,0)</f>
        <v>Mix Glad ( 14 Inch ) 16     Grass</v>
      </c>
      <c r="T20" s="34" t="s">
        <v>410</v>
      </c>
      <c r="U20" s="34">
        <v>5</v>
      </c>
      <c r="V20" s="34"/>
      <c r="W20" s="34"/>
      <c r="X20" s="34"/>
      <c r="Y20" s="34"/>
      <c r="Z20" s="34" t="s">
        <v>405</v>
      </c>
      <c r="AA20" s="34"/>
      <c r="AB20" s="34"/>
      <c r="AC20" s="34"/>
      <c r="AD20" s="34"/>
    </row>
    <row r="21" spans="1:30" ht="113.4" hidden="1" customHeight="1" x14ac:dyDescent="0.3">
      <c r="A21" s="1">
        <v>3364</v>
      </c>
      <c r="B21" s="14" t="s">
        <v>108</v>
      </c>
      <c r="C21" s="9">
        <v>9819952391</v>
      </c>
      <c r="D21" s="10" t="s">
        <v>109</v>
      </c>
      <c r="E21" s="10" t="s">
        <v>14</v>
      </c>
      <c r="F21" s="10" t="s">
        <v>113</v>
      </c>
      <c r="G21" s="20" t="s">
        <v>110</v>
      </c>
      <c r="H21" s="9">
        <v>1450</v>
      </c>
      <c r="I21" s="9">
        <v>362.5</v>
      </c>
      <c r="J21" s="12" t="s">
        <v>25</v>
      </c>
      <c r="K21" s="10" t="s">
        <v>114</v>
      </c>
      <c r="L21" s="9"/>
      <c r="M21" s="10" t="s">
        <v>115</v>
      </c>
      <c r="N21" s="13" t="s">
        <v>19</v>
      </c>
      <c r="O21" s="34" t="e">
        <f>VLOOKUP(A21,'[1]09-07-26'!$A$2:$T$89,20,0)</f>
        <v>#N/A</v>
      </c>
      <c r="P21" s="34" t="e">
        <f>VLOOKUP(A21,'[1]16-07-26'!$A$2:$T$95,20,0)</f>
        <v>#N/A</v>
      </c>
      <c r="Q21" s="34" t="str">
        <f>VLOOKUP(A21,'[1]23-07-26'!$A$2:$T$106,20,0)</f>
        <v>G n W Car ( 14 inch ) 16     FF Sachet + Grass</v>
      </c>
      <c r="R21" s="34" t="str">
        <f>VLOOKUP(A21,'[1]30-07-26'!$A$2:$T$107,20,0)</f>
        <v>O Asiatic ( 14 Inch ) 3     Grass</v>
      </c>
      <c r="S21" s="34" t="str">
        <f>VLOOKUP(A21,'[2]06-08-26'!$A$2:$T$100,20,0)</f>
        <v>Mix Glad ( 14 Inch ) 16     Grass</v>
      </c>
      <c r="T21" s="34" t="s">
        <v>410</v>
      </c>
      <c r="U21" s="34">
        <v>5</v>
      </c>
      <c r="V21" s="34"/>
      <c r="W21" s="34"/>
      <c r="X21" s="34"/>
      <c r="Y21" s="34"/>
      <c r="Z21" s="34" t="s">
        <v>405</v>
      </c>
      <c r="AA21" s="34"/>
      <c r="AB21" s="34"/>
      <c r="AC21" s="34"/>
      <c r="AD21" s="34"/>
    </row>
    <row r="22" spans="1:30" ht="113.4" hidden="1" customHeight="1" x14ac:dyDescent="0.3">
      <c r="A22" s="1">
        <v>2716</v>
      </c>
      <c r="B22" s="14" t="s">
        <v>116</v>
      </c>
      <c r="C22" s="9">
        <v>9891744488</v>
      </c>
      <c r="D22" s="10" t="s">
        <v>117</v>
      </c>
      <c r="E22" s="10" t="s">
        <v>62</v>
      </c>
      <c r="F22" s="10" t="s">
        <v>15</v>
      </c>
      <c r="G22" s="11" t="s">
        <v>24</v>
      </c>
      <c r="H22" s="9">
        <v>2750</v>
      </c>
      <c r="I22" s="9">
        <v>687.5</v>
      </c>
      <c r="J22" s="10" t="s">
        <v>89</v>
      </c>
      <c r="K22" s="10" t="s">
        <v>118</v>
      </c>
      <c r="L22" s="9"/>
      <c r="M22" s="10" t="s">
        <v>119</v>
      </c>
      <c r="N22" s="13" t="s">
        <v>19</v>
      </c>
      <c r="O22" s="34" t="str">
        <f>VLOOKUP(A22,'[1]09-07-26'!$A$2:$T$89,20,0)</f>
        <v>Sunflower ( 12 Inch ) 4 Mix Alstroemeria ( 12 Inch ) 16   2 Limonium + FF Sachet</v>
      </c>
      <c r="P22" s="34" t="str">
        <f>VLOOKUP(A22,'[1]16-07-26'!$A$2:$T$95,20,0)</f>
        <v>O Asiatic ( 14 Inch ) 3 P n W Glad ( 14 Inch ) 16   2 Gypsola</v>
      </c>
      <c r="Q22" s="34" t="str">
        <f>VLOOKUP(A22,'[1]23-07-26'!$A$2:$T$106,20,0)</f>
        <v>Pur n P Eustoma ( 12 Inch ) 4 G n W Car ( 14 Inch ) 16   2 Limonium + FF Sachet</v>
      </c>
      <c r="R22" s="34" t="str">
        <f>VLOOKUP(A22,'[1]30-07-26'!$A$2:$T$107,20,0)</f>
        <v>P n Y Spray Daisy ( 14 Inch ) 5 Mix Alstroemeria ( 12 Inch ) 16 Ensure Collection  2 Gypsola + FF Sachet</v>
      </c>
      <c r="S22" s="34" t="str">
        <f>VLOOKUP(A22,'[2]06-08-26'!$A$2:$T$100,20,0)</f>
        <v>O Asiatic ( 14 Inch ) 3 Mix Glad ( 14 Inch ) 16   2 Limonium + FF Sachet</v>
      </c>
      <c r="T22" s="34" t="s">
        <v>420</v>
      </c>
      <c r="U22" s="34">
        <v>3</v>
      </c>
      <c r="V22" s="34" t="s">
        <v>399</v>
      </c>
      <c r="W22" s="34">
        <v>16</v>
      </c>
      <c r="X22" s="34"/>
      <c r="Y22" s="34"/>
      <c r="Z22" s="34" t="s">
        <v>422</v>
      </c>
      <c r="AA22" s="34"/>
      <c r="AB22" s="34"/>
      <c r="AC22" s="34"/>
      <c r="AD22" s="34"/>
    </row>
    <row r="23" spans="1:30" ht="113.4" hidden="1" customHeight="1" x14ac:dyDescent="0.3">
      <c r="A23" s="1">
        <v>3241</v>
      </c>
      <c r="B23" s="14" t="s">
        <v>120</v>
      </c>
      <c r="C23" s="9">
        <v>8800994226</v>
      </c>
      <c r="D23" s="10" t="s">
        <v>121</v>
      </c>
      <c r="E23" s="10" t="s">
        <v>14</v>
      </c>
      <c r="F23" s="10" t="s">
        <v>15</v>
      </c>
      <c r="G23" s="11" t="s">
        <v>24</v>
      </c>
      <c r="H23" s="9">
        <v>1450</v>
      </c>
      <c r="I23" s="9">
        <v>362.5</v>
      </c>
      <c r="J23" s="10" t="s">
        <v>25</v>
      </c>
      <c r="K23" s="10" t="s">
        <v>122</v>
      </c>
      <c r="L23" s="9"/>
      <c r="M23" s="10" t="s">
        <v>54</v>
      </c>
      <c r="N23" s="13" t="s">
        <v>19</v>
      </c>
      <c r="O23" s="34" t="str">
        <f>VLOOKUP(A23,'[1]09-07-26'!$A$2:$T$89,20,0)</f>
        <v>Rajni ( 14 Inch ) 16     Grass</v>
      </c>
      <c r="P23" s="34" t="str">
        <f>VLOOKUP(A23,'[1]16-07-26'!$A$2:$T$95,20,0)</f>
        <v>P n Y Spray Daisy ( 14 Inch ) 5     FF Sachet + Grass</v>
      </c>
      <c r="Q23" s="34" t="str">
        <f>VLOOKUP(A23,'[1]23-07-26'!$A$2:$T$106,20,0)</f>
        <v>Mix Glad ( 14 Inch ) 16     Grass</v>
      </c>
      <c r="R23" s="34" t="str">
        <f>VLOOKUP(A23,'[1]30-07-26'!$A$2:$T$107,20,0)</f>
        <v>R n W Car ( 14 Inch ) 16     FF Sachet + Grass</v>
      </c>
      <c r="S23" s="34" t="str">
        <f>VLOOKUP(A23,'[2]06-08-26'!$A$2:$T$100,20,0)</f>
        <v>O Asiatic ( 14 Inch ) 3     Grass</v>
      </c>
      <c r="T23" s="34" t="s">
        <v>403</v>
      </c>
      <c r="U23" s="34">
        <v>16</v>
      </c>
      <c r="V23" s="34"/>
      <c r="W23" s="34"/>
      <c r="X23" s="34"/>
      <c r="Y23" s="34"/>
      <c r="Z23" s="34" t="s">
        <v>405</v>
      </c>
      <c r="AA23" s="34"/>
      <c r="AB23" s="34"/>
      <c r="AC23" s="34"/>
      <c r="AD23" s="34"/>
    </row>
    <row r="24" spans="1:30" ht="113.4" hidden="1" customHeight="1" x14ac:dyDescent="0.3">
      <c r="A24" s="1">
        <v>2406</v>
      </c>
      <c r="B24" s="14" t="s">
        <v>123</v>
      </c>
      <c r="C24" s="9">
        <v>9873458198</v>
      </c>
      <c r="D24" s="10" t="s">
        <v>124</v>
      </c>
      <c r="E24" s="10" t="s">
        <v>23</v>
      </c>
      <c r="F24" s="10" t="s">
        <v>15</v>
      </c>
      <c r="G24" s="10" t="s">
        <v>125</v>
      </c>
      <c r="H24" s="9">
        <v>1450</v>
      </c>
      <c r="I24" s="9">
        <v>362.5</v>
      </c>
      <c r="J24" s="10" t="s">
        <v>25</v>
      </c>
      <c r="K24" s="10" t="s">
        <v>126</v>
      </c>
      <c r="L24" s="10"/>
      <c r="M24" s="10" t="s">
        <v>18</v>
      </c>
      <c r="N24" s="13" t="s">
        <v>19</v>
      </c>
      <c r="O24" s="34" t="str">
        <f>VLOOKUP(A24,'[1]09-07-26'!$A$2:$T$89,20,0)</f>
        <v>Sunflower ( 12 Inch ) 2 P n W Car ( 14 Inch ) 7   FF Sachet + Grass</v>
      </c>
      <c r="P24" s="34" t="str">
        <f>VLOOKUP(A24,'[1]16-07-26'!$A$2:$T$95,20,0)</f>
        <v>O Asiatic ( 14 Inch ) 2 P n W Glad ( 14 Inch ) 7   Grass</v>
      </c>
      <c r="Q24" s="34" t="str">
        <f>VLOOKUP(A24,'[1]23-07-26'!$A$2:$T$106,20,0)</f>
        <v>Pur Eustoma ( 12 Inch ) 2 Mix Alstroemeria ( 12 Inch ) 7   FF Sachet + Grass</v>
      </c>
      <c r="R24" s="34" t="str">
        <f>VLOOKUP(A24,'[1]30-07-26'!$A$2:$T$107,20,0)</f>
        <v>Y Spray Daisy ( 14 Inch ) 3 P n W Car ( 14 inch ) 7   FF Sachet + Grass</v>
      </c>
      <c r="S24" s="34" t="str">
        <f>VLOOKUP(A24,'[2]06-08-26'!$A$2:$T$100,20,0)</f>
        <v>W Asiatic ( 14 Inch ) 2 Mix Glad ( 14 Inch ) 7   FF Sachet + Grass</v>
      </c>
      <c r="T24" s="34" t="s">
        <v>404</v>
      </c>
      <c r="U24" s="34">
        <v>2</v>
      </c>
      <c r="V24" s="34" t="s">
        <v>403</v>
      </c>
      <c r="W24" s="34">
        <v>7</v>
      </c>
      <c r="X24" s="34"/>
      <c r="Y24" s="34"/>
      <c r="Z24" s="34" t="s">
        <v>405</v>
      </c>
      <c r="AA24" s="34"/>
      <c r="AB24" s="34"/>
      <c r="AC24" s="34"/>
      <c r="AD24" s="34"/>
    </row>
    <row r="25" spans="1:30" ht="113.4" hidden="1" customHeight="1" x14ac:dyDescent="0.3">
      <c r="A25" s="12">
        <v>442</v>
      </c>
      <c r="B25" s="14" t="s">
        <v>127</v>
      </c>
      <c r="C25" s="9">
        <v>9871265555</v>
      </c>
      <c r="D25" s="10" t="s">
        <v>128</v>
      </c>
      <c r="E25" s="10" t="s">
        <v>14</v>
      </c>
      <c r="F25" s="12" t="s">
        <v>15</v>
      </c>
      <c r="G25" s="11" t="s">
        <v>24</v>
      </c>
      <c r="H25" s="9">
        <v>1450</v>
      </c>
      <c r="I25" s="9">
        <v>362.5</v>
      </c>
      <c r="J25" s="12" t="s">
        <v>25</v>
      </c>
      <c r="K25" s="12" t="s">
        <v>129</v>
      </c>
      <c r="L25" s="10" t="s">
        <v>130</v>
      </c>
      <c r="M25" s="10" t="s">
        <v>131</v>
      </c>
      <c r="N25" s="13" t="s">
        <v>83</v>
      </c>
      <c r="O25" s="34" t="str">
        <f>VLOOKUP(A25,'[1]09-07-26'!$A$2:$T$89,20,0)</f>
        <v>Rajni ( 14 Inch ) 16     Grass</v>
      </c>
      <c r="P25" s="34" t="str">
        <f>VLOOKUP(A25,'[1]16-07-26'!$A$2:$T$95,20,0)</f>
        <v>P n W Glad ( 14 Inch ) 16     Grass</v>
      </c>
      <c r="Q25" s="34" t="str">
        <f>VLOOKUP(A25,'[1]23-07-26'!$A$2:$T$106,20,0)</f>
        <v>Y Asiatic ( 14 inch ) 3     Grass</v>
      </c>
      <c r="R25" s="34" t="str">
        <f>VLOOKUP(A25,'[1]30-07-26'!$A$2:$T$107,20,0)</f>
        <v>P n Y Spray Daisy ( 14 Inch ) 5     FF Sachet + Grass</v>
      </c>
      <c r="S25" s="34" t="str">
        <f>VLOOKUP(A25,'[2]06-08-26'!$A$2:$T$100,20,0)</f>
        <v>R n P Car ( 14 Inch ) 16 No White Color    FF Sachet + Grass</v>
      </c>
      <c r="T25" s="34" t="s">
        <v>403</v>
      </c>
      <c r="U25" s="34">
        <v>16</v>
      </c>
      <c r="V25" s="34"/>
      <c r="W25" s="34"/>
      <c r="X25" s="34"/>
      <c r="Y25" s="34"/>
      <c r="Z25" s="34" t="s">
        <v>405</v>
      </c>
      <c r="AA25" s="34"/>
      <c r="AB25" s="34"/>
      <c r="AC25" s="34"/>
      <c r="AD25" s="34"/>
    </row>
    <row r="26" spans="1:30" ht="200.45" hidden="1" customHeight="1" x14ac:dyDescent="0.3">
      <c r="A26" s="1">
        <v>203</v>
      </c>
      <c r="B26" s="14" t="s">
        <v>132</v>
      </c>
      <c r="C26" s="9">
        <v>9819355743</v>
      </c>
      <c r="D26" s="9" t="s">
        <v>133</v>
      </c>
      <c r="E26" s="9" t="s">
        <v>62</v>
      </c>
      <c r="F26" s="9" t="s">
        <v>15</v>
      </c>
      <c r="G26" s="9" t="s">
        <v>24</v>
      </c>
      <c r="H26" s="9">
        <v>8648</v>
      </c>
      <c r="I26" s="9">
        <v>2162</v>
      </c>
      <c r="J26" s="9" t="s">
        <v>134</v>
      </c>
      <c r="K26" s="9" t="s">
        <v>135</v>
      </c>
      <c r="L26" s="9"/>
      <c r="M26" s="9"/>
      <c r="N26" s="13" t="s">
        <v>83</v>
      </c>
      <c r="O26" s="34" t="str">
        <f>VLOOKUP(A26,'[1]09-07-26'!$A$2:$T$89,20,0)</f>
        <v xml:space="preserve">O n W Asiatic ( 14 inch ) 14 P n W Car ( 14 Inch ) 24   </v>
      </c>
      <c r="P26" s="34" t="str">
        <f>VLOOKUP(A26,'[1]16-07-26'!$A$2:$T$95,20,0)</f>
        <v>O n P Asiatic  ( 14 Inch ) 14 G n W Car ( 14 Inch ) 24   4 Areca Palm + 2 Gypsola + 2 Limonium</v>
      </c>
      <c r="Q26" s="34" t="str">
        <f>VLOOKUP(A26,'[1]23-07-26'!$A$2:$T$106,20,0)</f>
        <v>Y n W Asiatic ( 14 Inch ) 14 Pur n P Car ( 14 Inch ) 24   4 Areca Palm + 2 Gypsola + 2 Limonium</v>
      </c>
      <c r="R26" s="34" t="str">
        <f>VLOOKUP(A26,'[1]30-07-26'!$A$2:$T$107,20,0)</f>
        <v>O n W Asiatic ( 14 Inch ) 14 P n W Car ( 14 inch ) 24   4 Areca Palm + 2 Gypsola + 2 Limonium</v>
      </c>
      <c r="S26" s="34" t="str">
        <f>VLOOKUP(A26,'[2]06-08-26'!$A$2:$T$100,20,0)</f>
        <v>O Asiatic ( 14 Inch ) 14 R n P Car ( 14 Inch ) 24   4 Areca palm + 2 Gypsola + 2 Limonium</v>
      </c>
      <c r="T26" s="34" t="s">
        <v>425</v>
      </c>
      <c r="U26" s="34">
        <v>14</v>
      </c>
      <c r="V26" s="34" t="s">
        <v>415</v>
      </c>
      <c r="W26" s="34">
        <v>24</v>
      </c>
      <c r="X26" s="34"/>
      <c r="Y26" s="34"/>
      <c r="Z26" s="34" t="s">
        <v>426</v>
      </c>
      <c r="AA26" s="34"/>
      <c r="AB26" s="34"/>
      <c r="AC26" s="34"/>
      <c r="AD26" s="34"/>
    </row>
    <row r="27" spans="1:30" ht="144.55000000000001" hidden="1" customHeight="1" x14ac:dyDescent="0.3">
      <c r="A27" s="1">
        <v>3097</v>
      </c>
      <c r="B27" s="14" t="s">
        <v>136</v>
      </c>
      <c r="C27" s="9">
        <v>7428737502</v>
      </c>
      <c r="D27" s="10" t="s">
        <v>137</v>
      </c>
      <c r="E27" s="10" t="s">
        <v>62</v>
      </c>
      <c r="F27" s="10" t="s">
        <v>15</v>
      </c>
      <c r="G27" s="10" t="s">
        <v>125</v>
      </c>
      <c r="H27" s="9">
        <v>2750</v>
      </c>
      <c r="I27" s="9">
        <v>687.5</v>
      </c>
      <c r="J27" s="10" t="s">
        <v>89</v>
      </c>
      <c r="K27" s="10" t="s">
        <v>138</v>
      </c>
      <c r="L27" s="9"/>
      <c r="M27" s="9"/>
      <c r="N27" s="13" t="s">
        <v>139</v>
      </c>
      <c r="O27" s="34" t="e">
        <f>VLOOKUP(A27,'[1]09-07-26'!$A$2:$T$89,20,0)</f>
        <v>#N/A</v>
      </c>
      <c r="P27" s="34" t="e">
        <f>VLOOKUP(A27,'[1]16-07-26'!$A$2:$T$95,20,0)</f>
        <v>#N/A</v>
      </c>
      <c r="Q27" s="34" t="str">
        <f>VLOOKUP(A27,'[1]23-07-26'!$A$2:$T$106,20,0)</f>
        <v>Y Asiatic ( 14 inch ) 3 G n W Car ( 14 Inch ) 16   2 Limonium</v>
      </c>
      <c r="R27" s="34" t="str">
        <f>VLOOKUP(A27,'[1]30-07-26'!$A$2:$T$107,20,0)</f>
        <v>BOP ( 15 Inch ) 3 Mix Alstroemeria ( 12 Inch ) 16   2 Gypsola + FF Sachet</v>
      </c>
      <c r="S27" s="34" t="str">
        <f>VLOOKUP(A27,'[2]06-08-26'!$A$2:$T$100,20,0)</f>
        <v>G n P Spray Daisy ( 14 Inch ) 5 Mix Glad ( 14 Inch ) 16   2 Limonium + FF Sachet</v>
      </c>
      <c r="T27" s="34" t="s">
        <v>417</v>
      </c>
      <c r="U27" s="34">
        <v>4</v>
      </c>
      <c r="V27" s="34" t="s">
        <v>399</v>
      </c>
      <c r="W27" s="34">
        <v>16</v>
      </c>
      <c r="X27" s="34"/>
      <c r="Y27" s="34"/>
      <c r="Z27" s="34" t="s">
        <v>422</v>
      </c>
      <c r="AA27" s="34"/>
      <c r="AB27" s="34"/>
      <c r="AC27" s="34"/>
      <c r="AD27" s="34"/>
    </row>
    <row r="28" spans="1:30" ht="113.4" hidden="1" customHeight="1" x14ac:dyDescent="0.3">
      <c r="A28" s="1">
        <v>237</v>
      </c>
      <c r="B28" s="22" t="s">
        <v>140</v>
      </c>
      <c r="C28" s="1">
        <v>8860079525</v>
      </c>
      <c r="D28" s="1" t="s">
        <v>69</v>
      </c>
      <c r="E28" s="1" t="s">
        <v>70</v>
      </c>
      <c r="F28" s="12" t="s">
        <v>113</v>
      </c>
      <c r="G28" s="11" t="s">
        <v>24</v>
      </c>
      <c r="H28" s="9">
        <v>3000</v>
      </c>
      <c r="I28" s="9">
        <v>375</v>
      </c>
      <c r="J28" s="12" t="s">
        <v>72</v>
      </c>
      <c r="K28" s="12" t="s">
        <v>141</v>
      </c>
      <c r="L28" s="9"/>
      <c r="M28" s="9"/>
      <c r="N28" s="13" t="s">
        <v>142</v>
      </c>
      <c r="O28" s="34" t="str">
        <f>VLOOKUP(A28,'[1]09-07-26'!$A$2:$T$89,20,0)</f>
        <v>P n W Car ( 14 Inch ) 16     FF Sachet + Grass</v>
      </c>
      <c r="P28" s="34" t="str">
        <f>VLOOKUP(A28,'[1]16-07-26'!$A$2:$T$95,20,0)</f>
        <v>P n W Glad ( 14 Inch ) 16     Grass</v>
      </c>
      <c r="Q28" s="34" t="str">
        <f>VLOOKUP(A28,'[1]23-07-26'!$A$2:$T$106,20,0)</f>
        <v>P n Y Spray Daisy ( 14 Inch )      FF Sachet + Grass</v>
      </c>
      <c r="R28" s="34" t="str">
        <f>VLOOKUP(A28,'[1]30-07-26'!$A$2:$T$107,20,0)</f>
        <v xml:space="preserve">Mix Glad ( 14 Inch ) 16     </v>
      </c>
      <c r="S28" s="34" t="str">
        <f>VLOOKUP(A28,'[2]06-08-26'!$A$2:$T$100,20,0)</f>
        <v xml:space="preserve">Mix Alstroemeria ( 12 Inch ) 15     </v>
      </c>
      <c r="T28" s="34" t="s">
        <v>401</v>
      </c>
      <c r="U28" s="34">
        <v>3</v>
      </c>
      <c r="V28" s="34"/>
      <c r="W28" s="34"/>
      <c r="X28" s="34"/>
      <c r="Y28" s="34"/>
      <c r="Z28" s="34" t="s">
        <v>406</v>
      </c>
      <c r="AA28" s="34"/>
      <c r="AB28" s="34"/>
      <c r="AC28" s="34"/>
      <c r="AD28" s="34"/>
    </row>
    <row r="29" spans="1:30" ht="113.4" hidden="1" customHeight="1" x14ac:dyDescent="0.3">
      <c r="A29" s="1">
        <v>2774</v>
      </c>
      <c r="B29" s="14" t="s">
        <v>143</v>
      </c>
      <c r="C29" s="9">
        <v>9899589964</v>
      </c>
      <c r="D29" s="10" t="s">
        <v>144</v>
      </c>
      <c r="E29" s="10" t="s">
        <v>23</v>
      </c>
      <c r="F29" s="10" t="s">
        <v>113</v>
      </c>
      <c r="G29" s="11" t="s">
        <v>24</v>
      </c>
      <c r="H29" s="9">
        <v>1600</v>
      </c>
      <c r="I29" s="9">
        <v>200</v>
      </c>
      <c r="J29" s="10" t="s">
        <v>34</v>
      </c>
      <c r="K29" s="27"/>
      <c r="L29" s="9"/>
      <c r="M29" s="9"/>
      <c r="N29" s="13" t="s">
        <v>390</v>
      </c>
      <c r="O29" s="34" t="str">
        <f>VLOOKUP(A29,'[1]09-07-26'!$A$2:$T$89,20,0)</f>
        <v>P n W Car ( 14 Inch ) 7     FF Sachet + Grass</v>
      </c>
      <c r="P29" s="34" t="str">
        <f>VLOOKUP(A29,'[1]16-07-26'!$A$2:$T$95,20,0)</f>
        <v>Mix Alstroemeria ( 12 Inch ) 7     FF Sachet + Grass</v>
      </c>
      <c r="Q29" s="34" t="str">
        <f>VLOOKUP(A29,'[1]23-07-26'!$A$2:$T$106,20,0)</f>
        <v>Rajni ( 14 Inch ) 7     Grass</v>
      </c>
      <c r="R29" s="34" t="str">
        <f>VLOOKUP(A29,'[1]30-07-26'!$A$2:$T$107,20,0)</f>
        <v>P Spray Daisy ( 14 Inch ) 2     FF Sachet + Grass</v>
      </c>
      <c r="S29" s="34" t="str">
        <f>VLOOKUP(A29,'[2]06-08-26'!$A$2:$T$100,20,0)</f>
        <v>Sunflower ( 12 Inch ) 2     FF Sachet + Grass</v>
      </c>
      <c r="T29" s="34" t="s">
        <v>398</v>
      </c>
      <c r="U29" s="34">
        <v>7</v>
      </c>
      <c r="V29" s="34"/>
      <c r="W29" s="34"/>
      <c r="X29" s="34"/>
      <c r="Y29" s="34"/>
      <c r="Z29" s="34" t="s">
        <v>406</v>
      </c>
      <c r="AA29" s="34"/>
      <c r="AB29" s="34"/>
      <c r="AC29" s="34"/>
      <c r="AD29" s="34"/>
    </row>
    <row r="30" spans="1:30" ht="113.4" hidden="1" customHeight="1" x14ac:dyDescent="0.3">
      <c r="A30" s="1">
        <v>2655</v>
      </c>
      <c r="B30" s="14" t="s">
        <v>145</v>
      </c>
      <c r="C30" s="10" t="s">
        <v>146</v>
      </c>
      <c r="D30" s="10" t="s">
        <v>147</v>
      </c>
      <c r="E30" s="10" t="s">
        <v>148</v>
      </c>
      <c r="F30" s="10" t="s">
        <v>113</v>
      </c>
      <c r="G30" s="11" t="s">
        <v>149</v>
      </c>
      <c r="H30" s="9">
        <v>4000</v>
      </c>
      <c r="I30" s="9">
        <v>500</v>
      </c>
      <c r="J30" s="12" t="s">
        <v>72</v>
      </c>
      <c r="K30" s="10" t="s">
        <v>150</v>
      </c>
      <c r="L30" s="9"/>
      <c r="M30" s="9"/>
      <c r="N30" s="13" t="s">
        <v>142</v>
      </c>
      <c r="O30" s="34" t="e">
        <f>VLOOKUP(A30,'[1]09-07-26'!$A$2:$T$89,20,0)</f>
        <v>#N/A</v>
      </c>
      <c r="P30" s="34" t="e">
        <f>VLOOKUP(A30,'[1]16-07-26'!$A$2:$T$95,20,0)</f>
        <v>#N/A</v>
      </c>
      <c r="Q30" s="34" t="e">
        <f>VLOOKUP(A30,'[1]23-07-26'!$A$2:$T$106,20,0)</f>
        <v>#N/A</v>
      </c>
      <c r="R30" s="34" t="str">
        <f>VLOOKUP(A30,'[1]30-07-26'!$A$2:$T$107,20,0)</f>
        <v xml:space="preserve">Arrangement 1 By 10 AM    </v>
      </c>
      <c r="S30" s="34" t="str">
        <f>VLOOKUP(A30,'[2]06-08-26'!$A$2:$T$100,20,0)</f>
        <v xml:space="preserve">Arrangement 1 Delivery by 10 AM    </v>
      </c>
      <c r="T30" s="34" t="s">
        <v>424</v>
      </c>
      <c r="U30" s="34">
        <v>1</v>
      </c>
      <c r="V30" s="34"/>
      <c r="W30" s="34"/>
      <c r="X30" s="34"/>
      <c r="Y30" s="34"/>
      <c r="Z30" s="34"/>
      <c r="AA30" s="34"/>
      <c r="AB30" s="34"/>
      <c r="AC30" s="34"/>
      <c r="AD30" s="34"/>
    </row>
    <row r="31" spans="1:30" ht="113.4" hidden="1" customHeight="1" x14ac:dyDescent="0.3">
      <c r="A31" s="1">
        <v>3417</v>
      </c>
      <c r="B31" s="14" t="s">
        <v>151</v>
      </c>
      <c r="C31" s="9">
        <v>7011050555</v>
      </c>
      <c r="D31" s="10" t="s">
        <v>152</v>
      </c>
      <c r="E31" s="10" t="s">
        <v>38</v>
      </c>
      <c r="F31" s="10" t="s">
        <v>15</v>
      </c>
      <c r="G31" s="20" t="s">
        <v>153</v>
      </c>
      <c r="H31" s="9">
        <v>1950</v>
      </c>
      <c r="I31" s="9">
        <v>487.5</v>
      </c>
      <c r="J31" s="10" t="s">
        <v>17</v>
      </c>
      <c r="K31" s="9"/>
      <c r="L31" s="9"/>
      <c r="M31" s="9"/>
      <c r="N31" s="13" t="s">
        <v>83</v>
      </c>
      <c r="O31" s="34" t="e">
        <f>VLOOKUP(A31,'[1]09-07-26'!$A$2:$T$89,20,0)</f>
        <v>#N/A</v>
      </c>
      <c r="P31" s="34" t="e">
        <f>VLOOKUP(A31,'[1]16-07-26'!$A$2:$T$95,20,0)</f>
        <v>#N/A</v>
      </c>
      <c r="Q31" s="34" t="e">
        <f>VLOOKUP(A31,'[1]23-07-26'!$A$2:$T$106,20,0)</f>
        <v>#N/A</v>
      </c>
      <c r="R31" s="34" t="str">
        <f>VLOOKUP(A31,'[1]30-07-26'!$A$2:$T$107,20,0)</f>
        <v>R n W Car ( 14 Inch ) 22   Ensure Collection Ensure Collection FF Sachet + Grass</v>
      </c>
      <c r="S31" s="34" t="str">
        <f>VLOOKUP(A31,'[2]06-08-26'!$A$2:$T$100,20,0)</f>
        <v>O Asiatic ( 14 Inch ) 4     Grass</v>
      </c>
      <c r="T31" s="34" t="s">
        <v>393</v>
      </c>
      <c r="U31" s="34">
        <v>22</v>
      </c>
      <c r="V31" s="34"/>
      <c r="W31" s="34"/>
      <c r="X31" s="34"/>
      <c r="Y31" s="34"/>
      <c r="Z31" s="34" t="s">
        <v>406</v>
      </c>
      <c r="AA31" s="34"/>
      <c r="AB31" s="34"/>
      <c r="AC31" s="34"/>
      <c r="AD31" s="34"/>
    </row>
    <row r="32" spans="1:30" ht="113.4" hidden="1" customHeight="1" x14ac:dyDescent="0.3">
      <c r="A32" s="1">
        <v>2205</v>
      </c>
      <c r="B32" s="14" t="s">
        <v>154</v>
      </c>
      <c r="C32" s="1">
        <v>9811981626</v>
      </c>
      <c r="D32" s="1" t="s">
        <v>155</v>
      </c>
      <c r="E32" s="10" t="s">
        <v>23</v>
      </c>
      <c r="F32" s="10" t="s">
        <v>15</v>
      </c>
      <c r="G32" s="11" t="s">
        <v>24</v>
      </c>
      <c r="H32" s="9">
        <v>1450</v>
      </c>
      <c r="I32" s="9">
        <v>362.5</v>
      </c>
      <c r="J32" s="10" t="s">
        <v>25</v>
      </c>
      <c r="K32" s="10" t="s">
        <v>156</v>
      </c>
      <c r="L32" s="10" t="s">
        <v>82</v>
      </c>
      <c r="M32" s="10" t="s">
        <v>157</v>
      </c>
      <c r="N32" s="13" t="s">
        <v>83</v>
      </c>
      <c r="O32" s="34" t="str">
        <f>VLOOKUP(A32,'[1]09-07-26'!$A$2:$T$89,20,0)</f>
        <v>Rajni ( 14 Inch ) 16     Grass</v>
      </c>
      <c r="P32" s="34" t="str">
        <f>VLOOKUP(A32,'[1]16-07-26'!$A$2:$T$95,20,0)</f>
        <v>G n W Car ( 14 Inch ) 16     FF Sachet + Grass</v>
      </c>
      <c r="Q32" s="34" t="str">
        <f>VLOOKUP(A32,'[1]23-07-26'!$A$2:$T$106,20,0)</f>
        <v>Mix Glad ( 14 Inch ) 16     Grass</v>
      </c>
      <c r="R32" s="34" t="str">
        <f>VLOOKUP(A32,'[1]30-07-26'!$A$2:$T$107,20,0)</f>
        <v>P n Y Spray Daisy ( 14 Inch ) 5     FF Sachet + Grass</v>
      </c>
      <c r="S32" s="34" t="str">
        <f>VLOOKUP(A32,'[2]06-08-26'!$A$2:$T$100,20,0)</f>
        <v>Pur n W Eustoma ( 12 Inch ) 3     FF Sachet + Grass</v>
      </c>
      <c r="T32" s="34" t="s">
        <v>401</v>
      </c>
      <c r="U32" s="34">
        <v>3</v>
      </c>
      <c r="V32" s="34"/>
      <c r="W32" s="34"/>
      <c r="X32" s="34"/>
      <c r="Y32" s="34"/>
      <c r="Z32" s="34" t="s">
        <v>406</v>
      </c>
      <c r="AA32" s="34"/>
      <c r="AB32" s="34"/>
      <c r="AC32" s="34"/>
      <c r="AD32" s="34"/>
    </row>
    <row r="33" spans="1:30" ht="113.4" hidden="1" customHeight="1" x14ac:dyDescent="0.3">
      <c r="A33" s="1">
        <v>1438</v>
      </c>
      <c r="B33" s="28" t="s">
        <v>158</v>
      </c>
      <c r="C33" s="9">
        <v>9884857311</v>
      </c>
      <c r="D33" s="10" t="s">
        <v>159</v>
      </c>
      <c r="E33" s="10" t="s">
        <v>14</v>
      </c>
      <c r="F33" s="10" t="s">
        <v>15</v>
      </c>
      <c r="G33" s="11" t="s">
        <v>24</v>
      </c>
      <c r="H33" s="9">
        <v>1600</v>
      </c>
      <c r="I33" s="9">
        <v>200</v>
      </c>
      <c r="J33" s="10" t="s">
        <v>34</v>
      </c>
      <c r="K33" s="10" t="s">
        <v>160</v>
      </c>
      <c r="L33" s="9"/>
      <c r="M33" s="9"/>
      <c r="N33" s="13" t="s">
        <v>391</v>
      </c>
      <c r="O33" s="34" t="str">
        <f>VLOOKUP(A33,'[1]09-07-26'!$A$2:$T$89,20,0)</f>
        <v>Rajni ( 14 Inch ) 7   Collect Payment Collect Payment Grass</v>
      </c>
      <c r="P33" s="34" t="str">
        <f>VLOOKUP(A33,'[1]16-07-26'!$A$2:$T$95,20,0)</f>
        <v>Y Spray Daisy ( 14 Inch ) 2     FF Sachet + Grass</v>
      </c>
      <c r="Q33" s="34" t="str">
        <f>VLOOKUP(A33,'[1]23-07-26'!$A$2:$T$106,20,0)</f>
        <v>Y Spray Daisy ( 14 Inch ) 2     FF Sachet + Grass</v>
      </c>
      <c r="R33" s="34" t="str">
        <f>VLOOKUP(A33,'[1]30-07-26'!$A$2:$T$107,20,0)</f>
        <v>Rajni ( 14 Inch ) 7     Grass</v>
      </c>
      <c r="S33" s="34" t="str">
        <f>VLOOKUP(A33,'[2]06-08-26'!$A$2:$T$100,20,0)</f>
        <v>Sunflower ( 12 Inch ) 2   Ensure Collection Ensure Collection FF Sachet + Grass</v>
      </c>
      <c r="T33" s="34" t="s">
        <v>399</v>
      </c>
      <c r="U33" s="34">
        <v>7</v>
      </c>
      <c r="V33" s="34"/>
      <c r="W33" s="34"/>
      <c r="X33" s="34"/>
      <c r="Y33" s="34"/>
      <c r="Z33" s="34" t="s">
        <v>405</v>
      </c>
      <c r="AA33" s="34"/>
      <c r="AB33" s="34"/>
      <c r="AC33" s="34"/>
      <c r="AD33" s="34"/>
    </row>
    <row r="34" spans="1:30" ht="113.4" hidden="1" customHeight="1" x14ac:dyDescent="0.3">
      <c r="A34" s="1">
        <v>2502</v>
      </c>
      <c r="B34" s="14" t="s">
        <v>161</v>
      </c>
      <c r="C34" s="9">
        <v>7028026940</v>
      </c>
      <c r="D34" s="10" t="s">
        <v>162</v>
      </c>
      <c r="E34" s="10" t="s">
        <v>38</v>
      </c>
      <c r="F34" s="10" t="s">
        <v>15</v>
      </c>
      <c r="G34" s="20" t="s">
        <v>39</v>
      </c>
      <c r="H34" s="9">
        <v>1450</v>
      </c>
      <c r="I34" s="9">
        <v>362.5</v>
      </c>
      <c r="J34" s="10" t="s">
        <v>25</v>
      </c>
      <c r="K34" s="10" t="s">
        <v>163</v>
      </c>
      <c r="L34" s="10" t="s">
        <v>164</v>
      </c>
      <c r="M34" s="10" t="s">
        <v>165</v>
      </c>
      <c r="N34" s="13" t="s">
        <v>83</v>
      </c>
      <c r="O34" s="34" t="str">
        <f>VLOOKUP(A34,'[1]09-07-26'!$A$2:$T$89,20,0)</f>
        <v>O Asiatic ( ( 14 inch ) 3     Grass</v>
      </c>
      <c r="P34" s="34" t="str">
        <f>VLOOKUP(A34,'[1]16-07-26'!$A$2:$T$95,20,0)</f>
        <v>Mix Car ( 14 Inch ) 16     Grass</v>
      </c>
      <c r="Q34" s="34" t="str">
        <f>VLOOKUP(A34,'[1]23-07-26'!$A$2:$T$106,20,0)</f>
        <v>P n Y Spray Daisy ( 14 Inch ) 5     FF Sachet + Grass</v>
      </c>
      <c r="R34" s="34" t="str">
        <f>VLOOKUP(A34,'[1]30-07-26'!$A$2:$T$107,20,0)</f>
        <v>Mix Glad ( 14 Inch ) 16     FF Sachet + Grass</v>
      </c>
      <c r="S34" s="34" t="str">
        <f>VLOOKUP(A34,'[2]06-08-26'!$A$2:$T$100,20,0)</f>
        <v>Pur n W Eustoma ( 12 Inch ) 3     FF Sachet + Grass</v>
      </c>
      <c r="T34" s="34" t="s">
        <v>401</v>
      </c>
      <c r="U34" s="34">
        <v>3</v>
      </c>
      <c r="V34" s="34"/>
      <c r="W34" s="34"/>
      <c r="X34" s="34"/>
      <c r="Y34" s="34"/>
      <c r="Z34" s="34" t="s">
        <v>406</v>
      </c>
      <c r="AA34" s="34"/>
      <c r="AB34" s="34"/>
      <c r="AC34" s="34"/>
      <c r="AD34" s="34"/>
    </row>
    <row r="35" spans="1:30" ht="113.4" hidden="1" customHeight="1" x14ac:dyDescent="0.3">
      <c r="A35" s="1">
        <v>2104</v>
      </c>
      <c r="B35" s="14" t="s">
        <v>166</v>
      </c>
      <c r="C35" s="9">
        <v>9999072697</v>
      </c>
      <c r="D35" s="9" t="s">
        <v>167</v>
      </c>
      <c r="E35" s="9" t="s">
        <v>23</v>
      </c>
      <c r="F35" s="10" t="s">
        <v>15</v>
      </c>
      <c r="G35" s="9" t="s">
        <v>168</v>
      </c>
      <c r="H35" s="9">
        <v>400</v>
      </c>
      <c r="I35" s="9">
        <v>100</v>
      </c>
      <c r="J35" s="9" t="s">
        <v>134</v>
      </c>
      <c r="K35" s="9" t="s">
        <v>169</v>
      </c>
      <c r="L35" s="9"/>
      <c r="M35" s="9"/>
      <c r="N35" s="13" t="s">
        <v>142</v>
      </c>
      <c r="O35" s="34" t="str">
        <f>VLOOKUP(A35,'[1]09-07-26'!$A$2:$T$89,20,0)</f>
        <v xml:space="preserve">Broken Flowers  5 1 Shop    </v>
      </c>
      <c r="P35" s="34" t="str">
        <f>VLOOKUP(A35,'[1]16-07-26'!$A$2:$T$95,20,0)</f>
        <v xml:space="preserve">Broken Flowers  5 1 Shop    </v>
      </c>
      <c r="Q35" s="34" t="str">
        <f>VLOOKUP(A35,'[1]23-07-26'!$A$2:$T$106,20,0)</f>
        <v>Broken Flowers  5 1 Shop    Grass</v>
      </c>
      <c r="R35" s="34" t="str">
        <f>VLOOKUP(A35,'[1]30-07-26'!$A$2:$T$107,20,0)</f>
        <v>Broken Flowers 5      Grass</v>
      </c>
      <c r="S35" s="34" t="str">
        <f>VLOOKUP(A35,'[2]06-08-26'!$A$2:$T$100,20,0)</f>
        <v>Broken Flowers  5 1 Shop    Grass</v>
      </c>
      <c r="T35" s="34" t="s">
        <v>413</v>
      </c>
      <c r="U35" s="34">
        <v>5</v>
      </c>
      <c r="V35" s="34"/>
      <c r="W35" s="34"/>
      <c r="X35" s="34"/>
      <c r="Y35" s="34"/>
      <c r="Z35" s="34" t="s">
        <v>406</v>
      </c>
      <c r="AA35" s="34"/>
      <c r="AB35" s="34"/>
      <c r="AC35" s="34"/>
      <c r="AD35" s="34"/>
    </row>
    <row r="36" spans="1:30" ht="113.4" hidden="1" customHeight="1" x14ac:dyDescent="0.3">
      <c r="A36" s="1">
        <v>2355</v>
      </c>
      <c r="B36" s="14" t="s">
        <v>170</v>
      </c>
      <c r="C36" s="9">
        <v>9810031208</v>
      </c>
      <c r="D36" s="10" t="s">
        <v>171</v>
      </c>
      <c r="E36" s="10" t="s">
        <v>62</v>
      </c>
      <c r="F36" s="10" t="s">
        <v>15</v>
      </c>
      <c r="G36" s="10" t="s">
        <v>172</v>
      </c>
      <c r="H36" s="9">
        <v>2750</v>
      </c>
      <c r="I36" s="9">
        <v>687.5</v>
      </c>
      <c r="J36" s="10" t="s">
        <v>72</v>
      </c>
      <c r="K36" s="10" t="s">
        <v>173</v>
      </c>
      <c r="L36" s="9"/>
      <c r="M36" s="9"/>
      <c r="N36" s="13" t="s">
        <v>142</v>
      </c>
      <c r="O36" s="34" t="str">
        <f>VLOOKUP(A36,'[1]09-07-26'!$A$2:$T$89,20,0)</f>
        <v>Rajni ( 14 Inch ) 32     2 Limonium</v>
      </c>
      <c r="P36" s="34" t="str">
        <f>VLOOKUP(A36,'[1]16-07-26'!$A$2:$T$95,20,0)</f>
        <v>P n Y Spray Daisy ( 14 Inch ) 10     2 Gypsola + FF Sachet</v>
      </c>
      <c r="Q36" s="34" t="str">
        <f>VLOOKUP(A36,'[1]23-07-26'!$A$2:$T$106,20,0)</f>
        <v>O Asiatic ( 14 Inch ) 6     2 Limonium</v>
      </c>
      <c r="R36" s="34" t="str">
        <f>VLOOKUP(A36,'[1]30-07-26'!$A$2:$T$107,20,0)</f>
        <v>Mix Alstroemeria ( 12 Inch ) 32     2 Gypsola + FF Sachet</v>
      </c>
      <c r="S36" s="34" t="str">
        <f>VLOOKUP(A36,'[2]06-08-26'!$A$2:$T$100,20,0)</f>
        <v>Mix Glad ( 14 Inch ) 32     2 Limonium</v>
      </c>
      <c r="T36" s="34" t="s">
        <v>394</v>
      </c>
      <c r="U36" s="34">
        <v>32</v>
      </c>
      <c r="V36" s="34"/>
      <c r="W36" s="34"/>
      <c r="X36" s="34"/>
      <c r="Y36" s="34"/>
      <c r="Z36" s="34" t="s">
        <v>422</v>
      </c>
      <c r="AA36" s="34"/>
      <c r="AB36" s="34"/>
      <c r="AC36" s="34"/>
      <c r="AD36" s="34"/>
    </row>
    <row r="37" spans="1:30" ht="113.4" hidden="1" customHeight="1" x14ac:dyDescent="0.3">
      <c r="A37" s="1">
        <v>484</v>
      </c>
      <c r="B37" s="19" t="s">
        <v>174</v>
      </c>
      <c r="C37" s="1">
        <v>9811230451</v>
      </c>
      <c r="D37" s="12" t="s">
        <v>175</v>
      </c>
      <c r="E37" s="12" t="s">
        <v>14</v>
      </c>
      <c r="F37" s="12" t="s">
        <v>15</v>
      </c>
      <c r="G37" s="18" t="s">
        <v>176</v>
      </c>
      <c r="H37" s="9">
        <v>1950</v>
      </c>
      <c r="I37" s="9">
        <v>487.5</v>
      </c>
      <c r="J37" s="10" t="s">
        <v>17</v>
      </c>
      <c r="K37" s="12" t="s">
        <v>177</v>
      </c>
      <c r="L37" s="10" t="s">
        <v>178</v>
      </c>
      <c r="M37" s="9"/>
      <c r="N37" s="13" t="s">
        <v>83</v>
      </c>
      <c r="O37" s="34" t="str">
        <f>VLOOKUP(A37,'[1]09-07-26'!$A$2:$T$89,20,0)</f>
        <v>Rajni ( 14 Inch ) 22   Collect Payment Collect Payment Grass</v>
      </c>
      <c r="P37" s="34" t="str">
        <f>VLOOKUP(A37,'[1]16-07-26'!$A$2:$T$95,20,0)</f>
        <v>O Asiatic ( 14 Inch ) 4     Grass</v>
      </c>
      <c r="Q37" s="34" t="str">
        <f>VLOOKUP(A37,'[1]23-07-26'!$A$2:$T$106,20,0)</f>
        <v>P n Y Spray Daisy ( 14 Inch ) 7     FF Sachet + Grass</v>
      </c>
      <c r="R37" s="34" t="str">
        <f>VLOOKUP(A37,'[1]30-07-26'!$A$2:$T$107,20,0)</f>
        <v>Mix Glad ( 14 Inch ) 22     FF Sachet + Grass</v>
      </c>
      <c r="S37" s="34" t="str">
        <f>VLOOKUP(A37,'[2]06-08-26'!$A$2:$T$100,20,0)</f>
        <v>Pur n W Eustoma ( 12 Inch ) 4   Ensure Collection Ensure Collection FF Sachet + Grass</v>
      </c>
      <c r="T37" s="34" t="s">
        <v>394</v>
      </c>
      <c r="U37" s="34">
        <v>22</v>
      </c>
      <c r="V37" s="34"/>
      <c r="W37" s="34"/>
      <c r="X37" s="34"/>
      <c r="Y37" s="34"/>
      <c r="Z37" s="34" t="s">
        <v>405</v>
      </c>
      <c r="AA37" s="34"/>
      <c r="AB37" s="34"/>
      <c r="AC37" s="34"/>
      <c r="AD37" s="34"/>
    </row>
    <row r="38" spans="1:30" ht="113.4" hidden="1" customHeight="1" x14ac:dyDescent="0.3">
      <c r="A38" s="1">
        <v>396</v>
      </c>
      <c r="B38" s="14" t="s">
        <v>179</v>
      </c>
      <c r="C38" s="1">
        <v>8860079525</v>
      </c>
      <c r="D38" s="1" t="s">
        <v>69</v>
      </c>
      <c r="E38" s="1" t="s">
        <v>70</v>
      </c>
      <c r="F38" s="12" t="s">
        <v>15</v>
      </c>
      <c r="G38" s="20" t="s">
        <v>153</v>
      </c>
      <c r="H38" s="9">
        <v>1450</v>
      </c>
      <c r="I38" s="9">
        <v>362.5</v>
      </c>
      <c r="J38" s="12" t="s">
        <v>72</v>
      </c>
      <c r="K38" s="12" t="s">
        <v>180</v>
      </c>
      <c r="L38" s="9"/>
      <c r="M38" s="9"/>
      <c r="N38" s="13" t="s">
        <v>142</v>
      </c>
      <c r="O38" s="34" t="str">
        <f>VLOOKUP(A38,'[1]09-07-26'!$A$2:$T$89,20,0)</f>
        <v>P n W Car ( 14 Inch ) 16     FF Sachet + Grass</v>
      </c>
      <c r="P38" s="34" t="str">
        <f>VLOOKUP(A38,'[1]16-07-26'!$A$2:$T$95,20,0)</f>
        <v>Rajni ( 14 Inch ) 16     Grass</v>
      </c>
      <c r="Q38" s="34" t="str">
        <f>VLOOKUP(A38,'[1]23-07-26'!$A$2:$T$106,20,0)</f>
        <v>B Daisy 10     Grass</v>
      </c>
      <c r="R38" s="34" t="str">
        <f>VLOOKUP(A38,'[1]30-07-26'!$A$2:$T$107,20,0)</f>
        <v>Mix Glad ( 14 Inch ) 16     FF Sachet + Grass</v>
      </c>
      <c r="S38" s="34" t="str">
        <f>VLOOKUP(A38,'[2]06-08-26'!$A$2:$T$100,20,0)</f>
        <v>R n W Car ( 14 Inch ) 16     FF Sachet + Grass</v>
      </c>
      <c r="T38" s="34" t="s">
        <v>403</v>
      </c>
      <c r="U38" s="34">
        <v>16</v>
      </c>
      <c r="V38" s="34"/>
      <c r="W38" s="34"/>
      <c r="X38" s="34"/>
      <c r="Y38" s="34"/>
      <c r="Z38" s="34" t="s">
        <v>405</v>
      </c>
      <c r="AA38" s="34"/>
      <c r="AB38" s="34"/>
      <c r="AC38" s="34"/>
      <c r="AD38" s="34"/>
    </row>
    <row r="39" spans="1:30" ht="113.4" hidden="1" customHeight="1" x14ac:dyDescent="0.3">
      <c r="A39" s="1">
        <v>922</v>
      </c>
      <c r="B39" s="14" t="s">
        <v>179</v>
      </c>
      <c r="C39" s="1">
        <v>8860079525</v>
      </c>
      <c r="D39" s="1" t="s">
        <v>69</v>
      </c>
      <c r="E39" s="1" t="s">
        <v>70</v>
      </c>
      <c r="F39" s="12" t="s">
        <v>15</v>
      </c>
      <c r="G39" s="20" t="s">
        <v>153</v>
      </c>
      <c r="H39" s="9">
        <v>1450</v>
      </c>
      <c r="I39" s="9">
        <v>362.5</v>
      </c>
      <c r="J39" s="12" t="s">
        <v>72</v>
      </c>
      <c r="K39" s="12" t="s">
        <v>180</v>
      </c>
      <c r="L39" s="9"/>
      <c r="M39" s="9"/>
      <c r="N39" s="13" t="s">
        <v>142</v>
      </c>
      <c r="O39" s="34" t="str">
        <f>VLOOKUP(A39,'[1]09-07-26'!$A$2:$T$89,20,0)</f>
        <v>W Asiatic ( 14 Inch ) 3     Grass</v>
      </c>
      <c r="P39" s="34" t="str">
        <f>VLOOKUP(A39,'[1]16-07-26'!$A$2:$T$95,20,0)</f>
        <v>O Asiatic ( 14 Inch ) 3     Grass</v>
      </c>
      <c r="Q39" s="34" t="str">
        <f>VLOOKUP(A39,'[1]23-07-26'!$A$2:$T$106,20,0)</f>
        <v>P n Y Spray Daisy ( 14 Inch ) 5     FF Sachet + Grass</v>
      </c>
      <c r="R39" s="34" t="str">
        <f>VLOOKUP(A39,'[1]30-07-26'!$A$2:$T$107,20,0)</f>
        <v>P n W Eustoma 3     Grass</v>
      </c>
      <c r="S39" s="34" t="str">
        <f>VLOOKUP(A39,'[2]06-08-26'!$A$2:$T$100,20,0)</f>
        <v>W Asiatic ( 14 Inch ) 3     Grass</v>
      </c>
      <c r="T39" s="34" t="s">
        <v>412</v>
      </c>
      <c r="U39" s="34">
        <v>3</v>
      </c>
      <c r="V39" s="34"/>
      <c r="W39" s="34"/>
      <c r="X39" s="34"/>
      <c r="Y39" s="34"/>
      <c r="Z39" s="34" t="s">
        <v>405</v>
      </c>
      <c r="AA39" s="34"/>
      <c r="AB39" s="34"/>
      <c r="AC39" s="34"/>
      <c r="AD39" s="34"/>
    </row>
    <row r="40" spans="1:30" ht="140.25" hidden="1" customHeight="1" x14ac:dyDescent="0.3">
      <c r="A40" s="12" t="s">
        <v>181</v>
      </c>
      <c r="B40" s="14" t="s">
        <v>182</v>
      </c>
      <c r="C40" s="10">
        <v>9015463811</v>
      </c>
      <c r="D40" s="10" t="s">
        <v>183</v>
      </c>
      <c r="E40" s="10" t="s">
        <v>62</v>
      </c>
      <c r="F40" s="10" t="s">
        <v>15</v>
      </c>
      <c r="G40" s="20" t="s">
        <v>39</v>
      </c>
      <c r="H40" s="9">
        <v>2750</v>
      </c>
      <c r="I40" s="9">
        <v>687.5</v>
      </c>
      <c r="J40" s="10" t="s">
        <v>89</v>
      </c>
      <c r="K40" s="10" t="s">
        <v>184</v>
      </c>
      <c r="L40" s="10"/>
      <c r="M40" s="10" t="s">
        <v>185</v>
      </c>
      <c r="N40" s="13" t="s">
        <v>142</v>
      </c>
      <c r="O40" s="34" t="str">
        <f>VLOOKUP(A40,'[1]09-07-26'!$A$2:$T$89,20,0)</f>
        <v>Sunflower ( 12 Inch ) 4 B Daisy ( 12 Inch ) 16   2 Limonium + FF Sachet</v>
      </c>
      <c r="P40" s="34" t="str">
        <f>VLOOKUP(A40,'[1]16-07-26'!$A$2:$T$95,20,0)</f>
        <v>P n W Spray Daisy ( 14 Inch ) 5 P n W Car ( 14 Inch ) 16   2 Gypsola + FF Sachet</v>
      </c>
      <c r="Q40" s="34" t="str">
        <f>VLOOKUP(A40,'[1]23-07-26'!$A$2:$T$106,20,0)</f>
        <v>O Asiatic ( 14 Inch ) 3 Rajni 16   2 Limonium</v>
      </c>
      <c r="R40" s="34" t="str">
        <f>VLOOKUP(A40,'[1]30-07-26'!$A$2:$T$107,20,0)</f>
        <v>Pur n P Eustoma ( 12 Inch ) 4 Mix Alstroemeria ( 12 Inch ) 16   2 Gypsola + FF Sachet</v>
      </c>
      <c r="S40" s="34" t="str">
        <f>VLOOKUP(A40,'[2]06-08-26'!$A$2:$T$100,20,0)</f>
        <v>BOP 3 P n W Car ( 14 Inch ) 16   2 Limonium + FF Sachet</v>
      </c>
      <c r="T40" s="34" t="s">
        <v>421</v>
      </c>
      <c r="U40" s="34">
        <v>5</v>
      </c>
      <c r="V40" s="34" t="s">
        <v>393</v>
      </c>
      <c r="W40" s="34">
        <v>16</v>
      </c>
      <c r="X40" s="34"/>
      <c r="Y40" s="34"/>
      <c r="Z40" s="34" t="s">
        <v>422</v>
      </c>
      <c r="AA40" s="34"/>
      <c r="AB40" s="34"/>
      <c r="AC40" s="34"/>
      <c r="AD40" s="34"/>
    </row>
    <row r="41" spans="1:30" ht="113.4" hidden="1" customHeight="1" x14ac:dyDescent="0.3">
      <c r="A41" s="1">
        <v>2684</v>
      </c>
      <c r="B41" s="14" t="s">
        <v>186</v>
      </c>
      <c r="C41" s="9">
        <v>9958428097</v>
      </c>
      <c r="D41" s="10" t="s">
        <v>187</v>
      </c>
      <c r="E41" s="10" t="s">
        <v>62</v>
      </c>
      <c r="F41" s="10" t="s">
        <v>15</v>
      </c>
      <c r="G41" s="11" t="s">
        <v>24</v>
      </c>
      <c r="H41" s="10">
        <v>2750</v>
      </c>
      <c r="I41" s="9">
        <v>687.5</v>
      </c>
      <c r="J41" s="10" t="s">
        <v>89</v>
      </c>
      <c r="K41" s="10" t="s">
        <v>188</v>
      </c>
      <c r="L41" s="9"/>
      <c r="M41" s="10" t="s">
        <v>189</v>
      </c>
      <c r="N41" s="13" t="s">
        <v>83</v>
      </c>
      <c r="O41" s="34" t="e">
        <f>VLOOKUP(A41,'[1]09-07-26'!$A$2:$T$89,20,0)</f>
        <v>#N/A</v>
      </c>
      <c r="P41" s="34" t="e">
        <f>VLOOKUP(A41,'[1]16-07-26'!$A$2:$T$95,20,0)</f>
        <v>#N/A</v>
      </c>
      <c r="Q41" s="34" t="str">
        <f>VLOOKUP(A41,'[1]23-07-26'!$A$2:$T$106,20,0)</f>
        <v>Y Asiatic ( 14 inch ) 3 G n W Car ( 14 Inch ) 16   2 Gypsola</v>
      </c>
      <c r="R41" s="34" t="str">
        <f>VLOOKUP(A41,'[1]30-07-26'!$A$2:$T$107,20,0)</f>
        <v>Pur n P Eustoma ( 12 Inch ) 4 Mix Alstroemeria ( 12 Inch ) 16   2 Gypsola + FF Sachet</v>
      </c>
      <c r="S41" s="34" t="str">
        <f>VLOOKUP(A41,'[2]06-08-26'!$A$2:$T$100,20,0)</f>
        <v>G n P Spray Daisy ( 14 Inch ) 5 Mix Glad ( 14 Inch ) 16   2 Limonium + FF Sachet</v>
      </c>
      <c r="T41" s="34" t="s">
        <v>420</v>
      </c>
      <c r="U41" s="34">
        <v>3</v>
      </c>
      <c r="V41" s="34" t="s">
        <v>399</v>
      </c>
      <c r="W41" s="34">
        <v>16</v>
      </c>
      <c r="X41" s="34"/>
      <c r="Y41" s="34"/>
      <c r="Z41" s="34" t="s">
        <v>422</v>
      </c>
      <c r="AA41" s="34"/>
      <c r="AB41" s="34"/>
      <c r="AC41" s="34"/>
      <c r="AD41" s="34"/>
    </row>
    <row r="42" spans="1:30" ht="113.4" hidden="1" customHeight="1" x14ac:dyDescent="0.3">
      <c r="A42" s="1">
        <v>2569</v>
      </c>
      <c r="B42" s="14" t="s">
        <v>190</v>
      </c>
      <c r="C42" s="9">
        <v>9971135993</v>
      </c>
      <c r="D42" s="10" t="s">
        <v>191</v>
      </c>
      <c r="E42" s="10" t="s">
        <v>94</v>
      </c>
      <c r="F42" s="10" t="s">
        <v>15</v>
      </c>
      <c r="G42" s="11" t="s">
        <v>24</v>
      </c>
      <c r="H42" s="9">
        <v>1450</v>
      </c>
      <c r="I42" s="9">
        <v>362.5</v>
      </c>
      <c r="J42" s="10" t="s">
        <v>25</v>
      </c>
      <c r="K42" s="10" t="s">
        <v>192</v>
      </c>
      <c r="L42" s="10" t="s">
        <v>130</v>
      </c>
      <c r="M42" s="10"/>
      <c r="N42" s="13" t="s">
        <v>193</v>
      </c>
      <c r="O42" s="34" t="str">
        <f>VLOOKUP(A42,'[1]09-07-26'!$A$2:$T$89,20,0)</f>
        <v>Sunflower ( 12 Inch ) 2 P n W Car ( 14 Inch ) 7   FF Sachet + Grass</v>
      </c>
      <c r="P42" s="34" t="str">
        <f>VLOOKUP(A42,'[1]16-07-26'!$A$2:$T$95,20,0)</f>
        <v>P Asiatic ( 14 Inch ) 2 P n W Glad ( 14 Inch ) 7   Grass</v>
      </c>
      <c r="Q42" s="34" t="str">
        <f>VLOOKUP(A42,'[1]23-07-26'!$A$2:$T$106,20,0)</f>
        <v>Sunflower ( 12 Inch ) 2 Mix Alstroemeria ( 12 Inch ) 7   Grass</v>
      </c>
      <c r="R42" s="34" t="str">
        <f>VLOOKUP(A42,'[1]30-07-26'!$A$2:$T$107,20,0)</f>
        <v>P Eustoma ( 12 Inch ) 2 P n W Car ( 14 inch ) 7   FF Sachet + Grass</v>
      </c>
      <c r="S42" s="34" t="str">
        <f>VLOOKUP(A42,'[2]06-08-26'!$A$2:$T$100,20,0)</f>
        <v>P Spray Daisy ( 14 Inch ) 3 Mix Glad ( 14 Inch ) 7 Ensure Collection Ensure Collection FF Sachet + Grass</v>
      </c>
      <c r="T42" s="34" t="s">
        <v>396</v>
      </c>
      <c r="U42" s="34">
        <v>2</v>
      </c>
      <c r="V42" s="34" t="s">
        <v>403</v>
      </c>
      <c r="W42" s="34">
        <v>7</v>
      </c>
      <c r="X42" s="34"/>
      <c r="Y42" s="34"/>
      <c r="Z42" s="34" t="s">
        <v>406</v>
      </c>
      <c r="AA42" s="34"/>
      <c r="AB42" s="34"/>
      <c r="AC42" s="34"/>
      <c r="AD42" s="34"/>
    </row>
    <row r="43" spans="1:30" ht="113.4" hidden="1" customHeight="1" x14ac:dyDescent="0.3">
      <c r="A43" s="1">
        <v>1140</v>
      </c>
      <c r="B43" s="14" t="s">
        <v>194</v>
      </c>
      <c r="C43" s="10" t="s">
        <v>195</v>
      </c>
      <c r="D43" s="10" t="s">
        <v>196</v>
      </c>
      <c r="E43" s="10" t="s">
        <v>14</v>
      </c>
      <c r="F43" s="10" t="s">
        <v>15</v>
      </c>
      <c r="G43" s="11" t="s">
        <v>24</v>
      </c>
      <c r="H43" s="9">
        <v>2300</v>
      </c>
      <c r="I43" s="9">
        <v>287.5</v>
      </c>
      <c r="J43" s="10" t="s">
        <v>197</v>
      </c>
      <c r="K43" s="10" t="s">
        <v>198</v>
      </c>
      <c r="L43" s="10" t="s">
        <v>178</v>
      </c>
      <c r="M43" s="9"/>
      <c r="N43" s="13" t="s">
        <v>391</v>
      </c>
      <c r="O43" s="34" t="str">
        <f>VLOOKUP(A43,'[1]09-07-26'!$A$2:$T$89,20,0)</f>
        <v>Rajni ( 14 Inch ) 11     Grass</v>
      </c>
      <c r="P43" s="34" t="str">
        <f>VLOOKUP(A43,'[1]16-07-26'!$A$2:$T$95,20,0)</f>
        <v>P n W Glad ( 14 Inch ) 11     Grass</v>
      </c>
      <c r="Q43" s="34" t="str">
        <f>VLOOKUP(A43,'[1]23-07-26'!$A$2:$T$106,20,0)</f>
        <v>Y Asiatic ( 14 inch ) 2     Grass</v>
      </c>
      <c r="R43" s="34" t="str">
        <f>VLOOKUP(A43,'[1]30-07-26'!$A$2:$T$107,20,0)</f>
        <v>Mix Alstroemeria ( 12 Inch ) 11     FF Sachet + Grass</v>
      </c>
      <c r="S43" s="34" t="str">
        <f>VLOOKUP(A43,'[2]06-08-26'!$A$2:$T$100,20,0)</f>
        <v>Rajni ( 14 Inch ) 11     Grass</v>
      </c>
      <c r="T43" s="34" t="s">
        <v>393</v>
      </c>
      <c r="U43" s="34">
        <v>11</v>
      </c>
      <c r="V43" s="34"/>
      <c r="W43" s="34"/>
      <c r="X43" s="34"/>
      <c r="Y43" s="34"/>
      <c r="Z43" s="34" t="s">
        <v>406</v>
      </c>
      <c r="AA43" s="34"/>
      <c r="AB43" s="34"/>
      <c r="AC43" s="34"/>
      <c r="AD43" s="34"/>
    </row>
    <row r="44" spans="1:30" ht="132.19999999999999" hidden="1" customHeight="1" x14ac:dyDescent="0.3">
      <c r="A44" s="1">
        <v>326</v>
      </c>
      <c r="B44" s="14" t="s">
        <v>199</v>
      </c>
      <c r="C44" s="9">
        <v>9871132800</v>
      </c>
      <c r="D44" s="9" t="s">
        <v>200</v>
      </c>
      <c r="E44" s="9" t="s">
        <v>62</v>
      </c>
      <c r="F44" s="9" t="s">
        <v>15</v>
      </c>
      <c r="G44" s="9" t="s">
        <v>24</v>
      </c>
      <c r="H44" s="9">
        <v>2750</v>
      </c>
      <c r="I44" s="9">
        <v>687.5</v>
      </c>
      <c r="J44" s="10" t="s">
        <v>89</v>
      </c>
      <c r="K44" s="10" t="s">
        <v>201</v>
      </c>
      <c r="L44" s="10" t="s">
        <v>202</v>
      </c>
      <c r="M44" s="9"/>
      <c r="N44" s="13" t="s">
        <v>83</v>
      </c>
      <c r="O44" s="34" t="str">
        <f>VLOOKUP(A44,'[1]09-07-26'!$A$2:$T$89,20,0)</f>
        <v>P Asiatic ( 14 Inch ) 6  Gate Pass Wahab Ke Pass Hai Collect Payment Collect Payment 2 Limonium</v>
      </c>
      <c r="P44" s="34" t="str">
        <f>VLOOKUP(A44,'[1]16-07-26'!$A$2:$T$95,20,0)</f>
        <v>P n W Spray Daisy ( 14 Inch ) 10     2 Gypsola + FF Sachet</v>
      </c>
      <c r="Q44" s="34" t="str">
        <f>VLOOKUP(A44,'[1]23-07-26'!$A$2:$T$106,20,0)</f>
        <v>Mix Alstroemeria ( 12 Inch ) 30     2 Limonium + FF Sachet</v>
      </c>
      <c r="R44" s="34" t="str">
        <f>VLOOKUP(A44,'[1]30-07-26'!$A$2:$T$107,20,0)</f>
        <v>Red n White Carnation ( 14 Inch ) 32     2 Gypsola + FF Sachet</v>
      </c>
      <c r="S44" s="34" t="str">
        <f>VLOOKUP(A44,'[2]06-08-26'!$A$2:$T$100,20,0)</f>
        <v>Pur n W Eustoma ( 12 Inch ) 6     2 Limonium + FF Sachet</v>
      </c>
      <c r="T44" s="34" t="s">
        <v>401</v>
      </c>
      <c r="U44" s="34">
        <v>6</v>
      </c>
      <c r="V44" s="34"/>
      <c r="W44" s="34"/>
      <c r="X44" s="34"/>
      <c r="Y44" s="34"/>
      <c r="Z44" s="34" t="s">
        <v>423</v>
      </c>
      <c r="AA44" s="34"/>
      <c r="AB44" s="34"/>
      <c r="AC44" s="34"/>
      <c r="AD44" s="34"/>
    </row>
    <row r="45" spans="1:30" ht="113.4" hidden="1" customHeight="1" x14ac:dyDescent="0.3">
      <c r="A45" s="1">
        <v>3107</v>
      </c>
      <c r="B45" s="14" t="s">
        <v>203</v>
      </c>
      <c r="C45" s="9">
        <v>9811394916</v>
      </c>
      <c r="D45" s="10" t="s">
        <v>204</v>
      </c>
      <c r="E45" s="10" t="s">
        <v>14</v>
      </c>
      <c r="F45" s="10" t="s">
        <v>15</v>
      </c>
      <c r="G45" s="9" t="s">
        <v>16</v>
      </c>
      <c r="H45" s="9">
        <v>1450</v>
      </c>
      <c r="I45" s="9">
        <v>362.5</v>
      </c>
      <c r="J45" s="10" t="s">
        <v>25</v>
      </c>
      <c r="K45" s="10" t="s">
        <v>205</v>
      </c>
      <c r="L45" s="9"/>
      <c r="M45" s="9"/>
      <c r="N45" s="13" t="s">
        <v>83</v>
      </c>
      <c r="O45" s="34" t="str">
        <f>VLOOKUP(A45,'[1]09-07-26'!$A$2:$T$89,20,0)</f>
        <v>P Asiatic ( 14 Inch ) 3     Grass</v>
      </c>
      <c r="P45" s="34" t="str">
        <f>VLOOKUP(A45,'[1]16-07-26'!$A$2:$T$95,20,0)</f>
        <v>P n W Glad ( 14 Inch ) 16     Grass</v>
      </c>
      <c r="Q45" s="34" t="str">
        <f>VLOOKUP(A45,'[1]23-07-26'!$A$2:$T$106,20,0)</f>
        <v>P n Y Spray Daisy ( 14 Inch ) 5     FF Sachet + Grass</v>
      </c>
      <c r="R45" s="34" t="str">
        <f>VLOOKUP(A45,'[1]30-07-26'!$A$2:$T$107,20,0)</f>
        <v>Mix Alstroemeria ( 12 Inch ) 16     FF Sachet + Grass</v>
      </c>
      <c r="S45" s="34" t="str">
        <f>VLOOKUP(A45,'[2]06-08-26'!$A$2:$T$100,20,0)</f>
        <v>Pur n W Eustoma ( 12 Inch ) 3     FF Sachet + Grass</v>
      </c>
      <c r="T45" s="34" t="s">
        <v>394</v>
      </c>
      <c r="U45" s="34">
        <v>16</v>
      </c>
      <c r="V45" s="34"/>
      <c r="W45" s="34"/>
      <c r="X45" s="34"/>
      <c r="Y45" s="34"/>
      <c r="Z45" s="34" t="s">
        <v>405</v>
      </c>
      <c r="AA45" s="34"/>
      <c r="AB45" s="34"/>
      <c r="AC45" s="34"/>
      <c r="AD45" s="34"/>
    </row>
    <row r="46" spans="1:30" ht="113.4" hidden="1" customHeight="1" x14ac:dyDescent="0.3">
      <c r="A46" s="1">
        <v>3393</v>
      </c>
      <c r="B46" s="14" t="s">
        <v>206</v>
      </c>
      <c r="C46" s="9">
        <v>9871812384</v>
      </c>
      <c r="D46" s="10" t="s">
        <v>207</v>
      </c>
      <c r="E46" s="10" t="s">
        <v>62</v>
      </c>
      <c r="F46" s="10" t="s">
        <v>15</v>
      </c>
      <c r="G46" s="10" t="s">
        <v>168</v>
      </c>
      <c r="H46" s="9">
        <v>1450</v>
      </c>
      <c r="I46" s="9">
        <v>362.5</v>
      </c>
      <c r="J46" s="12" t="s">
        <v>25</v>
      </c>
      <c r="K46" s="9"/>
      <c r="L46" s="9"/>
      <c r="M46" s="9"/>
      <c r="N46" s="13" t="s">
        <v>83</v>
      </c>
      <c r="O46" s="34" t="str">
        <f>VLOOKUP(A46,'[1]09-07-26'!$A$2:$T$89,20,0)</f>
        <v>P Asiatic ( 14 Inch ) 3     Grass</v>
      </c>
      <c r="P46" s="34" t="str">
        <f>VLOOKUP(A46,'[1]16-07-26'!$A$2:$T$95,20,0)</f>
        <v>P n W Glad ( 14 Inch ) 16     Grass</v>
      </c>
      <c r="Q46" s="34" t="str">
        <f>VLOOKUP(A46,'[1]23-07-26'!$A$2:$T$106,20,0)</f>
        <v>P n Y Spray Daisy ( 14 Inch ) 5     FF Sachet + Grass</v>
      </c>
      <c r="R46" s="34" t="str">
        <f>VLOOKUP(A46,'[1]30-07-26'!$A$2:$T$107,20,0)</f>
        <v>Mix Alstroemeria ( 12 Inch ) 16   Ensure Collection  FF Sachet + Grass</v>
      </c>
      <c r="S46" s="34" t="str">
        <f>VLOOKUP(A46,'[2]06-08-26'!$A$2:$T$100,20,0)</f>
        <v>Pur n W Eustoma ( 12 Inch ) 3     FF Sachet + Grass</v>
      </c>
      <c r="T46" s="34" t="s">
        <v>394</v>
      </c>
      <c r="U46" s="34">
        <v>16</v>
      </c>
      <c r="V46" s="34"/>
      <c r="W46" s="34"/>
      <c r="X46" s="34"/>
      <c r="Y46" s="34"/>
      <c r="Z46" s="34" t="s">
        <v>405</v>
      </c>
      <c r="AA46" s="34"/>
      <c r="AB46" s="34"/>
      <c r="AC46" s="34"/>
      <c r="AD46" s="34"/>
    </row>
    <row r="47" spans="1:30" ht="113.4" hidden="1" customHeight="1" x14ac:dyDescent="0.3">
      <c r="A47" s="1">
        <v>3144</v>
      </c>
      <c r="B47" s="14" t="s">
        <v>208</v>
      </c>
      <c r="C47" s="9">
        <v>9582363043</v>
      </c>
      <c r="D47" s="10" t="s">
        <v>209</v>
      </c>
      <c r="E47" s="10" t="s">
        <v>14</v>
      </c>
      <c r="F47" s="10" t="s">
        <v>15</v>
      </c>
      <c r="G47" s="11" t="s">
        <v>168</v>
      </c>
      <c r="H47" s="9">
        <v>1450</v>
      </c>
      <c r="I47" s="9">
        <v>362.5</v>
      </c>
      <c r="J47" s="10" t="s">
        <v>25</v>
      </c>
      <c r="K47" s="10" t="s">
        <v>210</v>
      </c>
      <c r="L47" s="9"/>
      <c r="M47" s="10" t="s">
        <v>18</v>
      </c>
      <c r="N47" s="13" t="s">
        <v>83</v>
      </c>
      <c r="O47" s="34" t="e">
        <f>VLOOKUP(A47,'[1]09-07-26'!$A$2:$T$89,20,0)</f>
        <v>#N/A</v>
      </c>
      <c r="P47" s="34" t="str">
        <f>VLOOKUP(A47,'[1]16-07-26'!$A$2:$T$95,20,0)</f>
        <v>P Spray Daisy ( 14 Inch ) 3 Carnation 7   FF Sachet + Grass</v>
      </c>
      <c r="Q47" s="34" t="str">
        <f>VLOOKUP(A47,'[1]23-07-26'!$A$2:$T$106,20,0)</f>
        <v>O Asiatic ( 14 Inch ) 2 Mix Glad ( 14 Inch ) 7   Grass</v>
      </c>
      <c r="R47" s="34" t="str">
        <f>VLOOKUP(A47,'[1]30-07-26'!$A$2:$T$107,20,0)</f>
        <v>Sunflower ( 12 Inch ) 2 Mix Alstroemeria ( 12 Inch ) 7   FF Sachet + Grass</v>
      </c>
      <c r="S47" s="34" t="str">
        <f>VLOOKUP(A47,'[2]06-08-26'!$A$2:$T$100,20,0)</f>
        <v>Pur n W Eustoma ( 12 Inch ) 2 P n W Car ( 14 Inch ) 7   FF Sachet + Grass</v>
      </c>
      <c r="T47" s="34" t="s">
        <v>414</v>
      </c>
      <c r="U47" s="34">
        <v>3</v>
      </c>
      <c r="V47" s="34" t="s">
        <v>393</v>
      </c>
      <c r="W47" s="34">
        <v>7</v>
      </c>
      <c r="X47" s="34"/>
      <c r="Y47" s="34"/>
      <c r="Z47" s="34" t="s">
        <v>405</v>
      </c>
      <c r="AA47" s="34"/>
      <c r="AB47" s="34"/>
      <c r="AC47" s="34"/>
      <c r="AD47" s="34"/>
    </row>
    <row r="48" spans="1:30" ht="113.4" hidden="1" customHeight="1" x14ac:dyDescent="0.3">
      <c r="A48" s="1">
        <v>2037</v>
      </c>
      <c r="B48" s="14" t="s">
        <v>211</v>
      </c>
      <c r="C48" s="9">
        <v>9971066995</v>
      </c>
      <c r="D48" s="9" t="s">
        <v>212</v>
      </c>
      <c r="E48" s="9" t="s">
        <v>62</v>
      </c>
      <c r="F48" s="9" t="s">
        <v>15</v>
      </c>
      <c r="G48" s="9" t="s">
        <v>16</v>
      </c>
      <c r="H48" s="9">
        <v>1950</v>
      </c>
      <c r="I48" s="9">
        <v>487.5</v>
      </c>
      <c r="J48" s="10" t="s">
        <v>17</v>
      </c>
      <c r="K48" s="10" t="s">
        <v>213</v>
      </c>
      <c r="L48" s="9" t="s">
        <v>214</v>
      </c>
      <c r="M48" s="9"/>
      <c r="N48" s="13" t="s">
        <v>83</v>
      </c>
      <c r="O48" s="34" t="str">
        <f>VLOOKUP(A48,'[1]09-07-26'!$A$2:$T$89,20,0)</f>
        <v>O Asiatic ( ( 14 inch ) 4     Grass</v>
      </c>
      <c r="P48" s="34" t="str">
        <f>VLOOKUP(A48,'[1]16-07-26'!$A$2:$T$95,20,0)</f>
        <v>P n W Spray Daisy ( 14 Inch ) 7     FF Sachet + Grass</v>
      </c>
      <c r="Q48" s="34" t="str">
        <f>VLOOKUP(A48,'[1]23-07-26'!$A$2:$T$106,20,0)</f>
        <v>Mix Glad ( 14 Inch ) 22     Grass</v>
      </c>
      <c r="R48" s="34" t="str">
        <f>VLOOKUP(A48,'[1]30-07-26'!$A$2:$T$107,20,0)</f>
        <v>Mix Alstroemeria ( 12 Inch ) 22     FF Sachet + Grass</v>
      </c>
      <c r="S48" s="34" t="str">
        <f>VLOOKUP(A48,'[2]06-08-26'!$A$2:$T$100,20,0)</f>
        <v>Pur n W Eustoma ( 12 Inch ) 4     FF Sachet + Grass</v>
      </c>
      <c r="T48" s="34" t="s">
        <v>396</v>
      </c>
      <c r="U48" s="34">
        <v>4</v>
      </c>
      <c r="V48" s="34"/>
      <c r="W48" s="34"/>
      <c r="X48" s="34"/>
      <c r="Y48" s="34"/>
      <c r="Z48" s="34" t="s">
        <v>405</v>
      </c>
      <c r="AA48" s="34"/>
      <c r="AB48" s="34"/>
      <c r="AC48" s="34"/>
      <c r="AD48" s="34"/>
    </row>
    <row r="49" spans="1:30" ht="113.4" hidden="1" customHeight="1" x14ac:dyDescent="0.3">
      <c r="A49" s="12">
        <v>2868</v>
      </c>
      <c r="B49" s="14" t="s">
        <v>217</v>
      </c>
      <c r="C49" s="26">
        <v>7827468667</v>
      </c>
      <c r="D49" s="10" t="s">
        <v>218</v>
      </c>
      <c r="E49" s="10" t="s">
        <v>14</v>
      </c>
      <c r="F49" s="10" t="s">
        <v>15</v>
      </c>
      <c r="G49" s="11" t="s">
        <v>168</v>
      </c>
      <c r="H49" s="9">
        <v>1450</v>
      </c>
      <c r="I49" s="9">
        <v>362.5</v>
      </c>
      <c r="J49" s="12" t="s">
        <v>25</v>
      </c>
      <c r="K49" s="9"/>
      <c r="L49" s="9"/>
      <c r="M49" s="9"/>
      <c r="N49" s="13" t="s">
        <v>139</v>
      </c>
      <c r="O49" s="34" t="str">
        <f>VLOOKUP(A49,'[1]09-07-26'!$A$2:$T$89,20,0)</f>
        <v>P n W Car ( 14 Inch ) 16     FF Sachet + Grass</v>
      </c>
      <c r="P49" s="34" t="str">
        <f>VLOOKUP(A49,'[1]16-07-26'!$A$2:$T$95,20,0)</f>
        <v>P n Y Spray Daisy ( 14 Inch ) 5     FF Sachet + Grass</v>
      </c>
      <c r="Q49" s="34" t="str">
        <f>VLOOKUP(A49,'[1]23-07-26'!$A$2:$T$106,20,0)</f>
        <v>Mix Glad ( 14 Inch ) 16     Grass</v>
      </c>
      <c r="R49" s="34" t="str">
        <f>VLOOKUP(A49,'[1]30-07-26'!$A$2:$T$107,20,0)</f>
        <v>Mix Alstroemeria ( 12 Inch ) 16     FF Sachet + Grass</v>
      </c>
      <c r="S49" s="34" t="str">
        <f>VLOOKUP(A49,'[2]06-08-26'!$A$2:$T$100,20,0)</f>
        <v>Pur n W Eustoma ( 12 Inch ) 3     FF Sachet + Grass</v>
      </c>
      <c r="T49" s="34" t="s">
        <v>401</v>
      </c>
      <c r="U49" s="34">
        <v>3</v>
      </c>
      <c r="V49" s="34"/>
      <c r="W49" s="34"/>
      <c r="X49" s="34"/>
      <c r="Y49" s="34"/>
      <c r="Z49" s="34" t="s">
        <v>406</v>
      </c>
      <c r="AA49" s="34"/>
      <c r="AB49" s="34"/>
      <c r="AC49" s="34"/>
      <c r="AD49" s="34"/>
    </row>
    <row r="50" spans="1:30" ht="113.4" hidden="1" customHeight="1" x14ac:dyDescent="0.3">
      <c r="A50" s="1">
        <v>3422</v>
      </c>
      <c r="B50" s="14" t="s">
        <v>219</v>
      </c>
      <c r="C50" s="9">
        <v>8447443866</v>
      </c>
      <c r="D50" s="10" t="s">
        <v>220</v>
      </c>
      <c r="E50" s="10" t="s">
        <v>221</v>
      </c>
      <c r="F50" s="10" t="s">
        <v>15</v>
      </c>
      <c r="G50" s="11" t="s">
        <v>24</v>
      </c>
      <c r="H50" s="9">
        <v>1450</v>
      </c>
      <c r="I50" s="9">
        <v>362.5</v>
      </c>
      <c r="J50" s="10" t="s">
        <v>25</v>
      </c>
      <c r="K50" s="9"/>
      <c r="L50" s="9"/>
      <c r="M50" s="9"/>
      <c r="N50" s="13" t="s">
        <v>139</v>
      </c>
      <c r="O50" s="34" t="e">
        <f>VLOOKUP(A50,'[1]09-07-26'!$A$2:$T$89,20,0)</f>
        <v>#N/A</v>
      </c>
      <c r="P50" s="34" t="e">
        <f>VLOOKUP(A50,'[1]16-07-26'!$A$2:$T$95,20,0)</f>
        <v>#N/A</v>
      </c>
      <c r="Q50" s="34" t="e">
        <f>VLOOKUP(A50,'[1]23-07-26'!$A$2:$T$106,20,0)</f>
        <v>#N/A</v>
      </c>
      <c r="R50" s="34" t="e">
        <f>VLOOKUP(A50,'[1]30-07-26'!$A$2:$T$107,20,0)</f>
        <v>#N/A</v>
      </c>
      <c r="S50" s="34" t="str">
        <f>VLOOKUP(A50,'[2]06-08-26'!$A$2:$T$100,20,0)</f>
        <v>P n W car ( 14 Inch ) 16     FF Sachet + Grass</v>
      </c>
      <c r="T50" s="34" t="s">
        <v>410</v>
      </c>
      <c r="U50" s="34">
        <v>5</v>
      </c>
      <c r="V50" s="34"/>
      <c r="W50" s="34"/>
      <c r="X50" s="34"/>
      <c r="Y50" s="34"/>
      <c r="Z50" s="34" t="s">
        <v>405</v>
      </c>
      <c r="AA50" s="34"/>
      <c r="AB50" s="34"/>
      <c r="AC50" s="34"/>
      <c r="AD50" s="34"/>
    </row>
    <row r="51" spans="1:30" ht="113.4" customHeight="1" x14ac:dyDescent="0.3">
      <c r="A51" s="1">
        <v>1396</v>
      </c>
      <c r="B51" s="19" t="s">
        <v>222</v>
      </c>
      <c r="C51" s="9">
        <v>9899897993</v>
      </c>
      <c r="D51" s="10" t="s">
        <v>223</v>
      </c>
      <c r="E51" s="10" t="s">
        <v>23</v>
      </c>
      <c r="F51" s="10" t="s">
        <v>15</v>
      </c>
      <c r="G51" s="11" t="s">
        <v>24</v>
      </c>
      <c r="H51" s="9">
        <v>2750</v>
      </c>
      <c r="I51" s="9">
        <v>687.5</v>
      </c>
      <c r="J51" s="10" t="s">
        <v>89</v>
      </c>
      <c r="K51" s="10" t="s">
        <v>224</v>
      </c>
      <c r="L51" s="10" t="s">
        <v>225</v>
      </c>
      <c r="M51" s="9"/>
      <c r="N51" s="13" t="s">
        <v>226</v>
      </c>
      <c r="O51" s="34" t="e">
        <f>VLOOKUP(A51,'[1]09-07-26'!$A$2:$T$89,20,0)</f>
        <v>#N/A</v>
      </c>
      <c r="P51" s="34" t="e">
        <f>VLOOKUP(A51,'[1]16-07-26'!$A$2:$T$95,20,0)</f>
        <v>#N/A</v>
      </c>
      <c r="Q51" s="34" t="e">
        <f>VLOOKUP(A51,'[1]23-07-26'!$A$2:$T$106,20,0)</f>
        <v>#N/A</v>
      </c>
      <c r="R51" s="34" t="e">
        <f>VLOOKUP(A51,'[1]30-07-26'!$A$2:$T$107,20,0)</f>
        <v>#N/A</v>
      </c>
      <c r="S51" s="34" t="str">
        <f>VLOOKUP(A51,'[2]06-08-26'!$A$2:$T$100,20,0)</f>
        <v>O Asiatic ( 14 Inch ) 6     2 Limonium</v>
      </c>
      <c r="T51" s="34" t="s">
        <v>399</v>
      </c>
      <c r="U51" s="34">
        <v>32</v>
      </c>
      <c r="V51" s="34"/>
      <c r="W51" s="34"/>
      <c r="X51" s="34"/>
      <c r="Y51" s="34"/>
      <c r="Z51" s="34" t="s">
        <v>422</v>
      </c>
      <c r="AA51" s="34"/>
      <c r="AB51" s="34"/>
      <c r="AC51" s="34"/>
      <c r="AD51" s="34"/>
    </row>
    <row r="52" spans="1:30" ht="113.4" hidden="1" customHeight="1" x14ac:dyDescent="0.3">
      <c r="A52" s="1">
        <v>2204</v>
      </c>
      <c r="B52" s="14" t="s">
        <v>227</v>
      </c>
      <c r="C52" s="9">
        <v>9811969982</v>
      </c>
      <c r="D52" s="10" t="s">
        <v>228</v>
      </c>
      <c r="E52" s="10" t="s">
        <v>14</v>
      </c>
      <c r="F52" s="10" t="s">
        <v>15</v>
      </c>
      <c r="G52" s="10" t="s">
        <v>125</v>
      </c>
      <c r="H52" s="9">
        <v>1450</v>
      </c>
      <c r="I52" s="9">
        <v>362.5</v>
      </c>
      <c r="J52" s="10" t="s">
        <v>25</v>
      </c>
      <c r="K52" s="10" t="s">
        <v>229</v>
      </c>
      <c r="L52" s="9"/>
      <c r="M52" s="9"/>
      <c r="N52" s="13" t="s">
        <v>139</v>
      </c>
      <c r="O52" s="34" t="str">
        <f>VLOOKUP(A52,'[1]09-07-26'!$A$2:$T$89,20,0)</f>
        <v>Rajni ( 14 Inch ) 16     Grass</v>
      </c>
      <c r="P52" s="34" t="str">
        <f>VLOOKUP(A52,'[1]16-07-26'!$A$2:$T$95,20,0)</f>
        <v>G n W Car ( 14 Inch ) 16     FF Sachet + Grass</v>
      </c>
      <c r="Q52" s="34" t="str">
        <f>VLOOKUP(A52,'[1]23-07-26'!$A$2:$T$106,20,0)</f>
        <v>P n Y Spray Daisy ( 14 Inch ) 5     FF Sachet + Grass</v>
      </c>
      <c r="R52" s="34" t="str">
        <f>VLOOKUP(A52,'[1]30-07-26'!$A$2:$T$107,20,0)</f>
        <v>Mix Glad ( 14 Inch ) 16     FF Sachet + Grass</v>
      </c>
      <c r="S52" s="34" t="str">
        <f>VLOOKUP(A52,'[2]06-08-26'!$A$2:$T$100,20,0)</f>
        <v>Pur n W Eustoma ( 12 Inch ) 3     FF Sachet + Grass</v>
      </c>
      <c r="T52" s="34" t="s">
        <v>401</v>
      </c>
      <c r="U52" s="34">
        <v>3</v>
      </c>
      <c r="V52" s="34"/>
      <c r="W52" s="34"/>
      <c r="X52" s="34"/>
      <c r="Y52" s="34"/>
      <c r="Z52" s="34" t="s">
        <v>406</v>
      </c>
      <c r="AA52" s="34"/>
      <c r="AB52" s="34"/>
      <c r="AC52" s="34"/>
      <c r="AD52" s="34"/>
    </row>
    <row r="53" spans="1:30" ht="113.4" hidden="1" customHeight="1" x14ac:dyDescent="0.3">
      <c r="A53" s="1">
        <v>1656</v>
      </c>
      <c r="B53" s="14" t="s">
        <v>230</v>
      </c>
      <c r="C53" s="26">
        <v>9560609907</v>
      </c>
      <c r="D53" s="10" t="s">
        <v>231</v>
      </c>
      <c r="E53" s="10" t="s">
        <v>14</v>
      </c>
      <c r="F53" s="10" t="s">
        <v>15</v>
      </c>
      <c r="G53" s="10" t="s">
        <v>125</v>
      </c>
      <c r="H53" s="9">
        <v>1450</v>
      </c>
      <c r="I53" s="9">
        <v>362.5</v>
      </c>
      <c r="J53" s="12" t="s">
        <v>25</v>
      </c>
      <c r="K53" s="10" t="s">
        <v>232</v>
      </c>
      <c r="L53" s="9"/>
      <c r="M53" s="9"/>
      <c r="N53" s="13" t="s">
        <v>139</v>
      </c>
      <c r="O53" s="34" t="e">
        <f>VLOOKUP(A53,'[1]09-07-26'!$A$2:$T$89,20,0)</f>
        <v>#N/A</v>
      </c>
      <c r="P53" s="34" t="str">
        <f>VLOOKUP(A53,'[1]16-07-26'!$A$2:$T$95,20,0)</f>
        <v>O Asiatic ( 14 Inch ) 3     Grass</v>
      </c>
      <c r="Q53" s="34" t="str">
        <f>VLOOKUP(A53,'[1]23-07-26'!$A$2:$T$106,20,0)</f>
        <v>Mix Glad ( 14 Inch ) 16     Grass</v>
      </c>
      <c r="R53" s="34" t="str">
        <f>VLOOKUP(A53,'[1]30-07-26'!$A$2:$T$107,20,0)</f>
        <v>P n Y Spray Daisy ( 14 Inch ) 5     FF Sachet + Grass</v>
      </c>
      <c r="S53" s="34" t="str">
        <f>VLOOKUP(A53,'[2]06-08-26'!$A$2:$T$100,20,0)</f>
        <v>R n W Car ( 14 Inch ) 16     FF Sachet + Grass</v>
      </c>
      <c r="T53" s="34" t="s">
        <v>412</v>
      </c>
      <c r="U53" s="34">
        <v>3</v>
      </c>
      <c r="V53" s="34"/>
      <c r="W53" s="34"/>
      <c r="X53" s="34"/>
      <c r="Y53" s="34"/>
      <c r="Z53" s="34" t="s">
        <v>405</v>
      </c>
      <c r="AA53" s="34"/>
      <c r="AB53" s="34"/>
      <c r="AC53" s="34"/>
      <c r="AD53" s="34"/>
    </row>
    <row r="54" spans="1:30" ht="113.4" customHeight="1" x14ac:dyDescent="0.3">
      <c r="A54" s="1">
        <v>61</v>
      </c>
      <c r="B54" s="29" t="s">
        <v>233</v>
      </c>
      <c r="C54" s="21">
        <v>9871919500</v>
      </c>
      <c r="D54" s="12" t="s">
        <v>234</v>
      </c>
      <c r="E54" s="10" t="s">
        <v>23</v>
      </c>
      <c r="F54" s="12" t="s">
        <v>15</v>
      </c>
      <c r="G54" s="11" t="s">
        <v>24</v>
      </c>
      <c r="H54" s="9">
        <v>1450</v>
      </c>
      <c r="I54" s="9">
        <v>362.5</v>
      </c>
      <c r="J54" s="12" t="s">
        <v>25</v>
      </c>
      <c r="K54" s="12" t="s">
        <v>235</v>
      </c>
      <c r="L54" s="9"/>
      <c r="M54" s="9"/>
      <c r="N54" s="13" t="s">
        <v>215</v>
      </c>
      <c r="O54" s="34" t="str">
        <f>VLOOKUP(A54,'[1]09-07-26'!$A$2:$T$89,20,0)</f>
        <v>P Asiatic ( 14 Inch ) 3     Grass</v>
      </c>
      <c r="P54" s="34" t="str">
        <f>VLOOKUP(A54,'[1]16-07-26'!$A$2:$T$95,20,0)</f>
        <v>G n W Car ( 14 Inch ) 16     FF Sachet + Grass</v>
      </c>
      <c r="Q54" s="34" t="str">
        <f>VLOOKUP(A54,'[1]23-07-26'!$A$2:$T$106,20,0)</f>
        <v>P n Y Spray Daisy ( 14 Inch ) 5     FF Sachet + Grass</v>
      </c>
      <c r="R54" s="34" t="str">
        <f>VLOOKUP(A54,'[1]30-07-26'!$A$2:$T$107,20,0)</f>
        <v>Mix Glad ( 14 Inch ) 16     FF Sachet + Grass</v>
      </c>
      <c r="S54" s="34" t="str">
        <f>VLOOKUP(A54,'[2]06-08-26'!$A$2:$T$100,20,0)</f>
        <v>Pur n W Eustoma ( 12 Inch ) 3     FF Sachet + Grass</v>
      </c>
      <c r="T54" s="34" t="s">
        <v>401</v>
      </c>
      <c r="U54" s="34">
        <v>3</v>
      </c>
      <c r="V54" s="34"/>
      <c r="W54" s="34"/>
      <c r="X54" s="34" t="s">
        <v>478</v>
      </c>
      <c r="Y54" s="34" t="s">
        <v>478</v>
      </c>
      <c r="Z54" s="34" t="s">
        <v>406</v>
      </c>
      <c r="AA54" s="34"/>
      <c r="AB54" s="34"/>
      <c r="AC54" s="34"/>
      <c r="AD54" s="34"/>
    </row>
    <row r="55" spans="1:30" ht="113.4" hidden="1" customHeight="1" x14ac:dyDescent="0.3">
      <c r="A55" s="1">
        <v>20</v>
      </c>
      <c r="B55" s="22" t="s">
        <v>236</v>
      </c>
      <c r="C55" s="1">
        <v>9810771057</v>
      </c>
      <c r="D55" s="12" t="s">
        <v>237</v>
      </c>
      <c r="E55" s="10" t="s">
        <v>23</v>
      </c>
      <c r="F55" s="12" t="s">
        <v>15</v>
      </c>
      <c r="G55" s="11" t="s">
        <v>24</v>
      </c>
      <c r="H55" s="9">
        <v>1450</v>
      </c>
      <c r="I55" s="9">
        <v>362.5</v>
      </c>
      <c r="J55" s="10" t="s">
        <v>25</v>
      </c>
      <c r="K55" s="12" t="s">
        <v>238</v>
      </c>
      <c r="L55" s="9"/>
      <c r="M55" s="9" t="s">
        <v>239</v>
      </c>
      <c r="N55" s="13" t="s">
        <v>139</v>
      </c>
      <c r="O55" s="34" t="e">
        <f>VLOOKUP(A55,'[1]09-07-26'!$A$2:$T$89,20,0)</f>
        <v>#N/A</v>
      </c>
      <c r="P55" s="34" t="e">
        <f>VLOOKUP(A55,'[1]16-07-26'!$A$2:$T$95,20,0)</f>
        <v>#N/A</v>
      </c>
      <c r="Q55" s="34" t="str">
        <f>VLOOKUP(A55,'[1]23-07-26'!$A$2:$T$106,20,0)</f>
        <v>G n W Car ( 14 inch ) 16     FF Sachet + Grass</v>
      </c>
      <c r="R55" s="34" t="str">
        <f>VLOOKUP(A55,'[1]30-07-26'!$A$2:$T$107,20,0)</f>
        <v>P n W Car ( 14 Inch ) 16     FF Sachet + Grass</v>
      </c>
      <c r="S55" s="34" t="str">
        <f>VLOOKUP(A55,'[2]06-08-26'!$A$2:$T$100,20,0)</f>
        <v>P n W car ( 14 Inch ) 16     FF Sachet + Grass</v>
      </c>
      <c r="T55" s="34" t="s">
        <v>395</v>
      </c>
      <c r="U55" s="34">
        <v>5</v>
      </c>
      <c r="V55" s="34"/>
      <c r="W55" s="34"/>
      <c r="X55" s="34"/>
      <c r="Y55" s="34"/>
      <c r="Z55" s="34" t="s">
        <v>405</v>
      </c>
      <c r="AA55" s="34"/>
      <c r="AB55" s="34"/>
      <c r="AC55" s="34"/>
      <c r="AD55" s="34"/>
    </row>
    <row r="56" spans="1:30" ht="113.4" hidden="1" customHeight="1" x14ac:dyDescent="0.3">
      <c r="A56" s="1">
        <v>1319</v>
      </c>
      <c r="B56" s="22" t="s">
        <v>236</v>
      </c>
      <c r="C56" s="1">
        <v>9810771057</v>
      </c>
      <c r="D56" s="12" t="s">
        <v>237</v>
      </c>
      <c r="E56" s="10" t="s">
        <v>23</v>
      </c>
      <c r="F56" s="12" t="s">
        <v>15</v>
      </c>
      <c r="G56" s="11" t="s">
        <v>24</v>
      </c>
      <c r="H56" s="9">
        <v>1950</v>
      </c>
      <c r="I56" s="9">
        <v>487.5</v>
      </c>
      <c r="J56" s="10" t="s">
        <v>17</v>
      </c>
      <c r="K56" s="12" t="s">
        <v>240</v>
      </c>
      <c r="L56" s="9"/>
      <c r="M56" s="9" t="s">
        <v>239</v>
      </c>
      <c r="N56" s="13" t="s">
        <v>139</v>
      </c>
      <c r="O56" s="34" t="e">
        <f>VLOOKUP(A56,'[1]09-07-26'!$A$2:$T$89,20,0)</f>
        <v>#N/A</v>
      </c>
      <c r="P56" s="34" t="e">
        <f>VLOOKUP(A56,'[1]16-07-26'!$A$2:$T$95,20,0)</f>
        <v>#N/A</v>
      </c>
      <c r="Q56" s="34" t="str">
        <f>VLOOKUP(A56,'[1]23-07-26'!$A$2:$T$106,20,0)</f>
        <v>W Asiatic 4     Grass</v>
      </c>
      <c r="R56" s="34" t="str">
        <f>VLOOKUP(A56,'[1]30-07-26'!$A$2:$T$107,20,0)</f>
        <v>W Asiatic ( 14 Inch ) 4     Grass</v>
      </c>
      <c r="S56" s="34" t="str">
        <f>VLOOKUP(A56,'[2]06-08-26'!$A$2:$T$100,20,0)</f>
        <v>W Oriental ( 14 Inch ) 3     Grass</v>
      </c>
      <c r="T56" s="34" t="s">
        <v>418</v>
      </c>
      <c r="U56" s="34">
        <v>3</v>
      </c>
      <c r="V56" s="34"/>
      <c r="W56" s="34"/>
      <c r="X56" s="34"/>
      <c r="Y56" s="34"/>
      <c r="Z56" s="34" t="s">
        <v>406</v>
      </c>
      <c r="AA56" s="34"/>
      <c r="AB56" s="34"/>
      <c r="AC56" s="34"/>
      <c r="AD56" s="34"/>
    </row>
    <row r="57" spans="1:30" ht="146.15" customHeight="1" x14ac:dyDescent="0.3">
      <c r="A57" s="1">
        <v>58</v>
      </c>
      <c r="B57" s="14" t="s">
        <v>241</v>
      </c>
      <c r="C57" s="1">
        <v>8130077970</v>
      </c>
      <c r="D57" s="1" t="s">
        <v>242</v>
      </c>
      <c r="E57" s="12" t="s">
        <v>23</v>
      </c>
      <c r="F57" s="12" t="s">
        <v>15</v>
      </c>
      <c r="G57" s="11" t="s">
        <v>24</v>
      </c>
      <c r="H57" s="9">
        <v>1950</v>
      </c>
      <c r="I57" s="9">
        <v>487.5</v>
      </c>
      <c r="J57" s="10" t="s">
        <v>17</v>
      </c>
      <c r="K57" s="10" t="s">
        <v>243</v>
      </c>
      <c r="L57" s="10" t="s">
        <v>244</v>
      </c>
      <c r="M57" s="10" t="s">
        <v>245</v>
      </c>
      <c r="N57" s="13" t="s">
        <v>251</v>
      </c>
      <c r="O57" s="34" t="str">
        <f>VLOOKUP(A57,'[1]09-07-26'!$A$2:$T$89,20,0)</f>
        <v>BOP ( 15 Inch ) 2 Mix Alstroemeria ( 12 Inch ) 11   FF Sachet + Grass</v>
      </c>
      <c r="P57" s="34" t="str">
        <f>VLOOKUP(A57,'[1]16-07-26'!$A$2:$T$95,20,0)</f>
        <v>O Asiatic ( 14 Inch ) 2 G n W Car ( 14 Inch ) 11   Grass</v>
      </c>
      <c r="Q57" s="34" t="str">
        <f>VLOOKUP(A57,'[1]23-07-26'!$A$2:$T$106,20,0)</f>
        <v>Pur Eustoma ( 12 Inch ) 2 Mix Glad ( 14 Inch ) 11   FF Sachet + Grass</v>
      </c>
      <c r="R57" s="34" t="str">
        <f>VLOOKUP(A57,'[1]30-07-26'!$A$2:$T$107,20,0)</f>
        <v>P n W Spray Daisy ( 14 Inch ) 4 Rajni ( 14 Inch ) 11   FF Sachet + Grass</v>
      </c>
      <c r="S57" s="34" t="str">
        <f>VLOOKUP(A57,'[2]06-08-26'!$A$2:$T$100,20,0)</f>
        <v>W Asiatic ( 14 Inch ) 3 Mix Alstroemeria ( 12 Inch ) 11   FF Sachet + Grass</v>
      </c>
      <c r="T57" s="34" t="s">
        <v>412</v>
      </c>
      <c r="U57" s="34">
        <v>2</v>
      </c>
      <c r="V57" s="34" t="s">
        <v>399</v>
      </c>
      <c r="W57" s="34">
        <v>11</v>
      </c>
      <c r="X57" s="34"/>
      <c r="Y57" s="34"/>
      <c r="Z57" s="34" t="s">
        <v>405</v>
      </c>
      <c r="AA57" s="34"/>
      <c r="AB57" s="34"/>
      <c r="AC57" s="34"/>
      <c r="AD57" s="34"/>
    </row>
    <row r="58" spans="1:30" ht="113.4" hidden="1" customHeight="1" x14ac:dyDescent="0.3">
      <c r="A58" s="12" t="s">
        <v>246</v>
      </c>
      <c r="B58" s="14" t="s">
        <v>247</v>
      </c>
      <c r="C58" s="9">
        <v>9755147590</v>
      </c>
      <c r="D58" s="10" t="s">
        <v>248</v>
      </c>
      <c r="E58" s="10" t="s">
        <v>43</v>
      </c>
      <c r="F58" s="10" t="s">
        <v>15</v>
      </c>
      <c r="G58" s="20" t="s">
        <v>249</v>
      </c>
      <c r="H58" s="9">
        <v>1450</v>
      </c>
      <c r="I58" s="9">
        <v>362.5</v>
      </c>
      <c r="J58" s="10" t="s">
        <v>25</v>
      </c>
      <c r="K58" s="10" t="s">
        <v>250</v>
      </c>
      <c r="L58" s="9"/>
      <c r="M58" s="9"/>
      <c r="N58" s="13" t="s">
        <v>139</v>
      </c>
      <c r="O58" s="34" t="e">
        <f>VLOOKUP(A58,'[1]09-07-26'!$A$2:$T$89,20,0)</f>
        <v>#N/A</v>
      </c>
      <c r="P58" s="34" t="e">
        <f>VLOOKUP(A58,'[1]16-07-26'!$A$2:$T$95,20,0)</f>
        <v>#N/A</v>
      </c>
      <c r="Q58" s="34" t="e">
        <f>VLOOKUP(A58,'[1]23-07-26'!$A$2:$T$106,20,0)</f>
        <v>#N/A</v>
      </c>
      <c r="R58" s="34" t="e">
        <f>VLOOKUP(A58,'[1]30-07-26'!$A$2:$T$107,20,0)</f>
        <v>#N/A</v>
      </c>
      <c r="S58" s="34" t="str">
        <f>VLOOKUP(A58,'[2]06-08-26'!$A$2:$T$100,20,0)</f>
        <v>P n W car ( 14 Inch ) 16 1 BMF Vase with Ribbon Message   FF Sachet + Grass</v>
      </c>
      <c r="T58" s="34" t="s">
        <v>410</v>
      </c>
      <c r="U58" s="34">
        <v>5</v>
      </c>
      <c r="V58" s="34"/>
      <c r="W58" s="34"/>
      <c r="X58" s="34"/>
      <c r="Y58" s="34"/>
      <c r="Z58" s="34" t="s">
        <v>405</v>
      </c>
      <c r="AA58" s="34"/>
      <c r="AB58" s="34"/>
      <c r="AC58" s="34"/>
      <c r="AD58" s="34"/>
    </row>
    <row r="59" spans="1:30" ht="113.4" customHeight="1" x14ac:dyDescent="0.3">
      <c r="A59" s="1">
        <v>1181</v>
      </c>
      <c r="B59" s="14" t="s">
        <v>252</v>
      </c>
      <c r="C59" s="9">
        <v>8800895944</v>
      </c>
      <c r="D59" s="10" t="s">
        <v>253</v>
      </c>
      <c r="E59" s="10" t="s">
        <v>43</v>
      </c>
      <c r="F59" s="10" t="s">
        <v>15</v>
      </c>
      <c r="G59" s="11" t="s">
        <v>168</v>
      </c>
      <c r="H59" s="9">
        <v>1950</v>
      </c>
      <c r="I59" s="9">
        <v>487.5</v>
      </c>
      <c r="J59" s="10" t="s">
        <v>17</v>
      </c>
      <c r="K59" s="12" t="s">
        <v>254</v>
      </c>
      <c r="L59" s="9"/>
      <c r="M59" s="10" t="s">
        <v>255</v>
      </c>
      <c r="N59" s="13" t="s">
        <v>256</v>
      </c>
      <c r="O59" s="34" t="str">
        <f>VLOOKUP(A59,'[1]09-07-26'!$A$2:$T$89,20,0)</f>
        <v>W Asiatic ( 14 Inch ) 4     Grass</v>
      </c>
      <c r="P59" s="34" t="str">
        <f>VLOOKUP(A59,'[1]16-07-26'!$A$2:$T$95,20,0)</f>
        <v>Mix Alstroemeria ( 12 Inch ) 22     FF Sachet + Grass</v>
      </c>
      <c r="Q59" s="34" t="str">
        <f>VLOOKUP(A59,'[1]23-07-26'!$A$2:$T$106,20,0)</f>
        <v>G n W Car ( 14 inch ) 22     FF Sachet + Grass</v>
      </c>
      <c r="R59" s="34" t="str">
        <f>VLOOKUP(A59,'[1]30-07-26'!$A$2:$T$107,20,0)</f>
        <v>P n Y Spray Daisy ( 14 Inch ) 7     FF Sachet + Grass</v>
      </c>
      <c r="S59" s="34" t="str">
        <f>VLOOKUP(A59,'[2]06-08-26'!$A$2:$T$100,20,0)</f>
        <v>Mix Glad ( 14 Inch ) 22     Grass</v>
      </c>
      <c r="T59" s="34" t="s">
        <v>417</v>
      </c>
      <c r="U59" s="34">
        <v>4</v>
      </c>
      <c r="V59" s="34"/>
      <c r="W59" s="34"/>
      <c r="X59" s="34"/>
      <c r="Y59" s="34"/>
      <c r="Z59" s="34" t="s">
        <v>405</v>
      </c>
      <c r="AA59" s="34"/>
      <c r="AB59" s="34"/>
      <c r="AC59" s="34"/>
      <c r="AD59" s="34"/>
    </row>
    <row r="60" spans="1:30" ht="113.4" customHeight="1" x14ac:dyDescent="0.3">
      <c r="A60" s="1">
        <v>2644</v>
      </c>
      <c r="B60" s="14" t="s">
        <v>257</v>
      </c>
      <c r="C60" s="26">
        <v>7889438209</v>
      </c>
      <c r="D60" s="10" t="s">
        <v>258</v>
      </c>
      <c r="E60" s="10" t="s">
        <v>43</v>
      </c>
      <c r="F60" s="10" t="s">
        <v>15</v>
      </c>
      <c r="G60" s="10" t="s">
        <v>125</v>
      </c>
      <c r="H60" s="9">
        <v>1450</v>
      </c>
      <c r="I60" s="9">
        <v>362.5</v>
      </c>
      <c r="J60" s="12" t="s">
        <v>25</v>
      </c>
      <c r="K60" s="10" t="s">
        <v>259</v>
      </c>
      <c r="L60" s="9"/>
      <c r="M60" s="10" t="s">
        <v>260</v>
      </c>
      <c r="N60" s="13" t="s">
        <v>215</v>
      </c>
      <c r="O60" s="34" t="str">
        <f>VLOOKUP(A60,'[1]09-07-26'!$A$2:$T$89,20,0)</f>
        <v>Pur n P Car ( 14 Inch ) 16     FF Sachet + Grass</v>
      </c>
      <c r="P60" s="34" t="str">
        <f>VLOOKUP(A60,'[1]16-07-26'!$A$2:$T$95,20,0)</f>
        <v>P n Y Spray Daisy ( 14 Inch ) 5     FF Sachet + Grass</v>
      </c>
      <c r="Q60" s="34" t="str">
        <f>VLOOKUP(A60,'[1]23-07-26'!$A$2:$T$106,20,0)</f>
        <v>Mix Glad ( 14 Inch ) 16     Grass</v>
      </c>
      <c r="R60" s="34" t="str">
        <f>VLOOKUP(A60,'[1]30-07-26'!$A$2:$T$107,20,0)</f>
        <v>O Asiatic ( 14 Inch ) 3     Grass</v>
      </c>
      <c r="S60" s="34" t="str">
        <f>VLOOKUP(A60,'[2]06-08-26'!$A$2:$T$100,20,0)</f>
        <v>Mix Alstroemeria ( 12 Inch ) 16     FF Sachet + Grass</v>
      </c>
      <c r="T60" s="34" t="s">
        <v>412</v>
      </c>
      <c r="U60" s="34">
        <v>3</v>
      </c>
      <c r="V60" s="34"/>
      <c r="W60" s="34"/>
      <c r="X60" s="34" t="s">
        <v>478</v>
      </c>
      <c r="Y60" s="34" t="s">
        <v>478</v>
      </c>
      <c r="Z60" s="34" t="s">
        <v>405</v>
      </c>
      <c r="AA60" s="34"/>
      <c r="AB60" s="34"/>
      <c r="AC60" s="34"/>
      <c r="AD60" s="34"/>
    </row>
    <row r="61" spans="1:30" ht="113.4" hidden="1" customHeight="1" x14ac:dyDescent="0.3">
      <c r="A61" s="1">
        <v>1998</v>
      </c>
      <c r="B61" s="14" t="s">
        <v>261</v>
      </c>
      <c r="C61" s="9">
        <v>9811053756</v>
      </c>
      <c r="D61" s="10" t="s">
        <v>262</v>
      </c>
      <c r="E61" s="10" t="s">
        <v>14</v>
      </c>
      <c r="F61" s="12" t="s">
        <v>15</v>
      </c>
      <c r="G61" s="11" t="s">
        <v>125</v>
      </c>
      <c r="H61" s="9">
        <v>1950</v>
      </c>
      <c r="I61" s="9">
        <v>487.5</v>
      </c>
      <c r="J61" s="10" t="s">
        <v>17</v>
      </c>
      <c r="K61" s="10" t="s">
        <v>263</v>
      </c>
      <c r="L61" s="10" t="s">
        <v>264</v>
      </c>
      <c r="M61" s="9"/>
      <c r="N61" s="13" t="s">
        <v>419</v>
      </c>
      <c r="O61" s="34" t="str">
        <f>VLOOKUP(A61,'[1]09-07-26'!$A$2:$T$89,20,0)</f>
        <v>Rajni ( 14 Inch ) 22     Grass</v>
      </c>
      <c r="P61" s="34" t="str">
        <f>VLOOKUP(A61,'[1]16-07-26'!$A$2:$T$95,20,0)</f>
        <v>G n W Car ( 14 Inch ) 22     FF Sachet + Grass</v>
      </c>
      <c r="Q61" s="34" t="str">
        <f>VLOOKUP(A61,'[1]23-07-26'!$A$2:$T$106,20,0)</f>
        <v>Mix Glad ( 14 Inch ) 22     Grass</v>
      </c>
      <c r="R61" s="34" t="str">
        <f>VLOOKUP(A61,'[1]30-07-26'!$A$2:$T$107,20,0)</f>
        <v>Mix Alstroemeria ( 12 Inch ) 22     FF Sachet + Grass</v>
      </c>
      <c r="S61" s="34" t="str">
        <f>VLOOKUP(A61,'[2]06-08-26'!$A$2:$T$100,20,0)</f>
        <v>Pur n W Eustoma ( 12 Inch ) 4     FF Sachet + Grass</v>
      </c>
      <c r="T61" s="34" t="s">
        <v>411</v>
      </c>
      <c r="U61" s="34">
        <v>4</v>
      </c>
      <c r="V61" s="34"/>
      <c r="W61" s="34"/>
      <c r="X61" s="34"/>
      <c r="Y61" s="34"/>
      <c r="Z61" s="34" t="s">
        <v>406</v>
      </c>
      <c r="AA61" s="34"/>
      <c r="AB61" s="34"/>
      <c r="AC61" s="34"/>
      <c r="AD61" s="34"/>
    </row>
    <row r="62" spans="1:30" ht="113.4" hidden="1" customHeight="1" x14ac:dyDescent="0.3">
      <c r="A62" s="1">
        <v>2509</v>
      </c>
      <c r="B62" s="14" t="s">
        <v>265</v>
      </c>
      <c r="C62" s="26">
        <v>8910369663</v>
      </c>
      <c r="D62" s="10" t="s">
        <v>266</v>
      </c>
      <c r="E62" s="10" t="s">
        <v>43</v>
      </c>
      <c r="F62" s="10" t="s">
        <v>15</v>
      </c>
      <c r="G62" s="10" t="s">
        <v>125</v>
      </c>
      <c r="H62" s="9">
        <v>1450</v>
      </c>
      <c r="I62" s="9">
        <v>1450</v>
      </c>
      <c r="J62" s="12" t="s">
        <v>25</v>
      </c>
      <c r="K62" s="10" t="s">
        <v>267</v>
      </c>
      <c r="L62" s="9"/>
      <c r="M62" s="10" t="s">
        <v>268</v>
      </c>
      <c r="N62" s="13" t="s">
        <v>139</v>
      </c>
      <c r="O62" s="34" t="str">
        <f>VLOOKUP(A62,'[1]09-07-26'!$A$2:$T$89,20,0)</f>
        <v>R n W Car ( 14 Inch ) 16     FF Sachet + Grass</v>
      </c>
      <c r="P62" s="34" t="e">
        <f>VLOOKUP(A62,'[1]16-07-26'!$A$2:$T$95,20,0)</f>
        <v>#N/A</v>
      </c>
      <c r="Q62" s="34" t="e">
        <f>VLOOKUP(A62,'[1]23-07-26'!$A$2:$T$106,20,0)</f>
        <v>#N/A</v>
      </c>
      <c r="R62" s="34" t="str">
        <f>VLOOKUP(A62,'[1]30-07-26'!$A$2:$T$107,20,0)</f>
        <v>O Asiatic 3     Grass</v>
      </c>
      <c r="S62" s="34" t="str">
        <f>VLOOKUP(A62,'[2]06-08-26'!$A$2:$T$100,20,0)</f>
        <v>Mix Glad ( 14 Inch ) 16     Grass</v>
      </c>
      <c r="T62" s="34" t="s">
        <v>410</v>
      </c>
      <c r="U62" s="34">
        <v>5</v>
      </c>
      <c r="V62" s="34"/>
      <c r="W62" s="34"/>
      <c r="X62" s="34"/>
      <c r="Y62" s="34"/>
      <c r="Z62" s="34" t="s">
        <v>405</v>
      </c>
      <c r="AA62" s="34"/>
      <c r="AB62" s="34"/>
      <c r="AC62" s="34"/>
      <c r="AD62" s="34"/>
    </row>
    <row r="63" spans="1:30" ht="113.4" customHeight="1" x14ac:dyDescent="0.3">
      <c r="A63" s="1">
        <v>2961</v>
      </c>
      <c r="B63" s="14" t="s">
        <v>269</v>
      </c>
      <c r="C63" s="21">
        <v>9818837167</v>
      </c>
      <c r="D63" s="1" t="s">
        <v>270</v>
      </c>
      <c r="E63" s="10" t="s">
        <v>271</v>
      </c>
      <c r="F63" s="10" t="s">
        <v>15</v>
      </c>
      <c r="G63" s="10" t="s">
        <v>168</v>
      </c>
      <c r="H63" s="9">
        <v>1450</v>
      </c>
      <c r="I63" s="9">
        <v>362.5</v>
      </c>
      <c r="J63" s="12" t="s">
        <v>25</v>
      </c>
      <c r="K63" s="10" t="s">
        <v>272</v>
      </c>
      <c r="L63" s="9"/>
      <c r="M63" s="10" t="s">
        <v>273</v>
      </c>
      <c r="N63" s="13" t="s">
        <v>479</v>
      </c>
      <c r="O63" s="34" t="str">
        <f>VLOOKUP(A63,'[1]09-07-26'!$A$2:$T$89,20,0)</f>
        <v xml:space="preserve">Collect 500  n Close Carry Receipt Book     </v>
      </c>
      <c r="P63" s="34" t="e">
        <f>VLOOKUP(A63,'[1]16-07-26'!$A$2:$T$95,20,0)</f>
        <v>#N/A</v>
      </c>
      <c r="Q63" s="34" t="e">
        <f>VLOOKUP(A63,'[1]23-07-26'!$A$2:$T$106,20,0)</f>
        <v>#N/A</v>
      </c>
      <c r="R63" s="34" t="e">
        <f>VLOOKUP(A63,'[1]30-07-26'!$A$2:$T$107,20,0)</f>
        <v>#N/A</v>
      </c>
      <c r="S63" s="34" t="str">
        <f>VLOOKUP(A63,'[2]06-08-26'!$A$2:$T$100,20,0)</f>
        <v>R n W Car ( 14 Inch ) 16     FF Sachet + Grass</v>
      </c>
      <c r="T63" s="34" t="s">
        <v>411</v>
      </c>
      <c r="U63" s="34">
        <v>3</v>
      </c>
      <c r="V63" s="34"/>
      <c r="W63" s="34"/>
      <c r="X63" s="34"/>
      <c r="Y63" s="34"/>
      <c r="Z63" s="34" t="s">
        <v>406</v>
      </c>
      <c r="AA63" s="34"/>
      <c r="AB63" s="34"/>
      <c r="AC63" s="34"/>
      <c r="AD63" s="34"/>
    </row>
    <row r="64" spans="1:30" ht="113.4" hidden="1" customHeight="1" x14ac:dyDescent="0.3">
      <c r="A64" s="1">
        <v>2307</v>
      </c>
      <c r="B64" s="14" t="s">
        <v>274</v>
      </c>
      <c r="C64" s="9">
        <v>9599336609</v>
      </c>
      <c r="D64" s="10" t="s">
        <v>275</v>
      </c>
      <c r="E64" s="10" t="s">
        <v>14</v>
      </c>
      <c r="F64" s="10" t="s">
        <v>15</v>
      </c>
      <c r="G64" s="11" t="s">
        <v>16</v>
      </c>
      <c r="H64" s="9">
        <v>3000</v>
      </c>
      <c r="I64" s="9">
        <v>375</v>
      </c>
      <c r="J64" s="10" t="s">
        <v>80</v>
      </c>
      <c r="K64" s="10" t="s">
        <v>276</v>
      </c>
      <c r="L64" s="9"/>
      <c r="M64" s="30" t="s">
        <v>277</v>
      </c>
      <c r="N64" s="13" t="s">
        <v>389</v>
      </c>
      <c r="O64" s="34" t="str">
        <f>VLOOKUP(A64,'[1]09-07-26'!$A$2:$T$89,20,0)</f>
        <v>Sunflower ( 12 Inch ) 3 Keep Flowers at Door -- Don’t call or Ring the bell    FF Sachet + Grass</v>
      </c>
      <c r="P64" s="34" t="str">
        <f>VLOOKUP(A64,'[1]16-07-26'!$A$2:$T$95,20,0)</f>
        <v>P n Y Spray Daisy ( 14 Inch ) 4 Pls Keep at door -- Don’t Call 0r Ring Bell    FF Sachet + Grass</v>
      </c>
      <c r="Q64" s="34" t="str">
        <f>VLOOKUP(A64,'[1]23-07-26'!$A$2:$T$106,20,0)</f>
        <v>O Asiatic ( 14 Inch ) 2   Ensure Collection Ensure Collection Grass</v>
      </c>
      <c r="R64" s="34" t="str">
        <f>VLOOKUP(A64,'[1]30-07-26'!$A$2:$T$107,20,0)</f>
        <v>Mix Glad ( 14 Inch ) 15 Keep at door nad Don’t call or ring Bell    FF Sachet + Grass</v>
      </c>
      <c r="S64" s="34" t="str">
        <f>VLOOKUP(A64,'[2]06-08-26'!$A$2:$T$100,20,0)</f>
        <v>W Eustoma ( 12 Inch ) 3 Pls Keep at door-- do not call 0r ring the bell    FF Sachet + Grass</v>
      </c>
      <c r="T64" s="34" t="s">
        <v>394</v>
      </c>
      <c r="U64" s="34">
        <v>15</v>
      </c>
      <c r="V64" s="34" t="s">
        <v>400</v>
      </c>
      <c r="W64" s="34"/>
      <c r="X64" s="34"/>
      <c r="Y64" s="34"/>
      <c r="Z64" s="34" t="s">
        <v>405</v>
      </c>
      <c r="AA64" s="34"/>
      <c r="AB64" s="34"/>
      <c r="AC64" s="34"/>
      <c r="AD64" s="34"/>
    </row>
    <row r="65" spans="1:30" ht="113.4" hidden="1" customHeight="1" x14ac:dyDescent="0.3">
      <c r="A65" s="1">
        <v>3122</v>
      </c>
      <c r="B65" s="14" t="s">
        <v>278</v>
      </c>
      <c r="C65" s="9">
        <v>9650001674</v>
      </c>
      <c r="D65" s="10" t="s">
        <v>279</v>
      </c>
      <c r="E65" s="10" t="s">
        <v>280</v>
      </c>
      <c r="F65" s="10" t="s">
        <v>15</v>
      </c>
      <c r="G65" s="11" t="s">
        <v>24</v>
      </c>
      <c r="H65" s="9">
        <v>1450</v>
      </c>
      <c r="I65" s="9">
        <v>362.5</v>
      </c>
      <c r="J65" s="12" t="s">
        <v>25</v>
      </c>
      <c r="K65" s="10" t="s">
        <v>281</v>
      </c>
      <c r="L65" s="9"/>
      <c r="M65" s="9"/>
      <c r="N65" s="13" t="s">
        <v>282</v>
      </c>
      <c r="O65" s="34" t="str">
        <f>VLOOKUP(A65,'[1]09-07-26'!$A$2:$T$89,20,0)</f>
        <v>Rajni ( 14 Inch ) 16     Grass</v>
      </c>
      <c r="P65" s="34" t="str">
        <f>VLOOKUP(A65,'[1]16-07-26'!$A$2:$T$95,20,0)</f>
        <v>G n W Car ( 14 Inch ) 16     FF Sachet + Grass</v>
      </c>
      <c r="Q65" s="34" t="str">
        <f>VLOOKUP(A65,'[1]23-07-26'!$A$2:$T$106,20,0)</f>
        <v>P n Y Spray Daisy ( 14 Inch ) 5     FF Sachet + Grass</v>
      </c>
      <c r="R65" s="34" t="str">
        <f>VLOOKUP(A65,'[1]30-07-26'!$A$2:$T$107,20,0)</f>
        <v>B Daisy 12     FF Sachet + Grass</v>
      </c>
      <c r="S65" s="34" t="str">
        <f>VLOOKUP(A65,'[2]06-08-26'!$A$2:$T$100,20,0)</f>
        <v>Mix Glad ( 14 Inch ) 16     Grass</v>
      </c>
      <c r="T65" s="34" t="s">
        <v>401</v>
      </c>
      <c r="U65" s="34">
        <v>3</v>
      </c>
      <c r="V65" s="34"/>
      <c r="W65" s="34"/>
      <c r="X65" s="34"/>
      <c r="Y65" s="34"/>
      <c r="Z65" s="34" t="s">
        <v>406</v>
      </c>
      <c r="AA65" s="34"/>
      <c r="AB65" s="34"/>
      <c r="AC65" s="34"/>
      <c r="AD65" s="34"/>
    </row>
    <row r="66" spans="1:30" ht="113.4" hidden="1" customHeight="1" x14ac:dyDescent="0.3">
      <c r="A66" s="1">
        <v>1978</v>
      </c>
      <c r="B66" s="14" t="s">
        <v>283</v>
      </c>
      <c r="C66" s="9" t="s">
        <v>284</v>
      </c>
      <c r="D66" s="10" t="s">
        <v>285</v>
      </c>
      <c r="E66" s="10" t="s">
        <v>23</v>
      </c>
      <c r="F66" s="10" t="s">
        <v>15</v>
      </c>
      <c r="G66" s="18" t="s">
        <v>39</v>
      </c>
      <c r="H66" s="9">
        <v>4850</v>
      </c>
      <c r="I66" s="9">
        <v>606.25</v>
      </c>
      <c r="J66" s="23" t="s">
        <v>286</v>
      </c>
      <c r="K66" s="10" t="s">
        <v>287</v>
      </c>
      <c r="L66" s="10" t="s">
        <v>288</v>
      </c>
      <c r="M66" s="10" t="s">
        <v>289</v>
      </c>
      <c r="N66" s="13" t="s">
        <v>139</v>
      </c>
      <c r="O66" s="34" t="str">
        <f>VLOOKUP(A66,'[1]09-07-26'!$A$2:$T$89,20,0)</f>
        <v>W Asiatic ( 14 Inch ) 2 Mix Alstroemeria ( 12 Inch ) 8 B Daisy 10 Grass</v>
      </c>
      <c r="P66" s="34" t="str">
        <f>VLOOKUP(A66,'[1]16-07-26'!$A$2:$T$95,20,0)</f>
        <v>P Asiatic ( 14 Inch ) 2 Sunflower 3 P n W  Car ( 14 Inch ) 12 Grass</v>
      </c>
      <c r="Q66" s="34" t="str">
        <f>VLOOKUP(A66,'[1]23-07-26'!$A$2:$T$106,20,0)</f>
        <v>O Asiatic ( 14 Inch ) 2 P n Y Spray Daisy ( 14 Inch ) 4 Green n W  Car 12 Grass</v>
      </c>
      <c r="R66" s="34" t="str">
        <f>VLOOKUP(A66,'[1]30-07-26'!$A$2:$T$107,20,0)</f>
        <v>W Asiatic ( 14 Inch ) 2 Mix Eustoma ( 12 Inch ) 3 Mix Alstroemeria ( 12 Inch ) 12 Grass</v>
      </c>
      <c r="S66" s="34" t="str">
        <f>VLOOKUP(A66,'[2]06-08-26'!$A$2:$T$100,20,0)</f>
        <v>O Asiatic ( 14 Inch ) 2 Sunflower ( 12 Inch ) 3 Mix Glad ( 14 Inch ) 10 Grass</v>
      </c>
      <c r="T66" s="34" t="s">
        <v>401</v>
      </c>
      <c r="U66" s="34">
        <v>2</v>
      </c>
      <c r="V66" s="34" t="s">
        <v>402</v>
      </c>
      <c r="W66" s="34">
        <v>4</v>
      </c>
      <c r="X66" s="34" t="s">
        <v>403</v>
      </c>
      <c r="Y66" s="34">
        <v>10</v>
      </c>
      <c r="Z66" s="34" t="s">
        <v>406</v>
      </c>
      <c r="AA66" s="34"/>
      <c r="AB66" s="34"/>
      <c r="AC66" s="34"/>
      <c r="AD66" s="34"/>
    </row>
    <row r="67" spans="1:30" ht="113.4" customHeight="1" x14ac:dyDescent="0.3">
      <c r="A67" s="1">
        <v>2779</v>
      </c>
      <c r="B67" s="14" t="s">
        <v>290</v>
      </c>
      <c r="C67" s="9">
        <v>8130497969</v>
      </c>
      <c r="D67" s="10" t="s">
        <v>291</v>
      </c>
      <c r="E67" s="10" t="s">
        <v>62</v>
      </c>
      <c r="F67" s="10" t="s">
        <v>113</v>
      </c>
      <c r="G67" s="10" t="s">
        <v>168</v>
      </c>
      <c r="H67" s="9">
        <v>1600</v>
      </c>
      <c r="I67" s="9">
        <v>200</v>
      </c>
      <c r="J67" s="12" t="s">
        <v>34</v>
      </c>
      <c r="K67" s="10" t="s">
        <v>292</v>
      </c>
      <c r="L67" s="9"/>
      <c r="M67" s="9"/>
      <c r="N67" s="13" t="s">
        <v>392</v>
      </c>
      <c r="O67" s="34" t="str">
        <f>VLOOKUP(A67,'[1]09-07-26'!$A$2:$T$89,20,0)</f>
        <v>P Spray Daisy ( 14 Inch ) 2     FF Sachet + Grass</v>
      </c>
      <c r="P67" s="34" t="str">
        <f>VLOOKUP(A67,'[1]16-07-26'!$A$2:$T$95,20,0)</f>
        <v>P n W Glad ( 14 Inch ) 7     Grass</v>
      </c>
      <c r="Q67" s="34" t="str">
        <f>VLOOKUP(A67,'[1]23-07-26'!$A$2:$T$106,20,0)</f>
        <v>Rajni ( 14 Inch ) 7     Grass</v>
      </c>
      <c r="R67" s="34" t="str">
        <f>VLOOKUP(A67,'[1]30-07-26'!$A$2:$T$107,20,0)</f>
        <v>Mix Alstroemeria ( 12 Inch ) 7     FF Sachet + Grass</v>
      </c>
      <c r="S67" s="34" t="str">
        <f>VLOOKUP(A67,'[2]06-08-26'!$A$2:$T$100,20,0)</f>
        <v>Mix Glad ( 14 Inch ) 7     Grass</v>
      </c>
      <c r="T67" s="34" t="s">
        <v>404</v>
      </c>
      <c r="U67" s="34">
        <v>2</v>
      </c>
      <c r="V67" s="34"/>
      <c r="W67" s="34"/>
      <c r="X67" s="34"/>
      <c r="Y67" s="34"/>
      <c r="Z67" s="34" t="s">
        <v>405</v>
      </c>
      <c r="AA67" s="34"/>
      <c r="AB67" s="34"/>
      <c r="AC67" s="34"/>
      <c r="AD67" s="34"/>
    </row>
    <row r="68" spans="1:30" ht="175.7" hidden="1" customHeight="1" x14ac:dyDescent="0.3">
      <c r="A68" s="1">
        <v>836</v>
      </c>
      <c r="B68" s="14" t="s">
        <v>294</v>
      </c>
      <c r="C68" s="1">
        <v>9818392977</v>
      </c>
      <c r="D68" s="12" t="s">
        <v>295</v>
      </c>
      <c r="E68" s="12" t="s">
        <v>14</v>
      </c>
      <c r="F68" s="12" t="s">
        <v>15</v>
      </c>
      <c r="G68" s="11" t="s">
        <v>296</v>
      </c>
      <c r="H68" s="9">
        <v>4750</v>
      </c>
      <c r="I68" s="9">
        <v>1187.5</v>
      </c>
      <c r="J68" s="10" t="s">
        <v>297</v>
      </c>
      <c r="K68" s="12" t="s">
        <v>298</v>
      </c>
      <c r="L68" s="10" t="s">
        <v>299</v>
      </c>
      <c r="M68" s="10" t="s">
        <v>300</v>
      </c>
      <c r="N68" s="13" t="s">
        <v>282</v>
      </c>
      <c r="O68" s="34" t="e">
        <f>VLOOKUP(A68,'[1]09-07-26'!$A$2:$T$89,20,0)</f>
        <v>#N/A</v>
      </c>
      <c r="P68" s="34" t="str">
        <f>VLOOKUP(A68,'[1]16-07-26'!$A$2:$T$95,20,0)</f>
        <v>P n Y Spray Daisy ( 14 Inch ) 10 G n W Car ( 14 Inch ) 30   3 Areca Palm + 3 Gypsola</v>
      </c>
      <c r="Q68" s="34" t="str">
        <f>VLOOKUP(A68,'[1]23-07-26'!$A$2:$T$106,20,0)</f>
        <v>Pur n P Eustoma ( 12 Inch ) 6 Mix Glad ( 14 Inch ) 30   3 Areca Palm + 3 3 Limonium</v>
      </c>
      <c r="R68" s="34" t="e">
        <f>VLOOKUP(A68,'[1]30-07-26'!$A$2:$T$107,20,0)</f>
        <v>#N/A</v>
      </c>
      <c r="S68" s="34" t="str">
        <f>VLOOKUP(A68,'[2]06-08-26'!$A$2:$T$100,20,0)</f>
        <v>BOP 5 P n W Car ( 14 Inch ) 30   3 Areca palm + 3 Gypsola</v>
      </c>
      <c r="T68" s="34" t="s">
        <v>421</v>
      </c>
      <c r="U68" s="34">
        <v>10</v>
      </c>
      <c r="V68" s="34" t="s">
        <v>427</v>
      </c>
      <c r="W68" s="34">
        <v>30</v>
      </c>
      <c r="X68" s="34"/>
      <c r="Y68" s="34"/>
      <c r="Z68" s="34" t="s">
        <v>428</v>
      </c>
      <c r="AA68" s="34"/>
      <c r="AB68" s="34"/>
      <c r="AC68" s="34"/>
      <c r="AD68" s="34"/>
    </row>
    <row r="69" spans="1:30" ht="113.4" hidden="1" customHeight="1" x14ac:dyDescent="0.3">
      <c r="A69" s="12" t="s">
        <v>301</v>
      </c>
      <c r="B69" s="14" t="s">
        <v>302</v>
      </c>
      <c r="C69" s="9">
        <v>7042419908</v>
      </c>
      <c r="D69" s="10" t="s">
        <v>303</v>
      </c>
      <c r="E69" s="10" t="s">
        <v>38</v>
      </c>
      <c r="F69" s="10" t="s">
        <v>15</v>
      </c>
      <c r="G69" s="20" t="s">
        <v>39</v>
      </c>
      <c r="H69" s="9">
        <v>1450</v>
      </c>
      <c r="I69" s="9">
        <v>362.5</v>
      </c>
      <c r="J69" s="10" t="s">
        <v>25</v>
      </c>
      <c r="K69" s="10" t="s">
        <v>304</v>
      </c>
      <c r="L69" s="9"/>
      <c r="M69" s="9"/>
      <c r="N69" s="13" t="s">
        <v>139</v>
      </c>
      <c r="O69" s="34" t="e">
        <f>VLOOKUP(A69,'[1]09-07-26'!$A$2:$T$89,20,0)</f>
        <v>#N/A</v>
      </c>
      <c r="P69" s="34" t="e">
        <f>VLOOKUP(A69,'[1]16-07-26'!$A$2:$T$95,20,0)</f>
        <v>#N/A</v>
      </c>
      <c r="Q69" s="34" t="e">
        <f>VLOOKUP(A69,'[1]23-07-26'!$A$2:$T$106,20,0)</f>
        <v>#N/A</v>
      </c>
      <c r="R69" s="34" t="e">
        <f>VLOOKUP(A69,'[1]30-07-26'!$A$2:$T$107,20,0)</f>
        <v>#N/A</v>
      </c>
      <c r="S69" s="34" t="e">
        <f>VLOOKUP(A69,'[2]06-08-26'!$A$2:$T$100,20,0)</f>
        <v>#N/A</v>
      </c>
      <c r="T69" s="34" t="s">
        <v>401</v>
      </c>
      <c r="U69" s="34">
        <v>3</v>
      </c>
      <c r="V69" s="34"/>
      <c r="W69" s="34"/>
      <c r="X69" s="34"/>
      <c r="Y69" s="34"/>
      <c r="Z69" s="34" t="s">
        <v>406</v>
      </c>
      <c r="AA69" s="34"/>
      <c r="AB69" s="34"/>
      <c r="AC69" s="34"/>
      <c r="AD69" s="34"/>
    </row>
    <row r="70" spans="1:30" ht="113.4" customHeight="1" x14ac:dyDescent="0.3">
      <c r="A70" s="12" t="s">
        <v>305</v>
      </c>
      <c r="B70" s="14">
        <v>8179303345</v>
      </c>
      <c r="C70" s="14">
        <v>8179303345</v>
      </c>
      <c r="D70" s="10" t="s">
        <v>306</v>
      </c>
      <c r="E70" s="10" t="s">
        <v>306</v>
      </c>
      <c r="F70" s="10" t="s">
        <v>15</v>
      </c>
      <c r="G70" s="10" t="s">
        <v>307</v>
      </c>
      <c r="H70" s="9">
        <v>1040</v>
      </c>
      <c r="I70" s="9">
        <v>1040</v>
      </c>
      <c r="J70" s="10" t="s">
        <v>308</v>
      </c>
      <c r="K70" s="10" t="s">
        <v>309</v>
      </c>
      <c r="L70" s="9"/>
      <c r="M70" s="9"/>
      <c r="N70" s="13" t="s">
        <v>310</v>
      </c>
      <c r="O70" s="34" t="e">
        <f>VLOOKUP(A70,'[1]09-07-26'!$A$2:$T$89,20,0)</f>
        <v>#N/A</v>
      </c>
      <c r="P70" s="34" t="e">
        <f>VLOOKUP(A70,'[1]16-07-26'!$A$2:$T$95,20,0)</f>
        <v>#N/A</v>
      </c>
      <c r="Q70" s="34" t="e">
        <f>VLOOKUP(A70,'[1]23-07-26'!$A$2:$T$106,20,0)</f>
        <v>#N/A</v>
      </c>
      <c r="R70" s="34" t="e">
        <f>VLOOKUP(A70,'[1]30-07-26'!$A$2:$T$107,20,0)</f>
        <v>#N/A</v>
      </c>
      <c r="S70" s="34" t="e">
        <f>VLOOKUP(A70,'[2]06-08-26'!$A$2:$T$100,20,0)</f>
        <v>#N/A</v>
      </c>
      <c r="T70" s="34" t="s">
        <v>407</v>
      </c>
      <c r="U70" s="34" t="s">
        <v>408</v>
      </c>
      <c r="V70" s="34" t="s">
        <v>409</v>
      </c>
      <c r="W70" s="34"/>
      <c r="X70" s="34" t="s">
        <v>478</v>
      </c>
      <c r="Y70" s="34" t="s">
        <v>478</v>
      </c>
      <c r="Z70" s="34"/>
      <c r="AA70" s="34"/>
      <c r="AB70" s="34"/>
      <c r="AC70" s="34"/>
      <c r="AD70" s="34"/>
    </row>
    <row r="71" spans="1:30" ht="113.4" customHeight="1" x14ac:dyDescent="0.3">
      <c r="A71" s="12" t="s">
        <v>311</v>
      </c>
      <c r="B71" s="14">
        <v>9971105361</v>
      </c>
      <c r="C71" s="9">
        <v>9971105361</v>
      </c>
      <c r="D71" s="10" t="s">
        <v>312</v>
      </c>
      <c r="E71" s="10" t="s">
        <v>280</v>
      </c>
      <c r="F71" s="10" t="s">
        <v>74</v>
      </c>
      <c r="G71" s="10" t="s">
        <v>313</v>
      </c>
      <c r="H71" s="9">
        <v>950</v>
      </c>
      <c r="I71" s="9">
        <v>950</v>
      </c>
      <c r="J71" s="12" t="s">
        <v>308</v>
      </c>
      <c r="K71" s="10" t="s">
        <v>314</v>
      </c>
      <c r="L71" s="9"/>
      <c r="M71" s="9"/>
      <c r="N71" s="13" t="s">
        <v>315</v>
      </c>
      <c r="O71" s="34" t="e">
        <f>VLOOKUP(A71,'[1]09-07-26'!$A$2:$T$89,20,0)</f>
        <v>#N/A</v>
      </c>
      <c r="P71" s="34" t="e">
        <f>VLOOKUP(A71,'[1]16-07-26'!$A$2:$T$95,20,0)</f>
        <v>#N/A</v>
      </c>
      <c r="Q71" s="34" t="e">
        <f>VLOOKUP(A71,'[1]23-07-26'!$A$2:$T$106,20,0)</f>
        <v>#N/A</v>
      </c>
      <c r="R71" s="34" t="e">
        <f>VLOOKUP(A71,'[1]30-07-26'!$A$2:$T$107,20,0)</f>
        <v>#N/A</v>
      </c>
      <c r="S71" s="34" t="e">
        <f>VLOOKUP(A71,'[2]06-08-26'!$A$2:$T$100,20,0)</f>
        <v>#N/A</v>
      </c>
      <c r="T71" s="34" t="s">
        <v>314</v>
      </c>
      <c r="U71" s="34">
        <v>21</v>
      </c>
      <c r="V71" s="34"/>
      <c r="W71" s="34"/>
      <c r="X71" s="34"/>
      <c r="Y71" s="34"/>
      <c r="Z71" s="34"/>
      <c r="AA71" s="34"/>
      <c r="AB71" s="34"/>
      <c r="AC71" s="34"/>
      <c r="AD71" s="34"/>
    </row>
    <row r="72" spans="1:30" ht="113.4" hidden="1" customHeight="1" x14ac:dyDescent="0.3">
      <c r="A72" s="1">
        <v>221</v>
      </c>
      <c r="B72" s="14" t="s">
        <v>316</v>
      </c>
      <c r="C72" s="1">
        <v>9810524040</v>
      </c>
      <c r="D72" s="1" t="s">
        <v>317</v>
      </c>
      <c r="E72" s="1" t="s">
        <v>62</v>
      </c>
      <c r="F72" s="12" t="s">
        <v>15</v>
      </c>
      <c r="G72" s="11" t="s">
        <v>24</v>
      </c>
      <c r="H72" s="9">
        <v>2750</v>
      </c>
      <c r="I72" s="9">
        <v>687.5</v>
      </c>
      <c r="J72" s="31" t="s">
        <v>72</v>
      </c>
      <c r="K72" s="12" t="s">
        <v>318</v>
      </c>
      <c r="L72" s="9"/>
      <c r="M72" s="9"/>
      <c r="N72" s="13" t="s">
        <v>319</v>
      </c>
      <c r="O72" s="34" t="str">
        <f>VLOOKUP(A72,'[1]09-07-26'!$A$2:$T$89,20,0)</f>
        <v>R n W Car ( 14 Inch ) 32     2 Limonium + FF Sachet</v>
      </c>
      <c r="P72" s="34" t="str">
        <f>VLOOKUP(A72,'[1]16-07-26'!$A$2:$T$95,20,0)</f>
        <v>P n Y Spray Daisy ( 14 Inch ) 10     2 Gypsola + FF Sachet</v>
      </c>
      <c r="Q72" s="34" t="str">
        <f>VLOOKUP(A72,'[1]23-07-26'!$A$2:$T$106,20,0)</f>
        <v>O Asiatic ( 14 Inch ) 6     2 Limonium</v>
      </c>
      <c r="R72" s="34" t="str">
        <f>VLOOKUP(A72,'[1]30-07-26'!$A$2:$T$107,20,0)</f>
        <v>Mix Alstroemeria ( 12 Inch ) 32     2 Gypsola + FF Sachet</v>
      </c>
      <c r="S72" s="34" t="str">
        <f>VLOOKUP(A72,'[2]06-08-26'!$A$2:$T$100,20,0)</f>
        <v>Mix Glad ( 14 Inch ) 32     2 Limonium</v>
      </c>
      <c r="T72" s="34" t="s">
        <v>399</v>
      </c>
      <c r="U72" s="34">
        <v>32</v>
      </c>
      <c r="V72" s="34"/>
      <c r="W72" s="34"/>
      <c r="X72" s="34"/>
      <c r="Y72" s="34"/>
      <c r="Z72" s="34" t="s">
        <v>422</v>
      </c>
      <c r="AA72" s="34"/>
      <c r="AB72" s="34"/>
      <c r="AC72" s="34"/>
      <c r="AD72" s="34"/>
    </row>
    <row r="73" spans="1:30" ht="113.4" customHeight="1" x14ac:dyDescent="0.3">
      <c r="A73" s="12">
        <v>3071</v>
      </c>
      <c r="B73" s="14" t="s">
        <v>320</v>
      </c>
      <c r="C73" s="9">
        <v>8390310325</v>
      </c>
      <c r="D73" s="10" t="s">
        <v>321</v>
      </c>
      <c r="E73" s="10" t="s">
        <v>14</v>
      </c>
      <c r="F73" s="10" t="s">
        <v>15</v>
      </c>
      <c r="G73" s="11" t="s">
        <v>24</v>
      </c>
      <c r="H73" s="9">
        <v>1450</v>
      </c>
      <c r="I73" s="9">
        <v>362.5</v>
      </c>
      <c r="J73" s="10" t="s">
        <v>25</v>
      </c>
      <c r="K73" s="10" t="s">
        <v>322</v>
      </c>
      <c r="L73" s="9"/>
      <c r="M73" s="9"/>
      <c r="N73" s="13" t="s">
        <v>323</v>
      </c>
      <c r="O73" s="34" t="str">
        <f>VLOOKUP(A73,'[1]09-07-26'!$A$2:$T$89,20,0)</f>
        <v>P Spray Daisy ( 14 Inch ) 3 P n W Car ( 14 Inch ) 7   FF Sachet + Grass</v>
      </c>
      <c r="P73" s="34" t="str">
        <f>VLOOKUP(A73,'[1]16-07-26'!$A$2:$T$95,20,0)</f>
        <v>Sunflower ( 12 Inch ) 2 Mix Alstroemeria ( 12 Inch ) 7   FF Sachet + Grass</v>
      </c>
      <c r="Q73" s="34" t="str">
        <f>VLOOKUP(A73,'[1]23-07-26'!$A$2:$T$106,20,0)</f>
        <v>Pur Eustoma ( 12 Inch ) 2 Mix Glad ( 14 Inch ) 7   FF Sachet + Grass</v>
      </c>
      <c r="R73" s="34" t="str">
        <f>VLOOKUP(A73,'[1]30-07-26'!$A$2:$T$107,20,0)</f>
        <v>W Asiatic ( 14 Inch ) 2 R n W Car ( 14 Inch )  7   Grass</v>
      </c>
      <c r="S73" s="34" t="str">
        <f>VLOOKUP(A73,'[2]06-08-26'!$A$2:$T$100,20,0)</f>
        <v>Y Spray Daisy ( 14 Inch ) 3 Mix Alstroemeria ( 12 Inch ) 7   FF Sachet + Grass</v>
      </c>
      <c r="T73" s="34" t="s">
        <v>404</v>
      </c>
      <c r="U73" s="34">
        <v>2</v>
      </c>
      <c r="V73" s="34" t="s">
        <v>393</v>
      </c>
      <c r="W73" s="34">
        <v>7</v>
      </c>
      <c r="X73" s="34"/>
      <c r="Y73" s="34"/>
      <c r="Z73" s="34" t="s">
        <v>405</v>
      </c>
      <c r="AA73" s="34"/>
      <c r="AB73" s="34"/>
      <c r="AC73" s="34"/>
      <c r="AD73" s="34"/>
    </row>
    <row r="74" spans="1:30" ht="147.25" customHeight="1" x14ac:dyDescent="0.3">
      <c r="A74" s="1">
        <v>2761</v>
      </c>
      <c r="B74" s="14" t="s">
        <v>324</v>
      </c>
      <c r="C74" s="9">
        <v>9560719191</v>
      </c>
      <c r="D74" s="10" t="s">
        <v>325</v>
      </c>
      <c r="E74" s="10" t="s">
        <v>38</v>
      </c>
      <c r="F74" s="12" t="s">
        <v>15</v>
      </c>
      <c r="G74" s="11" t="s">
        <v>153</v>
      </c>
      <c r="H74" s="9">
        <v>1450</v>
      </c>
      <c r="I74" s="9">
        <v>362.5</v>
      </c>
      <c r="J74" s="10" t="s">
        <v>25</v>
      </c>
      <c r="K74" s="10" t="s">
        <v>326</v>
      </c>
      <c r="L74" s="10" t="s">
        <v>130</v>
      </c>
      <c r="M74" s="9"/>
      <c r="N74" s="13" t="s">
        <v>323</v>
      </c>
      <c r="O74" s="34" t="str">
        <f>VLOOKUP(A74,'[1]09-07-26'!$A$2:$T$89,20,0)</f>
        <v>O Asiatic ( ( 14 inch ) 2 Mix Car 7   Grass</v>
      </c>
      <c r="P74" s="34" t="str">
        <f>VLOOKUP(A74,'[1]16-07-26'!$A$2:$T$95,20,0)</f>
        <v>P Spray Daisy ( 14 Inch ) 3 P n W Glad ( 14 Inch ) 7   FF Sachet + Grass</v>
      </c>
      <c r="Q74" s="34" t="str">
        <f>VLOOKUP(A74,'[1]23-07-26'!$A$2:$T$106,20,0)</f>
        <v>Y Spray Daisy ( 14 Inch ) 3 Mix Alstroemeria ( 12 Inch ) 7 Ensure Collection Ensure Collection FF Sachet + Grass</v>
      </c>
      <c r="R74" s="34" t="str">
        <f>VLOOKUP(A74,'[1]30-07-26'!$A$2:$T$107,20,0)</f>
        <v>P Eustoma ( 12 Inch ) 2 R  n W Car ( 14 inch ) 7   FF Sachet + Grass</v>
      </c>
      <c r="S74" s="34" t="str">
        <f>VLOOKUP(A74,'[2]06-08-26'!$A$2:$T$100,20,0)</f>
        <v>W Asiatic ( 14 Inch ) 2 Mix Glad ( 14 Inch ) 7   Grass</v>
      </c>
      <c r="T74" s="34" t="s">
        <v>397</v>
      </c>
      <c r="U74" s="34">
        <v>3</v>
      </c>
      <c r="V74" s="34" t="s">
        <v>403</v>
      </c>
      <c r="W74" s="34">
        <v>7</v>
      </c>
      <c r="X74" s="34"/>
      <c r="Y74" s="34"/>
      <c r="Z74" s="34" t="s">
        <v>405</v>
      </c>
      <c r="AA74" s="34"/>
      <c r="AB74" s="34"/>
      <c r="AC74" s="34"/>
      <c r="AD74" s="34"/>
    </row>
    <row r="75" spans="1:30" ht="113.4" customHeight="1" x14ac:dyDescent="0.3">
      <c r="A75" s="1">
        <v>1982</v>
      </c>
      <c r="B75" s="14" t="s">
        <v>327</v>
      </c>
      <c r="C75" s="32">
        <v>8860046280</v>
      </c>
      <c r="D75" s="10" t="s">
        <v>328</v>
      </c>
      <c r="E75" s="10" t="s">
        <v>14</v>
      </c>
      <c r="F75" s="10" t="s">
        <v>15</v>
      </c>
      <c r="G75" s="11" t="s">
        <v>24</v>
      </c>
      <c r="H75" s="9">
        <v>1450</v>
      </c>
      <c r="I75" s="9">
        <v>362.5</v>
      </c>
      <c r="J75" s="12" t="s">
        <v>25</v>
      </c>
      <c r="K75" s="10" t="s">
        <v>329</v>
      </c>
      <c r="L75" s="10" t="s">
        <v>82</v>
      </c>
      <c r="M75" s="9"/>
      <c r="N75" s="13" t="s">
        <v>323</v>
      </c>
      <c r="O75" s="34" t="e">
        <f>VLOOKUP(A75,'[1]09-07-26'!$A$2:$T$89,20,0)</f>
        <v>#N/A</v>
      </c>
      <c r="P75" s="34" t="str">
        <f>VLOOKUP(A75,'[1]16-07-26'!$A$2:$T$95,20,0)</f>
        <v>G n W Car ( 14 Inch ) 16     FF Sachet + Grass</v>
      </c>
      <c r="Q75" s="34" t="str">
        <f>VLOOKUP(A75,'[1]23-07-26'!$A$2:$T$106,20,0)</f>
        <v>O Asiatic ( 14 Inch ) 3     Grass</v>
      </c>
      <c r="R75" s="34" t="str">
        <f>VLOOKUP(A75,'[1]30-07-26'!$A$2:$T$107,20,0)</f>
        <v>Mix Glad ( 14 Inch ) 16     FF Sachet + Grass</v>
      </c>
      <c r="S75" s="34" t="str">
        <f>VLOOKUP(A75,'[2]06-08-26'!$A$2:$T$100,20,0)</f>
        <v>Pur n W Eustoma ( 12 Inch ) 3     FF Sachet + Grass</v>
      </c>
      <c r="T75" s="34" t="s">
        <v>410</v>
      </c>
      <c r="U75" s="34">
        <v>5</v>
      </c>
      <c r="V75" s="34"/>
      <c r="W75" s="34"/>
      <c r="X75" s="34"/>
      <c r="Y75" s="34"/>
      <c r="Z75" s="34" t="s">
        <v>405</v>
      </c>
      <c r="AA75" s="34"/>
      <c r="AB75" s="34"/>
      <c r="AC75" s="34"/>
      <c r="AD75" s="34"/>
    </row>
    <row r="76" spans="1:30" ht="113.4" customHeight="1" x14ac:dyDescent="0.3">
      <c r="A76" s="1">
        <v>949</v>
      </c>
      <c r="B76" s="14" t="s">
        <v>330</v>
      </c>
      <c r="C76" s="9">
        <v>9891350735</v>
      </c>
      <c r="D76" s="10" t="s">
        <v>331</v>
      </c>
      <c r="E76" s="10" t="s">
        <v>14</v>
      </c>
      <c r="F76" s="10" t="s">
        <v>15</v>
      </c>
      <c r="G76" s="10" t="s">
        <v>16</v>
      </c>
      <c r="H76" s="9">
        <v>1450</v>
      </c>
      <c r="I76" s="9">
        <v>362.5</v>
      </c>
      <c r="J76" s="10" t="s">
        <v>25</v>
      </c>
      <c r="K76" s="12" t="s">
        <v>332</v>
      </c>
      <c r="L76" s="9"/>
      <c r="M76" s="9"/>
      <c r="N76" s="13" t="s">
        <v>323</v>
      </c>
      <c r="O76" s="34" t="str">
        <f>VLOOKUP(A76,'[1]09-07-26'!$A$2:$T$89,20,0)</f>
        <v>Sunflower ( 12 Inch ) 4     FF Sachet + Grass</v>
      </c>
      <c r="P76" s="34" t="str">
        <f>VLOOKUP(A76,'[1]16-07-26'!$A$2:$T$95,20,0)</f>
        <v>O Asiatic ( 14 Inch ) 3     Grass</v>
      </c>
      <c r="Q76" s="34" t="str">
        <f>VLOOKUP(A76,'[1]23-07-26'!$A$2:$T$106,20,0)</f>
        <v>G n W Car ( 14 inch ) 16     FF Sachet + Grass</v>
      </c>
      <c r="R76" s="34" t="str">
        <f>VLOOKUP(A76,'[1]30-07-26'!$A$2:$T$107,20,0)</f>
        <v>P n Y Spray Daisy ( 14 Inch ) 5     FF Sachet + Grass</v>
      </c>
      <c r="S76" s="34" t="str">
        <f>VLOOKUP(A76,'[2]06-08-26'!$A$2:$T$100,20,0)</f>
        <v>Mix Alstroemeria ( 12 Inch ) 16     FF Sachet + Grass</v>
      </c>
      <c r="T76" s="34" t="s">
        <v>393</v>
      </c>
      <c r="U76" s="34">
        <v>16</v>
      </c>
      <c r="V76" s="34"/>
      <c r="W76" s="34"/>
      <c r="X76" s="34"/>
      <c r="Y76" s="34"/>
      <c r="Z76" s="34" t="s">
        <v>406</v>
      </c>
      <c r="AA76" s="34"/>
      <c r="AB76" s="34"/>
      <c r="AC76" s="34"/>
      <c r="AD76" s="34"/>
    </row>
    <row r="77" spans="1:30" ht="113.4" customHeight="1" x14ac:dyDescent="0.3">
      <c r="A77" s="1">
        <v>19</v>
      </c>
      <c r="B77" s="14" t="s">
        <v>333</v>
      </c>
      <c r="C77" s="1">
        <v>9811373448</v>
      </c>
      <c r="D77" s="12" t="s">
        <v>334</v>
      </c>
      <c r="E77" s="1" t="s">
        <v>62</v>
      </c>
      <c r="F77" s="12" t="s">
        <v>15</v>
      </c>
      <c r="G77" s="11" t="s">
        <v>24</v>
      </c>
      <c r="H77" s="9">
        <v>1450</v>
      </c>
      <c r="I77" s="9">
        <v>362.5</v>
      </c>
      <c r="J77" s="12" t="s">
        <v>25</v>
      </c>
      <c r="K77" s="12" t="s">
        <v>335</v>
      </c>
      <c r="L77" s="9"/>
      <c r="M77" s="9"/>
      <c r="N77" s="13" t="s">
        <v>323</v>
      </c>
      <c r="O77" s="34" t="str">
        <f>VLOOKUP(A77,'[1]09-07-26'!$A$2:$T$89,20,0)</f>
        <v>Sunflower ( 12 Inch ) 4     FF Sachet + Grass</v>
      </c>
      <c r="P77" s="34" t="str">
        <f>VLOOKUP(A77,'[1]16-07-26'!$A$2:$T$95,20,0)</f>
        <v>P n W Glad ( 14 Inch ) 16     Grass</v>
      </c>
      <c r="Q77" s="34" t="str">
        <f>VLOOKUP(A77,'[1]23-07-26'!$A$2:$T$106,20,0)</f>
        <v>P n Y Spray Daisy ( 14 Inch ) 5   Ensure Collection Ensure Collection FF Sachet + Grass</v>
      </c>
      <c r="R77" s="34" t="str">
        <f>VLOOKUP(A77,'[1]30-07-26'!$A$2:$T$107,20,0)</f>
        <v>Pink n White  16     FF Sachet + Grass</v>
      </c>
      <c r="S77" s="34" t="str">
        <f>VLOOKUP(A77,'[2]06-08-26'!$A$2:$T$100,20,0)</f>
        <v>Pur n W Eustoma ( 12 Inch ) 3     FF Sachet + Grass</v>
      </c>
      <c r="T77" s="34" t="s">
        <v>401</v>
      </c>
      <c r="U77" s="34">
        <v>3</v>
      </c>
      <c r="V77" s="34"/>
      <c r="W77" s="34"/>
      <c r="X77" s="34"/>
      <c r="Y77" s="34"/>
      <c r="Z77" s="34" t="s">
        <v>406</v>
      </c>
      <c r="AA77" s="34"/>
      <c r="AB77" s="34"/>
      <c r="AC77" s="34"/>
      <c r="AD77" s="34"/>
    </row>
    <row r="78" spans="1:30" ht="113.4" customHeight="1" x14ac:dyDescent="0.3">
      <c r="A78" s="1">
        <v>2024</v>
      </c>
      <c r="B78" s="14" t="s">
        <v>336</v>
      </c>
      <c r="C78" s="9">
        <v>9958565556</v>
      </c>
      <c r="D78" s="10" t="s">
        <v>337</v>
      </c>
      <c r="E78" s="10" t="s">
        <v>14</v>
      </c>
      <c r="F78" s="10" t="s">
        <v>15</v>
      </c>
      <c r="G78" s="11" t="s">
        <v>24</v>
      </c>
      <c r="H78" s="9">
        <v>1950</v>
      </c>
      <c r="I78" s="9">
        <v>487.5</v>
      </c>
      <c r="J78" s="10" t="s">
        <v>17</v>
      </c>
      <c r="K78" s="10" t="s">
        <v>338</v>
      </c>
      <c r="L78" s="10" t="s">
        <v>339</v>
      </c>
      <c r="M78" s="9" t="s">
        <v>340</v>
      </c>
      <c r="N78" s="13" t="s">
        <v>341</v>
      </c>
      <c r="O78" s="34" t="str">
        <f>VLOOKUP(A78,'[1]09-07-26'!$A$2:$T$89,20,0)</f>
        <v>Rajni ( 14 Inch ) 22     Grass</v>
      </c>
      <c r="P78" s="34" t="str">
        <f>VLOOKUP(A78,'[1]16-07-26'!$A$2:$T$95,20,0)</f>
        <v>Mix Alstroemeria ( 12 Inch ) 22     FF Sachet + Grass</v>
      </c>
      <c r="Q78" s="34" t="str">
        <f>VLOOKUP(A78,'[1]23-07-26'!$A$2:$T$106,20,0)</f>
        <v>Mix Glad ( 14 Inch ) 22     Grass</v>
      </c>
      <c r="R78" s="34" t="str">
        <f>VLOOKUP(A78,'[1]30-07-26'!$A$2:$T$107,20,0)</f>
        <v>P n Y Spray Daisy ( 14 Inch ) 7     FF Sachet + Grass</v>
      </c>
      <c r="S78" s="34" t="str">
        <f>VLOOKUP(A78,'[2]06-08-26'!$A$2:$T$100,20,0)</f>
        <v>W Asiatic ( 14 Inch ) 4     Grass</v>
      </c>
      <c r="T78" s="34" t="s">
        <v>394</v>
      </c>
      <c r="U78" s="34">
        <v>22</v>
      </c>
      <c r="V78" s="34"/>
      <c r="W78" s="34"/>
      <c r="X78" s="34"/>
      <c r="Y78" s="34"/>
      <c r="Z78" s="34" t="s">
        <v>405</v>
      </c>
      <c r="AA78" s="34"/>
      <c r="AB78" s="34"/>
      <c r="AC78" s="34"/>
      <c r="AD78" s="34"/>
    </row>
    <row r="79" spans="1:30" ht="113.4" customHeight="1" x14ac:dyDescent="0.3">
      <c r="A79" s="1">
        <v>2481</v>
      </c>
      <c r="B79" s="8" t="s">
        <v>342</v>
      </c>
      <c r="C79" s="9">
        <v>9810110847</v>
      </c>
      <c r="D79" s="10" t="s">
        <v>343</v>
      </c>
      <c r="E79" s="10" t="s">
        <v>23</v>
      </c>
      <c r="F79" s="10" t="s">
        <v>113</v>
      </c>
      <c r="G79" s="11" t="s">
        <v>24</v>
      </c>
      <c r="H79" s="9">
        <v>2300</v>
      </c>
      <c r="I79" s="9">
        <v>287.5</v>
      </c>
      <c r="J79" s="10" t="s">
        <v>197</v>
      </c>
      <c r="K79" s="10" t="s">
        <v>344</v>
      </c>
      <c r="L79" s="9"/>
      <c r="M79" s="9"/>
      <c r="N79" s="13" t="s">
        <v>345</v>
      </c>
      <c r="O79" s="34" t="str">
        <f>VLOOKUP(A79,'[1]09-07-26'!$A$2:$T$89,20,0)</f>
        <v>Rajni ( 14 Inch ) 11     Grass</v>
      </c>
      <c r="P79" s="34" t="str">
        <f>VLOOKUP(A79,'[1]16-07-26'!$A$2:$T$95,20,0)</f>
        <v>O Asiatic ( 14 Inch ) 2     Grass</v>
      </c>
      <c r="Q79" s="34" t="e">
        <f>VLOOKUP(A79,'[1]23-07-26'!$A$2:$T$106,20,0)</f>
        <v>#N/A</v>
      </c>
      <c r="R79" s="34" t="str">
        <f>VLOOKUP(A79,'[1]30-07-26'!$A$2:$T$107,20,0)</f>
        <v>R n W Car ( 14 Inch ) 11     FF Sachet + Grass</v>
      </c>
      <c r="S79" s="34" t="str">
        <f>VLOOKUP(A79,'[2]06-08-26'!$A$2:$T$100,20,0)</f>
        <v>W Asiatic ( 14 Inch ) 2     Grass</v>
      </c>
      <c r="T79" s="34" t="s">
        <v>404</v>
      </c>
      <c r="U79" s="34">
        <v>3</v>
      </c>
      <c r="V79" s="34"/>
      <c r="W79" s="34"/>
      <c r="X79" s="34"/>
      <c r="Y79" s="34"/>
      <c r="Z79" s="34" t="s">
        <v>405</v>
      </c>
      <c r="AA79" s="34"/>
      <c r="AB79" s="34"/>
      <c r="AC79" s="34"/>
      <c r="AD79" s="34"/>
    </row>
    <row r="80" spans="1:30" ht="113.4" customHeight="1" x14ac:dyDescent="0.3">
      <c r="A80" s="1">
        <v>1098</v>
      </c>
      <c r="B80" s="14" t="s">
        <v>346</v>
      </c>
      <c r="C80" s="9">
        <v>9810022182</v>
      </c>
      <c r="D80" s="10" t="s">
        <v>347</v>
      </c>
      <c r="E80" s="10" t="s">
        <v>348</v>
      </c>
      <c r="F80" s="10" t="s">
        <v>15</v>
      </c>
      <c r="G80" s="18" t="s">
        <v>39</v>
      </c>
      <c r="H80" s="9">
        <v>1950</v>
      </c>
      <c r="I80" s="9">
        <v>487.5</v>
      </c>
      <c r="J80" s="10" t="s">
        <v>17</v>
      </c>
      <c r="K80" s="10" t="s">
        <v>349</v>
      </c>
      <c r="L80" s="10" t="s">
        <v>350</v>
      </c>
      <c r="M80" s="9"/>
      <c r="N80" s="13" t="s">
        <v>341</v>
      </c>
      <c r="O80" s="34" t="str">
        <f>VLOOKUP(A80,'[1]09-07-26'!$A$2:$T$89,20,0)</f>
        <v>Mix Alstroemeria ( 12Inch ) 22     FF Sachet + Grass</v>
      </c>
      <c r="P80" s="34" t="str">
        <f>VLOOKUP(A80,'[1]16-07-26'!$A$2:$T$95,20,0)</f>
        <v>G n W Car ( 14 Inch ) 22     FF Sachet + Grass</v>
      </c>
      <c r="Q80" s="34" t="str">
        <f>VLOOKUP(A80,'[1]23-07-26'!$A$2:$T$106,20,0)</f>
        <v>P n Y Spray Daisy ( 14 Inch ) 7     FF Sachet + Grass</v>
      </c>
      <c r="R80" s="34" t="str">
        <f>VLOOKUP(A80,'[1]30-07-26'!$A$2:$T$107,20,0)</f>
        <v>W Asiatic ( 14 Inch ) 4     Grass</v>
      </c>
      <c r="S80" s="34" t="str">
        <f>VLOOKUP(A80,'[2]06-08-26'!$A$2:$T$100,20,0)</f>
        <v>Pur n W Eustoma ( 12 Inch ) 4     FF Sachet + Grass</v>
      </c>
      <c r="T80" s="34" t="s">
        <v>393</v>
      </c>
      <c r="U80" s="34">
        <v>22</v>
      </c>
      <c r="V80" s="34"/>
      <c r="W80" s="34"/>
      <c r="X80" s="34"/>
      <c r="Y80" s="34"/>
      <c r="Z80" s="34" t="s">
        <v>406</v>
      </c>
      <c r="AA80" s="34"/>
      <c r="AB80" s="34"/>
      <c r="AC80" s="34"/>
      <c r="AD80" s="34"/>
    </row>
    <row r="81" spans="1:30" ht="113.4" customHeight="1" x14ac:dyDescent="0.3">
      <c r="A81" s="1">
        <v>2359</v>
      </c>
      <c r="B81" s="14" t="s">
        <v>351</v>
      </c>
      <c r="C81" s="26">
        <v>9711170252</v>
      </c>
      <c r="D81" s="9" t="s">
        <v>352</v>
      </c>
      <c r="E81" s="9" t="s">
        <v>62</v>
      </c>
      <c r="F81" s="9" t="s">
        <v>15</v>
      </c>
      <c r="G81" s="9" t="s">
        <v>24</v>
      </c>
      <c r="H81" s="9">
        <v>1450</v>
      </c>
      <c r="I81" s="9">
        <v>362.5</v>
      </c>
      <c r="J81" s="12" t="s">
        <v>25</v>
      </c>
      <c r="K81" s="10" t="s">
        <v>353</v>
      </c>
      <c r="L81" s="10" t="s">
        <v>354</v>
      </c>
      <c r="M81" s="9"/>
      <c r="N81" s="13" t="s">
        <v>323</v>
      </c>
      <c r="O81" s="34" t="str">
        <f>VLOOKUP(A81,'[1]09-07-26'!$A$2:$T$89,20,0)</f>
        <v>Mix Alstroemeria ( 12Inch ) 9     FF Sachet + Grass</v>
      </c>
      <c r="P81" s="34" t="str">
        <f>VLOOKUP(A81,'[1]16-07-26'!$A$2:$T$95,20,0)</f>
        <v>G n W Car ( 14 Inch ) 16     FF Sachet + Grass</v>
      </c>
      <c r="Q81" s="34" t="str">
        <f>VLOOKUP(A81,'[1]23-07-26'!$A$2:$T$106,20,0)</f>
        <v>Mix Glad ( 14 Inch ) 16     Grass</v>
      </c>
      <c r="R81" s="34" t="str">
        <f>VLOOKUP(A81,'[1]30-07-26'!$A$2:$T$107,20,0)</f>
        <v>P n Y Spray Daisy ( 14 Inch ) 5     FF Sachet + Grass</v>
      </c>
      <c r="S81" s="34" t="str">
        <f>VLOOKUP(A81,'[2]06-08-26'!$A$2:$T$100,20,0)</f>
        <v>O Asiatic ( 14 Inch ) 3     Grass</v>
      </c>
      <c r="T81" s="34" t="s">
        <v>403</v>
      </c>
      <c r="U81" s="34">
        <v>16</v>
      </c>
      <c r="V81" s="34"/>
      <c r="W81" s="34"/>
      <c r="X81" s="34"/>
      <c r="Y81" s="34"/>
      <c r="Z81" s="34" t="s">
        <v>405</v>
      </c>
      <c r="AA81" s="34"/>
      <c r="AB81" s="34"/>
      <c r="AC81" s="34"/>
      <c r="AD81" s="34"/>
    </row>
    <row r="82" spans="1:30" ht="113.4" customHeight="1" x14ac:dyDescent="0.3">
      <c r="A82" s="1">
        <v>849</v>
      </c>
      <c r="B82" s="14" t="s">
        <v>355</v>
      </c>
      <c r="C82" s="1">
        <v>7838500808</v>
      </c>
      <c r="D82" s="12" t="s">
        <v>356</v>
      </c>
      <c r="E82" s="10" t="s">
        <v>23</v>
      </c>
      <c r="F82" s="12" t="s">
        <v>15</v>
      </c>
      <c r="G82" s="10" t="s">
        <v>125</v>
      </c>
      <c r="H82" s="9">
        <v>1450</v>
      </c>
      <c r="I82" s="9">
        <v>362.5</v>
      </c>
      <c r="J82" s="12" t="s">
        <v>25</v>
      </c>
      <c r="K82" s="12" t="s">
        <v>357</v>
      </c>
      <c r="L82" s="10" t="s">
        <v>358</v>
      </c>
      <c r="M82" s="10" t="s">
        <v>359</v>
      </c>
      <c r="N82" s="13" t="s">
        <v>323</v>
      </c>
      <c r="O82" s="34" t="str">
        <f>VLOOKUP(A82,'[1]09-07-26'!$A$2:$T$89,20,0)</f>
        <v>Rajni ( 14 Inch ) 16     Grass</v>
      </c>
      <c r="P82" s="34" t="str">
        <f>VLOOKUP(A82,'[1]16-07-26'!$A$2:$T$95,20,0)</f>
        <v>O Asiatic ( 14 Inch ) 3     Grass</v>
      </c>
      <c r="Q82" s="34" t="str">
        <f>VLOOKUP(A82,'[1]23-07-26'!$A$2:$T$106,20,0)</f>
        <v>Mix Glad ( 14 Inch ) 16     Grass</v>
      </c>
      <c r="R82" s="34" t="str">
        <f>VLOOKUP(A82,'[1]30-07-26'!$A$2:$T$107,20,0)</f>
        <v>P n Y Spray Daisy ( 14 Inch ) 5     FF Sachet + Grass</v>
      </c>
      <c r="S82" s="34" t="str">
        <f>VLOOKUP(A82,'[2]06-08-26'!$A$2:$T$100,20,0)</f>
        <v>R n W Car ( 14 Inch ) 16     FF Sachet + Grass</v>
      </c>
      <c r="T82" s="34" t="s">
        <v>403</v>
      </c>
      <c r="U82" s="34">
        <v>16</v>
      </c>
      <c r="V82" s="34"/>
      <c r="W82" s="34"/>
      <c r="X82" s="34"/>
      <c r="Y82" s="34"/>
      <c r="Z82" s="34" t="s">
        <v>405</v>
      </c>
      <c r="AA82" s="34"/>
      <c r="AB82" s="34"/>
      <c r="AC82" s="34"/>
      <c r="AD82" s="34"/>
    </row>
    <row r="83" spans="1:30" ht="113.4" customHeight="1" x14ac:dyDescent="0.3">
      <c r="A83" s="1">
        <v>3128</v>
      </c>
      <c r="B83" s="14" t="s">
        <v>360</v>
      </c>
      <c r="C83" s="9">
        <v>9873498869</v>
      </c>
      <c r="D83" s="10" t="s">
        <v>361</v>
      </c>
      <c r="E83" s="10" t="s">
        <v>62</v>
      </c>
      <c r="F83" s="10" t="s">
        <v>15</v>
      </c>
      <c r="G83" s="20" t="s">
        <v>153</v>
      </c>
      <c r="H83" s="9">
        <v>1450</v>
      </c>
      <c r="I83" s="9">
        <v>362.5</v>
      </c>
      <c r="J83" s="12" t="s">
        <v>25</v>
      </c>
      <c r="K83" s="10" t="s">
        <v>362</v>
      </c>
      <c r="L83" s="9"/>
      <c r="M83" s="9"/>
      <c r="N83" s="13" t="s">
        <v>323</v>
      </c>
      <c r="O83" s="34" t="str">
        <f>VLOOKUP(A83,'[1]09-07-26'!$A$2:$T$89,20,0)</f>
        <v>P n Y Spray Daisy ( 14 Inch ) 5     FF Sachet + Grass</v>
      </c>
      <c r="P83" s="34" t="str">
        <f>VLOOKUP(A83,'[1]16-07-26'!$A$2:$T$95,20,0)</f>
        <v>Asiatic 3     Grass</v>
      </c>
      <c r="Q83" s="34" t="str">
        <f>VLOOKUP(A83,'[1]23-07-26'!$A$2:$T$106,20,0)</f>
        <v>G n W Car ( 14 inch ) 16     FF Sachet + Grass</v>
      </c>
      <c r="R83" s="34" t="str">
        <f>VLOOKUP(A83,'[1]30-07-26'!$A$2:$T$107,20,0)</f>
        <v>Mix Glad ( 14 Inch ) 16     FF Sachet + Grass</v>
      </c>
      <c r="S83" s="34" t="str">
        <f>VLOOKUP(A83,'[2]06-08-26'!$A$2:$T$100,20,0)</f>
        <v>Pur n W Eustoma ( 12 Inch ) 3     FF Sachet + Grass</v>
      </c>
      <c r="T83" s="34" t="s">
        <v>403</v>
      </c>
      <c r="U83" s="34">
        <v>16</v>
      </c>
      <c r="V83" s="34"/>
      <c r="W83" s="34"/>
      <c r="X83" s="34"/>
      <c r="Y83" s="34"/>
      <c r="Z83" s="34" t="s">
        <v>405</v>
      </c>
      <c r="AA83" s="34"/>
      <c r="AB83" s="34"/>
      <c r="AC83" s="34"/>
      <c r="AD83" s="34"/>
    </row>
    <row r="84" spans="1:30" ht="113.4" customHeight="1" x14ac:dyDescent="0.3">
      <c r="A84" s="1">
        <v>1898</v>
      </c>
      <c r="B84" s="33" t="s">
        <v>363</v>
      </c>
      <c r="C84" s="9">
        <v>8447778677</v>
      </c>
      <c r="D84" s="10" t="s">
        <v>364</v>
      </c>
      <c r="E84" s="10" t="s">
        <v>14</v>
      </c>
      <c r="F84" s="10" t="s">
        <v>365</v>
      </c>
      <c r="G84" s="20" t="s">
        <v>39</v>
      </c>
      <c r="H84" s="10">
        <v>1600</v>
      </c>
      <c r="I84" s="9">
        <v>200</v>
      </c>
      <c r="J84" s="10" t="s">
        <v>34</v>
      </c>
      <c r="K84" s="10" t="s">
        <v>366</v>
      </c>
      <c r="L84" s="9"/>
      <c r="M84" s="9"/>
      <c r="N84" s="13" t="s">
        <v>293</v>
      </c>
      <c r="O84" s="34" t="str">
        <f>VLOOKUP(A84,'[1]09-07-26'!$A$2:$T$89,20,0)</f>
        <v>Sunflower ( 12 Inch ) 2   Collect Payment Collect Payment Grass</v>
      </c>
      <c r="P84" s="34" t="e">
        <f>VLOOKUP(A84,'[1]16-07-26'!$A$2:$T$95,20,0)</f>
        <v>#N/A</v>
      </c>
      <c r="Q84" s="34" t="str">
        <f>VLOOKUP(A84,'[1]23-07-26'!$A$2:$T$106,20,0)</f>
        <v>Rajni ( 14 Inch ) 7 Check with us before sending Check with us before sending Check with us before sending  Grass</v>
      </c>
      <c r="R84" s="34" t="str">
        <f>VLOOKUP(A84,'[1]30-07-26'!$A$2:$T$107,20,0)</f>
        <v>Y Spray Daisy ( 14 Inch ) 2     FF Sachet + Grass</v>
      </c>
      <c r="S84" s="34" t="str">
        <f>VLOOKUP(A84,'[2]06-08-26'!$A$2:$T$100,20,0)</f>
        <v>Rajni ( 14 Inch ) 7     Grass</v>
      </c>
      <c r="T84" s="34" t="s">
        <v>399</v>
      </c>
      <c r="U84" s="34">
        <v>7</v>
      </c>
      <c r="V84" s="34"/>
      <c r="W84" s="34"/>
      <c r="X84" s="34"/>
      <c r="Y84" s="34"/>
      <c r="Z84" s="34" t="s">
        <v>405</v>
      </c>
      <c r="AA84" s="34"/>
      <c r="AB84" s="34"/>
      <c r="AC84" s="34"/>
      <c r="AD84" s="34"/>
    </row>
    <row r="85" spans="1:30" ht="142.94999999999999" hidden="1" customHeight="1" x14ac:dyDescent="0.3">
      <c r="A85" s="1">
        <v>3270</v>
      </c>
      <c r="B85" s="14" t="s">
        <v>367</v>
      </c>
      <c r="C85" s="9">
        <v>7022251818</v>
      </c>
      <c r="D85" s="10" t="s">
        <v>368</v>
      </c>
      <c r="E85" s="10" t="s">
        <v>38</v>
      </c>
      <c r="F85" s="10" t="s">
        <v>15</v>
      </c>
      <c r="G85" s="20" t="s">
        <v>39</v>
      </c>
      <c r="H85" s="9">
        <v>1450</v>
      </c>
      <c r="I85" s="9">
        <v>362.5</v>
      </c>
      <c r="J85" s="10" t="s">
        <v>25</v>
      </c>
      <c r="K85" s="10" t="s">
        <v>369</v>
      </c>
      <c r="L85" s="10" t="s">
        <v>370</v>
      </c>
      <c r="M85" s="10" t="s">
        <v>371</v>
      </c>
      <c r="N85" s="13" t="s">
        <v>282</v>
      </c>
      <c r="O85" s="34" t="str">
        <f>VLOOKUP(A85,'[1]09-07-26'!$A$2:$T$89,20,0)</f>
        <v>P Asiatic ( 14 Inch ) 2 P n W Car ( 14 Inch ) 11   Grass</v>
      </c>
      <c r="P85" s="34" t="str">
        <f>VLOOKUP(A85,'[1]16-07-26'!$A$2:$T$95,20,0)</f>
        <v>Asiatic  2 Mix Car ( 12 Inch ) 11   FF Sachet + Grass</v>
      </c>
      <c r="Q85" s="34" t="str">
        <f>VLOOKUP(A85,'[1]23-07-26'!$A$2:$T$106,20,0)</f>
        <v>P Eustoma ( 12 Inch ) 2 Mix Glad ( 14 Inch ) 11 NO Yellow n Purple Color  FF Sachet + Grass</v>
      </c>
      <c r="R85" s="34" t="str">
        <f>VLOOKUP(A85,'[1]30-07-26'!$A$2:$T$107,20,0)</f>
        <v>P n W Spray Daisy ( 14 Inch ) 4 R n W Car ( 14 Inch )  11   FF Sachet + Grass</v>
      </c>
      <c r="S85" s="34" t="str">
        <f>VLOOKUP(A85,'[2]06-08-26'!$A$2:$T$100,20,0)</f>
        <v>W Asiatic ( 14 Inch ) 2 Mix Glad ( 14 Inch ) 11   Grass</v>
      </c>
      <c r="T85" s="34" t="s">
        <v>416</v>
      </c>
      <c r="U85" s="34">
        <v>2</v>
      </c>
      <c r="V85" s="34" t="s">
        <v>399</v>
      </c>
      <c r="W85" s="34">
        <v>7</v>
      </c>
      <c r="X85" s="34"/>
      <c r="Y85" s="34"/>
      <c r="Z85" s="34" t="s">
        <v>405</v>
      </c>
      <c r="AA85" s="34"/>
      <c r="AB85" s="34"/>
      <c r="AC85" s="34"/>
      <c r="AD85" s="34"/>
    </row>
    <row r="86" spans="1:30" ht="113.4" customHeight="1" x14ac:dyDescent="0.3">
      <c r="A86" s="1">
        <v>3410</v>
      </c>
      <c r="B86" s="14" t="s">
        <v>372</v>
      </c>
      <c r="C86" s="9">
        <v>9870128711</v>
      </c>
      <c r="D86" s="10" t="s">
        <v>373</v>
      </c>
      <c r="E86" s="10" t="s">
        <v>374</v>
      </c>
      <c r="F86" s="10" t="s">
        <v>15</v>
      </c>
      <c r="G86" s="20" t="s">
        <v>153</v>
      </c>
      <c r="H86" s="9">
        <v>1450</v>
      </c>
      <c r="I86" s="9">
        <v>362.5</v>
      </c>
      <c r="J86" s="10" t="s">
        <v>25</v>
      </c>
      <c r="K86" s="9"/>
      <c r="L86" s="9"/>
      <c r="M86" s="9"/>
      <c r="N86" s="13" t="s">
        <v>323</v>
      </c>
      <c r="O86" s="34" t="e">
        <f>VLOOKUP(A86,'[1]09-07-26'!$A$2:$T$89,20,0)</f>
        <v>#N/A</v>
      </c>
      <c r="P86" s="34" t="str">
        <f>VLOOKUP(A86,'[1]16-07-26'!$A$2:$T$95,20,0)</f>
        <v>G n W Car ( 14 Inch ) 16     FF Sachet + Grass</v>
      </c>
      <c r="Q86" s="34" t="str">
        <f>VLOOKUP(A86,'[1]23-07-26'!$A$2:$T$106,20,0)</f>
        <v>Y Asiatic ( 14 inch ) 3     Grass</v>
      </c>
      <c r="R86" s="34" t="str">
        <f>VLOOKUP(A86,'[1]30-07-26'!$A$2:$T$107,20,0)</f>
        <v>Mix Glad ( 14 Inch ) 16     FF Sachet + Grass</v>
      </c>
      <c r="S86" s="34" t="str">
        <f>VLOOKUP(A86,'[2]06-08-26'!$A$2:$T$100,20,0)</f>
        <v>P n Y Spray Daisy ( 14 inch ) 5     FF Sachet + Grass</v>
      </c>
      <c r="T86" s="34" t="s">
        <v>403</v>
      </c>
      <c r="U86" s="34">
        <v>16</v>
      </c>
      <c r="V86" s="34"/>
      <c r="W86" s="34"/>
      <c r="X86" s="34" t="s">
        <v>478</v>
      </c>
      <c r="Y86" s="34" t="s">
        <v>478</v>
      </c>
      <c r="Z86" s="34" t="s">
        <v>405</v>
      </c>
      <c r="AA86" s="34"/>
      <c r="AB86" s="34"/>
      <c r="AC86" s="34"/>
      <c r="AD86" s="34"/>
    </row>
  </sheetData>
  <autoFilter ref="A1:AD86" xr:uid="{B068050A-B328-436A-A6A8-AB9D6AC80592}">
    <filterColumn colId="13">
      <filters>
        <filter val="1  del of this cycle   -  1-cycles pmnt   Pending - Collect 1040"/>
        <filter val="1  del of this cycle   -  1-cycles pmnt   Pending - Collect 1450"/>
        <filter val="1  del of this cycle   -  1-cycles pmnt   Pending - Collect 1600"/>
        <filter val="1  del of this cycle   -  1-cycles pmnt   Pending - Collect 1950"/>
        <filter val="1  del of this cycle   -  1-cycles pmnt   Pending - Collect 2300"/>
        <filter val="1  del of this cycle   -  1-cycles pmnt   Pending - Collect 950"/>
        <filter val="2  del of this cycle   -  1-cycles pmnt   Pending - Collect 1450"/>
        <filter val="2  del of this cycle   -  1-cycles pmnt   Pending - Collect 1600"/>
        <filter val="2  del of this cycle   -  1-cycles pmnt   Pending - Collect 1950"/>
        <filter val="2  del of this cycle   -  1-cycles pmnt   Pending - Collect 1980"/>
        <filter val="2  del of this cycle   -  1-cycles pmnt   Pending - Collect 2750"/>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2F284-A459-4845-A51B-85D60A28F8E7}">
  <dimension ref="A1:R58"/>
  <sheetViews>
    <sheetView workbookViewId="0">
      <pane xSplit="1" ySplit="1" topLeftCell="B18" activePane="bottomRight" state="frozen"/>
      <selection pane="topRight" activeCell="B1" sqref="B1"/>
      <selection pane="bottomLeft" activeCell="A2" sqref="A2"/>
      <selection pane="bottomRight" activeCell="H26" sqref="H26"/>
    </sheetView>
  </sheetViews>
  <sheetFormatPr defaultRowHeight="14" x14ac:dyDescent="0.3"/>
  <sheetData>
    <row r="1" spans="1:18" ht="41.95" x14ac:dyDescent="0.3">
      <c r="A1" s="36"/>
      <c r="B1" s="36" t="s">
        <v>429</v>
      </c>
      <c r="C1" s="37" t="s">
        <v>430</v>
      </c>
      <c r="D1" s="37" t="s">
        <v>431</v>
      </c>
      <c r="E1" s="37" t="s">
        <v>130</v>
      </c>
      <c r="F1" s="37" t="s">
        <v>432</v>
      </c>
      <c r="G1" s="37" t="s">
        <v>433</v>
      </c>
      <c r="H1" s="37" t="s">
        <v>244</v>
      </c>
      <c r="I1" s="37" t="s">
        <v>434</v>
      </c>
      <c r="J1" s="37" t="s">
        <v>435</v>
      </c>
      <c r="K1" s="37" t="s">
        <v>436</v>
      </c>
      <c r="L1" s="38" t="s">
        <v>437</v>
      </c>
      <c r="M1" s="38" t="s">
        <v>438</v>
      </c>
      <c r="N1" s="38" t="s">
        <v>439</v>
      </c>
      <c r="O1" s="39"/>
      <c r="P1" s="40" t="s">
        <v>440</v>
      </c>
      <c r="Q1" s="40" t="s">
        <v>441</v>
      </c>
      <c r="R1" s="39"/>
    </row>
    <row r="2" spans="1:18" x14ac:dyDescent="0.3">
      <c r="A2" s="41">
        <v>1450</v>
      </c>
      <c r="B2" s="42"/>
      <c r="C2" s="42">
        <v>10</v>
      </c>
      <c r="D2" s="42">
        <v>10.5</v>
      </c>
      <c r="E2" s="42">
        <v>1</v>
      </c>
      <c r="F2" s="42"/>
      <c r="G2" s="42">
        <v>2</v>
      </c>
      <c r="H2" s="42"/>
      <c r="I2" s="42">
        <v>4.5</v>
      </c>
      <c r="J2" s="43"/>
      <c r="K2" s="43">
        <v>14.5</v>
      </c>
      <c r="L2" s="42"/>
      <c r="M2" s="42"/>
      <c r="N2" s="42">
        <v>4.5</v>
      </c>
      <c r="O2" s="44">
        <f t="shared" ref="O2:O6" si="0">SUM(B2:N2)</f>
        <v>47</v>
      </c>
      <c r="P2" s="44">
        <f>(O2*A2)/4</f>
        <v>17037.5</v>
      </c>
      <c r="Q2" s="44"/>
      <c r="R2" s="44"/>
    </row>
    <row r="3" spans="1:18" x14ac:dyDescent="0.3">
      <c r="A3" s="41">
        <v>1950</v>
      </c>
      <c r="B3" s="42"/>
      <c r="C3" s="42"/>
      <c r="D3" s="42">
        <v>1</v>
      </c>
      <c r="E3" s="42"/>
      <c r="F3" s="42"/>
      <c r="G3" s="42">
        <v>2</v>
      </c>
      <c r="H3" s="42"/>
      <c r="I3" s="42">
        <v>1.5</v>
      </c>
      <c r="J3" s="42"/>
      <c r="K3" s="42">
        <v>2</v>
      </c>
      <c r="L3" s="42"/>
      <c r="M3" s="42"/>
      <c r="N3" s="42">
        <v>2.5</v>
      </c>
      <c r="O3" s="44">
        <f t="shared" si="0"/>
        <v>9</v>
      </c>
      <c r="P3" s="44">
        <f>(O3*A3)/4</f>
        <v>4387.5</v>
      </c>
      <c r="Q3" s="44"/>
      <c r="R3" s="44"/>
    </row>
    <row r="4" spans="1:18" x14ac:dyDescent="0.3">
      <c r="A4" s="41">
        <v>2750</v>
      </c>
      <c r="B4" s="42"/>
      <c r="C4" s="42">
        <v>0.5</v>
      </c>
      <c r="D4" s="42"/>
      <c r="E4" s="42"/>
      <c r="F4" s="42"/>
      <c r="G4" s="42">
        <v>0.5</v>
      </c>
      <c r="H4" s="42"/>
      <c r="I4" s="45">
        <v>5.5</v>
      </c>
      <c r="J4" s="45"/>
      <c r="K4" s="45">
        <v>1</v>
      </c>
      <c r="L4" s="45"/>
      <c r="M4" s="42">
        <v>1</v>
      </c>
      <c r="N4" s="42">
        <v>0.5</v>
      </c>
      <c r="O4" s="44">
        <f t="shared" si="0"/>
        <v>9</v>
      </c>
      <c r="P4" s="44">
        <f>(O4*A4)/4</f>
        <v>6187.5</v>
      </c>
      <c r="Q4" s="44"/>
      <c r="R4" s="44"/>
    </row>
    <row r="5" spans="1:18" x14ac:dyDescent="0.3">
      <c r="A5" s="41">
        <v>4750</v>
      </c>
      <c r="B5" s="42"/>
      <c r="C5" s="42">
        <v>0.5</v>
      </c>
      <c r="D5" s="42"/>
      <c r="E5" s="42"/>
      <c r="F5" s="42"/>
      <c r="G5" s="42"/>
      <c r="H5" s="42"/>
      <c r="I5" s="42">
        <v>0.5</v>
      </c>
      <c r="J5" s="42"/>
      <c r="K5" s="42"/>
      <c r="L5" s="42"/>
      <c r="M5" s="42"/>
      <c r="N5" s="42"/>
      <c r="O5" s="44">
        <f t="shared" si="0"/>
        <v>1</v>
      </c>
      <c r="P5" s="44">
        <f>(O5*A5)/4</f>
        <v>1187.5</v>
      </c>
      <c r="Q5" s="44"/>
      <c r="R5" s="44"/>
    </row>
    <row r="6" spans="1:18" x14ac:dyDescent="0.3">
      <c r="A6" s="36" t="s">
        <v>442</v>
      </c>
      <c r="B6" s="46">
        <f t="shared" ref="B6:N6" si="1">SUM(B2:B5)</f>
        <v>0</v>
      </c>
      <c r="C6" s="46">
        <f t="shared" si="1"/>
        <v>11</v>
      </c>
      <c r="D6" s="46">
        <f t="shared" si="1"/>
        <v>11.5</v>
      </c>
      <c r="E6" s="46">
        <f t="shared" si="1"/>
        <v>1</v>
      </c>
      <c r="F6" s="46">
        <f t="shared" si="1"/>
        <v>0</v>
      </c>
      <c r="G6" s="46">
        <f t="shared" si="1"/>
        <v>4.5</v>
      </c>
      <c r="H6" s="46">
        <f t="shared" si="1"/>
        <v>0</v>
      </c>
      <c r="I6" s="46">
        <f t="shared" si="1"/>
        <v>12</v>
      </c>
      <c r="J6" s="46">
        <f t="shared" si="1"/>
        <v>0</v>
      </c>
      <c r="K6" s="46">
        <f t="shared" si="1"/>
        <v>17.5</v>
      </c>
      <c r="L6" s="46">
        <f t="shared" si="1"/>
        <v>0</v>
      </c>
      <c r="M6" s="46">
        <f t="shared" si="1"/>
        <v>1</v>
      </c>
      <c r="N6" s="46">
        <f t="shared" si="1"/>
        <v>7.5</v>
      </c>
      <c r="O6" s="44">
        <f t="shared" si="0"/>
        <v>66</v>
      </c>
      <c r="P6" s="47">
        <f>SUM(P2:P5)</f>
        <v>28800</v>
      </c>
      <c r="Q6" s="47">
        <f>P6</f>
        <v>28800</v>
      </c>
      <c r="R6" s="44"/>
    </row>
    <row r="7" spans="1:18" ht="27.95" x14ac:dyDescent="0.3">
      <c r="A7" s="41" t="s">
        <v>443</v>
      </c>
      <c r="B7" s="42">
        <v>22</v>
      </c>
      <c r="C7" s="42">
        <v>10</v>
      </c>
      <c r="D7" s="42">
        <v>10</v>
      </c>
      <c r="E7" s="42">
        <v>5</v>
      </c>
      <c r="F7" s="42">
        <v>10</v>
      </c>
      <c r="G7" s="42">
        <v>20</v>
      </c>
      <c r="H7" s="42">
        <v>20</v>
      </c>
      <c r="I7" s="42">
        <v>20</v>
      </c>
      <c r="J7" s="42">
        <v>10</v>
      </c>
      <c r="K7" s="42">
        <v>10</v>
      </c>
      <c r="L7" s="42">
        <v>10</v>
      </c>
      <c r="M7" s="42">
        <v>1</v>
      </c>
      <c r="N7" s="42">
        <v>10</v>
      </c>
      <c r="O7" s="44"/>
      <c r="P7" s="44"/>
      <c r="Q7" s="44"/>
      <c r="R7" s="44"/>
    </row>
    <row r="8" spans="1:18" ht="27.95" x14ac:dyDescent="0.3">
      <c r="A8" s="36" t="s">
        <v>444</v>
      </c>
      <c r="B8" s="38">
        <v>100</v>
      </c>
      <c r="C8" s="38">
        <v>350</v>
      </c>
      <c r="D8" s="38">
        <v>120</v>
      </c>
      <c r="E8" s="38">
        <v>130</v>
      </c>
      <c r="F8" s="38">
        <v>125</v>
      </c>
      <c r="G8" s="38">
        <v>300</v>
      </c>
      <c r="H8" s="38">
        <v>300</v>
      </c>
      <c r="I8" s="38">
        <v>150</v>
      </c>
      <c r="J8" s="38">
        <v>400</v>
      </c>
      <c r="K8" s="38">
        <v>650</v>
      </c>
      <c r="L8" s="38">
        <v>1150</v>
      </c>
      <c r="M8" s="38">
        <v>90</v>
      </c>
      <c r="N8" s="38">
        <v>550</v>
      </c>
      <c r="O8" s="44"/>
      <c r="P8" s="44"/>
      <c r="Q8" s="44"/>
      <c r="R8" s="44"/>
    </row>
    <row r="9" spans="1:18" x14ac:dyDescent="0.3">
      <c r="A9" s="41">
        <v>1450</v>
      </c>
      <c r="B9" s="42">
        <f>B2*16</f>
        <v>0</v>
      </c>
      <c r="C9" s="42">
        <f>C2*6</f>
        <v>60</v>
      </c>
      <c r="D9" s="42">
        <f>D2*16</f>
        <v>168</v>
      </c>
      <c r="E9" s="42">
        <f>E2*4</f>
        <v>4</v>
      </c>
      <c r="F9" s="43">
        <f>F2*16</f>
        <v>0</v>
      </c>
      <c r="G9" s="43">
        <f>G2*16</f>
        <v>32</v>
      </c>
      <c r="H9" s="43">
        <f>H2*16</f>
        <v>0</v>
      </c>
      <c r="I9" s="43">
        <f>I2*16</f>
        <v>72</v>
      </c>
      <c r="J9" s="43">
        <f>J2*6</f>
        <v>0</v>
      </c>
      <c r="K9" s="42">
        <f>K2*3.5</f>
        <v>50.75</v>
      </c>
      <c r="L9" s="42">
        <f>L2*2</f>
        <v>0</v>
      </c>
      <c r="M9" s="42">
        <f>M2*4</f>
        <v>0</v>
      </c>
      <c r="N9" s="42">
        <f>N2*3.5</f>
        <v>15.75</v>
      </c>
      <c r="O9" s="44">
        <f t="shared" ref="O9:O19" si="2">B9*($B$8/$B$7)+C9*($C$8/$C$7)+D9*($D$8/$D$7)+E9*($E$8/$E$7)+F9*($F$8/$F$7)+G9*($G$8/$G$7)+H9*($H$8/$H$7)+I9*($I$8/$I$7)+J9*($J$8/$J$7)+K9*($K$8/$K$7)+L9*($L$8/$L$7)+M9*($M$8/$M$7)+N9*($N$8/$N$7)</f>
        <v>9405</v>
      </c>
      <c r="P9" s="44">
        <f>O2*(A2/4)</f>
        <v>17037.5</v>
      </c>
      <c r="Q9" s="44"/>
      <c r="R9" s="44">
        <f>P9-O9</f>
        <v>7632.5</v>
      </c>
    </row>
    <row r="10" spans="1:18" x14ac:dyDescent="0.3">
      <c r="A10" s="41">
        <v>1950</v>
      </c>
      <c r="B10" s="42">
        <f>B3*22</f>
        <v>0</v>
      </c>
      <c r="C10" s="42">
        <f>C3*8</f>
        <v>0</v>
      </c>
      <c r="D10" s="42">
        <f>D3*22</f>
        <v>22</v>
      </c>
      <c r="E10" s="42">
        <f>E3*6</f>
        <v>0</v>
      </c>
      <c r="F10" s="43">
        <f>F3*22</f>
        <v>0</v>
      </c>
      <c r="G10" s="43">
        <f>G3*22</f>
        <v>44</v>
      </c>
      <c r="H10" s="43">
        <f>H3*22</f>
        <v>0</v>
      </c>
      <c r="I10" s="43">
        <f>I3*22</f>
        <v>33</v>
      </c>
      <c r="J10" s="43">
        <f>J3*8</f>
        <v>0</v>
      </c>
      <c r="K10" s="42">
        <f>K3*4</f>
        <v>8</v>
      </c>
      <c r="L10" s="42">
        <f>L3*3</f>
        <v>0</v>
      </c>
      <c r="M10" s="42">
        <f>M3*5</f>
        <v>0</v>
      </c>
      <c r="N10" s="42">
        <f>N3*4.5</f>
        <v>11.25</v>
      </c>
      <c r="O10" s="44">
        <f t="shared" si="2"/>
        <v>2310.25</v>
      </c>
      <c r="P10" s="44">
        <f>O3*(A3/4)</f>
        <v>4387.5</v>
      </c>
      <c r="Q10" s="44"/>
      <c r="R10" s="44">
        <f>P10-O10</f>
        <v>2077.25</v>
      </c>
    </row>
    <row r="11" spans="1:18" x14ac:dyDescent="0.3">
      <c r="A11" s="41">
        <v>2750</v>
      </c>
      <c r="B11" s="42">
        <f>B4*32</f>
        <v>0</v>
      </c>
      <c r="C11" s="42">
        <f>C4*10</f>
        <v>5</v>
      </c>
      <c r="D11" s="42">
        <f>D4*32</f>
        <v>0</v>
      </c>
      <c r="E11" s="42">
        <f>E4*8</f>
        <v>0</v>
      </c>
      <c r="F11" s="42">
        <f>F4*32</f>
        <v>0</v>
      </c>
      <c r="G11" s="42">
        <f>G4*32</f>
        <v>16</v>
      </c>
      <c r="H11" s="42">
        <f>H4*32</f>
        <v>0</v>
      </c>
      <c r="I11" s="43">
        <f>I4*32</f>
        <v>176</v>
      </c>
      <c r="J11" s="48">
        <f>J4*10</f>
        <v>0</v>
      </c>
      <c r="K11" s="42">
        <f>K4*7</f>
        <v>7</v>
      </c>
      <c r="L11" s="42">
        <f>L4*4</f>
        <v>0</v>
      </c>
      <c r="M11" s="42">
        <f>M4*7</f>
        <v>7</v>
      </c>
      <c r="N11" s="42">
        <f>N4*6.5</f>
        <v>3.25</v>
      </c>
      <c r="O11" s="44">
        <f t="shared" si="2"/>
        <v>2998.75</v>
      </c>
      <c r="P11" s="44">
        <f>O4*(A4/4)</f>
        <v>6187.5</v>
      </c>
      <c r="Q11" s="44"/>
      <c r="R11" s="44">
        <f>P11-O11</f>
        <v>3188.75</v>
      </c>
    </row>
    <row r="12" spans="1:18" x14ac:dyDescent="0.3">
      <c r="A12" s="41">
        <v>4750</v>
      </c>
      <c r="B12" s="42">
        <f>B5*60</f>
        <v>0</v>
      </c>
      <c r="C12" s="42">
        <f>C5*20</f>
        <v>10</v>
      </c>
      <c r="D12" s="42">
        <f>D5*60</f>
        <v>0</v>
      </c>
      <c r="E12" s="42">
        <f>E5*14</f>
        <v>0</v>
      </c>
      <c r="F12" s="43">
        <f>F5*60</f>
        <v>0</v>
      </c>
      <c r="G12" s="43">
        <f>G5*60</f>
        <v>0</v>
      </c>
      <c r="H12" s="43">
        <f>H5*60</f>
        <v>0</v>
      </c>
      <c r="I12" s="43">
        <f>I5*60</f>
        <v>30</v>
      </c>
      <c r="J12" s="43">
        <f>J5*22</f>
        <v>0</v>
      </c>
      <c r="K12" s="42">
        <f>K5*12</f>
        <v>0</v>
      </c>
      <c r="L12" s="42">
        <f>L5*8</f>
        <v>0</v>
      </c>
      <c r="M12" s="42">
        <f>M5*12</f>
        <v>0</v>
      </c>
      <c r="N12" s="42">
        <f>N5*12</f>
        <v>0</v>
      </c>
      <c r="O12" s="44">
        <f t="shared" si="2"/>
        <v>575</v>
      </c>
      <c r="P12" s="44">
        <f>O5*(A5/4)</f>
        <v>1187.5</v>
      </c>
      <c r="Q12" s="44"/>
      <c r="R12" s="44">
        <f>P12-O12</f>
        <v>612.5</v>
      </c>
    </row>
    <row r="13" spans="1:18" x14ac:dyDescent="0.3">
      <c r="A13" s="49" t="s">
        <v>308</v>
      </c>
      <c r="B13" s="50"/>
      <c r="C13" s="50"/>
      <c r="D13" s="50"/>
      <c r="E13" s="50"/>
      <c r="F13" s="50">
        <v>7</v>
      </c>
      <c r="G13" s="50"/>
      <c r="H13" s="50">
        <v>21</v>
      </c>
      <c r="I13" s="50">
        <v>10</v>
      </c>
      <c r="J13" s="50"/>
      <c r="K13" s="50"/>
      <c r="L13" s="50"/>
      <c r="M13" s="50"/>
      <c r="N13" s="42"/>
      <c r="O13" s="44">
        <f t="shared" si="2"/>
        <v>477.5</v>
      </c>
      <c r="P13" s="44"/>
      <c r="Q13" s="44">
        <v>2000</v>
      </c>
      <c r="R13" s="44">
        <f>SUM(R9:R12)</f>
        <v>13511</v>
      </c>
    </row>
    <row r="14" spans="1:18" ht="27.95" x14ac:dyDescent="0.3">
      <c r="A14" s="51" t="s">
        <v>445</v>
      </c>
      <c r="B14" s="50">
        <v>7</v>
      </c>
      <c r="C14" s="50">
        <v>8</v>
      </c>
      <c r="D14" s="50">
        <v>10</v>
      </c>
      <c r="E14" s="50">
        <v>5</v>
      </c>
      <c r="F14" s="50"/>
      <c r="G14" s="50">
        <v>18</v>
      </c>
      <c r="H14" s="50"/>
      <c r="I14" s="50">
        <v>37</v>
      </c>
      <c r="J14" s="50"/>
      <c r="K14" s="50">
        <v>5</v>
      </c>
      <c r="L14" s="50"/>
      <c r="M14" s="50"/>
      <c r="N14" s="50"/>
      <c r="O14" s="44">
        <f t="shared" si="2"/>
        <v>1434.3181818181818</v>
      </c>
      <c r="P14" s="44"/>
      <c r="Q14" s="44">
        <v>3500</v>
      </c>
      <c r="R14" s="44"/>
    </row>
    <row r="15" spans="1:18" ht="15.6" x14ac:dyDescent="0.3">
      <c r="A15" s="52" t="s">
        <v>446</v>
      </c>
      <c r="B15" s="53"/>
      <c r="C15" s="53"/>
      <c r="D15" s="53"/>
      <c r="E15" s="53"/>
      <c r="F15" s="53"/>
      <c r="G15" s="53"/>
      <c r="H15" s="53"/>
      <c r="I15" s="53"/>
      <c r="J15" s="53"/>
      <c r="K15" s="53"/>
      <c r="L15" s="53"/>
      <c r="M15" s="53"/>
      <c r="N15" s="53"/>
      <c r="O15" s="44">
        <f t="shared" si="2"/>
        <v>0</v>
      </c>
      <c r="P15" s="44"/>
      <c r="Q15" s="54"/>
      <c r="R15" s="44"/>
    </row>
    <row r="16" spans="1:18" ht="15.6" x14ac:dyDescent="0.3">
      <c r="A16" s="52" t="s">
        <v>446</v>
      </c>
      <c r="B16" s="53"/>
      <c r="C16" s="53"/>
      <c r="D16" s="53"/>
      <c r="E16" s="53"/>
      <c r="F16" s="53"/>
      <c r="G16" s="53"/>
      <c r="H16" s="53"/>
      <c r="I16" s="53"/>
      <c r="J16" s="53"/>
      <c r="K16" s="53"/>
      <c r="L16" s="53"/>
      <c r="M16" s="53"/>
      <c r="N16" s="53"/>
      <c r="O16" s="44">
        <f t="shared" si="2"/>
        <v>0</v>
      </c>
      <c r="P16" s="44"/>
      <c r="Q16" s="54"/>
      <c r="R16" s="44"/>
    </row>
    <row r="17" spans="1:18" ht="46.75" x14ac:dyDescent="0.3">
      <c r="A17" s="55" t="s">
        <v>447</v>
      </c>
      <c r="B17" s="53"/>
      <c r="C17" s="53"/>
      <c r="D17" s="53"/>
      <c r="E17" s="53"/>
      <c r="F17" s="53"/>
      <c r="G17" s="53"/>
      <c r="H17" s="53"/>
      <c r="I17" s="53">
        <v>24</v>
      </c>
      <c r="J17" s="53"/>
      <c r="K17" s="53">
        <v>17</v>
      </c>
      <c r="L17" s="53"/>
      <c r="M17" s="53"/>
      <c r="N17" s="53"/>
      <c r="O17" s="44">
        <f t="shared" si="2"/>
        <v>1285</v>
      </c>
      <c r="P17" s="44"/>
      <c r="Q17" s="54">
        <v>2600</v>
      </c>
      <c r="R17" s="44"/>
    </row>
    <row r="18" spans="1:18" ht="27.95" x14ac:dyDescent="0.3">
      <c r="A18" s="56" t="s">
        <v>448</v>
      </c>
      <c r="B18" s="57">
        <v>20</v>
      </c>
      <c r="C18" s="57">
        <v>10</v>
      </c>
      <c r="D18" s="57"/>
      <c r="E18" s="57">
        <v>20</v>
      </c>
      <c r="F18" s="57"/>
      <c r="G18" s="57"/>
      <c r="H18" s="57">
        <v>80</v>
      </c>
      <c r="I18" s="57">
        <v>120</v>
      </c>
      <c r="J18" s="57">
        <v>10</v>
      </c>
      <c r="K18" s="57">
        <v>10</v>
      </c>
      <c r="L18" s="57">
        <v>20</v>
      </c>
      <c r="M18" s="57">
        <v>5</v>
      </c>
      <c r="N18" s="57">
        <v>10</v>
      </c>
      <c r="O18" s="44">
        <f t="shared" si="2"/>
        <v>7410.909090909091</v>
      </c>
      <c r="P18" s="44"/>
      <c r="Q18" s="44">
        <v>20000</v>
      </c>
      <c r="R18" s="44"/>
    </row>
    <row r="19" spans="1:18" x14ac:dyDescent="0.3">
      <c r="A19" s="58" t="s">
        <v>446</v>
      </c>
      <c r="B19" s="57"/>
      <c r="C19" s="57"/>
      <c r="D19" s="57"/>
      <c r="E19" s="57"/>
      <c r="F19" s="57"/>
      <c r="G19" s="57"/>
      <c r="H19" s="57"/>
      <c r="I19" s="57"/>
      <c r="J19" s="57"/>
      <c r="K19" s="57"/>
      <c r="L19" s="57"/>
      <c r="M19" s="57"/>
      <c r="N19" s="57"/>
      <c r="O19" s="44">
        <f t="shared" si="2"/>
        <v>0</v>
      </c>
      <c r="P19" s="44"/>
      <c r="Q19" s="44"/>
      <c r="R19" s="44"/>
    </row>
    <row r="20" spans="1:18" x14ac:dyDescent="0.3">
      <c r="A20" s="41" t="s">
        <v>442</v>
      </c>
      <c r="B20" s="42">
        <f t="shared" ref="B20:N20" si="3">SUM(B9:B19)</f>
        <v>27</v>
      </c>
      <c r="C20" s="42">
        <f t="shared" si="3"/>
        <v>93</v>
      </c>
      <c r="D20" s="42">
        <f t="shared" si="3"/>
        <v>200</v>
      </c>
      <c r="E20" s="42">
        <f t="shared" si="3"/>
        <v>29</v>
      </c>
      <c r="F20" s="42">
        <f t="shared" si="3"/>
        <v>7</v>
      </c>
      <c r="G20" s="42">
        <f t="shared" si="3"/>
        <v>110</v>
      </c>
      <c r="H20" s="42">
        <f t="shared" si="3"/>
        <v>101</v>
      </c>
      <c r="I20" s="42">
        <f t="shared" si="3"/>
        <v>502</v>
      </c>
      <c r="J20" s="42">
        <f t="shared" si="3"/>
        <v>10</v>
      </c>
      <c r="K20" s="42">
        <f t="shared" si="3"/>
        <v>97.75</v>
      </c>
      <c r="L20" s="42">
        <f t="shared" si="3"/>
        <v>20</v>
      </c>
      <c r="M20" s="42">
        <f t="shared" si="3"/>
        <v>12</v>
      </c>
      <c r="N20" s="42">
        <f t="shared" si="3"/>
        <v>40.25</v>
      </c>
      <c r="O20" s="44"/>
      <c r="P20" s="44"/>
      <c r="Q20" s="44"/>
      <c r="R20" s="44"/>
    </row>
    <row r="21" spans="1:18" ht="27.95" x14ac:dyDescent="0.3">
      <c r="A21" s="41" t="s">
        <v>449</v>
      </c>
      <c r="B21" s="42"/>
      <c r="C21" s="42"/>
      <c r="D21" s="42"/>
      <c r="E21" s="42"/>
      <c r="F21" s="42"/>
      <c r="G21" s="42"/>
      <c r="H21" s="42"/>
      <c r="I21" s="42"/>
      <c r="J21" s="42"/>
      <c r="K21" s="42"/>
      <c r="L21" s="42"/>
      <c r="M21" s="42"/>
      <c r="N21" s="42"/>
      <c r="O21" s="44">
        <f>B21*($B$8/$B$7)+C21*($C$8/$C$7)+D21*($D$8/$D$7)+E21*($E$8/$E$7)+F21*($F$8/$F$7)+G21*($G$8/$G$7)+H21*($H$8/$H$7)+I21*($I$8/$I$7)+J21*($J$8/$J$7)+K21*($K$8/$K$7)+L21*($L$8/$L$7)+M21*($M$8/$M$7)+N21*($N$8/$N$7)</f>
        <v>0</v>
      </c>
      <c r="P21" s="44"/>
      <c r="Q21" s="44"/>
      <c r="R21" s="44"/>
    </row>
    <row r="22" spans="1:18" x14ac:dyDescent="0.3">
      <c r="A22" s="36" t="s">
        <v>450</v>
      </c>
      <c r="B22" s="59">
        <f t="shared" ref="B22:N22" si="4">B20-B21</f>
        <v>27</v>
      </c>
      <c r="C22" s="59">
        <f t="shared" si="4"/>
        <v>93</v>
      </c>
      <c r="D22" s="59">
        <f t="shared" si="4"/>
        <v>200</v>
      </c>
      <c r="E22" s="59">
        <f t="shared" si="4"/>
        <v>29</v>
      </c>
      <c r="F22" s="59">
        <f t="shared" si="4"/>
        <v>7</v>
      </c>
      <c r="G22" s="59">
        <f t="shared" si="4"/>
        <v>110</v>
      </c>
      <c r="H22" s="59">
        <f t="shared" si="4"/>
        <v>101</v>
      </c>
      <c r="I22" s="59">
        <f t="shared" si="4"/>
        <v>502</v>
      </c>
      <c r="J22" s="59">
        <f t="shared" si="4"/>
        <v>10</v>
      </c>
      <c r="K22" s="59">
        <f t="shared" si="4"/>
        <v>97.75</v>
      </c>
      <c r="L22" s="59">
        <f t="shared" si="4"/>
        <v>20</v>
      </c>
      <c r="M22" s="59">
        <f>M20-M21</f>
        <v>12</v>
      </c>
      <c r="N22" s="59">
        <f t="shared" si="4"/>
        <v>40.25</v>
      </c>
      <c r="O22" s="39"/>
      <c r="P22" s="39"/>
      <c r="Q22" s="39"/>
      <c r="R22" s="39"/>
    </row>
    <row r="23" spans="1:18" x14ac:dyDescent="0.3">
      <c r="A23" s="41" t="s">
        <v>451</v>
      </c>
      <c r="B23" s="60">
        <v>0.1</v>
      </c>
      <c r="C23" s="60">
        <v>0.1</v>
      </c>
      <c r="D23" s="60">
        <v>0.1</v>
      </c>
      <c r="E23" s="60">
        <v>0.1</v>
      </c>
      <c r="F23" s="60">
        <v>0.15</v>
      </c>
      <c r="G23" s="60">
        <v>0.1</v>
      </c>
      <c r="H23" s="60">
        <v>0.1</v>
      </c>
      <c r="I23" s="60">
        <v>0.1</v>
      </c>
      <c r="J23" s="60">
        <v>0.15</v>
      </c>
      <c r="K23" s="60">
        <v>0.1</v>
      </c>
      <c r="L23" s="60">
        <v>0.05</v>
      </c>
      <c r="M23" s="60">
        <v>0.1</v>
      </c>
      <c r="N23" s="60">
        <v>0.1</v>
      </c>
      <c r="O23" s="39"/>
      <c r="P23" s="39"/>
      <c r="Q23" s="39"/>
      <c r="R23" s="39"/>
    </row>
    <row r="24" spans="1:18" ht="41.95" x14ac:dyDescent="0.3">
      <c r="A24" s="41" t="s">
        <v>452</v>
      </c>
      <c r="B24" s="61">
        <f t="shared" ref="B24:N24" si="5">B22+(B22*10%)</f>
        <v>29.7</v>
      </c>
      <c r="C24" s="61">
        <f t="shared" si="5"/>
        <v>102.3</v>
      </c>
      <c r="D24" s="61">
        <f t="shared" si="5"/>
        <v>220</v>
      </c>
      <c r="E24" s="61">
        <f>E22+(E22*15%)</f>
        <v>33.35</v>
      </c>
      <c r="F24" s="61">
        <f t="shared" si="5"/>
        <v>7.7</v>
      </c>
      <c r="G24" s="61">
        <f t="shared" si="5"/>
        <v>121</v>
      </c>
      <c r="H24" s="61">
        <f t="shared" si="5"/>
        <v>111.1</v>
      </c>
      <c r="I24" s="61">
        <f t="shared" si="5"/>
        <v>552.20000000000005</v>
      </c>
      <c r="J24" s="61">
        <f>J22+(J22*10%)</f>
        <v>11</v>
      </c>
      <c r="K24" s="61">
        <f t="shared" si="5"/>
        <v>107.52500000000001</v>
      </c>
      <c r="L24" s="61">
        <f t="shared" si="5"/>
        <v>22</v>
      </c>
      <c r="M24" s="61">
        <f t="shared" si="5"/>
        <v>13.2</v>
      </c>
      <c r="N24" s="61">
        <f t="shared" si="5"/>
        <v>44.274999999999999</v>
      </c>
      <c r="O24" s="39"/>
      <c r="P24" s="39"/>
      <c r="Q24" s="39"/>
      <c r="R24" s="39"/>
    </row>
    <row r="25" spans="1:18" ht="27.95" x14ac:dyDescent="0.3">
      <c r="A25" s="41" t="s">
        <v>453</v>
      </c>
      <c r="B25" s="62">
        <f t="shared" ref="B25:N25" si="6">B24/B7</f>
        <v>1.3499999999999999</v>
      </c>
      <c r="C25" s="62">
        <f t="shared" si="6"/>
        <v>10.23</v>
      </c>
      <c r="D25" s="62">
        <f t="shared" si="6"/>
        <v>22</v>
      </c>
      <c r="E25" s="62">
        <f t="shared" si="6"/>
        <v>6.67</v>
      </c>
      <c r="F25" s="62">
        <f t="shared" si="6"/>
        <v>0.77</v>
      </c>
      <c r="G25" s="62">
        <f t="shared" si="6"/>
        <v>6.05</v>
      </c>
      <c r="H25" s="62">
        <f t="shared" si="6"/>
        <v>5.5549999999999997</v>
      </c>
      <c r="I25" s="62">
        <f t="shared" si="6"/>
        <v>27.610000000000003</v>
      </c>
      <c r="J25" s="62">
        <f t="shared" si="6"/>
        <v>1.1000000000000001</v>
      </c>
      <c r="K25" s="62">
        <f t="shared" si="6"/>
        <v>10.752500000000001</v>
      </c>
      <c r="L25" s="62">
        <f t="shared" si="6"/>
        <v>2.2000000000000002</v>
      </c>
      <c r="M25" s="62">
        <f t="shared" si="6"/>
        <v>13.2</v>
      </c>
      <c r="N25" s="62">
        <f t="shared" si="6"/>
        <v>4.4275000000000002</v>
      </c>
      <c r="O25" s="39"/>
      <c r="P25" s="39"/>
      <c r="Q25" s="39"/>
      <c r="R25" s="39"/>
    </row>
    <row r="26" spans="1:18" x14ac:dyDescent="0.3">
      <c r="A26" s="36" t="s">
        <v>454</v>
      </c>
      <c r="B26" s="38">
        <v>2</v>
      </c>
      <c r="C26" s="38">
        <v>11</v>
      </c>
      <c r="D26" s="38">
        <v>23</v>
      </c>
      <c r="E26" s="38">
        <v>6</v>
      </c>
      <c r="F26" s="38">
        <v>3</v>
      </c>
      <c r="G26" s="38">
        <v>6</v>
      </c>
      <c r="H26" s="38">
        <v>6</v>
      </c>
      <c r="I26" s="38">
        <v>29</v>
      </c>
      <c r="J26" s="38">
        <v>2</v>
      </c>
      <c r="K26" s="38">
        <v>11</v>
      </c>
      <c r="L26" s="38">
        <v>3</v>
      </c>
      <c r="M26" s="38">
        <v>15</v>
      </c>
      <c r="N26" s="38">
        <v>5</v>
      </c>
      <c r="O26" s="39"/>
      <c r="P26" s="39"/>
      <c r="Q26" s="39"/>
      <c r="R26" s="39"/>
    </row>
    <row r="27" spans="1:18" x14ac:dyDescent="0.3">
      <c r="A27" s="63"/>
      <c r="B27" s="64"/>
      <c r="C27" s="64"/>
      <c r="D27" s="64"/>
      <c r="E27" s="64"/>
      <c r="F27" s="64"/>
      <c r="G27" s="64"/>
      <c r="H27" s="64">
        <v>2</v>
      </c>
      <c r="I27" s="64">
        <v>6</v>
      </c>
      <c r="J27" s="64"/>
      <c r="K27" s="64"/>
      <c r="L27" s="64"/>
      <c r="M27" s="42"/>
      <c r="N27" s="38"/>
      <c r="O27" s="39"/>
      <c r="P27" s="39"/>
      <c r="Q27" s="39"/>
      <c r="R27" s="39"/>
    </row>
    <row r="28" spans="1:18" x14ac:dyDescent="0.3">
      <c r="A28" s="65"/>
      <c r="B28" s="66"/>
      <c r="C28" s="66">
        <v>3</v>
      </c>
      <c r="D28" s="66"/>
      <c r="E28" s="66"/>
      <c r="F28" s="66"/>
      <c r="G28" s="66">
        <v>4</v>
      </c>
      <c r="H28" s="66">
        <v>2</v>
      </c>
      <c r="I28" s="66">
        <v>8</v>
      </c>
      <c r="J28" s="66"/>
      <c r="K28" s="66"/>
      <c r="L28" s="66">
        <v>2</v>
      </c>
      <c r="M28" s="42"/>
      <c r="N28" s="42"/>
      <c r="O28" s="39"/>
      <c r="P28" s="39"/>
      <c r="Q28" s="39"/>
      <c r="R28" s="39"/>
    </row>
    <row r="29" spans="1:18" x14ac:dyDescent="0.3">
      <c r="A29" s="36"/>
      <c r="B29" s="42">
        <v>2</v>
      </c>
      <c r="C29" s="67">
        <v>1</v>
      </c>
      <c r="D29" s="42"/>
      <c r="E29" s="42"/>
      <c r="F29" s="42"/>
      <c r="G29" s="42"/>
      <c r="H29" s="42">
        <v>1</v>
      </c>
      <c r="I29" s="42">
        <v>11</v>
      </c>
      <c r="J29" s="42"/>
      <c r="K29" s="42">
        <v>4</v>
      </c>
      <c r="L29" s="42">
        <v>1</v>
      </c>
      <c r="M29" s="42"/>
      <c r="N29" s="42">
        <v>2</v>
      </c>
      <c r="O29" s="39"/>
      <c r="P29" s="39"/>
      <c r="Q29" s="39"/>
      <c r="R29" s="39"/>
    </row>
    <row r="30" spans="1:18" x14ac:dyDescent="0.3">
      <c r="A30" s="58"/>
      <c r="B30" s="68"/>
      <c r="C30" s="68">
        <v>4</v>
      </c>
      <c r="D30" s="68"/>
      <c r="E30" s="68"/>
      <c r="F30" s="68"/>
      <c r="G30" s="68">
        <v>3</v>
      </c>
      <c r="H30" s="68"/>
      <c r="I30" s="68">
        <v>1</v>
      </c>
      <c r="J30" s="68"/>
      <c r="K30" s="68">
        <v>6</v>
      </c>
      <c r="L30" s="68"/>
      <c r="M30" s="42"/>
      <c r="N30" s="42"/>
      <c r="O30" s="39"/>
      <c r="P30" s="39"/>
      <c r="Q30" s="39"/>
      <c r="R30" s="39"/>
    </row>
    <row r="31" spans="1:18" x14ac:dyDescent="0.3">
      <c r="A31" s="69"/>
      <c r="B31" s="70"/>
      <c r="C31" s="70"/>
      <c r="D31" s="70"/>
      <c r="E31" s="70"/>
      <c r="F31" s="70"/>
      <c r="G31" s="70"/>
      <c r="H31" s="70">
        <v>1</v>
      </c>
      <c r="I31" s="70"/>
      <c r="J31" s="70"/>
      <c r="K31" s="70">
        <v>2</v>
      </c>
      <c r="L31" s="70"/>
      <c r="M31" s="42"/>
      <c r="N31" s="42"/>
      <c r="O31" s="39"/>
      <c r="P31" s="39"/>
      <c r="Q31" s="39"/>
      <c r="R31" s="39"/>
    </row>
    <row r="32" spans="1:18" x14ac:dyDescent="0.3">
      <c r="A32" s="71"/>
      <c r="B32" s="72"/>
      <c r="C32" s="72"/>
      <c r="D32" s="72"/>
      <c r="E32" s="72"/>
      <c r="F32" s="72"/>
      <c r="G32" s="72"/>
      <c r="H32" s="72"/>
      <c r="I32" s="72">
        <v>2</v>
      </c>
      <c r="J32" s="72"/>
      <c r="K32" s="72"/>
      <c r="L32" s="72"/>
      <c r="M32" s="42"/>
      <c r="N32" s="42"/>
      <c r="O32" s="39"/>
      <c r="P32" s="39"/>
      <c r="Q32" s="39"/>
      <c r="R32" s="39"/>
    </row>
    <row r="33" spans="1:18" x14ac:dyDescent="0.3">
      <c r="A33" s="73"/>
      <c r="B33" s="74"/>
      <c r="C33" s="74">
        <v>2</v>
      </c>
      <c r="D33" s="74"/>
      <c r="E33" s="74"/>
      <c r="F33" s="74"/>
      <c r="G33" s="74"/>
      <c r="H33" s="74"/>
      <c r="I33" s="74">
        <v>1</v>
      </c>
      <c r="J33" s="74">
        <v>2</v>
      </c>
      <c r="K33" s="74"/>
      <c r="L33" s="74"/>
      <c r="M33" s="42"/>
      <c r="N33" s="42">
        <v>3</v>
      </c>
      <c r="O33" s="39"/>
      <c r="P33" s="39"/>
      <c r="Q33" s="39"/>
      <c r="R33" s="39"/>
    </row>
    <row r="34" spans="1:18" x14ac:dyDescent="0.3">
      <c r="A34" s="36"/>
      <c r="B34" s="42"/>
      <c r="C34" s="42"/>
      <c r="D34" s="42"/>
      <c r="E34" s="42"/>
      <c r="F34" s="42"/>
      <c r="G34" s="42"/>
      <c r="H34" s="42"/>
      <c r="I34" s="42"/>
      <c r="J34" s="42"/>
      <c r="K34" s="42"/>
      <c r="L34" s="38"/>
      <c r="M34" s="38"/>
      <c r="N34" s="42"/>
      <c r="O34" s="39"/>
      <c r="P34" s="39"/>
      <c r="Q34" s="39"/>
      <c r="R34" s="39"/>
    </row>
    <row r="35" spans="1:18" ht="15.6" x14ac:dyDescent="0.3">
      <c r="A35" s="75"/>
      <c r="B35" s="76"/>
      <c r="C35" s="76"/>
      <c r="D35" s="76"/>
      <c r="E35" s="76"/>
      <c r="F35" s="76"/>
      <c r="G35" s="76"/>
      <c r="H35" s="76"/>
      <c r="I35" s="76"/>
      <c r="J35" s="76"/>
      <c r="K35" s="76"/>
      <c r="L35" s="76"/>
      <c r="M35" s="76"/>
      <c r="N35" s="76"/>
      <c r="O35" s="39"/>
      <c r="P35" s="39"/>
      <c r="Q35" s="39"/>
      <c r="R35" s="39"/>
    </row>
    <row r="36" spans="1:18" x14ac:dyDescent="0.3">
      <c r="A36" s="38" t="s">
        <v>455</v>
      </c>
      <c r="B36" s="45">
        <f t="shared" ref="B36:N36" si="7">B26*B8</f>
        <v>200</v>
      </c>
      <c r="C36" s="45">
        <f t="shared" si="7"/>
        <v>3850</v>
      </c>
      <c r="D36" s="45">
        <f t="shared" si="7"/>
        <v>2760</v>
      </c>
      <c r="E36" s="45">
        <f t="shared" si="7"/>
        <v>780</v>
      </c>
      <c r="F36" s="45">
        <f t="shared" si="7"/>
        <v>375</v>
      </c>
      <c r="G36" s="45">
        <f t="shared" si="7"/>
        <v>1800</v>
      </c>
      <c r="H36" s="45">
        <f t="shared" si="7"/>
        <v>1800</v>
      </c>
      <c r="I36" s="45">
        <f t="shared" si="7"/>
        <v>4350</v>
      </c>
      <c r="J36" s="45">
        <f t="shared" si="7"/>
        <v>800</v>
      </c>
      <c r="K36" s="45">
        <f t="shared" si="7"/>
        <v>7150</v>
      </c>
      <c r="L36" s="45">
        <f t="shared" si="7"/>
        <v>3450</v>
      </c>
      <c r="M36" s="45">
        <f t="shared" si="7"/>
        <v>1350</v>
      </c>
      <c r="N36" s="45">
        <f t="shared" si="7"/>
        <v>2750</v>
      </c>
      <c r="O36" s="39">
        <f>B36+C36+D36+E36+F36+G36+H36+I36+J36+K36+L36+M36+N36+Q58+ 2000</f>
        <v>38925</v>
      </c>
      <c r="P36" s="77"/>
      <c r="Q36" s="44">
        <f>SUM(Q6:Q21)</f>
        <v>56900</v>
      </c>
      <c r="R36" s="39"/>
    </row>
    <row r="37" spans="1:18" x14ac:dyDescent="0.3">
      <c r="A37" s="39"/>
      <c r="B37" s="39"/>
      <c r="C37" s="39"/>
      <c r="D37" s="39"/>
      <c r="E37" s="39"/>
      <c r="F37" s="39"/>
      <c r="G37" s="39"/>
      <c r="H37" s="39"/>
      <c r="I37" s="39"/>
      <c r="J37" s="39"/>
      <c r="K37" s="39"/>
      <c r="L37" s="39"/>
      <c r="M37" s="39"/>
      <c r="N37" s="39"/>
      <c r="O37" s="39"/>
      <c r="P37" s="78" t="s">
        <v>456</v>
      </c>
      <c r="Q37" s="78" t="s">
        <v>457</v>
      </c>
      <c r="R37" s="39"/>
    </row>
    <row r="38" spans="1:18" x14ac:dyDescent="0.3">
      <c r="A38" s="39"/>
      <c r="B38" s="39"/>
      <c r="C38" s="39"/>
      <c r="D38" s="39"/>
      <c r="E38" s="39"/>
      <c r="F38" s="39"/>
      <c r="G38" s="39"/>
      <c r="H38" s="39"/>
      <c r="I38" s="39"/>
      <c r="J38" s="39"/>
      <c r="K38" s="39"/>
      <c r="L38" s="39"/>
      <c r="M38" s="39"/>
      <c r="N38" s="39" t="s">
        <v>458</v>
      </c>
      <c r="O38" s="39">
        <f t="shared" ref="O38:O57" si="8">Q38*P38</f>
        <v>1000</v>
      </c>
      <c r="P38" s="39">
        <v>5</v>
      </c>
      <c r="Q38" s="39">
        <v>200</v>
      </c>
      <c r="R38" s="39"/>
    </row>
    <row r="39" spans="1:18" x14ac:dyDescent="0.3">
      <c r="A39" s="39"/>
      <c r="B39" s="39"/>
      <c r="C39" s="39"/>
      <c r="D39" s="39"/>
      <c r="E39" s="39"/>
      <c r="F39" s="39"/>
      <c r="G39" s="39"/>
      <c r="H39" s="39"/>
      <c r="I39" s="39"/>
      <c r="J39" s="39"/>
      <c r="K39" s="39"/>
      <c r="L39" s="39"/>
      <c r="M39" s="39"/>
      <c r="N39" s="39" t="s">
        <v>459</v>
      </c>
      <c r="O39" s="39">
        <f t="shared" si="8"/>
        <v>300</v>
      </c>
      <c r="P39" s="39">
        <v>3</v>
      </c>
      <c r="Q39" s="39">
        <v>100</v>
      </c>
      <c r="R39" s="39"/>
    </row>
    <row r="40" spans="1:18" x14ac:dyDescent="0.3">
      <c r="A40" s="39"/>
      <c r="B40" s="39"/>
      <c r="C40" s="39"/>
      <c r="D40" s="39"/>
      <c r="E40" s="39"/>
      <c r="F40" s="39"/>
      <c r="G40" s="39"/>
      <c r="H40" s="39"/>
      <c r="I40" s="39"/>
      <c r="J40" s="39"/>
      <c r="K40" s="39"/>
      <c r="L40" s="39"/>
      <c r="M40" s="39"/>
      <c r="N40" s="39" t="s">
        <v>460</v>
      </c>
      <c r="O40" s="39">
        <f t="shared" si="8"/>
        <v>0</v>
      </c>
      <c r="P40" s="39">
        <v>0</v>
      </c>
      <c r="Q40" s="39">
        <v>100</v>
      </c>
      <c r="R40" s="39"/>
    </row>
    <row r="41" spans="1:18" x14ac:dyDescent="0.3">
      <c r="A41" s="39"/>
      <c r="B41" s="39"/>
      <c r="C41" s="39"/>
      <c r="D41" s="39"/>
      <c r="E41" s="39"/>
      <c r="F41" s="39"/>
      <c r="G41" s="39"/>
      <c r="H41" s="39"/>
      <c r="I41" s="39"/>
      <c r="J41" s="39"/>
      <c r="K41" s="39"/>
      <c r="L41" s="39"/>
      <c r="M41" s="39"/>
      <c r="N41" s="39" t="s">
        <v>461</v>
      </c>
      <c r="O41" s="39">
        <f t="shared" si="8"/>
        <v>2000</v>
      </c>
      <c r="P41" s="39">
        <v>100</v>
      </c>
      <c r="Q41" s="39">
        <v>20</v>
      </c>
      <c r="R41" s="39"/>
    </row>
    <row r="42" spans="1:18" ht="27.95" x14ac:dyDescent="0.3">
      <c r="A42" s="39"/>
      <c r="B42" s="39"/>
      <c r="C42" s="39"/>
      <c r="D42" s="39"/>
      <c r="E42" s="39"/>
      <c r="F42" s="79"/>
      <c r="G42" s="39"/>
      <c r="H42" s="39"/>
      <c r="I42" s="39"/>
      <c r="J42" s="39"/>
      <c r="K42" s="39"/>
      <c r="L42" s="39"/>
      <c r="M42" s="39"/>
      <c r="N42" s="39" t="s">
        <v>462</v>
      </c>
      <c r="O42" s="39">
        <f t="shared" si="8"/>
        <v>320</v>
      </c>
      <c r="P42" s="39">
        <v>4</v>
      </c>
      <c r="Q42" s="39">
        <v>80</v>
      </c>
      <c r="R42" s="39"/>
    </row>
    <row r="43" spans="1:18" x14ac:dyDescent="0.3">
      <c r="A43" s="39"/>
      <c r="B43" s="39"/>
      <c r="C43" s="39"/>
      <c r="D43" s="39"/>
      <c r="E43" s="39"/>
      <c r="F43" s="39"/>
      <c r="G43" s="39"/>
      <c r="H43" s="39"/>
      <c r="I43" s="39"/>
      <c r="J43" s="39"/>
      <c r="K43" s="39"/>
      <c r="L43" s="39"/>
      <c r="M43" s="39"/>
      <c r="N43" s="39" t="s">
        <v>463</v>
      </c>
      <c r="O43" s="39">
        <f t="shared" si="8"/>
        <v>0</v>
      </c>
      <c r="P43" s="39">
        <v>0</v>
      </c>
      <c r="Q43" s="39">
        <v>300</v>
      </c>
      <c r="R43" s="39"/>
    </row>
    <row r="44" spans="1:18" ht="27.95" x14ac:dyDescent="0.3">
      <c r="A44" s="39"/>
      <c r="B44" s="39"/>
      <c r="C44" s="39"/>
      <c r="D44" s="39"/>
      <c r="E44" s="39"/>
      <c r="F44" s="39"/>
      <c r="G44" s="39"/>
      <c r="H44" s="39"/>
      <c r="I44" s="39"/>
      <c r="J44" s="39"/>
      <c r="K44" s="39"/>
      <c r="L44" s="39"/>
      <c r="M44" s="39"/>
      <c r="N44" s="39" t="s">
        <v>464</v>
      </c>
      <c r="O44" s="39">
        <f t="shared" si="8"/>
        <v>0</v>
      </c>
      <c r="P44" s="39">
        <v>0</v>
      </c>
      <c r="Q44" s="39">
        <v>250</v>
      </c>
      <c r="R44" s="39"/>
    </row>
    <row r="45" spans="1:18" x14ac:dyDescent="0.3">
      <c r="A45" s="39"/>
      <c r="B45" s="39"/>
      <c r="C45" s="39"/>
      <c r="D45" s="39"/>
      <c r="E45" s="39"/>
      <c r="F45" s="39"/>
      <c r="G45" s="39"/>
      <c r="H45" s="39"/>
      <c r="I45" s="39"/>
      <c r="J45" s="39"/>
      <c r="K45" s="39"/>
      <c r="L45" s="39"/>
      <c r="M45" s="39"/>
      <c r="N45" s="39" t="s">
        <v>465</v>
      </c>
      <c r="O45" s="39">
        <f t="shared" si="8"/>
        <v>300</v>
      </c>
      <c r="P45" s="39">
        <v>3</v>
      </c>
      <c r="Q45" s="39">
        <v>100</v>
      </c>
      <c r="R45" s="39"/>
    </row>
    <row r="46" spans="1:18" ht="27.95" x14ac:dyDescent="0.3">
      <c r="A46" s="39"/>
      <c r="B46" s="39"/>
      <c r="C46" s="39"/>
      <c r="D46" s="39"/>
      <c r="E46" s="39"/>
      <c r="F46" s="39"/>
      <c r="G46" s="39"/>
      <c r="H46" s="39"/>
      <c r="I46" s="39"/>
      <c r="J46" s="39"/>
      <c r="K46" s="39"/>
      <c r="L46" s="39"/>
      <c r="M46" s="39"/>
      <c r="N46" s="39" t="s">
        <v>466</v>
      </c>
      <c r="O46" s="39">
        <f t="shared" si="8"/>
        <v>600</v>
      </c>
      <c r="P46" s="39">
        <v>2</v>
      </c>
      <c r="Q46" s="39">
        <v>300</v>
      </c>
      <c r="R46" s="39"/>
    </row>
    <row r="47" spans="1:18" x14ac:dyDescent="0.3">
      <c r="A47" s="39"/>
      <c r="B47" s="39"/>
      <c r="C47" s="39"/>
      <c r="D47" s="39"/>
      <c r="E47" s="39"/>
      <c r="F47" s="39"/>
      <c r="G47" s="39"/>
      <c r="H47" s="39"/>
      <c r="I47" s="39"/>
      <c r="J47" s="39"/>
      <c r="K47" s="39"/>
      <c r="L47" s="39"/>
      <c r="M47" s="39"/>
      <c r="N47" s="39" t="s">
        <v>467</v>
      </c>
      <c r="O47" s="39">
        <f t="shared" si="8"/>
        <v>0</v>
      </c>
      <c r="P47" s="39">
        <v>0</v>
      </c>
      <c r="Q47" s="39">
        <v>700</v>
      </c>
      <c r="R47" s="39"/>
    </row>
    <row r="48" spans="1:18" x14ac:dyDescent="0.3">
      <c r="A48" s="39"/>
      <c r="B48" s="39"/>
      <c r="C48" s="39"/>
      <c r="D48" s="39"/>
      <c r="E48" s="39"/>
      <c r="F48" s="39"/>
      <c r="G48" s="39"/>
      <c r="H48" s="39"/>
      <c r="I48" s="39"/>
      <c r="J48" s="39"/>
      <c r="K48" s="39"/>
      <c r="L48" s="39"/>
      <c r="M48" s="39"/>
      <c r="N48" s="39" t="s">
        <v>468</v>
      </c>
      <c r="O48" s="39">
        <f t="shared" si="8"/>
        <v>1500</v>
      </c>
      <c r="P48" s="39">
        <v>5</v>
      </c>
      <c r="Q48" s="39">
        <v>300</v>
      </c>
      <c r="R48" s="39"/>
    </row>
    <row r="49" spans="1:18" x14ac:dyDescent="0.3">
      <c r="A49" s="39"/>
      <c r="B49" s="39"/>
      <c r="C49" s="39"/>
      <c r="D49" s="39"/>
      <c r="E49" s="39"/>
      <c r="F49" s="39"/>
      <c r="G49" s="39"/>
      <c r="H49" s="39"/>
      <c r="I49" s="39"/>
      <c r="J49" s="39"/>
      <c r="K49" s="39"/>
      <c r="L49" s="39"/>
      <c r="M49" s="39"/>
      <c r="N49" s="39" t="s">
        <v>469</v>
      </c>
      <c r="O49" s="39">
        <f t="shared" si="8"/>
        <v>900</v>
      </c>
      <c r="P49" s="39">
        <v>5</v>
      </c>
      <c r="Q49" s="39">
        <v>180</v>
      </c>
      <c r="R49" s="39"/>
    </row>
    <row r="50" spans="1:18" ht="27.95" x14ac:dyDescent="0.3">
      <c r="A50" s="39"/>
      <c r="B50" s="39"/>
      <c r="C50" s="39"/>
      <c r="D50" s="39"/>
      <c r="E50" s="39"/>
      <c r="F50" s="39"/>
      <c r="G50" s="39"/>
      <c r="H50" s="39"/>
      <c r="I50" s="39"/>
      <c r="J50" s="39"/>
      <c r="K50" s="39"/>
      <c r="L50" s="39"/>
      <c r="M50" s="39"/>
      <c r="N50" s="39" t="s">
        <v>470</v>
      </c>
      <c r="O50" s="39">
        <f t="shared" si="8"/>
        <v>200</v>
      </c>
      <c r="P50" s="39">
        <v>2</v>
      </c>
      <c r="Q50" s="39">
        <v>100</v>
      </c>
      <c r="R50" s="39"/>
    </row>
    <row r="51" spans="1:18" ht="27.95" x14ac:dyDescent="0.3">
      <c r="A51" s="39"/>
      <c r="B51" s="39"/>
      <c r="C51" s="39"/>
      <c r="D51" s="39"/>
      <c r="E51" s="39"/>
      <c r="F51" s="39"/>
      <c r="G51" s="39"/>
      <c r="H51" s="39"/>
      <c r="I51" s="39"/>
      <c r="J51" s="39"/>
      <c r="K51" s="39"/>
      <c r="L51" s="39"/>
      <c r="M51" s="39"/>
      <c r="N51" s="39" t="s">
        <v>471</v>
      </c>
      <c r="O51" s="39">
        <f t="shared" si="8"/>
        <v>80</v>
      </c>
      <c r="P51" s="39">
        <v>1</v>
      </c>
      <c r="Q51" s="39">
        <v>80</v>
      </c>
      <c r="R51" s="39"/>
    </row>
    <row r="52" spans="1:18" ht="41.95" x14ac:dyDescent="0.3">
      <c r="A52" s="39"/>
      <c r="B52" s="39"/>
      <c r="C52" s="39"/>
      <c r="D52" s="39"/>
      <c r="E52" s="39"/>
      <c r="F52" s="39"/>
      <c r="G52" s="39"/>
      <c r="H52" s="39"/>
      <c r="I52" s="39"/>
      <c r="J52" s="39"/>
      <c r="K52" s="39"/>
      <c r="L52" s="39"/>
      <c r="M52" s="39"/>
      <c r="N52" s="39" t="s">
        <v>472</v>
      </c>
      <c r="O52" s="39">
        <f t="shared" si="8"/>
        <v>0</v>
      </c>
      <c r="P52" s="39">
        <v>0</v>
      </c>
      <c r="Q52" s="39">
        <v>450</v>
      </c>
      <c r="R52" s="39"/>
    </row>
    <row r="53" spans="1:18" ht="41.95" x14ac:dyDescent="0.3">
      <c r="A53" s="39"/>
      <c r="B53" s="39"/>
      <c r="C53" s="39"/>
      <c r="D53" s="39"/>
      <c r="E53" s="39"/>
      <c r="F53" s="39"/>
      <c r="G53" s="39"/>
      <c r="H53" s="39"/>
      <c r="I53" s="39"/>
      <c r="J53" s="39"/>
      <c r="K53" s="39"/>
      <c r="L53" s="39"/>
      <c r="M53" s="39"/>
      <c r="N53" s="39" t="s">
        <v>473</v>
      </c>
      <c r="O53" s="39">
        <f t="shared" si="8"/>
        <v>0</v>
      </c>
      <c r="P53" s="39">
        <v>0</v>
      </c>
      <c r="Q53" s="39">
        <v>550</v>
      </c>
      <c r="R53" s="39"/>
    </row>
    <row r="54" spans="1:18" ht="27.95" x14ac:dyDescent="0.3">
      <c r="A54" s="39"/>
      <c r="B54" s="39"/>
      <c r="C54" s="39"/>
      <c r="D54" s="39"/>
      <c r="E54" s="39"/>
      <c r="F54" s="39"/>
      <c r="G54" s="39"/>
      <c r="H54" s="39"/>
      <c r="I54" s="39"/>
      <c r="J54" s="39"/>
      <c r="K54" s="39"/>
      <c r="L54" s="39"/>
      <c r="M54" s="39"/>
      <c r="N54" s="39" t="s">
        <v>474</v>
      </c>
      <c r="O54" s="39">
        <f t="shared" si="8"/>
        <v>0</v>
      </c>
      <c r="P54" s="39">
        <v>0</v>
      </c>
      <c r="Q54" s="39">
        <v>200</v>
      </c>
      <c r="R54" s="39"/>
    </row>
    <row r="55" spans="1:18" ht="27.95" x14ac:dyDescent="0.3">
      <c r="A55" s="39"/>
      <c r="B55" s="39"/>
      <c r="C55" s="39"/>
      <c r="D55" s="39"/>
      <c r="E55" s="39"/>
      <c r="F55" s="39"/>
      <c r="G55" s="39"/>
      <c r="H55" s="39"/>
      <c r="I55" s="39"/>
      <c r="J55" s="39"/>
      <c r="K55" s="39"/>
      <c r="L55" s="39"/>
      <c r="M55" s="39"/>
      <c r="N55" s="39" t="s">
        <v>475</v>
      </c>
      <c r="O55" s="39">
        <f t="shared" si="8"/>
        <v>0</v>
      </c>
      <c r="P55" s="39">
        <v>0</v>
      </c>
      <c r="Q55" s="39">
        <v>600</v>
      </c>
      <c r="R55" s="39"/>
    </row>
    <row r="56" spans="1:18" x14ac:dyDescent="0.3">
      <c r="A56" s="39"/>
      <c r="B56" s="39"/>
      <c r="C56" s="39"/>
      <c r="D56" s="39"/>
      <c r="E56" s="39"/>
      <c r="F56" s="39"/>
      <c r="G56" s="39"/>
      <c r="H56" s="39"/>
      <c r="I56" s="39"/>
      <c r="J56" s="39"/>
      <c r="K56" s="39"/>
      <c r="L56" s="39"/>
      <c r="M56" s="39"/>
      <c r="N56" s="39" t="s">
        <v>476</v>
      </c>
      <c r="O56" s="39">
        <f t="shared" si="8"/>
        <v>0</v>
      </c>
      <c r="P56" s="39">
        <v>0</v>
      </c>
      <c r="Q56" s="39">
        <v>300</v>
      </c>
      <c r="R56" s="39"/>
    </row>
    <row r="57" spans="1:18" ht="27.95" x14ac:dyDescent="0.3">
      <c r="A57" s="39"/>
      <c r="B57" s="39"/>
      <c r="C57" s="39"/>
      <c r="D57" s="39"/>
      <c r="E57" s="39"/>
      <c r="F57" s="39"/>
      <c r="G57" s="39"/>
      <c r="H57" s="80">
        <f>(1038*25)/30</f>
        <v>865</v>
      </c>
      <c r="I57" s="39"/>
      <c r="J57" s="39"/>
      <c r="K57" s="39"/>
      <c r="L57" s="39"/>
      <c r="M57" s="39"/>
      <c r="N57" s="39" t="s">
        <v>477</v>
      </c>
      <c r="O57" s="39">
        <f t="shared" si="8"/>
        <v>0</v>
      </c>
      <c r="P57" s="39">
        <v>0</v>
      </c>
      <c r="Q57" s="39">
        <v>600</v>
      </c>
      <c r="R57" s="39"/>
    </row>
    <row r="58" spans="1:18" x14ac:dyDescent="0.3">
      <c r="Q58">
        <f>SUM(Q38:Q57)</f>
        <v>5510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Tripathi</dc:creator>
  <cp:lastModifiedBy>Amit Tripathi</cp:lastModifiedBy>
  <dcterms:created xsi:type="dcterms:W3CDTF">2026-08-12T14:58:37Z</dcterms:created>
  <dcterms:modified xsi:type="dcterms:W3CDTF">2026-08-12T17:02:22Z</dcterms:modified>
</cp:coreProperties>
</file>