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42" documentId="8_{2AC1A246-255F-44F3-AEB2-AC6253F10CC2}" xr6:coauthVersionLast="47" xr6:coauthVersionMax="47" xr10:uidLastSave="{1DC41B68-69C9-4CF3-B1C2-F3C2315FDED7}"/>
  <bookViews>
    <workbookView xWindow="-107" yWindow="-107" windowWidth="20847" windowHeight="11100" xr2:uid="{10849417-A423-43F6-9D1A-4B586C76266A}"/>
  </bookViews>
  <sheets>
    <sheet name="Sheet2" sheetId="2" r:id="rId1"/>
    <sheet name="Sheet1" sheetId="1" r:id="rId2"/>
  </sheets>
  <externalReferences>
    <externalReference r:id="rId3"/>
    <externalReference r:id="rId4"/>
  </externalReferences>
  <definedNames>
    <definedName name="_xlnm._FilterDatabase" localSheetId="1" hidden="1">Sheet1!$A$1:$AD$83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0" i="2" l="1"/>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O14" i="2" s="1"/>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N22" i="2" s="1"/>
  <c r="N24" i="2" s="1"/>
  <c r="N26" i="2" s="1"/>
  <c r="N27" i="2" s="1"/>
  <c r="M10" i="2"/>
  <c r="M22" i="2" s="1"/>
  <c r="M24" i="2" s="1"/>
  <c r="M26" i="2" s="1"/>
  <c r="M27" i="2" s="1"/>
  <c r="L10" i="2"/>
  <c r="K10" i="2"/>
  <c r="J10" i="2"/>
  <c r="I10" i="2"/>
  <c r="H10" i="2"/>
  <c r="G10" i="2"/>
  <c r="F10" i="2"/>
  <c r="F22" i="2" s="1"/>
  <c r="F24" i="2" s="1"/>
  <c r="F26" i="2" s="1"/>
  <c r="F27" i="2" s="1"/>
  <c r="E10" i="2"/>
  <c r="D10" i="2"/>
  <c r="C10" i="2"/>
  <c r="B10" i="2"/>
  <c r="N7" i="2"/>
  <c r="M7" i="2"/>
  <c r="L7" i="2"/>
  <c r="K7" i="2"/>
  <c r="J7" i="2"/>
  <c r="I7" i="2"/>
  <c r="H7" i="2"/>
  <c r="G7" i="2"/>
  <c r="F7" i="2"/>
  <c r="E7" i="2"/>
  <c r="D7" i="2"/>
  <c r="C7" i="2"/>
  <c r="B7" i="2"/>
  <c r="O6" i="2"/>
  <c r="P6" i="2" s="1"/>
  <c r="O5" i="2"/>
  <c r="P13" i="2" s="1"/>
  <c r="O4" i="2"/>
  <c r="P12" i="2" s="1"/>
  <c r="O3" i="2"/>
  <c r="P3" i="2" s="1"/>
  <c r="O2" i="2"/>
  <c r="P10" i="2"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2" i="1"/>
  <c r="C22" i="2" l="1"/>
  <c r="C24" i="2" s="1"/>
  <c r="C26" i="2" s="1"/>
  <c r="C27" i="2" s="1"/>
  <c r="K22" i="2"/>
  <c r="K24" i="2" s="1"/>
  <c r="K26" i="2" s="1"/>
  <c r="K27" i="2" s="1"/>
  <c r="E22" i="2"/>
  <c r="E24" i="2" s="1"/>
  <c r="E26" i="2" s="1"/>
  <c r="E27" i="2" s="1"/>
  <c r="P2" i="2"/>
  <c r="O38" i="2"/>
  <c r="G22" i="2"/>
  <c r="G24" i="2" s="1"/>
  <c r="G26" i="2" s="1"/>
  <c r="G27" i="2" s="1"/>
  <c r="O11" i="2"/>
  <c r="H22" i="2"/>
  <c r="H24" i="2" s="1"/>
  <c r="H26" i="2" s="1"/>
  <c r="H27" i="2" s="1"/>
  <c r="P4" i="2"/>
  <c r="I22" i="2"/>
  <c r="I24" i="2" s="1"/>
  <c r="I26" i="2" s="1"/>
  <c r="I27" i="2" s="1"/>
  <c r="O13" i="2"/>
  <c r="R13" i="2" s="1"/>
  <c r="B22" i="2"/>
  <c r="B24" i="2" s="1"/>
  <c r="B26" i="2" s="1"/>
  <c r="B27" i="2" s="1"/>
  <c r="J22" i="2"/>
  <c r="J24" i="2" s="1"/>
  <c r="J26" i="2" s="1"/>
  <c r="J27" i="2" s="1"/>
  <c r="P5" i="2"/>
  <c r="D22" i="2"/>
  <c r="D24" i="2" s="1"/>
  <c r="D26" i="2" s="1"/>
  <c r="D27" i="2" s="1"/>
  <c r="L22" i="2"/>
  <c r="L24" i="2" s="1"/>
  <c r="L26" i="2" s="1"/>
  <c r="L27" i="2" s="1"/>
  <c r="O12" i="2"/>
  <c r="R12" i="2" s="1"/>
  <c r="O7" i="2"/>
  <c r="O10" i="2"/>
  <c r="R10" i="2" s="1"/>
  <c r="P11" i="2"/>
  <c r="P14" i="2"/>
  <c r="R14" i="2" s="1"/>
  <c r="P7" i="2" l="1"/>
  <c r="Q7" i="2" s="1"/>
  <c r="Q38" i="2" s="1"/>
  <c r="R11" i="2"/>
  <c r="R15" i="2" s="1"/>
</calcChain>
</file>

<file path=xl/sharedStrings.xml><?xml version="1.0" encoding="utf-8"?>
<sst xmlns="http://schemas.openxmlformats.org/spreadsheetml/2006/main" count="963" uniqueCount="483">
  <si>
    <t>ID</t>
  </si>
  <si>
    <t>Name</t>
  </si>
  <si>
    <t>Ph. Number</t>
  </si>
  <si>
    <t>Address</t>
  </si>
  <si>
    <t>Zone</t>
  </si>
  <si>
    <t>Day</t>
  </si>
  <si>
    <t>Time Slot</t>
  </si>
  <si>
    <t>Pack</t>
  </si>
  <si>
    <t>Revenue</t>
  </si>
  <si>
    <t xml:space="preserve"> Type</t>
  </si>
  <si>
    <t>Remarks</t>
  </si>
  <si>
    <t>Flower Restriction</t>
  </si>
  <si>
    <t>Extra Instruction</t>
  </si>
  <si>
    <t>Final Number of Delivery</t>
  </si>
  <si>
    <t>Mr. Vipin Marwah</t>
  </si>
  <si>
    <t>9313496645//9350353662</t>
  </si>
  <si>
    <t>D5/502, Parsvanath Exotica</t>
  </si>
  <si>
    <t>DLF Phase 5</t>
  </si>
  <si>
    <t>Sunday</t>
  </si>
  <si>
    <t>9 AM - 12 PM</t>
  </si>
  <si>
    <t>Elation</t>
  </si>
  <si>
    <t>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t>
  </si>
  <si>
    <t>2  del of this cycle   -  1-cycles pmnt   Pending - Collect 2750</t>
  </si>
  <si>
    <t>Nidhi Prasad</t>
  </si>
  <si>
    <t>T-10/1003, valley View Estate</t>
  </si>
  <si>
    <t>Ghata</t>
  </si>
  <si>
    <t>9 AM to 2 PM</t>
  </si>
  <si>
    <t>Delight</t>
  </si>
  <si>
    <t>Hold n start from 29th June(14/06) Hold today due to non payment (04/01) Hold due to non payment (01/02) Hold due to non payment (08/02) HDTNP (15/02) HDTNP (22/02) HDTNP (01/03) HDTNP (08/03) HDTNP (12/04) HDTNP (07/06) Hold till 26th (07/06) Returmed today (05/07)</t>
  </si>
  <si>
    <t>3  del of this cycle   -  0-cycles pmnt   Completed - Collect 0</t>
  </si>
  <si>
    <t>Pradeep Shoran</t>
  </si>
  <si>
    <t>T-7/406, Valley View Estate, Gwal Pahari</t>
  </si>
  <si>
    <t>Bliss</t>
  </si>
  <si>
    <t>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t>
  </si>
  <si>
    <t>ROSE n ORCHID</t>
  </si>
  <si>
    <t>4  del of this cycle   -  0-cycles pmnt   Completed - Collect 0</t>
  </si>
  <si>
    <t>Kriti Suman</t>
  </si>
  <si>
    <t>Studio -105, Palm Drive</t>
  </si>
  <si>
    <t>Badshahpur</t>
  </si>
  <si>
    <t>Skip 1 week (16/10) Skip 1 week (26/12) No Glad (09/03) Skip 2 week (20/06)</t>
  </si>
  <si>
    <t>Glad</t>
  </si>
  <si>
    <t>Aditi Bhatt</t>
  </si>
  <si>
    <t>D-225, 2nd Floor, Sushant Lok-2, Sec 56</t>
  </si>
  <si>
    <t>Sector 56</t>
  </si>
  <si>
    <t>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t>
  </si>
  <si>
    <t>No White Local Gypsy</t>
  </si>
  <si>
    <t>4  del of this cycle   -  0-cycles pmnt   CompletedNO COLLECTION-we have extra money - Collect -1</t>
  </si>
  <si>
    <t xml:space="preserve">Shipra Malhotra </t>
  </si>
  <si>
    <t>F-12, First Floor, Galacy Apartments</t>
  </si>
  <si>
    <t>3:30 PM to 7:30 PM</t>
  </si>
  <si>
    <t>Same Flowers in her Both subscription // Skip 1 week and next week send after 5 PM (17/06)</t>
  </si>
  <si>
    <t>After 5 PM on 28th (17/06)</t>
  </si>
  <si>
    <t>Hardik Shah</t>
  </si>
  <si>
    <t>T-5/1402, Vipul Green</t>
  </si>
  <si>
    <t>Sohna Road 2</t>
  </si>
  <si>
    <t>Friday</t>
  </si>
  <si>
    <t>Poise</t>
  </si>
  <si>
    <t>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t>
  </si>
  <si>
    <t>Mili Sodhi -- Before 12 PM -- 1450 Pack</t>
  </si>
  <si>
    <t>E-801, Bestech Park View Spa Next, Sec 67</t>
  </si>
  <si>
    <t>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t>
  </si>
  <si>
    <t>Before 12 PM (16/11)</t>
  </si>
  <si>
    <t>2  del of this cycle   -  0-cycles pmnt   Completed - Collect 0</t>
  </si>
  <si>
    <t>Tarushi</t>
  </si>
  <si>
    <t>T-3/202, Emaar The Palm Terrace, Sec 66</t>
  </si>
  <si>
    <t>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t>
  </si>
  <si>
    <t>Mixed Flowers n Long Stem  // 1 Oriental and 2 Car Next (14/05)</t>
  </si>
  <si>
    <t>Dr. Roma Kumar</t>
  </si>
  <si>
    <t>98110 87708</t>
  </si>
  <si>
    <t>RT-181, Royalton Tower
Inside Princeton Estate
DLF City Phase-V
Gurgaon-122009
Haryana</t>
  </si>
  <si>
    <t>Thursday</t>
  </si>
  <si>
    <t>Charm</t>
  </si>
  <si>
    <t>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t>
  </si>
  <si>
    <t>ORCHID</t>
  </si>
  <si>
    <t>Kavita Dahiya</t>
  </si>
  <si>
    <t>H. No. 1391, 2nd Floor,  Sec-57 Part -2</t>
  </si>
  <si>
    <t>Artemis</t>
  </si>
  <si>
    <t>9:30 AM to 2 PM</t>
  </si>
  <si>
    <t>Send on Sunday this week (27/08) No gerbera (12/09) No Sunflowers (15/11) Skip 1 week (30/12) Hold n collect 500 tom (25/02)</t>
  </si>
  <si>
    <t>Gerbera n Sunflower</t>
  </si>
  <si>
    <t>4  del of this cycle   -  0-cycles pmnt   CompletedNO COLLECTION-we have extra money - Collect -9</t>
  </si>
  <si>
    <t>Saloni Gupta</t>
  </si>
  <si>
    <t>338, 3rd Floor, Espace</t>
  </si>
  <si>
    <t>Nirvana Country</t>
  </si>
  <si>
    <t>Cutsomized-Biweekly</t>
  </si>
  <si>
    <t>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t>
  </si>
  <si>
    <t>Alpna Jain</t>
  </si>
  <si>
    <t>C-64, The Icon</t>
  </si>
  <si>
    <t>10 AM to 2:30 PM</t>
  </si>
  <si>
    <t>Thursday n Sunday // Hold today (08/02) Keep flowers outside of Door (17/05)</t>
  </si>
  <si>
    <t>Keep flowers outside of door always</t>
  </si>
  <si>
    <t>Davinder Singh</t>
  </si>
  <si>
    <t>T-12/002, Close North</t>
  </si>
  <si>
    <t xml:space="preserve"> Hold due to non payment (12/10) Hold due to non payment (20/12) Hold due to non payment (18/01) Hold due to non payment (25/01) Hold due to non payment (01/02) Hold due to non payment (08/02) HDTNP (15/02) HDTNP (22/02) Skip 1 week (18/04)</t>
  </si>
  <si>
    <t>Devina Duggal</t>
  </si>
  <si>
    <t>Sadev, C-149, Suncity, Ground Floor</t>
  </si>
  <si>
    <t>Golf Course Road</t>
  </si>
  <si>
    <t>9:30 Am to 2 PM</t>
  </si>
  <si>
    <t>No Exotic Greens -- send Only Extra Local Greens</t>
  </si>
  <si>
    <t>Himabindu Kanchan</t>
  </si>
  <si>
    <t xml:space="preserve">D -13, Pinnacle Dlf Phase - 5 </t>
  </si>
  <si>
    <t>Bloom</t>
  </si>
  <si>
    <t>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t>
  </si>
  <si>
    <t>M2K</t>
  </si>
  <si>
    <t>M2k</t>
  </si>
  <si>
    <t>Tuesday</t>
  </si>
  <si>
    <t>By 8 AM</t>
  </si>
  <si>
    <t>Corporate</t>
  </si>
  <si>
    <t>4  del of this cycle   -  0-cycles pmnt   In Process - Collect 0</t>
  </si>
  <si>
    <t>Manasi Sardana</t>
  </si>
  <si>
    <t>T-8/303, The South Close</t>
  </si>
  <si>
    <t>Rajni is preferred // Skip 1 week (17/05) paytm From Phadke Mansi Pradeep // Skip 1 week (01/01/26) Skip 1 week (24/01) Today returned (15/02) Replacement tom (06/07)</t>
  </si>
  <si>
    <t>Rajni referred</t>
  </si>
  <si>
    <t>Megha Bhardwaj</t>
  </si>
  <si>
    <t>B-65, 1st floor, Sushant Lok-3,HDFC School, Sec 57</t>
  </si>
  <si>
    <t>Joy</t>
  </si>
  <si>
    <t>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t>
  </si>
  <si>
    <t>Orchid</t>
  </si>
  <si>
    <t>Mini Deerwoood</t>
  </si>
  <si>
    <t xml:space="preserve"> 332, 4th Floor, Espace</t>
  </si>
  <si>
    <t>Muskan</t>
  </si>
  <si>
    <t>Floor - 6, Flat 601, Milan Appartment, CGHS</t>
  </si>
  <si>
    <t>One Kind // Day Sunday (26/03) Mix in Joy (23/04) Change to bliss (21/06)</t>
  </si>
  <si>
    <t>Mix in Joy (23/04)</t>
  </si>
  <si>
    <t>Priyanka Chaturvedi</t>
  </si>
  <si>
    <t xml:space="preserve">Flat No. A-303, The Peaceful Homes, Sec 70-A
</t>
  </si>
  <si>
    <t>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t>
  </si>
  <si>
    <t>ROSE n SPRAY DAISY</t>
  </si>
  <si>
    <t>Damini Dasgupta</t>
  </si>
  <si>
    <t>Flat No. 102, @nd Floor, Satguru Appartments, Sec 52, Wazirabad</t>
  </si>
  <si>
    <t>Skip 1 week (09/05) Returned today (17/05) Returned today and skip 1 more week (07/06)</t>
  </si>
  <si>
    <t>Dinesh Dhir</t>
  </si>
  <si>
    <t>D-11/9, 1st Floor, DLF Exclusive Floors</t>
  </si>
  <si>
    <t>Hold today n send next week (15/06) Add changed (17/05)</t>
  </si>
  <si>
    <t>Naina Gandhi</t>
  </si>
  <si>
    <t>K2/105, Central Park -1</t>
  </si>
  <si>
    <t>Felicity</t>
  </si>
  <si>
    <t>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t>
  </si>
  <si>
    <t>SPRAY DAISY</t>
  </si>
  <si>
    <t>Check for Bi weekly package</t>
  </si>
  <si>
    <t>Pluang Technologies India Pvt. Ltd.</t>
  </si>
  <si>
    <t>13th Floor, Magnum Global Park, Sec 58</t>
  </si>
  <si>
    <t>4 Pm to 7 PM</t>
  </si>
  <si>
    <t>Payment from Vibhuti --997176764 (10/03) Paytm From Sahiba Sachdeva (08/04)</t>
  </si>
  <si>
    <t>Dr. Juhi Saxena</t>
  </si>
  <si>
    <t>G-307, 2nd Floor, Sushant Lok -2, Sec 57</t>
  </si>
  <si>
    <t>No Glad (17/01) Hold and start from May and inform before starting (09/04) Skip 1 week 901/05) hold n returned today (12/06) Skip tom and send on Saturday -- either Rajnigandha or Car (19/06) Add changed (23/06) No Sinflower (09/07)</t>
  </si>
  <si>
    <t>GLAD n Sunflowers</t>
  </si>
  <si>
    <t>Gurrit Kaur sethi</t>
  </si>
  <si>
    <t>T-2/201, Unitech Escape</t>
  </si>
  <si>
    <t>jaya Chakrabarti-- Before 10 AM</t>
  </si>
  <si>
    <t>A 56, FF, south City 2, sonha road, gurgaon</t>
  </si>
  <si>
    <t>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t>
  </si>
  <si>
    <t>BOP n HELICONIA</t>
  </si>
  <si>
    <t>Madhumita Dhupar</t>
  </si>
  <si>
    <t>333, Deerwood Chase</t>
  </si>
  <si>
    <t>White Flowers in Each Delivery (10/01)</t>
  </si>
  <si>
    <t>Mayom Hospital</t>
  </si>
  <si>
    <t>Mayom Hospital, D block south city 1</t>
  </si>
  <si>
    <t>South City 1</t>
  </si>
  <si>
    <t>Sending on 20th instaed of 21st,bcoz of Holi(18/03) Send on Monday this week(20/03)</t>
  </si>
  <si>
    <t>3  del of this cycle   -  0-cycles pmnt   In Process - Collect 0</t>
  </si>
  <si>
    <t>Meera Singh</t>
  </si>
  <si>
    <t>138, Tatvam Villas, Sec 48</t>
  </si>
  <si>
    <t>No Lilies and Sunflower (20/02) Skip 1 week (28/03) Paytm From Singh M (06/04) No Sunflower n Asiatic (02/05)</t>
  </si>
  <si>
    <t>Asiatic n Sunflowers</t>
  </si>
  <si>
    <t>Single Kind</t>
  </si>
  <si>
    <t>Megha Sharma</t>
  </si>
  <si>
    <t>9643166797 // 7351797203</t>
  </si>
  <si>
    <t>338, Espace, 2nd Floor</t>
  </si>
  <si>
    <t>4 PM to 7 PM</t>
  </si>
  <si>
    <t>Paytm From Megha Sharma</t>
  </si>
  <si>
    <t>Mrs Munjal -- After 5 PM</t>
  </si>
  <si>
    <t>B- 22 Sushant Lok 2, sector 56 (Behind sector 56 police station)</t>
  </si>
  <si>
    <t>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t>
  </si>
  <si>
    <t>Nameesha Verma -- Before 12PM</t>
  </si>
  <si>
    <t>D-4/102, Parsvanath Exotica</t>
  </si>
  <si>
    <t>Before 12 PM</t>
  </si>
  <si>
    <t>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t>
  </si>
  <si>
    <t>3 Car extra next (20/03)</t>
  </si>
  <si>
    <t>Nisha Syriac</t>
  </si>
  <si>
    <t>G202, DLF Park Place Heights, Golf Course Road</t>
  </si>
  <si>
    <t>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t>
  </si>
  <si>
    <t>Rajni n Orchid</t>
  </si>
  <si>
    <t xml:space="preserve">Single Color Flowers </t>
  </si>
  <si>
    <t>Parul Parihar</t>
  </si>
  <si>
    <t>502, Adhunil Appartments, Sec 52</t>
  </si>
  <si>
    <t>Shalini Kohli</t>
  </si>
  <si>
    <t>A-1402, Ireo Victory Valley</t>
  </si>
  <si>
    <t>Send on Monday instead of Sunday this week (28/05) Returned (10/08) Skip 1 week (28/08) Send replacement tom (19/10) Hold due to non payment (01/02) Send one del tom (03/02) Skip 2 week )7/03) Sent one del today (28/03) Returned (17/05) Returned today -- Death in Family (07/06) Today Returned (14/06)</t>
  </si>
  <si>
    <t>Sheeba Rana</t>
  </si>
  <si>
    <t>T-14/1202, The Close North</t>
  </si>
  <si>
    <t>Skip n send on 11th n then on preferred day</t>
  </si>
  <si>
    <t>Shubhpret kaur</t>
  </si>
  <si>
    <t>H. No. 667, 3rd Floor, Sec 43</t>
  </si>
  <si>
    <t>Paytm From Amara Preet Singh // Change day to Sunday (13/06)</t>
  </si>
  <si>
    <t>3  del of this cycle   -  1-cycles pmnt   Pending - Collect 1950</t>
  </si>
  <si>
    <t>Vandana Thakran</t>
  </si>
  <si>
    <t>H. No. 35, Cedar Crest</t>
  </si>
  <si>
    <t>Aishwarya G Aiyar</t>
  </si>
  <si>
    <t>A-173, The Pinnacle</t>
  </si>
  <si>
    <t>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t>
  </si>
  <si>
    <t>Amita Gupta</t>
  </si>
  <si>
    <t>146, Cedar Crest</t>
  </si>
  <si>
    <t>Return today (03/10) Change to bliss (23/10) No Orchid (24/10) Send a vase tom (20/08) Upgrade to bliss (17/12)</t>
  </si>
  <si>
    <t>1 Vase Tom (20/08)</t>
  </si>
  <si>
    <t>Gitanjali Kamra</t>
  </si>
  <si>
    <t>121, Espace, Nirvana Country</t>
  </si>
  <si>
    <t>Enchantment</t>
  </si>
  <si>
    <t>Now Elation (21/09) Skip 1 week (17/12)</t>
  </si>
  <si>
    <t>Nidhi Singh</t>
  </si>
  <si>
    <t>8383036664//9899389873</t>
  </si>
  <si>
    <t>D-8/3, Ground Floor DLF Exclusive Floors</t>
  </si>
  <si>
    <t>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t>
  </si>
  <si>
    <t>ROSE</t>
  </si>
  <si>
    <t>B46944</t>
  </si>
  <si>
    <t>Albi</t>
  </si>
  <si>
    <t>G-3/1A, DLF Phase 1</t>
  </si>
  <si>
    <t>DLF Phase 1</t>
  </si>
  <si>
    <t>By 9 AM</t>
  </si>
  <si>
    <t>Customized</t>
  </si>
  <si>
    <t>Now at every 10 days (18/12)</t>
  </si>
  <si>
    <t>2  del of this cycle   -  0-cycles pmnt   In Process - Collect 0</t>
  </si>
  <si>
    <t xml:space="preserve">Anshuman Divyanshu </t>
  </si>
  <si>
    <t>G-1401, Bestech Park View Spa Next</t>
  </si>
  <si>
    <t>Insta // return today (24/08) Hold today (28/09) HDTNP (03/05) Skip 1 week (06/06)</t>
  </si>
  <si>
    <t>Asheesh Handa</t>
  </si>
  <si>
    <t>H. No. 28, Ground Floor, M2k Whitehouse, Sector 57</t>
  </si>
  <si>
    <t>Bandhana</t>
  </si>
  <si>
    <t>T-5/902, Tata Primanti</t>
  </si>
  <si>
    <t>Single Kind // Replacement tom (08/03) No Spray Daisy and BOP (31/03)</t>
  </si>
  <si>
    <t>Spray Daisy n BOP</t>
  </si>
  <si>
    <t>2  del of this cycle   -  1-cycles pmnt   Pending - Collect 1950</t>
  </si>
  <si>
    <t>Bonita Bhatnagar</t>
  </si>
  <si>
    <t>C-134, Block C, Mayfield Garden</t>
  </si>
  <si>
    <t>5 PM to 8 PM</t>
  </si>
  <si>
    <t>Upgraded as per scheme to Bliss for 5 Deliveries (22/08)</t>
  </si>
  <si>
    <t>Jasbir Singh</t>
  </si>
  <si>
    <t>Amber, 4th Floor, Universal Trade Centre</t>
  </si>
  <si>
    <t>Sohna Road 1</t>
  </si>
  <si>
    <t>By 7 PM</t>
  </si>
  <si>
    <t>Mrigal Vora Puri</t>
  </si>
  <si>
    <t>T-6A/1103, Valley View Estate</t>
  </si>
  <si>
    <t>Glad Next (20/06) Hold today (05/1) Hold due to non payment (01/02) Hold due to non payment (08/02) HDTNP (15/02) Skip 1 week (04/04) HDTNP (03/05) HDTNP (10/05) Paytm From Akhil Puri (07/06)</t>
  </si>
  <si>
    <t>Glad Next (20/06)</t>
  </si>
  <si>
    <t>2  del of this cycle   -  1-cycles pmnt   Pending - Collect 1450</t>
  </si>
  <si>
    <t>Payal Soni</t>
  </si>
  <si>
    <t>T-9/1403, Pyramid Sec 67 A, Badshahpur Road, Near Iskcon</t>
  </si>
  <si>
    <t>No Glad and day changed to Sunday 904/06)</t>
  </si>
  <si>
    <t>Prasenjit</t>
  </si>
  <si>
    <t>T-10/1001, Vipul Belmonte</t>
  </si>
  <si>
    <t xml:space="preserve">Send Long stem </t>
  </si>
  <si>
    <t>Long Stem// Seasonal Next (24/05)</t>
  </si>
  <si>
    <t>Rishabh Suri</t>
  </si>
  <si>
    <t>H. No. 962, Block C, Sushant Lok, Near Ambience Public School</t>
  </si>
  <si>
    <t>Hold n start from Sep (06/08) Paytm from Rajeev Suri (22/11) Paytm from Anu Suri (21/12)</t>
  </si>
  <si>
    <t>Rubeey Matharu -- 1450 Pack</t>
  </si>
  <si>
    <t>Sirera 1, T-6/306, M3M Marina</t>
  </si>
  <si>
    <t>Skip 1 week and inform before starting (08/04) Hold n start from Aug (15/05) Paytm From Amanpreet Kaur Matharu // Paytm from Gurjeet Matharu</t>
  </si>
  <si>
    <t>Rajni Tom (01/11)</t>
  </si>
  <si>
    <t>2  del of this cycle   -  1-cycles pmnt   Pending - Collect 1000</t>
  </si>
  <si>
    <t>Saturday</t>
  </si>
  <si>
    <t>G-00056</t>
  </si>
  <si>
    <t>Triveni Wahi</t>
  </si>
  <si>
    <t>B-14/12 C, Dlf The Grove</t>
  </si>
  <si>
    <t>From Madhulika Geeta Chopra // 2sesonal Extra next (05/05) Today Returned -send next week (24/05) Today returned - hold (14/06)</t>
  </si>
  <si>
    <t>2 sesonal Extra next (05/05)</t>
  </si>
  <si>
    <t>Kiran Yadav -- 1450 Pack</t>
  </si>
  <si>
    <t>E-1402, Palm Drive</t>
  </si>
  <si>
    <t>Recvd 2000 Today (21/04) Pls send Rose/Gerbera and Rise laos (04/06) Skip 1 week (28/06) Skip next week after(27/09) Send Replacement tom (21/04)</t>
  </si>
  <si>
    <t>1  del of this cycle   -  0-cycles pmnt   CompletedNO COLLECTION-we have extra money - Collect -23</t>
  </si>
  <si>
    <t>Mona Gupta</t>
  </si>
  <si>
    <t>A-200, 2nd Floor, Today Blossomes-1, Sec 47</t>
  </si>
  <si>
    <t>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t>
  </si>
  <si>
    <t xml:space="preserve"> No Carnations for next 4 deliveries (27/05)</t>
  </si>
  <si>
    <t>Gagan Ahluwalia</t>
  </si>
  <si>
    <t>C-82, The Summit</t>
  </si>
  <si>
    <t>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t>
  </si>
  <si>
    <t>1  del of this cycle   -  1-cycles pmnt   Pending - Collect 2300</t>
  </si>
  <si>
    <t>Itika Sharma--Before 11:30 AM</t>
  </si>
  <si>
    <t>T-10/503, The Close South</t>
  </si>
  <si>
    <t>no roses ever(09/06)30th Del treated as Comp(03/07)Today return-send next week(08/09)9th returned-send 10th(08/09)Referal credit of 225/- against reference of Hema Sharma transferred via paytm(09/09)Pls send 1 stick extra in next del(06/10)Sending a replacement on Thursday(16/10)Start from 1st Dec n address changed(24/11) S Rajni Next (08/12)S rajni next(09/12) Return-send tom(22/12) NO GERBERA(23/12) NO DAISY n send Rajni Next(29/12) Rajni next n NO ROSE(01/01) Rajni Next(06/01) Pl send Y Daisy next(21/01) Rajni Next (20/01) Car Next(26/01) rajni Next(13/02) Next Rajni(23/02) Y Daisy Next(03/03) Rose or Car Next(11/03) NO RAJNI FOR NEXT 1 MONTH(03/04) Send Orchid Next(13/05) Send Lilies next(23/05) Skip 1 week(12/11) NO GLAD n  1 Stick extra nect week(13/02) Hold n start from 1st week of August(05/07) Add changed(04/12) UPI from Ashissh K(08/01) Sent 1 Del today Don't send on 11th Apr(08/04) NO Pollen Flowers No w(07/02) Hold for 2 weeks (23/02) Add Changed (02/03) Hold till June End (09/06) Skip 1 week (08/08) Paytm From Ashish Kapoor--98717155522(02/11) Send 3 Stem extra next (03/11) Send replacement tom (16/02) 1 stem extra next (07/06) 1500 via cash and 200 via paytm (29/06) Skip sat and send on sunday (02/07) Paytm from Ashissh Kapoor (15/11) Skip 1 week (04/02) HDTNP (13/03) Hold today (21/03) Replacement tom (08/06) Today Returned (20/06) Send on Sunday instead of saturdeay (09/07)</t>
  </si>
  <si>
    <t>No flowers on sat snd sned on Sunday (02/07)</t>
  </si>
  <si>
    <t>1  del of this cycle   -  1-cycles pmnt   Pending - Collect 1450</t>
  </si>
  <si>
    <t>Alka Verma</t>
  </si>
  <si>
    <t>T-10/101, Emaar palm Terraces Select</t>
  </si>
  <si>
    <t>Skip 1 week (28/03) Send Replacement tom (12/04) Skip 1 week (27/04) Skip 1 week after 14th June (06/06) Skip 1 week (16/06)</t>
  </si>
  <si>
    <t>Ankit Goyal</t>
  </si>
  <si>
    <t>A-402, La Lagune</t>
  </si>
  <si>
    <t>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t>
  </si>
  <si>
    <t>1  del of this cycle   -  1-cycles pmnt   Pending - Collect 2750</t>
  </si>
  <si>
    <t>Anu-- After 6 PM</t>
  </si>
  <si>
    <t>98103 39602</t>
  </si>
  <si>
    <t xml:space="preserve">Tower 6, 901 Fresco </t>
  </si>
  <si>
    <t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t>
  </si>
  <si>
    <t>ROSE n RAJNI n HELICONIA n BOP</t>
  </si>
  <si>
    <t>after 6 pm on 19th (16/04)</t>
  </si>
  <si>
    <t>1  del of this cycle   -  1-cycles pmnt   Pending - Collect 4850</t>
  </si>
  <si>
    <t>Bhanupriya Sharma</t>
  </si>
  <si>
    <t>37, Abundance Appartment, 4th Floor, D Block, Indira Colony-2, Sec 52 , Behind Arihant Hospital</t>
  </si>
  <si>
    <t>Skip 1 week (16/05) today returned (06/07) Change day to delight (02/11) Paytm from Rajeev Bhambani (05/11) Upgrade to Bliss (24/01) Paytm From Aluma Care (25/03) No Lily (16/05)</t>
  </si>
  <si>
    <t>Lily</t>
  </si>
  <si>
    <t>One kInd in Bliss</t>
  </si>
  <si>
    <t>B56427</t>
  </si>
  <si>
    <t>Bishnupriya</t>
  </si>
  <si>
    <t>By 10:30 AM</t>
  </si>
  <si>
    <t>Bouquet</t>
  </si>
  <si>
    <t>12 Lilies and 2 Buttin Daisy as Bouquet</t>
  </si>
  <si>
    <t>B56428</t>
  </si>
  <si>
    <t>Chandrima Budhakoti</t>
  </si>
  <si>
    <t>C=2901, Mahindar Luminaire</t>
  </si>
  <si>
    <t>By 9:30 AM</t>
  </si>
  <si>
    <t>5 BOP + 3 Pur Orchid + 10 W Car in Jar Vase</t>
  </si>
  <si>
    <t>B56437</t>
  </si>
  <si>
    <t>Devika</t>
  </si>
  <si>
    <t>D-0002, Grand Arch, Sec 58</t>
  </si>
  <si>
    <t>By 10 AM</t>
  </si>
  <si>
    <t>From Devika bouquet// Dear Dada and Savita,  Happy Anniversary   Love : Dad and Devoo (11/07(</t>
  </si>
  <si>
    <t>B56429</t>
  </si>
  <si>
    <t>Dr. Mallika Batra</t>
  </si>
  <si>
    <t>Flat No. 103, Ivory Vourt 4, Essel Towers</t>
  </si>
  <si>
    <t>M G Road</t>
  </si>
  <si>
    <t>12 Rajni  and 1 Asiatic</t>
  </si>
  <si>
    <t>1  del of this cycle   -  1-cycles pmnt   Pending - Collect 2600</t>
  </si>
  <si>
    <t>1  del of this cycle   -  1-cycles pmnt   Pending - Collect 2495</t>
  </si>
  <si>
    <t>1  del of this cycle   -  0-cycles pmnt   In Process - Collect 0</t>
  </si>
  <si>
    <t>1  del of this cycle   -  0-cycles pmnt   Completed - Collect 0</t>
  </si>
  <si>
    <t>Eva-Pinnacle</t>
  </si>
  <si>
    <t>C-93, The Pinnacle</t>
  </si>
  <si>
    <t>Paytm From Arvind Pachhapur(24/02) 750 pack-- Car//Guldawari//Rajni//Orchid//Asiatic(23/03) Hold today and send next6 week(14/04) Hold n start from 19th June(16/06) Skip 1 week (05/01) Received one more payment today (26/01) Payment was in process (20/03) Skip 1 week (28/06) Skip 1 week (29/06) Skip 3 week (21/05)</t>
  </si>
  <si>
    <t>Jaya Wanchoo</t>
  </si>
  <si>
    <t xml:space="preserve">T-8/603, The Close North
</t>
  </si>
  <si>
    <t>Mrs. Singh</t>
  </si>
  <si>
    <t>D 42, pinnacle, Dlf ph 5, Golf course road</t>
  </si>
  <si>
    <t>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t>
  </si>
  <si>
    <t>1  del of this cycle   -  1-cycles pmnt   Pending - Collect 1600</t>
  </si>
  <si>
    <t>Ms. Shuchi Chopra</t>
  </si>
  <si>
    <t>Flat No. 703, M3M Golf Estate, Latitude Building</t>
  </si>
  <si>
    <t>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t>
  </si>
  <si>
    <t>B56431</t>
  </si>
  <si>
    <t>Nidhi Sharma Malhotra -- BPTP -- Centra 1</t>
  </si>
  <si>
    <t>BPTP, Sec 61</t>
  </si>
  <si>
    <t>Special Project</t>
  </si>
  <si>
    <t>B56438</t>
  </si>
  <si>
    <t>Orpita Mukherjee</t>
  </si>
  <si>
    <t>R-22 B, WindsorCourt</t>
  </si>
  <si>
    <t>DLF Phase 4</t>
  </si>
  <si>
    <t>By 11 AM</t>
  </si>
  <si>
    <t>5 Red Car + 1 Heliconia + 5 Rajni</t>
  </si>
  <si>
    <t>Prabhdeep Kaur</t>
  </si>
  <si>
    <t>C-173, 2nd Floor,South City 2</t>
  </si>
  <si>
    <t>Today Returned (18/08) Gpay from Preity Dadwal (20/10) Hold after current cuycle (22/12) Today Returned (29/12) Today returned (17/08) Today returned (16/11) Do not count 25th Jan Del (01/03) Pne more payment received today (2/03) Sent one del today -skip tom (07/03) Today Returned (21/06)</t>
  </si>
  <si>
    <t>B56432</t>
  </si>
  <si>
    <t>Preeti Maira</t>
  </si>
  <si>
    <t>T-17/15 C, Fairway West. M3M Golf Estate</t>
  </si>
  <si>
    <t>From Rotary Club// Wish you a very Happy Birthday.  From RCGQE (11/07)</t>
  </si>
  <si>
    <t>Prerna -- Rosewood</t>
  </si>
  <si>
    <t>D-154, Rosewood City, Sector 50</t>
  </si>
  <si>
    <t>Sent replacement today (21/04) Skip 1 week (04/12) Skip tom (14/06) Return today (06/07) 27th Del Missed (03/08)Skip 22/23rd Nov (08/11) Paytm From Prerna Sharma // Skip 1 week (07/02) Hold n start after 9 th June (10/05)</t>
  </si>
  <si>
    <t>Puneet Mahajan</t>
  </si>
  <si>
    <t>D-19, 4th Floor, Siuth City -2, Opp Arcadia Mall</t>
  </si>
  <si>
    <t>Send Sponge// Day Changed to Sunday (16/04) Paytm From Sri Sai makers (20/04) Change to felicity (17/05)</t>
  </si>
  <si>
    <t>Riddhi Desai</t>
  </si>
  <si>
    <t>D-71, The Icon</t>
  </si>
  <si>
    <t>Send this week on Saturday (14/08) Skip 1 week (21/12) Hold till 2nd June (20/05)</t>
  </si>
  <si>
    <t>Shelley Handa</t>
  </si>
  <si>
    <t>73, Cedar Crest</t>
  </si>
  <si>
    <t>Only Seasonal / Hold today due to non payment (02/10)  Send on Sunday this week (03/10) Hold due to non payment (09/10) Hold today and skip 2 week (27/11)  Paytm From Richa Handa (20/03)</t>
  </si>
  <si>
    <t>B56430</t>
  </si>
  <si>
    <t>Sonali Khullar</t>
  </si>
  <si>
    <t>C-1702, pioneer araya, sect 62</t>
  </si>
  <si>
    <t>Car n Rajni Bouquet</t>
  </si>
  <si>
    <t>1  del of this cycle   -  1-cycles pmnt   Pending - Collect 1000</t>
  </si>
  <si>
    <t>Pre Flowers 4</t>
  </si>
  <si>
    <t>Pre Flowers 3</t>
  </si>
  <si>
    <t>Pre Flowers 2</t>
  </si>
  <si>
    <t>Pre Flowers 1</t>
  </si>
  <si>
    <t xml:space="preserve">Pre Flowers </t>
  </si>
  <si>
    <t>Flower 1</t>
  </si>
  <si>
    <t>Stick</t>
  </si>
  <si>
    <t>Flower 2</t>
  </si>
  <si>
    <t>Flower 3</t>
  </si>
  <si>
    <t>Consumables</t>
  </si>
  <si>
    <t>Delivered By</t>
  </si>
  <si>
    <t>Priority</t>
  </si>
  <si>
    <t>Feedback</t>
  </si>
  <si>
    <t>Payment</t>
  </si>
  <si>
    <t>5  del of this cycle   -  1-cycles pmnt   Pending - Collect 4850</t>
  </si>
  <si>
    <t>7  del of this cycle   -  0-cycles pmnt   Completed - Collect 0</t>
  </si>
  <si>
    <t>6  del of this cycle   -  0-cycles pmnt   Completed - Collect 0</t>
  </si>
  <si>
    <t>5  del of this cycle   -  0-cycles pmnt   Completed - Collect 0</t>
  </si>
  <si>
    <t>4  del of this cycle   -  1-cycles pmnt   Pending - Collect 1600</t>
  </si>
  <si>
    <t>2  del of this cycle   -  1-cycles pmnt   Pending - Collect 2300</t>
  </si>
  <si>
    <t>4  del of this cycle   -   0 -cycles pmnt   Completed - Collect 0</t>
  </si>
  <si>
    <t>Y Asiatic ( 14 Inch )</t>
  </si>
  <si>
    <t>P n Y Spray Daisy ( 14 Inch )</t>
  </si>
  <si>
    <t>Rajni ( 14 Inch )</t>
  </si>
  <si>
    <t>Keep Outside of Door -- Don’t Ring bell and don’t call</t>
  </si>
  <si>
    <t>G n W Car ( 14 Inch )</t>
  </si>
  <si>
    <t>Mix Alstroemeria ( 12 Inch )</t>
  </si>
  <si>
    <t>Y Spray Daisy ( 14 Inch )</t>
  </si>
  <si>
    <t>P Spray Daisy ( 14 Inch )</t>
  </si>
  <si>
    <t>FF Sachet + Grass</t>
  </si>
  <si>
    <t>Grass</t>
  </si>
  <si>
    <t>W Asiatic</t>
  </si>
  <si>
    <t>12 + 2</t>
  </si>
  <si>
    <t>Walkin Tissue Wrap</t>
  </si>
  <si>
    <t>BOP + Pur Orchid + W Car</t>
  </si>
  <si>
    <t>5 + 10 + 3</t>
  </si>
  <si>
    <t>Jar Vase Arrangement</t>
  </si>
  <si>
    <t>Rajni + O Asiatic</t>
  </si>
  <si>
    <t>12 + 1</t>
  </si>
  <si>
    <t>Areca palm + Grass</t>
  </si>
  <si>
    <t>R Car + Heliconia + Rajni</t>
  </si>
  <si>
    <t>5 + 1 + 5</t>
  </si>
  <si>
    <t xml:space="preserve">P n W Car </t>
  </si>
  <si>
    <t xml:space="preserve">P n W Car + Rajni </t>
  </si>
  <si>
    <t>P Asiatic + Rajni</t>
  </si>
  <si>
    <t>4 + 8</t>
  </si>
  <si>
    <t>Message</t>
  </si>
  <si>
    <t>P n Y Asiatic + G Button Dausy</t>
  </si>
  <si>
    <t>O Asiatic ( 14 Inch )</t>
  </si>
  <si>
    <t>Sunflower ( 12 Inch )</t>
  </si>
  <si>
    <t>P Asiatic ( 14 Inch )</t>
  </si>
  <si>
    <t>Rajni</t>
  </si>
  <si>
    <t>P n W Glad ( 14 Inch )</t>
  </si>
  <si>
    <t>1  del of this cycle   -  1-cycles pmnt  In Process - Collect 0</t>
  </si>
  <si>
    <t>W Glad ( 14 Inch )</t>
  </si>
  <si>
    <t>2 Limonium</t>
  </si>
  <si>
    <t>2 Limonium + FF Sachet</t>
  </si>
  <si>
    <t>Arrangement</t>
  </si>
  <si>
    <t xml:space="preserve">Pooja Flowes </t>
  </si>
  <si>
    <t>3 Areca palm + 3 Gypsola + FF Sachet</t>
  </si>
  <si>
    <t>Spray Daisy</t>
  </si>
  <si>
    <t>Alstroemeria</t>
  </si>
  <si>
    <t>Sunflower</t>
  </si>
  <si>
    <t>B Daisy</t>
  </si>
  <si>
    <t>Rose</t>
  </si>
  <si>
    <t>Carnation</t>
  </si>
  <si>
    <t>Asiatic</t>
  </si>
  <si>
    <t>Oriental</t>
  </si>
  <si>
    <t>Hydrangea</t>
  </si>
  <si>
    <t>Eustoma</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</si>
  <si>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</si>
  <si>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</si>
  <si>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</si>
  <si>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</si>
  <si>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</si>
  <si>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</si>
  <si>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</si>
  <si>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</si>
  <si>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</si>
  <si>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</si>
  <si>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</si>
  <si>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</si>
  <si>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</si>
  <si>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</si>
  <si>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</si>
  <si>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</si>
  <si>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</si>
  <si>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</si>
  <si>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</si>
  <si>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</si>
  <si>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</si>
  <si>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</si>
  <si>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</si>
  <si>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</si>
  <si>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</si>
  <si>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</si>
  <si>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</si>
  <si>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</si>
  <si>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</si>
  <si>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Leather Fern</t>
  </si>
  <si>
    <t>Cycus Palm</t>
  </si>
  <si>
    <t>O Marigold Lari</t>
  </si>
  <si>
    <t>Y Marigold Lari</t>
  </si>
  <si>
    <t>Ashok Lari</t>
  </si>
  <si>
    <t>Mogra Lari</t>
  </si>
  <si>
    <t>Rajni Lari</t>
  </si>
  <si>
    <t>Daisy Lari</t>
  </si>
  <si>
    <t>Albi Home</t>
  </si>
  <si>
    <t>BPTP Centra 1</t>
  </si>
  <si>
    <t>Big Taal Pam + Hanging Amaranthus + Moss with Cleaner + All best Greens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</si>
</sst>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dd\/mm\/yy"/>
    <numFmt numFmtId="166" formatCode="0.0"/>
  </numFmts>
  <fonts count="28" x14ac:knownFonts="1">
    <font>
      <sz val="11"/>
      <color theme="1"/>
      <name val="Calibri"/>
      <family val="2"/>
      <scheme val="minor"/>
    </font>
    <font>
      <sz val="11"/>
      <color theme="1"/>
      <name val="Calibri"/>
      <family val="2"/>
      <scheme val="minor"/>
    </font>
    <font>
      <b/>
      <sz val="11"/>
      <color theme="0"/>
      <name val="Calibri"/>
      <family val="2"/>
      <scheme val="minor"/>
    </font>
    <font>
      <b/>
      <sz val="12"/>
      <name val="Calibri"/>
      <family val="2"/>
    </font>
    <font>
      <b/>
      <sz val="11"/>
      <name val="Calibri"/>
      <family val="2"/>
    </font>
    <font>
      <b/>
      <sz val="22"/>
      <name val="Calibri"/>
      <family val="2"/>
      <scheme val="minor"/>
    </font>
    <font>
      <b/>
      <sz val="11"/>
      <name val="Calibri"/>
      <family val="2"/>
      <scheme val="minor"/>
    </font>
    <font>
      <sz val="11"/>
      <name val="Calibri"/>
      <family val="2"/>
    </font>
    <font>
      <b/>
      <sz val="11"/>
      <color rgb="FFFFFFFF"/>
      <name val="Calibri"/>
      <family val="2"/>
      <scheme val="minor"/>
    </font>
    <font>
      <u/>
      <sz val="11"/>
      <color theme="10"/>
      <name val="Calibri"/>
      <family val="2"/>
      <scheme val="minor"/>
    </font>
    <font>
      <b/>
      <sz val="10"/>
      <color indexed="8"/>
      <name val="Arial"/>
      <family val="2"/>
    </font>
    <font>
      <b/>
      <sz val="14"/>
      <color theme="1"/>
      <name val="Calibri"/>
      <family val="2"/>
      <scheme val="minor"/>
    </font>
    <font>
      <b/>
      <sz val="10"/>
      <name val="Calibri"/>
      <family val="2"/>
      <scheme val="minor"/>
    </font>
    <font>
      <b/>
      <sz val="11"/>
      <color theme="1"/>
      <name val="Calibri"/>
      <family val="2"/>
      <scheme val="minor"/>
    </font>
    <font>
      <b/>
      <i/>
      <sz val="11"/>
      <color rgb="FF000000"/>
      <name val="Calibri"/>
      <family val="2"/>
      <scheme val="minor"/>
    </font>
    <font>
      <i/>
      <sz val="11"/>
      <color theme="1"/>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b/>
      <i/>
      <sz val="11"/>
      <color theme="1"/>
      <name val="Calibri"/>
      <family val="2"/>
      <scheme val="minor"/>
    </font>
    <font>
      <i/>
      <sz val="10"/>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6C3FF"/>
        <bgColor indexed="64"/>
      </patternFill>
    </fill>
    <fill>
      <patternFill patternType="solid">
        <fgColor rgb="FFFFFF00"/>
        <bgColor indexed="64"/>
      </patternFill>
    </fill>
    <fill>
      <patternFill patternType="solid">
        <fgColor rgb="FF92D050"/>
        <bgColor indexed="64"/>
      </patternFill>
    </fill>
    <fill>
      <patternFill patternType="solid">
        <fgColor rgb="FF7030A0"/>
        <bgColor indexed="64"/>
      </patternFill>
    </fill>
    <fill>
      <patternFill patternType="solid">
        <fgColor rgb="FFAAE571"/>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6">
    <xf numFmtId="0" fontId="0" fillId="0" borderId="0"/>
    <xf numFmtId="0" fontId="1" fillId="0" borderId="0"/>
    <xf numFmtId="0" fontId="9" fillId="0" borderId="0" applyNumberFormat="0" applyFill="0" applyBorder="0" applyAlignment="0" applyProtection="0"/>
    <xf numFmtId="0" fontId="1" fillId="0" borderId="0"/>
    <xf numFmtId="9" fontId="1" fillId="0" borderId="0" applyFont="0" applyFill="0" applyBorder="0" applyAlignment="0" applyProtection="0"/>
    <xf numFmtId="9" fontId="25" fillId="0" borderId="0" applyFont="0" applyFill="0" applyBorder="0" applyAlignment="0" applyProtection="0"/>
  </cellStyleXfs>
  <cellXfs count="77">
    <xf numFmtId="0" fontId="0" fillId="0" borderId="0" xfId="0"/>
    <xf numFmtId="0" fontId="1" fillId="2" borderId="1" xfId="0" applyFont="1" applyFill="1" applyBorder="1" applyAlignment="1">
      <alignment horizontal="center" vertical="center" wrapText="1" shrinkToFit="1"/>
    </xf>
    <xf numFmtId="0" fontId="3" fillId="2" borderId="1" xfId="1" applyFont="1" applyFill="1" applyBorder="1" applyAlignment="1">
      <alignment horizontal="center" vertical="center" wrapText="1" shrinkToFit="1"/>
    </xf>
    <xf numFmtId="1" fontId="3" fillId="2" borderId="1" xfId="1" applyNumberFormat="1" applyFont="1" applyFill="1" applyBorder="1" applyAlignment="1">
      <alignment horizontal="center" vertical="center" wrapText="1" shrinkToFit="1"/>
    </xf>
    <xf numFmtId="0" fontId="4" fillId="2" borderId="1" xfId="1" applyFont="1" applyFill="1" applyBorder="1" applyAlignment="1">
      <alignment horizontal="center" vertical="center" wrapText="1" shrinkToFit="1"/>
    </xf>
    <xf numFmtId="164" fontId="3" fillId="2" borderId="1" xfId="1" applyNumberFormat="1" applyFont="1" applyFill="1" applyBorder="1" applyAlignment="1">
      <alignment horizontal="center" vertical="center" wrapText="1" shrinkToFit="1"/>
    </xf>
    <xf numFmtId="165" fontId="4" fillId="2" borderId="1" xfId="1" applyNumberFormat="1" applyFont="1" applyFill="1" applyBorder="1" applyAlignment="1">
      <alignment horizontal="center" vertical="center" wrapText="1" shrinkToFit="1"/>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0" fontId="6" fillId="2" borderId="1" xfId="0" applyFont="1" applyFill="1" applyBorder="1" applyAlignment="1">
      <alignment horizontal="center" vertical="center" wrapText="1"/>
    </xf>
    <xf numFmtId="0" fontId="7" fillId="2" borderId="1" xfId="1" applyFont="1" applyFill="1" applyBorder="1" applyAlignment="1">
      <alignment horizontal="center" vertical="center" wrapText="1" shrinkToFit="1"/>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wrapText="1" shrinkToFit="1"/>
    </xf>
    <xf numFmtId="0" fontId="8"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shrinkToFit="1"/>
    </xf>
    <xf numFmtId="0" fontId="6" fillId="7"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 fillId="2" borderId="1" xfId="3" applyFill="1" applyBorder="1" applyAlignment="1">
      <alignment horizontal="center" vertical="center" wrapText="1" shrinkToFit="1"/>
    </xf>
    <xf numFmtId="0" fontId="11"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shrinkToFit="1"/>
    </xf>
    <xf numFmtId="0" fontId="2"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7" fillId="5" borderId="1" xfId="1" applyFont="1" applyFill="1" applyBorder="1" applyAlignment="1">
      <alignment horizontal="center" vertical="center" wrapText="1" shrinkToFit="1"/>
    </xf>
    <xf numFmtId="0" fontId="2" fillId="3" borderId="1" xfId="0" applyFont="1" applyFill="1" applyBorder="1" applyAlignment="1">
      <alignment horizontal="center" vertical="center" wrapText="1"/>
    </xf>
    <xf numFmtId="0" fontId="1" fillId="4" borderId="1" xfId="0" applyFont="1" applyFill="1" applyBorder="1" applyAlignment="1">
      <alignment horizontal="center" vertical="center" wrapText="1" shrinkToFit="1"/>
    </xf>
    <xf numFmtId="0" fontId="0" fillId="8" borderId="1" xfId="0" applyFill="1" applyBorder="1" applyAlignment="1">
      <alignment horizontal="center" vertical="center" wrapText="1"/>
    </xf>
    <xf numFmtId="0" fontId="0" fillId="2" borderId="1" xfId="0" applyFill="1" applyBorder="1" applyAlignment="1">
      <alignment horizontal="center" vertical="center"/>
    </xf>
    <xf numFmtId="0" fontId="13" fillId="0" borderId="1" xfId="0" applyFont="1" applyBorder="1" applyAlignment="1">
      <alignment wrapText="1" shrinkToFit="1"/>
    </xf>
    <xf numFmtId="0" fontId="14" fillId="0" borderId="3" xfId="1" applyFont="1" applyBorder="1" applyAlignment="1">
      <alignment horizontal="center" vertical="center" wrapText="1"/>
    </xf>
    <xf numFmtId="0" fontId="14" fillId="2" borderId="1" xfId="1" applyFont="1" applyFill="1" applyBorder="1" applyAlignment="1">
      <alignment horizontal="center" vertical="center" wrapText="1"/>
    </xf>
    <xf numFmtId="0" fontId="14" fillId="0" borderId="1" xfId="1" applyFont="1" applyBorder="1" applyAlignment="1">
      <alignment horizontal="center" vertical="center" wrapText="1"/>
    </xf>
    <xf numFmtId="0" fontId="15" fillId="0" borderId="0" xfId="0" applyFont="1" applyAlignment="1">
      <alignment horizontal="center" vertical="center" wrapText="1"/>
    </xf>
    <xf numFmtId="0" fontId="16" fillId="0" borderId="0" xfId="1" applyFont="1" applyAlignment="1">
      <alignment horizontal="center" vertical="center" wrapText="1"/>
    </xf>
    <xf numFmtId="0" fontId="17" fillId="0" borderId="3" xfId="1" applyFont="1" applyBorder="1" applyAlignment="1">
      <alignment horizontal="center" vertical="center" wrapText="1"/>
    </xf>
    <xf numFmtId="0" fontId="17" fillId="0" borderId="1" xfId="1" applyFont="1" applyBorder="1" applyAlignment="1">
      <alignment horizontal="center" vertical="center" wrapText="1"/>
    </xf>
    <xf numFmtId="1" fontId="15" fillId="0" borderId="0" xfId="0" applyNumberFormat="1" applyFont="1" applyAlignment="1">
      <alignment horizontal="center" vertical="center" wrapText="1"/>
    </xf>
    <xf numFmtId="0" fontId="18" fillId="0" borderId="1" xfId="1" applyFont="1" applyBorder="1" applyAlignment="1">
      <alignment horizontal="center" vertical="center" wrapText="1"/>
    </xf>
    <xf numFmtId="0" fontId="15" fillId="0" borderId="1" xfId="0" applyFont="1" applyBorder="1" applyAlignment="1">
      <alignment horizontal="center" vertical="center" wrapText="1"/>
    </xf>
    <xf numFmtId="2" fontId="17" fillId="0" borderId="1" xfId="1" applyNumberFormat="1" applyFont="1" applyBorder="1" applyAlignment="1">
      <alignment horizontal="center" vertical="center" wrapText="1"/>
    </xf>
    <xf numFmtId="1" fontId="17" fillId="0" borderId="0" xfId="1" applyNumberFormat="1" applyFont="1" applyAlignment="1">
      <alignment horizontal="center" vertical="center" wrapText="1"/>
    </xf>
    <xf numFmtId="1" fontId="18" fillId="0" borderId="1" xfId="1" applyNumberFormat="1" applyFont="1" applyBorder="1" applyAlignment="1">
      <alignment horizontal="center" vertical="center" wrapText="1"/>
    </xf>
    <xf numFmtId="0" fontId="17" fillId="5" borderId="3" xfId="1" applyFont="1" applyFill="1" applyBorder="1" applyAlignment="1">
      <alignment horizontal="center" vertical="center" wrapText="1"/>
    </xf>
    <xf numFmtId="0" fontId="17" fillId="9" borderId="1" xfId="1" applyFont="1" applyFill="1" applyBorder="1" applyAlignment="1">
      <alignment horizontal="center" vertical="center" wrapText="1"/>
    </xf>
    <xf numFmtId="0" fontId="14" fillId="9" borderId="3" xfId="1" applyFont="1" applyFill="1" applyBorder="1" applyAlignment="1">
      <alignment horizontal="center" vertical="center" wrapText="1"/>
    </xf>
    <xf numFmtId="0" fontId="19" fillId="5" borderId="3" xfId="1" applyFont="1" applyFill="1" applyBorder="1" applyAlignment="1">
      <alignment horizontal="center" vertical="center" wrapText="1"/>
    </xf>
    <xf numFmtId="0" fontId="17" fillId="10" borderId="1" xfId="1" applyFont="1" applyFill="1" applyBorder="1" applyAlignment="1">
      <alignment horizontal="center" vertical="center" wrapText="1"/>
    </xf>
    <xf numFmtId="1" fontId="15" fillId="0" borderId="0" xfId="4" applyNumberFormat="1" applyFont="1" applyAlignment="1">
      <alignment horizontal="center" vertical="center" wrapText="1"/>
    </xf>
    <xf numFmtId="0" fontId="19" fillId="2" borderId="3" xfId="1" applyFont="1" applyFill="1" applyBorder="1" applyAlignment="1">
      <alignment horizontal="center" vertical="center" wrapText="1"/>
    </xf>
    <xf numFmtId="0" fontId="14" fillId="6" borderId="3" xfId="1" applyFont="1" applyFill="1" applyBorder="1" applyAlignment="1">
      <alignment horizontal="center" vertical="center" wrapText="1"/>
    </xf>
    <xf numFmtId="0" fontId="14" fillId="6" borderId="1" xfId="1" applyFont="1" applyFill="1" applyBorder="1" applyAlignment="1">
      <alignment horizontal="center" vertical="center" wrapText="1"/>
    </xf>
    <xf numFmtId="0" fontId="14" fillId="5" borderId="3" xfId="1" applyFont="1" applyFill="1" applyBorder="1" applyAlignment="1">
      <alignment horizontal="center" vertical="center" wrapText="1"/>
    </xf>
    <xf numFmtId="1" fontId="14" fillId="0" borderId="1" xfId="1" applyNumberFormat="1" applyFont="1" applyBorder="1" applyAlignment="1">
      <alignment horizontal="center" vertical="center" wrapText="1"/>
    </xf>
    <xf numFmtId="9" fontId="17" fillId="0" borderId="1" xfId="1" applyNumberFormat="1" applyFont="1" applyBorder="1" applyAlignment="1">
      <alignment horizontal="center" vertical="center" wrapText="1"/>
    </xf>
    <xf numFmtId="1" fontId="17" fillId="0" borderId="1" xfId="1" applyNumberFormat="1" applyFont="1" applyBorder="1" applyAlignment="1">
      <alignment horizontal="center" vertical="center" wrapText="1"/>
    </xf>
    <xf numFmtId="166" fontId="17" fillId="0" borderId="1" xfId="1" applyNumberFormat="1" applyFont="1" applyBorder="1" applyAlignment="1">
      <alignment horizontal="center" vertical="center" wrapText="1"/>
    </xf>
    <xf numFmtId="0" fontId="14" fillId="3" borderId="3" xfId="1" applyFont="1" applyFill="1" applyBorder="1" applyAlignment="1">
      <alignment horizontal="center" vertical="center" wrapText="1"/>
    </xf>
    <xf numFmtId="0" fontId="17" fillId="3" borderId="1" xfId="1" applyFont="1" applyFill="1" applyBorder="1" applyAlignment="1">
      <alignment horizontal="center" vertical="center" wrapText="1"/>
    </xf>
    <xf numFmtId="0" fontId="20" fillId="11" borderId="3" xfId="1" applyFont="1" applyFill="1" applyBorder="1" applyAlignment="1">
      <alignment horizontal="center" vertical="center" wrapText="1"/>
    </xf>
    <xf numFmtId="0" fontId="18" fillId="11" borderId="1" xfId="1" applyFont="1" applyFill="1" applyBorder="1" applyAlignment="1">
      <alignment horizontal="center" vertical="center" wrapText="1"/>
    </xf>
    <xf numFmtId="0" fontId="0" fillId="0" borderId="0" xfId="0" applyAlignment="1">
      <alignment horizontal="center"/>
    </xf>
    <xf numFmtId="0" fontId="17" fillId="5" borderId="1" xfId="1" applyFont="1" applyFill="1" applyBorder="1" applyAlignment="1">
      <alignment horizontal="center" vertical="center" wrapText="1"/>
    </xf>
    <xf numFmtId="0" fontId="14" fillId="12" borderId="3" xfId="1" applyFont="1" applyFill="1" applyBorder="1" applyAlignment="1">
      <alignment horizontal="center" vertical="center" wrapText="1"/>
    </xf>
    <xf numFmtId="0" fontId="17" fillId="12" borderId="1" xfId="1" applyFont="1" applyFill="1" applyBorder="1" applyAlignment="1">
      <alignment horizontal="center" vertical="center" wrapText="1"/>
    </xf>
    <xf numFmtId="0" fontId="21" fillId="13" borderId="3" xfId="1" applyFont="1" applyFill="1" applyBorder="1" applyAlignment="1">
      <alignment horizontal="center" vertical="center" wrapText="1"/>
    </xf>
    <xf numFmtId="0" fontId="22" fillId="13" borderId="1" xfId="1" applyFont="1" applyFill="1" applyBorder="1" applyAlignment="1">
      <alignment horizontal="center" vertical="center" wrapText="1"/>
    </xf>
    <xf numFmtId="0" fontId="14" fillId="14" borderId="3" xfId="1" applyFont="1" applyFill="1" applyBorder="1" applyAlignment="1">
      <alignment horizontal="center" vertical="center" wrapText="1"/>
    </xf>
    <xf numFmtId="0" fontId="23" fillId="14" borderId="1" xfId="1" applyFont="1" applyFill="1" applyBorder="1" applyAlignment="1">
      <alignment horizontal="center" vertical="center" wrapText="1"/>
    </xf>
    <xf numFmtId="0" fontId="24" fillId="0" borderId="4" xfId="0" applyFont="1" applyBorder="1" applyAlignment="1">
      <alignment horizontal="center" vertical="center" wrapText="1"/>
    </xf>
    <xf numFmtId="0" fontId="24" fillId="0" borderId="1" xfId="0" applyFont="1" applyBorder="1" applyAlignment="1">
      <alignment horizontal="center" vertical="center" wrapText="1"/>
    </xf>
    <xf numFmtId="9" fontId="15" fillId="0" borderId="0" xfId="5" applyFont="1" applyAlignment="1">
      <alignment horizontal="center"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15" fillId="0" borderId="0" xfId="0" quotePrefix="1" applyFont="1" applyAlignment="1">
      <alignment horizontal="center" vertical="center" wrapText="1"/>
    </xf>
  </cellXfs>
  <cellStyles count="6">
    <cellStyle name="Hyperlink 2" xfId="2" xr:uid="{720315E9-3E55-4736-B349-5DACEFBD90AE}"/>
    <cellStyle name="Normal" xfId="0" builtinId="0"/>
    <cellStyle name="Normal 2" xfId="1" xr:uid="{AF74B7B6-D585-4428-9A7C-57D853AE86B3}"/>
    <cellStyle name="Normal 25" xfId="3" xr:uid="{601E0029-43ED-4329-BDFE-E5E6899C4553}"/>
    <cellStyle name="Percent" xfId="4" builtinId="5"/>
    <cellStyle name="Percent 2" xfId="5" xr:uid="{87DD4076-C191-410D-BC95-CA97A78A19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13).xlsx" TargetMode="External"/><Relationship Id="rId1" Type="http://schemas.openxmlformats.org/officeDocument/2006/relationships/externalLinkPath" Target="file:///C:\Users\Amit%20Tripathi\Downloads\Feedback%20July%2026%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3-06-26"/>
      <sheetName val="24-06-26"/>
      <sheetName val="25-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row r="2">
          <cell r="A2">
            <v>31</v>
          </cell>
          <cell r="B2" t="str">
            <v>Ms. Ritika puri</v>
          </cell>
          <cell r="C2">
            <v>9871457770</v>
          </cell>
          <cell r="D2" t="str">
            <v>1004, Abhinandan Society, Sec-51</v>
          </cell>
          <cell r="E2" t="str">
            <v>Artemis</v>
          </cell>
          <cell r="F2" t="str">
            <v>Sunday</v>
          </cell>
          <cell r="G2" t="str">
            <v>9 AM - 12 PM</v>
          </cell>
          <cell r="H2">
            <v>999</v>
          </cell>
          <cell r="I2">
            <v>249.75</v>
          </cell>
          <cell r="J2" t="str">
            <v>Delight</v>
          </cell>
          <cell r="K2" t="str">
            <v>Car n Rose Alternate-Pink/Orange/White-No Red Ever(19/05) Day changed to Saturday(25/05)Pls refund 330 to customer(03/06)Pls send a avse on next del(09/06)Rtrnd today-send tomorrow(11/08)Skip today n send from next week(27/10)Today return-send tom(01/12) Returend-send next week (02/12) NO ROSE n ORCHID, prefer Car n Lilies(04/01)Return-send tom(05/01) 1st Del on sat n then sunday(29/08) CAR n ASIATIC ALWAYS(15/09) Today returnde-send tom(20/10) Today missed- send from next week(19/01) car and Daisy , Mix and sometime change(25/09/20) Return-send next week(15/10) Return-send next week(24/10)1050b Paytm from Bhupesh Sharma and 2100 from Ritika Puri (25/10) Upgrade to Joy and Only Asiatic Lily or 20 Sticks(08/03) Recieved another transfer from Bhupesh Sharma today(31/07) 1st Del on wed (17/10) Skip 1 week (10/07) Hold n start from 2nd week of June and inform before sending (08/05) No Orchids . Diasy and Sunflowers (28/01) HDTNP (08/03) HDTNP (15/03) HDTNP (12/04) HDTNP (03/05)</v>
          </cell>
          <cell r="L2" t="str">
            <v>Rose n Daisy n Sunflower</v>
          </cell>
          <cell r="N2" t="str">
            <v>4  del of this cycle   -  0-cycles pmnt   Completed - Collect 0</v>
          </cell>
          <cell r="O2" t="e">
            <v>#N/A</v>
          </cell>
          <cell r="P2" t="e">
            <v>#N/A</v>
          </cell>
          <cell r="Q2" t="str">
            <v>R n W Car ( 14 inch ) 9     FF Sachet + Grass</v>
          </cell>
          <cell r="R2" t="str">
            <v>O Asiatic ( 15 inch ) 2     Grass</v>
          </cell>
          <cell r="S2" t="str">
            <v>P n W Glad ( 14 Inch ) 9     Grass</v>
          </cell>
          <cell r="T2" t="str">
            <v>Mix Alstroemeria ( 12 Inch ) 9     FF Sachet + Grass</v>
          </cell>
        </row>
        <row r="3">
          <cell r="A3">
            <v>2786</v>
          </cell>
          <cell r="B3" t="str">
            <v>Aadarsh</v>
          </cell>
          <cell r="C3">
            <v>9739947695</v>
          </cell>
          <cell r="D3" t="str">
            <v>D-16/11, 1st Floor, Block D, Aardee City</v>
          </cell>
          <cell r="E3" t="str">
            <v>Sushant Estate</v>
          </cell>
          <cell r="F3" t="str">
            <v>Sunday</v>
          </cell>
          <cell r="G3" t="str">
            <v>9 AM - 12 PM</v>
          </cell>
          <cell r="H3">
            <v>999</v>
          </cell>
          <cell r="I3">
            <v>249.75</v>
          </cell>
          <cell r="J3" t="str">
            <v>Delight</v>
          </cell>
          <cell r="K3" t="str">
            <v>Skip next week and send on 07th Aug (20/07) Replacement tom (31/08) 1st Del tom and then every Sunday (10/12) Hold today (04/01) Hold due to non payment (08/02) HDTNP (15/02) HDTNP (22/02) HDTNP (01/03) HDTNP (08/03) Hold till 03rd May (06/04)</v>
          </cell>
          <cell r="M3" t="str">
            <v>Skip next week and send on 07th Aug (20/07)</v>
          </cell>
          <cell r="N3" t="str">
            <v>2  del of this cycle   -  0-cycles pmnt   Completed - Collect 0</v>
          </cell>
          <cell r="O3" t="e">
            <v>#N/A</v>
          </cell>
          <cell r="P3" t="str">
            <v>Shd Pur n P Car ( 14 Inch ) 9     FF Sachet + Grass</v>
          </cell>
          <cell r="Q3" t="str">
            <v>Sunflower ( 15 inch ) 2     Grass</v>
          </cell>
          <cell r="R3" t="str">
            <v>O Asiatic ( 15 inch ) 2     Grass</v>
          </cell>
          <cell r="S3" t="str">
            <v>R n W Car( 14 Inch)  9     FF Sachet + Grass</v>
          </cell>
          <cell r="T3" t="str">
            <v>Mix Alstroemeria ( 12 Inch ) 9     FF Sachet + Grass</v>
          </cell>
        </row>
        <row r="4">
          <cell r="A4">
            <v>3347</v>
          </cell>
          <cell r="B4" t="str">
            <v>Damini Dasgupta</v>
          </cell>
          <cell r="C4">
            <v>9874672103</v>
          </cell>
          <cell r="D4" t="str">
            <v>Flat No. 102, @nd Floor, Satguru Appartments, Sec 52, Wazirabad</v>
          </cell>
          <cell r="E4" t="str">
            <v>Sector 56</v>
          </cell>
          <cell r="F4" t="str">
            <v>Sunday</v>
          </cell>
          <cell r="G4" t="str">
            <v>9 AM - 12 PM</v>
          </cell>
          <cell r="H4">
            <v>1950</v>
          </cell>
          <cell r="I4">
            <v>487.5</v>
          </cell>
          <cell r="J4" t="str">
            <v>Joy</v>
          </cell>
          <cell r="K4" t="str">
            <v>Skip 1 week (09/05) Returned today (17/05)</v>
          </cell>
          <cell r="N4" t="str">
            <v>4  del of this cycle   -  0-cycles pmnt   Completed - Collect 0</v>
          </cell>
          <cell r="O4" t="str">
            <v>Pur n P Car  22     FF Sachet + Grass</v>
          </cell>
          <cell r="P4" t="e">
            <v>#N/A</v>
          </cell>
          <cell r="Q4" t="str">
            <v>P n Y Spray Daisy ( 15 inch ) 7     FF Sachet + Grass</v>
          </cell>
          <cell r="R4" t="str">
            <v>O Asiatic ( 15 inch ) 4     Grass</v>
          </cell>
          <cell r="S4" t="str">
            <v>P n W Glad ( 14 Inch ) 22     Grass</v>
          </cell>
          <cell r="T4" t="str">
            <v>Mix Alstroemeria ( 12 Inch ) 32     FF Sachet + Grass</v>
          </cell>
        </row>
        <row r="5">
          <cell r="A5">
            <v>3245</v>
          </cell>
          <cell r="B5" t="str">
            <v>Parul Parihar</v>
          </cell>
          <cell r="C5">
            <v>9999903582</v>
          </cell>
          <cell r="D5" t="str">
            <v>502, Adhunik Appartments, Sec 52</v>
          </cell>
          <cell r="E5" t="str">
            <v>Artemis</v>
          </cell>
          <cell r="F5" t="str">
            <v>Sunday</v>
          </cell>
          <cell r="G5" t="str">
            <v>9 AM - 12 PM</v>
          </cell>
          <cell r="H5">
            <v>1450</v>
          </cell>
          <cell r="I5">
            <v>362.5</v>
          </cell>
          <cell r="J5" t="str">
            <v>Bliss</v>
          </cell>
          <cell r="N5" t="str">
            <v>2  del of this cycle   -  0-cycles pmnt   Completed - Collect 0</v>
          </cell>
          <cell r="O5" t="str">
            <v>P n Y Spray Daisy ( 16 Inch )  5     FF Sachet + Grass</v>
          </cell>
          <cell r="P5" t="str">
            <v>P n W Glad ( 15 Inch ) 16     Grass</v>
          </cell>
          <cell r="Q5" t="str">
            <v>Mix Alstroemeria ( 14 inch ) 16     FF Sachet + Grass</v>
          </cell>
          <cell r="R5" t="str">
            <v>O Asiatic ( 15 inch ) 3     Grass</v>
          </cell>
          <cell r="S5" t="str">
            <v>P n W Car ( 14 inch ) 16     FF Sachet + Grass</v>
          </cell>
          <cell r="T5" t="str">
            <v>P n W Spray Daisy ( 14 Inch) 5     FF Sachet + Grass</v>
          </cell>
        </row>
        <row r="6">
          <cell r="A6">
            <v>2467</v>
          </cell>
          <cell r="B6" t="str">
            <v>Poorva Gera</v>
          </cell>
          <cell r="C6">
            <v>9891144787</v>
          </cell>
          <cell r="D6" t="str">
            <v>E-56, 1st Floor, Aarde City, Sec 52</v>
          </cell>
          <cell r="E6" t="str">
            <v>Sushant Estate</v>
          </cell>
          <cell r="F6" t="str">
            <v>Sunday</v>
          </cell>
          <cell r="G6" t="str">
            <v>10 AM to 2:30 PM</v>
          </cell>
          <cell r="H6">
            <v>999</v>
          </cell>
          <cell r="I6">
            <v>249.75</v>
          </cell>
          <cell r="J6" t="str">
            <v>Delight</v>
          </cell>
          <cell r="K6" t="str">
            <v>Skip 2 week (22/12) Skip 2 week (23/02) Skip 1 week (31/03) Hold for 1 month (21/04)</v>
          </cell>
          <cell r="N6" t="str">
            <v>3  del of this cycle   -  0-cycles pmnt   Completed - Collect 0</v>
          </cell>
          <cell r="O6" t="e">
            <v>#N/A</v>
          </cell>
          <cell r="P6" t="e">
            <v>#N/A</v>
          </cell>
          <cell r="Q6" t="e">
            <v>#N/A</v>
          </cell>
          <cell r="R6" t="str">
            <v>P n W Car ( 14 Inch ) 9     FF Sachet + Grass</v>
          </cell>
          <cell r="S6" t="str">
            <v>Y Spray Daisy ( 15 Inch ) 3     FF Sachet + Grass</v>
          </cell>
          <cell r="T6" t="str">
            <v>Mix Alstroemeria ( 12 Inch ) 9     FF Sachet + Grass</v>
          </cell>
        </row>
        <row r="7">
          <cell r="A7">
            <v>3358</v>
          </cell>
          <cell r="B7" t="str">
            <v>Prasenjit</v>
          </cell>
          <cell r="C7">
            <v>9990903321</v>
          </cell>
          <cell r="D7" t="str">
            <v>T-10/1001, Vipul Belmonte</v>
          </cell>
          <cell r="E7" t="str">
            <v>DLF Phase 5</v>
          </cell>
          <cell r="F7" t="str">
            <v>Sunday</v>
          </cell>
          <cell r="G7" t="str">
            <v>9 AM - 12 PM</v>
          </cell>
          <cell r="H7">
            <v>1950</v>
          </cell>
          <cell r="I7">
            <v>487.5</v>
          </cell>
          <cell r="J7" t="str">
            <v>Joy</v>
          </cell>
          <cell r="K7" t="str">
            <v xml:space="preserve">Send Long stem </v>
          </cell>
          <cell r="M7" t="str">
            <v>Long Stem// Seasonal Next (24/05)</v>
          </cell>
          <cell r="N7" t="str">
            <v>1  del of this cycle   -  0-cycles pmnt   Completed - Collect 0</v>
          </cell>
          <cell r="O7" t="e">
            <v>#N/A</v>
          </cell>
          <cell r="P7" t="str">
            <v>Shd Pur n P Car ( 14 Inch ) 22     FF Sachet + Grass</v>
          </cell>
          <cell r="Q7" t="str">
            <v>P n Y Spray Daisy -- Long Stems 7     FF Sachet + Grass</v>
          </cell>
          <cell r="R7" t="str">
            <v>O Asiatic ( 15 inch ) 4     Grass</v>
          </cell>
          <cell r="S7" t="str">
            <v>P n W Glad ( 14 Inch ) 22     Grass</v>
          </cell>
          <cell r="T7" t="str">
            <v>Mix Alstroemeria ( 12 Inch ) 22     FF Sachet + Grass</v>
          </cell>
        </row>
        <row r="8">
          <cell r="A8">
            <v>3282</v>
          </cell>
          <cell r="B8" t="str">
            <v>Pluang Technologies India Pvt. Ltd.</v>
          </cell>
          <cell r="C8">
            <v>9650723437</v>
          </cell>
          <cell r="D8" t="str">
            <v>13th Floor, Magnum Global Park, Sec 58</v>
          </cell>
          <cell r="E8" t="str">
            <v>Ghata</v>
          </cell>
          <cell r="F8" t="str">
            <v>Sunday</v>
          </cell>
          <cell r="G8" t="str">
            <v>4 Pm to 7 PM</v>
          </cell>
          <cell r="H8">
            <v>1950</v>
          </cell>
          <cell r="I8">
            <v>487.5</v>
          </cell>
          <cell r="J8" t="str">
            <v>Joy</v>
          </cell>
          <cell r="K8" t="str">
            <v>Payment from Vibhuti --997176764 (10/03) Paytm From Sahiba Sachdeva (08/04)</v>
          </cell>
          <cell r="N8" t="str">
            <v>2  del of this cycle   -  0-cycles pmnt   Completed - Collect 0</v>
          </cell>
          <cell r="O8" t="str">
            <v>P n Y Spray Daisy ( 16 Inch )  4 P n W Glad 11   FF Sachet + Grass</v>
          </cell>
          <cell r="P8" t="str">
            <v>Sunflower ( 15 Inch ) 3 Mix Alstroemeria ( 14 Inch )  11   Grass</v>
          </cell>
          <cell r="Q8" t="str">
            <v>Y Asiatic ( 15 inch ) 2 P n W Car ( 14 inch ) 11   Grass</v>
          </cell>
          <cell r="R8" t="str">
            <v>Spray Daisy 4 P n W Glad ( 14 inch ) 11   Grass</v>
          </cell>
          <cell r="S8" t="str">
            <v>Pur n P Eustoma ( 12 Inch ) 2 B Daisy 11   FF Sachet + garss</v>
          </cell>
          <cell r="T8" t="str">
            <v>Sunflower ( 12 Inch ) 3 Mix Alstroemeria ( 12 Inch ) 11   FF Sachet + Grass</v>
          </cell>
        </row>
        <row r="9">
          <cell r="A9">
            <v>3243</v>
          </cell>
          <cell r="B9" t="str">
            <v>Muskan</v>
          </cell>
          <cell r="C9">
            <v>9877561166</v>
          </cell>
          <cell r="D9" t="str">
            <v>Floor - 6, Flat 601, Milan Appartment, CGHS</v>
          </cell>
          <cell r="E9" t="str">
            <v>Artemis</v>
          </cell>
          <cell r="F9" t="str">
            <v>Sunday</v>
          </cell>
          <cell r="G9" t="str">
            <v>10 AM to 2:30 PM</v>
          </cell>
          <cell r="H9">
            <v>1950</v>
          </cell>
          <cell r="I9">
            <v>487.5</v>
          </cell>
          <cell r="J9" t="str">
            <v>Joy</v>
          </cell>
          <cell r="K9" t="str">
            <v>One Kind // Day Sunday (26/03) Mix in Joy (23/04)</v>
          </cell>
          <cell r="M9" t="str">
            <v>Mix in Joy (23/04)</v>
          </cell>
          <cell r="N9" t="str">
            <v>3  del of this cycle   -  0-cycles pmnt   Completed - Collect 0</v>
          </cell>
          <cell r="O9" t="str">
            <v>Mix Alstroemeria 22     FF Sachet + Grass</v>
          </cell>
          <cell r="P9" t="str">
            <v>R n W Car 22     FF Sachet + Grass</v>
          </cell>
          <cell r="Q9" t="str">
            <v>Sunflower ( 15 inch ) 3 P n W Glad ( 14 inch ) 10   Grass</v>
          </cell>
          <cell r="R9" t="str">
            <v>O Asiatic ( 15 inch ) 4     Grass</v>
          </cell>
          <cell r="S9" t="str">
            <v>P n W Glad ( 14 Inch ) 22     Grass</v>
          </cell>
          <cell r="T9" t="str">
            <v>P n Y Spray Daisy ( 14 Inch ) 7     FF Sachet + Grass</v>
          </cell>
        </row>
        <row r="10">
          <cell r="A10">
            <v>3154</v>
          </cell>
          <cell r="B10" t="str">
            <v>Ramjot kaur</v>
          </cell>
          <cell r="C10">
            <v>9711000358</v>
          </cell>
          <cell r="D10" t="str">
            <v>Plot no. 447, The Palm Crest, 3rd Floor, Behind Lotus School</v>
          </cell>
          <cell r="E10" t="str">
            <v>Nirvana Country</v>
          </cell>
          <cell r="F10" t="str">
            <v>Sunday</v>
          </cell>
          <cell r="G10" t="str">
            <v>9 AM - 12 PM</v>
          </cell>
          <cell r="H10">
            <v>999</v>
          </cell>
          <cell r="I10">
            <v>249.75</v>
          </cell>
          <cell r="J10" t="str">
            <v>Delight</v>
          </cell>
          <cell r="N10" t="str">
            <v>3  del of this cycle   -  0-cycles pmnt   Completed - Collect 0</v>
          </cell>
          <cell r="O10" t="str">
            <v>R n W Car  9     FF Sachet + Grass</v>
          </cell>
          <cell r="P10" t="str">
            <v>P Spray Daisy ( 15 Inch ) 3     FF Sachet + Grass</v>
          </cell>
          <cell r="Q10" t="str">
            <v>Mix Alstroemeria ( 14 inch ) 9     FF Sachet + Grass</v>
          </cell>
          <cell r="R10" t="str">
            <v>O Asiatic ( 15 inch ) 2     Grass</v>
          </cell>
          <cell r="S10" t="str">
            <v>P n W Glad ( 14 Inch ) 9     Grass</v>
          </cell>
          <cell r="T10" t="str">
            <v>Pur n P Car ( 14 Inch ) 9     FF Sachet + Grass</v>
          </cell>
        </row>
        <row r="11">
          <cell r="A11">
            <v>2580</v>
          </cell>
          <cell r="B11" t="str">
            <v>Davinder Singh</v>
          </cell>
          <cell r="C11">
            <v>9999653332</v>
          </cell>
          <cell r="D11" t="str">
            <v>T-12/002, Close North</v>
          </cell>
          <cell r="E11" t="str">
            <v>Nirvana Country</v>
          </cell>
          <cell r="F11" t="str">
            <v>Sunday</v>
          </cell>
          <cell r="G11" t="str">
            <v>9 AM - 12 PM</v>
          </cell>
          <cell r="H11">
            <v>1450</v>
          </cell>
          <cell r="I11">
            <v>362.5</v>
          </cell>
          <cell r="J11" t="str">
            <v>Bliss</v>
          </cell>
          <cell r="K11" t="str">
            <v xml:space="preserve"> Hold due to non payment (12/10) Hold due to non payment (20/12) Hold due to non payment (18/01) Hold due to non payment (25/01) Hold due to non payment (01/02) Hold due to non payment (08/02) HDTNP (15/02) HDTNP (22/02) Skip 1 week (18/04)</v>
          </cell>
          <cell r="N11" t="str">
            <v>3  del of this cycle   -  0-cycles pmnt   Completed - Collect 0</v>
          </cell>
          <cell r="O11" t="str">
            <v>Pur Eustoma ( 15 Inch)  2 Mix Car 7   FF Sachet + Grass</v>
          </cell>
          <cell r="P11" t="str">
            <v>P Spray Daisy ( 15 Inch ) 3 Mix Alstroemeria ( 14 Inch )  7   FF Sachet + Grass</v>
          </cell>
          <cell r="Q11" t="str">
            <v>P Asiatic ( 15 inch ) 2 P n W Glad ( 14 inch ) 7   Grass</v>
          </cell>
          <cell r="R11" t="str">
            <v>O Asiatic ( 15 inch ) 2 P n W Car ( 14 inch ) 7   Grass</v>
          </cell>
          <cell r="S11" t="str">
            <v>P Eustoma ( 12 Inch )  2 Mix Glad ( 12 Inch ) 7   FF Sachet + Grass</v>
          </cell>
          <cell r="T11" t="str">
            <v>Y Spray Daisy ( 14 Inch ) 3 Mix Alstroemeria ( 12 Inch ) 7   FF Sachet + Grass</v>
          </cell>
        </row>
        <row r="12">
          <cell r="A12">
            <v>2639</v>
          </cell>
          <cell r="B12" t="str">
            <v>Bhanupriya Sharma</v>
          </cell>
          <cell r="C12">
            <v>9799191916</v>
          </cell>
          <cell r="D12" t="str">
            <v>37, Abundance Appartment, 4th Floor, D Block, Indira Colony-2, Sec 52 , Behind Arihant Hospital</v>
          </cell>
          <cell r="E12" t="str">
            <v>Artemis</v>
          </cell>
          <cell r="F12" t="str">
            <v>Sunday</v>
          </cell>
          <cell r="G12" t="str">
            <v>9 AM - 12 PM</v>
          </cell>
          <cell r="H12">
            <v>1450</v>
          </cell>
          <cell r="I12">
            <v>487.5</v>
          </cell>
          <cell r="J12" t="str">
            <v>Bliss</v>
          </cell>
          <cell r="K12" t="str">
            <v>Skip 1 week (16/05) today returned (06/07) Change day to delight (02/11) Paytm from Rajeev Bhambani (05/11) Upgrade to Bliss (24/01) Paytm From Aluma Care (25/03) No Lily (16/05)</v>
          </cell>
          <cell r="L12" t="str">
            <v>Lily</v>
          </cell>
          <cell r="M12" t="str">
            <v>One kInd in Bliss</v>
          </cell>
          <cell r="N12" t="str">
            <v>4  del of this cycle   -  0-cycles pmnt   Completed - Collect 0</v>
          </cell>
          <cell r="O12" t="str">
            <v>P Asiatic ( 16 Inch Height) 1 Rajni ( 16 inch )  11   Grass</v>
          </cell>
          <cell r="P12" t="str">
            <v>G n W Spray Daisy 4 P n W Glad ( 15 inch) 11   FF Sachet + Grass</v>
          </cell>
          <cell r="Q12" t="str">
            <v>Sunflower ( 15 inch ) 4     FF Sachet + Grass</v>
          </cell>
          <cell r="R12" t="str">
            <v>Eustoma 3 Y Glad 11   Grass</v>
          </cell>
          <cell r="S12" t="str">
            <v>Mix Spray Daisy 3 R n W Car ( 14 Inch ) 7   Grass</v>
          </cell>
          <cell r="T12" t="str">
            <v>Mix Alstroemeria ( 12 Inch ) 16     FF Sachet + Grass</v>
          </cell>
        </row>
        <row r="13">
          <cell r="A13">
            <v>1898</v>
          </cell>
          <cell r="B13" t="str">
            <v>Shipra</v>
          </cell>
          <cell r="C13">
            <v>8447778677</v>
          </cell>
          <cell r="D13" t="str">
            <v xml:space="preserve">C-94 Trinity </v>
          </cell>
          <cell r="E13" t="str">
            <v>DLF Phase 5</v>
          </cell>
          <cell r="F13" t="str">
            <v>Saturday</v>
          </cell>
          <cell r="G13" t="str">
            <v>4 Pm to 7 PM</v>
          </cell>
          <cell r="H13">
            <v>1600</v>
          </cell>
          <cell r="I13">
            <v>200</v>
          </cell>
          <cell r="J13" t="str">
            <v>Bloom</v>
          </cell>
          <cell r="K13"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v>
          </cell>
          <cell r="N13" t="str">
            <v>3  del of this cycle   -  0-cycles pmnt   Completed - Collect 0</v>
          </cell>
          <cell r="O13" t="str">
            <v>Mix Car 7     FF Sachet + Grass</v>
          </cell>
          <cell r="P13" t="e">
            <v>#N/A</v>
          </cell>
          <cell r="Q13" t="str">
            <v>P n W Car ( 14 inch ) 7     FF Sachet + Grass</v>
          </cell>
          <cell r="R13" t="str">
            <v>P Spray Daisy ( 15 inch ) 2     FF sachet + Grass</v>
          </cell>
          <cell r="S13" t="str">
            <v>Mix Car  7     FF Sachet + Grass</v>
          </cell>
          <cell r="T13" t="str">
            <v>P n W Glad ( 14 Inch ) 7     Grass</v>
          </cell>
        </row>
        <row r="14">
          <cell r="A14">
            <v>2869</v>
          </cell>
          <cell r="B14" t="str">
            <v>Jaya Wanchoo</v>
          </cell>
          <cell r="C14">
            <v>8130245666</v>
          </cell>
          <cell r="D14" t="str">
            <v xml:space="preserve">T-8/603, The Close North
</v>
          </cell>
          <cell r="E14" t="str">
            <v>Nirvana Country</v>
          </cell>
          <cell r="F14" t="str">
            <v>Sunday</v>
          </cell>
          <cell r="G14" t="str">
            <v>10 AM to 2:30 PM</v>
          </cell>
          <cell r="H14">
            <v>2750</v>
          </cell>
          <cell r="I14">
            <v>687.5</v>
          </cell>
          <cell r="J14" t="str">
            <v>Elation</v>
          </cell>
          <cell r="N14" t="str">
            <v>4  del of this cycle   -  0-cycles pmnt   Completed - Collect 0</v>
          </cell>
          <cell r="O14" t="str">
            <v>P n W Spray Daisy ( 16 Inch )  5 P n W Car 16   2 Limonium + Ff Sachet</v>
          </cell>
          <cell r="P14" t="str">
            <v>Pur n W Eustoma ( 14 Inch ) 4 Mix Alstroemeria ( 14 Inch )  16   2 Gypsola + FF Sachet</v>
          </cell>
          <cell r="Q14" t="str">
            <v>P Asiatic ( 15 inch ) 3 Rajni 16   2 Limonium</v>
          </cell>
          <cell r="R14" t="str">
            <v>Sunflower 4 P n W Car ( 14 inch ) 16   2 Gypsola + FF Sachet</v>
          </cell>
          <cell r="S14" t="str">
            <v>P n Y Spray Daisy ( 15 Inch ) 5 P n W Glad ( 12 Inch ) 16   2 Limonium + FF aschet</v>
          </cell>
          <cell r="T14" t="str">
            <v>Pur n P Eustoma ( 12 Inch ) 4 Mix Alstroemeria ( 12 Inch ) 16   2 Gypsola + FF sachet</v>
          </cell>
        </row>
        <row r="15">
          <cell r="A15">
            <v>2878</v>
          </cell>
          <cell r="B15" t="str">
            <v>Aditi Bhatt</v>
          </cell>
          <cell r="C15">
            <v>7506091115</v>
          </cell>
          <cell r="D15" t="str">
            <v>D-225, 2nd Floor, Sushant Lok-2, Sec 56</v>
          </cell>
          <cell r="E15" t="str">
            <v>Sector 56</v>
          </cell>
          <cell r="F15" t="str">
            <v>Sunday</v>
          </cell>
          <cell r="G15" t="str">
            <v>9 AM - 12 PM</v>
          </cell>
          <cell r="H15">
            <v>999</v>
          </cell>
          <cell r="I15">
            <v>249.75</v>
          </cell>
          <cell r="J15" t="str">
            <v>Delight</v>
          </cell>
          <cell r="K15"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v>
          </cell>
          <cell r="M15" t="str">
            <v>No White Local Gypsy</v>
          </cell>
          <cell r="N15" t="str">
            <v>4  del of this cycle   -  0-cycles pmnt   Completed - Collect 0</v>
          </cell>
          <cell r="O15" t="str">
            <v>P Asiatic ( 16 Inch Height) 3     Grass</v>
          </cell>
          <cell r="P15" t="str">
            <v>Mix Alstroemeria ( 14 Inch ) 9     FF Sachet + Grass</v>
          </cell>
          <cell r="Q15" t="str">
            <v>P Spray Daisy ( 15 inch ) 3 No White Greens    FF Sachet + Grass</v>
          </cell>
          <cell r="R15" t="str">
            <v>P n W Glad ( 14 inch ) 9     Grass</v>
          </cell>
          <cell r="S15" t="str">
            <v>O Asiatic ( 15 Inch ) 2     Grass</v>
          </cell>
          <cell r="T15" t="str">
            <v>Pur n P Car ( 14 Inch ) 9     FF Sachet + Grass</v>
          </cell>
        </row>
        <row r="16">
          <cell r="A16">
            <v>257</v>
          </cell>
          <cell r="B16" t="str">
            <v>Mrs Munjal -- After 5 PM</v>
          </cell>
          <cell r="C16">
            <v>9818871139</v>
          </cell>
          <cell r="D16" t="str">
            <v>B- 22 Sushant Lok 2, sector 56 (Behind sector 56 police station)</v>
          </cell>
          <cell r="E16" t="str">
            <v>Sector 56</v>
          </cell>
          <cell r="F16" t="str">
            <v>Sunday</v>
          </cell>
          <cell r="G16" t="str">
            <v>9 AM - 12 PM</v>
          </cell>
          <cell r="H16">
            <v>1450</v>
          </cell>
          <cell r="I16">
            <v>362.5</v>
          </cell>
          <cell r="J16" t="str">
            <v>Bliss</v>
          </cell>
          <cell r="K16"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16" t="str">
            <v>2  del of this cycle   -  0-cycles pmnt   Completed - Collect 0</v>
          </cell>
          <cell r="O16" t="str">
            <v>Mix Spray Daisy 5     FF Sachet + Grass</v>
          </cell>
          <cell r="P16" t="str">
            <v>R n W Car ( 14 inch ) 16     FF Sachet + Grass</v>
          </cell>
          <cell r="Q16" t="str">
            <v>Mix Alstroemeria ( 14 inch ) 16     FF Sachet + Grass</v>
          </cell>
          <cell r="R16" t="str">
            <v>O Asiatic ( 15 inch ) 3     Grass</v>
          </cell>
          <cell r="S16" t="str">
            <v>P n W Glad ( 14 Inch ) 16     Grass</v>
          </cell>
          <cell r="T16" t="str">
            <v>P n Y Spray Daisy ( 14 Inch ) 5     FF Sachet + Grass</v>
          </cell>
        </row>
        <row r="17">
          <cell r="A17">
            <v>2707</v>
          </cell>
          <cell r="B17" t="str">
            <v>Mrigal Vora Puri</v>
          </cell>
          <cell r="C17">
            <v>9903474654</v>
          </cell>
          <cell r="D17" t="str">
            <v>T-6A/1103, Valley View Estate</v>
          </cell>
          <cell r="E17" t="str">
            <v>Ghata</v>
          </cell>
          <cell r="F17" t="str">
            <v>Sunday</v>
          </cell>
          <cell r="G17" t="str">
            <v>9 AM - 12 PM</v>
          </cell>
          <cell r="H17">
            <v>1450</v>
          </cell>
          <cell r="I17">
            <v>362.5</v>
          </cell>
          <cell r="J17" t="str">
            <v>Bliss</v>
          </cell>
          <cell r="K17" t="str">
            <v>Glad Next (20/06) Hold today (05/1) Hold due to non payment (01/02) Hold due to non payment (08/02) HDTNP (15/02) Skip 1 week (04/04) HDTNP (03/05) HDTNP (10/05)</v>
          </cell>
          <cell r="M17" t="str">
            <v>Glad Next (20/06)</v>
          </cell>
          <cell r="N17" t="str">
            <v>1  del of this cycle   -  1-cycles pmnt   Pending - Collect 1450</v>
          </cell>
          <cell r="O17" t="e">
            <v>#N/A</v>
          </cell>
          <cell r="P17" t="e">
            <v>#N/A</v>
          </cell>
          <cell r="Q17" t="str">
            <v>Collect Rs 725 Carry Change and Receipt Book     FF Sachet + Grass</v>
          </cell>
          <cell r="R17" t="str">
            <v>O Asiatic ( 15 inch ) 2 P n W Glad ( 14 inch ) 7   Grass</v>
          </cell>
          <cell r="S17" t="str">
            <v>Y Spray Daisy ( 15 Inch ) 3 P n W Car ( 14 Inch ) 7   FF Sachet + Grass</v>
          </cell>
          <cell r="T17" t="str">
            <v>Pur Eustoma ( 12 Inch ) 2 Mix Alstroemeria ( 12 Inch ) 7   FF Sachet + Grass</v>
          </cell>
        </row>
        <row r="18">
          <cell r="A18">
            <v>3214</v>
          </cell>
          <cell r="B18" t="str">
            <v>Sheeba Rana</v>
          </cell>
          <cell r="C18">
            <v>9958849523</v>
          </cell>
          <cell r="D18" t="str">
            <v>T-14/1202, The Close North</v>
          </cell>
          <cell r="E18" t="str">
            <v>Nirvana Country</v>
          </cell>
          <cell r="F18" t="str">
            <v>Sunday</v>
          </cell>
          <cell r="G18" t="str">
            <v>10 AM to 2:30 PM</v>
          </cell>
          <cell r="H18">
            <v>999</v>
          </cell>
          <cell r="I18">
            <v>249.75</v>
          </cell>
          <cell r="J18" t="str">
            <v>Delight</v>
          </cell>
          <cell r="K18" t="str">
            <v>Skip n send on 11th n then on preferred day</v>
          </cell>
          <cell r="N18" t="str">
            <v>2  del of this cycle   -  0-cycles pmnt   Completed - Collect 0</v>
          </cell>
          <cell r="O18" t="str">
            <v>R n W Car  9     FF Sachet + Grass</v>
          </cell>
          <cell r="P18" t="str">
            <v>Y Spray Daisy ( 15 inch ) 3     FF Sachet + Grass</v>
          </cell>
          <cell r="Q18" t="str">
            <v>Mix Alstroemeria ( 14 inch ) 9     FF Sachet + Grass</v>
          </cell>
          <cell r="R18" t="str">
            <v>O Asiatic ( 15 inch ) 2     Grass</v>
          </cell>
          <cell r="S18" t="str">
            <v>P n W Glad ( 14 Inch ) 9     Grass</v>
          </cell>
          <cell r="T18" t="str">
            <v>Pur n P Car ( 14 Inch ) 9     FF Sachet + Grass</v>
          </cell>
        </row>
        <row r="19">
          <cell r="A19">
            <v>2392</v>
          </cell>
          <cell r="B19" t="str">
            <v>Neelam malik</v>
          </cell>
          <cell r="C19">
            <v>8826230834</v>
          </cell>
          <cell r="D19" t="str">
            <v>T-B6/703, Exotica</v>
          </cell>
          <cell r="E19" t="str">
            <v>DLF Phase 5</v>
          </cell>
          <cell r="F19" t="str">
            <v>Sunday</v>
          </cell>
          <cell r="G19" t="str">
            <v>9 AM - 12 PM</v>
          </cell>
          <cell r="H19">
            <v>1450</v>
          </cell>
          <cell r="I19">
            <v>362.5</v>
          </cell>
          <cell r="J19" t="str">
            <v>Bliss</v>
          </cell>
          <cell r="K19" t="str">
            <v>Skip 1 week (25/01) Send this week delivery on Thursday (08/02) Skip tom and send on Thursday (01/03) Hold after current cycle (19/03) Upgrade to bliss and skip 1 week (06/12) Skip 1 week (25/01)</v>
          </cell>
          <cell r="N19" t="str">
            <v>1  del of this cycle   -  0-cycles pmnt   Completed - Collect 0</v>
          </cell>
          <cell r="O19" t="e">
            <v>#N/A</v>
          </cell>
          <cell r="P19" t="str">
            <v>R n W Car ( 14 inch ) 16 Collect Cash Collect Cash   FF Sachet + Grass</v>
          </cell>
          <cell r="Q19" t="str">
            <v>P n Y Spray Daisy ( 15 inch ) 5 Carry Recipet Book    FF Sachet + Grass</v>
          </cell>
          <cell r="R19" t="str">
            <v>O Asiatic ( 15 inch ) 3     Grass</v>
          </cell>
          <cell r="S19" t="str">
            <v>P n W Glad ( 14 Inch ) 16     Grass</v>
          </cell>
          <cell r="T19" t="str">
            <v>Mix Alstroemeria ( 12 Inch ) 16     FF Sachet + Grass</v>
          </cell>
        </row>
        <row r="20">
          <cell r="A20">
            <v>2434</v>
          </cell>
          <cell r="B20" t="str">
            <v>Manasi Sardana</v>
          </cell>
          <cell r="C20">
            <v>9825966349</v>
          </cell>
          <cell r="D20" t="str">
            <v>T-8/303, The South Close</v>
          </cell>
          <cell r="E20" t="str">
            <v>Nirvana Country</v>
          </cell>
          <cell r="F20" t="str">
            <v>Sunday</v>
          </cell>
          <cell r="G20" t="str">
            <v>9 AM to 2 PM</v>
          </cell>
          <cell r="H20">
            <v>1450</v>
          </cell>
          <cell r="I20">
            <v>362.5</v>
          </cell>
          <cell r="J20" t="str">
            <v>Bliss</v>
          </cell>
          <cell r="K20" t="str">
            <v>Rajni is preferred // Skip 1 week (17/05) paytm From Phadke Mansi Pradeep // Skip 1 week (01/01/26) Skip 1 week (24/01) Today returned (15/02)</v>
          </cell>
          <cell r="M20" t="str">
            <v>Rajni referred</v>
          </cell>
          <cell r="N20" t="str">
            <v>3  del of this cycle   -  0-cycles pmnt   Completed - Collect 0</v>
          </cell>
          <cell r="O20" t="str">
            <v>Y Spray Daisy ( 16 Inch )  3 Rajni ( 16 inch )  7   FF Sachet + Grass</v>
          </cell>
          <cell r="P20" t="str">
            <v>W Eustoma ( 14 Inch ) 2 Mix Alstroemeria ( 14 Inch )  7   FF Sachet + Grass</v>
          </cell>
          <cell r="Q20" t="str">
            <v>Sunflower ( 15 inch ) 2 P n W Glad ( 14 inch ) 7   Grass</v>
          </cell>
          <cell r="R20" t="str">
            <v>O Asiatic ( 15 inch ) 2 P n W Car ( 14 inch ) 7   Grass</v>
          </cell>
          <cell r="S20" t="str">
            <v>P Spray Daisy ( 15 Inch ) 3 Rajni( 12 Inch ) 7   FF Sachet + Grass</v>
          </cell>
          <cell r="T20" t="str">
            <v>Pur Eustoma ( 12 Inch ) 2 Mix Alstroemeria ( 12 Inch ) 7   FF Sachet + Grass</v>
          </cell>
        </row>
        <row r="21">
          <cell r="A21">
            <v>13</v>
          </cell>
          <cell r="B21" t="str">
            <v>Mr. Vipin Marwah</v>
          </cell>
          <cell r="C21" t="str">
            <v>9313496645//9350353662</v>
          </cell>
          <cell r="D21" t="str">
            <v>D5/502, Parsvanath Exotica</v>
          </cell>
          <cell r="E21" t="str">
            <v>DLF Phase 5</v>
          </cell>
          <cell r="F21" t="str">
            <v>Sunday</v>
          </cell>
          <cell r="G21" t="str">
            <v>9 AM - 12 PM</v>
          </cell>
          <cell r="H21">
            <v>2750</v>
          </cell>
          <cell r="I21">
            <v>687.5</v>
          </cell>
          <cell r="J21" t="str">
            <v>Elation</v>
          </cell>
          <cell r="K21"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v>
          </cell>
          <cell r="N21" t="str">
            <v>1  del of this cycle   -  1-cycles pmnt   Pending - Collect 2750</v>
          </cell>
          <cell r="O21" t="str">
            <v>W Glad 32     Grass</v>
          </cell>
          <cell r="P21" t="str">
            <v>W Glad  32     Grass</v>
          </cell>
          <cell r="Q21" t="str">
            <v>W Glad ( 14 inch ) 32     Grass</v>
          </cell>
          <cell r="R21" t="str">
            <v>W Glad ( 14 inch ) 32     Grass</v>
          </cell>
          <cell r="S21" t="str">
            <v>W Glad ( 14 Inch ) 32     Grass</v>
          </cell>
          <cell r="T21" t="str">
            <v>O Glad ( 14 Inch ) 32     Grass</v>
          </cell>
        </row>
        <row r="22">
          <cell r="A22">
            <v>3277</v>
          </cell>
          <cell r="B22" t="str">
            <v>M2K</v>
          </cell>
          <cell r="C22">
            <v>8595180468</v>
          </cell>
          <cell r="D22" t="str">
            <v>M2k</v>
          </cell>
          <cell r="E22" t="str">
            <v>Nirvana Country</v>
          </cell>
          <cell r="F22" t="str">
            <v>Tuesday</v>
          </cell>
          <cell r="G22" t="str">
            <v>By 8 AM</v>
          </cell>
          <cell r="H22">
            <v>10500</v>
          </cell>
          <cell r="I22">
            <v>350</v>
          </cell>
          <cell r="J22" t="str">
            <v>Corporate</v>
          </cell>
          <cell r="N22" t="str">
            <v>3  del of this cycle   -  0-cycles pmnt   In Process - Collect 0</v>
          </cell>
          <cell r="O22" t="str">
            <v xml:space="preserve">Pooja flowers  1     </v>
          </cell>
          <cell r="P22" t="str">
            <v xml:space="preserve">Pooja Flowers  1     </v>
          </cell>
          <cell r="Q22" t="str">
            <v xml:space="preserve">Pooja Flowers  1     </v>
          </cell>
          <cell r="R22" t="str">
            <v xml:space="preserve">Pooja Flowers  1     </v>
          </cell>
          <cell r="S22" t="str">
            <v xml:space="preserve">Pooja Flowers  1     </v>
          </cell>
          <cell r="T22" t="str">
            <v xml:space="preserve">Pooja Flower 1      </v>
          </cell>
        </row>
        <row r="23">
          <cell r="A23">
            <v>3366</v>
          </cell>
          <cell r="B23" t="str">
            <v>Megha Agarwal</v>
          </cell>
          <cell r="C23">
            <v>8860366313</v>
          </cell>
          <cell r="D23" t="str">
            <v>T-164, 3rd Floor, Topaz Black&lt; Emaar Emerald Hills</v>
          </cell>
          <cell r="E23" t="str">
            <v>Badshahpur</v>
          </cell>
          <cell r="F23" t="str">
            <v>Sunday</v>
          </cell>
          <cell r="G23" t="str">
            <v>9 AM - 12 PM</v>
          </cell>
          <cell r="H23">
            <v>1450</v>
          </cell>
          <cell r="I23">
            <v>1450</v>
          </cell>
          <cell r="J23" t="str">
            <v>Bliss</v>
          </cell>
          <cell r="N23" t="str">
            <v>4  del of this cycle   -  0-cycles pmnt   Completed - Collect 0</v>
          </cell>
          <cell r="O23" t="e">
            <v>#N/A</v>
          </cell>
          <cell r="P23" t="e">
            <v>#N/A</v>
          </cell>
          <cell r="Q23" t="str">
            <v>P n W Car ( 14 inch ) 16     FF Sachet + Grass</v>
          </cell>
          <cell r="R23" t="str">
            <v>O Asiatic ( 15 inch ) 3     Grass</v>
          </cell>
          <cell r="S23" t="str">
            <v>P n W Glad ( 14 Inch ) 16     Grass</v>
          </cell>
          <cell r="T23" t="str">
            <v>P n Y Spray Daisy ( 14 Inch ) 5     FF Sachet + Grass</v>
          </cell>
        </row>
        <row r="24">
          <cell r="A24">
            <v>401</v>
          </cell>
          <cell r="B24" t="str">
            <v>Nameesha Verma -- Before 12PM</v>
          </cell>
          <cell r="C24">
            <v>9899240454</v>
          </cell>
          <cell r="D24" t="str">
            <v>D-4/102, Parsvanath Exotica</v>
          </cell>
          <cell r="E24" t="str">
            <v>DLF Phase 5</v>
          </cell>
          <cell r="F24" t="str">
            <v>Thursday</v>
          </cell>
          <cell r="G24" t="str">
            <v>Before 12 PM</v>
          </cell>
          <cell r="H24">
            <v>1600</v>
          </cell>
          <cell r="I24">
            <v>200</v>
          </cell>
          <cell r="J24" t="str">
            <v>Bloom</v>
          </cell>
          <cell r="K2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v>
          </cell>
          <cell r="M24" t="str">
            <v>3 Car extra next (20/03)</v>
          </cell>
          <cell r="N24" t="str">
            <v>5  del of this cycle   -  0-cycles pmnt   Completed - Collect 0</v>
          </cell>
          <cell r="O24" t="str">
            <v>Glad 7     FF Sachet + Grass</v>
          </cell>
          <cell r="P24" t="str">
            <v>P n W Glad ( 15 Inch ) 7     Grass</v>
          </cell>
          <cell r="Q24" t="str">
            <v>P n W Car ( 14 inch ) 7     FF Sachet + Grass</v>
          </cell>
          <cell r="R24" t="str">
            <v>Rajni ( 14 inch ) 7     Grass</v>
          </cell>
          <cell r="S24" t="str">
            <v>P n W Glad ( 14 Inch ) 7     Grass</v>
          </cell>
          <cell r="T24" t="str">
            <v>Pur n P Car ( 14 Inch ) 7     FF Sachet + Grass</v>
          </cell>
        </row>
        <row r="25">
          <cell r="A25">
            <v>945</v>
          </cell>
          <cell r="B25" t="str">
            <v>Ms. Shuchi Chopra</v>
          </cell>
          <cell r="C25">
            <v>9910984447</v>
          </cell>
          <cell r="D25" t="str">
            <v>Flat No. 703, M3M Golf Estate, Latitude Building</v>
          </cell>
          <cell r="E25" t="str">
            <v>Badshahpur</v>
          </cell>
          <cell r="F25" t="str">
            <v>Sunday</v>
          </cell>
          <cell r="G25" t="str">
            <v>9 AM - 12 PM</v>
          </cell>
          <cell r="H25">
            <v>1950</v>
          </cell>
          <cell r="I25">
            <v>487.5</v>
          </cell>
          <cell r="J25" t="str">
            <v>Joy</v>
          </cell>
          <cell r="K25"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25" t="str">
            <v>4  del of this cycle   -  0-cycles pmnt   In Process - Collect 0</v>
          </cell>
          <cell r="O25" t="str">
            <v>P n Y Spray Daisy ( 16 Inch )  4 P n W Car 11   FF Sachet + Grass</v>
          </cell>
          <cell r="P25" t="str">
            <v>R Orchid 4 Mix Alstroemeria ( 14 Inch )  10   FF Sachet + Grass</v>
          </cell>
          <cell r="Q25" t="str">
            <v>P Asiatic ( 15 inch ) 2 Rajni 11   Grass</v>
          </cell>
          <cell r="R25" t="str">
            <v>Eustoma 2 P n W  Glad ( 14 inch ) 11   Grass</v>
          </cell>
          <cell r="S25" t="str">
            <v>P n W Spray Daisy ( 15 Inch ) 4 R n W Car ( 14 Inch ) 11   FF Sachet + garss</v>
          </cell>
          <cell r="T25" t="str">
            <v>BOP 2 Mix Alstroemeria ( 12 Inch ) 11   FF Sachet + Grass</v>
          </cell>
        </row>
        <row r="26">
          <cell r="A26">
            <v>2637</v>
          </cell>
          <cell r="B26" t="str">
            <v>Shalini Kohli</v>
          </cell>
          <cell r="C26">
            <v>9999834141</v>
          </cell>
          <cell r="D26" t="str">
            <v>A-1402, Ireo Victory Valley</v>
          </cell>
          <cell r="E26" t="str">
            <v>Badshahpur</v>
          </cell>
          <cell r="F26" t="str">
            <v>Sunday</v>
          </cell>
          <cell r="G26" t="str">
            <v>9 AM - 12 PM</v>
          </cell>
          <cell r="H26">
            <v>1950</v>
          </cell>
          <cell r="I26">
            <v>487.5</v>
          </cell>
          <cell r="J26" t="str">
            <v>Joy</v>
          </cell>
          <cell r="K26" t="str">
            <v>Send on Monday instead of Sunday this week (28/05) Returned (10/08) Skip 1 week (28/08) Send replacement tom (19/10) Hold due to non payment (01/02) Send one del tom (03/02) Skip 2 week )7/03) Sent one del today (28/03) Returned (17/05)</v>
          </cell>
          <cell r="N26" t="str">
            <v>4  del of this cycle   -  0-cycles pmnt   Completed - Collect 0</v>
          </cell>
          <cell r="O26" t="str">
            <v>P Asiatic ( 16 Inch Height) 2 B Daisy 11   FF Sachet + Grass</v>
          </cell>
          <cell r="P26" t="str">
            <v>P n Y Spray daisy ( 15 inch ) 4 Mix Alstroemeria ( 14 Inch )  11   FF Sachet + Grass</v>
          </cell>
          <cell r="Q26" t="str">
            <v>P Eustoma ( 14 inch ) 2 P n W Glad ( 14 inch ) 11   FF Sachet + Grass</v>
          </cell>
          <cell r="R26" t="e">
            <v>#N/A</v>
          </cell>
          <cell r="S26" t="str">
            <v>P n W Spray Daisy ( 15 Inch ) 4 Mix Carnation  ( 12 Inch ) 11   FF Sachet + garss</v>
          </cell>
          <cell r="T26" t="str">
            <v>Pur Eustoma ( 12 Inch ) 2 Mix Alstroemeria ( 12 Inch ) 11   FF Sachet + Grass</v>
          </cell>
        </row>
        <row r="27">
          <cell r="A27">
            <v>2978</v>
          </cell>
          <cell r="B27" t="str">
            <v>Surbhi Jain -- Ourania</v>
          </cell>
          <cell r="C27">
            <v>9050551471</v>
          </cell>
          <cell r="D27" t="str">
            <v>B-109, Ourania Appartment, Near South Point Mall</v>
          </cell>
          <cell r="E27" t="str">
            <v>DLF Phase 5</v>
          </cell>
          <cell r="F27" t="str">
            <v>Sunday</v>
          </cell>
          <cell r="G27" t="str">
            <v>9 AM - 12 PM</v>
          </cell>
          <cell r="H27">
            <v>999</v>
          </cell>
          <cell r="I27">
            <v>249.75</v>
          </cell>
          <cell r="J27" t="str">
            <v>Delight</v>
          </cell>
          <cell r="K27" t="str">
            <v>Change to Sunday (01/10) Today Returned (19/10) Day Changed to Sunday (06/11) Skip 1 week (01/12)</v>
          </cell>
          <cell r="N27" t="str">
            <v>1  del of this cycle   -  1-cycles pmnt   Pending - Collect 999</v>
          </cell>
          <cell r="O27" t="e">
            <v>#N/A</v>
          </cell>
          <cell r="P27" t="e">
            <v>#N/A</v>
          </cell>
          <cell r="Q27" t="e">
            <v>#N/A</v>
          </cell>
          <cell r="R27" t="e">
            <v>#N/A</v>
          </cell>
          <cell r="S27" t="e">
            <v>#N/A</v>
          </cell>
          <cell r="T27" t="str">
            <v>W Asiatic ( 14 Inch ) 2     Grass</v>
          </cell>
        </row>
        <row r="28">
          <cell r="A28">
            <v>2368</v>
          </cell>
          <cell r="B28" t="str">
            <v>Jasbir Singh</v>
          </cell>
          <cell r="C28">
            <v>9997092561</v>
          </cell>
          <cell r="D28" t="str">
            <v>Amber, 4th Floor, Universal Trade Centre</v>
          </cell>
          <cell r="E28" t="str">
            <v>Sohna Road 1</v>
          </cell>
          <cell r="F28" t="str">
            <v>Sunday</v>
          </cell>
          <cell r="G28" t="str">
            <v>By 7 PM</v>
          </cell>
          <cell r="H28">
            <v>12800</v>
          </cell>
          <cell r="I28">
            <v>3200</v>
          </cell>
          <cell r="J28" t="str">
            <v>Corporate</v>
          </cell>
          <cell r="N28" t="str">
            <v>1  del of this cycle   -  0-cycles pmnt   In Process - Collect 0</v>
          </cell>
          <cell r="O28" t="str">
            <v xml:space="preserve">Arrangement 1     </v>
          </cell>
          <cell r="P28" t="str">
            <v xml:space="preserve">Arrangement 1     </v>
          </cell>
          <cell r="Q28" t="str">
            <v xml:space="preserve">Arrangement 1     </v>
          </cell>
          <cell r="R28" t="str">
            <v xml:space="preserve">Arrangement 1     </v>
          </cell>
          <cell r="S28" t="str">
            <v xml:space="preserve">Arrangement  1     </v>
          </cell>
          <cell r="T28" t="str">
            <v xml:space="preserve">Arrangement 1     </v>
          </cell>
        </row>
        <row r="29">
          <cell r="A29">
            <v>2910</v>
          </cell>
          <cell r="B29" t="str">
            <v>Malvika</v>
          </cell>
          <cell r="C29">
            <v>9818627991</v>
          </cell>
          <cell r="D29" t="str">
            <v>T-2/1306, Valley View Estae</v>
          </cell>
          <cell r="E29" t="str">
            <v>Ghata</v>
          </cell>
          <cell r="F29" t="str">
            <v>Sunday</v>
          </cell>
          <cell r="G29" t="str">
            <v>10 AM to 10 PM</v>
          </cell>
          <cell r="H29">
            <v>1450</v>
          </cell>
          <cell r="I29">
            <v>362.5</v>
          </cell>
          <cell r="J29" t="str">
            <v>Bliss</v>
          </cell>
          <cell r="K29" t="str">
            <v>Upgraded as per scheme to Bliss for 5 Deliveries (22/08) Change to Delight next (30/09) Send replacement tom (25/11) Change to delight (13/01) Paytm From Malvika Singh</v>
          </cell>
          <cell r="M29" t="str">
            <v>Change to Deligfht next (30/09)</v>
          </cell>
          <cell r="N29" t="str">
            <v>1  del of this cycle   -  1-cycles pmnt   Pending - Collect 1450</v>
          </cell>
          <cell r="O29" t="str">
            <v>O Asiatic ( 16 Inch) 3     Grass</v>
          </cell>
          <cell r="P29" t="str">
            <v>Shd Pur n P Car ( 14 Inch ) 16     FF Sachet + Grass</v>
          </cell>
          <cell r="Q29" t="str">
            <v>P n Y Spray Daisy ( 15 inch ) 5     FF Sachet + Grass</v>
          </cell>
          <cell r="R29" t="str">
            <v>B Orchid  5     FF Sachet + Grass</v>
          </cell>
          <cell r="S29" t="str">
            <v>R n W Car( 14 Inch)  16     FF Sachet + Grass</v>
          </cell>
          <cell r="T29" t="str">
            <v>P n W Glad ( 14 Inch ) 16     Grass</v>
          </cell>
        </row>
        <row r="30">
          <cell r="A30">
            <v>2550</v>
          </cell>
          <cell r="B30" t="str">
            <v>Pooja Singh</v>
          </cell>
          <cell r="C30">
            <v>9810123062</v>
          </cell>
          <cell r="D30" t="str">
            <v>B-289, 3rd Floor, Anantraj Estates, Sec 63 A</v>
          </cell>
          <cell r="E30" t="str">
            <v>Ghata</v>
          </cell>
          <cell r="F30" t="str">
            <v>Sunday</v>
          </cell>
          <cell r="G30" t="str">
            <v>9 AM - 12 PM</v>
          </cell>
          <cell r="H30">
            <v>1450</v>
          </cell>
          <cell r="I30">
            <v>362.5</v>
          </cell>
          <cell r="J30" t="str">
            <v>Bliss</v>
          </cell>
          <cell r="K30" t="str">
            <v>Hold today n sned on Tuesday (18/05) Skip this week and send on Monday(01/01/26) Return today (18/01)</v>
          </cell>
          <cell r="N30" t="str">
            <v>4  del of this cycle   -  0-cycles pmnt   Completed - Collect 0</v>
          </cell>
          <cell r="O30" t="str">
            <v>Sunflower ( 15 Inch )  2 R n W Car 7   FF Sachet + Grass</v>
          </cell>
          <cell r="P30" t="str">
            <v>P Eustoma ( 14 Inch ) 2 Mix Alstroemeria ( 14 Inch )  7   FF Sachet + Grass</v>
          </cell>
          <cell r="Q30" t="str">
            <v>P Spray Daisy ( 15 inch ) 3 P n W Glad ( 14 inch ) 7   FF Sachet + Grass</v>
          </cell>
          <cell r="R30" t="str">
            <v>O Asiatic ( 15 inch ) 2 P n W Car ( 14 inch ) 7   Grass</v>
          </cell>
          <cell r="S30" t="str">
            <v>Sunflower ( 12 Inch ) 2 Mix Glad  ( 12 Inch ) 7   Grass</v>
          </cell>
          <cell r="T30" t="str">
            <v>Pur Eustoma ( 12 Inch ) 2 Mix Alstroemeria ( 12 Inch ) 7   FF Sachet + Grass</v>
          </cell>
        </row>
        <row r="31">
          <cell r="A31">
            <v>894</v>
          </cell>
          <cell r="B31" t="str">
            <v>Dr. Roma Kumar</v>
          </cell>
          <cell r="C31" t="str">
            <v>98110 87708</v>
          </cell>
          <cell r="D31" t="str">
            <v>RT-181, Royalton Tower
Inside Princeton Estate
DLF City Phase-V
Gurgaon-122009
Haryana</v>
          </cell>
          <cell r="E31" t="str">
            <v>DLF Phase 5</v>
          </cell>
          <cell r="F31" t="str">
            <v>Thursday</v>
          </cell>
          <cell r="G31" t="str">
            <v>9 AM - 12 PM</v>
          </cell>
          <cell r="H31">
            <v>3000</v>
          </cell>
          <cell r="I31">
            <v>375</v>
          </cell>
          <cell r="J31" t="str">
            <v>Charm</v>
          </cell>
          <cell r="K31"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31" t="str">
            <v>ORCHID</v>
          </cell>
          <cell r="N31" t="str">
            <v>6  del of this cycle   -  0-cycles pmnt   Completed - Collect 0</v>
          </cell>
          <cell r="O31" t="str">
            <v>Y Anthurium 3     FF Sachet + Grass</v>
          </cell>
          <cell r="P31" t="str">
            <v>Shd Pur n P Car ( 14 Inch ) 15     FF Sachet + Grass</v>
          </cell>
          <cell r="Q31" t="str">
            <v>R n W Car ( 14 inch ) 15     FF Sachet + Grass</v>
          </cell>
          <cell r="R31" t="str">
            <v>O Asiatic ( 15 inch ) 3     Grass</v>
          </cell>
          <cell r="S31" t="str">
            <v>Rajni ( 14 Inch )  15     Grass</v>
          </cell>
          <cell r="T31" t="str">
            <v>Mix Alstroemeria ( 12 Inch ) 15     FF Sachet + Grass</v>
          </cell>
        </row>
        <row r="32">
          <cell r="A32">
            <v>2444</v>
          </cell>
          <cell r="B32" t="str">
            <v>Navpreet Gill</v>
          </cell>
          <cell r="C32">
            <v>8076406029</v>
          </cell>
          <cell r="D32" t="str">
            <v>H. No. 1662, 2nd Floor. Near Oil Indian Petrol Pump, Wazirabad</v>
          </cell>
          <cell r="E32" t="str">
            <v>Sector 56</v>
          </cell>
          <cell r="F32" t="str">
            <v>Sunday</v>
          </cell>
          <cell r="G32" t="str">
            <v>9 AM to 2 PM</v>
          </cell>
          <cell r="H32">
            <v>1450</v>
          </cell>
          <cell r="I32">
            <v>362.5</v>
          </cell>
          <cell r="J32" t="str">
            <v>Bliss</v>
          </cell>
          <cell r="K32" t="str">
            <v>Insta // Return today (20/03) Hold today (27/03) Set replacement today (19/04) Hold n start after 2 week(15/05) Today returned (19/04) Send tom (20/04) HDTNP (03/05) Send on Tuesday this week (03/05)</v>
          </cell>
          <cell r="N32" t="str">
            <v>4  del of this cycle   -  0-cycles pmnt   Completed - Collect 0</v>
          </cell>
          <cell r="O32" t="e">
            <v>#N/A</v>
          </cell>
          <cell r="P32" t="str">
            <v>P n Y Spray daisy ( 15 inch ) 5     FF Sachet + Grass</v>
          </cell>
          <cell r="Q32" t="str">
            <v>Mix Alstroemeria ( 14 inch ) 16     FF Sachet + Grass</v>
          </cell>
          <cell r="R32" t="str">
            <v>Y Asiatic ( 15 Inch ) 3     Grass</v>
          </cell>
          <cell r="S32" t="str">
            <v>R n W Car( 14 Inch)  16     FF Sachet + Grass</v>
          </cell>
          <cell r="T32" t="str">
            <v>P n W Glad ( 14 Inch ) 16     Grass</v>
          </cell>
        </row>
        <row r="33">
          <cell r="A33">
            <v>3143</v>
          </cell>
          <cell r="B33" t="str">
            <v>Ruchira Sen</v>
          </cell>
          <cell r="C33">
            <v>8850376353</v>
          </cell>
          <cell r="D33" t="str">
            <v>A-016, Carlton Estate 1</v>
          </cell>
          <cell r="E33" t="str">
            <v>DLF Phase 5</v>
          </cell>
          <cell r="F33" t="str">
            <v>Sunday</v>
          </cell>
          <cell r="G33" t="str">
            <v>9 AM to 2 PM</v>
          </cell>
          <cell r="H33">
            <v>999</v>
          </cell>
          <cell r="I33">
            <v>249.75</v>
          </cell>
          <cell r="J33" t="str">
            <v>Delight</v>
          </cell>
          <cell r="K33" t="str">
            <v>Skip 2 week (14/12) Skip 1 week 903/01) Skip 1 week (21/02) Skip 1 week (14/03) Skip 1 week (30/03) Skip 1 week (06/04)</v>
          </cell>
          <cell r="N33" t="str">
            <v>1  del of this cycle   -  1-cycles pmnt   Pending - Collect 999</v>
          </cell>
          <cell r="O33" t="str">
            <v>R n W Car  9     FF Sachet + Grass</v>
          </cell>
          <cell r="P33" t="str">
            <v>Sunflower ( 15 Inch ) 2     Grass</v>
          </cell>
          <cell r="Q33" t="str">
            <v>Mix Alstroemeria ( 14 inch ) 9     FF Sachet + Grass</v>
          </cell>
          <cell r="R33" t="str">
            <v>O Asiatic ( 15 inch ) 2     Grass</v>
          </cell>
          <cell r="S33" t="str">
            <v>P n W Glad ( 14 Inch ) 9     Grass</v>
          </cell>
          <cell r="T33" t="str">
            <v>Pur n P Car ( 14 Inch ) 9     FF Sachet + Grass</v>
          </cell>
        </row>
        <row r="34">
          <cell r="A34">
            <v>3229</v>
          </cell>
          <cell r="B34" t="str">
            <v>Anukriti Tiwari</v>
          </cell>
          <cell r="C34">
            <v>9766249975</v>
          </cell>
          <cell r="D34" t="str">
            <v>H. No. 2134, 2nd Floor, E Block, Ansal Essencia, Sec 67</v>
          </cell>
          <cell r="E34" t="str">
            <v>Badshahpur</v>
          </cell>
          <cell r="F34" t="str">
            <v>Sunday</v>
          </cell>
          <cell r="G34" t="str">
            <v>10 AM to 2:30 PM</v>
          </cell>
          <cell r="H34">
            <v>1450</v>
          </cell>
          <cell r="I34">
            <v>362.5</v>
          </cell>
          <cell r="J34" t="str">
            <v>Bliss</v>
          </cell>
          <cell r="K34" t="str">
            <v>Paytm From Sankalp Adhyapak (20/01) Returen today and sned on Monday (23/01)</v>
          </cell>
          <cell r="N34" t="str">
            <v>4  del of this cycle   -  0-cycles pmnt   Completed - Collect 0</v>
          </cell>
          <cell r="O34" t="str">
            <v>P n W Spray Daisy ( 16 Inch )  5     FF Sachet + Grass</v>
          </cell>
          <cell r="P34" t="str">
            <v>R n W Car ( 14 inch ) 16     FF Sachet + Grass</v>
          </cell>
          <cell r="Q34" t="str">
            <v>Mix Alstroemeria ( 14 inch ) 16     FF Sachet + Grass</v>
          </cell>
          <cell r="R34" t="str">
            <v>B Orchid  5     FF Sachet + Grass</v>
          </cell>
          <cell r="S34" t="str">
            <v>O Asiatic ( 15 Inch ) 3     Grass</v>
          </cell>
          <cell r="T34" t="str">
            <v>P n W Glad ( 14 Inch ) 16     Grass</v>
          </cell>
        </row>
        <row r="35">
          <cell r="A35">
            <v>2494</v>
          </cell>
          <cell r="B35" t="str">
            <v>Mili Sodhi -- Before 12 PM</v>
          </cell>
          <cell r="C35">
            <v>9312059597</v>
          </cell>
          <cell r="D35" t="str">
            <v>E-801, Bestech Park View Spa Next, Sec 67</v>
          </cell>
          <cell r="E35" t="str">
            <v>Badshahpur</v>
          </cell>
          <cell r="F35" t="str">
            <v>Sunday</v>
          </cell>
          <cell r="G35" t="str">
            <v>9 AM to 2 PM</v>
          </cell>
          <cell r="H35">
            <v>999</v>
          </cell>
          <cell r="I35">
            <v>249.75</v>
          </cell>
          <cell r="J35" t="str">
            <v>Delight</v>
          </cell>
          <cell r="K35"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v>
          </cell>
          <cell r="M35" t="str">
            <v>Before 12 PM (16/11)</v>
          </cell>
          <cell r="N35" t="str">
            <v>3  del of this cycle   -  0-cycles pmnt   Completed - Collect 0</v>
          </cell>
          <cell r="O35" t="str">
            <v>P Spray Daisy ( 16 Inch ) 3     FF Sachet + Grass</v>
          </cell>
          <cell r="P35" t="str">
            <v>Pur n P Car ( 14 Inch )  9     FF Sachet + Grass</v>
          </cell>
          <cell r="Q35" t="str">
            <v>P Asiatic 2     Grass</v>
          </cell>
          <cell r="R35" t="str">
            <v>P n W Glad ( 14 inch ) 9     Grass</v>
          </cell>
          <cell r="S35" t="str">
            <v>R n W Car( 14 Inch)  9     FF Sachet + Grass</v>
          </cell>
          <cell r="T35" t="str">
            <v>Mix Alstroemeria ( 12 Inch ) 9     FF Sachet + Grass</v>
          </cell>
        </row>
        <row r="36">
          <cell r="A36">
            <v>3359</v>
          </cell>
          <cell r="B36" t="str">
            <v>Payal Soni</v>
          </cell>
          <cell r="C36">
            <v>7508901884</v>
          </cell>
          <cell r="D36" t="str">
            <v>T-9/1403, Pyramid Sec 67 A, Badshahpur Road, Near Iskcon</v>
          </cell>
          <cell r="E36" t="str">
            <v>Badshahpur</v>
          </cell>
          <cell r="F36" t="str">
            <v>Sunday</v>
          </cell>
          <cell r="G36" t="str">
            <v>9 AM - 12 PM</v>
          </cell>
          <cell r="H36">
            <v>1450</v>
          </cell>
          <cell r="I36">
            <v>362.5</v>
          </cell>
          <cell r="J36" t="str">
            <v>Bliss</v>
          </cell>
          <cell r="K36" t="str">
            <v>No Glad and day changed to Sunday 904/06)</v>
          </cell>
          <cell r="L36" t="str">
            <v>Glad</v>
          </cell>
          <cell r="N36" t="str">
            <v>1  del of this cycle   -  0-cycles pmnt   Completed - Collect 0</v>
          </cell>
          <cell r="O36" t="e">
            <v>#N/A</v>
          </cell>
          <cell r="P36" t="e">
            <v>#N/A</v>
          </cell>
          <cell r="Q36" t="e">
            <v>#N/A</v>
          </cell>
          <cell r="R36" t="e">
            <v>#N/A</v>
          </cell>
          <cell r="S36" t="e">
            <v>#N/A</v>
          </cell>
          <cell r="T36" t="str">
            <v>Mix Alstroemeria ( 12 Inch ) 16     FF Sachet + Grass</v>
          </cell>
        </row>
        <row r="37">
          <cell r="A37">
            <v>2416</v>
          </cell>
          <cell r="B37" t="str">
            <v>Dinesh Dhir</v>
          </cell>
          <cell r="C37">
            <v>9810709096</v>
          </cell>
          <cell r="D37" t="str">
            <v>D-11/9, 1st Floor, DLF Exclusive Floors</v>
          </cell>
          <cell r="E37" t="str">
            <v>DLF Phase 5</v>
          </cell>
          <cell r="F37" t="str">
            <v>Sunday</v>
          </cell>
          <cell r="G37" t="str">
            <v>9 AM - 12 PM</v>
          </cell>
          <cell r="H37">
            <v>999</v>
          </cell>
          <cell r="I37">
            <v>249.75</v>
          </cell>
          <cell r="J37" t="str">
            <v>Delight</v>
          </cell>
          <cell r="K37" t="str">
            <v>Hold today n send next week (15/06) Add changed (17/05)</v>
          </cell>
          <cell r="N37" t="str">
            <v>2  del of this cycle   -  0-cycles pmnt   Completed - Collect 0</v>
          </cell>
          <cell r="O37" t="str">
            <v>Sunflower ( 15 Inch )  2     FF Sachet + Grass</v>
          </cell>
          <cell r="P37" t="str">
            <v>R n W Car ( 14 inch ) 9     FF Sachet + Grass</v>
          </cell>
          <cell r="Q37" t="str">
            <v>Mix Alstroemeria ( 14 inch ) 9     FF Sachet + Grass</v>
          </cell>
          <cell r="R37" t="str">
            <v>O Asiatic ( 15 inch ) 2     Grass</v>
          </cell>
          <cell r="S37" t="str">
            <v>R n W Car( 14 Inch)  9     FF Sachet + Grass</v>
          </cell>
          <cell r="T37" t="str">
            <v>P n W Glad ( 14 Inch ) 9     Grass</v>
          </cell>
        </row>
        <row r="38">
          <cell r="A38">
            <v>1140</v>
          </cell>
          <cell r="B38" t="str">
            <v>Nidhi Singh</v>
          </cell>
          <cell r="C38" t="str">
            <v>8383036664//9899389873</v>
          </cell>
          <cell r="D38" t="str">
            <v>D-8/3, Ground Floor DLF Exclusive Floors</v>
          </cell>
          <cell r="E38" t="str">
            <v>DLF Phase 5</v>
          </cell>
          <cell r="F38" t="str">
            <v>Thursday</v>
          </cell>
          <cell r="G38" t="str">
            <v>9 AM - 12 PM</v>
          </cell>
          <cell r="H38">
            <v>2300</v>
          </cell>
          <cell r="I38">
            <v>287.5</v>
          </cell>
          <cell r="J38" t="str">
            <v>Felicity</v>
          </cell>
          <cell r="K38"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38" t="str">
            <v>ROSE</v>
          </cell>
          <cell r="N38" t="str">
            <v>2  del of this cycle   -  1-cycles pmnt   Pending - Collect 2300</v>
          </cell>
          <cell r="O38" t="str">
            <v>P Asiatic ( 16 Inch Height) 2     FF Sachet + Grass</v>
          </cell>
          <cell r="P38" t="str">
            <v>Y Spray Daisy ( 15 inch ) 3     FF Sachet + Grass</v>
          </cell>
          <cell r="Q38" t="str">
            <v>B Orchid 4     FF Sachet + Grass</v>
          </cell>
          <cell r="R38" t="str">
            <v>Rajni ( 14 inch ) 11     Grass</v>
          </cell>
          <cell r="S38" t="str">
            <v>R n W Car( 14 Inch)  11     FF Sachet + Grass</v>
          </cell>
          <cell r="T38" t="str">
            <v>Mix Alstroemeria ( 12 Inch ) 11     FF Sachet + Grass</v>
          </cell>
        </row>
        <row r="39">
          <cell r="A39">
            <v>3103</v>
          </cell>
          <cell r="B39" t="str">
            <v>Nirali Arora</v>
          </cell>
          <cell r="C39">
            <v>9584377124</v>
          </cell>
          <cell r="D39" t="str">
            <v>Plot No. B-179, Flat No. 301, Sec 57</v>
          </cell>
          <cell r="E39" t="str">
            <v>Sector 56</v>
          </cell>
          <cell r="F39" t="str">
            <v>Sunday</v>
          </cell>
          <cell r="G39" t="str">
            <v>10 AM to 2:30 PM</v>
          </cell>
          <cell r="H39">
            <v>1450</v>
          </cell>
          <cell r="I39">
            <v>362.5</v>
          </cell>
          <cell r="J39" t="str">
            <v>Bliss</v>
          </cell>
          <cell r="N39" t="str">
            <v>2  del of this cycle   -  0-cycles pmnt   Completed - Collect 0</v>
          </cell>
          <cell r="O39" t="e">
            <v>#N/A</v>
          </cell>
          <cell r="P39" t="e">
            <v>#N/A</v>
          </cell>
          <cell r="Q39" t="e">
            <v>#N/A</v>
          </cell>
          <cell r="R39" t="e">
            <v>#N/A</v>
          </cell>
          <cell r="S39" t="str">
            <v>P n W Car ( 14 inch ) 16     FF Sachet + Grass</v>
          </cell>
          <cell r="T39" t="str">
            <v>W Asiatic ( 14 Inch ) 3     Grass</v>
          </cell>
        </row>
        <row r="40">
          <cell r="A40">
            <v>2462</v>
          </cell>
          <cell r="B40" t="str">
            <v>Rubeey Matharu</v>
          </cell>
          <cell r="C40">
            <v>9811601176</v>
          </cell>
          <cell r="D40" t="str">
            <v>Sirera 1, T-6/306, M3M Marina</v>
          </cell>
          <cell r="E40" t="str">
            <v>Badshahpur</v>
          </cell>
          <cell r="F40" t="str">
            <v>Sunday</v>
          </cell>
          <cell r="G40" t="str">
            <v>9 AM - 12 PM</v>
          </cell>
          <cell r="H40">
            <v>999</v>
          </cell>
          <cell r="I40">
            <v>249.75</v>
          </cell>
          <cell r="J40" t="str">
            <v>Delight</v>
          </cell>
          <cell r="K40" t="str">
            <v>Skip 1 week and inform before starting (08/04) Hold n start from Aug (15/05) Paytm From Amanpreet Kaur Matharu // Paytm from Gurjeet Matharu</v>
          </cell>
          <cell r="M40" t="str">
            <v>Rajni Tom (01/11)</v>
          </cell>
          <cell r="N40" t="str">
            <v>1  del of this cycle   -  1-cycles pmnt   Pending - Collect 999</v>
          </cell>
          <cell r="O40" t="str">
            <v>R n W Car  9     FF Sachet + Grass</v>
          </cell>
          <cell r="P40" t="e">
            <v>#N/A</v>
          </cell>
          <cell r="Q40" t="str">
            <v>P Spray Daisy ( 15 inch ) 3     FF Sachet + Grass</v>
          </cell>
          <cell r="R40" t="str">
            <v>P n W Glad ( 14 inch ) 9     Grass</v>
          </cell>
          <cell r="S40" t="str">
            <v>O Asiatic ( 15 Inch ) 2     Grass</v>
          </cell>
          <cell r="T40" t="str">
            <v>Mix Alstroemeria ( 12 Inch ) 9     FF Sachet + Grass</v>
          </cell>
        </row>
        <row r="41">
          <cell r="A41">
            <v>1467</v>
          </cell>
          <cell r="B41" t="str">
            <v>Priyanka Chaturvedi</v>
          </cell>
          <cell r="C41">
            <v>7838930274</v>
          </cell>
          <cell r="D41" t="str">
            <v xml:space="preserve">Flat No. A-303, The Peaceful Homes, Sec 70-A
</v>
          </cell>
          <cell r="E41" t="str">
            <v>Badshahpur</v>
          </cell>
          <cell r="F41" t="str">
            <v>Friday</v>
          </cell>
          <cell r="G41" t="str">
            <v>9 AM - 12 PM</v>
          </cell>
          <cell r="H41">
            <v>1600</v>
          </cell>
          <cell r="I41">
            <v>200</v>
          </cell>
          <cell r="J41" t="str">
            <v>Bloom</v>
          </cell>
          <cell r="K41"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41" t="str">
            <v>ROSE n SPRAY DAISY</v>
          </cell>
          <cell r="N41" t="str">
            <v>5  del of this cycle   -  0-cycles pmnt   Completed - Collect 0</v>
          </cell>
          <cell r="O41" t="str">
            <v>Mix Alstroemeria 7     FF Sachet + Grass</v>
          </cell>
          <cell r="P41" t="str">
            <v>Pur n P Car ( 14 Inch )  7     FF Sachet + Grass</v>
          </cell>
          <cell r="Q41" t="str">
            <v>Sunflower ( 15 inch ) 2     Grass</v>
          </cell>
          <cell r="R41" t="str">
            <v>B Daisy ( 12 inch ) 7     FF sachet + Grass</v>
          </cell>
          <cell r="S41" t="str">
            <v>R n W Car( 14 Inch)  7     FF Sachet + Grass</v>
          </cell>
          <cell r="T41" t="str">
            <v>Sunflower ( 12 Inch ) 2     FF Sachet + Grass</v>
          </cell>
        </row>
        <row r="42">
          <cell r="A42">
            <v>2307</v>
          </cell>
          <cell r="B42" t="str">
            <v>Alpna Jain</v>
          </cell>
          <cell r="C42">
            <v>9599336609</v>
          </cell>
          <cell r="D42" t="str">
            <v>C-64, The Icon</v>
          </cell>
          <cell r="E42" t="str">
            <v>DLF Phase 5</v>
          </cell>
          <cell r="F42" t="str">
            <v>Thursday</v>
          </cell>
          <cell r="G42" t="str">
            <v>10 AM to 2:30 PM</v>
          </cell>
          <cell r="H42">
            <v>3000</v>
          </cell>
          <cell r="I42">
            <v>375</v>
          </cell>
          <cell r="J42" t="str">
            <v>Charm</v>
          </cell>
          <cell r="K42" t="str">
            <v>Thursday n Sunday // Hold today (08/02) Keep flowers outside of Door (17/05)</v>
          </cell>
          <cell r="M42" t="str">
            <v>Keep flowers outside of door always</v>
          </cell>
          <cell r="N42" t="str">
            <v>5  del of this cycle   -  0-cycles pmnt   Completed - Collect 0</v>
          </cell>
          <cell r="O42" t="str">
            <v>Y Anthurium 3     FF Sachet + Grass</v>
          </cell>
          <cell r="P42" t="str">
            <v>Mix Alstroemeria ( 14 Inch ) 15     FF Sachet + Grass</v>
          </cell>
          <cell r="Q42" t="str">
            <v>B Orchid 4     FF Sachet + Grass</v>
          </cell>
          <cell r="R42" t="str">
            <v>R n W Car ( 14 inch ) 15     FF sachet + Grass</v>
          </cell>
          <cell r="S42" t="str">
            <v>P n Y Spray Daisy ( 15 Inch ) 4 Keep at door -- Don’t Call Keep at door -- Don’t Call Keep at door -- Don’t Call Keep at door -- Don’t Call FF Sachet + Grass</v>
          </cell>
          <cell r="T42" t="str">
            <v>P n W Glad ( 14 Inch ) 15 Keep Flowers Outside of Door-- Don’t ring bell or Don’t Don’t Call    Grass</v>
          </cell>
        </row>
        <row r="43">
          <cell r="A43">
            <v>3179</v>
          </cell>
          <cell r="B43" t="str">
            <v>Bandhana</v>
          </cell>
          <cell r="C43">
            <v>98188998617</v>
          </cell>
          <cell r="D43" t="str">
            <v>T-5/902, Tata Primanti</v>
          </cell>
          <cell r="E43" t="str">
            <v>Badshahpur</v>
          </cell>
          <cell r="F43" t="str">
            <v>Sunday</v>
          </cell>
          <cell r="G43" t="str">
            <v>9 AM - 12 PM</v>
          </cell>
          <cell r="H43">
            <v>1950</v>
          </cell>
          <cell r="I43">
            <v>487.5</v>
          </cell>
          <cell r="J43" t="str">
            <v>Joy</v>
          </cell>
          <cell r="K43" t="str">
            <v>Single Kind // Replacement tom (08/03) No Spray Daisy and BOP (31/03)</v>
          </cell>
          <cell r="L43" t="str">
            <v>Spray Daisy n BOP</v>
          </cell>
          <cell r="M43" t="str">
            <v>Single Kind</v>
          </cell>
          <cell r="N43" t="str">
            <v>1  del of this cycle   -  1-cycles pmnt   Pending - Collect 1950</v>
          </cell>
          <cell r="O43" t="str">
            <v>O Asiatic ( 16 Inch) 4     Gtass</v>
          </cell>
          <cell r="P43" t="str">
            <v xml:space="preserve">P n W Glad ( 15 Inch ) 22     </v>
          </cell>
          <cell r="Q43" t="str">
            <v>Mix Alstroemeria ( 14 inch ) 22     FF Sachet + Grass</v>
          </cell>
          <cell r="R43" t="str">
            <v>P n W Car ( 14 Inch ) 22     FF sachet + Grass</v>
          </cell>
          <cell r="S43" t="str">
            <v>Pur n P Eustoma ( 12 Inch ) 4     FF Sachet + garss</v>
          </cell>
          <cell r="T43" t="str">
            <v>W Asiatic ( 14 Inch ) 4     Grass</v>
          </cell>
        </row>
        <row r="44">
          <cell r="A44">
            <v>1899</v>
          </cell>
          <cell r="B44" t="str">
            <v>Hardik Shah</v>
          </cell>
          <cell r="C44">
            <v>9811227080</v>
          </cell>
          <cell r="D44" t="str">
            <v>T-5/1402, Vipul Green</v>
          </cell>
          <cell r="E44" t="str">
            <v>Sohna Road 2</v>
          </cell>
          <cell r="F44" t="str">
            <v>Friday</v>
          </cell>
          <cell r="G44" t="str">
            <v>9 AM - 12 PM</v>
          </cell>
          <cell r="H44">
            <v>4850</v>
          </cell>
          <cell r="I44">
            <v>606.25</v>
          </cell>
          <cell r="J44" t="str">
            <v>Poise</v>
          </cell>
          <cell r="K44"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44" t="str">
            <v>7  del of this cycle   -  0-cycles pmnt   Completed - Collect 0</v>
          </cell>
          <cell r="O44" t="str">
            <v>G Anthurium 5     FF Sachet + Grass</v>
          </cell>
          <cell r="P44" t="str">
            <v>Pur n P Car ( 14 Inch )  26     FF Sachet + Grass</v>
          </cell>
          <cell r="Q44" t="str">
            <v>Rajni ( 14 inch ) 26     Grass</v>
          </cell>
          <cell r="R44" t="str">
            <v>P n W Car ( 14 Inch ) 26     FF sachet + Grass</v>
          </cell>
          <cell r="S44" t="str">
            <v>Rajni ( 14 Inch )  26     Grass</v>
          </cell>
          <cell r="T44" t="str">
            <v>Mix Alstroemeria ( 12 Inch ) 20     FF Sachet + Grass</v>
          </cell>
        </row>
        <row r="45">
          <cell r="A45" t="str">
            <v>B56098</v>
          </cell>
          <cell r="B45" t="str">
            <v>Suhina Banga</v>
          </cell>
          <cell r="C45">
            <v>9810699839</v>
          </cell>
          <cell r="D45" t="str">
            <v>D1-903 Ireo Skyon, sector 60 gurgaon</v>
          </cell>
          <cell r="E45" t="str">
            <v>Ghata</v>
          </cell>
          <cell r="F45" t="str">
            <v>Sunday</v>
          </cell>
          <cell r="G45" t="str">
            <v>By 10 AM</v>
          </cell>
          <cell r="H45">
            <v>2160</v>
          </cell>
          <cell r="I45">
            <v>2160</v>
          </cell>
          <cell r="J45" t="str">
            <v>Bouquet</v>
          </cell>
          <cell r="K45" t="str">
            <v>4 Oriental and 8 Spray Daisy in Single Wrap and 8 Car in Tissue Wrap</v>
          </cell>
          <cell r="N45" t="str">
            <v>1  del of this cycle   -  1-cycles pmnt   Pending - Collect 2160</v>
          </cell>
          <cell r="O45" t="e">
            <v>#N/A</v>
          </cell>
          <cell r="P45" t="e">
            <v>#N/A</v>
          </cell>
          <cell r="Q45" t="e">
            <v>#N/A</v>
          </cell>
          <cell r="R45" t="e">
            <v>#N/A</v>
          </cell>
          <cell r="S45" t="e">
            <v>#N/A</v>
          </cell>
          <cell r="T45" t="str">
            <v xml:space="preserve">( Mix Oriental + G n Y Spray Daisy  ( 4 + 8 )  Single Wrap)  P n W Car - 8  Walkin Tissue Wrap)  </v>
          </cell>
        </row>
        <row r="46">
          <cell r="A46">
            <v>2779</v>
          </cell>
          <cell r="B46" t="str">
            <v>Riddhi Desai</v>
          </cell>
          <cell r="C46">
            <v>8130497969</v>
          </cell>
          <cell r="D46" t="str">
            <v>D-71, The Icon</v>
          </cell>
          <cell r="E46" t="str">
            <v>Golf Course Road</v>
          </cell>
          <cell r="F46" t="str">
            <v>Sunday</v>
          </cell>
          <cell r="G46" t="str">
            <v>9 AM to 2 PM</v>
          </cell>
          <cell r="H46">
            <v>1600</v>
          </cell>
          <cell r="I46">
            <v>200</v>
          </cell>
          <cell r="J46" t="str">
            <v>Bloom</v>
          </cell>
          <cell r="K46" t="str">
            <v>Send this week on Saturday (14/08) Skip 1 week (21/12) Hold till 2nd June (20/05)</v>
          </cell>
          <cell r="N46" t="str">
            <v>7  del of this cycle   -  0-cycles pmnt   Completed - Collect 0</v>
          </cell>
          <cell r="O46" t="str">
            <v>R n W Car  7     FF Sachet + Grass</v>
          </cell>
          <cell r="P46" t="str">
            <v>Sunflower ( 15 Inch ) 2     Grass</v>
          </cell>
          <cell r="Q46" t="str">
            <v>Rajni ( 14 inch ) 7     Grass</v>
          </cell>
          <cell r="R46" t="e">
            <v>#N/A</v>
          </cell>
          <cell r="S46" t="e">
            <v>#N/A</v>
          </cell>
          <cell r="T46" t="str">
            <v>Mix Alstroemeria ( 12 Inch ) 7     FF Sachet + Grass</v>
          </cell>
        </row>
        <row r="47">
          <cell r="A47">
            <v>1438</v>
          </cell>
          <cell r="B47" t="str">
            <v>Aishwarya G Aiyar</v>
          </cell>
          <cell r="C47">
            <v>9884857311</v>
          </cell>
          <cell r="D47" t="str">
            <v>A-173, The Pinnacle</v>
          </cell>
          <cell r="E47" t="str">
            <v>DLF Phase 5</v>
          </cell>
          <cell r="F47" t="str">
            <v>Thursday</v>
          </cell>
          <cell r="G47" t="str">
            <v>9 AM - 12 PM</v>
          </cell>
          <cell r="H47">
            <v>1600</v>
          </cell>
          <cell r="I47">
            <v>200</v>
          </cell>
          <cell r="J47" t="str">
            <v>Bloom</v>
          </cell>
          <cell r="K47"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v>
          </cell>
          <cell r="N47" t="str">
            <v>3  del of this cycle   -  1-cycles pmnt   Pending - Collect 1600</v>
          </cell>
          <cell r="O47" t="str">
            <v>B Daisy 7     FF Sachet + Grass</v>
          </cell>
          <cell r="P47" t="str">
            <v>Pur n P Car ( 14 Inch )  7     FF Sachet + Grass</v>
          </cell>
          <cell r="Q47" t="str">
            <v>Y Spray Daisy ( 15 inch ) 2     FF Sachet + Grass</v>
          </cell>
          <cell r="R47" t="str">
            <v>Rajni ( 14 inch ) 7     Grass</v>
          </cell>
          <cell r="S47" t="str">
            <v>Mix Car  7     FF Sachet + Grass</v>
          </cell>
          <cell r="T47" t="str">
            <v>P Spray Daisy ( 14 Inch ) 2     FF Sachet + Grass</v>
          </cell>
        </row>
        <row r="48">
          <cell r="A48">
            <v>870</v>
          </cell>
          <cell r="B48" t="str">
            <v>Himabindu Kanchan</v>
          </cell>
          <cell r="C48">
            <v>9892501292</v>
          </cell>
          <cell r="D48" t="str">
            <v xml:space="preserve">D -13, Pinnacle Dlf Phase - 5 </v>
          </cell>
          <cell r="E48" t="str">
            <v>DLF Phase 5</v>
          </cell>
          <cell r="F48" t="str">
            <v>Thursday</v>
          </cell>
          <cell r="G48" t="str">
            <v>9 AM - 12 PM</v>
          </cell>
          <cell r="H48">
            <v>1600</v>
          </cell>
          <cell r="I48">
            <v>200</v>
          </cell>
          <cell r="J48" t="str">
            <v>Bloom</v>
          </cell>
          <cell r="K48"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48" t="str">
            <v>5  del of this cycle   -  0-cycles pmnt   Completed - Collect 0</v>
          </cell>
          <cell r="O48" t="str">
            <v>B Daisy 7     FF Sachet + Grass</v>
          </cell>
          <cell r="P48" t="str">
            <v>P n W Glad ( 15 Inch ) 7     Grass</v>
          </cell>
          <cell r="Q48" t="str">
            <v>P Spray Daisy ( 15 inch ) 2     FF Sachet + Grass</v>
          </cell>
          <cell r="R48" t="str">
            <v>Rajni ( 14 inch ) 7     Grass</v>
          </cell>
          <cell r="S48" t="str">
            <v>Rajni ( 14 Inch )  7     Grass</v>
          </cell>
          <cell r="T48" t="str">
            <v>Mix Alstroemeria ( 12 Inch ) 7     FF Sachet + Grass</v>
          </cell>
        </row>
        <row r="49">
          <cell r="A49">
            <v>234</v>
          </cell>
          <cell r="B49" t="str">
            <v>jaya Chakrabarti-- Before 10 AM</v>
          </cell>
          <cell r="C49">
            <v>9810390185</v>
          </cell>
          <cell r="D49" t="str">
            <v>A 56, FF, south City 2, sonha road, gurgaon</v>
          </cell>
          <cell r="E49" t="str">
            <v>Nirvana Country</v>
          </cell>
          <cell r="F49" t="str">
            <v>Sunday</v>
          </cell>
          <cell r="G49" t="str">
            <v>9 AM - 12 PM</v>
          </cell>
          <cell r="H49">
            <v>1450</v>
          </cell>
          <cell r="I49">
            <v>362.5</v>
          </cell>
          <cell r="J49" t="str">
            <v>Bliss</v>
          </cell>
          <cell r="K49"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49" t="str">
            <v>BOP n HELICONIA</v>
          </cell>
          <cell r="N49" t="str">
            <v>2  del of this cycle   -  1-cycles pmnt   Pending - Collect 1450</v>
          </cell>
          <cell r="O49" t="str">
            <v>Pur Eustoma ( 15 Inch)  3     FF Sachet + Grass</v>
          </cell>
          <cell r="P49" t="str">
            <v>R n W Car ( 14 inch ) 16     FF Sachet + Grass</v>
          </cell>
          <cell r="Q49" t="str">
            <v>Mix Alstroemeria ( 14 inch ) 16     FF Sachet + Grass</v>
          </cell>
          <cell r="R49" t="str">
            <v>O Asiatic ( 15 inch ) 3     Grass</v>
          </cell>
          <cell r="S49" t="str">
            <v>P n W Glad ( 14 Inch ) 16     Grass</v>
          </cell>
          <cell r="T49" t="str">
            <v>Sunflower ( 12 Inch ) 4     FF Sachet + Grass</v>
          </cell>
        </row>
        <row r="50">
          <cell r="A50">
            <v>2481</v>
          </cell>
          <cell r="B50" t="str">
            <v>Puneet Mahajan</v>
          </cell>
          <cell r="C50">
            <v>9810110847</v>
          </cell>
          <cell r="D50" t="str">
            <v>D-19, 4th Floor, Siuth City -2, Opp Arcadia Mall</v>
          </cell>
          <cell r="E50" t="str">
            <v>Nirvana Country</v>
          </cell>
          <cell r="F50" t="str">
            <v>Sunday</v>
          </cell>
          <cell r="G50" t="str">
            <v>9 AM - 12 PM</v>
          </cell>
          <cell r="H50">
            <v>2300</v>
          </cell>
          <cell r="I50">
            <v>287.5</v>
          </cell>
          <cell r="J50" t="str">
            <v>Felicity</v>
          </cell>
          <cell r="K50" t="str">
            <v>Send Sponge// Day Changed to Sunday (16/04) Paytm From Sri Sai makers (20/04) Change to felicity (17/05)</v>
          </cell>
          <cell r="N50" t="str">
            <v>7  del of this cycle   -  0-cycles pmnt   Completed - Collect 0</v>
          </cell>
          <cell r="O50" t="str">
            <v>B Daisy 11     FF Sachet + Grass</v>
          </cell>
          <cell r="P50" t="str">
            <v>P n W Glad ( 15 Inch ) 11     Grass</v>
          </cell>
          <cell r="Q50" t="str">
            <v>R n W Car ( 14 inch ) 11     FF Sachet + Grass</v>
          </cell>
          <cell r="R50" t="str">
            <v>Y Spray Daisy ( 15 inch ) 3     FF sachet + Grass</v>
          </cell>
          <cell r="S50" t="str">
            <v>P n W Glad ( 14 Inch ) 11     Grass</v>
          </cell>
          <cell r="T50" t="str">
            <v>Pur Eustoma ( 12 Inch ) 4     FF Sachet + Grass</v>
          </cell>
        </row>
        <row r="51">
          <cell r="A51">
            <v>2856</v>
          </cell>
          <cell r="B51" t="str">
            <v>Bonita Bhatnagar</v>
          </cell>
          <cell r="C51">
            <v>9958222833</v>
          </cell>
          <cell r="D51" t="str">
            <v>C-134, Block C, Mayfield Garden</v>
          </cell>
          <cell r="E51" t="str">
            <v>Nirvana Country</v>
          </cell>
          <cell r="F51" t="str">
            <v>Sunday</v>
          </cell>
          <cell r="G51" t="str">
            <v>5 PM to 8 PM</v>
          </cell>
          <cell r="H51">
            <v>1450</v>
          </cell>
          <cell r="I51">
            <v>362.5</v>
          </cell>
          <cell r="J51" t="str">
            <v>Bliss</v>
          </cell>
          <cell r="K51" t="str">
            <v>Upgraded as per scheme to Bliss for 5 Deliveries (22/08)</v>
          </cell>
          <cell r="N51" t="str">
            <v>1  del of this cycle   -  1-cycles pmnt   Pending - Collect 1450</v>
          </cell>
          <cell r="O51" t="str">
            <v>R n W Car  16     FF Sachet + Grass</v>
          </cell>
          <cell r="P51" t="str">
            <v>P Asiatic ( 15 Inch )  3     Grass</v>
          </cell>
          <cell r="Q51" t="str">
            <v>P n W Glad ( 14 inch ) 16     Grass</v>
          </cell>
          <cell r="R51" t="str">
            <v>B Orchid  5     FF Sachet + Grass</v>
          </cell>
          <cell r="S51" t="str">
            <v>W Asiatic ( 15 inch ) 3     Grass</v>
          </cell>
          <cell r="T51" t="str">
            <v>Mix Alstroemeria ( 12 Inch ) 16     FF Sachet + Grass</v>
          </cell>
        </row>
        <row r="52">
          <cell r="A52">
            <v>2316</v>
          </cell>
          <cell r="B52" t="str">
            <v>Gitanjali Kamra</v>
          </cell>
          <cell r="C52">
            <v>9811842976</v>
          </cell>
          <cell r="D52" t="str">
            <v>121, Espace, Nirvana Country</v>
          </cell>
          <cell r="E52" t="str">
            <v>Nirvana Country</v>
          </cell>
          <cell r="F52" t="str">
            <v>Sunday</v>
          </cell>
          <cell r="G52" t="str">
            <v>9 AM - 12 PM</v>
          </cell>
          <cell r="H52">
            <v>4750</v>
          </cell>
          <cell r="I52">
            <v>1187.5</v>
          </cell>
          <cell r="J52" t="str">
            <v>Enchantment</v>
          </cell>
          <cell r="K52" t="str">
            <v>Now Elation (21/09) Skip 1 week (17/12)</v>
          </cell>
          <cell r="N52" t="str">
            <v>1  del of this cycle   -  0-cycles pmnt   Completed - Collect 0</v>
          </cell>
          <cell r="O52" t="str">
            <v>P n W Spray Daisy ( 16 Inch )  8 B Daisy 30   3 Gypsola + FF Sachet</v>
          </cell>
          <cell r="P52" t="str">
            <v>R Orchid 10 Mix Alstroemeria ( 14 Inch )  30   3 Limonium + FF sachet</v>
          </cell>
          <cell r="Q52" t="str">
            <v xml:space="preserve">P Asiatic ( 15 inch ) 6 P n W Glad ( 14 inch ) 30   </v>
          </cell>
          <cell r="R52" t="str">
            <v>Mix Spray  8 P n W Car ( 14 inch ) 30   3 Limonium + FF Sachet</v>
          </cell>
          <cell r="S52" t="str">
            <v>Pur n P Eustoma ( 12 Inch ) 6 Mix Spray Carnation ( 12 Inch ) 15   3 Gypsola + FF Sachet</v>
          </cell>
          <cell r="T52" t="str">
            <v>Sunflower ( 12 Inch ) 7 Mix Alstroemeria ( 12 Inch ) 30   3 Limonium + Ff Sachet</v>
          </cell>
        </row>
        <row r="53">
          <cell r="A53">
            <v>571</v>
          </cell>
          <cell r="B53" t="str">
            <v>Mrs. Singh</v>
          </cell>
          <cell r="C53">
            <v>9873099320</v>
          </cell>
          <cell r="D53" t="str">
            <v>D 42, pinnacle, Dlf ph 5, Golf course road</v>
          </cell>
          <cell r="E53" t="str">
            <v>DLF Phase 5</v>
          </cell>
          <cell r="F53" t="str">
            <v>Thursday</v>
          </cell>
          <cell r="G53" t="str">
            <v>9 AM - 12 PM</v>
          </cell>
          <cell r="H53">
            <v>1600</v>
          </cell>
          <cell r="I53">
            <v>200</v>
          </cell>
          <cell r="J53" t="str">
            <v>Bloom</v>
          </cell>
          <cell r="K53"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53" t="str">
            <v>7  del of this cycle   -  0-cycles pmnt   Completed - Collect 0</v>
          </cell>
          <cell r="O53" t="str">
            <v>Sunflower ( 15 Inch )  2     FF Sachet + Grass</v>
          </cell>
          <cell r="P53" t="str">
            <v>Mix Alstroemeria ( 14 Inch ) 7     FF Sachet + Grass</v>
          </cell>
          <cell r="Q53" t="str">
            <v>Rajni ( 14 inch ) 7     Grass</v>
          </cell>
          <cell r="R53" t="str">
            <v>P n W Car ( 14 Inch ) 7     FF sachet + Grass</v>
          </cell>
          <cell r="S53" t="str">
            <v>Mix Glad  7     FF Sachet + Grass</v>
          </cell>
          <cell r="T53" t="str">
            <v>Y Spray Daisy ( 14 Inch ) 2     FF Sachet + Grass</v>
          </cell>
        </row>
        <row r="54">
          <cell r="A54">
            <v>3252</v>
          </cell>
          <cell r="B54" t="str">
            <v>Madhumita Dhupar</v>
          </cell>
          <cell r="C54">
            <v>9999887549</v>
          </cell>
          <cell r="D54" t="str">
            <v>333, Deerwood Chase</v>
          </cell>
          <cell r="E54" t="str">
            <v>Nirvana Country</v>
          </cell>
          <cell r="F54" t="str">
            <v>Sunday</v>
          </cell>
          <cell r="G54" t="str">
            <v>9 AM to 2 PM</v>
          </cell>
          <cell r="H54">
            <v>1450</v>
          </cell>
          <cell r="I54">
            <v>0</v>
          </cell>
          <cell r="J54" t="str">
            <v>Bliss</v>
          </cell>
          <cell r="K54" t="str">
            <v>White Flowers in Each Delivery (10/01)</v>
          </cell>
          <cell r="N54" t="str">
            <v>2  del of this cycle   -  0-cycles pmnt   Completed - Collect 0</v>
          </cell>
          <cell r="O54" t="str">
            <v>R n W Car  7     FF Sachet + Grass</v>
          </cell>
          <cell r="P54" t="str">
            <v>P n W Glad ( 15 Inch ) 7     Grass</v>
          </cell>
          <cell r="Q54" t="str">
            <v>Rajni ( 14 inch ) 7     Grass</v>
          </cell>
          <cell r="R54" t="str">
            <v>P n W Car ( 14 Inch ) 7     FF sachet + Grass</v>
          </cell>
          <cell r="S54" t="str">
            <v>P n W Glad ( 14 Inch ) 7     Grass</v>
          </cell>
          <cell r="T54" t="str">
            <v>W Asiatic ( 14 Inch ) 3     Grass</v>
          </cell>
        </row>
        <row r="55">
          <cell r="A55">
            <v>2997</v>
          </cell>
          <cell r="B55" t="str">
            <v>Anjana Johar</v>
          </cell>
          <cell r="C55">
            <v>9650897576</v>
          </cell>
          <cell r="D55" t="str">
            <v>T-8/201, Fresco</v>
          </cell>
          <cell r="E55" t="str">
            <v>Nirvana Country</v>
          </cell>
          <cell r="F55" t="str">
            <v>Sunday</v>
          </cell>
          <cell r="G55" t="str">
            <v>4 Pm to 7 PM</v>
          </cell>
          <cell r="H55">
            <v>1450</v>
          </cell>
          <cell r="I55">
            <v>362.5</v>
          </cell>
          <cell r="J55" t="str">
            <v>Bliss</v>
          </cell>
          <cell r="K55" t="str">
            <v>Skip 2 week (03/11) Skip 1 week (14/11) Hold today n send tom (30/11) Hold n start after 9th Jan (08/12) Send Replacement tom (23/03) Send 1 vase also (23/03) No White Flowers (01/05) No Spray Daisy (05/05) Skip 1 week (08/05)</v>
          </cell>
          <cell r="L55" t="str">
            <v>Spray Daisy</v>
          </cell>
          <cell r="M55" t="str">
            <v>No White Flowers</v>
          </cell>
          <cell r="N55" t="str">
            <v>4  del of this cycle   -  0-cycles pmnt   Completed - Collect 0</v>
          </cell>
          <cell r="O55" t="str">
            <v>P n Y Spray Daisy ( 16 Inch )  5     FF Sachet + Grass</v>
          </cell>
          <cell r="P55" t="e">
            <v>#N/A</v>
          </cell>
          <cell r="Q55" t="str">
            <v>Mix Alstroemeria ( 14 inch ) 16     FF Sachet + Grass</v>
          </cell>
          <cell r="R55" t="str">
            <v>Glad 16     Grass</v>
          </cell>
          <cell r="S55" t="str">
            <v>O Asiatic ( 15 Inch ) 3     Grass</v>
          </cell>
          <cell r="T55" t="str">
            <v>Pur n P Car ( 14 Inch ) 16     FF Sachet + Grass</v>
          </cell>
        </row>
        <row r="56">
          <cell r="A56">
            <v>3231</v>
          </cell>
          <cell r="B56" t="str">
            <v>Saloni Mevawala</v>
          </cell>
          <cell r="C56">
            <v>9619924519</v>
          </cell>
          <cell r="D56" t="str">
            <v>T-1/201, Unitech Fresco</v>
          </cell>
          <cell r="E56" t="str">
            <v>Nirvana Country</v>
          </cell>
          <cell r="F56" t="str">
            <v>Thursday</v>
          </cell>
          <cell r="G56" t="str">
            <v>9 AM - 12 PM</v>
          </cell>
          <cell r="H56">
            <v>2160</v>
          </cell>
          <cell r="I56">
            <v>270</v>
          </cell>
          <cell r="J56" t="str">
            <v>Bi weekly Customised</v>
          </cell>
          <cell r="K56" t="str">
            <v>9 Rajni Every week (18/12) Skip 2 week (19/02) 1 Oriental and 5 Rajni (04/04) Paytm From Sejal Mevawala (05/04) 1 Oriental + 5 Rajni (04/04)</v>
          </cell>
          <cell r="M56" t="str">
            <v xml:space="preserve"> 1 Oriental + 5 Rajni (04/04)</v>
          </cell>
          <cell r="N56" t="str">
            <v>4  del of this cycle   -  0-cycles pmnt   Completed - Collect 0</v>
          </cell>
          <cell r="O56" t="e">
            <v>#N/A</v>
          </cell>
          <cell r="P56" t="e">
            <v>#N/A</v>
          </cell>
          <cell r="Q56" t="e">
            <v>#N/A</v>
          </cell>
          <cell r="R56" t="e">
            <v>#N/A</v>
          </cell>
          <cell r="S56" t="str">
            <v>Rajni ( 14 Inch )  10     Grass</v>
          </cell>
          <cell r="T56" t="str">
            <v>Rajni ( 14 Inch ) 10     Grass</v>
          </cell>
        </row>
        <row r="57">
          <cell r="A57">
            <v>2690</v>
          </cell>
          <cell r="B57" t="str">
            <v>Shubhpreet</v>
          </cell>
          <cell r="C57" t="str">
            <v>8800898704 // 8283817620</v>
          </cell>
          <cell r="D57" t="str">
            <v>667, 3rd Floor, Sec 43, Near Galaxy Appartment</v>
          </cell>
          <cell r="E57" t="str">
            <v>DLF Phase 5</v>
          </cell>
          <cell r="F57" t="str">
            <v>Sunday</v>
          </cell>
          <cell r="G57" t="str">
            <v>9 AM - 12 PM</v>
          </cell>
          <cell r="H57">
            <v>1450</v>
          </cell>
          <cell r="I57">
            <v>362.5</v>
          </cell>
          <cell r="J57" t="str">
            <v>Bliss</v>
          </cell>
          <cell r="K57" t="str">
            <v>From Amarpreet // Day Changed to Sunday and start from 27th July (24/07) Hold till 28th Aug (31/07) Hold now (19/08) Send one del on Sunday (06/09) Skip 1 week (03/10) Skip 1 week (16/10) Today Returned (30/11) Skip Sunday (20/02) Skip tom (28/03) Skip 1 week (04/04) No Ladylace (18/05)</v>
          </cell>
          <cell r="M57" t="str">
            <v>No Ladulace</v>
          </cell>
          <cell r="N57" t="str">
            <v>4  del of this cycle   -  0-cycles pmnt   Completed - Collect 0</v>
          </cell>
          <cell r="O57" t="str">
            <v>Pur Eustoma ( 15 Inch)  2 Rajni ( 16 inch )  7   FF Sachet + Grass</v>
          </cell>
          <cell r="P57" t="str">
            <v>Sunflower ( 15 Inch ) 2 P n W Glad ( 15 inch) 7   Grass</v>
          </cell>
          <cell r="Q57" t="str">
            <v>P Spray Daisy ( 15 inch ) 3 Mix Alstroemeria ( 14 inch ) 7   FF Sachet + Grass</v>
          </cell>
          <cell r="R57" t="str">
            <v>O Asiatic ( 15 inch ) 2 P n W Car ( 14 inch ) 7   Grass</v>
          </cell>
          <cell r="S57" t="str">
            <v>P Eustoma ( 12 Inch )  2 P n W Glad ( 12 Inch )    FF Sachet + Grass</v>
          </cell>
          <cell r="T57" t="str">
            <v>Sunflower ( 12 Inch ) 2 Mix Alstroemeria ( 12 Inch ) 7   FF Sachet + Grass</v>
          </cell>
        </row>
        <row r="58">
          <cell r="A58">
            <v>1978</v>
          </cell>
          <cell r="B58" t="str">
            <v>Anu-- After 6 PM</v>
          </cell>
          <cell r="C58" t="str">
            <v>98103 39602</v>
          </cell>
          <cell r="D58" t="str">
            <v xml:space="preserve">Tower 6, 901 Fresco </v>
          </cell>
          <cell r="E58" t="str">
            <v>Nirvana Country</v>
          </cell>
          <cell r="F58" t="str">
            <v>Thursday</v>
          </cell>
          <cell r="G58" t="str">
            <v>4 Pm to 7 PM</v>
          </cell>
          <cell r="H58">
            <v>4850</v>
          </cell>
          <cell r="I58">
            <v>606.25</v>
          </cell>
          <cell r="J58" t="str">
            <v>Poise</v>
          </cell>
          <cell r="K58"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58" t="str">
            <v>ROSE n RAJNI n HELICONIA n BOP</v>
          </cell>
          <cell r="M58" t="str">
            <v>after 6 pm on 19th (16/04)</v>
          </cell>
          <cell r="N58" t="str">
            <v>7  del of this cycle   -  1-cycles pmnt   Pending - Collect 4850</v>
          </cell>
          <cell r="O58" t="str">
            <v>Y Asiatic ( 16 Inch )  2  P n Y Spray Daisy ( 16 Inch )  4 P n W Car 12 Grass</v>
          </cell>
          <cell r="P58" t="str">
            <v>O Asiatic ( 15 Inch )  2 Mix Alstroemeria ( 14 Inch )  6 Pur n P Car ( 14 Inch ) 12 Grass</v>
          </cell>
          <cell r="Q58" t="str">
            <v>Y Asiatic ( 15 inch ) 2 P Eustoma ( 14 inch ) 3 P n W Glad 12 Grass</v>
          </cell>
          <cell r="R58" t="str">
            <v>O Asiatic ( 15 inch ) 2 P n Y Spray Daisy ( 15 inch ) 4 P n W Glad ( 14 inch ) 12 Grass</v>
          </cell>
          <cell r="S58" t="str">
            <v>W Asiatic ( 15 inch ) 2 Mix Eustoma ( 12 Inch ) 4 Rajni ( 14 Inch ) 12 FF Sachet + Grass</v>
          </cell>
          <cell r="T58" t="str">
            <v>W Asiatic ( 14 Inch ) 2 Mix Alstroemeria ( 12 Inch ) 10 P n W Glad ( 14 Inch ) 10 FF Sachet + Grass</v>
          </cell>
        </row>
        <row r="59">
          <cell r="A59">
            <v>2192</v>
          </cell>
          <cell r="B59" t="str">
            <v>Prabhdeep Kaur</v>
          </cell>
          <cell r="C59">
            <v>7456879082</v>
          </cell>
          <cell r="D59" t="str">
            <v>C-173, 2nd Floor,South City 2</v>
          </cell>
          <cell r="E59" t="str">
            <v>Nirvana Country</v>
          </cell>
          <cell r="F59" t="str">
            <v>Sunday</v>
          </cell>
          <cell r="G59" t="str">
            <v>9 AM - 12 PM</v>
          </cell>
          <cell r="H59">
            <v>1450</v>
          </cell>
          <cell r="I59">
            <v>362.5</v>
          </cell>
          <cell r="J59" t="str">
            <v>Bliss</v>
          </cell>
          <cell r="K59" t="str">
            <v>Today Returned (18/08) Gpay from Preity Dadwal (20/10) Hold after current cuycle (22/12) Today Returned (29/12) Today returned (17/08) Today returned (16/11) Do not count 25th Jan Del (01/03) Pne more payment received today (2/03) Sent one del today -skip tom (07/03)</v>
          </cell>
          <cell r="N59" t="str">
            <v>1  del of this cycle   -  0-cycles pmnt   Completed - Collect 0</v>
          </cell>
          <cell r="O59" t="str">
            <v>R n W Car  16     FF Sachet + Grass</v>
          </cell>
          <cell r="P59" t="str">
            <v>P n W Spray Daisy ( 15 inch ) 5     FF Sachet + Grass</v>
          </cell>
          <cell r="Q59" t="str">
            <v>Mix Alstroemeria ( 14 inch ) 16     FF Sachet + Grass</v>
          </cell>
          <cell r="R59" t="str">
            <v>O Asiatic ( 15 inch ) 3     Grass</v>
          </cell>
          <cell r="S59" t="str">
            <v>P n W Spray Daisy ( 15 Inch ) 5     FF Sachet + Grass</v>
          </cell>
          <cell r="T59" t="str">
            <v>P n W Glad ( 14 Inch ) 16     Grass</v>
          </cell>
        </row>
        <row r="60">
          <cell r="A60">
            <v>2827</v>
          </cell>
          <cell r="B60" t="str">
            <v>Shelley Handa</v>
          </cell>
          <cell r="C60">
            <v>9899212888</v>
          </cell>
          <cell r="D60" t="str">
            <v>73, Cedar Crest</v>
          </cell>
          <cell r="E60" t="str">
            <v>Nirvana Country</v>
          </cell>
          <cell r="F60" t="str">
            <v>Thursday</v>
          </cell>
          <cell r="G60" t="str">
            <v>9 AM - 12 PM</v>
          </cell>
          <cell r="H60">
            <v>999</v>
          </cell>
          <cell r="I60">
            <v>249.75</v>
          </cell>
          <cell r="J60" t="str">
            <v>Delight</v>
          </cell>
          <cell r="K60" t="str">
            <v>Only Seasonal / Hold today due to non payment (02/10)  Send on Sunday this week (03/10) Hold due to non payment (09/10) Hold today and skip 2 week (27/11)  Paytm From Richa Handa (20/03)</v>
          </cell>
          <cell r="M60" t="str">
            <v>Only Seasonal</v>
          </cell>
          <cell r="N60" t="str">
            <v>3  del of this cycle   -  0-cycles pmnt   Completed - Collect 0</v>
          </cell>
          <cell r="O60" t="str">
            <v>Rajni ( 16 Inch )  9     Grass</v>
          </cell>
          <cell r="P60" t="str">
            <v>Mix Alstroemeria ( 14 Inch ) 9     FF Sachet + Grass</v>
          </cell>
          <cell r="Q60" t="str">
            <v>P n W Glad ( 14 inch ) 9     Grass</v>
          </cell>
          <cell r="R60" t="str">
            <v>P n W Car ( 14 Inch ) 9     FF Sachet + Grass</v>
          </cell>
          <cell r="S60" t="str">
            <v>Rajni ( 14 Inch )  9     FF Sachet + Grass</v>
          </cell>
          <cell r="T60" t="str">
            <v>Mix Alstroemeria ( 12 Inch ) 9     FF Sachet + Grass</v>
          </cell>
        </row>
        <row r="61">
          <cell r="A61">
            <v>2774</v>
          </cell>
          <cell r="B61" t="str">
            <v>Vandana Thakran</v>
          </cell>
          <cell r="C61">
            <v>9899589964</v>
          </cell>
          <cell r="D61" t="str">
            <v>H. No. 35, Cedar Crest</v>
          </cell>
          <cell r="E61" t="str">
            <v>Nirvana Country</v>
          </cell>
          <cell r="F61" t="str">
            <v>Sunday</v>
          </cell>
          <cell r="G61" t="str">
            <v>9 AM - 12 PM</v>
          </cell>
          <cell r="H61">
            <v>1600</v>
          </cell>
          <cell r="I61">
            <v>200</v>
          </cell>
          <cell r="J61" t="str">
            <v>Bloom</v>
          </cell>
          <cell r="N61" t="str">
            <v>3  del of this cycle   -  0-cycles pmnt   Completed - Collect 0</v>
          </cell>
          <cell r="O61" t="str">
            <v>P n W Glad ( 15 inch)  7     Grass</v>
          </cell>
          <cell r="P61" t="str">
            <v>Mix Alstroemeria ( 14 Inch ) 7     FF Sachet + Grass</v>
          </cell>
          <cell r="Q61" t="str">
            <v>Sunflower ( 15 inch ) 2     Grass</v>
          </cell>
          <cell r="R61" t="str">
            <v>Rajni ( 14 inch ) 7     Grass</v>
          </cell>
          <cell r="S61" t="str">
            <v>P n W Glad ( 14 Inch ) 7     Grass</v>
          </cell>
          <cell r="T61" t="str">
            <v>Mix Alstroemeria ( 12 Inch ) 7     FF Sachet + Grass</v>
          </cell>
        </row>
        <row r="62">
          <cell r="A62">
            <v>2748</v>
          </cell>
          <cell r="B62" t="str">
            <v>Rishabh Suri</v>
          </cell>
          <cell r="C62">
            <v>9871320514</v>
          </cell>
          <cell r="D62" t="str">
            <v>H. No. 962, Block C, Sushant Lok, Near Ambience Public School</v>
          </cell>
          <cell r="E62" t="str">
            <v>DLF Phase 5</v>
          </cell>
          <cell r="F62" t="str">
            <v>Sunday</v>
          </cell>
          <cell r="G62" t="str">
            <v>9 AM - 12 PM</v>
          </cell>
          <cell r="H62">
            <v>1450</v>
          </cell>
          <cell r="I62">
            <v>362.5</v>
          </cell>
          <cell r="J62" t="str">
            <v>Bliss</v>
          </cell>
          <cell r="K62" t="str">
            <v>Hold n start from Sep (06/08) Paytm from Rajeev Suri (22/11) Paytm from Anu Suri (21/12)</v>
          </cell>
          <cell r="N62" t="str">
            <v>1  del of this cycle   -  1-cycles pmnt   Pending - Collect 1450</v>
          </cell>
          <cell r="O62" t="e">
            <v>#N/A</v>
          </cell>
          <cell r="P62" t="e">
            <v>#N/A</v>
          </cell>
          <cell r="Q62" t="e">
            <v>#N/A</v>
          </cell>
          <cell r="R62" t="e">
            <v>#N/A</v>
          </cell>
          <cell r="S62" t="e">
            <v>#N/A</v>
          </cell>
          <cell r="T62" t="str">
            <v>Pur n P Car ( 14 Inch ) 16     FF Sachet + Grass</v>
          </cell>
        </row>
        <row r="63">
          <cell r="A63">
            <v>3378</v>
          </cell>
          <cell r="B63" t="str">
            <v>Yamini &amp; Sidharth Wazirchand</v>
          </cell>
          <cell r="C63">
            <v>8447034372</v>
          </cell>
          <cell r="D63" t="str">
            <v>C-72, The Belaire</v>
          </cell>
          <cell r="E63" t="str">
            <v>Golf Course Road</v>
          </cell>
          <cell r="F63" t="str">
            <v>Sunday</v>
          </cell>
          <cell r="G63" t="str">
            <v>9 AM to 2 PM</v>
          </cell>
          <cell r="H63">
            <v>4750</v>
          </cell>
          <cell r="I63">
            <v>1187.5</v>
          </cell>
          <cell r="J63" t="str">
            <v>Enchantment</v>
          </cell>
          <cell r="K63" t="str">
            <v>From Amana Batra//  Welcome back home &amp; Congratulations.     With Love and Best Wishes ,    Batra's (06/06)</v>
          </cell>
          <cell r="N63" t="str">
            <v>1  del of this cycle   -  0-cycles pmnt   Completed - Collect 0</v>
          </cell>
          <cell r="O63" t="e">
            <v>#N/A</v>
          </cell>
          <cell r="P63" t="e">
            <v>#N/A</v>
          </cell>
          <cell r="Q63" t="e">
            <v>#N/A</v>
          </cell>
          <cell r="R63" t="e">
            <v>#N/A</v>
          </cell>
          <cell r="S63" t="e">
            <v>#N/A</v>
          </cell>
          <cell r="T63" t="str">
            <v>W Asiatic ( 14 Inch ) 6 Pur n P  Car ( 14 Inch ) 30 Message + Tie The Bunch with BMF Ribbon Message + Tie The Bunch with BMF Ribbon 3 Gypsola + FF sachet</v>
          </cell>
        </row>
        <row r="64">
          <cell r="A64">
            <v>2612</v>
          </cell>
          <cell r="B64" t="str">
            <v>Anjli Mata</v>
          </cell>
          <cell r="C64">
            <v>9810098755</v>
          </cell>
          <cell r="D64" t="str">
            <v>A-73, The Summit</v>
          </cell>
          <cell r="E64" t="str">
            <v>Golf Course Road</v>
          </cell>
          <cell r="F64" t="str">
            <v>Sunday</v>
          </cell>
          <cell r="G64" t="str">
            <v>9 AM - 12 PM</v>
          </cell>
          <cell r="H64">
            <v>999</v>
          </cell>
          <cell r="I64">
            <v>249.75</v>
          </cell>
          <cell r="J64" t="str">
            <v>Delight</v>
          </cell>
          <cell r="K64" t="str">
            <v>Skip 1 week (06/01) Skip 1 week (22/01) Skip 1 week (09/03) Add changed (11/03) Day changed to Sunday -- check with customer first (19/05)</v>
          </cell>
          <cell r="N64" t="str">
            <v>1  del of this cycle   -  0-cycles pmnt   Completed - Collect 0</v>
          </cell>
          <cell r="O64" t="e">
            <v>#N/A</v>
          </cell>
          <cell r="P64" t="e">
            <v>#N/A</v>
          </cell>
          <cell r="Q64" t="e">
            <v>#N/A</v>
          </cell>
          <cell r="R64" t="str">
            <v>Y Asiatic 2     Grass</v>
          </cell>
          <cell r="S64" t="str">
            <v>Pur n p Car ( 14 Inch ) 9     FF Sachet + Grass</v>
          </cell>
          <cell r="T64" t="str">
            <v>Mix Alstroemeria ( 12 Inch ) 9     FF Sachet + Grass</v>
          </cell>
        </row>
        <row r="65">
          <cell r="A65">
            <v>2458</v>
          </cell>
          <cell r="B65" t="str">
            <v>Kiran Yadav</v>
          </cell>
          <cell r="C65">
            <v>9811801284</v>
          </cell>
          <cell r="D65" t="str">
            <v>E-1402, Palm Drive</v>
          </cell>
          <cell r="E65" t="str">
            <v>Badshahpur</v>
          </cell>
          <cell r="F65" t="str">
            <v>Sunday</v>
          </cell>
          <cell r="G65" t="str">
            <v>10 AM to 2:30 PM</v>
          </cell>
          <cell r="H65">
            <v>999</v>
          </cell>
          <cell r="I65">
            <v>249.75</v>
          </cell>
          <cell r="J65" t="str">
            <v>Delight</v>
          </cell>
          <cell r="K65" t="str">
            <v>Recvd 2000 Today (21/04) Pls send Rose/Gerbera and Rise laos (04/06) Skip 1 week (28/06) Skip next week after(27/09) Send Replacement tom (21/04)</v>
          </cell>
          <cell r="N65" t="str">
            <v>4  del of this cycle   -  0-cycles pmnt   CompletedNO COLLECTION-we have extra money - Collect -21</v>
          </cell>
          <cell r="O65" t="str">
            <v>O Asiatic ( 16 Inch) 2     Grass</v>
          </cell>
          <cell r="P65" t="str">
            <v>R n W Car 9     FF Sachet + Grass</v>
          </cell>
          <cell r="Q65" t="str">
            <v>Mix Alstroemeria ( 14 inch ) 9     FF Sachet + Grass</v>
          </cell>
          <cell r="R65" t="str">
            <v>Y Asiatic ( 15 Inch ) 2     Grass</v>
          </cell>
          <cell r="S65" t="str">
            <v>R n W Car( 14 Inch)  9     FF Sachet + Grass</v>
          </cell>
          <cell r="T65" t="str">
            <v>P n W Glad ( 14 Inch ) 9     Grass</v>
          </cell>
        </row>
        <row r="66">
          <cell r="A66">
            <v>1455</v>
          </cell>
          <cell r="B66" t="str">
            <v>Gagan Ahluwalia</v>
          </cell>
          <cell r="C66">
            <v>9811105056</v>
          </cell>
          <cell r="D66" t="str">
            <v>C-82, The Summit</v>
          </cell>
          <cell r="E66" t="str">
            <v>Golf Course Road</v>
          </cell>
          <cell r="F66" t="str">
            <v>Thursday</v>
          </cell>
          <cell r="G66" t="str">
            <v>9 AM - 12 PM</v>
          </cell>
          <cell r="H66">
            <v>2300</v>
          </cell>
          <cell r="I66">
            <v>287.5</v>
          </cell>
          <cell r="J66" t="str">
            <v>Felicity</v>
          </cell>
          <cell r="K66"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66" t="str">
            <v>8  del of this cycle   -  0-cycles pmnt   Completed - Collect 0</v>
          </cell>
          <cell r="O66" t="str">
            <v>P Asiatic ( 16 Inch Height) 2     Grass</v>
          </cell>
          <cell r="P66" t="str">
            <v>Y Spray Daisy ( 15 inch ) 3     FF Sachet + Grass</v>
          </cell>
          <cell r="Q66" t="e">
            <v>#N/A</v>
          </cell>
          <cell r="R66" t="e">
            <v>#N/A</v>
          </cell>
          <cell r="S66" t="e">
            <v>#N/A</v>
          </cell>
          <cell r="T66" t="str">
            <v>Sunflower ( 12 Inch ) 3     FF Sachet + Grass</v>
          </cell>
        </row>
        <row r="67">
          <cell r="A67" t="str">
            <v>B46944</v>
          </cell>
          <cell r="B67" t="str">
            <v>Albi</v>
          </cell>
          <cell r="C67">
            <v>9999236508</v>
          </cell>
          <cell r="D67" t="str">
            <v>G-3/1A, DLF Phase 1</v>
          </cell>
          <cell r="E67" t="str">
            <v>DLF Phase 1</v>
          </cell>
          <cell r="F67" t="str">
            <v>Thursday</v>
          </cell>
          <cell r="G67" t="str">
            <v>By 9 AM</v>
          </cell>
          <cell r="H67">
            <v>28000</v>
          </cell>
          <cell r="I67">
            <v>7000</v>
          </cell>
          <cell r="J67" t="str">
            <v>Customized</v>
          </cell>
          <cell r="K67" t="str">
            <v>Now at every 10 days (18/12)</v>
          </cell>
          <cell r="N67" t="str">
            <v>1  del of this cycle   -  0-cycles pmnt   In Process - Collect 0</v>
          </cell>
          <cell r="O67" t="str">
            <v xml:space="preserve">G n W Car + W Oriental + Y n W G Spray Daisy + G Anthurium  40 + 8 + 20 + 6 Exotic Greens    </v>
          </cell>
          <cell r="P67" t="e">
            <v>#N/A</v>
          </cell>
          <cell r="Q67" t="str">
            <v xml:space="preserve">R n G Car + R Asiatic + R n G Spray Daisy + R Anthurium + R or Green Orchid + Began Jhaad + Red Jhaad + Mogra 40 + 8 + 15 + 4 + 4 + 8 1 + 300 Gm     </v>
          </cell>
          <cell r="R67" t="str">
            <v xml:space="preserve">P Oriental  + W Asiatic + P n W Car + P n W Spray Daisy + P n W Eustoma +  P n W Anthurium + W Orchid 5 + 5 + 40 + 10 + 6 + 4 + 6     </v>
          </cell>
          <cell r="S67" t="str">
            <v xml:space="preserve">W Oriental + W Asiatic + G n W Car + G n W Spray Daisy + G n W Anthurium  4 + 4 + 40 + 15 + 6     </v>
          </cell>
          <cell r="T67" t="str">
            <v xml:space="preserve">P  Oriental + P Asiatic + P n Y Button Daisy + P n Y Car + P Eustoma 4 + 4 + 10 + 40 + 8 Mogra 300 Gm   </v>
          </cell>
        </row>
        <row r="68">
          <cell r="A68">
            <v>3321</v>
          </cell>
          <cell r="B68" t="str">
            <v>Aayushi Jain</v>
          </cell>
          <cell r="C68">
            <v>9818116873</v>
          </cell>
          <cell r="D68" t="str">
            <v>M-201, Emaar palm Drive, Sec 66</v>
          </cell>
          <cell r="E68" t="str">
            <v>Badshahpur</v>
          </cell>
          <cell r="F68" t="str">
            <v>Sunday</v>
          </cell>
          <cell r="G68" t="str">
            <v>9 AM - 12 PM</v>
          </cell>
          <cell r="H68">
            <v>2300</v>
          </cell>
          <cell r="I68">
            <v>287.5</v>
          </cell>
          <cell r="J68" t="str">
            <v>Felicity</v>
          </cell>
          <cell r="K68" t="str">
            <v>Today Returned (19/04)</v>
          </cell>
          <cell r="N68" t="str">
            <v>7  del of this cycle   -  0-cycles pmnt   Completed - Collect 0</v>
          </cell>
          <cell r="O68" t="str">
            <v>O Asiatic ( 16 Inch) 3     Grass</v>
          </cell>
          <cell r="P68" t="str">
            <v>R n W Car ( 14 inch ) 16     FF Sachet + Grass</v>
          </cell>
          <cell r="Q68" t="str">
            <v>Rajni ( 14 inch ) 11     Grass</v>
          </cell>
          <cell r="R68" t="str">
            <v>P n W Car ( 14 Inch ) 7     FF sachet + Grass</v>
          </cell>
          <cell r="S68" t="str">
            <v>O Asiatic ( 15 Inch ) 2     Grass</v>
          </cell>
          <cell r="T68" t="str">
            <v>Mix Alstroemeria ( 12 Inch ) 11     FF Sachet + Grass</v>
          </cell>
        </row>
        <row r="69">
          <cell r="A69">
            <v>2246</v>
          </cell>
          <cell r="B69" t="str">
            <v>Amita Gupta</v>
          </cell>
          <cell r="C69">
            <v>9811985450</v>
          </cell>
          <cell r="D69" t="str">
            <v>146, Cedar Crest</v>
          </cell>
          <cell r="E69" t="str">
            <v>Nirvana Country</v>
          </cell>
          <cell r="F69" t="str">
            <v>Thursday</v>
          </cell>
          <cell r="G69" t="str">
            <v>9 AM - 12 PM</v>
          </cell>
          <cell r="H69">
            <v>1600</v>
          </cell>
          <cell r="I69">
            <v>200</v>
          </cell>
          <cell r="J69" t="str">
            <v>Bloom</v>
          </cell>
          <cell r="K69" t="str">
            <v>Return today (03/10) Change to bliss (23/10) No Orchid (24/10) Send a vase tom (20/08) Upgrade to bliss (17/12)</v>
          </cell>
          <cell r="L69" t="str">
            <v>Orchid</v>
          </cell>
          <cell r="M69" t="str">
            <v>1 Vase Tom (20/08)</v>
          </cell>
          <cell r="N69" t="str">
            <v>2  del of this cycle   -  0-cycles pmnt   Completed - Collect 0</v>
          </cell>
          <cell r="O69" t="e">
            <v>#N/A</v>
          </cell>
          <cell r="P69" t="str">
            <v>Mix Alstroemeria ( 14 Inch ) 7     FF Sachet + Grass</v>
          </cell>
          <cell r="Q69" t="str">
            <v>P Spray Daisy ( 15 inch ) 2     FF Sachet + Grass</v>
          </cell>
          <cell r="R69" t="str">
            <v>Rajni ( 14 inch ) 7     Grass</v>
          </cell>
          <cell r="S69" t="str">
            <v>P n W Glad ( 14 Inch ) 7     Grass</v>
          </cell>
          <cell r="T69" t="str">
            <v>Y Spray Daisy ( 14 Inch ) 2     FF Sachet + Grass</v>
          </cell>
        </row>
        <row r="70">
          <cell r="A70">
            <v>3284</v>
          </cell>
          <cell r="B70" t="str">
            <v>Megha Sharma</v>
          </cell>
          <cell r="C70" t="str">
            <v>9643166797 // 7351797203</v>
          </cell>
          <cell r="D70" t="str">
            <v>338, Espace, 2nd Floor</v>
          </cell>
          <cell r="E70" t="str">
            <v>Nirvana Country</v>
          </cell>
          <cell r="F70" t="str">
            <v>Sunday</v>
          </cell>
          <cell r="G70" t="str">
            <v>4 PM to 7 PM</v>
          </cell>
          <cell r="H70">
            <v>1950</v>
          </cell>
          <cell r="I70">
            <v>487.5</v>
          </cell>
          <cell r="J70" t="str">
            <v>Joy</v>
          </cell>
          <cell r="K70" t="str">
            <v>Paytm From Megha Sharma</v>
          </cell>
          <cell r="N70" t="str">
            <v>2  del of this cycle   -  1-cycles pmnt   Pending - Collect 1950</v>
          </cell>
          <cell r="O70" t="str">
            <v>Asiatic 4     FF Sachet + Grass</v>
          </cell>
          <cell r="P70" t="str">
            <v>R Orchid 7     FF Sachet + Grass</v>
          </cell>
          <cell r="Q70" t="str">
            <v>Mix Alstroemeria ( 14 inch ) 22     FF Sachet + Grass</v>
          </cell>
          <cell r="R70" t="str">
            <v>R n W Car ( 14 inch ) 22     FF sachet + Grass</v>
          </cell>
          <cell r="S70" t="str">
            <v>W Asiatic ( 15 inch ) 4     Grass</v>
          </cell>
          <cell r="T70" t="str">
            <v>P n W Glad ( 14 Inch ) 22     Grass</v>
          </cell>
        </row>
        <row r="71">
          <cell r="A71">
            <v>3010</v>
          </cell>
          <cell r="B71" t="str">
            <v>Kriti Suman</v>
          </cell>
          <cell r="C71">
            <v>9771430070</v>
          </cell>
          <cell r="D71" t="str">
            <v>Studio -105, Palm Drive</v>
          </cell>
          <cell r="E71" t="str">
            <v>Badshahpur</v>
          </cell>
          <cell r="F71" t="str">
            <v>Sunday</v>
          </cell>
          <cell r="G71" t="str">
            <v>9 AM - 12 PM</v>
          </cell>
          <cell r="H71">
            <v>999</v>
          </cell>
          <cell r="I71">
            <v>249.75</v>
          </cell>
          <cell r="J71" t="str">
            <v>Delight</v>
          </cell>
          <cell r="K71" t="str">
            <v>Skip 1 week (16/10) Skip 1 week (26/12) No Glad (09/03)</v>
          </cell>
          <cell r="L71" t="str">
            <v>Glad</v>
          </cell>
          <cell r="N71" t="str">
            <v>1  del of this cycle   -  1-cycles pmnt   Pending - Collect 999</v>
          </cell>
          <cell r="O71" t="str">
            <v>R n W Car  9     FF Sachet + Grass</v>
          </cell>
          <cell r="P71" t="str">
            <v>P Spray Daisy ( 15 Inch ) 3     FF Sachet + Grass</v>
          </cell>
          <cell r="Q71" t="str">
            <v>Mix Alstroemeria ( 14 inch ) 9     FF Sachet + Grass</v>
          </cell>
          <cell r="R71" t="str">
            <v>O Asiatic ( 15 inch ) 2     Grass</v>
          </cell>
          <cell r="S71" t="str">
            <v>P Spray Daisy ( 15 Inch ) 3     FF Sachet + Grass</v>
          </cell>
          <cell r="T71" t="str">
            <v>Pur n P Car ( 14 Inch ) 9     FF Sachet + Grass</v>
          </cell>
        </row>
        <row r="72">
          <cell r="A72">
            <v>2112</v>
          </cell>
          <cell r="B72" t="str">
            <v>Tarushi</v>
          </cell>
          <cell r="C72">
            <v>9999761657</v>
          </cell>
          <cell r="D72" t="str">
            <v>T-3/202, Emaar The Palm Terrace, Sec 66</v>
          </cell>
          <cell r="E72" t="str">
            <v>Badshahpur</v>
          </cell>
          <cell r="F72" t="str">
            <v>Sunday</v>
          </cell>
          <cell r="G72" t="str">
            <v>9 AM - 12 PM</v>
          </cell>
          <cell r="H72">
            <v>1450</v>
          </cell>
          <cell r="I72">
            <v>362.5</v>
          </cell>
          <cell r="J72" t="str">
            <v>Bliss</v>
          </cell>
          <cell r="K72"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v>
          </cell>
          <cell r="M72" t="str">
            <v>Mixed Flowers n Long Stem  // 1 Oriental and 2 Car Next (14/05)</v>
          </cell>
          <cell r="N72" t="str">
            <v>4  del of this cycle   -  0-cycles pmnt   Completed - Collect 0</v>
          </cell>
          <cell r="O72" t="str">
            <v>P Spray Daisy ( 16 Inch ) 3 P n W Car 7   FF Sachet + Grass</v>
          </cell>
          <cell r="P72" t="str">
            <v>W Eustoma ( 14 Inch ) 2 Mix Alstroemeria ( 14 Inch )  7   FF Sachet + Grass</v>
          </cell>
          <cell r="Q72" t="str">
            <v>Sunflower ( 15 inch ) 2 P n W Glad ( 14 inch ) 7   Grass</v>
          </cell>
          <cell r="R72" t="e">
            <v>#N/A</v>
          </cell>
          <cell r="S72" t="str">
            <v>O Asiatic ( 15 Inch ) 2 R n W Car ( 14 Inch ) 7   Grass</v>
          </cell>
          <cell r="T72" t="str">
            <v>Y Spray Daisy ( 14 Inch ) 3 Mix Alstroemeria ( 12 Inch ) 7   FF Sachet + Grass</v>
          </cell>
        </row>
        <row r="73">
          <cell r="A73" t="str">
            <v>G-00056</v>
          </cell>
          <cell r="B73" t="str">
            <v>Triveni Wahi</v>
          </cell>
          <cell r="C73">
            <v>7503975035</v>
          </cell>
          <cell r="D73" t="str">
            <v>B-14/12 C, Dlf The Grove</v>
          </cell>
          <cell r="E73" t="str">
            <v>DLF Phase 5</v>
          </cell>
          <cell r="F73" t="str">
            <v>Sunday</v>
          </cell>
          <cell r="G73" t="str">
            <v>9 AM - 12 PM</v>
          </cell>
          <cell r="H73">
            <v>1450</v>
          </cell>
          <cell r="I73">
            <v>362.5</v>
          </cell>
          <cell r="J73" t="str">
            <v>Bliss</v>
          </cell>
          <cell r="K73" t="str">
            <v>From Madhulika Geeta Chopra // 2sesonal Extra next (05/05) Today Returned -send next week (24/05)</v>
          </cell>
          <cell r="M73" t="str">
            <v>2 sesonal Extra next (05/05)</v>
          </cell>
          <cell r="N73" t="str">
            <v>2  del of this cycle   -  0-cycles pmnt   Completed - Collect 0</v>
          </cell>
          <cell r="O73" t="str">
            <v>R n W Car  16     FF Sachet + Grass</v>
          </cell>
          <cell r="P73" t="str">
            <v>P n W Spray Daisy ( 15 inch ) 5 R n W Car ( 14 inch )  2   FF Sachet + Grass</v>
          </cell>
          <cell r="Q73" t="str">
            <v>P n W Glad ( 14 inch ) 16     Grass</v>
          </cell>
          <cell r="R73" t="str">
            <v>O Asiatic ( 15 inch ) 3     Grass</v>
          </cell>
          <cell r="S73" t="str">
            <v>P n W Car ( 14 inch ) 16     FF Sachet + Grass</v>
          </cell>
          <cell r="T73" t="str">
            <v>Mix Alstroemeria ( 12 Inch ) 16     FF Sachet + Grass</v>
          </cell>
        </row>
        <row r="74">
          <cell r="A74">
            <v>3238</v>
          </cell>
          <cell r="B74" t="str">
            <v>Alka Verma</v>
          </cell>
          <cell r="C74">
            <v>9910437766</v>
          </cell>
          <cell r="D74" t="str">
            <v>T-10/101, Emaar palm Terraces Select</v>
          </cell>
          <cell r="E74" t="str">
            <v>Badshahpur</v>
          </cell>
          <cell r="F74" t="str">
            <v>Sunday</v>
          </cell>
          <cell r="G74" t="str">
            <v>9 AM - 12 PM</v>
          </cell>
          <cell r="H74">
            <v>1450</v>
          </cell>
          <cell r="I74">
            <v>362.5</v>
          </cell>
          <cell r="J74" t="str">
            <v>Bliss</v>
          </cell>
          <cell r="K74" t="str">
            <v>Skip 1 week (28/03) Send Replacement tom (12/04) Skip 1 week (27/04) Skip 1 week after 14th June (06/06)</v>
          </cell>
          <cell r="N74" t="str">
            <v>1  del of this cycle   -  0-cycles pmnt   Completed - Collect 0</v>
          </cell>
          <cell r="O74" t="e">
            <v>#N/A</v>
          </cell>
          <cell r="P74" t="str">
            <v>R n W Car ( 14 inch ) 9     FF Sachet + Grass</v>
          </cell>
          <cell r="Q74" t="str">
            <v>Mix Alstroemeria ( 14 inch ) 16     FF Sachet + Grass</v>
          </cell>
          <cell r="R74" t="str">
            <v>O Asiatic ( 15 inch ) 3     Grass</v>
          </cell>
          <cell r="S74" t="str">
            <v>R n W Car( 14 Inch)  16     FF Sachet + Grass</v>
          </cell>
          <cell r="T74" t="str">
            <v>P n W Glad ( 14 Inch ) 16     Grass</v>
          </cell>
        </row>
        <row r="75">
          <cell r="A75">
            <v>3018</v>
          </cell>
          <cell r="B75" t="str">
            <v>Gurrit Kaur sethi</v>
          </cell>
          <cell r="C75">
            <v>9810918222</v>
          </cell>
          <cell r="D75" t="str">
            <v>T-2/201, Unitech Escape</v>
          </cell>
          <cell r="E75" t="str">
            <v>Nirvana Country</v>
          </cell>
          <cell r="F75" t="str">
            <v>Sunday</v>
          </cell>
          <cell r="G75" t="str">
            <v>9 AM - 12 PM</v>
          </cell>
          <cell r="H75">
            <v>999</v>
          </cell>
          <cell r="I75">
            <v>249.75</v>
          </cell>
          <cell r="J75" t="str">
            <v>Delight</v>
          </cell>
          <cell r="N75" t="str">
            <v>2  del of this cycle   -  0-cycles pmnt   Completed - Collect 0</v>
          </cell>
          <cell r="O75" t="str">
            <v>P n W Glad ( 15 inch)  9     Grass</v>
          </cell>
          <cell r="P75" t="str">
            <v>Y Spray Daisy ( 15 inch ) 3     FF Sachet + Grass</v>
          </cell>
          <cell r="Q75" t="str">
            <v>Mix Alstroemeria ( 14 inch ) 9     FF Sachet + Grass</v>
          </cell>
          <cell r="R75" t="str">
            <v>O Asiatic ( 15 inch ) 2     Grass</v>
          </cell>
          <cell r="S75" t="str">
            <v>P n W Car ( 14 inch ) 9     FF Sachet + Grass</v>
          </cell>
          <cell r="T75" t="str">
            <v>P n W Glad ( 14 Inch ) 9     Grass</v>
          </cell>
        </row>
        <row r="76">
          <cell r="A76">
            <v>3274</v>
          </cell>
          <cell r="B76" t="str">
            <v>Meera Singh</v>
          </cell>
          <cell r="C76">
            <v>9810401220</v>
          </cell>
          <cell r="D76" t="str">
            <v>138, Tatvam Villas, Sec 48</v>
          </cell>
          <cell r="E76" t="str">
            <v>Sohna Road 2</v>
          </cell>
          <cell r="F76" t="str">
            <v>Sunday</v>
          </cell>
          <cell r="G76" t="str">
            <v>9 AM - 12 PM</v>
          </cell>
          <cell r="H76">
            <v>1950</v>
          </cell>
          <cell r="I76">
            <v>487.5</v>
          </cell>
          <cell r="J76" t="str">
            <v>Joy</v>
          </cell>
          <cell r="K76" t="str">
            <v>No Lilies and Sunflower (20/02) Skip 1 week (28/03) Paytm From Singh M (06/04) No Sunflower n Asiatic (02/05)</v>
          </cell>
          <cell r="L76" t="str">
            <v>Asiatic n Sunflowers</v>
          </cell>
          <cell r="M76" t="str">
            <v>Single Kind</v>
          </cell>
          <cell r="N76" t="str">
            <v>2  del of this cycle   -  0-cycles pmnt   Completed - Collect 0</v>
          </cell>
          <cell r="O76" t="str">
            <v>P n Y Spray Daisy ( 16 Inch )  7     FF Sachet + Grass</v>
          </cell>
          <cell r="P76" t="str">
            <v>R n W Car ( 14 inch ) 22     FF Sachet + Grass</v>
          </cell>
          <cell r="Q76" t="str">
            <v>Mix Alstroemeria ( 14 inch ) 22     FF Sachet + Grass</v>
          </cell>
          <cell r="R76" t="str">
            <v>Y Asiatic ( 15 Inch ) 4     Grass</v>
          </cell>
          <cell r="S76" t="str">
            <v>P n W Glad ( 14 Inch ) 22     Grass</v>
          </cell>
          <cell r="T76" t="str">
            <v>P n W Spray Daisy ( 14 Inch) 7     FF Sachet + Grass</v>
          </cell>
        </row>
        <row r="77">
          <cell r="B77" t="str">
            <v>Pragya Ojha</v>
          </cell>
          <cell r="C77">
            <v>8879005210</v>
          </cell>
          <cell r="D77" t="str">
            <v>C-1403, Heritage One, Sec 62</v>
          </cell>
          <cell r="H77">
            <v>2750</v>
          </cell>
          <cell r="J77" t="str">
            <v>Elation</v>
          </cell>
          <cell r="N77" t="str">
            <v>1  del of this cycle   -  1-cycles pmnt   Pending - Collect 2750</v>
          </cell>
          <cell r="T77" t="str">
            <v>P Asiatic 6     Gypsola</v>
          </cell>
        </row>
        <row r="78">
          <cell r="A78">
            <v>1570</v>
          </cell>
          <cell r="B78" t="str">
            <v>Nisha Syriac</v>
          </cell>
          <cell r="C78">
            <v>9711811545</v>
          </cell>
          <cell r="D78" t="str">
            <v>G202, DLF Park Place Heights, Golf Course Road</v>
          </cell>
          <cell r="E78" t="str">
            <v>Golf Course Road</v>
          </cell>
          <cell r="F78" t="str">
            <v>Sunday</v>
          </cell>
          <cell r="G78" t="str">
            <v>9:30 Am to 2 PM</v>
          </cell>
          <cell r="H78">
            <v>1450</v>
          </cell>
          <cell r="I78">
            <v>362.5</v>
          </cell>
          <cell r="J78" t="str">
            <v>Bliss</v>
          </cell>
          <cell r="K78"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78" t="str">
            <v>Rajni n Orchid</v>
          </cell>
          <cell r="M78" t="str">
            <v xml:space="preserve">Single Color Flowers </v>
          </cell>
          <cell r="N78" t="str">
            <v>2  del of this cycle   -  0-cycles pmnt   Completed - Collect 0</v>
          </cell>
          <cell r="O78" t="e">
            <v>#N/A</v>
          </cell>
          <cell r="P78" t="e">
            <v>#N/A</v>
          </cell>
          <cell r="Q78" t="e">
            <v>#N/A</v>
          </cell>
          <cell r="R78" t="e">
            <v>#N/A</v>
          </cell>
          <cell r="S78" t="e">
            <v>#N/A</v>
          </cell>
          <cell r="T78" t="str">
            <v>P Alstroemeria ( 12 Inch ) 16 Single Color Flower  Single Color Flower    FF Sachet + Grass</v>
          </cell>
        </row>
        <row r="79">
          <cell r="B79" t="str">
            <v>Vidya Raja</v>
          </cell>
          <cell r="C79">
            <v>9899096420</v>
          </cell>
          <cell r="D79" t="str">
            <v>C-122, Belvedere Tower, DLF -2</v>
          </cell>
          <cell r="H79">
            <v>1200</v>
          </cell>
          <cell r="J79" t="str">
            <v>Bouquet</v>
          </cell>
          <cell r="K79" t="str">
            <v>Send today to Vidya Raja
20 Rajnigandha 
5 button daisies 
Greens and areca palm</v>
          </cell>
          <cell r="T79" t="str">
            <v xml:space="preserve">Rajnigandha+ button daisies  20+5 Greens and areca palm    </v>
          </cell>
        </row>
        <row r="80">
          <cell r="B80" t="str">
            <v>Pratik</v>
          </cell>
          <cell r="C80" t="str">
            <v>95608 33074</v>
          </cell>
          <cell r="D80" t="str">
            <v>Flat no 808, Block 40, Heritage City, Sector 25 Gurugram</v>
          </cell>
          <cell r="G80" t="str">
            <v xml:space="preserve">Between 3 To 4 pm Positively </v>
          </cell>
          <cell r="H80">
            <v>600</v>
          </cell>
          <cell r="J80" t="str">
            <v>Bouquet</v>
          </cell>
          <cell r="K80" t="str">
            <v>Send today between 3-4 positively 
15 Rajnigandha in white tissue wrap to 
Pratik
+91 95608 33074</v>
          </cell>
          <cell r="T80" t="str">
            <v xml:space="preserve">Rajnigandha 15 White Tissue Wrap    </v>
          </cell>
        </row>
        <row r="81">
          <cell r="A81">
            <v>237</v>
          </cell>
          <cell r="B81" t="str">
            <v>Mayom Hospital</v>
          </cell>
          <cell r="C81">
            <v>8860079525</v>
          </cell>
          <cell r="D81" t="str">
            <v>Mayom Hospital, D block south city 1</v>
          </cell>
          <cell r="E81" t="str">
            <v>South City 1</v>
          </cell>
          <cell r="F81" t="str">
            <v>Sunday</v>
          </cell>
          <cell r="G81" t="str">
            <v>9 AM - 12 PM</v>
          </cell>
          <cell r="H81">
            <v>3000</v>
          </cell>
          <cell r="I81">
            <v>375</v>
          </cell>
          <cell r="J81" t="str">
            <v>Corporate</v>
          </cell>
          <cell r="K81" t="str">
            <v>Sending on 20th instaed of 21st,bcoz of Holi(18/03) Send on Monday this week(20/03)</v>
          </cell>
          <cell r="N81" t="str">
            <v>2  del of this cycle   -  0-cycles pmnt   In Process - Collect 0</v>
          </cell>
          <cell r="O81" t="str">
            <v>Mix Spray Daisy 5     Grass</v>
          </cell>
          <cell r="P81" t="str">
            <v>Sunflower ( 15 Inch ) 3     Grass</v>
          </cell>
          <cell r="Q81" t="str">
            <v xml:space="preserve">Mix Alstroemeria ( 14 inch ) 15     </v>
          </cell>
          <cell r="R81" t="str">
            <v xml:space="preserve">Mix Spray  5     </v>
          </cell>
          <cell r="S81" t="str">
            <v>Pur n P Eustoma ( 12 Inch ) 4     Grass</v>
          </cell>
          <cell r="T81" t="str">
            <v>Mix Alstroemeria ( 12 Inch ) 15     Grass</v>
          </cell>
        </row>
        <row r="82">
          <cell r="B82" t="str">
            <v>Manoj Arya</v>
          </cell>
          <cell r="C82" t="str">
            <v>76786 50466</v>
          </cell>
          <cell r="D82" t="str">
            <v>D-501, Bestech park view spa, sector 47</v>
          </cell>
          <cell r="G82" t="str">
            <v>before 2pm</v>
          </cell>
          <cell r="H82">
            <v>2600</v>
          </cell>
          <cell r="J82" t="str">
            <v>Bouquet</v>
          </cell>
          <cell r="K82" t="str">
            <v>Manoj Arya
+91 76786 50466
D-501, Bestech park view spa, sector 47
Happy birthday Bhaiya,
Wishing you good health and happiness.
Regards and love and best wishes,
Gitu and Bittoo ,
Aastha and Shiksha
Send today from Geetanjali kamra before 2pm</v>
          </cell>
          <cell r="T82" t="str">
            <v xml:space="preserve">Roses,Mix of Spray Daisies and Blue Daisies  12+15+10 Tissue Wrap+Massage    </v>
          </cell>
        </row>
        <row r="83">
          <cell r="B83" t="str">
            <v>Jasbir Singh</v>
          </cell>
          <cell r="C83">
            <v>9997092561</v>
          </cell>
          <cell r="D83" t="str">
            <v>514-A, The Camellias</v>
          </cell>
          <cell r="H83">
            <v>1730</v>
          </cell>
          <cell r="J83" t="str">
            <v>Bouquet</v>
          </cell>
          <cell r="T83" t="str">
            <v xml:space="preserve">White Oreintal + White Asiatic+Green Botton Daisy+White Car 2+1+6+10 Vase Arrangement     </v>
          </cell>
        </row>
        <row r="84">
          <cell r="B84" t="str">
            <v>Madhumita Dhupar</v>
          </cell>
          <cell r="C84" t="str">
            <v>Madhumita Dhupar</v>
          </cell>
          <cell r="D84" t="str">
            <v xml:space="preserve"> Pls keep ready 10 aaiatic lilies - semi bloomed in tissue wrap 
Madhumita Dhupar will pick in 20 mins</v>
          </cell>
          <cell r="H84">
            <v>2000</v>
          </cell>
          <cell r="J84" t="str">
            <v>Bouquet</v>
          </cell>
          <cell r="K84" t="str">
            <v>Pls keep ready 10 aaiatic lilies - semi bloomed in tissue wrap 
Madhumita Dhupar will pick in 20 mins</v>
          </cell>
          <cell r="T84" t="str">
            <v xml:space="preserve">Asiatic 10 Tissue Wrap    </v>
          </cell>
        </row>
        <row r="85">
          <cell r="B85" t="str">
            <v>Adesh Garg</v>
          </cell>
          <cell r="C85" t="str">
            <v xml:space="preserve"> 98110 40112</v>
          </cell>
          <cell r="D85" t="str">
            <v>1 Point Six 18, Artemis Batti</v>
          </cell>
          <cell r="G85" t="str">
            <v xml:space="preserve">Only Payment </v>
          </cell>
          <cell r="H85" t="str">
            <v xml:space="preserve">Only Payment </v>
          </cell>
          <cell r="I85" t="str">
            <v xml:space="preserve">Only Payment </v>
          </cell>
          <cell r="J85" t="str">
            <v xml:space="preserve">Only Payment </v>
          </cell>
          <cell r="K85" t="str">
            <v xml:space="preserve">Only Payment </v>
          </cell>
          <cell r="L85" t="str">
            <v xml:space="preserve">Only Payment </v>
          </cell>
          <cell r="M85" t="str">
            <v xml:space="preserve">Only Payment </v>
          </cell>
          <cell r="N85" t="str">
            <v xml:space="preserve">Only Payment </v>
          </cell>
          <cell r="O85" t="str">
            <v xml:space="preserve">Only Payment </v>
          </cell>
          <cell r="P85" t="str">
            <v xml:space="preserve">Only Payment </v>
          </cell>
          <cell r="Q85" t="str">
            <v xml:space="preserve">Only Payment </v>
          </cell>
          <cell r="R85" t="str">
            <v xml:space="preserve">Only Payment </v>
          </cell>
          <cell r="S85" t="str">
            <v xml:space="preserve">Only Payment </v>
          </cell>
          <cell r="T85" t="str">
            <v xml:space="preserve">Only Payment  Only Payment  Only Payment  Only Payment  Only Payment  Only Payment  Only Payment </v>
          </cell>
        </row>
        <row r="86">
          <cell r="B86" t="str">
            <v>98181 97784</v>
          </cell>
          <cell r="C86" t="str">
            <v>98181 97784</v>
          </cell>
          <cell r="D86" t="str">
            <v>6 espace , nirvana country</v>
          </cell>
          <cell r="G86" t="str">
            <v xml:space="preserve">Only Payment </v>
          </cell>
          <cell r="H86" t="str">
            <v xml:space="preserve">Only Payment </v>
          </cell>
          <cell r="I86" t="str">
            <v xml:space="preserve">Only Payment </v>
          </cell>
          <cell r="J86" t="str">
            <v xml:space="preserve">Only Payment </v>
          </cell>
          <cell r="K86" t="str">
            <v xml:space="preserve">Only Payment </v>
          </cell>
          <cell r="L86" t="str">
            <v xml:space="preserve">Only Payment </v>
          </cell>
          <cell r="M86" t="str">
            <v xml:space="preserve">Only Payment </v>
          </cell>
          <cell r="N86" t="str">
            <v xml:space="preserve">Only Payment </v>
          </cell>
          <cell r="O86" t="str">
            <v xml:space="preserve">Only Payment </v>
          </cell>
          <cell r="P86" t="str">
            <v xml:space="preserve">Only Payment </v>
          </cell>
          <cell r="Q86" t="str">
            <v xml:space="preserve">Only Payment </v>
          </cell>
          <cell r="R86" t="str">
            <v xml:space="preserve">Only Payment </v>
          </cell>
          <cell r="S86" t="str">
            <v xml:space="preserve">Only Payment </v>
          </cell>
          <cell r="T86" t="str">
            <v xml:space="preserve">Only Payment  Only Payment  Only Payment  Only Payment  Only Payment  Only Payment  Only Payment </v>
          </cell>
        </row>
        <row r="87">
          <cell r="A87">
            <v>77</v>
          </cell>
          <cell r="B87" t="str">
            <v>Maneesha Chaturvedi</v>
          </cell>
          <cell r="C87">
            <v>9971153076</v>
          </cell>
          <cell r="D87" t="str">
            <v>C-614, Sushant Lok I, Gurgaon 122009    Sushant Lok 1 Gurgaon  122009</v>
          </cell>
          <cell r="H87">
            <v>1850</v>
          </cell>
          <cell r="J87" t="str">
            <v>Bouquet</v>
          </cell>
          <cell r="K87" t="str">
            <v>Send today to Maneesha chaturvedi
Rajnigandha - 5
White Asiatic lily - 3
Pink n purple Eustoma  - 6 with greens and areca palm</v>
          </cell>
          <cell r="T87" t="str">
            <v xml:space="preserve">Rajni + W Asiatic +P n Pur Eustoma  5 + 3 + 6  Greens and areca palm    </v>
          </cell>
        </row>
      </sheetData>
      <sheetData sheetId="7"/>
      <sheetData sheetId="8"/>
      <sheetData sheetId="9"/>
      <sheetData sheetId="10"/>
      <sheetData sheetId="11"/>
      <sheetData sheetId="12"/>
      <sheetData sheetId="13">
        <row r="2">
          <cell r="A2">
            <v>3358</v>
          </cell>
          <cell r="B2" t="str">
            <v>Prasenjit</v>
          </cell>
          <cell r="C2">
            <v>9990903321</v>
          </cell>
          <cell r="D2" t="str">
            <v>T-10/1001, Vipul Belmonte</v>
          </cell>
          <cell r="E2" t="str">
            <v>DLF Phase 5</v>
          </cell>
          <cell r="F2" t="str">
            <v>Sunday</v>
          </cell>
          <cell r="G2" t="str">
            <v>9 AM - 12 PM</v>
          </cell>
          <cell r="H2">
            <v>1950</v>
          </cell>
          <cell r="I2">
            <v>487.5</v>
          </cell>
          <cell r="J2" t="str">
            <v>Joy</v>
          </cell>
          <cell r="K2" t="str">
            <v xml:space="preserve">Send Long stem </v>
          </cell>
          <cell r="M2" t="str">
            <v>Long Stem// Seasonal Next (24/05)</v>
          </cell>
          <cell r="N2" t="str">
            <v>2  del of this cycle   -  0-cycles pmnt   Completed - Collect 0</v>
          </cell>
          <cell r="O2" t="str">
            <v>Shd Pur n P Car ( 14 Inch ) 22     FF Sachet + Grass</v>
          </cell>
          <cell r="P2" t="str">
            <v>P n Y Spray Daisy -- Long Stems 7     FF Sachet + Grass</v>
          </cell>
          <cell r="Q2" t="str">
            <v>O Asiatic ( 15 inch ) 4     Grass</v>
          </cell>
          <cell r="R2" t="str">
            <v>P n W Glad ( 14 Inch ) 22     Grass</v>
          </cell>
          <cell r="S2" t="str">
            <v>Mix Alstroemeria ( 12 Inch ) 22     FF Sachet + Grass</v>
          </cell>
          <cell r="T2" t="str">
            <v>R n W Car )( 14 inch ) 22     FF Sachet + Grass</v>
          </cell>
        </row>
        <row r="3">
          <cell r="A3">
            <v>2786</v>
          </cell>
          <cell r="B3" t="str">
            <v>Aadarsh</v>
          </cell>
          <cell r="C3">
            <v>9739947695</v>
          </cell>
          <cell r="D3" t="str">
            <v>D-16/11, 1st Floor, Block D, Aardee City</v>
          </cell>
          <cell r="E3" t="str">
            <v>Sushant Estate</v>
          </cell>
          <cell r="F3" t="str">
            <v>Sunday</v>
          </cell>
          <cell r="G3" t="str">
            <v>9 AM - 12 PM</v>
          </cell>
          <cell r="H3">
            <v>999</v>
          </cell>
          <cell r="I3">
            <v>249.75</v>
          </cell>
          <cell r="J3" t="str">
            <v>Delight</v>
          </cell>
          <cell r="K3" t="str">
            <v>Skip next week and send on 07th Aug (20/07) Replacement tom (31/08) 1st Del tom and then every Sunday (10/12) Hold today (04/01) Hold due to non payment (08/02) HDTNP (15/02) HDTNP (22/02) HDTNP (01/03) HDTNP (08/03) Hold till 03rd May (06/04)</v>
          </cell>
          <cell r="M3" t="str">
            <v>Skip next week and send on 07th Aug (20/07)</v>
          </cell>
          <cell r="N3" t="str">
            <v>3  del of this cycle   -  0-cycles pmnt   Completed - Collect 0</v>
          </cell>
          <cell r="O3" t="str">
            <v>Shd Pur n P Car ( 14 Inch ) 9     FF Sachet + Grass</v>
          </cell>
          <cell r="P3" t="str">
            <v>Sunflower ( 15 inch ) 2     Grass</v>
          </cell>
          <cell r="Q3" t="str">
            <v>O Asiatic ( 15 inch ) 2     Grass</v>
          </cell>
          <cell r="R3" t="str">
            <v>R n W Car( 14 Inch)  9     FF Sachet + Grass</v>
          </cell>
          <cell r="S3" t="str">
            <v>Mix Alstroemeria ( 12 Inch ) 9     FF Sachet + Grass</v>
          </cell>
          <cell r="T3" t="str">
            <v>P Spray Daisy ( 14 Inch ) 3     FF Sachet + Grass</v>
          </cell>
        </row>
        <row r="4">
          <cell r="A4">
            <v>3243</v>
          </cell>
          <cell r="B4" t="str">
            <v>Muskan</v>
          </cell>
          <cell r="C4">
            <v>9877561166</v>
          </cell>
          <cell r="D4" t="str">
            <v>Floor - 6, Flat 601, Milan Appartment, CGHS</v>
          </cell>
          <cell r="E4" t="str">
            <v>Artemis</v>
          </cell>
          <cell r="F4" t="str">
            <v>Sunday</v>
          </cell>
          <cell r="G4" t="str">
            <v>10 AM to 2:30 PM</v>
          </cell>
          <cell r="H4">
            <v>1950</v>
          </cell>
          <cell r="I4">
            <v>487.5</v>
          </cell>
          <cell r="J4" t="str">
            <v>Joy</v>
          </cell>
          <cell r="K4" t="str">
            <v>One Kind // Day Sunday (26/03) Mix in Joy (23/04)</v>
          </cell>
          <cell r="M4" t="str">
            <v>Mix in Joy (23/04)</v>
          </cell>
          <cell r="N4" t="str">
            <v>4  del of this cycle   -  0-cycles pmnt   Completed - Collect 0</v>
          </cell>
          <cell r="O4" t="str">
            <v>R n W Car 22     FF Sachet + Grass</v>
          </cell>
          <cell r="P4" t="str">
            <v>Sunflower ( 15 inch ) 3 P n W Glad ( 14 inch ) 10   Grass</v>
          </cell>
          <cell r="Q4" t="str">
            <v>O Asiatic ( 15 inch ) 4     Grass</v>
          </cell>
          <cell r="R4" t="str">
            <v>P n W Glad ( 14 Inch ) 22     Grass</v>
          </cell>
          <cell r="S4" t="str">
            <v>P n Y Spray Daisy ( 14 Inch ) 7     FF Sachet + Grass</v>
          </cell>
          <cell r="T4" t="str">
            <v>Pur n P Car ( 14 Inch ) 22     FF Sachet + Grass</v>
          </cell>
        </row>
        <row r="5">
          <cell r="A5">
            <v>2856</v>
          </cell>
          <cell r="B5" t="str">
            <v>Bonita Bhatnagar</v>
          </cell>
          <cell r="C5">
            <v>9958222833</v>
          </cell>
          <cell r="D5" t="str">
            <v>C-134, Block C, Mayfield Garden</v>
          </cell>
          <cell r="E5" t="str">
            <v>Nirvana Country</v>
          </cell>
          <cell r="F5" t="str">
            <v>Sunday</v>
          </cell>
          <cell r="G5" t="str">
            <v>5 PM to 8 PM</v>
          </cell>
          <cell r="H5">
            <v>1450</v>
          </cell>
          <cell r="I5">
            <v>362.5</v>
          </cell>
          <cell r="J5" t="str">
            <v>Bliss</v>
          </cell>
          <cell r="K5" t="str">
            <v>Upgraded as per scheme to Bliss for 5 Deliveries (22/08)</v>
          </cell>
          <cell r="N5" t="str">
            <v>2  del of this cycle   -  1-cycles pmnt   Pending - Collect 1450</v>
          </cell>
          <cell r="O5" t="str">
            <v>P Asiatic ( 15 Inch )  3     Grass</v>
          </cell>
          <cell r="P5" t="str">
            <v>P n W Glad ( 14 inch ) 16     Grass</v>
          </cell>
          <cell r="Q5" t="str">
            <v>B Orchid  5     FF Sachet + Grass</v>
          </cell>
          <cell r="R5" t="str">
            <v>W Asiatic ( 15 inch ) 3     Grass</v>
          </cell>
          <cell r="S5" t="str">
            <v>Mix Alstroemeria ( 12 Inch ) 16     FF Sachet + Grass</v>
          </cell>
          <cell r="T5" t="str">
            <v>Pur n P Car ( 14 Inch ) 16     FF Sachet + Grass</v>
          </cell>
        </row>
        <row r="6">
          <cell r="A6">
            <v>1517</v>
          </cell>
          <cell r="B6" t="str">
            <v>Megha Bhardwaj</v>
          </cell>
          <cell r="C6">
            <v>9818525564</v>
          </cell>
          <cell r="D6" t="str">
            <v>B-65, 1st floor, Sushant Lok-3,HDFC School, Sec 57</v>
          </cell>
          <cell r="E6" t="str">
            <v>Artemis</v>
          </cell>
          <cell r="F6" t="str">
            <v>Sunday</v>
          </cell>
          <cell r="G6" t="str">
            <v>9 AM - 12 PM</v>
          </cell>
          <cell r="H6">
            <v>1950</v>
          </cell>
          <cell r="I6">
            <v>487.5</v>
          </cell>
          <cell r="J6" t="str">
            <v>Joy</v>
          </cell>
          <cell r="K6"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6" t="str">
            <v>Orchid</v>
          </cell>
          <cell r="N6" t="str">
            <v>4  del of this cycle   -  0-cycles pmnt   Completed - Collect 0</v>
          </cell>
          <cell r="O6" t="str">
            <v>P n Y Spray daisy ( 15 inch ) 7     FF Sachet + Grass</v>
          </cell>
          <cell r="P6" t="str">
            <v>P n W Car ( 14 inch ) 22     FF Sachet + Grass</v>
          </cell>
          <cell r="Q6" t="str">
            <v>Y Asiatic ( 15 Inch ) 4     Grass</v>
          </cell>
          <cell r="R6" t="str">
            <v>P n W Glad ( 14 Inch ) 22     Grass</v>
          </cell>
          <cell r="S6" t="e">
            <v>#N/A</v>
          </cell>
          <cell r="T6" t="str">
            <v>Sunflower ( 12 Inch ) 5     FF Sachet + Grass</v>
          </cell>
        </row>
        <row r="7">
          <cell r="A7">
            <v>3103</v>
          </cell>
          <cell r="B7" t="str">
            <v>Nirali Arora</v>
          </cell>
          <cell r="C7">
            <v>9584377124</v>
          </cell>
          <cell r="D7" t="str">
            <v>Plot No. B-179, Flat No. 301, Sec 57</v>
          </cell>
          <cell r="E7" t="str">
            <v>Sector 56</v>
          </cell>
          <cell r="F7" t="str">
            <v>Sunday</v>
          </cell>
          <cell r="G7" t="str">
            <v>10 AM to 2:30 PM</v>
          </cell>
          <cell r="H7">
            <v>1450</v>
          </cell>
          <cell r="I7">
            <v>362.5</v>
          </cell>
          <cell r="J7" t="str">
            <v>Bliss</v>
          </cell>
          <cell r="N7" t="str">
            <v>3  del of this cycle   -  0-cycles pmnt   Completed - Collect 0</v>
          </cell>
          <cell r="O7" t="e">
            <v>#N/A</v>
          </cell>
          <cell r="P7" t="e">
            <v>#N/A</v>
          </cell>
          <cell r="Q7" t="e">
            <v>#N/A</v>
          </cell>
          <cell r="R7" t="str">
            <v>P n W Car ( 14 inch ) 16     FF Sachet + Grass</v>
          </cell>
          <cell r="S7" t="str">
            <v>W Asiatic ( 14 Inch ) 3     Grass</v>
          </cell>
          <cell r="T7" t="str">
            <v>P n W Glad ( 14 Inch ) 16     Grass</v>
          </cell>
        </row>
        <row r="8">
          <cell r="A8">
            <v>13</v>
          </cell>
          <cell r="B8" t="str">
            <v>Mr. Vipin Marwah</v>
          </cell>
          <cell r="C8" t="str">
            <v>9313496645//9350353662</v>
          </cell>
          <cell r="D8" t="str">
            <v>D5/502, Parsvanath Exotica</v>
          </cell>
          <cell r="E8" t="str">
            <v>DLF Phase 5</v>
          </cell>
          <cell r="F8" t="str">
            <v>Sunday</v>
          </cell>
          <cell r="G8" t="str">
            <v>9 AM - 12 PM</v>
          </cell>
          <cell r="H8">
            <v>2750</v>
          </cell>
          <cell r="I8">
            <v>687.5</v>
          </cell>
          <cell r="J8" t="str">
            <v>Elation</v>
          </cell>
          <cell r="K8"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v>
          </cell>
          <cell r="N8" t="str">
            <v>2  del of this cycle   -  1-cycles pmnt   Pending - Collect 2750</v>
          </cell>
          <cell r="O8" t="str">
            <v>W Glad  32     Grass</v>
          </cell>
          <cell r="P8" t="str">
            <v>W Glad ( 14 inch ) 32     Grass</v>
          </cell>
          <cell r="Q8" t="str">
            <v>W Glad ( 14 inch ) 32     Grass</v>
          </cell>
          <cell r="R8" t="str">
            <v>W Glad ( 14 Inch ) 32     Grass</v>
          </cell>
          <cell r="S8" t="str">
            <v>O Glad ( 14 Inch ) 32     Grass</v>
          </cell>
          <cell r="T8" t="str">
            <v>W Glad ( 14 Inch ) 32     Grass</v>
          </cell>
        </row>
        <row r="9">
          <cell r="A9">
            <v>1978</v>
          </cell>
          <cell r="B9" t="str">
            <v>Anu-- After 6 PM</v>
          </cell>
          <cell r="C9" t="str">
            <v>98103 39602</v>
          </cell>
          <cell r="D9" t="str">
            <v xml:space="preserve">Tower 6, 901 Fresco </v>
          </cell>
          <cell r="E9" t="str">
            <v>Nirvana Country</v>
          </cell>
          <cell r="F9" t="str">
            <v>Thursday</v>
          </cell>
          <cell r="G9" t="str">
            <v>4 Pm to 7 PM</v>
          </cell>
          <cell r="H9">
            <v>4850</v>
          </cell>
          <cell r="I9">
            <v>606.25</v>
          </cell>
          <cell r="J9" t="str">
            <v>Poise</v>
          </cell>
          <cell r="K9"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9" t="str">
            <v>ROSE n RAJNI n HELICONIA n BOP</v>
          </cell>
          <cell r="M9" t="str">
            <v>after 6 pm on 19th (16/04)</v>
          </cell>
          <cell r="N9" t="str">
            <v>1  del of this cycle   -  1-cycles pmnt   Pending - Collect 4850</v>
          </cell>
          <cell r="O9" t="str">
            <v>O Asiatic ( 15 Inch )  2 Mix Alstroemeria ( 14 Inch )  6 Pur n P Car ( 14 Inch ) 12 Grass</v>
          </cell>
          <cell r="P9" t="str">
            <v>Y Asiatic ( 15 inch ) 2 P Eustoma ( 14 inch ) 3 P n W Glad 12 Grass</v>
          </cell>
          <cell r="Q9" t="str">
            <v>O Asiatic ( 15 inch ) 2 P n Y Spray Daisy ( 15 inch ) 4 P n W Glad ( 14 inch ) 12 Grass</v>
          </cell>
          <cell r="R9" t="str">
            <v>W Asiatic ( 15 inch ) 2 Mix Eustoma ( 12 Inch ) 4 Rajni ( 14 Inch ) 12 FF Sachet + Grass</v>
          </cell>
          <cell r="S9" t="str">
            <v>W Asiatic ( 14 Inch ) 2 Mix Alstroemeria ( 12 Inch ) 10 P n W Glad ( 14 Inch ) 10 FF Sachet + Grass</v>
          </cell>
          <cell r="T9" t="str">
            <v>O Asiatic ( 14 Inch ) 2 P n W Spray Daisy  14 Inch ) 4 Rajni ( 14 Inch ) 12 Grass</v>
          </cell>
        </row>
        <row r="10">
          <cell r="A10">
            <v>3154</v>
          </cell>
          <cell r="B10" t="str">
            <v>Ramjot kaur</v>
          </cell>
          <cell r="C10">
            <v>9711000358</v>
          </cell>
          <cell r="D10" t="str">
            <v>Plot no. 447, The Palm Crest, 3rd Floor, Behind Lotus School</v>
          </cell>
          <cell r="E10" t="str">
            <v>Nirvana Country</v>
          </cell>
          <cell r="F10" t="str">
            <v>Sunday</v>
          </cell>
          <cell r="G10" t="str">
            <v>9 AM - 12 PM</v>
          </cell>
          <cell r="H10">
            <v>999</v>
          </cell>
          <cell r="I10">
            <v>249.75</v>
          </cell>
          <cell r="J10" t="str">
            <v>Delight</v>
          </cell>
          <cell r="N10" t="str">
            <v>4  del of this cycle   -  0-cycles pmnt   Completed - Collect 0</v>
          </cell>
          <cell r="O10" t="str">
            <v>P Spray Daisy ( 15 Inch ) 3     FF Sachet + Grass</v>
          </cell>
          <cell r="P10" t="str">
            <v>Mix Alstroemeria ( 14 inch ) 9     FF Sachet + Grass</v>
          </cell>
          <cell r="Q10" t="str">
            <v>O Asiatic ( 15 inch ) 2     Grass</v>
          </cell>
          <cell r="R10" t="str">
            <v>P n W Glad ( 14 Inch ) 9     Grass</v>
          </cell>
          <cell r="S10" t="str">
            <v>Pur n P Car ( 14 Inch ) 9     FF Sachet + Grass</v>
          </cell>
          <cell r="T10" t="str">
            <v>Sunflower ( 12 Inch ) 2     FF Sachet + Grass</v>
          </cell>
        </row>
        <row r="11">
          <cell r="A11">
            <v>2580</v>
          </cell>
          <cell r="B11" t="str">
            <v>Davinder Singh</v>
          </cell>
          <cell r="C11">
            <v>9999653332</v>
          </cell>
          <cell r="D11" t="str">
            <v>T-12/002, Close North</v>
          </cell>
          <cell r="E11" t="str">
            <v>Nirvana Country</v>
          </cell>
          <cell r="F11" t="str">
            <v>Sunday</v>
          </cell>
          <cell r="G11" t="str">
            <v>9 AM - 12 PM</v>
          </cell>
          <cell r="H11">
            <v>1450</v>
          </cell>
          <cell r="I11">
            <v>362.5</v>
          </cell>
          <cell r="J11" t="str">
            <v>Bliss</v>
          </cell>
          <cell r="K11" t="str">
            <v xml:space="preserve"> Hold due to non payment (12/10) Hold due to non payment (20/12) Hold due to non payment (18/01) Hold due to non payment (25/01) Hold due to non payment (01/02) Hold due to non payment (08/02) HDTNP (15/02) HDTNP (22/02) Skip 1 week (18/04)</v>
          </cell>
          <cell r="N11" t="str">
            <v>4  del of this cycle   -  0-cycles pmnt   Completed - Collect 0</v>
          </cell>
          <cell r="O11" t="str">
            <v>P Spray Daisy ( 15 Inch ) 3 Mix Alstroemeria ( 14 Inch )  7   FF Sachet + Grass</v>
          </cell>
          <cell r="P11" t="str">
            <v>P Asiatic ( 15 inch ) 2 P n W Glad ( 14 inch ) 7   Grass</v>
          </cell>
          <cell r="Q11" t="str">
            <v>O Asiatic ( 15 inch ) 2 P n W Car ( 14 inch ) 7   Grass</v>
          </cell>
          <cell r="R11" t="str">
            <v>P Eustoma ( 12 Inch )  2 Mix Glad ( 12 Inch ) 7   FF Sachet + Grass</v>
          </cell>
          <cell r="S11" t="str">
            <v>Y Spray Daisy ( 14 Inch ) 3 Mix Alstroemeria ( 12 Inch ) 7   FF Sachet + Grass</v>
          </cell>
          <cell r="T11" t="str">
            <v>Sunflower ( 12 Inch ) 2 Pur n P Car ( 14 Inch ) 7   FF Sachet + Grass</v>
          </cell>
        </row>
        <row r="12">
          <cell r="A12">
            <v>2392</v>
          </cell>
          <cell r="B12" t="str">
            <v>Neelam malik</v>
          </cell>
          <cell r="C12">
            <v>8826230834</v>
          </cell>
          <cell r="D12" t="str">
            <v>T-B6/703, Exotica</v>
          </cell>
          <cell r="E12" t="str">
            <v>DLF Phase 5</v>
          </cell>
          <cell r="F12" t="str">
            <v>Sunday</v>
          </cell>
          <cell r="G12" t="str">
            <v>9 AM - 12 PM</v>
          </cell>
          <cell r="H12">
            <v>1450</v>
          </cell>
          <cell r="I12">
            <v>362.5</v>
          </cell>
          <cell r="J12" t="str">
            <v>Bliss</v>
          </cell>
          <cell r="K12" t="str">
            <v>Skip 1 week (25/01) Send this week delivery on Thursday (08/02) Skip tom and send on Thursday (01/03) Hold after current cycle (19/03) Upgrade to bliss and skip 1 week (06/12) Skip 1 week (25/01)</v>
          </cell>
          <cell r="N12" t="str">
            <v>2  del of this cycle   -  0-cycles pmnt   Completed - Collect 0</v>
          </cell>
          <cell r="O12" t="str">
            <v>R n W Car ( 14 inch ) 16 Collect Cash Collect Cash   FF Sachet + Grass</v>
          </cell>
          <cell r="P12" t="str">
            <v>P n Y Spray Daisy ( 15 inch ) 5 Carry Recipet Book    FF Sachet + Grass</v>
          </cell>
          <cell r="Q12" t="str">
            <v>O Asiatic ( 15 inch ) 3     Grass</v>
          </cell>
          <cell r="R12" t="str">
            <v>P n W Glad ( 14 Inch ) 16     Grass</v>
          </cell>
          <cell r="S12" t="str">
            <v>Mix Alstroemeria ( 12 Inch ) 16     FF Sachet + Grass</v>
          </cell>
          <cell r="T12" t="str">
            <v>Pur n P Car ( 14 Inch ) 16     FF Sachet + Grass</v>
          </cell>
        </row>
        <row r="13">
          <cell r="A13">
            <v>3214</v>
          </cell>
          <cell r="B13" t="str">
            <v>Sheeba Rana</v>
          </cell>
          <cell r="C13">
            <v>9958849523</v>
          </cell>
          <cell r="D13" t="str">
            <v>T-14/1202, The Close North</v>
          </cell>
          <cell r="E13" t="str">
            <v>Nirvana Country</v>
          </cell>
          <cell r="F13" t="str">
            <v>Sunday</v>
          </cell>
          <cell r="G13" t="str">
            <v>10 AM to 2:30 PM</v>
          </cell>
          <cell r="H13">
            <v>999</v>
          </cell>
          <cell r="I13">
            <v>249.75</v>
          </cell>
          <cell r="J13" t="str">
            <v>Delight</v>
          </cell>
          <cell r="K13" t="str">
            <v>Skip n send on 11th n then on preferred day</v>
          </cell>
          <cell r="N13" t="str">
            <v>3  del of this cycle   -  0-cycles pmnt   Completed - Collect 0</v>
          </cell>
          <cell r="O13" t="str">
            <v>Y Spray Daisy ( 15 inch ) 3     FF Sachet + Grass</v>
          </cell>
          <cell r="P13" t="str">
            <v>Mix Alstroemeria ( 14 inch ) 9     FF Sachet + Grass</v>
          </cell>
          <cell r="Q13" t="str">
            <v>O Asiatic ( 15 inch ) 2     Grass</v>
          </cell>
          <cell r="R13" t="str">
            <v>P n W Glad ( 14 Inch ) 9     Grass</v>
          </cell>
          <cell r="S13" t="str">
            <v>Pur n P Car ( 14 Inch ) 9     FF Sachet + Grass</v>
          </cell>
          <cell r="T13" t="str">
            <v>Sunflower ( 12 Inch ) 2     FF Sachet + Grass</v>
          </cell>
        </row>
        <row r="14">
          <cell r="A14">
            <v>894</v>
          </cell>
          <cell r="B14" t="str">
            <v>Dr. Roma Kumar</v>
          </cell>
          <cell r="C14" t="str">
            <v>98110 87708</v>
          </cell>
          <cell r="D14" t="str">
            <v>RT-181, Royalton Tower
Inside Princeton Estate
DLF City Phase-V
Gurgaon-122009
Haryana</v>
          </cell>
          <cell r="E14" t="str">
            <v>DLF Phase 5</v>
          </cell>
          <cell r="F14" t="str">
            <v>Thursday</v>
          </cell>
          <cell r="G14" t="str">
            <v>9 AM - 12 PM</v>
          </cell>
          <cell r="H14">
            <v>3000</v>
          </cell>
          <cell r="I14">
            <v>375</v>
          </cell>
          <cell r="J14" t="str">
            <v>Charm</v>
          </cell>
          <cell r="K14"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14" t="str">
            <v>ORCHID</v>
          </cell>
          <cell r="N14" t="str">
            <v>8  del of this cycle   -  0-cycles pmnt   Completed - Collect 0</v>
          </cell>
          <cell r="O14" t="str">
            <v>Shd Pur n P Car ( 14 Inch ) 15     FF Sachet + Grass</v>
          </cell>
          <cell r="P14" t="str">
            <v>R n W Car ( 14 inch ) 15     FF Sachet + Grass</v>
          </cell>
          <cell r="Q14" t="str">
            <v>O Asiatic ( 15 inch ) 3     Grass</v>
          </cell>
          <cell r="R14" t="str">
            <v>Rajni ( 14 Inch )  15     Grass</v>
          </cell>
          <cell r="S14" t="str">
            <v>Mix Alstroemeria ( 12 Inch ) 15     FF Sachet + Grass</v>
          </cell>
          <cell r="T14" t="str">
            <v>Pur n P Car ( 14 Inch ) 15     FF Sachet + Grass</v>
          </cell>
        </row>
        <row r="15">
          <cell r="A15">
            <v>3277</v>
          </cell>
          <cell r="B15" t="str">
            <v>M2K</v>
          </cell>
          <cell r="C15">
            <v>8595180468</v>
          </cell>
          <cell r="D15" t="str">
            <v>M2k</v>
          </cell>
          <cell r="E15" t="str">
            <v>Nirvana Country</v>
          </cell>
          <cell r="F15" t="str">
            <v>Tuesday</v>
          </cell>
          <cell r="G15" t="str">
            <v>By 8 AM</v>
          </cell>
          <cell r="H15">
            <v>10500</v>
          </cell>
          <cell r="I15">
            <v>350</v>
          </cell>
          <cell r="J15" t="str">
            <v>Corporate</v>
          </cell>
          <cell r="N15" t="str">
            <v>4  del of this cycle   -  0-cycles pmnt   In Process - Collect 0</v>
          </cell>
          <cell r="O15" t="str">
            <v xml:space="preserve">Pooja Flowers  1     </v>
          </cell>
          <cell r="P15" t="str">
            <v xml:space="preserve">Pooja Flowers  1     </v>
          </cell>
          <cell r="Q15" t="str">
            <v xml:space="preserve">Pooja Flowers  1     </v>
          </cell>
          <cell r="R15" t="str">
            <v xml:space="preserve">Pooja Flowers  1     </v>
          </cell>
          <cell r="S15" t="str">
            <v xml:space="preserve">Pooja Flower 1      </v>
          </cell>
          <cell r="T15" t="str">
            <v xml:space="preserve">Pooja Flowers  1     </v>
          </cell>
        </row>
        <row r="16">
          <cell r="A16">
            <v>2434</v>
          </cell>
          <cell r="B16" t="str">
            <v>Manasi Sardana</v>
          </cell>
          <cell r="C16">
            <v>9825966349</v>
          </cell>
          <cell r="D16" t="str">
            <v>T-8/303, The South Close</v>
          </cell>
          <cell r="E16" t="str">
            <v>Nirvana Country</v>
          </cell>
          <cell r="F16" t="str">
            <v>Sunday</v>
          </cell>
          <cell r="G16" t="str">
            <v>9 AM to 2 PM</v>
          </cell>
          <cell r="H16">
            <v>1450</v>
          </cell>
          <cell r="I16">
            <v>362.5</v>
          </cell>
          <cell r="J16" t="str">
            <v>Bliss</v>
          </cell>
          <cell r="K16" t="str">
            <v>Rajni is preferred // Skip 1 week (17/05) paytm From Phadke Mansi Pradeep // Skip 1 week (01/01/26) Skip 1 week (24/01) Today returned (15/02)</v>
          </cell>
          <cell r="M16" t="str">
            <v>Rajni referred</v>
          </cell>
          <cell r="N16" t="str">
            <v>4  del of this cycle   -  0-cycles pmnt   Completed - Collect 0</v>
          </cell>
          <cell r="O16" t="str">
            <v>W Eustoma ( 14 Inch ) 2 Mix Alstroemeria ( 14 Inch )  7   FF Sachet + Grass</v>
          </cell>
          <cell r="P16" t="str">
            <v>Sunflower ( 15 inch ) 2 P n W Glad ( 14 inch ) 7   Grass</v>
          </cell>
          <cell r="Q16" t="str">
            <v>O Asiatic ( 15 inch ) 2 P n W Car ( 14 inch ) 7   Grass</v>
          </cell>
          <cell r="R16" t="str">
            <v>P Spray Daisy ( 15 Inch ) 3 Rajni( 12 Inch ) 7   FF Sachet + Grass</v>
          </cell>
          <cell r="S16" t="str">
            <v>Pur Eustoma ( 12 Inch ) 2 Mix Alstroemeria ( 12 Inch ) 7   FF Sachet + Grass</v>
          </cell>
          <cell r="T16" t="str">
            <v>Sunflower ( 12 Inch ) 2 P n W Glad ( 14 Inch ) 7   FF Sachet + Grass</v>
          </cell>
        </row>
        <row r="17">
          <cell r="A17">
            <v>3143</v>
          </cell>
          <cell r="B17" t="str">
            <v>Ruchira Sen</v>
          </cell>
          <cell r="C17">
            <v>8850376353</v>
          </cell>
          <cell r="D17" t="str">
            <v>A-016, Carlton Estate 1</v>
          </cell>
          <cell r="E17" t="str">
            <v>DLF Phase 5</v>
          </cell>
          <cell r="F17" t="str">
            <v>Sunday</v>
          </cell>
          <cell r="G17" t="str">
            <v>9 AM to 2 PM</v>
          </cell>
          <cell r="H17">
            <v>999</v>
          </cell>
          <cell r="I17">
            <v>249.75</v>
          </cell>
          <cell r="J17" t="str">
            <v>Delight</v>
          </cell>
          <cell r="K17" t="str">
            <v>Skip 2 week (14/12) Skip 1 week 903/01) Skip 1 week (21/02) Skip 1 week (14/03) Skip 1 week (30/03) Skip 1 week (06/04)</v>
          </cell>
          <cell r="N17" t="str">
            <v>2  del of this cycle   -  1-cycles pmnt   Pending - Collect 999</v>
          </cell>
          <cell r="O17" t="str">
            <v>Sunflower ( 15 Inch ) 2     Grass</v>
          </cell>
          <cell r="P17" t="str">
            <v>Mix Alstroemeria ( 14 inch ) 9     FF Sachet + Grass</v>
          </cell>
          <cell r="Q17" t="str">
            <v>O Asiatic ( 15 inch ) 2     Grass</v>
          </cell>
          <cell r="R17" t="str">
            <v>P n W Glad ( 14 Inch ) 9     Grass</v>
          </cell>
          <cell r="S17" t="str">
            <v>Pur n P Car ( 14 Inch ) 9     FF Sachet + Grass</v>
          </cell>
          <cell r="T17" t="str">
            <v>Y Spray Daisy ( 14 Inch ) 3     FF Sachet + Grass</v>
          </cell>
        </row>
        <row r="18">
          <cell r="A18">
            <v>3018</v>
          </cell>
          <cell r="B18" t="str">
            <v>Gurrit Kaur sethi</v>
          </cell>
          <cell r="C18">
            <v>9810918222</v>
          </cell>
          <cell r="D18" t="str">
            <v>T-2/201, Unitech Escape</v>
          </cell>
          <cell r="E18" t="str">
            <v>Nirvana Country</v>
          </cell>
          <cell r="F18" t="str">
            <v>Sunday</v>
          </cell>
          <cell r="G18" t="str">
            <v>9 AM - 12 PM</v>
          </cell>
          <cell r="H18">
            <v>999</v>
          </cell>
          <cell r="I18">
            <v>249.75</v>
          </cell>
          <cell r="J18" t="str">
            <v>Delight</v>
          </cell>
          <cell r="N18" t="str">
            <v>3  del of this cycle   -  0-cycles pmnt   Completed - Collect 0</v>
          </cell>
          <cell r="O18" t="str">
            <v>Y Spray Daisy ( 15 inch ) 3     FF Sachet + Grass</v>
          </cell>
          <cell r="P18" t="str">
            <v>Mix Alstroemeria ( 14 inch ) 9     FF Sachet + Grass</v>
          </cell>
          <cell r="Q18" t="str">
            <v>O Asiatic ( 15 inch ) 2     Grass</v>
          </cell>
          <cell r="R18" t="str">
            <v>P n W Car ( 14 inch ) 9     FF Sachet + Grass</v>
          </cell>
          <cell r="S18" t="str">
            <v>P n W Glad ( 14 Inch ) 9     Grass</v>
          </cell>
          <cell r="T18" t="str">
            <v>Sunflower ( 12 Inch ) 2     FF Sachet + Grass</v>
          </cell>
        </row>
        <row r="19">
          <cell r="A19">
            <v>2869</v>
          </cell>
          <cell r="B19" t="str">
            <v>Jaya Wanchoo</v>
          </cell>
          <cell r="C19">
            <v>8130245666</v>
          </cell>
          <cell r="D19" t="str">
            <v xml:space="preserve">T-8/603, The Close North
</v>
          </cell>
          <cell r="E19" t="str">
            <v>Nirvana Country</v>
          </cell>
          <cell r="F19" t="str">
            <v>Sunday</v>
          </cell>
          <cell r="G19" t="str">
            <v>10 AM to 2:30 PM</v>
          </cell>
          <cell r="H19">
            <v>2750</v>
          </cell>
          <cell r="I19">
            <v>687.5</v>
          </cell>
          <cell r="J19" t="str">
            <v>Elation</v>
          </cell>
          <cell r="N19" t="str">
            <v>1  del of this cycle   -  1-cycles pmnt   Pending - Collect 2750</v>
          </cell>
          <cell r="O19" t="str">
            <v>Pur n W Eustoma ( 14 Inch ) 4 Mix Alstroemeria ( 14 Inch )  16   2 Gypsola + FF Sachet</v>
          </cell>
          <cell r="P19" t="str">
            <v>P Asiatic ( 15 inch ) 3 Rajni 16   2 Limonium</v>
          </cell>
          <cell r="Q19" t="str">
            <v>Sunflower 4 P n W Car ( 14 inch ) 16   2 Gypsola + FF Sachet</v>
          </cell>
          <cell r="R19" t="str">
            <v>P n Y Spray Daisy ( 15 Inch ) 5 P n W Glad ( 12 Inch ) 16   2 Limonium + FF aschet</v>
          </cell>
          <cell r="S19" t="str">
            <v>Pur n P Eustoma ( 12 Inch ) 4 Mix Alstroemeria ( 12 Inch ) 16   2 Gypsola + FF sachet</v>
          </cell>
          <cell r="T19" t="str">
            <v>O Asiatic ( 14 Inch ) 3 Pur n P Car ( 14 Inch ) 16   2 Limonium</v>
          </cell>
        </row>
        <row r="20">
          <cell r="A20">
            <v>2416</v>
          </cell>
          <cell r="B20" t="str">
            <v>Dinesh Dhir</v>
          </cell>
          <cell r="C20">
            <v>9810709096</v>
          </cell>
          <cell r="D20" t="str">
            <v>D-11/9, 1st Floor, DLF Exclusive Floors</v>
          </cell>
          <cell r="E20" t="str">
            <v>DLF Phase 5</v>
          </cell>
          <cell r="F20" t="str">
            <v>Sunday</v>
          </cell>
          <cell r="G20" t="str">
            <v>9 AM - 12 PM</v>
          </cell>
          <cell r="H20">
            <v>999</v>
          </cell>
          <cell r="I20">
            <v>249.75</v>
          </cell>
          <cell r="J20" t="str">
            <v>Delight</v>
          </cell>
          <cell r="K20" t="str">
            <v>Hold today n send next week (15/06) Add changed (17/05)</v>
          </cell>
          <cell r="N20" t="str">
            <v>3  del of this cycle   -  0-cycles pmnt   Completed - Collect 0</v>
          </cell>
          <cell r="O20" t="str">
            <v>R n W Car ( 14 inch ) 9     FF Sachet + Grass</v>
          </cell>
          <cell r="P20" t="str">
            <v>Mix Alstroemeria ( 14 inch ) 9     FF Sachet + Grass</v>
          </cell>
          <cell r="Q20" t="str">
            <v>O Asiatic ( 15 inch ) 2     Grass</v>
          </cell>
          <cell r="R20" t="str">
            <v>R n W Car( 14 Inch)  9     FF Sachet + Grass</v>
          </cell>
          <cell r="S20" t="str">
            <v>P n W Glad ( 14 Inch ) 9     Grass</v>
          </cell>
          <cell r="T20" t="str">
            <v>Sunflower ( 12 Inch ) 2     FF Sachet + Grass</v>
          </cell>
        </row>
        <row r="21">
          <cell r="A21">
            <v>2255</v>
          </cell>
          <cell r="B21" t="str">
            <v>Prerna -- Rosewood</v>
          </cell>
          <cell r="C21">
            <v>9910778929</v>
          </cell>
          <cell r="D21" t="str">
            <v>D-154, Rosewood City, Sector 50</v>
          </cell>
          <cell r="E21" t="str">
            <v>Nirvana Country</v>
          </cell>
          <cell r="F21" t="str">
            <v>Sunday</v>
          </cell>
          <cell r="G21" t="str">
            <v>9:30 Am to 2 PM</v>
          </cell>
          <cell r="H21">
            <v>1450</v>
          </cell>
          <cell r="I21">
            <v>362.5</v>
          </cell>
          <cell r="J21" t="str">
            <v>Bliss</v>
          </cell>
          <cell r="K21" t="str">
            <v>Sent replacement today (21/04) Skip 1 week (04/12) Skip tom (14/06) Return today (06/07) 27th Del Missed (03/08)Skip 22/23rd Nov (08/11) Paytm From Prerna Sharma // Skip 1 week (07/02) Hold n start after 9 th June (10/05)</v>
          </cell>
          <cell r="N21" t="str">
            <v>1  del of this cycle   -  1-cycles pmnt   Pending - Collect 1450</v>
          </cell>
          <cell r="O21" t="e">
            <v>#N/A</v>
          </cell>
          <cell r="P21" t="e">
            <v>#N/A</v>
          </cell>
          <cell r="Q21" t="e">
            <v>#N/A</v>
          </cell>
          <cell r="R21" t="e">
            <v>#N/A</v>
          </cell>
          <cell r="S21" t="e">
            <v>#N/A</v>
          </cell>
          <cell r="T21" t="str">
            <v>Pur n P Car ( 14 Inch ) 16     FF Sachet + Grass</v>
          </cell>
        </row>
        <row r="22">
          <cell r="A22" t="str">
            <v>G-00011</v>
          </cell>
          <cell r="B22" t="str">
            <v>Nainsee Garg</v>
          </cell>
          <cell r="C22">
            <v>9810561802</v>
          </cell>
          <cell r="D22" t="str">
            <v>A67 Rosewood City Sector 49 Gurgaon 122001</v>
          </cell>
          <cell r="E22" t="str">
            <v>Nirvana Country</v>
          </cell>
          <cell r="F22" t="str">
            <v>Friday</v>
          </cell>
          <cell r="G22" t="str">
            <v>9 AM to 2 PM</v>
          </cell>
          <cell r="H22">
            <v>2350</v>
          </cell>
          <cell r="I22">
            <v>293.75</v>
          </cell>
          <cell r="J22" t="str">
            <v>Felicity</v>
          </cell>
          <cell r="K22" t="str">
            <v>No Glad (15/-5) Skip tom n sned next del on Sunday (29/05) Skip 1 week (03/07) Skip 1 week (12/11) Send tom (01/04) Sent one del today (09/04) Skip 1 week (11/05) Skip this cdel n send on Sunday (12/06)</v>
          </cell>
          <cell r="L22" t="str">
            <v>Glad</v>
          </cell>
          <cell r="N22" t="str">
            <v>3  del of this cycle   -  0-cycles pmnt   Completed - Collect 0</v>
          </cell>
          <cell r="O22" t="e">
            <v>#N/A</v>
          </cell>
          <cell r="P22" t="e">
            <v>#N/A</v>
          </cell>
          <cell r="Q22" t="e">
            <v>#N/A</v>
          </cell>
          <cell r="R22" t="e">
            <v>#N/A</v>
          </cell>
          <cell r="S22" t="e">
            <v>#N/A</v>
          </cell>
          <cell r="T22" t="str">
            <v>Rajni ( 14 Inch ) 11     Grass</v>
          </cell>
        </row>
        <row r="23">
          <cell r="A23">
            <v>2316</v>
          </cell>
          <cell r="B23" t="str">
            <v>Gitanjali Kamra</v>
          </cell>
          <cell r="C23">
            <v>9811842976</v>
          </cell>
          <cell r="D23" t="str">
            <v>121, Espace, Nirvana Country</v>
          </cell>
          <cell r="E23" t="str">
            <v>Nirvana Country</v>
          </cell>
          <cell r="F23" t="str">
            <v>Sunday</v>
          </cell>
          <cell r="G23" t="str">
            <v>9 AM - 12 PM</v>
          </cell>
          <cell r="H23">
            <v>4750</v>
          </cell>
          <cell r="I23">
            <v>1187.5</v>
          </cell>
          <cell r="J23" t="str">
            <v>Enchantment</v>
          </cell>
          <cell r="K23" t="str">
            <v>Now Elation (21/09) Skip 1 week (17/12)</v>
          </cell>
          <cell r="N23" t="str">
            <v>2  del of this cycle   -  0-cycles pmnt   Completed - Collect 0</v>
          </cell>
          <cell r="O23" t="str">
            <v>R Orchid 10 Mix Alstroemeria ( 14 Inch )  30   3 Limonium + FF sachet</v>
          </cell>
          <cell r="P23" t="str">
            <v xml:space="preserve">P Asiatic ( 15 inch ) 6 P n W Glad ( 14 inch ) 30   </v>
          </cell>
          <cell r="Q23" t="str">
            <v>Mix Spray  8 P n W Car ( 14 inch ) 30   3 Limonium + FF Sachet</v>
          </cell>
          <cell r="R23" t="str">
            <v>Pur n P Eustoma ( 12 Inch ) 6 Mix Spray Carnation ( 12 Inch ) 15   3 Gypsola + FF Sachet</v>
          </cell>
          <cell r="S23" t="str">
            <v>Sunflower ( 12 Inch ) 7 Mix Alstroemeria ( 12 Inch ) 30   3 Limonium + Ff Sachet</v>
          </cell>
          <cell r="T23" t="str">
            <v>O Asiatic ( 14 Inch ) 6 P n W Glad ( 14 Inch ) 30   3 Gypsola</v>
          </cell>
        </row>
        <row r="24">
          <cell r="A24">
            <v>237</v>
          </cell>
          <cell r="B24" t="str">
            <v>Mayom Hospital</v>
          </cell>
          <cell r="C24">
            <v>8860079525</v>
          </cell>
          <cell r="D24" t="str">
            <v>Mayom Hospital, D block south city 1</v>
          </cell>
          <cell r="E24" t="str">
            <v>South City 1</v>
          </cell>
          <cell r="F24" t="str">
            <v>Sunday</v>
          </cell>
          <cell r="G24" t="str">
            <v>9 AM - 12 PM</v>
          </cell>
          <cell r="H24">
            <v>3000</v>
          </cell>
          <cell r="I24">
            <v>375</v>
          </cell>
          <cell r="J24" t="str">
            <v>Corporate</v>
          </cell>
          <cell r="K24" t="str">
            <v>Sending on 20th instaed of 21st,bcoz of Holi(18/03) Send on Monday this week(20/03)</v>
          </cell>
          <cell r="N24" t="str">
            <v>3  del of this cycle   -  0-cycles pmnt   In Process - Collect 0</v>
          </cell>
          <cell r="O24" t="str">
            <v>Sunflower ( 15 Inch ) 3     Grass</v>
          </cell>
          <cell r="P24" t="str">
            <v xml:space="preserve">Mix Alstroemeria ( 14 inch ) 15     </v>
          </cell>
          <cell r="Q24" t="str">
            <v xml:space="preserve">Mix Spray  5     </v>
          </cell>
          <cell r="R24" t="str">
            <v>Pur n P Eustoma ( 12 Inch ) 4     Grass</v>
          </cell>
          <cell r="S24" t="str">
            <v>Mix Alstroemeria ( 12 Inch ) 15     Grass</v>
          </cell>
          <cell r="T24" t="str">
            <v xml:space="preserve">P Eustoma ( 12 Inch ) 3     </v>
          </cell>
        </row>
        <row r="25">
          <cell r="A25">
            <v>1140</v>
          </cell>
          <cell r="B25" t="str">
            <v>Nidhi Singh</v>
          </cell>
          <cell r="C25" t="str">
            <v>8383036664//9899389873</v>
          </cell>
          <cell r="D25" t="str">
            <v>D-8/3, Ground Floor DLF Exclusive Floors</v>
          </cell>
          <cell r="E25" t="str">
            <v>DLF Phase 5</v>
          </cell>
          <cell r="F25" t="str">
            <v>Thursday</v>
          </cell>
          <cell r="G25" t="str">
            <v>9 AM - 12 PM</v>
          </cell>
          <cell r="H25">
            <v>2300</v>
          </cell>
          <cell r="I25">
            <v>287.5</v>
          </cell>
          <cell r="J25" t="str">
            <v>Felicity</v>
          </cell>
          <cell r="K25"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5" t="str">
            <v>ROSE</v>
          </cell>
          <cell r="N25" t="str">
            <v>4  del of this cycle   -  0-cycles pmnt   Completed - Collect 0</v>
          </cell>
          <cell r="O25" t="str">
            <v>Y Spray Daisy ( 15 inch ) 3     FF Sachet + Grass</v>
          </cell>
          <cell r="P25" t="str">
            <v>B Orchid 4     FF Sachet + Grass</v>
          </cell>
          <cell r="Q25" t="str">
            <v>Rajni ( 14 inch ) 11     Grass</v>
          </cell>
          <cell r="R25" t="str">
            <v>R n W Car( 14 Inch)  11     FF Sachet + Grass</v>
          </cell>
          <cell r="S25" t="str">
            <v>Mix Alstroemeria ( 12 Inch ) 11     FF Sachet + Grass</v>
          </cell>
          <cell r="T25" t="str">
            <v>O Asiatic ( 14 Inch ) 2     Grass</v>
          </cell>
        </row>
        <row r="26">
          <cell r="A26">
            <v>2192</v>
          </cell>
          <cell r="B26" t="str">
            <v>Prabhdeep Kaur</v>
          </cell>
          <cell r="C26">
            <v>7456879082</v>
          </cell>
          <cell r="D26" t="str">
            <v>C-173, 2nd Floor,South City 2</v>
          </cell>
          <cell r="E26" t="str">
            <v>Nirvana Country</v>
          </cell>
          <cell r="F26" t="str">
            <v>Sunday</v>
          </cell>
          <cell r="G26" t="str">
            <v>9 AM - 12 PM</v>
          </cell>
          <cell r="H26">
            <v>1450</v>
          </cell>
          <cell r="I26">
            <v>362.5</v>
          </cell>
          <cell r="J26" t="str">
            <v>Bliss</v>
          </cell>
          <cell r="K26" t="str">
            <v>Today Returned (18/08) Gpay from Preity Dadwal (20/10) Hold after current cuycle (22/12) Today Returned (29/12) Today returned (17/08) Today returned (16/11) Do not count 25th Jan Del (01/03) Pne more payment received today (2/03) Sent one del today -skip tom (07/03)</v>
          </cell>
          <cell r="N26" t="str">
            <v>2  del of this cycle   -  0-cycles pmnt   Completed - Collect 0</v>
          </cell>
          <cell r="O26" t="str">
            <v>P n W Spray Daisy ( 15 inch ) 5     FF Sachet + Grass</v>
          </cell>
          <cell r="P26" t="str">
            <v>Mix Alstroemeria ( 14 inch ) 16     FF Sachet + Grass</v>
          </cell>
          <cell r="Q26" t="str">
            <v>O Asiatic ( 15 inch ) 3     Grass</v>
          </cell>
          <cell r="R26" t="str">
            <v>P n W Spray Daisy ( 15 Inch ) 5     FF Sachet + Grass</v>
          </cell>
          <cell r="S26" t="str">
            <v>P n W Glad ( 14 Inch ) 16     Grass</v>
          </cell>
          <cell r="T26" t="str">
            <v>Pur n P Car ( 14 Inch ) 16     FF Sachet + Grass</v>
          </cell>
        </row>
        <row r="27">
          <cell r="A27">
            <v>2779</v>
          </cell>
          <cell r="B27" t="str">
            <v>Riddhi Desai</v>
          </cell>
          <cell r="C27">
            <v>8130497969</v>
          </cell>
          <cell r="D27" t="str">
            <v>D-71, The Icon</v>
          </cell>
          <cell r="E27" t="str">
            <v>Golf Course Road</v>
          </cell>
          <cell r="F27" t="str">
            <v>Sunday</v>
          </cell>
          <cell r="G27" t="str">
            <v>9 AM to 2 PM</v>
          </cell>
          <cell r="H27">
            <v>1600</v>
          </cell>
          <cell r="I27">
            <v>200</v>
          </cell>
          <cell r="J27" t="str">
            <v>Bloom</v>
          </cell>
          <cell r="K27" t="str">
            <v>Send this week on Saturday (14/08) Skip 1 week (21/12) Hold till 2nd June (20/05)</v>
          </cell>
          <cell r="N27" t="str">
            <v>1  del of this cycle   -  1-cycles pmnt   Pending - Collect 1600</v>
          </cell>
          <cell r="O27" t="str">
            <v>Sunflower ( 15 Inch ) 2     Grass</v>
          </cell>
          <cell r="P27" t="str">
            <v>Rajni ( 14 inch ) 7     Grass</v>
          </cell>
          <cell r="Q27" t="e">
            <v>#N/A</v>
          </cell>
          <cell r="R27" t="e">
            <v>#N/A</v>
          </cell>
          <cell r="S27" t="str">
            <v>Mix Alstroemeria ( 12 Inch ) 7     FF Sachet + Grass</v>
          </cell>
          <cell r="T27" t="str">
            <v>B Daisy ( 12 Inch ) 7     FF Sachet + Grass</v>
          </cell>
        </row>
        <row r="28">
          <cell r="A28">
            <v>234</v>
          </cell>
          <cell r="B28" t="str">
            <v>jaya Chakrabarti-- Before 10 AM</v>
          </cell>
          <cell r="C28">
            <v>9810390185</v>
          </cell>
          <cell r="D28" t="str">
            <v>A 56, FF, south City 2, sonha road, gurgaon</v>
          </cell>
          <cell r="E28" t="str">
            <v>Nirvana Country</v>
          </cell>
          <cell r="F28" t="str">
            <v>Sunday</v>
          </cell>
          <cell r="G28" t="str">
            <v>9 AM - 12 PM</v>
          </cell>
          <cell r="H28">
            <v>1450</v>
          </cell>
          <cell r="I28">
            <v>362.5</v>
          </cell>
          <cell r="J28" t="str">
            <v>Bliss</v>
          </cell>
          <cell r="K28"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28" t="str">
            <v>BOP n HELICONIA</v>
          </cell>
          <cell r="N28" t="str">
            <v>3  del of this cycle   -  0-cycles pmnt   Completed - Collect 0</v>
          </cell>
          <cell r="O28" t="str">
            <v>R n W Car ( 14 inch ) 16     FF Sachet + Grass</v>
          </cell>
          <cell r="P28" t="str">
            <v>Mix Alstroemeria ( 14 inch ) 16     FF Sachet + Grass</v>
          </cell>
          <cell r="Q28" t="str">
            <v>O Asiatic ( 15 inch ) 3     Grass</v>
          </cell>
          <cell r="R28" t="str">
            <v>P n W Glad ( 14 Inch ) 16     Grass</v>
          </cell>
          <cell r="S28" t="str">
            <v>Sunflower ( 12 Inch ) 4     FF Sachet + Grass</v>
          </cell>
          <cell r="T28" t="str">
            <v>Pur n P Car ( 14 Inch ) 16     FF Sachet + Grass</v>
          </cell>
        </row>
        <row r="29">
          <cell r="A29">
            <v>2827</v>
          </cell>
          <cell r="B29" t="str">
            <v>Shelley Handa</v>
          </cell>
          <cell r="C29">
            <v>9899212888</v>
          </cell>
          <cell r="D29" t="str">
            <v>73, Cedar Crest</v>
          </cell>
          <cell r="E29" t="str">
            <v>Nirvana Country</v>
          </cell>
          <cell r="F29" t="str">
            <v>Thursday</v>
          </cell>
          <cell r="G29" t="str">
            <v>9 AM - 12 PM</v>
          </cell>
          <cell r="H29">
            <v>999</v>
          </cell>
          <cell r="I29">
            <v>249.75</v>
          </cell>
          <cell r="J29" t="str">
            <v>Delight</v>
          </cell>
          <cell r="K29" t="str">
            <v>Only Seasonal / Hold today due to non payment (02/10)  Send on Sunday this week (03/10) Hold due to non payment (09/10) Hold today and skip 2 week (27/11)  Paytm From Richa Handa (20/03)</v>
          </cell>
          <cell r="M29" t="str">
            <v>Only Seasonal</v>
          </cell>
          <cell r="N29" t="str">
            <v>4  del of this cycle   -  0-cycles pmnt   Completed - Collect 0</v>
          </cell>
          <cell r="O29" t="str">
            <v>Mix Alstroemeria ( 14 Inch ) 9     FF Sachet + Grass</v>
          </cell>
          <cell r="P29" t="str">
            <v>P n W Glad ( 14 inch ) 9     Grass</v>
          </cell>
          <cell r="Q29" t="str">
            <v>P n W Car ( 14 Inch ) 9     FF Sachet + Grass</v>
          </cell>
          <cell r="R29" t="str">
            <v>Rajni ( 14 Inch )  9     FF Sachet + Grass</v>
          </cell>
          <cell r="S29" t="str">
            <v>Mix Alstroemeria ( 12 Inch ) 9     FF Sachet + Grass</v>
          </cell>
          <cell r="T29" t="str">
            <v>P n W Glad ( 14 Inch ) 9     Grass</v>
          </cell>
        </row>
        <row r="30">
          <cell r="A30">
            <v>3284</v>
          </cell>
          <cell r="B30" t="str">
            <v>Megha Sharma</v>
          </cell>
          <cell r="C30" t="str">
            <v>9643166797 // 7351797203</v>
          </cell>
          <cell r="D30" t="str">
            <v>338, Espace, 2nd Floor</v>
          </cell>
          <cell r="E30" t="str">
            <v>Nirvana Country</v>
          </cell>
          <cell r="F30" t="str">
            <v>Sunday</v>
          </cell>
          <cell r="G30" t="str">
            <v>4 PM to 7 PM</v>
          </cell>
          <cell r="H30">
            <v>1950</v>
          </cell>
          <cell r="I30">
            <v>487.5</v>
          </cell>
          <cell r="J30" t="str">
            <v>Joy</v>
          </cell>
          <cell r="K30" t="str">
            <v>Paytm From Megha Sharma</v>
          </cell>
          <cell r="N30" t="str">
            <v>3  del of this cycle   -  1-cycles pmnt   Pending - Collect 1950</v>
          </cell>
          <cell r="O30" t="str">
            <v>R Orchid 7     FF Sachet + Grass</v>
          </cell>
          <cell r="P30" t="str">
            <v>Mix Alstroemeria ( 14 inch ) 22     FF Sachet + Grass</v>
          </cell>
          <cell r="Q30" t="str">
            <v>R n W Car ( 14 inch ) 22     FF sachet + Grass</v>
          </cell>
          <cell r="R30" t="str">
            <v>W Asiatic ( 15 inch ) 4     Grass</v>
          </cell>
          <cell r="S30" t="str">
            <v>P n W Glad ( 14 Inch ) 22     Grass</v>
          </cell>
          <cell r="T30" t="str">
            <v>P n Y Spray Daisy ( 14 Inch ) 7     FF Sachet + Grass</v>
          </cell>
        </row>
        <row r="31">
          <cell r="A31">
            <v>2307</v>
          </cell>
          <cell r="B31" t="str">
            <v>Alpna Jain</v>
          </cell>
          <cell r="C31">
            <v>9599336609</v>
          </cell>
          <cell r="D31" t="str">
            <v>C-64, The Icon</v>
          </cell>
          <cell r="E31" t="str">
            <v>DLF Phase 5</v>
          </cell>
          <cell r="F31" t="str">
            <v>Thursday</v>
          </cell>
          <cell r="G31" t="str">
            <v>10 AM to 2:30 PM</v>
          </cell>
          <cell r="H31">
            <v>3000</v>
          </cell>
          <cell r="I31">
            <v>375</v>
          </cell>
          <cell r="J31" t="str">
            <v>Charm</v>
          </cell>
          <cell r="K31" t="str">
            <v>Thursday n Sunday // Hold today (08/02) Keep flowers outside of Door (17/05)</v>
          </cell>
          <cell r="M31" t="str">
            <v>Keep flowers outside of door always</v>
          </cell>
          <cell r="N31" t="str">
            <v>7  del of this cycle   -  0-cycles pmnt   Completed - Collect 0</v>
          </cell>
          <cell r="O31" t="str">
            <v>Mix Alstroemeria ( 14 Inch ) 15     FF Sachet + Grass</v>
          </cell>
          <cell r="P31" t="str">
            <v>B Orchid 4     FF Sachet + Grass</v>
          </cell>
          <cell r="Q31" t="str">
            <v>R n W Car ( 14 inch ) 15     FF sachet + Grass</v>
          </cell>
          <cell r="R31" t="str">
            <v>P n Y Spray Daisy ( 15 Inch ) 4 Keep at door -- Don’t Call Keep at door -- Don’t Call Keep at door -- Don’t Call Keep at door -- Don’t Call FF Sachet + Grass</v>
          </cell>
          <cell r="S31" t="str">
            <v>P n W Glad ( 14 Inch ) 15 Keep Flowers Outside of Door-- Don’t ring bell or Don’t Don’t Call    Grass</v>
          </cell>
          <cell r="T31" t="str">
            <v>B Daisy ( 12 Inch ) 15 Keep Flowers outside of door -- Don’t call n don’t ring bell    FF Sachet + Grass</v>
          </cell>
        </row>
        <row r="32">
          <cell r="A32">
            <v>2639</v>
          </cell>
          <cell r="B32" t="str">
            <v>Bhanupriya Sharma</v>
          </cell>
          <cell r="C32">
            <v>9799191916</v>
          </cell>
          <cell r="D32" t="str">
            <v>37, Abundance Appartment, 4th Floor, D Block, Indira Colony-2, Sec 52 , Behind Arihant Hospital</v>
          </cell>
          <cell r="E32" t="str">
            <v>Artemis</v>
          </cell>
          <cell r="F32" t="str">
            <v>Sunday</v>
          </cell>
          <cell r="G32" t="str">
            <v>9 AM - 12 PM</v>
          </cell>
          <cell r="H32">
            <v>1450</v>
          </cell>
          <cell r="I32">
            <v>487.5</v>
          </cell>
          <cell r="J32" t="str">
            <v>Bliss</v>
          </cell>
          <cell r="K32" t="str">
            <v>Skip 1 week (16/05) today returned (06/07) Change day to delight (02/11) Paytm from Rajeev Bhambani (05/11) Upgrade to Bliss (24/01) Paytm From Aluma Care (25/03) No Lily (16/05)</v>
          </cell>
          <cell r="L32" t="str">
            <v>Lily</v>
          </cell>
          <cell r="M32" t="str">
            <v>One kInd in Bliss</v>
          </cell>
          <cell r="N32" t="str">
            <v>1  del of this cycle   -  1-cycles pmnt   Pending - Collect 1450</v>
          </cell>
          <cell r="O32" t="str">
            <v>G n W Spray Daisy 4 P n W Glad ( 15 inch) 11   FF Sachet + Grass</v>
          </cell>
          <cell r="P32" t="str">
            <v>Sunflower ( 15 inch ) 4     FF Sachet + Grass</v>
          </cell>
          <cell r="Q32" t="str">
            <v>Eustoma 3 Y Glad 11   Grass</v>
          </cell>
          <cell r="R32" t="str">
            <v>Mix Spray Daisy 3 R n W Car ( 14 Inch ) 7   Grass</v>
          </cell>
          <cell r="S32" t="str">
            <v>Mix Alstroemeria ( 12 Inch ) 16     FF Sachet + Grass</v>
          </cell>
          <cell r="T32" t="str">
            <v>Pur n P Car ( 14 Inch ) 16     FF Sachet + Grass</v>
          </cell>
        </row>
        <row r="33">
          <cell r="A33">
            <v>2458</v>
          </cell>
          <cell r="B33" t="str">
            <v>Kiran Yadav</v>
          </cell>
          <cell r="C33">
            <v>9811801284</v>
          </cell>
          <cell r="D33" t="str">
            <v>E-1402, Palm Drive</v>
          </cell>
          <cell r="E33" t="str">
            <v>Badshahpur</v>
          </cell>
          <cell r="F33" t="str">
            <v>Sunday</v>
          </cell>
          <cell r="G33" t="str">
            <v>10 AM to 2:30 PM</v>
          </cell>
          <cell r="H33">
            <v>999</v>
          </cell>
          <cell r="I33">
            <v>249.75</v>
          </cell>
          <cell r="J33" t="str">
            <v>Delight</v>
          </cell>
          <cell r="K33" t="str">
            <v>Recvd 2000 Today (21/04) Pls send Rose/Gerbera and Rise laos (04/06) Skip 1 week (28/06) Skip next week after(27/09) Send Replacement tom (21/04)</v>
          </cell>
          <cell r="N33" t="str">
            <v>1  del of this cycle   -  0-cycles pmnt   CompletedNO COLLECTION-we have extra money - Collect -23</v>
          </cell>
          <cell r="O33" t="str">
            <v>R n W Car 9     FF Sachet + Grass</v>
          </cell>
          <cell r="P33" t="str">
            <v>Mix Alstroemeria ( 14 inch ) 9     FF Sachet + Grass</v>
          </cell>
          <cell r="Q33" t="str">
            <v>Y Asiatic ( 15 Inch ) 2     Grass</v>
          </cell>
          <cell r="R33" t="str">
            <v>R n W Car( 14 Inch)  9     FF Sachet + Grass</v>
          </cell>
          <cell r="S33" t="str">
            <v>P n W Glad ( 14 Inch ) 9     Grass</v>
          </cell>
          <cell r="T33" t="str">
            <v>Sunflower ( 12 Inch ) 2     FF Sachet + Grass</v>
          </cell>
        </row>
        <row r="34">
          <cell r="A34">
            <v>3282</v>
          </cell>
          <cell r="B34" t="str">
            <v>Pluang Technologies India Pvt. Ltd.</v>
          </cell>
          <cell r="C34">
            <v>9650723437</v>
          </cell>
          <cell r="D34" t="str">
            <v>13th Floor, Magnum Global Park, Sec 58</v>
          </cell>
          <cell r="E34" t="str">
            <v>Ghata</v>
          </cell>
          <cell r="F34" t="str">
            <v>Sunday</v>
          </cell>
          <cell r="G34" t="str">
            <v>4 Pm to 7 PM</v>
          </cell>
          <cell r="H34">
            <v>1950</v>
          </cell>
          <cell r="I34">
            <v>487.5</v>
          </cell>
          <cell r="J34" t="str">
            <v>Joy</v>
          </cell>
          <cell r="K34" t="str">
            <v>Payment from Vibhuti --997176764 (10/03) Paytm From Sahiba Sachdeva (08/04)</v>
          </cell>
          <cell r="N34" t="str">
            <v>3  del of this cycle   -  0-cycles pmnt   Completed - Collect 0</v>
          </cell>
          <cell r="O34" t="str">
            <v>Sunflower ( 15 Inch ) 3 Mix Alstroemeria ( 14 Inch )  11   Grass</v>
          </cell>
          <cell r="P34" t="str">
            <v>Y Asiatic ( 15 inch ) 2 P n W Car ( 14 inch ) 11   Grass</v>
          </cell>
          <cell r="Q34" t="str">
            <v>Spray Daisy 4 P n W Glad ( 14 inch ) 11   Grass</v>
          </cell>
          <cell r="R34" t="str">
            <v>Pur n P Eustoma ( 12 Inch ) 2 B Daisy 11   FF Sachet + garss</v>
          </cell>
          <cell r="S34" t="str">
            <v>Sunflower ( 12 Inch ) 3 Mix Alstroemeria ( 12 Inch ) 11   FF Sachet + Grass</v>
          </cell>
          <cell r="T34" t="str">
            <v>P Asiatic ( 14 Inch ) 2 Pur n P Car ( 14 Inch ) 11   Grass</v>
          </cell>
        </row>
        <row r="35">
          <cell r="A35">
            <v>2246</v>
          </cell>
          <cell r="B35" t="str">
            <v>Amita Gupta</v>
          </cell>
          <cell r="C35">
            <v>9811985450</v>
          </cell>
          <cell r="D35" t="str">
            <v>146, Cedar Crest</v>
          </cell>
          <cell r="E35" t="str">
            <v>Nirvana Country</v>
          </cell>
          <cell r="F35" t="str">
            <v>Thursday</v>
          </cell>
          <cell r="G35" t="str">
            <v>9 AM - 12 PM</v>
          </cell>
          <cell r="H35">
            <v>1600</v>
          </cell>
          <cell r="I35">
            <v>200</v>
          </cell>
          <cell r="J35" t="str">
            <v>Bloom</v>
          </cell>
          <cell r="K35" t="str">
            <v>Return today (03/10) Change to bliss (23/10) No Orchid (24/10) Send a vase tom (20/08) Upgrade to bliss (17/12)</v>
          </cell>
          <cell r="L35" t="str">
            <v>Orchid</v>
          </cell>
          <cell r="M35" t="str">
            <v>1 Vase Tom (20/08)</v>
          </cell>
          <cell r="N35" t="str">
            <v>4  del of this cycle   -  0-cycles pmnt   Completed - Collect 0</v>
          </cell>
          <cell r="O35" t="str">
            <v>Mix Alstroemeria ( 14 Inch ) 7     FF Sachet + Grass</v>
          </cell>
          <cell r="P35" t="str">
            <v>P Spray Daisy ( 15 inch ) 2     FF Sachet + Grass</v>
          </cell>
          <cell r="Q35" t="str">
            <v>Rajni ( 14 inch ) 7     Grass</v>
          </cell>
          <cell r="R35" t="str">
            <v>P n W Glad ( 14 Inch ) 7     Grass</v>
          </cell>
          <cell r="S35" t="str">
            <v>Y Spray Daisy ( 14 Inch ) 2     FF Sachet + Grass</v>
          </cell>
          <cell r="T35" t="str">
            <v>Rajni ( 14 Inch ) 7     Grass</v>
          </cell>
        </row>
        <row r="36">
          <cell r="A36">
            <v>1438</v>
          </cell>
          <cell r="B36" t="str">
            <v>Aishwarya G Aiyar</v>
          </cell>
          <cell r="C36">
            <v>9884857311</v>
          </cell>
          <cell r="D36" t="str">
            <v>A-173, The Pinnacle</v>
          </cell>
          <cell r="E36" t="str">
            <v>DLF Phase 5</v>
          </cell>
          <cell r="F36" t="str">
            <v>Thursday</v>
          </cell>
          <cell r="G36" t="str">
            <v>9 AM - 12 PM</v>
          </cell>
          <cell r="H36">
            <v>1600</v>
          </cell>
          <cell r="I36">
            <v>200</v>
          </cell>
          <cell r="J36" t="str">
            <v>Bloom</v>
          </cell>
          <cell r="K36"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v>
          </cell>
          <cell r="N36" t="str">
            <v>5  del of this cycle   -  0-cycles pmnt   Completed - Collect 0</v>
          </cell>
          <cell r="O36" t="str">
            <v>Pur n P Car ( 14 Inch )  7     FF Sachet + Grass</v>
          </cell>
          <cell r="P36" t="str">
            <v>Y Spray Daisy ( 15 inch ) 2     FF Sachet + Grass</v>
          </cell>
          <cell r="Q36" t="str">
            <v>Rajni ( 14 inch ) 7     Grass</v>
          </cell>
          <cell r="R36" t="str">
            <v>Mix Car  7     FF Sachet + Grass</v>
          </cell>
          <cell r="S36" t="str">
            <v>P Spray Daisy ( 14 Inch ) 2     FF Sachet + Grass</v>
          </cell>
          <cell r="T36" t="str">
            <v>Rajni ( 14 Inch ) 7     Grass</v>
          </cell>
        </row>
        <row r="37">
          <cell r="A37">
            <v>571</v>
          </cell>
          <cell r="B37" t="str">
            <v>Mrs. Singh</v>
          </cell>
          <cell r="C37">
            <v>9873099320</v>
          </cell>
          <cell r="D37" t="str">
            <v>D 42, pinnacle, Dlf ph 5, Golf course road</v>
          </cell>
          <cell r="E37" t="str">
            <v>DLF Phase 5</v>
          </cell>
          <cell r="F37" t="str">
            <v>Thursday</v>
          </cell>
          <cell r="G37" t="str">
            <v>9 AM - 12 PM</v>
          </cell>
          <cell r="H37">
            <v>1600</v>
          </cell>
          <cell r="I37">
            <v>200</v>
          </cell>
          <cell r="J37" t="str">
            <v>Bloom</v>
          </cell>
          <cell r="K37"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7" t="str">
            <v>1  del of this cycle   -  1-cycles pmnt   Pending - Collect 1600</v>
          </cell>
          <cell r="O37" t="str">
            <v>Mix Alstroemeria ( 14 Inch ) 7     FF Sachet + Grass</v>
          </cell>
          <cell r="P37" t="str">
            <v>Rajni ( 14 inch ) 7     Grass</v>
          </cell>
          <cell r="Q37" t="str">
            <v>P n W Car ( 14 Inch ) 7     FF sachet + Grass</v>
          </cell>
          <cell r="R37" t="str">
            <v>Mix Glad  7     FF Sachet + Grass</v>
          </cell>
          <cell r="S37" t="str">
            <v>Y Spray Daisy ( 14 Inch ) 2     FF Sachet + Grass</v>
          </cell>
          <cell r="T37" t="str">
            <v>Rajni ( 14 Inch ) 7     Grass</v>
          </cell>
        </row>
        <row r="38">
          <cell r="A38">
            <v>1898</v>
          </cell>
          <cell r="B38" t="str">
            <v>Shipra</v>
          </cell>
          <cell r="C38">
            <v>8447778677</v>
          </cell>
          <cell r="D38" t="str">
            <v xml:space="preserve">C-94 Trinity </v>
          </cell>
          <cell r="E38" t="str">
            <v>DLF Phase 5</v>
          </cell>
          <cell r="F38" t="str">
            <v>Saturday</v>
          </cell>
          <cell r="G38" t="str">
            <v>4 Pm to 7 PM</v>
          </cell>
          <cell r="H38">
            <v>1600</v>
          </cell>
          <cell r="I38">
            <v>200</v>
          </cell>
          <cell r="J38" t="str">
            <v>Bloom</v>
          </cell>
          <cell r="K38"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v>
          </cell>
          <cell r="N38" t="str">
            <v>5  del of this cycle   -  0-cycles pmnt   Completed - Collect 0</v>
          </cell>
          <cell r="O38" t="e">
            <v>#N/A</v>
          </cell>
          <cell r="P38" t="str">
            <v>P n W Car ( 14 inch ) 7     FF Sachet + Grass</v>
          </cell>
          <cell r="Q38" t="str">
            <v>P Spray Daisy ( 15 inch ) 2     FF sachet + Grass</v>
          </cell>
          <cell r="R38" t="str">
            <v>Mix Car  7     FF Sachet + Grass</v>
          </cell>
          <cell r="S38" t="str">
            <v>P n W Glad ( 14 Inch ) 7     Grass</v>
          </cell>
          <cell r="T38" t="str">
            <v>B Daisy ( 12 Inch ) 7     FF Sachet + Grass</v>
          </cell>
        </row>
        <row r="39">
          <cell r="A39">
            <v>3245</v>
          </cell>
          <cell r="B39" t="str">
            <v>Parul Parihar</v>
          </cell>
          <cell r="C39">
            <v>9999903582</v>
          </cell>
          <cell r="D39" t="str">
            <v>502, Adhunik Appartments, Sec 52</v>
          </cell>
          <cell r="E39" t="str">
            <v>Artemis</v>
          </cell>
          <cell r="F39" t="str">
            <v>Sunday</v>
          </cell>
          <cell r="G39" t="str">
            <v>9 AM - 12 PM</v>
          </cell>
          <cell r="H39">
            <v>1450</v>
          </cell>
          <cell r="I39">
            <v>362.5</v>
          </cell>
          <cell r="J39" t="str">
            <v>Bliss</v>
          </cell>
          <cell r="N39" t="str">
            <v>3  del of this cycle   -  0-cycles pmnt   Completed - Collect 0</v>
          </cell>
          <cell r="O39" t="str">
            <v>P n W Glad ( 15 Inch ) 16     Grass</v>
          </cell>
          <cell r="P39" t="str">
            <v>Mix Alstroemeria ( 14 inch ) 16     FF Sachet + Grass</v>
          </cell>
          <cell r="Q39" t="str">
            <v>O Asiatic ( 15 inch ) 3     Grass</v>
          </cell>
          <cell r="R39" t="str">
            <v>P n W Car ( 14 inch ) 16     FF Sachet + Grass</v>
          </cell>
          <cell r="S39" t="str">
            <v>P n W Spray Daisy ( 14 Inch) 5     FF Sachet + Grass</v>
          </cell>
          <cell r="T39" t="str">
            <v>P n W Glad ( 14 Inch ) 16     Grass</v>
          </cell>
        </row>
        <row r="40">
          <cell r="A40">
            <v>2774</v>
          </cell>
          <cell r="B40" t="str">
            <v>Vandana Thakran</v>
          </cell>
          <cell r="C40">
            <v>9899589964</v>
          </cell>
          <cell r="D40" t="str">
            <v>H. No. 35, Cedar Crest</v>
          </cell>
          <cell r="E40" t="str">
            <v>Nirvana Country</v>
          </cell>
          <cell r="F40" t="str">
            <v>Sunday</v>
          </cell>
          <cell r="G40" t="str">
            <v>9 AM - 12 PM</v>
          </cell>
          <cell r="H40">
            <v>1600</v>
          </cell>
          <cell r="I40">
            <v>200</v>
          </cell>
          <cell r="J40" t="str">
            <v>Bloom</v>
          </cell>
          <cell r="N40" t="str">
            <v>5  del of this cycle   -  0-cycles pmnt   Completed - Collect 0</v>
          </cell>
          <cell r="O40" t="str">
            <v>Mix Alstroemeria ( 14 Inch ) 7     FF Sachet + Grass</v>
          </cell>
          <cell r="P40" t="str">
            <v>Sunflower ( 15 inch ) 2     Grass</v>
          </cell>
          <cell r="Q40" t="str">
            <v>Rajni ( 14 inch ) 7     Grass</v>
          </cell>
          <cell r="R40" t="str">
            <v>P n W Glad ( 14 Inch ) 7     Grass</v>
          </cell>
          <cell r="S40" t="str">
            <v>Mix Alstroemeria ( 12 Inch ) 7     FF Sachet + Grass</v>
          </cell>
          <cell r="T40" t="str">
            <v>Rajni ( 14 Inch ) 7     Grass</v>
          </cell>
        </row>
        <row r="41">
          <cell r="A41">
            <v>2444</v>
          </cell>
          <cell r="B41" t="str">
            <v>Navpreet Gill</v>
          </cell>
          <cell r="C41">
            <v>8076406029</v>
          </cell>
          <cell r="D41" t="str">
            <v>H. No. 1662, 2nd Floor. Near Oil Indian Petrol Pump, Wazirabad</v>
          </cell>
          <cell r="E41" t="str">
            <v>Sector 56</v>
          </cell>
          <cell r="F41" t="str">
            <v>Sunday</v>
          </cell>
          <cell r="G41" t="str">
            <v>9 AM to 2 PM</v>
          </cell>
          <cell r="H41">
            <v>1450</v>
          </cell>
          <cell r="I41">
            <v>362.5</v>
          </cell>
          <cell r="J41" t="str">
            <v>Bliss</v>
          </cell>
          <cell r="K41" t="str">
            <v>Insta // Return today (20/03) Hold today (27/03) Set replacement today (19/04) Hold n start after 2 week(15/05) Today returned (19/04) Send tom (20/04) HDTNP (03/05) Send on Tuesday this week (03/05)</v>
          </cell>
          <cell r="N41" t="str">
            <v>1  del of this cycle   -  1-cycles pmnt   Pending - Collect 1450</v>
          </cell>
          <cell r="O41" t="str">
            <v>P n Y Spray daisy ( 15 inch ) 5     FF Sachet + Grass</v>
          </cell>
          <cell r="P41" t="str">
            <v>Mix Alstroemeria ( 14 inch ) 16     FF Sachet + Grass</v>
          </cell>
          <cell r="Q41" t="str">
            <v>Y Asiatic ( 15 Inch ) 3     Grass</v>
          </cell>
          <cell r="R41" t="str">
            <v>R n W Car( 14 Inch)  16     FF Sachet + Grass</v>
          </cell>
          <cell r="S41" t="str">
            <v>P n W Glad ( 14 Inch ) 16     Grass</v>
          </cell>
          <cell r="T41" t="str">
            <v>P n W Spray Daisy ( 14 Inch ) 5     FF Sachet + Grass</v>
          </cell>
        </row>
        <row r="42">
          <cell r="A42">
            <v>3252</v>
          </cell>
          <cell r="B42" t="str">
            <v>Madhumita Dhupar</v>
          </cell>
          <cell r="C42">
            <v>9999887549</v>
          </cell>
          <cell r="D42" t="str">
            <v>333, Deerwood Chase</v>
          </cell>
          <cell r="E42" t="str">
            <v>Nirvana Country</v>
          </cell>
          <cell r="F42" t="str">
            <v>Sunday</v>
          </cell>
          <cell r="G42" t="str">
            <v>9 AM to 2 PM</v>
          </cell>
          <cell r="H42">
            <v>1450</v>
          </cell>
          <cell r="I42">
            <v>0</v>
          </cell>
          <cell r="J42" t="str">
            <v>Bliss</v>
          </cell>
          <cell r="K42" t="str">
            <v>White Flowers in Each Delivery (10/01)</v>
          </cell>
          <cell r="N42" t="str">
            <v>3  del of this cycle   -  0-cycles pmnt   Completed - Collect 0</v>
          </cell>
          <cell r="O42" t="str">
            <v>P n W Glad ( 15 Inch ) 7     Grass</v>
          </cell>
          <cell r="P42" t="str">
            <v>Rajni ( 14 inch ) 7     Grass</v>
          </cell>
          <cell r="Q42" t="str">
            <v>P n W Car ( 14 Inch ) 7     FF sachet + Grass</v>
          </cell>
          <cell r="R42" t="str">
            <v>P n W Glad ( 14 Inch ) 7     Grass</v>
          </cell>
          <cell r="S42" t="str">
            <v>W Asiatic ( 14 Inch ) 3     Grass</v>
          </cell>
          <cell r="T42" t="str">
            <v>Mix Alstroemeria ( 12 Inch ) 16     FF Sachet + Grass</v>
          </cell>
        </row>
        <row r="43">
          <cell r="A43">
            <v>870</v>
          </cell>
          <cell r="B43" t="str">
            <v>Himabindu Kanchan</v>
          </cell>
          <cell r="C43">
            <v>9892501292</v>
          </cell>
          <cell r="D43" t="str">
            <v xml:space="preserve">D -13, Pinnacle Dlf Phase - 5 </v>
          </cell>
          <cell r="E43" t="str">
            <v>DLF Phase 5</v>
          </cell>
          <cell r="F43" t="str">
            <v>Thursday</v>
          </cell>
          <cell r="G43" t="str">
            <v>9 AM - 12 PM</v>
          </cell>
          <cell r="H43">
            <v>1600</v>
          </cell>
          <cell r="I43">
            <v>200</v>
          </cell>
          <cell r="J43" t="str">
            <v>Bloom</v>
          </cell>
          <cell r="K43"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43" t="str">
            <v>7  del of this cycle   -  0-cycles pmnt   Completed - Collect 0</v>
          </cell>
          <cell r="O43" t="str">
            <v>P n W Glad ( 15 Inch ) 7     Grass</v>
          </cell>
          <cell r="P43" t="str">
            <v>P Spray Daisy ( 15 inch ) 2     FF Sachet + Grass</v>
          </cell>
          <cell r="Q43" t="str">
            <v>Rajni ( 14 inch ) 7     Grass</v>
          </cell>
          <cell r="R43" t="str">
            <v>Rajni ( 14 Inch )  7     Grass</v>
          </cell>
          <cell r="S43" t="str">
            <v>Mix Alstroemeria ( 12 Inch ) 7     FF Sachet + Grass</v>
          </cell>
          <cell r="T43" t="str">
            <v>P Spray Daisy ( 14 Inch ) 2     FF Sachet + Grass</v>
          </cell>
        </row>
        <row r="44">
          <cell r="A44">
            <v>3351</v>
          </cell>
          <cell r="B44" t="str">
            <v>Shubhpret kaur</v>
          </cell>
          <cell r="C44">
            <v>8800898704</v>
          </cell>
          <cell r="D44" t="str">
            <v>H. No. 667, 3rd Floor, Sec 43</v>
          </cell>
          <cell r="E44" t="str">
            <v>DLF Phase 5</v>
          </cell>
          <cell r="F44" t="str">
            <v>Sunday</v>
          </cell>
          <cell r="G44" t="str">
            <v>9 AM - 12 PM</v>
          </cell>
          <cell r="H44">
            <v>1950</v>
          </cell>
          <cell r="I44">
            <v>487.5</v>
          </cell>
          <cell r="J44" t="str">
            <v>Joy</v>
          </cell>
          <cell r="K44" t="str">
            <v>Paytm From Amara Preet Singh // Change day to Sunday (13/06)</v>
          </cell>
          <cell r="N44" t="str">
            <v>3  del of this cycle   -  0-cycles pmnt   Completed - Collect 0</v>
          </cell>
          <cell r="O44" t="e">
            <v>#N/A</v>
          </cell>
          <cell r="P44" t="e">
            <v>#N/A</v>
          </cell>
          <cell r="Q44" t="e">
            <v>#N/A</v>
          </cell>
          <cell r="R44" t="e">
            <v>#N/A</v>
          </cell>
          <cell r="S44" t="e">
            <v>#N/A</v>
          </cell>
          <cell r="T44" t="str">
            <v>P Asiatic ( 14 Inch ) 2 Pur n P Car ( 14 Inch ) 11   Grass</v>
          </cell>
        </row>
        <row r="45">
          <cell r="A45">
            <v>3321</v>
          </cell>
          <cell r="B45" t="str">
            <v>Aayushi Jain</v>
          </cell>
          <cell r="C45">
            <v>9818116873</v>
          </cell>
          <cell r="D45" t="str">
            <v>M-201, Emaar palm Drive, Sec 66</v>
          </cell>
          <cell r="E45" t="str">
            <v>Badshahpur</v>
          </cell>
          <cell r="F45" t="str">
            <v>Sunday</v>
          </cell>
          <cell r="G45" t="str">
            <v>9 AM - 12 PM</v>
          </cell>
          <cell r="H45">
            <v>2300</v>
          </cell>
          <cell r="I45">
            <v>287.5</v>
          </cell>
          <cell r="J45" t="str">
            <v>Felicity</v>
          </cell>
          <cell r="K45" t="str">
            <v>Today Returned (19/04)</v>
          </cell>
          <cell r="N45" t="str">
            <v>1  del of this cycle   -  1-cycles pmnt   Pending - Collect 2300</v>
          </cell>
          <cell r="O45" t="str">
            <v>R n W Car ( 14 inch ) 16     FF Sachet + Grass</v>
          </cell>
          <cell r="P45" t="str">
            <v>Rajni ( 14 inch ) 11     Grass</v>
          </cell>
          <cell r="Q45" t="str">
            <v>P n W Car ( 14 Inch ) 7     FF sachet + Grass</v>
          </cell>
          <cell r="R45" t="str">
            <v>O Asiatic ( 15 Inch ) 2     Grass</v>
          </cell>
          <cell r="S45" t="str">
            <v>Mix Alstroemeria ( 12 Inch ) 11     FF Sachet + Grass</v>
          </cell>
          <cell r="T45" t="str">
            <v>Pur n P Car ( 14 Inch ) 11     FF Sachet + Grass</v>
          </cell>
        </row>
        <row r="46">
          <cell r="A46">
            <v>3010</v>
          </cell>
          <cell r="B46" t="str">
            <v>Kriti Suman</v>
          </cell>
          <cell r="C46">
            <v>9771430070</v>
          </cell>
          <cell r="D46" t="str">
            <v>Studio -105, Palm Drive</v>
          </cell>
          <cell r="E46" t="str">
            <v>Badshahpur</v>
          </cell>
          <cell r="F46" t="str">
            <v>Sunday</v>
          </cell>
          <cell r="G46" t="str">
            <v>9 AM - 12 PM</v>
          </cell>
          <cell r="H46">
            <v>999</v>
          </cell>
          <cell r="I46">
            <v>249.75</v>
          </cell>
          <cell r="J46" t="str">
            <v>Delight</v>
          </cell>
          <cell r="K46" t="str">
            <v>Skip 1 week (16/10) Skip 1 week (26/12) No Glad (09/03)</v>
          </cell>
          <cell r="L46" t="str">
            <v>Glad</v>
          </cell>
          <cell r="N46" t="str">
            <v>2  del of this cycle   -  1-cycles pmnt   Pending - Collect 999</v>
          </cell>
          <cell r="O46" t="str">
            <v>P Spray Daisy ( 15 Inch ) 3     FF Sachet + Grass</v>
          </cell>
          <cell r="P46" t="str">
            <v>Mix Alstroemeria ( 14 inch ) 9     FF Sachet + Grass</v>
          </cell>
          <cell r="Q46" t="str">
            <v>O Asiatic ( 15 inch ) 2     Grass</v>
          </cell>
          <cell r="R46" t="str">
            <v>P Spray Daisy ( 15 Inch ) 3     FF Sachet + Grass</v>
          </cell>
          <cell r="S46" t="str">
            <v>Pur n P Car ( 14 Inch ) 9     FF Sachet + Grass</v>
          </cell>
          <cell r="T46" t="str">
            <v>Sunflower ( 12 Inch ) 2     FF Sachet + Grass</v>
          </cell>
        </row>
        <row r="47">
          <cell r="A47">
            <v>2707</v>
          </cell>
          <cell r="B47" t="str">
            <v>Mrigal Vora Puri</v>
          </cell>
          <cell r="C47">
            <v>9903474654</v>
          </cell>
          <cell r="D47" t="str">
            <v>T-6A/1103, Valley View Estate</v>
          </cell>
          <cell r="E47" t="str">
            <v>Ghata</v>
          </cell>
          <cell r="F47" t="str">
            <v>Sunday</v>
          </cell>
          <cell r="G47" t="str">
            <v>9 AM - 12 PM</v>
          </cell>
          <cell r="H47">
            <v>1450</v>
          </cell>
          <cell r="I47">
            <v>362.5</v>
          </cell>
          <cell r="J47" t="str">
            <v>Bliss</v>
          </cell>
          <cell r="K47" t="str">
            <v>Glad Next (20/06) Hold today (05/1) Hold due to non payment (01/02) Hold due to non payment (08/02) HDTNP (15/02) Skip 1 week (04/04) HDTNP (03/05) HDTNP (10/05) Paytm From Akhil Puri (07/06)</v>
          </cell>
          <cell r="M47" t="str">
            <v>Glad Next (20/06)</v>
          </cell>
          <cell r="N47" t="str">
            <v>2  del of this cycle   -  0-cycles pmnt   Completed - Collect 0</v>
          </cell>
          <cell r="O47" t="e">
            <v>#N/A</v>
          </cell>
          <cell r="P47" t="str">
            <v>Collect Rs 725 Carry Change and Receipt Book     FF Sachet + Grass</v>
          </cell>
          <cell r="Q47" t="str">
            <v>O Asiatic ( 15 inch ) 2 P n W Glad ( 14 inch ) 7   Grass</v>
          </cell>
          <cell r="R47" t="str">
            <v>Y Spray Daisy ( 15 Inch ) 3 P n W Car ( 14 Inch ) 7   FF Sachet + Grass</v>
          </cell>
          <cell r="S47" t="str">
            <v>Pur Eustoma ( 12 Inch ) 2 Mix Alstroemeria ( 12 Inch ) 7   FF Sachet + Grass</v>
          </cell>
          <cell r="T47" t="str">
            <v>Sunflower ( 12 Inch ) 2 P n W Glad ( 14 Inch ) 7   FF Sachet + Grass</v>
          </cell>
        </row>
        <row r="48">
          <cell r="A48">
            <v>2748</v>
          </cell>
          <cell r="B48" t="str">
            <v>Rishabh Suri</v>
          </cell>
          <cell r="C48">
            <v>9871320514</v>
          </cell>
          <cell r="D48" t="str">
            <v>H. No. 962, Block C, Sushant Lok, Near Ambience Public School</v>
          </cell>
          <cell r="E48" t="str">
            <v>DLF Phase 5</v>
          </cell>
          <cell r="F48" t="str">
            <v>Sunday</v>
          </cell>
          <cell r="G48" t="str">
            <v>9 AM - 12 PM</v>
          </cell>
          <cell r="H48">
            <v>1450</v>
          </cell>
          <cell r="I48">
            <v>362.5</v>
          </cell>
          <cell r="J48" t="str">
            <v>Bliss</v>
          </cell>
          <cell r="K48" t="str">
            <v>Hold n start from Sep (06/08) Paytm from Rajeev Suri (22/11) Paytm from Anu Suri (21/12)</v>
          </cell>
          <cell r="N48" t="str">
            <v>2  del of this cycle   -  1-cycles pmnt   Pending - Collect 1450</v>
          </cell>
          <cell r="O48" t="e">
            <v>#N/A</v>
          </cell>
          <cell r="P48" t="e">
            <v>#N/A</v>
          </cell>
          <cell r="Q48" t="e">
            <v>#N/A</v>
          </cell>
          <cell r="R48" t="e">
            <v>#N/A</v>
          </cell>
          <cell r="S48" t="str">
            <v>Pur n P Car ( 14 Inch ) 16     FF Sachet + Grass</v>
          </cell>
          <cell r="T48" t="str">
            <v>O Asiatic ( 14 Inch ) 3     Grass</v>
          </cell>
        </row>
        <row r="49">
          <cell r="A49" t="str">
            <v>B46944</v>
          </cell>
          <cell r="B49" t="str">
            <v>Albi</v>
          </cell>
          <cell r="C49">
            <v>9999236508</v>
          </cell>
          <cell r="D49" t="str">
            <v>G-3/1A, DLF Phase 1</v>
          </cell>
          <cell r="E49" t="str">
            <v>DLF Phase 1</v>
          </cell>
          <cell r="F49" t="str">
            <v>Thursday</v>
          </cell>
          <cell r="G49" t="str">
            <v>By 9 AM</v>
          </cell>
          <cell r="H49">
            <v>28000</v>
          </cell>
          <cell r="I49">
            <v>7000</v>
          </cell>
          <cell r="J49" t="str">
            <v>Customized</v>
          </cell>
          <cell r="K49" t="str">
            <v>Now at every 10 days (18/12)</v>
          </cell>
          <cell r="N49" t="str">
            <v>2  del of this cycle   -  0-cycles pmnt   In Process - Collect 0</v>
          </cell>
          <cell r="O49" t="e">
            <v>#N/A</v>
          </cell>
          <cell r="P49" t="str">
            <v xml:space="preserve">R n G Car + R Asiatic + R n G Spray Daisy + R Anthurium + R or Green Orchid + Began Jhaad + Red Jhaad + Mogra 40 + 8 + 15 + 4 + 4 + 8 1 + 300 Gm     </v>
          </cell>
          <cell r="Q49" t="str">
            <v xml:space="preserve">P Oriental  + W Asiatic + P n W Car + P n W Spray Daisy + P n W Eustoma +  P n W Anthurium + W Orchid 5 + 5 + 40 + 10 + 6 + 4 + 6     </v>
          </cell>
          <cell r="R49" t="str">
            <v xml:space="preserve">W Oriental + W Asiatic + G n W Car + G n W Spray Daisy + G n W Anthurium  4 + 4 + 40 + 15 + 6     </v>
          </cell>
          <cell r="S49" t="str">
            <v xml:space="preserve">P  Oriental + P Asiatic + P n Y Button Daisy + P n Y Car + P Eustoma 4 + 4 + 10 + 40 + 8 Mogra 300 Gm   </v>
          </cell>
          <cell r="T49" t="str">
            <v xml:space="preserve">P Oriental + Y Asiatic + P n W Spray Daisy + Pur n P Car + Pur Eustoma + Pur Anthurium 4 + 4 +10 + 35 + 6 Dilli patti + Fish Tail + Other Greens    </v>
          </cell>
        </row>
        <row r="50">
          <cell r="A50">
            <v>3238</v>
          </cell>
          <cell r="B50" t="str">
            <v>Alka Verma</v>
          </cell>
          <cell r="C50">
            <v>9910437766</v>
          </cell>
          <cell r="D50" t="str">
            <v>T-10/101, Emaar palm Terraces Select</v>
          </cell>
          <cell r="E50" t="str">
            <v>Badshahpur</v>
          </cell>
          <cell r="F50" t="str">
            <v>Sunday</v>
          </cell>
          <cell r="G50" t="str">
            <v>9 AM - 12 PM</v>
          </cell>
          <cell r="H50">
            <v>1450</v>
          </cell>
          <cell r="I50">
            <v>362.5</v>
          </cell>
          <cell r="J50" t="str">
            <v>Bliss</v>
          </cell>
          <cell r="K50" t="str">
            <v>Skip 1 week (28/03) Send Replacement tom (12/04) Skip 1 week (27/04) Skip 1 week after 14th June (06/06)</v>
          </cell>
          <cell r="N50" t="str">
            <v>2  del of this cycle   -  0-cycles pmnt   Completed - Collect 0</v>
          </cell>
          <cell r="O50" t="str">
            <v>R n W Car ( 14 inch ) 9     FF Sachet + Grass</v>
          </cell>
          <cell r="P50" t="str">
            <v>Mix Alstroemeria ( 14 inch ) 16     FF Sachet + Grass</v>
          </cell>
          <cell r="Q50" t="str">
            <v>O Asiatic ( 15 inch ) 3     Grass</v>
          </cell>
          <cell r="R50" t="str">
            <v>R n W Car( 14 Inch)  16     FF Sachet + Grass</v>
          </cell>
          <cell r="S50" t="str">
            <v>P n W Glad ( 14 Inch ) 16     Grass</v>
          </cell>
          <cell r="T50" t="str">
            <v>P n Y Spray Daisy ( 14 Inch ) 5     FF Sachet + Grass</v>
          </cell>
        </row>
        <row r="51">
          <cell r="A51">
            <v>2112</v>
          </cell>
          <cell r="B51" t="str">
            <v>Tarushi</v>
          </cell>
          <cell r="C51">
            <v>9999761657</v>
          </cell>
          <cell r="D51" t="str">
            <v>T-3/202, Emaar The Palm Terrace, Sec 66</v>
          </cell>
          <cell r="E51" t="str">
            <v>Badshahpur</v>
          </cell>
          <cell r="F51" t="str">
            <v>Sunday</v>
          </cell>
          <cell r="G51" t="str">
            <v>9 AM - 12 PM</v>
          </cell>
          <cell r="H51">
            <v>1450</v>
          </cell>
          <cell r="I51">
            <v>362.5</v>
          </cell>
          <cell r="J51" t="str">
            <v>Bliss</v>
          </cell>
          <cell r="K51"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v>
          </cell>
          <cell r="M51" t="str">
            <v>Mixed Flowers n Long Stem  // 1 Oriental and 2 Car Next (14/05)</v>
          </cell>
          <cell r="N51" t="str">
            <v>1  del of this cycle   -  1-cycles pmnt   Pending - Collect 1450</v>
          </cell>
          <cell r="O51" t="str">
            <v>W Eustoma ( 14 Inch ) 2 Mix Alstroemeria ( 14 Inch )  7   FF Sachet + Grass</v>
          </cell>
          <cell r="P51" t="str">
            <v>Sunflower ( 15 inch ) 2 P n W Glad ( 14 inch ) 7   Grass</v>
          </cell>
          <cell r="Q51" t="e">
            <v>#N/A</v>
          </cell>
          <cell r="R51" t="str">
            <v>O Asiatic ( 15 Inch ) 2 R n W Car ( 14 Inch ) 7   Grass</v>
          </cell>
          <cell r="S51" t="str">
            <v>Y Spray Daisy ( 14 Inch ) 3 Mix Alstroemeria ( 12 Inch ) 7   FF Sachet + Grass</v>
          </cell>
          <cell r="T51" t="str">
            <v>P Eustoma ( 12 Inch ) 2 P n W Glad ( 14 Inch ) 7   FF Sachet + Grass</v>
          </cell>
        </row>
        <row r="52">
          <cell r="A52">
            <v>3364</v>
          </cell>
          <cell r="B52" t="str">
            <v xml:space="preserve">Shipra Malhotra </v>
          </cell>
          <cell r="C52">
            <v>9819952391</v>
          </cell>
          <cell r="D52" t="str">
            <v>F-12, First Floor, Galaxy Apartments</v>
          </cell>
          <cell r="E52" t="str">
            <v>DLF Phase 5</v>
          </cell>
          <cell r="F52" t="str">
            <v>Sunday</v>
          </cell>
          <cell r="G52" t="str">
            <v>4:30 to 6:30 Pm</v>
          </cell>
          <cell r="H52">
            <v>2750</v>
          </cell>
          <cell r="I52">
            <v>687.5</v>
          </cell>
          <cell r="J52" t="str">
            <v>Elation</v>
          </cell>
          <cell r="K52" t="str">
            <v>Same Flowers in her Both subscription</v>
          </cell>
          <cell r="M52" t="str">
            <v>Same Flowers in Both Pack (13/05)</v>
          </cell>
          <cell r="N52" t="str">
            <v>1  del of this cycle   -  1-cycles pmnt   Pending - Collect 2750</v>
          </cell>
          <cell r="O52" t="e">
            <v>#N/A</v>
          </cell>
          <cell r="P52" t="e">
            <v>#N/A</v>
          </cell>
          <cell r="Q52" t="e">
            <v>#N/A</v>
          </cell>
          <cell r="R52" t="e">
            <v>#N/A</v>
          </cell>
          <cell r="S52" t="e">
            <v>#N/A</v>
          </cell>
          <cell r="T52" t="str">
            <v>Pur n P Car ( 14 Inch ) 32     2 Gypsola + FF sachet</v>
          </cell>
        </row>
        <row r="53">
          <cell r="A53">
            <v>945</v>
          </cell>
          <cell r="B53" t="str">
            <v>Ms. Shuchi Chopra</v>
          </cell>
          <cell r="C53">
            <v>9910984447</v>
          </cell>
          <cell r="D53" t="str">
            <v>Flat No. 703, M3M Golf Estate, Latitude Building</v>
          </cell>
          <cell r="E53" t="str">
            <v>Badshahpur</v>
          </cell>
          <cell r="F53" t="str">
            <v>Sunday</v>
          </cell>
          <cell r="G53" t="str">
            <v>9 AM - 12 PM</v>
          </cell>
          <cell r="H53">
            <v>1950</v>
          </cell>
          <cell r="I53">
            <v>487.5</v>
          </cell>
          <cell r="J53" t="str">
            <v>Joy</v>
          </cell>
          <cell r="K53"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53" t="str">
            <v>1  del of this cycle   -  0-cycles pmnt   In Process - Collect 0</v>
          </cell>
          <cell r="O53" t="str">
            <v>R Orchid 4 Mix Alstroemeria ( 14 Inch )  10   FF Sachet + Grass</v>
          </cell>
          <cell r="P53" t="str">
            <v>P Asiatic ( 15 inch ) 2 Rajni 11   Grass</v>
          </cell>
          <cell r="Q53" t="str">
            <v>Eustoma 2 P n W  Glad ( 14 inch ) 11   Grass</v>
          </cell>
          <cell r="R53" t="str">
            <v>P n W Spray Daisy ( 15 Inch ) 4 R n W Car ( 14 Inch ) 11   FF Sachet + garss</v>
          </cell>
          <cell r="S53" t="str">
            <v>BOP 2 Mix Alstroemeria ( 12 Inch ) 11   FF Sachet + Grass</v>
          </cell>
          <cell r="T53" t="str">
            <v>O Asiatic ( 14 Inch ) 2 P n W Glad ( 14 Inch ) 11   Grass</v>
          </cell>
        </row>
        <row r="54">
          <cell r="A54">
            <v>1182</v>
          </cell>
          <cell r="B54" t="str">
            <v>Pradeep Shoran</v>
          </cell>
          <cell r="C54">
            <v>9818335503</v>
          </cell>
          <cell r="D54" t="str">
            <v>T-7/406, Valley View Estate, Gwal Pahari</v>
          </cell>
          <cell r="E54" t="str">
            <v>Ghata</v>
          </cell>
          <cell r="F54" t="str">
            <v>Sunday</v>
          </cell>
          <cell r="G54" t="str">
            <v>9 AM to 2 PM</v>
          </cell>
          <cell r="H54">
            <v>1450</v>
          </cell>
          <cell r="I54">
            <v>362.5</v>
          </cell>
          <cell r="J54" t="str">
            <v>Bliss</v>
          </cell>
          <cell r="K54"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v>
          </cell>
          <cell r="L54" t="str">
            <v>ROSE n ORCHID</v>
          </cell>
          <cell r="N54" t="str">
            <v>1  del of this cycle   -  1-cycles pmnt   Pending - Collect 1450</v>
          </cell>
          <cell r="O54" t="str">
            <v>P n W Glad ( 15 Inch ) 16     Grass</v>
          </cell>
          <cell r="P54" t="str">
            <v>Mix Alstroemeria ( 14 inch ) 16     FF Sachet + Grass</v>
          </cell>
          <cell r="Q54" t="str">
            <v>R n W Car ( 14 inch ) 16     FF Sachet + Grass</v>
          </cell>
          <cell r="R54" t="str">
            <v>P n Y Spray Daisy ( 15 Inch ) 5     FF Sachet + Grass</v>
          </cell>
          <cell r="S54" t="e">
            <v>#N/A</v>
          </cell>
          <cell r="T54" t="str">
            <v>P Asiatic ( 14 Inch ) 3     Grass</v>
          </cell>
        </row>
        <row r="55">
          <cell r="A55">
            <v>3378</v>
          </cell>
          <cell r="B55" t="str">
            <v>Yamini &amp; Sidharth Wazirchand</v>
          </cell>
          <cell r="C55">
            <v>8447034372</v>
          </cell>
          <cell r="D55" t="str">
            <v>C-72, The Belaire</v>
          </cell>
          <cell r="E55" t="str">
            <v>Golf Course Road</v>
          </cell>
          <cell r="F55" t="str">
            <v>Sunday</v>
          </cell>
          <cell r="G55" t="str">
            <v>9 AM to 2 PM</v>
          </cell>
          <cell r="H55">
            <v>4750</v>
          </cell>
          <cell r="I55">
            <v>1187.5</v>
          </cell>
          <cell r="J55" t="str">
            <v>Enchantment</v>
          </cell>
          <cell r="K55" t="str">
            <v>From Amana Batra//  Welcome back home &amp; Congratulations.     With Love and Best Wishes ,    Batra's (06/06)</v>
          </cell>
          <cell r="N55" t="str">
            <v>2  del of this cycle   -  0-cycles pmnt   Completed - Collect 0</v>
          </cell>
          <cell r="O55" t="e">
            <v>#N/A</v>
          </cell>
          <cell r="P55" t="e">
            <v>#N/A</v>
          </cell>
          <cell r="Q55" t="e">
            <v>#N/A</v>
          </cell>
          <cell r="R55" t="e">
            <v>#N/A</v>
          </cell>
          <cell r="S55" t="str">
            <v>W Asiatic ( 14 Inch ) 6 Pur n P  Car ( 14 Inch ) 30 Message + Tie The Bunch with BMF Ribbon Message + Tie The Bunch with BMF Ribbon 3 Gypsola + FF sachet</v>
          </cell>
          <cell r="T55" t="str">
            <v>Mix Eustoma  10 Rajni ( 14 Inch ) 30   3 Limonium</v>
          </cell>
        </row>
        <row r="56">
          <cell r="A56">
            <v>2637</v>
          </cell>
          <cell r="B56" t="str">
            <v>Shalini Kohli</v>
          </cell>
          <cell r="C56">
            <v>9999834141</v>
          </cell>
          <cell r="D56" t="str">
            <v>A-1402, Ireo Victory Valley</v>
          </cell>
          <cell r="E56" t="str">
            <v>Badshahpur</v>
          </cell>
          <cell r="F56" t="str">
            <v>Sunday</v>
          </cell>
          <cell r="G56" t="str">
            <v>9 AM - 12 PM</v>
          </cell>
          <cell r="H56">
            <v>1950</v>
          </cell>
          <cell r="I56">
            <v>487.5</v>
          </cell>
          <cell r="J56" t="str">
            <v>Joy</v>
          </cell>
          <cell r="K56" t="str">
            <v>Send on Monday instead of Sunday this week (28/05) Returned (10/08) Skip 1 week (28/08) Send replacement tom (19/10) Hold due to non payment (01/02) Send one del tom (03/02) Skip 2 week )7/03) Sent one del today (28/03) Returned (17/05) Returned today -- Death in Family (07/06)</v>
          </cell>
          <cell r="N56" t="str">
            <v>4  del of this cycle   -  0-cycles pmnt   Completed - Collect 0</v>
          </cell>
          <cell r="O56" t="str">
            <v>P n Y Spray daisy ( 15 inch ) 4 Mix Alstroemeria ( 14 Inch )  11   FF Sachet + Grass</v>
          </cell>
          <cell r="P56" t="str">
            <v>P Eustoma ( 14 inch ) 2 P n W Glad ( 14 inch ) 11   FF Sachet + Grass</v>
          </cell>
          <cell r="Q56" t="e">
            <v>#N/A</v>
          </cell>
          <cell r="R56" t="str">
            <v>P n W Spray Daisy ( 15 Inch ) 4 Mix Carnation  ( 12 Inch ) 11   FF Sachet + garss</v>
          </cell>
          <cell r="S56" t="str">
            <v>Pur Eustoma ( 12 Inch ) 2 Mix Alstroemeria ( 12 Inch ) 11   FF Sachet + Grass</v>
          </cell>
          <cell r="T56" t="str">
            <v>O Asiatic ( 14 Inch ) 2 P n W Glad ( 14 Inch ) 11   Grass</v>
          </cell>
        </row>
        <row r="57">
          <cell r="A57">
            <v>2494</v>
          </cell>
          <cell r="B57" t="str">
            <v>Mili Sodhi -- Before 12 PM</v>
          </cell>
          <cell r="C57">
            <v>9312059597</v>
          </cell>
          <cell r="D57" t="str">
            <v>E-801, Bestech Park View Spa Next, Sec 67</v>
          </cell>
          <cell r="E57" t="str">
            <v>Badshahpur</v>
          </cell>
          <cell r="F57" t="str">
            <v>Sunday</v>
          </cell>
          <cell r="G57" t="str">
            <v>9 AM to 2 PM</v>
          </cell>
          <cell r="H57">
            <v>999</v>
          </cell>
          <cell r="I57">
            <v>249.75</v>
          </cell>
          <cell r="J57" t="str">
            <v>Delight</v>
          </cell>
          <cell r="K57"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v>
          </cell>
          <cell r="M57" t="str">
            <v>Before 12 PM (16/11)</v>
          </cell>
          <cell r="N57" t="str">
            <v>4  del of this cycle   -  0-cycles pmnt   Completed - Collect 0</v>
          </cell>
          <cell r="O57" t="str">
            <v>Pur n P Car ( 14 Inch )  9     FF Sachet + Grass</v>
          </cell>
          <cell r="P57" t="str">
            <v>P Asiatic 2     Grass</v>
          </cell>
          <cell r="Q57" t="str">
            <v>P n W Glad ( 14 inch ) 9     Grass</v>
          </cell>
          <cell r="R57" t="str">
            <v>R n W Car( 14 Inch)  9     FF Sachet + Grass</v>
          </cell>
          <cell r="S57" t="str">
            <v>Mix Alstroemeria ( 12 Inch ) 9     FF Sachet + Grass</v>
          </cell>
          <cell r="T57" t="str">
            <v>Sunflower ( 12 Inch ) 2     FF Sachet + Grass</v>
          </cell>
        </row>
        <row r="58">
          <cell r="A58">
            <v>2612</v>
          </cell>
          <cell r="B58" t="str">
            <v>Anjli Mata</v>
          </cell>
          <cell r="C58">
            <v>9810098755</v>
          </cell>
          <cell r="D58" t="str">
            <v>A-73, The Summit</v>
          </cell>
          <cell r="E58" t="str">
            <v>Golf Course Road</v>
          </cell>
          <cell r="F58" t="str">
            <v>Sunday</v>
          </cell>
          <cell r="G58" t="str">
            <v>9 AM - 12 PM</v>
          </cell>
          <cell r="H58">
            <v>999</v>
          </cell>
          <cell r="I58">
            <v>249.75</v>
          </cell>
          <cell r="J58" t="str">
            <v>Delight</v>
          </cell>
          <cell r="K58" t="str">
            <v>Skip 1 week (06/01) Skip 1 week (22/01) Skip 1 week (09/03) Add changed (11/03) Day changed to Sunday -- check with customer first (19/05)</v>
          </cell>
          <cell r="N58" t="str">
            <v>2  del of this cycle   -  0-cycles pmnt   Completed - Collect 0</v>
          </cell>
          <cell r="O58" t="e">
            <v>#N/A</v>
          </cell>
          <cell r="P58" t="e">
            <v>#N/A</v>
          </cell>
          <cell r="Q58" t="str">
            <v>Y Asiatic 2     Grass</v>
          </cell>
          <cell r="R58" t="str">
            <v>Pur n p Car ( 14 Inch ) 9     FF Sachet + Grass</v>
          </cell>
          <cell r="S58" t="str">
            <v>Mix Alstroemeria ( 12 Inch ) 9     FF Sachet + Grass</v>
          </cell>
          <cell r="T58" t="str">
            <v>Sunflower ( 12 Inch ) 2     FF Sachet + Grass</v>
          </cell>
        </row>
        <row r="59">
          <cell r="A59">
            <v>1455</v>
          </cell>
          <cell r="B59" t="str">
            <v>Gagan Ahluwalia</v>
          </cell>
          <cell r="C59">
            <v>9811105056</v>
          </cell>
          <cell r="D59" t="str">
            <v>C-82, The Summit</v>
          </cell>
          <cell r="E59" t="str">
            <v>Golf Course Road</v>
          </cell>
          <cell r="F59" t="str">
            <v>Thursday</v>
          </cell>
          <cell r="G59" t="str">
            <v>9 AM - 12 PM</v>
          </cell>
          <cell r="H59">
            <v>2300</v>
          </cell>
          <cell r="I59">
            <v>287.5</v>
          </cell>
          <cell r="J59" t="str">
            <v>Felicity</v>
          </cell>
          <cell r="K59"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9" t="str">
            <v>2  del of this cycle   -  1-cycles pmnt   Pending - Collect 2300</v>
          </cell>
          <cell r="O59" t="str">
            <v>Y Spray Daisy ( 15 inch ) 3     FF Sachet + Grass</v>
          </cell>
          <cell r="P59" t="e">
            <v>#N/A</v>
          </cell>
          <cell r="Q59" t="e">
            <v>#N/A</v>
          </cell>
          <cell r="R59" t="e">
            <v>#N/A</v>
          </cell>
          <cell r="S59" t="str">
            <v>Sunflower ( 12 Inch ) 3     FF Sachet + Grass</v>
          </cell>
          <cell r="T59" t="str">
            <v>O Asiatic ( 14 Inch ) 2     Grass</v>
          </cell>
        </row>
        <row r="60">
          <cell r="A60">
            <v>2450</v>
          </cell>
          <cell r="B60" t="str">
            <v>Anshuman Divyanshu</v>
          </cell>
          <cell r="C60">
            <v>9934010124</v>
          </cell>
          <cell r="D60" t="str">
            <v>G-1401, Bestech Park View Spa Next</v>
          </cell>
          <cell r="E60" t="str">
            <v>Badshahpur</v>
          </cell>
          <cell r="F60" t="str">
            <v>Sunday</v>
          </cell>
          <cell r="G60" t="str">
            <v>9:30 Am to 2 PM</v>
          </cell>
          <cell r="H60">
            <v>999</v>
          </cell>
          <cell r="I60">
            <v>249.75</v>
          </cell>
          <cell r="J60" t="str">
            <v>Delight</v>
          </cell>
          <cell r="K60" t="str">
            <v>Insta // return today (24/08) Hold today (28/09) HDTNP (03/05) Skip 1 week (06/06)</v>
          </cell>
          <cell r="N60" t="str">
            <v>2  del of this cycle   -  0-cycles pmnt   Completed - Collect 0</v>
          </cell>
          <cell r="O60" t="str">
            <v>Shd Pur n P Car ( 14 Inch ) 9     FF Sachet + Grass</v>
          </cell>
          <cell r="P60" t="str">
            <v>P Spray Daisy ( 15 inch ) 3     FF Sachet + Grass</v>
          </cell>
          <cell r="Q60" t="str">
            <v>P n W Glad ( 14 inch ) 9     Grass</v>
          </cell>
          <cell r="R60" t="str">
            <v>R n W Car( 14 Inch)  9     FF Sachet + Grass</v>
          </cell>
          <cell r="S60" t="e">
            <v>#N/A</v>
          </cell>
          <cell r="T60" t="str">
            <v>O Asiatic ( 14 Inch ) 2     Grass</v>
          </cell>
        </row>
        <row r="61">
          <cell r="A61">
            <v>1570</v>
          </cell>
          <cell r="B61" t="str">
            <v>Nisha Syriac</v>
          </cell>
          <cell r="C61">
            <v>9711811545</v>
          </cell>
          <cell r="D61" t="str">
            <v>G202, DLF Park Place Heights, Golf Course Road</v>
          </cell>
          <cell r="E61" t="str">
            <v>Golf Course Road</v>
          </cell>
          <cell r="F61" t="str">
            <v>Sunday</v>
          </cell>
          <cell r="G61" t="str">
            <v>9:30 Am to 2 PM</v>
          </cell>
          <cell r="H61">
            <v>1450</v>
          </cell>
          <cell r="I61">
            <v>362.5</v>
          </cell>
          <cell r="J61" t="str">
            <v>Bliss</v>
          </cell>
          <cell r="K61"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61" t="str">
            <v>Rajni n Orchid</v>
          </cell>
          <cell r="M61" t="str">
            <v xml:space="preserve">Single Color Flowers </v>
          </cell>
          <cell r="N61" t="str">
            <v>3  del of this cycle   -  0-cycles pmnt   Completed - Collect 0</v>
          </cell>
          <cell r="O61" t="e">
            <v>#N/A</v>
          </cell>
          <cell r="P61" t="e">
            <v>#N/A</v>
          </cell>
          <cell r="Q61" t="e">
            <v>#N/A</v>
          </cell>
          <cell r="R61" t="e">
            <v>#N/A</v>
          </cell>
          <cell r="S61" t="str">
            <v>P Alstroemeria ( 12 Inch ) 16 Single Color Flower  Single Color Flower    FF Sachet + Grass</v>
          </cell>
          <cell r="T61" t="str">
            <v>P Spray Daisy ( 14 Inch ) 5     FF Sachet + Grass</v>
          </cell>
        </row>
        <row r="62">
          <cell r="A62">
            <v>2832</v>
          </cell>
          <cell r="B62" t="str">
            <v>Anshu Mittal Roy</v>
          </cell>
          <cell r="C62" t="str">
            <v xml:space="preserve"> 97172 00986</v>
          </cell>
          <cell r="D62" t="str">
            <v xml:space="preserve"> B203 Godrej 101, Sector 79
</v>
          </cell>
          <cell r="E62" t="str">
            <v>Badshahpur</v>
          </cell>
          <cell r="F62" t="str">
            <v>Friday</v>
          </cell>
          <cell r="G62" t="str">
            <v>4 Pm to 7 PM</v>
          </cell>
          <cell r="H62">
            <v>1450</v>
          </cell>
          <cell r="I62">
            <v>362.5</v>
          </cell>
          <cell r="J62" t="str">
            <v>Bliss</v>
          </cell>
          <cell r="K62" t="str">
            <v>15 % Discount (26/07) 3 Month with 10% discount (24/08) Skip 1 week (19/12) Skip 1 week (19/02) Skip 2 week (16/05) Today Returned (12/06)</v>
          </cell>
          <cell r="N62" t="str">
            <v>2  del of this cycle   -  0-cycles pmnt   Completed - Collect 0</v>
          </cell>
          <cell r="O62" t="e">
            <v>#N/A</v>
          </cell>
          <cell r="P62" t="e">
            <v>#N/A</v>
          </cell>
          <cell r="Q62" t="e">
            <v>#N/A</v>
          </cell>
          <cell r="R62" t="e">
            <v>#N/A</v>
          </cell>
          <cell r="S62" t="e">
            <v>#N/A</v>
          </cell>
          <cell r="T62" t="str">
            <v>P Eustoma ( 12 Inch ) 2 P n W Glad ( 14 Inch ) 7   FF Sachet + Grass</v>
          </cell>
        </row>
        <row r="63">
          <cell r="A63" t="str">
            <v>B56147</v>
          </cell>
          <cell r="B63" t="str">
            <v>Brown Bakery</v>
          </cell>
          <cell r="C63">
            <v>9971257075</v>
          </cell>
          <cell r="D63" t="str">
            <v>Nirvana Courtyard</v>
          </cell>
          <cell r="E63" t="str">
            <v>Nirvana Country</v>
          </cell>
          <cell r="F63" t="str">
            <v>Sunday</v>
          </cell>
          <cell r="G63" t="str">
            <v>By 8 AM</v>
          </cell>
          <cell r="H63">
            <v>15000</v>
          </cell>
          <cell r="I63">
            <v>15000</v>
          </cell>
          <cell r="J63" t="str">
            <v>Special Project</v>
          </cell>
          <cell r="K63" t="str">
            <v>2 Bunch W Daisy + 1 Bunch G Button Daisy + 10 Bunch W Car + 3 Bunch P Car + 3 Bunch W Orchid + 3 Bunch Gypsola + 1 Bunch Fish Tail + 3 Bunch Gypsola</v>
          </cell>
          <cell r="N63" t="str">
            <v>1  del of this cycle   -  0-cycles pmnt   In Process - Collect 0</v>
          </cell>
          <cell r="O63" t="e">
            <v>#N/A</v>
          </cell>
          <cell r="P63" t="e">
            <v>#N/A</v>
          </cell>
          <cell r="Q63" t="e">
            <v>#N/A</v>
          </cell>
          <cell r="R63" t="e">
            <v>#N/A</v>
          </cell>
          <cell r="S63" t="e">
            <v>#N/A</v>
          </cell>
          <cell r="T63" t="str">
            <v xml:space="preserve">W Daisy + G Button Daosy + W Car + Baby Pink Car + W Orchid + Bloom W Asiatic 20 + 10 + 100 + 40 + 30 + 10 Dilli patti + Fish Tail + Other Greens    </v>
          </cell>
        </row>
        <row r="64">
          <cell r="A64" t="str">
            <v>B56146</v>
          </cell>
          <cell r="B64" t="str">
            <v>Mrs. Uma</v>
          </cell>
          <cell r="C64">
            <v>0</v>
          </cell>
          <cell r="D64" t="str">
            <v>202-A, Court Greens, The Laburnum</v>
          </cell>
          <cell r="E64" t="str">
            <v>M G Road</v>
          </cell>
          <cell r="F64" t="str">
            <v>Sunday</v>
          </cell>
          <cell r="G64" t="str">
            <v>By 10 AM</v>
          </cell>
          <cell r="H64">
            <v>2600</v>
          </cell>
          <cell r="I64">
            <v>2600</v>
          </cell>
          <cell r="J64" t="str">
            <v>Bouquet</v>
          </cell>
          <cell r="K64" t="str">
            <v>From Mr. Jeet// Wish you a very happy birthday Uma, Many many happy returns of the day.      Love n regards, Jeet (1206)</v>
          </cell>
          <cell r="N64" t="str">
            <v>1  del of this cycle   -  0-cycles pmnt   In Process - Collect 0</v>
          </cell>
          <cell r="O64" t="e">
            <v>#N/A</v>
          </cell>
          <cell r="P64" t="e">
            <v>#N/A</v>
          </cell>
          <cell r="Q64" t="e">
            <v>#N/A</v>
          </cell>
          <cell r="R64" t="e">
            <v>#N/A</v>
          </cell>
          <cell r="S64" t="e">
            <v>#N/A</v>
          </cell>
          <cell r="T64" t="str">
            <v xml:space="preserve">R Rose 60 Tissue Wrap Message   </v>
          </cell>
        </row>
        <row r="65">
          <cell r="A65">
            <v>3359</v>
          </cell>
          <cell r="B65" t="str">
            <v>Payal Soni</v>
          </cell>
          <cell r="C65">
            <v>7508901884</v>
          </cell>
          <cell r="D65" t="str">
            <v>T-9/1403, Pyramid Sec 67 A, Badshahpur Road, Near Iskcon</v>
          </cell>
          <cell r="E65" t="str">
            <v>Badshahpur</v>
          </cell>
          <cell r="F65" t="str">
            <v>Sunday</v>
          </cell>
          <cell r="G65" t="str">
            <v>9 AM - 12 PM</v>
          </cell>
          <cell r="H65">
            <v>1450</v>
          </cell>
          <cell r="I65">
            <v>362.5</v>
          </cell>
          <cell r="J65" t="str">
            <v>Bliss</v>
          </cell>
          <cell r="K65" t="str">
            <v>No Glad and day changed to Sunday 904/06)</v>
          </cell>
          <cell r="L65" t="str">
            <v>Glad</v>
          </cell>
          <cell r="N65" t="str">
            <v>2  del of this cycle   -  0-cycles pmnt   Completed - Collect 0</v>
          </cell>
          <cell r="O65" t="e">
            <v>#N/A</v>
          </cell>
          <cell r="P65" t="e">
            <v>#N/A</v>
          </cell>
          <cell r="Q65" t="e">
            <v>#N/A</v>
          </cell>
          <cell r="R65" t="e">
            <v>#N/A</v>
          </cell>
          <cell r="S65" t="str">
            <v>Mix Alstroemeria ( 12 Inch ) 16     FF Sachet + Grass</v>
          </cell>
          <cell r="T65" t="str">
            <v>P Asiatic ( 14 Inch ) 3     Grass</v>
          </cell>
        </row>
        <row r="66">
          <cell r="A66">
            <v>2368</v>
          </cell>
          <cell r="B66" t="str">
            <v>Jasbir Singh</v>
          </cell>
          <cell r="C66">
            <v>9997092561</v>
          </cell>
          <cell r="D66" t="str">
            <v>Amber, 4th Floor, Universal Trade Centre</v>
          </cell>
          <cell r="E66" t="str">
            <v>Sohna Road 1</v>
          </cell>
          <cell r="F66" t="str">
            <v>Sunday</v>
          </cell>
          <cell r="G66" t="str">
            <v>By 7 PM</v>
          </cell>
          <cell r="H66">
            <v>12800</v>
          </cell>
          <cell r="I66">
            <v>3200</v>
          </cell>
          <cell r="J66" t="str">
            <v>Corporate</v>
          </cell>
          <cell r="N66" t="str">
            <v>2  del of this cycle   -  0-cycles pmnt   In Process - Collect 0</v>
          </cell>
          <cell r="O66" t="str">
            <v xml:space="preserve">Arrangement 1     </v>
          </cell>
          <cell r="P66" t="str">
            <v xml:space="preserve">Arrangement 1     </v>
          </cell>
          <cell r="Q66" t="str">
            <v xml:space="preserve">Arrangement 1     </v>
          </cell>
          <cell r="R66" t="str">
            <v xml:space="preserve">Arrangement  1     </v>
          </cell>
          <cell r="S66" t="str">
            <v xml:space="preserve">Arrangement 1     </v>
          </cell>
          <cell r="T66" t="str">
            <v xml:space="preserve">Arrangement 1     </v>
          </cell>
        </row>
        <row r="67">
          <cell r="A67">
            <v>2910</v>
          </cell>
          <cell r="B67" t="str">
            <v>Malvika</v>
          </cell>
          <cell r="C67">
            <v>9818627991</v>
          </cell>
          <cell r="D67" t="str">
            <v>T-2/1306, Valley View Estae</v>
          </cell>
          <cell r="E67" t="str">
            <v>Ghata</v>
          </cell>
          <cell r="F67" t="str">
            <v>Sunday</v>
          </cell>
          <cell r="G67" t="str">
            <v>10 AM to 10 PM</v>
          </cell>
          <cell r="H67">
            <v>1450</v>
          </cell>
          <cell r="I67">
            <v>362.5</v>
          </cell>
          <cell r="J67" t="str">
            <v>Bliss</v>
          </cell>
          <cell r="K67" t="str">
            <v>Upgraded as per scheme to Bliss for 5 Deliveries (22/08) Change to Delight next (30/09) Send replacement tom (25/11) Change to delight (13/01) Paytm From Malvika Singh</v>
          </cell>
          <cell r="M67" t="str">
            <v>Change to Deligfht next (30/09)</v>
          </cell>
          <cell r="N67" t="str">
            <v>2  del of this cycle   -  0-cycles pmnt   Completed - Collect 0</v>
          </cell>
          <cell r="O67" t="str">
            <v>Shd Pur n P Car ( 14 Inch ) 16     FF Sachet + Grass</v>
          </cell>
          <cell r="P67" t="str">
            <v>P n Y Spray Daisy ( 15 inch ) 5     FF Sachet + Grass</v>
          </cell>
          <cell r="Q67" t="str">
            <v>B Orchid  5     FF Sachet + Grass</v>
          </cell>
          <cell r="R67" t="str">
            <v>R n W Car( 14 Inch)  16     FF Sachet + Grass</v>
          </cell>
          <cell r="S67" t="str">
            <v>P n W Glad ( 14 Inch ) 16     Grass</v>
          </cell>
          <cell r="T67" t="str">
            <v>P Asiatic ( 14 Inch ) 3     Grass</v>
          </cell>
        </row>
        <row r="68">
          <cell r="A68">
            <v>2462</v>
          </cell>
          <cell r="B68" t="str">
            <v>Rubeey Matharu</v>
          </cell>
          <cell r="C68">
            <v>9811601176</v>
          </cell>
          <cell r="D68" t="str">
            <v>Sirera 1, T-6/306, M3M Marina</v>
          </cell>
          <cell r="E68" t="str">
            <v>Badshahpur</v>
          </cell>
          <cell r="F68" t="str">
            <v>Sunday</v>
          </cell>
          <cell r="G68" t="str">
            <v>9 AM - 12 PM</v>
          </cell>
          <cell r="H68">
            <v>999</v>
          </cell>
          <cell r="I68">
            <v>249.75</v>
          </cell>
          <cell r="J68" t="str">
            <v>Delight</v>
          </cell>
          <cell r="K68" t="str">
            <v>Skip 1 week and inform before starting (08/04) Hold n start from Aug (15/05) Paytm From Amanpreet Kaur Matharu // Paytm from Gurjeet Matharu</v>
          </cell>
          <cell r="M68" t="str">
            <v>Rajni Tom (01/11)</v>
          </cell>
          <cell r="N68" t="str">
            <v>2  del of this cycle   -  1-cycles pmnt   Pending - Collect 999</v>
          </cell>
          <cell r="O68" t="e">
            <v>#N/A</v>
          </cell>
          <cell r="P68" t="str">
            <v>P Spray Daisy ( 15 inch ) 3     FF Sachet + Grass</v>
          </cell>
          <cell r="Q68" t="str">
            <v>P n W Glad ( 14 inch ) 9     Grass</v>
          </cell>
          <cell r="R68" t="str">
            <v>O Asiatic ( 15 Inch ) 2     Grass</v>
          </cell>
          <cell r="S68" t="str">
            <v>Mix Alstroemeria ( 12 Inch ) 9     FF Sachet + Grass</v>
          </cell>
          <cell r="T68" t="str">
            <v>Pur n P Car ( 14 Inch ) 9     FF Sachet + Grass</v>
          </cell>
        </row>
        <row r="69">
          <cell r="A69">
            <v>3231</v>
          </cell>
          <cell r="B69" t="str">
            <v>Saloni Mevawala</v>
          </cell>
          <cell r="C69">
            <v>9619924519</v>
          </cell>
          <cell r="D69" t="str">
            <v>T-1/201, Unitech Fresco</v>
          </cell>
          <cell r="E69" t="str">
            <v>Nirvana Country</v>
          </cell>
          <cell r="F69" t="str">
            <v>Thursday</v>
          </cell>
          <cell r="G69" t="str">
            <v>9 AM - 12 PM</v>
          </cell>
          <cell r="H69">
            <v>2160</v>
          </cell>
          <cell r="I69">
            <v>270</v>
          </cell>
          <cell r="J69" t="str">
            <v>Bi weekly Customised</v>
          </cell>
          <cell r="K69" t="str">
            <v>9 Rajni Every week (18/12) Skip 2 week (19/02) 1 Oriental and 5 Rajni (04/04) Paytm From Sejal Mevawala (05/04) 1 Oriental + 5 Rajni (04/04)</v>
          </cell>
          <cell r="M69" t="str">
            <v xml:space="preserve"> 1 Oriental + 5 Rajni (04/04)</v>
          </cell>
          <cell r="N69" t="str">
            <v>6  del of this cycle   -  0-cycles pmnt   Completed - Collect 0</v>
          </cell>
          <cell r="O69" t="e">
            <v>#N/A</v>
          </cell>
          <cell r="P69" t="e">
            <v>#N/A</v>
          </cell>
          <cell r="Q69" t="e">
            <v>#N/A</v>
          </cell>
          <cell r="R69" t="str">
            <v>Rajni ( 14 Inch )  10     Grass</v>
          </cell>
          <cell r="S69" t="str">
            <v>Rajni ( 14 Inch ) 10     Grass</v>
          </cell>
          <cell r="T69" t="str">
            <v>Rajni ( 14 Inch ) 10     Grass</v>
          </cell>
        </row>
        <row r="70">
          <cell r="A70">
            <v>1467</v>
          </cell>
          <cell r="B70" t="str">
            <v>Priyanka Chaturvedi</v>
          </cell>
          <cell r="C70">
            <v>7838930274</v>
          </cell>
          <cell r="D70" t="str">
            <v xml:space="preserve">Flat No. A-303, The Peaceful Homes, Sec 70-A
</v>
          </cell>
          <cell r="E70" t="str">
            <v>Badshahpur</v>
          </cell>
          <cell r="F70" t="str">
            <v>Friday</v>
          </cell>
          <cell r="G70" t="str">
            <v>9 AM - 12 PM</v>
          </cell>
          <cell r="H70">
            <v>1600</v>
          </cell>
          <cell r="I70">
            <v>200</v>
          </cell>
          <cell r="J70" t="str">
            <v>Bloom</v>
          </cell>
          <cell r="K70"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70" t="str">
            <v>ROSE n SPRAY DAISY</v>
          </cell>
          <cell r="N70" t="str">
            <v>7  del of this cycle   -  0-cycles pmnt   Completed - Collect 0</v>
          </cell>
          <cell r="O70" t="str">
            <v>Pur n P Car ( 14 Inch )  7     FF Sachet + Grass</v>
          </cell>
          <cell r="P70" t="str">
            <v>Sunflower ( 15 inch ) 2     Grass</v>
          </cell>
          <cell r="Q70" t="str">
            <v>B Daisy ( 12 inch ) 7     FF sachet + Grass</v>
          </cell>
          <cell r="R70" t="str">
            <v>R n W Car( 14 Inch)  7     FF Sachet + Grass</v>
          </cell>
          <cell r="S70" t="str">
            <v>Sunflower ( 12 Inch ) 2     FF Sachet + Grass</v>
          </cell>
          <cell r="T70" t="str">
            <v>Mix Alstroemeria ( 12 Inch ) 7     FF Sachet + Grass</v>
          </cell>
        </row>
        <row r="71">
          <cell r="A71" t="str">
            <v>G-00056</v>
          </cell>
          <cell r="B71" t="str">
            <v>Triveni Wahi</v>
          </cell>
          <cell r="C71">
            <v>7503975035</v>
          </cell>
          <cell r="D71" t="str">
            <v>B-14/12 C, Dlf The Grove</v>
          </cell>
          <cell r="E71" t="str">
            <v>DLF Phase 5</v>
          </cell>
          <cell r="F71" t="str">
            <v>Sunday</v>
          </cell>
          <cell r="G71" t="str">
            <v>9 AM - 12 PM</v>
          </cell>
          <cell r="H71">
            <v>1450</v>
          </cell>
          <cell r="I71">
            <v>362.5</v>
          </cell>
          <cell r="J71" t="str">
            <v>Bliss</v>
          </cell>
          <cell r="K71" t="str">
            <v>From Madhulika Geeta Chopra // 2sesonal Extra next (05/05) Today Returned -send next week (24/05)</v>
          </cell>
          <cell r="M71" t="str">
            <v>2 sesonal Extra next (05/05)</v>
          </cell>
          <cell r="N71" t="str">
            <v>3  del of this cycle   -  0-cycles pmnt   Completed - Collect 0</v>
          </cell>
          <cell r="O71" t="str">
            <v>P n W Spray Daisy ( 15 inch ) 5 R n W Car ( 14 inch )  2   FF Sachet + Grass</v>
          </cell>
          <cell r="P71" t="str">
            <v>P n W Glad ( 14 inch ) 16     Grass</v>
          </cell>
          <cell r="Q71" t="str">
            <v>O Asiatic ( 15 inch ) 3     Grass</v>
          </cell>
          <cell r="R71" t="str">
            <v>P n W Car ( 14 inch ) 16     FF Sachet + Grass</v>
          </cell>
          <cell r="S71" t="str">
            <v>Mix Alstroemeria ( 12 Inch ) 16     FF Sachet + Grass</v>
          </cell>
          <cell r="T71" t="str">
            <v>P n W Spray Daisy ( 14 Inch ) 5     FF Sachet + Grass</v>
          </cell>
        </row>
        <row r="72">
          <cell r="A72">
            <v>3179</v>
          </cell>
          <cell r="B72" t="str">
            <v>Bandhana</v>
          </cell>
          <cell r="C72">
            <v>98188998617</v>
          </cell>
          <cell r="D72" t="str">
            <v>T-5/902, Tata Primanti</v>
          </cell>
          <cell r="E72" t="str">
            <v>Badshahpur</v>
          </cell>
          <cell r="F72" t="str">
            <v>Sunday</v>
          </cell>
          <cell r="G72" t="str">
            <v>9 AM - 12 PM</v>
          </cell>
          <cell r="H72">
            <v>1950</v>
          </cell>
          <cell r="I72">
            <v>487.5</v>
          </cell>
          <cell r="J72" t="str">
            <v>Joy</v>
          </cell>
          <cell r="K72" t="str">
            <v>Single Kind // Replacement tom (08/03) No Spray Daisy and BOP (31/03)</v>
          </cell>
          <cell r="L72" t="str">
            <v>Spray Daisy n BOP</v>
          </cell>
          <cell r="M72" t="str">
            <v>Single Kind</v>
          </cell>
          <cell r="N72" t="str">
            <v>2  del of this cycle   -  0-cycles pmnt   Completed - Collect 0</v>
          </cell>
          <cell r="O72" t="str">
            <v xml:space="preserve">P n W Glad ( 15 Inch ) 22     </v>
          </cell>
          <cell r="P72" t="str">
            <v>Mix Alstroemeria ( 14 inch ) 22     FF Sachet + Grass</v>
          </cell>
          <cell r="Q72" t="str">
            <v>P n W Car ( 14 Inch ) 22     FF sachet + Grass</v>
          </cell>
          <cell r="R72" t="str">
            <v>Pur n P Eustoma ( 12 Inch ) 4     FF Sachet + garss</v>
          </cell>
          <cell r="S72" t="str">
            <v>W Asiatic ( 14 Inch ) 4     Grass</v>
          </cell>
          <cell r="T72" t="str">
            <v>Mix Glad (14Inch) 22     FF Sachet + Grass</v>
          </cell>
        </row>
        <row r="73">
          <cell r="A73" t="str">
            <v>B56156</v>
          </cell>
          <cell r="B73" t="str">
            <v>Mudita Vaish</v>
          </cell>
          <cell r="C73">
            <v>9311285517</v>
          </cell>
          <cell r="D73" t="str">
            <v>Flat -5A, Building 4, The Hibiscus</v>
          </cell>
          <cell r="E73" t="str">
            <v>Nirvana Country</v>
          </cell>
          <cell r="F73" t="str">
            <v>Sunday</v>
          </cell>
          <cell r="G73" t="str">
            <v>By 11 AM</v>
          </cell>
          <cell r="H73">
            <v>600</v>
          </cell>
          <cell r="I73">
            <v>600</v>
          </cell>
          <cell r="J73" t="str">
            <v>Bouquet</v>
          </cell>
          <cell r="K73" t="str">
            <v>4 Sunflowers</v>
          </cell>
          <cell r="N73" t="str">
            <v>1  del of this cycle   -  0-cycles pmnt   Completed - Collect 0</v>
          </cell>
          <cell r="O73" t="e">
            <v>#N/A</v>
          </cell>
          <cell r="P73" t="e">
            <v>#N/A</v>
          </cell>
          <cell r="Q73" t="e">
            <v>#N/A</v>
          </cell>
          <cell r="R73" t="e">
            <v>#N/A</v>
          </cell>
          <cell r="S73" t="e">
            <v>#N/A</v>
          </cell>
          <cell r="T73" t="str">
            <v>Sunflower  4     Areca Palm + Grass + FF Sachet</v>
          </cell>
        </row>
        <row r="74">
          <cell r="A74">
            <v>2749</v>
          </cell>
          <cell r="B74" t="str">
            <v>Ajay Saini</v>
          </cell>
          <cell r="C74">
            <v>9910488555</v>
          </cell>
          <cell r="D74" t="str">
            <v>A-2204, Elevate, Sec 59</v>
          </cell>
          <cell r="E74" t="str">
            <v>Ghata</v>
          </cell>
          <cell r="F74" t="str">
            <v>Saturday</v>
          </cell>
          <cell r="G74" t="str">
            <v>9 AM - 12 PM</v>
          </cell>
          <cell r="H74">
            <v>1450</v>
          </cell>
          <cell r="I74">
            <v>362.5</v>
          </cell>
          <cell r="J74" t="str">
            <v>Bliss</v>
          </cell>
          <cell r="K74" t="str">
            <v>No Sunflower (16/05) Send Replacement tom (17/05) 13th Hold due to non payment (13/06)</v>
          </cell>
          <cell r="L74" t="str">
            <v>Sunflower</v>
          </cell>
          <cell r="N74" t="str">
            <v>2  del of this cycle   -  0-cycles pmnt   Completed - Collect 0</v>
          </cell>
          <cell r="O74" t="e">
            <v>#N/A</v>
          </cell>
          <cell r="P74" t="e">
            <v>#N/A</v>
          </cell>
          <cell r="Q74" t="e">
            <v>#N/A</v>
          </cell>
          <cell r="R74" t="e">
            <v>#N/A</v>
          </cell>
          <cell r="S74" t="e">
            <v>#N/A</v>
          </cell>
          <cell r="T74" t="str">
            <v>P Eustoma ( 12 Inch ) 2 Mix Alstroemeria ( 12 Inch ) 7   FF Sachet + Grass</v>
          </cell>
        </row>
        <row r="75">
          <cell r="A75" t="str">
            <v>B56157</v>
          </cell>
          <cell r="B75" t="str">
            <v>Pick up</v>
          </cell>
          <cell r="C75" t="str">
            <v>Pick up</v>
          </cell>
          <cell r="D75" t="str">
            <v>Pick up</v>
          </cell>
          <cell r="E75" t="str">
            <v>Pick up</v>
          </cell>
          <cell r="F75" t="str">
            <v>Sunday</v>
          </cell>
          <cell r="G75" t="str">
            <v>By 11 AM</v>
          </cell>
          <cell r="H75">
            <v>1020</v>
          </cell>
          <cell r="I75">
            <v>1020</v>
          </cell>
          <cell r="J75" t="str">
            <v>Bouquet</v>
          </cell>
          <cell r="K75" t="str">
            <v>1 Sunflower and 6 W Rose // 1 W Oriental and 9 Shd Pur Car</v>
          </cell>
          <cell r="N75" t="str">
            <v>1  del of this cycle   -  0-cycles pmnt   Completed - Collect 0</v>
          </cell>
          <cell r="O75" t="e">
            <v>#N/A</v>
          </cell>
          <cell r="P75" t="e">
            <v>#N/A</v>
          </cell>
          <cell r="Q75" t="e">
            <v>#N/A</v>
          </cell>
          <cell r="R75" t="e">
            <v>#N/A</v>
          </cell>
          <cell r="S75" t="e">
            <v>#N/A</v>
          </cell>
          <cell r="T75" t="str">
            <v xml:space="preserve">( Sunflower + W Rose ) + ( W Oriental + Shd Pur Car ) ( 1 + 6 ) + ( 1 + 9) 2 Tissue Wrap    </v>
          </cell>
        </row>
        <row r="76">
          <cell r="A76">
            <v>2550</v>
          </cell>
          <cell r="B76" t="str">
            <v>Pooja Singh</v>
          </cell>
          <cell r="C76">
            <v>9810123062</v>
          </cell>
          <cell r="D76" t="str">
            <v>B-289, 3rd Floor, Anantraj Estates, Sec 63 A</v>
          </cell>
          <cell r="E76" t="str">
            <v>Ghata</v>
          </cell>
          <cell r="F76" t="str">
            <v>Sunday</v>
          </cell>
          <cell r="G76" t="str">
            <v>9 AM - 12 PM</v>
          </cell>
          <cell r="H76">
            <v>1450</v>
          </cell>
          <cell r="I76">
            <v>362.5</v>
          </cell>
          <cell r="J76" t="str">
            <v>Bliss</v>
          </cell>
          <cell r="K76" t="str">
            <v>Hold today n sned on Tuesday (18/05) Skip this week and send on Monday(01/01/26) Return today (18/01)</v>
          </cell>
          <cell r="N76" t="str">
            <v>1  del of this cycle   -  1-cycles pmnt   Pending - Collect 1450</v>
          </cell>
          <cell r="O76" t="str">
            <v>P Eustoma ( 14 Inch ) 2 Mix Alstroemeria ( 14 Inch )  7   FF Sachet + Grass</v>
          </cell>
          <cell r="P76" t="str">
            <v>P Spray Daisy ( 15 inch ) 3 P n W Glad ( 14 inch ) 7   FF Sachet + Grass</v>
          </cell>
          <cell r="Q76" t="str">
            <v>O Asiatic ( 15 inch ) 2 P n W Car ( 14 inch ) 7   Grass</v>
          </cell>
          <cell r="R76" t="str">
            <v>Sunflower ( 12 Inch ) 2 Mix Glad  ( 12 Inch ) 7   Grass</v>
          </cell>
          <cell r="S76" t="str">
            <v>Pur Eustoma ( 12 Inch ) 2 Mix Alstroemeria ( 12 Inch ) 7   FF Sachet + Grass</v>
          </cell>
          <cell r="T76" t="str">
            <v>P Spray Daisy ( 14 Inch ) 3 Pur n P Car ( 14 Inch ) 7   FF Sachet + Grass</v>
          </cell>
        </row>
        <row r="77">
          <cell r="A77">
            <v>2481</v>
          </cell>
          <cell r="B77" t="str">
            <v>Puneet Mahajan</v>
          </cell>
          <cell r="C77">
            <v>9810110847</v>
          </cell>
          <cell r="D77" t="str">
            <v>D-19, 4th Floor, Siuth City -2, Opp Arcadia Mall</v>
          </cell>
          <cell r="E77" t="str">
            <v>Nirvana Country</v>
          </cell>
          <cell r="F77" t="str">
            <v>Sunday</v>
          </cell>
          <cell r="G77" t="str">
            <v>9 AM - 12 PM</v>
          </cell>
          <cell r="H77">
            <v>2300</v>
          </cell>
          <cell r="I77">
            <v>287.5</v>
          </cell>
          <cell r="J77" t="str">
            <v>Felicity</v>
          </cell>
          <cell r="K77" t="str">
            <v>Send Sponge// Day Changed to Sunday (16/04) Paytm From Sri Sai makers (20/04) Change to felicity (17/05)</v>
          </cell>
          <cell r="N77" t="str">
            <v>1  del of this cycle   -  1-cycles pmnt   Pending - Collect 2300</v>
          </cell>
          <cell r="O77" t="str">
            <v>P n W Glad ( 15 Inch ) 11     Grass</v>
          </cell>
          <cell r="P77" t="str">
            <v>R n W Car ( 14 inch ) 11     FF Sachet + Grass</v>
          </cell>
          <cell r="Q77" t="str">
            <v>Y Spray Daisy ( 15 inch ) 3     FF sachet + Grass</v>
          </cell>
          <cell r="R77" t="str">
            <v>P n W Glad ( 14 Inch ) 11     Grass</v>
          </cell>
          <cell r="S77" t="str">
            <v>Pur Eustoma ( 12 Inch ) 4     FF Sachet + Grass</v>
          </cell>
          <cell r="T77" t="str">
            <v>Rajni ( 14 Inch ) 11     Grass</v>
          </cell>
        </row>
        <row r="78">
          <cell r="A78">
            <v>257</v>
          </cell>
          <cell r="B78" t="str">
            <v>Mrs Munjal -- After 5 PM</v>
          </cell>
          <cell r="C78">
            <v>9818871139</v>
          </cell>
          <cell r="D78" t="str">
            <v>B- 22 Sushant Lok 2, sector 56 (Behind sector 56 police station)</v>
          </cell>
          <cell r="E78" t="str">
            <v>Sector 56</v>
          </cell>
          <cell r="F78" t="str">
            <v>Sunday</v>
          </cell>
          <cell r="G78" t="str">
            <v>9 AM - 12 PM</v>
          </cell>
          <cell r="H78">
            <v>1450</v>
          </cell>
          <cell r="I78">
            <v>362.5</v>
          </cell>
          <cell r="J78" t="str">
            <v>Bliss</v>
          </cell>
          <cell r="K78"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78" t="str">
            <v>3  del of this cycle   -  0-cycles pmnt   Completed - Collect 0</v>
          </cell>
          <cell r="O78" t="str">
            <v>R n W Car ( 14 inch ) 16     FF Sachet + Grass</v>
          </cell>
          <cell r="P78" t="str">
            <v>Mix Alstroemeria ( 14 inch ) 16     FF Sachet + Grass</v>
          </cell>
          <cell r="Q78" t="str">
            <v>O Asiatic ( 15 inch ) 3     Grass</v>
          </cell>
          <cell r="R78" t="str">
            <v>P n W Glad ( 14 Inch ) 16     Grass</v>
          </cell>
          <cell r="S78" t="str">
            <v>P n Y Spray Daisy ( 14 Inch ) 5     FF Sachet + Grass</v>
          </cell>
          <cell r="T78" t="str">
            <v>Pur n P Car ( 14 Inch ) 16     FF Sachet + Grass</v>
          </cell>
        </row>
        <row r="79">
          <cell r="A79">
            <v>3366</v>
          </cell>
          <cell r="B79" t="str">
            <v>Megha Agarwal</v>
          </cell>
          <cell r="C79">
            <v>8860366313</v>
          </cell>
          <cell r="D79" t="str">
            <v>T-164, 3rd Floor, Topaz Black&lt; Emaar Emerald Hills</v>
          </cell>
          <cell r="E79" t="str">
            <v>Badshahpur</v>
          </cell>
          <cell r="F79" t="str">
            <v>Sunday</v>
          </cell>
          <cell r="G79" t="str">
            <v>9 AM - 12 PM</v>
          </cell>
          <cell r="H79">
            <v>1450</v>
          </cell>
          <cell r="I79">
            <v>1450</v>
          </cell>
          <cell r="J79" t="str">
            <v>Bliss</v>
          </cell>
          <cell r="N79" t="str">
            <v>1  del of this cycle   -  1-cycles pmnt   Pending - Collect 1450</v>
          </cell>
          <cell r="O79" t="e">
            <v>#N/A</v>
          </cell>
          <cell r="P79" t="str">
            <v>P n W Car ( 14 inch ) 16     FF Sachet + Grass</v>
          </cell>
          <cell r="Q79" t="str">
            <v>O Asiatic ( 15 inch ) 3     Grass</v>
          </cell>
          <cell r="R79" t="str">
            <v>P n W Glad ( 14 Inch ) 16     Grass</v>
          </cell>
          <cell r="S79" t="str">
            <v>P n Y Spray Daisy ( 14 Inch ) 5     FF Sachet + Grass</v>
          </cell>
          <cell r="T79" t="str">
            <v>Mix Alstroemeria ( 12 Inch ) 16     FF Sachet + Grass</v>
          </cell>
        </row>
        <row r="80">
          <cell r="A80">
            <v>3274</v>
          </cell>
          <cell r="B80" t="str">
            <v>Meera Singh</v>
          </cell>
          <cell r="C80">
            <v>9810401220</v>
          </cell>
          <cell r="D80" t="str">
            <v>138, Tatvam Villas, Sec 48</v>
          </cell>
          <cell r="E80" t="str">
            <v>Sohna Road 2</v>
          </cell>
          <cell r="F80" t="str">
            <v>Sunday</v>
          </cell>
          <cell r="G80" t="str">
            <v>9 AM - 12 PM</v>
          </cell>
          <cell r="H80">
            <v>1950</v>
          </cell>
          <cell r="I80">
            <v>487.5</v>
          </cell>
          <cell r="J80" t="str">
            <v>Joy</v>
          </cell>
          <cell r="K80" t="str">
            <v>No Lilies and Sunflower (20/02) Skip 1 week (28/03) Paytm From Singh M (06/04) No Sunflower n Asiatic (02/05)</v>
          </cell>
          <cell r="L80" t="str">
            <v>Asiatic n Sunflowers</v>
          </cell>
          <cell r="M80" t="str">
            <v>Single Kind</v>
          </cell>
          <cell r="N80" t="str">
            <v>3  del of this cycle   -  0-cycles pmnt   Completed - Collect 0</v>
          </cell>
          <cell r="O80" t="str">
            <v>R n W Car ( 14 inch ) 22     FF Sachet + Grass</v>
          </cell>
          <cell r="P80" t="str">
            <v>Mix Alstroemeria ( 14 inch ) 22     FF Sachet + Grass</v>
          </cell>
          <cell r="Q80" t="str">
            <v>Y Asiatic ( 15 Inch ) 4     Grass</v>
          </cell>
          <cell r="R80" t="str">
            <v>P n W Glad ( 14 Inch ) 22     Grass</v>
          </cell>
          <cell r="S80" t="str">
            <v>P n W Spray Daisy ( 14 Inch) 7     FF Sachet + Grass</v>
          </cell>
          <cell r="T80" t="str">
            <v>Pur n P Car ( 14 Inch ) 22     FF Sachet + Grass</v>
          </cell>
        </row>
        <row r="81">
          <cell r="B81" t="str">
            <v>85540 08383</v>
          </cell>
          <cell r="C81" t="str">
            <v>85540 08383</v>
          </cell>
          <cell r="D81" t="str">
            <v>T-26/6 DLF PHASE III , Gurgaon</v>
          </cell>
          <cell r="G81" t="str">
            <v xml:space="preserve">Before 2.30 Pm </v>
          </cell>
          <cell r="H81">
            <v>2150</v>
          </cell>
          <cell r="J81" t="str">
            <v>Bouquet</v>
          </cell>
          <cell r="K81" t="str">
            <v>Send today before 2:30 
T-26/6 DLF PHASE III , Gurgaon
+91 85540 08383
ensure collection 2150 carry change</v>
          </cell>
          <cell r="N81" t="str">
            <v xml:space="preserve"> pls don’t ask for payment, she will pay online</v>
          </cell>
          <cell r="T81" t="str">
            <v xml:space="preserve">Pur n Pink Eustoma+Rose 7+7 envelope box  Massage   </v>
          </cell>
        </row>
        <row r="82">
          <cell r="B82" t="str">
            <v xml:space="preserve">From Ramesh Kapoor </v>
          </cell>
          <cell r="C82" t="str">
            <v> 98718 88498‬</v>
          </cell>
          <cell r="D82" t="str">
            <v xml:space="preserve">A 24 The Icon </v>
          </cell>
          <cell r="H82">
            <v>720</v>
          </cell>
          <cell r="J82" t="str">
            <v>Bouquet</v>
          </cell>
          <cell r="K82" t="str">
            <v>From Ramesh Kapoor today 
To 
A 24 Icon 
‪+91 98718 88498‬
do not ask for payment</v>
          </cell>
          <cell r="T82" t="str">
            <v xml:space="preserve">White Car+ Blue Daisy 8+5 Tissue wrap Massage   </v>
          </cell>
        </row>
        <row r="83">
          <cell r="B83" t="str">
            <v>Pragya Ojha</v>
          </cell>
          <cell r="C83">
            <v>8879005210</v>
          </cell>
          <cell r="D83" t="str">
            <v>C-1403, Heritage One, Sec 62</v>
          </cell>
          <cell r="H83">
            <v>2750</v>
          </cell>
          <cell r="J83" t="str">
            <v>Elation</v>
          </cell>
          <cell r="T83" t="str">
            <v>Pur n P Car ( 14 Inch ) 32     FF Sachet + Gypso 2</v>
          </cell>
        </row>
      </sheetData>
      <sheetData sheetId="14"/>
      <sheetData sheetId="15"/>
      <sheetData sheetId="16"/>
      <sheetData sheetId="17"/>
      <sheetData sheetId="18"/>
      <sheetData sheetId="19"/>
      <sheetData sheetId="20">
        <row r="2">
          <cell r="A2" t="str">
            <v>B56231</v>
          </cell>
          <cell r="B2" t="str">
            <v>Scottish School</v>
          </cell>
          <cell r="D2" t="str">
            <v>Scottish School</v>
          </cell>
          <cell r="E2" t="str">
            <v>Sector 56</v>
          </cell>
          <cell r="F2" t="str">
            <v>Saturday</v>
          </cell>
          <cell r="G2" t="str">
            <v>By 6 PM</v>
          </cell>
          <cell r="H2">
            <v>1500</v>
          </cell>
          <cell r="I2">
            <v>1500</v>
          </cell>
          <cell r="J2" t="str">
            <v>Corporate Bouquet</v>
          </cell>
          <cell r="N2" t="str">
            <v>1  del of this cycle   -  1-cycles pmnt   Pending - Collect 1500</v>
          </cell>
          <cell r="O2" t="e">
            <v>#N/A</v>
          </cell>
          <cell r="P2" t="e">
            <v>#N/A</v>
          </cell>
          <cell r="Q2" t="e">
            <v>#N/A</v>
          </cell>
          <cell r="R2" t="e">
            <v>#N/A</v>
          </cell>
          <cell r="S2" t="e">
            <v>#N/A</v>
          </cell>
          <cell r="T2" t="str">
            <v xml:space="preserve">Basket  1     </v>
          </cell>
        </row>
        <row r="3">
          <cell r="B3" t="str">
            <v>Ruchi Parents</v>
          </cell>
          <cell r="C3">
            <v>9810055015</v>
          </cell>
          <cell r="D3" t="str">
            <v>MS-4. Apt No. 701, Kendiya Vihar, Sector 56</v>
          </cell>
          <cell r="G3" t="str">
            <v xml:space="preserve">4 To 5 </v>
          </cell>
          <cell r="H3" t="str">
            <v>Only Collection</v>
          </cell>
          <cell r="I3" t="str">
            <v>Only Collection</v>
          </cell>
          <cell r="J3" t="str">
            <v>Only Collection</v>
          </cell>
          <cell r="N3" t="str">
            <v>Pls Collect 7150</v>
          </cell>
          <cell r="T3" t="str">
            <v xml:space="preserve">      </v>
          </cell>
        </row>
        <row r="4">
          <cell r="A4">
            <v>3282</v>
          </cell>
          <cell r="B4" t="str">
            <v>Pluang Technologies India Pvt. Ltd.</v>
          </cell>
          <cell r="C4">
            <v>9650723437</v>
          </cell>
          <cell r="D4" t="str">
            <v>13th Floor, Magnum Global Park, Sec 58</v>
          </cell>
          <cell r="E4" t="str">
            <v>Ghata</v>
          </cell>
          <cell r="F4" t="str">
            <v>Sunday</v>
          </cell>
          <cell r="G4" t="str">
            <v>4 Pm to 7 PM</v>
          </cell>
          <cell r="H4">
            <v>1950</v>
          </cell>
          <cell r="I4">
            <v>487.5</v>
          </cell>
          <cell r="J4" t="str">
            <v>Joy</v>
          </cell>
          <cell r="K4" t="str">
            <v>Payment from Vibhuti --997176764 (10/03) Paytm From Sahiba Sachdeva (08/04)</v>
          </cell>
          <cell r="N4" t="str">
            <v>4  del of this cycle   -  0-cycles pmnt   Completed - Collect 0</v>
          </cell>
          <cell r="O4" t="str">
            <v>Y Asiatic ( 15 inch ) 2 P n W Car ( 14 inch ) 11   Grass</v>
          </cell>
          <cell r="P4" t="str">
            <v>Spray Daisy 4 P n W Glad ( 14 inch ) 11   Grass</v>
          </cell>
          <cell r="Q4" t="str">
            <v>Pur n P Eustoma ( 12 Inch ) 2 B Daisy 11   FF Sachet + garss</v>
          </cell>
          <cell r="R4" t="str">
            <v>Sunflower ( 12 Inch ) 3 Mix Alstroemeria ( 12 Inch ) 11   FF Sachet + Grass</v>
          </cell>
          <cell r="S4" t="str">
            <v>P Asiatic ( 14 Inch ) 2 Pur n P Car ( 14 Inch ) 11   Grass</v>
          </cell>
          <cell r="T4" t="str">
            <v>P n Y Spray Daisy ( 14 Inch ) 4 P n W Glad ( 14 Inch ) 11   FF Sachet + Grass</v>
          </cell>
        </row>
        <row r="5">
          <cell r="A5">
            <v>2368</v>
          </cell>
          <cell r="B5" t="str">
            <v>Jasbir Singh</v>
          </cell>
          <cell r="C5">
            <v>9997092561</v>
          </cell>
          <cell r="D5" t="str">
            <v>Amber, 4th Floor, Universal Trade Centre</v>
          </cell>
          <cell r="E5" t="str">
            <v>Sohna Road 1</v>
          </cell>
          <cell r="F5" t="str">
            <v>Sunday</v>
          </cell>
          <cell r="G5" t="str">
            <v>By 7 PM</v>
          </cell>
          <cell r="H5">
            <v>12800</v>
          </cell>
          <cell r="I5">
            <v>3200</v>
          </cell>
          <cell r="J5" t="str">
            <v>Corporate</v>
          </cell>
          <cell r="N5" t="str">
            <v>3  del of this cycle   -  0-cycles pmnt   In Process - Collect 0</v>
          </cell>
          <cell r="O5" t="str">
            <v xml:space="preserve">Arrangement 1     </v>
          </cell>
          <cell r="P5" t="str">
            <v xml:space="preserve">Arrangement 1     </v>
          </cell>
          <cell r="Q5" t="str">
            <v xml:space="preserve">Arrangement  1     </v>
          </cell>
          <cell r="R5" t="str">
            <v xml:space="preserve">Arrangement 1     </v>
          </cell>
          <cell r="S5" t="str">
            <v xml:space="preserve">Arrangement 1     </v>
          </cell>
          <cell r="T5" t="str">
            <v xml:space="preserve">Arrangement 1     </v>
          </cell>
        </row>
        <row r="6">
          <cell r="A6">
            <v>2856</v>
          </cell>
          <cell r="B6" t="str">
            <v>Bonita Bhatnagar</v>
          </cell>
          <cell r="C6">
            <v>9958222833</v>
          </cell>
          <cell r="D6" t="str">
            <v>C-134, Block C, Mayfield Garden</v>
          </cell>
          <cell r="E6" t="str">
            <v>Nirvana Country</v>
          </cell>
          <cell r="F6" t="str">
            <v>Sunday</v>
          </cell>
          <cell r="G6" t="str">
            <v>5 PM to 8 PM</v>
          </cell>
          <cell r="H6">
            <v>1450</v>
          </cell>
          <cell r="I6">
            <v>362.5</v>
          </cell>
          <cell r="J6" t="str">
            <v>Bliss</v>
          </cell>
          <cell r="K6" t="str">
            <v>Upgraded as per scheme to Bliss for 5 Deliveries (22/08)</v>
          </cell>
          <cell r="N6" t="str">
            <v>3  del of this cycle   -  0-cycles pmnt   Completed - Collect 0</v>
          </cell>
          <cell r="O6" t="str">
            <v>P n W Glad ( 14 inch ) 16     Grass</v>
          </cell>
          <cell r="P6" t="str">
            <v>B Orchid  5     FF Sachet + Grass</v>
          </cell>
          <cell r="Q6" t="str">
            <v>W Asiatic ( 15 inch ) 3     Grass</v>
          </cell>
          <cell r="R6" t="str">
            <v>Mix Alstroemeria ( 12 Inch ) 16     FF Sachet + Grass</v>
          </cell>
          <cell r="S6" t="str">
            <v>Pur n P Car ( 14 Inch ) 16     FF Sachet + Grass</v>
          </cell>
          <cell r="T6" t="str">
            <v>P Eustoma ( 12 Inch ) 3     FF Sachet + Grass</v>
          </cell>
        </row>
        <row r="7">
          <cell r="A7">
            <v>3358</v>
          </cell>
          <cell r="B7" t="str">
            <v>Prasenjit</v>
          </cell>
          <cell r="C7">
            <v>9990903321</v>
          </cell>
          <cell r="D7" t="str">
            <v>T-10/1001, Vipul Belmonte</v>
          </cell>
          <cell r="E7" t="str">
            <v>DLF Phase 5</v>
          </cell>
          <cell r="F7" t="str">
            <v>Sunday</v>
          </cell>
          <cell r="G7" t="str">
            <v>9 AM - 12 PM</v>
          </cell>
          <cell r="H7">
            <v>1950</v>
          </cell>
          <cell r="I7">
            <v>487.5</v>
          </cell>
          <cell r="J7" t="str">
            <v>Joy</v>
          </cell>
          <cell r="K7" t="str">
            <v xml:space="preserve">Send Long stem </v>
          </cell>
          <cell r="M7" t="str">
            <v>Long Stem// Seasonal Next (24/05)</v>
          </cell>
          <cell r="N7" t="str">
            <v>3  del of this cycle   -  0-cycles pmnt   Completed - Collect 0</v>
          </cell>
          <cell r="O7" t="str">
            <v>P n Y Spray Daisy -- Long Stems 7     FF Sachet + Grass</v>
          </cell>
          <cell r="P7" t="str">
            <v>O Asiatic ( 15 inch ) 4     Grass</v>
          </cell>
          <cell r="Q7" t="str">
            <v>P n W Glad ( 14 Inch ) 22     Grass</v>
          </cell>
          <cell r="R7" t="str">
            <v>Mix Alstroemeria ( 12 Inch ) 22     FF Sachet + Grass</v>
          </cell>
          <cell r="S7" t="str">
            <v>R n W Car )( 14 inch ) 22     FF Sachet + Grass</v>
          </cell>
          <cell r="T7" t="str">
            <v>B Daisy ( 12 Inch ) 22     Grass</v>
          </cell>
        </row>
        <row r="8">
          <cell r="A8">
            <v>2392</v>
          </cell>
          <cell r="B8" t="str">
            <v>Neelam malik</v>
          </cell>
          <cell r="C8">
            <v>8826230834</v>
          </cell>
          <cell r="D8" t="str">
            <v>T-B6/703, Exotica</v>
          </cell>
          <cell r="E8" t="str">
            <v>DLF Phase 5</v>
          </cell>
          <cell r="F8" t="str">
            <v>Sunday</v>
          </cell>
          <cell r="G8" t="str">
            <v>9 AM - 12 PM</v>
          </cell>
          <cell r="H8">
            <v>1450</v>
          </cell>
          <cell r="I8">
            <v>362.5</v>
          </cell>
          <cell r="J8" t="str">
            <v>Bliss</v>
          </cell>
          <cell r="K8" t="str">
            <v>Skip 1 week (25/01) Send this week delivery on Thursday (08/02) Skip tom and send on Thursday (01/03) Hold after current cycle (19/03) Upgrade to bliss and skip 1 week (06/12) Skip 1 week (25/01)</v>
          </cell>
          <cell r="N8" t="str">
            <v>3  del of this cycle   -  0-cycles pmnt   Completed - Collect 0</v>
          </cell>
          <cell r="O8" t="str">
            <v>P n Y Spray Daisy ( 15 inch ) 5 Carry Recipet Book    FF Sachet + Grass</v>
          </cell>
          <cell r="P8" t="str">
            <v>O Asiatic ( 15 inch ) 3     Grass</v>
          </cell>
          <cell r="Q8" t="str">
            <v>P n W Glad ( 14 Inch ) 16     Grass</v>
          </cell>
          <cell r="R8" t="str">
            <v>Mix Alstroemeria ( 12 Inch ) 16     FF Sachet + Grass</v>
          </cell>
          <cell r="S8" t="str">
            <v>Pur n P Car ( 14 Inch ) 16     FF Sachet + Grass</v>
          </cell>
          <cell r="T8" t="str">
            <v>P Eustoma ( 12 Inch ) 3     FF Sachet + Grass</v>
          </cell>
        </row>
        <row r="9">
          <cell r="A9">
            <v>3277</v>
          </cell>
          <cell r="B9" t="str">
            <v>M2K</v>
          </cell>
          <cell r="C9">
            <v>8595180468</v>
          </cell>
          <cell r="D9" t="str">
            <v>M2k</v>
          </cell>
          <cell r="E9" t="str">
            <v>Nirvana Country</v>
          </cell>
          <cell r="F9" t="str">
            <v>Tuesday</v>
          </cell>
          <cell r="G9" t="str">
            <v>By 8 AM</v>
          </cell>
          <cell r="H9">
            <v>10500</v>
          </cell>
          <cell r="I9">
            <v>350</v>
          </cell>
          <cell r="J9" t="str">
            <v>Corporate</v>
          </cell>
          <cell r="N9" t="str">
            <v>1  del of this cycle   -  0-cycles pmnt   In Process - Collect 0</v>
          </cell>
          <cell r="O9" t="str">
            <v xml:space="preserve">Pooja Flowers  1     </v>
          </cell>
          <cell r="P9" t="str">
            <v xml:space="preserve">Pooja Flowers  1     </v>
          </cell>
          <cell r="Q9" t="str">
            <v xml:space="preserve">Pooja Flowers  1     </v>
          </cell>
          <cell r="R9" t="str">
            <v xml:space="preserve">Pooja Flower 1      </v>
          </cell>
          <cell r="S9" t="str">
            <v xml:space="preserve">Pooja Flowers  1     </v>
          </cell>
          <cell r="T9" t="str">
            <v xml:space="preserve">Pooja Flowers  1     </v>
          </cell>
        </row>
        <row r="10">
          <cell r="A10" t="str">
            <v>B56228</v>
          </cell>
          <cell r="B10" t="str">
            <v>Raman Sehgal</v>
          </cell>
          <cell r="C10">
            <v>9810662250</v>
          </cell>
          <cell r="D10" t="str">
            <v>Ivory 5, 4th Floor, Emaar Emerald Hills, Sec 65</v>
          </cell>
          <cell r="E10" t="str">
            <v>Badshahpur</v>
          </cell>
          <cell r="F10" t="str">
            <v>Sunday</v>
          </cell>
          <cell r="G10" t="str">
            <v>By 10 AM</v>
          </cell>
          <cell r="H10">
            <v>3000</v>
          </cell>
          <cell r="I10">
            <v>3000</v>
          </cell>
          <cell r="J10" t="str">
            <v>Fathers day</v>
          </cell>
          <cell r="K10" t="str">
            <v>50 Mix Rose in Simple Wrap</v>
          </cell>
          <cell r="N10" t="str">
            <v>1  del of this cycle   -  0-cycles pmnt   Completed - Collect 0</v>
          </cell>
          <cell r="O10" t="e">
            <v>#N/A</v>
          </cell>
          <cell r="P10" t="e">
            <v>#N/A</v>
          </cell>
          <cell r="Q10" t="e">
            <v>#N/A</v>
          </cell>
          <cell r="R10" t="e">
            <v>#N/A</v>
          </cell>
          <cell r="S10" t="e">
            <v>#N/A</v>
          </cell>
          <cell r="T10" t="str">
            <v xml:space="preserve">P n W N R n Peach + Shd Pur n Lilac Rose 50 Simple Wrap    </v>
          </cell>
        </row>
        <row r="11">
          <cell r="A11" t="str">
            <v>G-00064</v>
          </cell>
          <cell r="B11" t="str">
            <v>Mahesh Mishra</v>
          </cell>
          <cell r="C11">
            <v>9039286484</v>
          </cell>
          <cell r="D11" t="str">
            <v>H-21, 2nd Floor, Residency Greens, Sec 46</v>
          </cell>
          <cell r="E11" t="str">
            <v>Sector 46</v>
          </cell>
          <cell r="F11" t="str">
            <v>Sunday</v>
          </cell>
          <cell r="G11" t="str">
            <v>9:30 Am to 2 PM</v>
          </cell>
          <cell r="H11">
            <v>1450</v>
          </cell>
          <cell r="I11">
            <v>362.5</v>
          </cell>
          <cell r="J11" t="str">
            <v>Bliss</v>
          </cell>
          <cell r="K11" t="str">
            <v>From 9310895959</v>
          </cell>
          <cell r="N11" t="str">
            <v>1  del of this cycle   -  0-cycles pmnt   In Process - Collect 0</v>
          </cell>
          <cell r="O11" t="e">
            <v>#N/A</v>
          </cell>
          <cell r="P11" t="e">
            <v>#N/A</v>
          </cell>
          <cell r="Q11" t="e">
            <v>#N/A</v>
          </cell>
          <cell r="R11" t="e">
            <v>#N/A</v>
          </cell>
          <cell r="S11" t="e">
            <v>#N/A</v>
          </cell>
          <cell r="T11" t="str">
            <v>Pur n P Car ( 14 Inch ) 16     FF Sachet + Grass</v>
          </cell>
        </row>
        <row r="12">
          <cell r="A12">
            <v>401</v>
          </cell>
          <cell r="B12" t="str">
            <v>Nameesha Verma -- Before 12PM</v>
          </cell>
          <cell r="C12">
            <v>9899240454</v>
          </cell>
          <cell r="D12" t="str">
            <v>D-4/102, Parsvanath Exotica</v>
          </cell>
          <cell r="E12" t="str">
            <v>DLF Phase 5</v>
          </cell>
          <cell r="F12" t="str">
            <v>Thursday</v>
          </cell>
          <cell r="G12" t="str">
            <v>Before 12 PM</v>
          </cell>
          <cell r="H12">
            <v>1600</v>
          </cell>
          <cell r="I12">
            <v>200</v>
          </cell>
          <cell r="J12" t="str">
            <v>Bloom</v>
          </cell>
          <cell r="K12"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2" t="str">
            <v>3 Car extra next (20/03)</v>
          </cell>
          <cell r="N12" t="str">
            <v>7  del of this cycle   -  0-cycles pmnt   Completed - Collect 0</v>
          </cell>
          <cell r="O12" t="str">
            <v>P n W Car ( 14 inch ) 7     FF Sachet + Grass</v>
          </cell>
          <cell r="P12" t="str">
            <v>Rajni ( 14 inch ) 7     Grass</v>
          </cell>
          <cell r="Q12" t="str">
            <v>P n W Glad ( 14 Inch ) 7     Grass</v>
          </cell>
          <cell r="R12" t="str">
            <v>Pur n P Car ( 14 Inch ) 7     FF Sachet + Grass</v>
          </cell>
          <cell r="S12" t="e">
            <v>#N/A</v>
          </cell>
          <cell r="T12" t="str">
            <v>Rajni ( 14 Inch ) 7     Grass</v>
          </cell>
        </row>
        <row r="13">
          <cell r="A13">
            <v>13</v>
          </cell>
          <cell r="B13" t="str">
            <v>Mr. Vipin Marwah</v>
          </cell>
          <cell r="C13" t="str">
            <v>9313496645//9350353662</v>
          </cell>
          <cell r="D13" t="str">
            <v>D5/502, Parsvanath Exotica</v>
          </cell>
          <cell r="E13" t="str">
            <v>DLF Phase 5</v>
          </cell>
          <cell r="F13" t="str">
            <v>Sunday</v>
          </cell>
          <cell r="G13" t="str">
            <v>9 AM - 12 PM</v>
          </cell>
          <cell r="H13">
            <v>2750</v>
          </cell>
          <cell r="I13">
            <v>687.5</v>
          </cell>
          <cell r="J13" t="str">
            <v>Elation</v>
          </cell>
          <cell r="K13"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v>
          </cell>
          <cell r="N13" t="str">
            <v>2  del of this cycle   -  1-cycles pmnt   Pending - Collect 2750</v>
          </cell>
          <cell r="O13" t="str">
            <v>W Glad ( 14 inch ) 32     Grass</v>
          </cell>
          <cell r="P13" t="str">
            <v>W Glad ( 14 inch ) 32     Grass</v>
          </cell>
          <cell r="Q13" t="str">
            <v>W Glad ( 14 Inch ) 32     Grass</v>
          </cell>
          <cell r="R13" t="str">
            <v>O Glad ( 14 Inch ) 32     Grass</v>
          </cell>
          <cell r="S13" t="str">
            <v>W Glad ( 14 Inch ) 32     Grass</v>
          </cell>
          <cell r="T13" t="str">
            <v>W Glad ( 15 Inch ) 32     Grass</v>
          </cell>
        </row>
        <row r="14">
          <cell r="B14">
            <v>9811666497</v>
          </cell>
          <cell r="C14">
            <v>9811666497</v>
          </cell>
          <cell r="D14" t="str">
            <v xml:space="preserve"> 199 Deerwood chase nirvana country </v>
          </cell>
          <cell r="G14" t="str">
            <v>By 1 Pm</v>
          </cell>
          <cell r="H14">
            <v>1870</v>
          </cell>
          <cell r="J14" t="str">
            <v>Fathers day</v>
          </cell>
          <cell r="K14" t="str">
            <v>Today by 1 
From 
To 
9811666497
Address: 199 Deerwood chase nirvana country 
Sector 50, Gurgaon Haryana 
Message:
Happy Father’s Day to the coolest dad!</v>
          </cell>
          <cell r="T14" t="str">
            <v xml:space="preserve">Oriental+Sunflower+Spray Daisy 3+2+4 Single Wrap Message   </v>
          </cell>
        </row>
        <row r="15">
          <cell r="A15">
            <v>3252</v>
          </cell>
          <cell r="B15" t="str">
            <v>Madhumita Dhupar</v>
          </cell>
          <cell r="C15">
            <v>9999887549</v>
          </cell>
          <cell r="D15" t="str">
            <v>333, Deerwood Chase</v>
          </cell>
          <cell r="E15" t="str">
            <v>Nirvana Country</v>
          </cell>
          <cell r="F15" t="str">
            <v>Sunday</v>
          </cell>
          <cell r="G15" t="str">
            <v>9 AM to 2 PM</v>
          </cell>
          <cell r="H15">
            <v>1450</v>
          </cell>
          <cell r="I15">
            <v>0</v>
          </cell>
          <cell r="J15" t="str">
            <v>Bliss</v>
          </cell>
          <cell r="K15" t="str">
            <v>White Flowers in Each Delivery (10/01)</v>
          </cell>
          <cell r="N15" t="str">
            <v>4  del of this cycle   -  0-cycles pmnt   Completed - Collect 0</v>
          </cell>
          <cell r="O15" t="str">
            <v>Rajni ( 14 inch ) 7     Grass</v>
          </cell>
          <cell r="P15" t="str">
            <v>P n W Car ( 14 Inch ) 7     FF sachet + Grass</v>
          </cell>
          <cell r="Q15" t="str">
            <v>P n W Glad ( 14 Inch ) 7     Grass</v>
          </cell>
          <cell r="R15" t="str">
            <v>W Asiatic ( 14 Inch ) 3     Grass</v>
          </cell>
          <cell r="S15" t="str">
            <v>Mix Alstroemeria ( 12 Inch ) 16     FF Sachet + Grass</v>
          </cell>
          <cell r="T15" t="str">
            <v>P Eustoma ( 12 Inch ) 3     FF Sachet + Grass</v>
          </cell>
        </row>
        <row r="16">
          <cell r="B16" t="str">
            <v>Kalpana</v>
          </cell>
          <cell r="C16">
            <v>9910681399</v>
          </cell>
          <cell r="D16" t="str">
            <v>Flat No. 60, HEWO Appartments, Sec 31</v>
          </cell>
          <cell r="G16" t="str">
            <v>Before 3.30 Pm</v>
          </cell>
          <cell r="H16">
            <v>650</v>
          </cell>
          <cell r="J16" t="str">
            <v>Fathers day</v>
          </cell>
          <cell r="T16" t="str">
            <v xml:space="preserve">Y Car  Black Korean Sheet    </v>
          </cell>
        </row>
        <row r="17">
          <cell r="A17">
            <v>2786</v>
          </cell>
          <cell r="B17" t="str">
            <v>Aadarsh</v>
          </cell>
          <cell r="C17">
            <v>9739947695</v>
          </cell>
          <cell r="D17" t="str">
            <v>D-16/11, 1st Floor, Block D, Aardee City</v>
          </cell>
          <cell r="E17" t="str">
            <v>Sushant Estate</v>
          </cell>
          <cell r="F17" t="str">
            <v>Sunday</v>
          </cell>
          <cell r="G17" t="str">
            <v>9 AM - 12 PM</v>
          </cell>
          <cell r="H17">
            <v>999</v>
          </cell>
          <cell r="I17">
            <v>249.75</v>
          </cell>
          <cell r="J17" t="str">
            <v>Delight</v>
          </cell>
          <cell r="K17" t="str">
            <v>Skip next week and send on 07th Aug (20/07) Replacement tom (31/08) 1st Del tom and then every Sunday (10/12) Hold today (04/01) Hold due to non payment (08/02) HDTNP (15/02) HDTNP (22/02) HDTNP (01/03) HDTNP (08/03) Hold till 03rd May (06/04)</v>
          </cell>
          <cell r="M17" t="str">
            <v>Skip next week and send on 07th Aug (20/07)</v>
          </cell>
          <cell r="N17" t="str">
            <v>4  del of this cycle   -  0-cycles pmnt   Completed - Collect 0</v>
          </cell>
          <cell r="O17" t="str">
            <v>Sunflower ( 15 inch ) 2     Grass</v>
          </cell>
          <cell r="P17" t="str">
            <v>O Asiatic ( 15 inch ) 2     Grass</v>
          </cell>
          <cell r="Q17" t="str">
            <v>R n W Car( 14 Inch)  9     FF Sachet + Grass</v>
          </cell>
          <cell r="R17" t="str">
            <v>Mix Alstroemeria ( 12 Inch ) 9     FF Sachet + Grass</v>
          </cell>
          <cell r="S17" t="str">
            <v>P Spray Daisy ( 14 Inch ) 3     FF Sachet + Grass</v>
          </cell>
          <cell r="T17" t="str">
            <v>B Daisy ( 12 Inch ) 9     Grass</v>
          </cell>
        </row>
        <row r="18">
          <cell r="A18">
            <v>894</v>
          </cell>
          <cell r="B18" t="str">
            <v>Dr. Roma Kumar</v>
          </cell>
          <cell r="C18" t="str">
            <v>98110 87708</v>
          </cell>
          <cell r="D18" t="str">
            <v>RT-181, Royalton Tower
Inside Princeton Estate
DLF City Phase-V
Gurgaon-122009
Haryana</v>
          </cell>
          <cell r="E18" t="str">
            <v>DLF Phase 5</v>
          </cell>
          <cell r="F18" t="str">
            <v>Thursday</v>
          </cell>
          <cell r="G18" t="str">
            <v>9 AM - 12 PM</v>
          </cell>
          <cell r="H18">
            <v>3000</v>
          </cell>
          <cell r="I18">
            <v>375</v>
          </cell>
          <cell r="J18" t="str">
            <v>Charm</v>
          </cell>
          <cell r="K18"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18" t="str">
            <v>ORCHID</v>
          </cell>
          <cell r="N18" t="str">
            <v>2  del of this cycle   -  1-cycles pmnt   Pending - Collect 3000</v>
          </cell>
          <cell r="O18" t="str">
            <v>R n W Car ( 14 inch ) 15     FF Sachet + Grass</v>
          </cell>
          <cell r="P18" t="str">
            <v>O Asiatic ( 15 inch ) 3     Grass</v>
          </cell>
          <cell r="Q18" t="str">
            <v>Rajni ( 14 Inch )  15     Grass</v>
          </cell>
          <cell r="R18" t="str">
            <v>Mix Alstroemeria ( 12 Inch ) 15     FF Sachet + Grass</v>
          </cell>
          <cell r="S18" t="str">
            <v>Pur n P Car ( 14 Inch ) 15     FF Sachet + Grass</v>
          </cell>
          <cell r="T18" t="str">
            <v>B Daisy ( 12 Inch ) 15     Grass</v>
          </cell>
        </row>
        <row r="19">
          <cell r="A19">
            <v>2246</v>
          </cell>
          <cell r="B19" t="str">
            <v>Amita Gupta</v>
          </cell>
          <cell r="C19">
            <v>9811985450</v>
          </cell>
          <cell r="D19" t="str">
            <v>146, Cedar Crest</v>
          </cell>
          <cell r="E19" t="str">
            <v>Nirvana Country</v>
          </cell>
          <cell r="F19" t="str">
            <v>Thursday</v>
          </cell>
          <cell r="G19" t="str">
            <v>9 AM - 12 PM</v>
          </cell>
          <cell r="H19">
            <v>1600</v>
          </cell>
          <cell r="I19">
            <v>200</v>
          </cell>
          <cell r="J19" t="str">
            <v>Bloom</v>
          </cell>
          <cell r="K19" t="str">
            <v>Return today (03/10) Change to bliss (23/10) No Orchid (24/10) Send a vase tom (20/08) Upgrade to bliss (17/12)</v>
          </cell>
          <cell r="L19" t="str">
            <v>Orchid</v>
          </cell>
          <cell r="M19" t="str">
            <v>1 Vase Tom (20/08)</v>
          </cell>
          <cell r="N19" t="str">
            <v>6  del of this cycle   -  0-cycles pmnt   Completed - Collect 0</v>
          </cell>
          <cell r="O19" t="str">
            <v>P Spray Daisy ( 15 inch ) 2     FF Sachet + Grass</v>
          </cell>
          <cell r="P19" t="str">
            <v>Rajni ( 14 inch ) 7     Grass</v>
          </cell>
          <cell r="Q19" t="str">
            <v>P n W Glad ( 14 Inch ) 7     Grass</v>
          </cell>
          <cell r="R19" t="str">
            <v>Y Spray Daisy ( 14 Inch ) 2     FF Sachet + Grass</v>
          </cell>
          <cell r="S19" t="str">
            <v>Rajni ( 14 Inch ) 7     Grass</v>
          </cell>
          <cell r="T19" t="str">
            <v>B Daisy ( 12 Inch ) 7     Grass</v>
          </cell>
        </row>
        <row r="20">
          <cell r="A20">
            <v>1140</v>
          </cell>
          <cell r="B20" t="str">
            <v>Nidhi Singh</v>
          </cell>
          <cell r="C20" t="str">
            <v>8383036664//9899389873</v>
          </cell>
          <cell r="D20" t="str">
            <v>D-8/3, Ground Floor DLF Exclusive Floors</v>
          </cell>
          <cell r="E20" t="str">
            <v>DLF Phase 5</v>
          </cell>
          <cell r="F20" t="str">
            <v>Thursday</v>
          </cell>
          <cell r="G20" t="str">
            <v>9 AM - 12 PM</v>
          </cell>
          <cell r="H20">
            <v>2300</v>
          </cell>
          <cell r="I20">
            <v>287.5</v>
          </cell>
          <cell r="J20" t="str">
            <v>Felicity</v>
          </cell>
          <cell r="K20"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0" t="str">
            <v>ROSE</v>
          </cell>
          <cell r="N20" t="str">
            <v>6  del of this cycle   -  0-cycles pmnt   Completed - Collect 0</v>
          </cell>
          <cell r="O20" t="str">
            <v>B Orchid 4     FF Sachet + Grass</v>
          </cell>
          <cell r="P20" t="str">
            <v>Rajni ( 14 inch ) 11     Grass</v>
          </cell>
          <cell r="Q20" t="str">
            <v>R n W Car( 14 Inch)  11     FF Sachet + Grass</v>
          </cell>
          <cell r="R20" t="str">
            <v>Mix Alstroemeria ( 12 Inch ) 11     FF Sachet + Grass</v>
          </cell>
          <cell r="S20" t="str">
            <v>O Asiatic ( 14 Inch ) 2     Grass</v>
          </cell>
          <cell r="T20" t="str">
            <v>B Daisy ( 12 Inch ) 11     Grass</v>
          </cell>
        </row>
        <row r="21">
          <cell r="A21">
            <v>2774</v>
          </cell>
          <cell r="B21" t="str">
            <v>Vandana Thakran</v>
          </cell>
          <cell r="C21">
            <v>9899589964</v>
          </cell>
          <cell r="D21" t="str">
            <v>H. No. 35, Cedar Crest</v>
          </cell>
          <cell r="E21" t="str">
            <v>Nirvana Country</v>
          </cell>
          <cell r="F21" t="str">
            <v>Sunday</v>
          </cell>
          <cell r="G21" t="str">
            <v>9 AM - 12 PM</v>
          </cell>
          <cell r="H21">
            <v>1600</v>
          </cell>
          <cell r="I21">
            <v>200</v>
          </cell>
          <cell r="J21" t="str">
            <v>Bloom</v>
          </cell>
          <cell r="N21" t="str">
            <v>7  del of this cycle   -  0-cycles pmnt   Completed - Collect 0</v>
          </cell>
          <cell r="O21" t="str">
            <v>Sunflower ( 15 inch ) 2     Grass</v>
          </cell>
          <cell r="P21" t="str">
            <v>Rajni ( 14 inch ) 7     Grass</v>
          </cell>
          <cell r="Q21" t="str">
            <v>P n W Glad ( 14 Inch ) 7     Grass</v>
          </cell>
          <cell r="R21" t="str">
            <v>Mix Alstroemeria ( 12 Inch ) 7     FF Sachet + Grass</v>
          </cell>
          <cell r="S21" t="str">
            <v>Rajni ( 14 Inch ) 7     Grass</v>
          </cell>
          <cell r="T21" t="str">
            <v>B Daisy ( 12 Inch ) 7     Grass</v>
          </cell>
        </row>
        <row r="22">
          <cell r="A22">
            <v>2316</v>
          </cell>
          <cell r="B22" t="str">
            <v>Gitanjali Kamra</v>
          </cell>
          <cell r="C22">
            <v>9811842976</v>
          </cell>
          <cell r="D22" t="str">
            <v>121, Espace, Nirvana Country</v>
          </cell>
          <cell r="E22" t="str">
            <v>Nirvana Country</v>
          </cell>
          <cell r="F22" t="str">
            <v>Sunday</v>
          </cell>
          <cell r="G22" t="str">
            <v>9 AM - 12 PM</v>
          </cell>
          <cell r="H22">
            <v>4750</v>
          </cell>
          <cell r="I22">
            <v>1187.5</v>
          </cell>
          <cell r="J22" t="str">
            <v>Enchantment</v>
          </cell>
          <cell r="K22" t="str">
            <v>Now Elation (21/09) Skip 1 week (17/12)</v>
          </cell>
          <cell r="N22" t="str">
            <v>3  del of this cycle   -  0-cycles pmnt   Completed - Collect 0</v>
          </cell>
          <cell r="O22" t="str">
            <v xml:space="preserve">P Asiatic ( 15 inch ) 6 P n W Glad ( 14 inch ) 30   </v>
          </cell>
          <cell r="P22" t="str">
            <v>Mix Spray  8 P n W Car ( 14 inch ) 30   3 Limonium + FF Sachet</v>
          </cell>
          <cell r="Q22" t="str">
            <v>Pur n P Eustoma ( 12 Inch ) 6 Mix Spray Carnation ( 12 Inch ) 15   3 Gypsola + FF Sachet</v>
          </cell>
          <cell r="R22" t="str">
            <v>Sunflower ( 12 Inch ) 7 Mix Alstroemeria ( 12 Inch ) 30   3 Limonium + Ff Sachet</v>
          </cell>
          <cell r="S22" t="str">
            <v>O Asiatic ( 14 Inch ) 6 P n W Glad ( 14 Inch ) 30   3 Gypsola</v>
          </cell>
          <cell r="T22" t="str">
            <v>P n Y Spray Daisy ( 14 Inch ) 10 Pur n P Car ( 14 Inch ) 30   3 Limonium</v>
          </cell>
        </row>
        <row r="23">
          <cell r="A23">
            <v>3243</v>
          </cell>
          <cell r="B23" t="str">
            <v>Muskan</v>
          </cell>
          <cell r="C23">
            <v>9877561166</v>
          </cell>
          <cell r="D23" t="str">
            <v>Floor - 6, Flat 601, Milan Appartment, CGHS</v>
          </cell>
          <cell r="E23" t="str">
            <v>Artemis</v>
          </cell>
          <cell r="F23" t="str">
            <v>Sunday</v>
          </cell>
          <cell r="G23" t="str">
            <v>10 AM to 2:30 PM</v>
          </cell>
          <cell r="H23">
            <v>1450</v>
          </cell>
          <cell r="I23">
            <v>487.5</v>
          </cell>
          <cell r="J23" t="str">
            <v>Bliss</v>
          </cell>
          <cell r="K23" t="str">
            <v>One Kind // Day Sunday (26/03) Mix in Joy (23/04)</v>
          </cell>
          <cell r="M23" t="str">
            <v>Mix in Joy (23/04)</v>
          </cell>
          <cell r="N23" t="str">
            <v>1  del of this cycle   -  1-cycles pmnt   Pending - Collect 1950</v>
          </cell>
          <cell r="O23" t="str">
            <v>Sunflower ( 15 inch ) 3 P n W Glad ( 14 inch ) 10   Grass</v>
          </cell>
          <cell r="P23" t="str">
            <v>O Asiatic ( 15 inch ) 4     Grass</v>
          </cell>
          <cell r="Q23" t="str">
            <v>P n W Glad ( 14 Inch ) 22     Grass</v>
          </cell>
          <cell r="R23" t="str">
            <v>P n Y Spray Daisy ( 14 Inch ) 7     FF Sachet + Grass</v>
          </cell>
          <cell r="S23" t="str">
            <v>Pur n P Car ( 14 Inch ) 22     FF Sachet + Grass</v>
          </cell>
          <cell r="T23" t="str">
            <v>B Daisy ( 12 Inch ) 16     Grass</v>
          </cell>
        </row>
        <row r="24">
          <cell r="A24">
            <v>2639</v>
          </cell>
          <cell r="B24" t="str">
            <v>Bhanupriya Sharma</v>
          </cell>
          <cell r="C24">
            <v>9799191916</v>
          </cell>
          <cell r="D24" t="str">
            <v>37, Abundance Appartment, 4th Floor, D Block, Indira Colony-2, Sec 52 , Behind Arihant Hospital</v>
          </cell>
          <cell r="E24" t="str">
            <v>Artemis</v>
          </cell>
          <cell r="F24" t="str">
            <v>Sunday</v>
          </cell>
          <cell r="G24" t="str">
            <v>9 AM - 12 PM</v>
          </cell>
          <cell r="H24">
            <v>1450</v>
          </cell>
          <cell r="I24">
            <v>487.5</v>
          </cell>
          <cell r="J24" t="str">
            <v>Bliss</v>
          </cell>
          <cell r="K24" t="str">
            <v>Skip 1 week (16/05) today returned (06/07) Change day to delight (02/11) Paytm from Rajeev Bhambani (05/11) Upgrade to Bliss (24/01) Paytm From Aluma Care (25/03) No Lily (16/05)</v>
          </cell>
          <cell r="L24" t="str">
            <v>Lily</v>
          </cell>
          <cell r="M24" t="str">
            <v>One kInd in Bliss</v>
          </cell>
          <cell r="N24" t="str">
            <v>2  del of this cycle   -  0-cycles pmnt   Completed - Collect 0</v>
          </cell>
          <cell r="O24" t="str">
            <v>Sunflower ( 15 inch ) 4     FF Sachet + Grass</v>
          </cell>
          <cell r="P24" t="str">
            <v>Eustoma 3 Y Glad 11   Grass</v>
          </cell>
          <cell r="Q24" t="str">
            <v>Mix Spray Daisy 3 R n W Car ( 14 Inch ) 7   Grass</v>
          </cell>
          <cell r="R24" t="str">
            <v>Mix Alstroemeria ( 12 Inch ) 16     FF Sachet + Grass</v>
          </cell>
          <cell r="S24" t="str">
            <v>Pur n P Car ( 14 Inch ) 16     FF Sachet + Grass</v>
          </cell>
          <cell r="T24" t="str">
            <v>P n W Glad ( 14 Inch ) 16     Grass</v>
          </cell>
        </row>
        <row r="25">
          <cell r="A25">
            <v>3245</v>
          </cell>
          <cell r="B25" t="str">
            <v>Parul Parihar</v>
          </cell>
          <cell r="C25">
            <v>9999903582</v>
          </cell>
          <cell r="D25" t="str">
            <v>502, Adhunil Appartments, Sec 52</v>
          </cell>
          <cell r="E25" t="str">
            <v>Artemis</v>
          </cell>
          <cell r="F25" t="str">
            <v>Sunday</v>
          </cell>
          <cell r="G25" t="str">
            <v>9 AM - 12 PM</v>
          </cell>
          <cell r="H25">
            <v>1450</v>
          </cell>
          <cell r="I25">
            <v>362.5</v>
          </cell>
          <cell r="J25" t="str">
            <v>Bliss</v>
          </cell>
          <cell r="N25" t="str">
            <v>4  del of this cycle   -  0-cycles pmnt   Completed - Collect 0</v>
          </cell>
          <cell r="O25" t="str">
            <v>Mix Alstroemeria ( 14 inch ) 16     FF Sachet + Grass</v>
          </cell>
          <cell r="P25" t="str">
            <v>O Asiatic ( 15 inch ) 3     Grass</v>
          </cell>
          <cell r="Q25" t="str">
            <v>P n W Car ( 14 inch ) 16     FF Sachet + Grass</v>
          </cell>
          <cell r="R25" t="str">
            <v>P n W Spray Daisy ( 14 Inch) 5     FF Sachet + Grass</v>
          </cell>
          <cell r="S25" t="str">
            <v>P n W Glad ( 14 Inch ) 16     Grass</v>
          </cell>
          <cell r="T25" t="str">
            <v>Pur Eustoma ( 12 Inch ) 3     FF Sachet + Grass</v>
          </cell>
        </row>
        <row r="26">
          <cell r="A26">
            <v>2250</v>
          </cell>
          <cell r="B26" t="str">
            <v>Saloni Gupta</v>
          </cell>
          <cell r="C26">
            <v>9810796682</v>
          </cell>
          <cell r="D26" t="str">
            <v>338, 3rd Floor, Espace</v>
          </cell>
          <cell r="E26" t="str">
            <v>Nirvana Country</v>
          </cell>
          <cell r="F26" t="str">
            <v>Sunday</v>
          </cell>
          <cell r="G26" t="str">
            <v>9 AM - 12 PM</v>
          </cell>
          <cell r="H26">
            <v>3088</v>
          </cell>
          <cell r="I26">
            <v>386</v>
          </cell>
          <cell r="J26" t="str">
            <v>Cutsomized-Biweekly</v>
          </cell>
          <cell r="K26"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26" t="str">
            <v>1  del of this cycle   -  1-cycles pmnt   Pending - Collect 4633</v>
          </cell>
          <cell r="O26" t="e">
            <v>#N/A</v>
          </cell>
          <cell r="P26" t="e">
            <v>#N/A</v>
          </cell>
          <cell r="Q26" t="e">
            <v>#N/A</v>
          </cell>
          <cell r="R26" t="e">
            <v>#N/A</v>
          </cell>
          <cell r="S26" t="e">
            <v>#N/A</v>
          </cell>
          <cell r="T26" t="str">
            <v>P Asiatic ( 14 Inch ) 3     Grass</v>
          </cell>
        </row>
        <row r="27">
          <cell r="A27">
            <v>2416</v>
          </cell>
          <cell r="B27" t="str">
            <v>Dinesh Dhir</v>
          </cell>
          <cell r="C27">
            <v>9810709096</v>
          </cell>
          <cell r="D27" t="str">
            <v>D-11/9, 1st Floor, DLF Exclusive Floors</v>
          </cell>
          <cell r="E27" t="str">
            <v>DLF Phase 5</v>
          </cell>
          <cell r="F27" t="str">
            <v>Sunday</v>
          </cell>
          <cell r="G27" t="str">
            <v>9 AM - 12 PM</v>
          </cell>
          <cell r="H27">
            <v>999</v>
          </cell>
          <cell r="I27">
            <v>249.75</v>
          </cell>
          <cell r="J27" t="str">
            <v>Delight</v>
          </cell>
          <cell r="K27" t="str">
            <v>Hold today n send next week (15/06) Add changed (17/05)</v>
          </cell>
          <cell r="N27" t="str">
            <v>4  del of this cycle   -  0-cycles pmnt   Completed - Collect 0</v>
          </cell>
          <cell r="O27" t="str">
            <v>Mix Alstroemeria ( 14 inch ) 9     FF Sachet + Grass</v>
          </cell>
          <cell r="P27" t="str">
            <v>O Asiatic ( 15 inch ) 2     Grass</v>
          </cell>
          <cell r="Q27" t="str">
            <v>R n W Car( 14 Inch)  9     FF Sachet + Grass</v>
          </cell>
          <cell r="R27" t="str">
            <v>P n W Glad ( 14 Inch ) 9     Grass</v>
          </cell>
          <cell r="S27" t="str">
            <v>Sunflower ( 12 Inch ) 2     FF Sachet + Grass</v>
          </cell>
          <cell r="T27" t="str">
            <v>B Daisy ( 12 Inch ) 9     Grass</v>
          </cell>
        </row>
        <row r="28">
          <cell r="A28">
            <v>1438</v>
          </cell>
          <cell r="B28" t="str">
            <v>Aishwarya G Aiyar</v>
          </cell>
          <cell r="C28">
            <v>9884857311</v>
          </cell>
          <cell r="D28" t="str">
            <v>A-173, The Pinnacle</v>
          </cell>
          <cell r="E28" t="str">
            <v>DLF Phase 5</v>
          </cell>
          <cell r="F28" t="str">
            <v>Thursday</v>
          </cell>
          <cell r="G28" t="str">
            <v>9 AM - 12 PM</v>
          </cell>
          <cell r="H28">
            <v>1600</v>
          </cell>
          <cell r="I28">
            <v>200</v>
          </cell>
          <cell r="J28" t="str">
            <v>Bloom</v>
          </cell>
          <cell r="K2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8" t="str">
            <v>6  del of this cycle   -  0-cycles pmnt   Completed - Collect 0</v>
          </cell>
          <cell r="O28" t="str">
            <v>Y Spray Daisy ( 15 inch ) 2     FF Sachet + Grass</v>
          </cell>
          <cell r="P28" t="str">
            <v>Rajni ( 14 inch ) 7     Grass</v>
          </cell>
          <cell r="Q28" t="str">
            <v>Mix Car  7     FF Sachet + Grass</v>
          </cell>
          <cell r="R28" t="str">
            <v>P Spray Daisy ( 14 Inch ) 2     FF Sachet + Grass</v>
          </cell>
          <cell r="S28" t="str">
            <v>Rajni ( 14 Inch ) 7     Grass</v>
          </cell>
          <cell r="T28" t="str">
            <v>B Daisy ( 12 Inch ) 7     Grass</v>
          </cell>
        </row>
        <row r="29">
          <cell r="A29">
            <v>3103</v>
          </cell>
          <cell r="B29" t="str">
            <v>Nirali Arora</v>
          </cell>
          <cell r="C29">
            <v>9584377124</v>
          </cell>
          <cell r="D29" t="str">
            <v>Plot No. B-179, Flat No. 301, Sec 57</v>
          </cell>
          <cell r="E29" t="str">
            <v>Sector 56</v>
          </cell>
          <cell r="F29" t="str">
            <v>Sunday</v>
          </cell>
          <cell r="G29" t="str">
            <v>10 AM to 2:30 PM</v>
          </cell>
          <cell r="H29">
            <v>1450</v>
          </cell>
          <cell r="I29">
            <v>362.5</v>
          </cell>
          <cell r="J29" t="str">
            <v>Bliss</v>
          </cell>
          <cell r="N29" t="str">
            <v>4  del of this cycle   -  0-cycles pmnt   Completed - Collect 0</v>
          </cell>
          <cell r="O29" t="e">
            <v>#N/A</v>
          </cell>
          <cell r="P29" t="e">
            <v>#N/A</v>
          </cell>
          <cell r="Q29" t="str">
            <v>P n W Car ( 14 inch ) 16     FF Sachet + Grass</v>
          </cell>
          <cell r="R29" t="str">
            <v>W Asiatic ( 14 Inch ) 3     Grass</v>
          </cell>
          <cell r="S29" t="str">
            <v>P n W Glad ( 14 Inch ) 16     Grass</v>
          </cell>
          <cell r="T29" t="str">
            <v>Pur Eustoma ( 12 Inch ) 3     FF Sachet + Grass</v>
          </cell>
        </row>
        <row r="30">
          <cell r="A30">
            <v>2855</v>
          </cell>
          <cell r="B30" t="str">
            <v>Mini Deerwoood</v>
          </cell>
          <cell r="C30">
            <v>9818447542</v>
          </cell>
          <cell r="D30" t="str">
            <v xml:space="preserve"> 332, 4th Floor, Espace</v>
          </cell>
          <cell r="E30" t="str">
            <v>Nirvana Country</v>
          </cell>
          <cell r="F30" t="str">
            <v>Sunday</v>
          </cell>
          <cell r="G30" t="str">
            <v>9 AM - 12 PM</v>
          </cell>
          <cell r="H30">
            <v>1950</v>
          </cell>
          <cell r="I30">
            <v>487.5</v>
          </cell>
          <cell r="J30" t="str">
            <v>Joy</v>
          </cell>
          <cell r="N30" t="str">
            <v>1  del of this cycle   -  1-cycles pmnt   Pending - Collect 1950</v>
          </cell>
          <cell r="O30" t="str">
            <v>P Eustoma ( 14 inch ) 2 P n W Glad ( 14 inch ) 11   FF Sachet + Grass</v>
          </cell>
          <cell r="P30" t="str">
            <v>Y Asiatic ( 15 Inch ) 2 P n W Car ( 14 inch ) 11   Grass</v>
          </cell>
          <cell r="Q30" t="str">
            <v>P n W Spray Daisy ( 15 Inch ) 4 Mix Glad  ( 12 Inch ) 11   FF Sachet + garss</v>
          </cell>
          <cell r="R30" t="e">
            <v>#N/A</v>
          </cell>
          <cell r="S30" t="e">
            <v>#N/A</v>
          </cell>
          <cell r="T30" t="str">
            <v>Pur Eustoma ( 12 Inch ) 2 B Daisy ( 12 Inch ) 11   FF Sachet + Grass</v>
          </cell>
        </row>
        <row r="31">
          <cell r="A31">
            <v>2724</v>
          </cell>
          <cell r="B31" t="str">
            <v>Kavita Dahiya</v>
          </cell>
          <cell r="C31">
            <v>9873400017</v>
          </cell>
          <cell r="D31" t="str">
            <v>H. No. 1391, Sec-57 Part -2</v>
          </cell>
          <cell r="E31" t="str">
            <v>Artemis</v>
          </cell>
          <cell r="F31" t="str">
            <v>Sunday</v>
          </cell>
          <cell r="G31" t="str">
            <v>9:30 AM to 2 PM</v>
          </cell>
          <cell r="H31">
            <v>1450</v>
          </cell>
          <cell r="I31">
            <v>362.5</v>
          </cell>
          <cell r="J31" t="str">
            <v>Bliss</v>
          </cell>
          <cell r="K31" t="str">
            <v>Send on Sunday this week (27/08) No gerbera (12/09) No Sunflowers (15/11) Skip 1 week (30/12) Hold n collect 500 tom (25/02)</v>
          </cell>
          <cell r="L31" t="str">
            <v>Gerbera n Sunflower</v>
          </cell>
          <cell r="N31" t="str">
            <v>1  del of this cycle   -  1-cycles pmnt   Pending - Collect 1441</v>
          </cell>
          <cell r="O31" t="e">
            <v>#N/A</v>
          </cell>
          <cell r="P31" t="e">
            <v>#N/A</v>
          </cell>
          <cell r="Q31" t="e">
            <v>#N/A</v>
          </cell>
          <cell r="R31" t="e">
            <v>#N/A</v>
          </cell>
          <cell r="S31" t="e">
            <v>#N/A</v>
          </cell>
          <cell r="T31" t="str">
            <v>Pur n P Car ( 14 Inch ) 16     FF Sachet + Grass</v>
          </cell>
        </row>
        <row r="32">
          <cell r="A32">
            <v>2481</v>
          </cell>
          <cell r="B32" t="str">
            <v>Puneet Mahajan</v>
          </cell>
          <cell r="C32">
            <v>9810110847</v>
          </cell>
          <cell r="D32" t="str">
            <v>D-19, 4th Floor, Siuth City -2, Opp Arcadia Mall</v>
          </cell>
          <cell r="E32" t="str">
            <v>Nirvana Country</v>
          </cell>
          <cell r="F32" t="str">
            <v>Sunday</v>
          </cell>
          <cell r="G32" t="str">
            <v>9 AM - 12 PM</v>
          </cell>
          <cell r="H32">
            <v>2300</v>
          </cell>
          <cell r="I32">
            <v>287.5</v>
          </cell>
          <cell r="J32" t="str">
            <v>Felicity</v>
          </cell>
          <cell r="K32" t="str">
            <v>Send Sponge// Day Changed to Sunday (16/04) Paytm From Sri Sai makers (20/04) Change to felicity (17/05)</v>
          </cell>
          <cell r="N32" t="str">
            <v>3  del of this cycle   -  1-cycles pmnt   Pending - Collect 2300</v>
          </cell>
          <cell r="O32" t="str">
            <v>R n W Car ( 14 inch ) 11     FF Sachet + Grass</v>
          </cell>
          <cell r="P32" t="str">
            <v>Y Spray Daisy ( 15 inch ) 3     FF sachet + Grass</v>
          </cell>
          <cell r="Q32" t="str">
            <v>P n W Glad ( 14 Inch ) 11     Grass</v>
          </cell>
          <cell r="R32" t="str">
            <v>Pur Eustoma ( 12 Inch ) 4     FF Sachet + Grass</v>
          </cell>
          <cell r="S32" t="str">
            <v>Rajni ( 14 Inch ) 11     Grass</v>
          </cell>
          <cell r="T32" t="str">
            <v>B Daisy ( 12 Inch ) 11     Grass</v>
          </cell>
        </row>
        <row r="33">
          <cell r="A33">
            <v>870</v>
          </cell>
          <cell r="B33" t="str">
            <v>Himabindu Kanchan</v>
          </cell>
          <cell r="C33">
            <v>9892501292</v>
          </cell>
          <cell r="D33" t="str">
            <v xml:space="preserve">D -13, Pinnacle Dlf Phase - 5 </v>
          </cell>
          <cell r="E33" t="str">
            <v>DLF Phase 5</v>
          </cell>
          <cell r="F33" t="str">
            <v>Thursday</v>
          </cell>
          <cell r="G33" t="str">
            <v>9 AM - 12 PM</v>
          </cell>
          <cell r="H33">
            <v>1600</v>
          </cell>
          <cell r="I33">
            <v>200</v>
          </cell>
          <cell r="J33" t="str">
            <v>Bloom</v>
          </cell>
          <cell r="K33"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3" t="str">
            <v>1  del of this cycle   -  1-cycles pmnt   Pending - Collect 1600</v>
          </cell>
          <cell r="O33" t="str">
            <v>P Spray Daisy ( 15 inch ) 2     FF Sachet + Grass</v>
          </cell>
          <cell r="P33" t="str">
            <v>Rajni ( 14 inch ) 7     Grass</v>
          </cell>
          <cell r="Q33" t="str">
            <v>Rajni ( 14 Inch )  7     Grass</v>
          </cell>
          <cell r="R33" t="str">
            <v>Mix Alstroemeria ( 12 Inch ) 7     FF Sachet + Grass</v>
          </cell>
          <cell r="S33" t="str">
            <v>P Spray Daisy ( 14 Inch ) 2     FF Sachet + Grass</v>
          </cell>
          <cell r="T33" t="str">
            <v>B Daisy ( 12 Inch ) 7     Grass</v>
          </cell>
        </row>
        <row r="34">
          <cell r="A34">
            <v>2307</v>
          </cell>
          <cell r="B34" t="str">
            <v>Alpna Jain</v>
          </cell>
          <cell r="C34">
            <v>9599336609</v>
          </cell>
          <cell r="D34" t="str">
            <v>C-64, The Icon</v>
          </cell>
          <cell r="E34" t="str">
            <v>DLF Phase 5</v>
          </cell>
          <cell r="F34" t="str">
            <v>Thursday</v>
          </cell>
          <cell r="G34" t="str">
            <v>10 AM to 2:30 PM</v>
          </cell>
          <cell r="H34">
            <v>3000</v>
          </cell>
          <cell r="I34">
            <v>375</v>
          </cell>
          <cell r="J34" t="str">
            <v>Charm</v>
          </cell>
          <cell r="K34" t="str">
            <v>Thursday n Sunday // Hold today (08/02) Keep flowers outside of Door (17/05)</v>
          </cell>
          <cell r="M34" t="str">
            <v>Keep flowers outside of door always</v>
          </cell>
          <cell r="N34" t="str">
            <v>1  del of this cycle   -  1-cycles pmnt   Pending - Collect 3000</v>
          </cell>
          <cell r="O34" t="str">
            <v>B Orchid 4     FF Sachet + Grass</v>
          </cell>
          <cell r="P34" t="str">
            <v>R n W Car ( 14 inch ) 15     FF sachet + Grass</v>
          </cell>
          <cell r="Q34" t="str">
            <v>P n Y Spray Daisy ( 15 Inch ) 4 Keep at door -- Don’t Call Keep at door -- Don’t Call Keep at door -- Don’t Call Keep at door -- Don’t Call FF Sachet + Grass</v>
          </cell>
          <cell r="R34" t="str">
            <v>P n W Glad ( 14 Inch ) 15 Keep Flowers Outside of Door-- Don’t ring bell or Don’t Don’t Call    Grass</v>
          </cell>
          <cell r="S34" t="str">
            <v>B Daisy ( 12 Inch ) 15 Keep Flowers outside of door -- Don’t call n don’t ring bell    FF Sachet + Grass</v>
          </cell>
          <cell r="T34" t="str">
            <v>Rajni ( 14 Inch ) 15 Keep Flowers at Door -- Don’t Call or Knock    Grass</v>
          </cell>
        </row>
        <row r="35">
          <cell r="A35">
            <v>3018</v>
          </cell>
          <cell r="B35" t="str">
            <v>Gurrit Kaur sethi</v>
          </cell>
          <cell r="C35">
            <v>9810918222</v>
          </cell>
          <cell r="D35" t="str">
            <v>T-2/201, Unitech Escape</v>
          </cell>
          <cell r="E35" t="str">
            <v>Nirvana Country</v>
          </cell>
          <cell r="F35" t="str">
            <v>Sunday</v>
          </cell>
          <cell r="G35" t="str">
            <v>9 AM - 12 PM</v>
          </cell>
          <cell r="H35">
            <v>999</v>
          </cell>
          <cell r="I35">
            <v>249.75</v>
          </cell>
          <cell r="J35" t="str">
            <v>Delight</v>
          </cell>
          <cell r="N35" t="str">
            <v>4  del of this cycle   -  0-cycles pmnt   Completed - Collect 0</v>
          </cell>
          <cell r="O35" t="str">
            <v>Mix Alstroemeria ( 14 inch ) 9     FF Sachet + Grass</v>
          </cell>
          <cell r="P35" t="str">
            <v>O Asiatic ( 15 inch ) 2     Grass</v>
          </cell>
          <cell r="Q35" t="str">
            <v>P n W Car ( 14 inch ) 9     FF Sachet + Grass</v>
          </cell>
          <cell r="R35" t="str">
            <v>P n W Glad ( 14 Inch ) 9     Grass</v>
          </cell>
          <cell r="S35" t="str">
            <v>Sunflower ( 12 Inch ) 2     FF Sachet + Grass</v>
          </cell>
          <cell r="T35" t="str">
            <v>B Daisy ( 12 Inch ) 9     Grass</v>
          </cell>
        </row>
        <row r="36">
          <cell r="A36">
            <v>571</v>
          </cell>
          <cell r="B36" t="str">
            <v>Mrs. Singh</v>
          </cell>
          <cell r="C36">
            <v>9873099320</v>
          </cell>
          <cell r="D36" t="str">
            <v>D 42, pinnacle, Dlf ph 5, Golf course road</v>
          </cell>
          <cell r="E36" t="str">
            <v>DLF Phase 5</v>
          </cell>
          <cell r="F36" t="str">
            <v>Thursday</v>
          </cell>
          <cell r="G36" t="str">
            <v>9 AM - 12 PM</v>
          </cell>
          <cell r="H36">
            <v>1600</v>
          </cell>
          <cell r="I36">
            <v>200</v>
          </cell>
          <cell r="J36" t="str">
            <v>Bloom</v>
          </cell>
          <cell r="K36"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6" t="str">
            <v>3  del of this cycle   -  1-cycles pmnt   Pending - Collect 1600</v>
          </cell>
          <cell r="O36" t="str">
            <v>Rajni ( 14 inch ) 7     Grass</v>
          </cell>
          <cell r="P36" t="str">
            <v>P n W Car ( 14 Inch ) 7     FF sachet + Grass</v>
          </cell>
          <cell r="Q36" t="str">
            <v>Mix Glad  7     FF Sachet + Grass</v>
          </cell>
          <cell r="R36" t="str">
            <v>Y Spray Daisy ( 14 Inch ) 2     FF Sachet + Grass</v>
          </cell>
          <cell r="S36" t="str">
            <v>Rajni ( 14 Inch ) 7     Grass</v>
          </cell>
          <cell r="T36" t="str">
            <v>B Daisy ( 12 Inch ) 7     Grass</v>
          </cell>
        </row>
        <row r="37">
          <cell r="A37">
            <v>2255</v>
          </cell>
          <cell r="B37" t="str">
            <v>Prerna -- Rosewood</v>
          </cell>
          <cell r="C37">
            <v>9910778929</v>
          </cell>
          <cell r="D37" t="str">
            <v>D-154, Rosewood City, Sector 50</v>
          </cell>
          <cell r="E37" t="str">
            <v>Nirvana Country</v>
          </cell>
          <cell r="F37" t="str">
            <v>Sunday</v>
          </cell>
          <cell r="G37" t="str">
            <v>9:30 Am to 2 PM</v>
          </cell>
          <cell r="H37">
            <v>1450</v>
          </cell>
          <cell r="I37">
            <v>362.5</v>
          </cell>
          <cell r="J37" t="str">
            <v>Bliss</v>
          </cell>
          <cell r="K37" t="str">
            <v>Sent replacement today (21/04) Skip 1 week (04/12) Skip tom (14/06) Return today (06/07) 27th Del Missed (03/08)Skip 22/23rd Nov (08/11) Paytm From Prerna Sharma // Skip 1 week (07/02) Hold n start after 9 th June (10/05)</v>
          </cell>
          <cell r="N37" t="str">
            <v>2  del of this cycle   -  1-cycles pmnt   Pending - Collect 1450</v>
          </cell>
          <cell r="O37" t="e">
            <v>#N/A</v>
          </cell>
          <cell r="P37" t="e">
            <v>#N/A</v>
          </cell>
          <cell r="Q37" t="e">
            <v>#N/A</v>
          </cell>
          <cell r="R37" t="e">
            <v>#N/A</v>
          </cell>
          <cell r="S37" t="str">
            <v>Pur n P Car ( 14 Inch ) 16     FF Sachet + Grass</v>
          </cell>
          <cell r="T37" t="str">
            <v>Pur Eustoma ( 12 Inch ) 3     FF Sachet + Grass</v>
          </cell>
        </row>
        <row r="38">
          <cell r="A38">
            <v>1517</v>
          </cell>
          <cell r="B38" t="str">
            <v>Megha Bhardwaj</v>
          </cell>
          <cell r="C38">
            <v>9818525564</v>
          </cell>
          <cell r="D38" t="str">
            <v>B-65, 1st floor, Sushant Lok-3,HDFC School, Sec 57</v>
          </cell>
          <cell r="E38" t="str">
            <v>Artemis</v>
          </cell>
          <cell r="F38" t="str">
            <v>Sunday</v>
          </cell>
          <cell r="G38" t="str">
            <v>9 AM - 12 PM</v>
          </cell>
          <cell r="H38">
            <v>1950</v>
          </cell>
          <cell r="I38">
            <v>487.5</v>
          </cell>
          <cell r="J38" t="str">
            <v>Joy</v>
          </cell>
          <cell r="K38"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38" t="str">
            <v>Orchid</v>
          </cell>
          <cell r="N38" t="str">
            <v>1  del of this cycle   -  1-cycles pmnt   Pending - Collect 1950</v>
          </cell>
          <cell r="O38" t="str">
            <v>P n W Car ( 14 inch ) 22     FF Sachet + Grass</v>
          </cell>
          <cell r="P38" t="str">
            <v>Y Asiatic ( 15 Inch ) 4     Grass</v>
          </cell>
          <cell r="Q38" t="str">
            <v>P n W Glad ( 14 Inch ) 22     Grass</v>
          </cell>
          <cell r="R38" t="e">
            <v>#N/A</v>
          </cell>
          <cell r="S38" t="str">
            <v>Sunflower ( 12 Inch ) 5     FF Sachet + Grass</v>
          </cell>
          <cell r="T38" t="str">
            <v>Pur n P Car ( 14 Inch ) 22     FF Sachet + Grass</v>
          </cell>
        </row>
        <row r="39">
          <cell r="A39">
            <v>2779</v>
          </cell>
          <cell r="B39" t="str">
            <v>Riddhi Desai</v>
          </cell>
          <cell r="C39">
            <v>8130497969</v>
          </cell>
          <cell r="D39" t="str">
            <v>D-71, The Icon</v>
          </cell>
          <cell r="E39" t="str">
            <v>Golf Course Road</v>
          </cell>
          <cell r="F39" t="str">
            <v>Sunday</v>
          </cell>
          <cell r="G39" t="str">
            <v>9 AM to 2 PM</v>
          </cell>
          <cell r="H39">
            <v>1600</v>
          </cell>
          <cell r="I39">
            <v>200</v>
          </cell>
          <cell r="J39" t="str">
            <v>Bloom</v>
          </cell>
          <cell r="K39" t="str">
            <v>Send this week on Saturday (14/08) Skip 1 week (21/12) Hold till 2nd June (20/05)</v>
          </cell>
          <cell r="N39" t="str">
            <v>3  del of this cycle   -  1-cycles pmnt   Pending - Collect 1600</v>
          </cell>
          <cell r="O39" t="str">
            <v>Rajni ( 14 inch ) 7     Grass</v>
          </cell>
          <cell r="P39" t="e">
            <v>#N/A</v>
          </cell>
          <cell r="Q39" t="e">
            <v>#N/A</v>
          </cell>
          <cell r="R39" t="str">
            <v>Mix Alstroemeria ( 12 Inch ) 7     FF Sachet + Grass</v>
          </cell>
          <cell r="S39" t="str">
            <v>B Daisy ( 12 Inch ) 7     FF Sachet + Grass</v>
          </cell>
          <cell r="T39" t="str">
            <v>P n W Glad ( 14 Inch ) 7     Grass</v>
          </cell>
        </row>
        <row r="40">
          <cell r="A40">
            <v>945</v>
          </cell>
          <cell r="B40" t="str">
            <v>Ms. Shuchi Chopra</v>
          </cell>
          <cell r="C40">
            <v>9910984447</v>
          </cell>
          <cell r="D40" t="str">
            <v>Flat No. 703, M3M Golf Estate, Latitude Building</v>
          </cell>
          <cell r="E40" t="str">
            <v>Badshahpur</v>
          </cell>
          <cell r="F40" t="str">
            <v>Sunday</v>
          </cell>
          <cell r="G40" t="str">
            <v>9 AM - 12 PM</v>
          </cell>
          <cell r="H40">
            <v>1950</v>
          </cell>
          <cell r="I40">
            <v>487.5</v>
          </cell>
          <cell r="J40" t="str">
            <v>Joy</v>
          </cell>
          <cell r="K40"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40" t="str">
            <v>2  del of this cycle   -  0-cycles pmnt   In Process - Collect 0</v>
          </cell>
          <cell r="O40" t="str">
            <v>P Asiatic ( 15 inch ) 2 Rajni 11   Grass</v>
          </cell>
          <cell r="P40" t="str">
            <v>Eustoma 2 P n W  Glad ( 14 inch ) 11   Grass</v>
          </cell>
          <cell r="Q40" t="str">
            <v>P n W Spray Daisy ( 15 Inch ) 4 R n W Car ( 14 Inch ) 11   FF Sachet + garss</v>
          </cell>
          <cell r="R40" t="str">
            <v>BOP 2 Mix Alstroemeria ( 12 Inch ) 11   FF Sachet + Grass</v>
          </cell>
          <cell r="S40" t="str">
            <v>O Asiatic ( 14 Inch ) 2 P n W Glad ( 14 Inch ) 11   Grass</v>
          </cell>
          <cell r="T40" t="str">
            <v>P Eustoma ( 12 Inch ) 2 Rajni ( 14 Inch ) 11   Grass</v>
          </cell>
        </row>
        <row r="41">
          <cell r="A41">
            <v>2637</v>
          </cell>
          <cell r="B41" t="str">
            <v>Shalini Kohli</v>
          </cell>
          <cell r="C41">
            <v>9999834141</v>
          </cell>
          <cell r="D41" t="str">
            <v>A-1402, Ireo Victory Valley</v>
          </cell>
          <cell r="E41" t="str">
            <v>Badshahpur</v>
          </cell>
          <cell r="F41" t="str">
            <v>Sunday</v>
          </cell>
          <cell r="G41" t="str">
            <v>9 AM - 12 PM</v>
          </cell>
          <cell r="H41">
            <v>1950</v>
          </cell>
          <cell r="I41">
            <v>487.5</v>
          </cell>
          <cell r="J41" t="str">
            <v>Joy</v>
          </cell>
          <cell r="K41"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41" t="str">
            <v>4  del of this cycle   -  0-cycles pmnt   Completed - Collect 0</v>
          </cell>
          <cell r="O41" t="str">
            <v>P Eustoma ( 14 inch ) 2 P n W Glad ( 14 inch ) 11   FF Sachet + Grass</v>
          </cell>
          <cell r="P41" t="e">
            <v>#N/A</v>
          </cell>
          <cell r="Q41" t="str">
            <v>P n W Spray Daisy ( 15 Inch ) 4 Mix Carnation  ( 12 Inch ) 11   FF Sachet + garss</v>
          </cell>
          <cell r="R41" t="str">
            <v>Pur Eustoma ( 12 Inch ) 2 Mix Alstroemeria ( 12 Inch ) 11   FF Sachet + Grass</v>
          </cell>
          <cell r="S41" t="str">
            <v>O Asiatic ( 14 Inch ) 2 P n W Glad ( 14 Inch ) 11   Grass</v>
          </cell>
          <cell r="T41" t="str">
            <v>P Asiatic ( 14 Inch ) 2 P n W Glad ( 14 Inch ) 11   Grass</v>
          </cell>
        </row>
        <row r="42">
          <cell r="A42">
            <v>3351</v>
          </cell>
          <cell r="B42" t="str">
            <v>Shubhpret kaur</v>
          </cell>
          <cell r="C42">
            <v>8800898704</v>
          </cell>
          <cell r="D42" t="str">
            <v>H. No. 667, 3rd Floor, Sec 43</v>
          </cell>
          <cell r="E42" t="str">
            <v>DLF Phase 5</v>
          </cell>
          <cell r="F42" t="str">
            <v>Sunday</v>
          </cell>
          <cell r="G42" t="str">
            <v>9 AM - 12 PM</v>
          </cell>
          <cell r="H42">
            <v>1950</v>
          </cell>
          <cell r="I42">
            <v>487.5</v>
          </cell>
          <cell r="J42" t="str">
            <v>Joy</v>
          </cell>
          <cell r="K42" t="str">
            <v>Paytm From Amara Preet Singh // Change day to Sunday (13/06)</v>
          </cell>
          <cell r="N42" t="str">
            <v>4  del of this cycle   -  0-cycles pmnt   Completed - Collect 0</v>
          </cell>
          <cell r="O42" t="e">
            <v>#N/A</v>
          </cell>
          <cell r="P42" t="e">
            <v>#N/A</v>
          </cell>
          <cell r="Q42" t="e">
            <v>#N/A</v>
          </cell>
          <cell r="R42" t="e">
            <v>#N/A</v>
          </cell>
          <cell r="S42" t="str">
            <v>P Asiatic ( 14 Inch ) 2 Pur n P Car ( 14 Inch ) 11   Grass</v>
          </cell>
          <cell r="T42" t="str">
            <v>Pur Eustoma ( 12 Inch ) 2 B Daisy ( 12 Inch ) 11   FF Sachet + Grass</v>
          </cell>
        </row>
        <row r="43">
          <cell r="A43">
            <v>2450</v>
          </cell>
          <cell r="B43" t="str">
            <v>Anshuman Divyanshu -- 1450 Pack</v>
          </cell>
          <cell r="C43">
            <v>9934010124</v>
          </cell>
          <cell r="D43" t="str">
            <v>G-1401, Bestech Park View Spa Next</v>
          </cell>
          <cell r="E43" t="str">
            <v>Badshahpur</v>
          </cell>
          <cell r="F43" t="str">
            <v>Sunday</v>
          </cell>
          <cell r="G43" t="str">
            <v>9:30 Am to 2 PM</v>
          </cell>
          <cell r="H43">
            <v>999</v>
          </cell>
          <cell r="I43">
            <v>249.75</v>
          </cell>
          <cell r="J43" t="str">
            <v>Delight</v>
          </cell>
          <cell r="K43" t="str">
            <v>Insta // return today (24/08) Hold today (28/09) HDTNP (03/05) Skip 1 week (06/06)</v>
          </cell>
          <cell r="N43" t="str">
            <v>3  del of this cycle   -  0-cycles pmnt   Completed - Collect 0</v>
          </cell>
          <cell r="O43" t="str">
            <v>P Spray Daisy ( 15 inch ) 3     FF Sachet + Grass</v>
          </cell>
          <cell r="P43" t="str">
            <v>P n W Glad ( 14 inch ) 9     Grass</v>
          </cell>
          <cell r="Q43" t="str">
            <v>R n W Car( 14 Inch)  9     FF Sachet + Grass</v>
          </cell>
          <cell r="R43" t="e">
            <v>#N/A</v>
          </cell>
          <cell r="S43" t="str">
            <v>O Asiatic ( 14 Inch ) 2     Grass</v>
          </cell>
          <cell r="T43" t="str">
            <v>B Daisy ( 12 Inch ) 9     Grass</v>
          </cell>
        </row>
        <row r="44">
          <cell r="A44">
            <v>3214</v>
          </cell>
          <cell r="B44" t="str">
            <v>Sheeba Rana</v>
          </cell>
          <cell r="C44">
            <v>9958849523</v>
          </cell>
          <cell r="D44" t="str">
            <v>T-14/1202, The Close North</v>
          </cell>
          <cell r="E44" t="str">
            <v>Nirvana Country</v>
          </cell>
          <cell r="F44" t="str">
            <v>Sunday</v>
          </cell>
          <cell r="G44" t="str">
            <v>10 AM to 2:30 PM</v>
          </cell>
          <cell r="H44">
            <v>999</v>
          </cell>
          <cell r="I44">
            <v>249.75</v>
          </cell>
          <cell r="J44" t="str">
            <v>Delight</v>
          </cell>
          <cell r="K44" t="str">
            <v>Skip n send on 11th n then on preferred day</v>
          </cell>
          <cell r="N44" t="str">
            <v>4  del of this cycle   -  0-cycles pmnt   Completed - Collect 0</v>
          </cell>
          <cell r="O44" t="str">
            <v>Mix Alstroemeria ( 14 inch ) 9     FF Sachet + Grass</v>
          </cell>
          <cell r="P44" t="str">
            <v>O Asiatic ( 15 inch ) 2     Grass</v>
          </cell>
          <cell r="Q44" t="str">
            <v>P n W Glad ( 14 Inch ) 9     Grass</v>
          </cell>
          <cell r="R44" t="str">
            <v>Pur n P Car ( 14 Inch ) 9     FF Sachet + Grass</v>
          </cell>
          <cell r="S44" t="str">
            <v>Sunflower ( 12 Inch ) 2     FF Sachet + Grass</v>
          </cell>
          <cell r="T44" t="str">
            <v>B Daisy ( 12 Inch ) 9     Grass</v>
          </cell>
        </row>
        <row r="45">
          <cell r="A45">
            <v>2200</v>
          </cell>
          <cell r="B45" t="str">
            <v>Naina Gandhi</v>
          </cell>
          <cell r="C45">
            <v>9811188863</v>
          </cell>
          <cell r="D45" t="str">
            <v>K2/105, Central Park -1</v>
          </cell>
          <cell r="E45" t="str">
            <v>Golf Course Road</v>
          </cell>
          <cell r="F45" t="str">
            <v>Thursday</v>
          </cell>
          <cell r="G45" t="str">
            <v>9 AM - 12 PM</v>
          </cell>
          <cell r="H45">
            <v>2300</v>
          </cell>
          <cell r="I45">
            <v>287.5</v>
          </cell>
          <cell r="J45" t="str">
            <v>Felicity</v>
          </cell>
          <cell r="K45"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v>
          </cell>
          <cell r="L45" t="str">
            <v>SPRAY DAISY</v>
          </cell>
          <cell r="M45" t="str">
            <v>Check for Bi weekly package</v>
          </cell>
          <cell r="N45" t="str">
            <v>8  del of this cycle   -  0-cycles pmnt   Completed - Collect 0</v>
          </cell>
          <cell r="O45" t="str">
            <v>B Orchid 4     FF Sachet + Grass</v>
          </cell>
          <cell r="P45" t="e">
            <v>#N/A</v>
          </cell>
          <cell r="Q45" t="e">
            <v>#N/A</v>
          </cell>
          <cell r="R45" t="e">
            <v>#N/A</v>
          </cell>
          <cell r="S45" t="e">
            <v>#N/A</v>
          </cell>
          <cell r="T45" t="str">
            <v>O Asiatic ( 14 Inch )' 2     Grass</v>
          </cell>
        </row>
        <row r="46">
          <cell r="A46">
            <v>2869</v>
          </cell>
          <cell r="B46" t="str">
            <v>Jaya Wanchoo</v>
          </cell>
          <cell r="C46">
            <v>8130245666</v>
          </cell>
          <cell r="D46" t="str">
            <v xml:space="preserve">T-8/603, The Close North
</v>
          </cell>
          <cell r="E46" t="str">
            <v>Nirvana Country</v>
          </cell>
          <cell r="F46" t="str">
            <v>Sunday</v>
          </cell>
          <cell r="G46" t="str">
            <v>10 AM to 2:30 PM</v>
          </cell>
          <cell r="H46">
            <v>2750</v>
          </cell>
          <cell r="I46">
            <v>687.5</v>
          </cell>
          <cell r="J46" t="str">
            <v>Elation</v>
          </cell>
          <cell r="N46" t="str">
            <v>2  del of this cycle   -  1-cycles pmnt   Pending - Collect 2750</v>
          </cell>
          <cell r="O46" t="str">
            <v>P Asiatic ( 15 inch ) 3 Rajni 16   2 Limonium</v>
          </cell>
          <cell r="P46" t="str">
            <v>Sunflower 4 P n W Car ( 14 inch ) 16   2 Gypsola + FF Sachet</v>
          </cell>
          <cell r="Q46" t="str">
            <v>P n Y Spray Daisy ( 15 Inch ) 5 P n W Glad ( 12 Inch ) 16   2 Limonium + FF aschet</v>
          </cell>
          <cell r="R46" t="str">
            <v>Pur n P Eustoma ( 12 Inch ) 4 Mix Alstroemeria ( 12 Inch ) 16   2 Gypsola + FF sachet</v>
          </cell>
          <cell r="S46" t="str">
            <v>O Asiatic ( 14 Inch ) 3 Pur n P Car ( 14 Inch ) 16   2 Limonium</v>
          </cell>
          <cell r="T46" t="str">
            <v>P n Y Spray Daisy ( 14 Inch ) 5 B Daisy ( 12 Inch ) 16   2 Gypsola + FF Sachet</v>
          </cell>
        </row>
        <row r="47">
          <cell r="A47">
            <v>2580</v>
          </cell>
          <cell r="B47" t="str">
            <v>Davinder Singh</v>
          </cell>
          <cell r="C47">
            <v>9999653332</v>
          </cell>
          <cell r="D47" t="str">
            <v>T-12/002, Close North</v>
          </cell>
          <cell r="E47" t="str">
            <v>Nirvana Country</v>
          </cell>
          <cell r="F47" t="str">
            <v>Sunday</v>
          </cell>
          <cell r="G47" t="str">
            <v>9 AM - 12 PM</v>
          </cell>
          <cell r="H47">
            <v>1450</v>
          </cell>
          <cell r="I47">
            <v>362.5</v>
          </cell>
          <cell r="J47" t="str">
            <v>Bliss</v>
          </cell>
          <cell r="K47" t="str">
            <v xml:space="preserve"> Hold due to non payment (12/10) Hold due to non payment (20/12) Hold due to non payment (18/01) Hold due to non payment (25/01) Hold due to non payment (01/02) Hold due to non payment (08/02) HDTNP (15/02) HDTNP (22/02) Skip 1 week (18/04)</v>
          </cell>
          <cell r="N47" t="str">
            <v>1  del of this cycle   -  1-cycles pmnt   Pending - Collect 1450</v>
          </cell>
          <cell r="O47" t="str">
            <v>P Asiatic ( 15 inch ) 2 P n W Glad ( 14 inch ) 7   Grass</v>
          </cell>
          <cell r="P47" t="str">
            <v>O Asiatic ( 15 inch ) 2 P n W Car ( 14 inch ) 7   Grass</v>
          </cell>
          <cell r="Q47" t="str">
            <v>P Eustoma ( 12 Inch )  2 Mix Glad ( 12 Inch ) 7   FF Sachet + Grass</v>
          </cell>
          <cell r="R47" t="str">
            <v>Y Spray Daisy ( 14 Inch ) 3 Mix Alstroemeria ( 12 Inch ) 7   FF Sachet + Grass</v>
          </cell>
          <cell r="S47" t="str">
            <v>Sunflower ( 12 Inch ) 2 Pur n P Car ( 14 Inch ) 7   FF Sachet + Grass</v>
          </cell>
          <cell r="T47" t="str">
            <v>P Asiatic ( 14 Inch ) 2 B Daisy ( 12 Inch ) 7   Grass</v>
          </cell>
        </row>
        <row r="48">
          <cell r="A48">
            <v>3378</v>
          </cell>
          <cell r="B48" t="str">
            <v>Yamini &amp; Sidharth Wazirchand</v>
          </cell>
          <cell r="C48">
            <v>8447034372</v>
          </cell>
          <cell r="D48" t="str">
            <v>C-72, The Belaire</v>
          </cell>
          <cell r="E48" t="str">
            <v>Golf Course Road</v>
          </cell>
          <cell r="F48" t="str">
            <v>Sunday</v>
          </cell>
          <cell r="G48" t="str">
            <v>9 AM to 2 PM</v>
          </cell>
          <cell r="H48">
            <v>4750</v>
          </cell>
          <cell r="I48">
            <v>1187.5</v>
          </cell>
          <cell r="J48" t="str">
            <v>Enchantment</v>
          </cell>
          <cell r="K48" t="str">
            <v>From Amana Batra//  Welcome back home &amp; Congratulations.     With Love and Best Wishes ,    Batra's (06/06)</v>
          </cell>
          <cell r="N48" t="str">
            <v>3  del of this cycle   -  0-cycles pmnt   Completed - Collect 0</v>
          </cell>
          <cell r="O48" t="e">
            <v>#N/A</v>
          </cell>
          <cell r="P48" t="e">
            <v>#N/A</v>
          </cell>
          <cell r="Q48" t="e">
            <v>#N/A</v>
          </cell>
          <cell r="R48" t="str">
            <v>W Asiatic ( 14 Inch ) 6 Pur n P  Car ( 14 Inch ) 30 Message + Tie The Bunch with BMF Ribbon Message + Tie The Bunch with BMF Ribbon 3 Gypsola + FF sachet</v>
          </cell>
          <cell r="S48" t="str">
            <v>Mix Eustoma  10 Rajni ( 14 Inch ) 30   3 Limonium</v>
          </cell>
          <cell r="T48" t="str">
            <v>P n Y Spray Daisy ( 14 Inch ) 10 Pur n P Car ( 14 Inch ) 30   3 Gypsola</v>
          </cell>
        </row>
        <row r="49">
          <cell r="A49">
            <v>2462</v>
          </cell>
          <cell r="B49" t="str">
            <v>Rubeey Matharu -- 1450 Pack</v>
          </cell>
          <cell r="C49">
            <v>9811601176</v>
          </cell>
          <cell r="D49" t="str">
            <v>Sirera 1, T-6/306, M3M Marina</v>
          </cell>
          <cell r="E49" t="str">
            <v>Badshahpur</v>
          </cell>
          <cell r="F49" t="str">
            <v>Sunday</v>
          </cell>
          <cell r="G49" t="str">
            <v>9 AM - 12 PM</v>
          </cell>
          <cell r="H49">
            <v>999</v>
          </cell>
          <cell r="I49">
            <v>249.75</v>
          </cell>
          <cell r="J49" t="str">
            <v>Delight</v>
          </cell>
          <cell r="K49" t="str">
            <v>Skip 1 week and inform before starting (08/04) Hold n start from Aug (15/05) Paytm From Amanpreet Kaur Matharu // Paytm from Gurjeet Matharu</v>
          </cell>
          <cell r="M49" t="str">
            <v>Rajni Tom (01/11)</v>
          </cell>
          <cell r="N49" t="str">
            <v>3  del of this cycle   -  0-cycles pmnt   CompletedNO COLLECTION-we have extra money - Collect -450</v>
          </cell>
          <cell r="O49" t="str">
            <v>P Spray Daisy ( 15 inch ) 3     FF Sachet + Grass</v>
          </cell>
          <cell r="P49" t="str">
            <v>P n W Glad ( 14 inch ) 9     Grass</v>
          </cell>
          <cell r="Q49" t="str">
            <v>O Asiatic ( 15 Inch ) 2     Grass</v>
          </cell>
          <cell r="R49" t="str">
            <v>Mix Alstroemeria ( 12 Inch ) 9     FF Sachet + Grass</v>
          </cell>
          <cell r="S49" t="str">
            <v>Pur n P Car ( 14 Inch ) 9     FF Sachet + Grass</v>
          </cell>
          <cell r="T49" t="str">
            <v>B Daisy ( 12 Inch ) 9     Grass</v>
          </cell>
        </row>
        <row r="50">
          <cell r="A50">
            <v>2434</v>
          </cell>
          <cell r="B50" t="str">
            <v>Manasi Sardana</v>
          </cell>
          <cell r="C50">
            <v>9825966349</v>
          </cell>
          <cell r="D50" t="str">
            <v>T-8/303, The South Close</v>
          </cell>
          <cell r="E50" t="str">
            <v>Nirvana Country</v>
          </cell>
          <cell r="F50" t="str">
            <v>Sunday</v>
          </cell>
          <cell r="G50" t="str">
            <v>9 AM to 2 PM</v>
          </cell>
          <cell r="H50">
            <v>1450</v>
          </cell>
          <cell r="I50">
            <v>362.5</v>
          </cell>
          <cell r="J50" t="str">
            <v>Bliss</v>
          </cell>
          <cell r="K50" t="str">
            <v>Rajni is preferred // Skip 1 week (17/05) paytm From Phadke Mansi Pradeep // Skip 1 week (01/01/26) Skip 1 week (24/01) Today returned (15/02)</v>
          </cell>
          <cell r="M50" t="str">
            <v>Rajni referred</v>
          </cell>
          <cell r="N50" t="str">
            <v>1  del of this cycle   -  1-cycles pmnt   Pending - Collect 1450</v>
          </cell>
          <cell r="O50" t="str">
            <v>Sunflower ( 15 inch ) 2 P n W Glad ( 14 inch ) 7   Grass</v>
          </cell>
          <cell r="P50" t="str">
            <v>O Asiatic ( 15 inch ) 2 P n W Car ( 14 inch ) 7   Grass</v>
          </cell>
          <cell r="Q50" t="str">
            <v>P Spray Daisy ( 15 Inch ) 3 Rajni( 12 Inch ) 7   FF Sachet + Grass</v>
          </cell>
          <cell r="R50" t="str">
            <v>Pur Eustoma ( 12 Inch ) 2 Mix Alstroemeria ( 12 Inch ) 7   FF Sachet + Grass</v>
          </cell>
          <cell r="S50" t="str">
            <v>Sunflower ( 12 Inch ) 2 P n W Glad ( 14 Inch ) 7   FF Sachet + Grass</v>
          </cell>
          <cell r="T50" t="str">
            <v>Y Asiatic ( 14 Inch ) 2 Pur n P Car ( 14 Inch ) 7   Grass</v>
          </cell>
        </row>
        <row r="51">
          <cell r="A51">
            <v>2550</v>
          </cell>
          <cell r="B51" t="str">
            <v>Pooja Singh</v>
          </cell>
          <cell r="C51">
            <v>9810123062</v>
          </cell>
          <cell r="D51" t="str">
            <v>B-289, 3rd Floor, Anantraj Estates, Sec 63 A</v>
          </cell>
          <cell r="E51" t="str">
            <v>Ghata</v>
          </cell>
          <cell r="F51" t="str">
            <v>Sunday</v>
          </cell>
          <cell r="G51" t="str">
            <v>9 AM - 12 PM</v>
          </cell>
          <cell r="H51">
            <v>1450</v>
          </cell>
          <cell r="I51">
            <v>362.5</v>
          </cell>
          <cell r="J51" t="str">
            <v>Bliss</v>
          </cell>
          <cell r="K51" t="str">
            <v>Hold today n sned on Tuesday (18/05) Skip this week and send on Monday(01/01/26) Return today (18/01)</v>
          </cell>
          <cell r="N51" t="str">
            <v>2  del of this cycle   -  0-cycles pmnt   Completed - Collect 0</v>
          </cell>
          <cell r="O51" t="str">
            <v>P Spray Daisy ( 15 inch ) 3 P n W Glad ( 14 inch ) 7   FF Sachet + Grass</v>
          </cell>
          <cell r="P51" t="str">
            <v>O Asiatic ( 15 inch ) 2 P n W Car ( 14 inch ) 7   Grass</v>
          </cell>
          <cell r="Q51" t="str">
            <v>Sunflower ( 12 Inch ) 2 Mix Glad  ( 12 Inch ) 7   Grass</v>
          </cell>
          <cell r="R51" t="str">
            <v>Pur Eustoma ( 12 Inch ) 2 Mix Alstroemeria ( 12 Inch ) 7   FF Sachet + Grass</v>
          </cell>
          <cell r="S51" t="str">
            <v>P Spray Daisy ( 14 Inch ) 3 Pur n P Car ( 14 Inch ) 7   FF Sachet + Grass</v>
          </cell>
          <cell r="T51" t="str">
            <v>P Asiatic ( 14 Inch ) 2 B Daisy ( 12 Inch ) 7   Grass</v>
          </cell>
        </row>
        <row r="52">
          <cell r="A52">
            <v>3359</v>
          </cell>
          <cell r="B52" t="str">
            <v>Payal Soni</v>
          </cell>
          <cell r="C52">
            <v>7508901884</v>
          </cell>
          <cell r="D52" t="str">
            <v>T-9/1403, Pyramid Sec 67 A, Badshahpur Road, Near Iskcon</v>
          </cell>
          <cell r="E52" t="str">
            <v>Badshahpur</v>
          </cell>
          <cell r="F52" t="str">
            <v>Sunday</v>
          </cell>
          <cell r="G52" t="str">
            <v>9 AM - 12 PM</v>
          </cell>
          <cell r="H52">
            <v>1450</v>
          </cell>
          <cell r="I52">
            <v>362.5</v>
          </cell>
          <cell r="J52" t="str">
            <v>Bliss</v>
          </cell>
          <cell r="K52" t="str">
            <v>No Glad and day changed to Sunday 904/06)</v>
          </cell>
          <cell r="L52" t="str">
            <v>Glad</v>
          </cell>
          <cell r="N52" t="str">
            <v>3  del of this cycle   -  0-cycles pmnt   Completed - Collect 0</v>
          </cell>
          <cell r="O52" t="e">
            <v>#N/A</v>
          </cell>
          <cell r="P52" t="e">
            <v>#N/A</v>
          </cell>
          <cell r="Q52" t="e">
            <v>#N/A</v>
          </cell>
          <cell r="R52" t="str">
            <v>Mix Alstroemeria ( 12 Inch ) 16     FF Sachet + Grass</v>
          </cell>
          <cell r="S52" t="str">
            <v>P Asiatic ( 14 Inch ) 3     Grass</v>
          </cell>
          <cell r="T52" t="str">
            <v>Pur n P Car ( 14 Inch ) 16     FF Sachet + Grass</v>
          </cell>
        </row>
        <row r="53">
          <cell r="A53">
            <v>2612</v>
          </cell>
          <cell r="B53" t="str">
            <v>Anjli Mata</v>
          </cell>
          <cell r="C53">
            <v>9810098755</v>
          </cell>
          <cell r="D53" t="str">
            <v>A-73, The Summit</v>
          </cell>
          <cell r="E53" t="str">
            <v>Golf Course Road</v>
          </cell>
          <cell r="F53" t="str">
            <v>Sunday</v>
          </cell>
          <cell r="G53" t="str">
            <v>9 AM - 12 PM</v>
          </cell>
          <cell r="H53">
            <v>999</v>
          </cell>
          <cell r="I53">
            <v>249.75</v>
          </cell>
          <cell r="J53" t="str">
            <v>Delight</v>
          </cell>
          <cell r="K53" t="str">
            <v>Skip 1 week (06/01) Skip 1 week (22/01) Skip 1 week (09/03) Add changed (11/03) Day changed to Sunday -- check with customer first (19/05)</v>
          </cell>
          <cell r="N53" t="str">
            <v>3  del of this cycle   -  0-cycles pmnt   Completed - Collect 0</v>
          </cell>
          <cell r="O53" t="e">
            <v>#N/A</v>
          </cell>
          <cell r="P53" t="str">
            <v>Y Asiatic 2     Grass</v>
          </cell>
          <cell r="Q53" t="str">
            <v>Pur n p Car ( 14 Inch ) 9     FF Sachet + Grass</v>
          </cell>
          <cell r="R53" t="str">
            <v>Mix Alstroemeria ( 12 Inch ) 9     FF Sachet + Grass</v>
          </cell>
          <cell r="S53" t="str">
            <v>Sunflower ( 12 Inch ) 2     FF Sachet + Grass</v>
          </cell>
          <cell r="T53" t="str">
            <v>P n W Glad ( 14 Inch ) 9     Grass</v>
          </cell>
        </row>
        <row r="54">
          <cell r="A54">
            <v>2458</v>
          </cell>
          <cell r="B54" t="str">
            <v>Kiran Yadav -- 1450 Pack</v>
          </cell>
          <cell r="C54">
            <v>9811801284</v>
          </cell>
          <cell r="D54" t="str">
            <v>E-1402, Palm Drive</v>
          </cell>
          <cell r="E54" t="str">
            <v>Badshahpur</v>
          </cell>
          <cell r="F54" t="str">
            <v>Sunday</v>
          </cell>
          <cell r="G54" t="str">
            <v>10 AM to 2:30 PM</v>
          </cell>
          <cell r="H54">
            <v>999</v>
          </cell>
          <cell r="I54">
            <v>249.75</v>
          </cell>
          <cell r="J54" t="str">
            <v>Delight</v>
          </cell>
          <cell r="K54" t="str">
            <v>Recvd 2000 Today (21/04) Pls send Rose/Gerbera and Rise laos (04/06) Skip 1 week (28/06) Skip next week after(27/09) Send Replacement tom (21/04)</v>
          </cell>
          <cell r="N54" t="str">
            <v>2  del of this cycle   -  0-cycles pmnt   CompletedNO COLLECTION-we have extra money - Collect -23</v>
          </cell>
          <cell r="O54" t="str">
            <v>Mix Alstroemeria ( 14 inch ) 9     FF Sachet + Grass</v>
          </cell>
          <cell r="P54" t="str">
            <v>Y Asiatic ( 15 Inch ) 2     Grass</v>
          </cell>
          <cell r="Q54" t="str">
            <v>R n W Car( 14 Inch)  9     FF Sachet + Grass</v>
          </cell>
          <cell r="R54" t="str">
            <v>P n W Glad ( 14 Inch ) 9     Grass</v>
          </cell>
          <cell r="S54" t="str">
            <v>Sunflower ( 12 Inch ) 2     FF Sachet + Grass</v>
          </cell>
          <cell r="T54" t="str">
            <v>B Daisy ( 12 Inch ) 9     Grass</v>
          </cell>
        </row>
        <row r="55">
          <cell r="A55">
            <v>1455</v>
          </cell>
          <cell r="B55" t="str">
            <v>Gagan Ahluwalia</v>
          </cell>
          <cell r="C55">
            <v>9811105056</v>
          </cell>
          <cell r="D55" t="str">
            <v>C-82, The Summit</v>
          </cell>
          <cell r="E55" t="str">
            <v>Golf Course Road</v>
          </cell>
          <cell r="F55" t="str">
            <v>Thursday</v>
          </cell>
          <cell r="G55" t="str">
            <v>9 AM - 12 PM</v>
          </cell>
          <cell r="H55">
            <v>2300</v>
          </cell>
          <cell r="I55">
            <v>287.5</v>
          </cell>
          <cell r="J55" t="str">
            <v>Felicity</v>
          </cell>
          <cell r="K55"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5" t="str">
            <v>4  del of this cycle   -  0-cycles pmnt   Completed - Collect 0</v>
          </cell>
          <cell r="O55" t="e">
            <v>#N/A</v>
          </cell>
          <cell r="P55" t="e">
            <v>#N/A</v>
          </cell>
          <cell r="Q55" t="e">
            <v>#N/A</v>
          </cell>
          <cell r="R55" t="str">
            <v>Sunflower ( 12 Inch ) 3     FF Sachet + Grass</v>
          </cell>
          <cell r="S55" t="str">
            <v>O Asiatic ( 14 Inch ) 2     Grass</v>
          </cell>
          <cell r="T55" t="str">
            <v>B Daisy ( 12 Inch ) 11     Grass</v>
          </cell>
        </row>
        <row r="56">
          <cell r="A56">
            <v>2444</v>
          </cell>
          <cell r="B56" t="str">
            <v>Navpreet Gill</v>
          </cell>
          <cell r="C56">
            <v>8076406029</v>
          </cell>
          <cell r="D56" t="str">
            <v>H. No. 1662, 2nd Floor. Near Oil Indian Petrol Pump, Wazirabad</v>
          </cell>
          <cell r="E56" t="str">
            <v>Sector 56</v>
          </cell>
          <cell r="F56" t="str">
            <v>Sunday</v>
          </cell>
          <cell r="G56" t="str">
            <v>9 AM to 2 PM</v>
          </cell>
          <cell r="H56">
            <v>1450</v>
          </cell>
          <cell r="I56">
            <v>362.5</v>
          </cell>
          <cell r="J56" t="str">
            <v>Bliss</v>
          </cell>
          <cell r="K56" t="str">
            <v>Insta // Return today (20/03) Hold today (27/03) Set replacement today (19/04) Hold n start after 2 week(15/05) Today returned (19/04) Send tom (20/04) HDTNP (03/05) Send on Tuesday this week (03/05)</v>
          </cell>
          <cell r="N56" t="str">
            <v>2  del of this cycle   -  0-cycles pmnt   Completed - Collect 0</v>
          </cell>
          <cell r="O56" t="str">
            <v>Mix Alstroemeria ( 14 inch ) 16     FF Sachet + Grass</v>
          </cell>
          <cell r="P56" t="str">
            <v>Y Asiatic ( 15 Inch ) 3     Grass</v>
          </cell>
          <cell r="Q56" t="str">
            <v>R n W Car( 14 Inch)  16     FF Sachet + Grass</v>
          </cell>
          <cell r="R56" t="str">
            <v>P n W Glad ( 14 Inch ) 16     Grass</v>
          </cell>
          <cell r="S56" t="str">
            <v>P n W Spray Daisy ( 14 Inch ) 5     FF Sachet + Grass</v>
          </cell>
          <cell r="T56" t="str">
            <v>Pur Eustoma ( 12 Inch ) 3     FF Sachet + Grass</v>
          </cell>
        </row>
        <row r="57">
          <cell r="A57">
            <v>212</v>
          </cell>
          <cell r="B57" t="str">
            <v>Shalini Sinha</v>
          </cell>
          <cell r="C57">
            <v>9810453173</v>
          </cell>
          <cell r="D57" t="str">
            <v>A4/602, World Spa East</v>
          </cell>
          <cell r="E57" t="str">
            <v>South City 1</v>
          </cell>
          <cell r="F57" t="str">
            <v>Saturday</v>
          </cell>
          <cell r="G57" t="str">
            <v>9 AM - 12 PM</v>
          </cell>
          <cell r="H57">
            <v>1450</v>
          </cell>
          <cell r="I57">
            <v>362.5</v>
          </cell>
          <cell r="J57" t="str">
            <v>Bliss</v>
          </cell>
          <cell r="K57" t="str">
            <v>No white color of Car n Gerbera(17/06)Send Mix Gerbera in next del(11/10)Pls send gerbera in next del n 1 stick extra(12/10) Sending on 20th instaed of 21st,bcoz of Holi(18/03) Next Del on Friday with Car/Gerbera(25/04) Car Tom(29/05) ALWAYS CAR(30/05) FF Sold today(25/07) Skip 1 week(12/08) Sending thursday del on friday(28/05/2020) NO WHITE COLOR OF FLOWER EXCEPT RAJNI(29/10) Gerbera Next(04/12) Colorful Gerbera and car this cycle(10/02) NO GLAD n ORCHID (20/01) Skip 2 weeks (01/06)</v>
          </cell>
          <cell r="L57" t="str">
            <v xml:space="preserve">ORCHID n GLAD </v>
          </cell>
          <cell r="N57" t="str">
            <v>1  del of this cycle   -  1-cycles pmnt   Pending - Collect 1450</v>
          </cell>
          <cell r="O57" t="e">
            <v>#N/A</v>
          </cell>
          <cell r="P57" t="e">
            <v>#N/A</v>
          </cell>
          <cell r="Q57" t="e">
            <v>#N/A</v>
          </cell>
          <cell r="R57" t="e">
            <v>#N/A</v>
          </cell>
          <cell r="S57" t="e">
            <v>#N/A</v>
          </cell>
          <cell r="T57" t="str">
            <v>Pur n P Car ( 14 Inch ) 16     FF Sachet + Grass</v>
          </cell>
        </row>
        <row r="58">
          <cell r="A58">
            <v>2192</v>
          </cell>
          <cell r="B58" t="str">
            <v>Prabhdeep Kaur</v>
          </cell>
          <cell r="C58">
            <v>7456879082</v>
          </cell>
          <cell r="D58" t="str">
            <v>C-173, 2nd Floor,South City 2</v>
          </cell>
          <cell r="E58" t="str">
            <v>Nirvana Country</v>
          </cell>
          <cell r="F58" t="str">
            <v>Sunday</v>
          </cell>
          <cell r="G58" t="str">
            <v>9 AM - 12 PM</v>
          </cell>
          <cell r="H58">
            <v>1450</v>
          </cell>
          <cell r="I58">
            <v>362.5</v>
          </cell>
          <cell r="J58" t="str">
            <v>Bliss</v>
          </cell>
          <cell r="K58" t="str">
            <v>Today Returned (18/08) Gpay from Preity Dadwal (20/10) Hold after current cuycle (22/12) Today Returned (29/12) Today returned (17/08) Today returned (16/11) Do not count 25th Jan Del (01/03) Pne more payment received today (2/03) Sent one del today -skip tom (07/03)</v>
          </cell>
          <cell r="N58" t="str">
            <v>3  del of this cycle   -  0-cycles pmnt   Completed - Collect 0</v>
          </cell>
          <cell r="O58" t="str">
            <v>Mix Alstroemeria ( 14 inch ) 16     FF Sachet + Grass</v>
          </cell>
          <cell r="P58" t="str">
            <v>O Asiatic ( 15 inch ) 3     Grass</v>
          </cell>
          <cell r="Q58" t="str">
            <v>P n W Spray Daisy ( 15 Inch ) 5     FF Sachet + Grass</v>
          </cell>
          <cell r="R58" t="str">
            <v>P n W Glad ( 14 Inch ) 16     Grass</v>
          </cell>
          <cell r="S58" t="str">
            <v>Pur n P Car ( 14 Inch ) 16     FF Sachet + Grass</v>
          </cell>
          <cell r="T58" t="str">
            <v>P Eustoma ( 12 Inch ) 3     FF Sachet + Grass</v>
          </cell>
        </row>
        <row r="59">
          <cell r="A59" t="str">
            <v>B56236</v>
          </cell>
          <cell r="B59" t="str">
            <v>Rupinder Kaur</v>
          </cell>
          <cell r="C59">
            <v>9313292209</v>
          </cell>
          <cell r="D59" t="str">
            <v>325, Deerwood Chase</v>
          </cell>
          <cell r="E59" t="str">
            <v>Nirvana Country</v>
          </cell>
          <cell r="F59" t="str">
            <v>Sunday</v>
          </cell>
          <cell r="G59" t="str">
            <v>By 10 AM</v>
          </cell>
          <cell r="H59">
            <v>4000</v>
          </cell>
          <cell r="I59">
            <v>4000</v>
          </cell>
          <cell r="J59" t="str">
            <v>Fathers day</v>
          </cell>
          <cell r="K59" t="str">
            <v>Mix of azzure blus and whispering petals</v>
          </cell>
          <cell r="N59" t="str">
            <v>Pls Collect 4000</v>
          </cell>
          <cell r="O59" t="e">
            <v>#N/A</v>
          </cell>
          <cell r="P59" t="e">
            <v>#N/A</v>
          </cell>
          <cell r="Q59" t="e">
            <v>#N/A</v>
          </cell>
          <cell r="R59" t="e">
            <v>#N/A</v>
          </cell>
          <cell r="S59" t="e">
            <v>#N/A</v>
          </cell>
          <cell r="T59" t="str">
            <v xml:space="preserve">P n Y n W  Spray Daisy + P Saintini Spray Daisy + B Daisy + P Rose + P n W Car  12 + 8 + 20 + 15 + 15 Tissue Wrap    </v>
          </cell>
        </row>
        <row r="60">
          <cell r="A60" t="str">
            <v>B56200</v>
          </cell>
          <cell r="B60" t="str">
            <v>Ruchi Parents</v>
          </cell>
          <cell r="C60">
            <v>9810055015</v>
          </cell>
          <cell r="D60" t="str">
            <v>MS-4. Apt No. 701, Kendiya Vihar, Sector 56</v>
          </cell>
          <cell r="E60" t="str">
            <v>Sector 56</v>
          </cell>
          <cell r="F60" t="str">
            <v>Sunday</v>
          </cell>
          <cell r="G60" t="str">
            <v>By 10 AM</v>
          </cell>
          <cell r="H60">
            <v>3150</v>
          </cell>
          <cell r="I60">
            <v>3150</v>
          </cell>
          <cell r="J60" t="str">
            <v>Fathers day</v>
          </cell>
          <cell r="K60" t="str">
            <v>8 P Oriental and 20 Peach Rose in Woven Basket wiyh Cookies from Chokola</v>
          </cell>
          <cell r="N60" t="str">
            <v>Pls Collect 4595 Carry Change</v>
          </cell>
          <cell r="O60" t="e">
            <v>#N/A</v>
          </cell>
          <cell r="P60" t="e">
            <v>#N/A</v>
          </cell>
          <cell r="Q60" t="e">
            <v>#N/A</v>
          </cell>
          <cell r="R60" t="e">
            <v>#N/A</v>
          </cell>
          <cell r="S60" t="e">
            <v>#N/A</v>
          </cell>
          <cell r="T60" t="str">
            <v>Semi Bloom P Oriental + Peach Rose 8 + 20 Basket Cookies from Chokola   Message</v>
          </cell>
        </row>
        <row r="61">
          <cell r="A61">
            <v>1570</v>
          </cell>
          <cell r="B61" t="str">
            <v>Nisha Syriac</v>
          </cell>
          <cell r="C61">
            <v>9711811545</v>
          </cell>
          <cell r="D61" t="str">
            <v>G202, DLF Park Place Heights, Golf Course Road</v>
          </cell>
          <cell r="E61" t="str">
            <v>Golf Course Road</v>
          </cell>
          <cell r="F61" t="str">
            <v>Sunday</v>
          </cell>
          <cell r="G61" t="str">
            <v>9:30 Am to 2 PM</v>
          </cell>
          <cell r="H61">
            <v>1450</v>
          </cell>
          <cell r="I61">
            <v>362.5</v>
          </cell>
          <cell r="J61" t="str">
            <v>Bliss</v>
          </cell>
          <cell r="K61"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61" t="str">
            <v>Rajni n Orchid</v>
          </cell>
          <cell r="M61" t="str">
            <v xml:space="preserve">Single Color Flowers </v>
          </cell>
          <cell r="N61" t="str">
            <v>4  del of this cycle   -  0-cycles pmnt   Completed - Collect 0</v>
          </cell>
          <cell r="O61" t="e">
            <v>#N/A</v>
          </cell>
          <cell r="P61" t="e">
            <v>#N/A</v>
          </cell>
          <cell r="Q61" t="e">
            <v>#N/A</v>
          </cell>
          <cell r="R61" t="str">
            <v>P Alstroemeria ( 12 Inch ) 16 Single Color Flower  Single Color Flower    FF Sachet + Grass</v>
          </cell>
          <cell r="S61" t="str">
            <v>P Spray Daisy ( 14 Inch ) 5     FF Sachet + Grass</v>
          </cell>
          <cell r="T61" t="str">
            <v>Pur n P Car ( 14 Inch ) 16     FF Sachet + Grass</v>
          </cell>
        </row>
        <row r="62">
          <cell r="A62">
            <v>257</v>
          </cell>
          <cell r="B62" t="str">
            <v>Mrs Munjal -- After 5 PM</v>
          </cell>
          <cell r="C62">
            <v>9818871139</v>
          </cell>
          <cell r="D62" t="str">
            <v>B- 22 Sushant Lok 2, sector 56 (Behind sector 56 police station)</v>
          </cell>
          <cell r="E62" t="str">
            <v>Sector 56</v>
          </cell>
          <cell r="F62" t="str">
            <v>Sunday</v>
          </cell>
          <cell r="G62" t="str">
            <v>9 AM - 12 PM</v>
          </cell>
          <cell r="H62">
            <v>1450</v>
          </cell>
          <cell r="I62">
            <v>362.5</v>
          </cell>
          <cell r="J62" t="str">
            <v>Bliss</v>
          </cell>
          <cell r="K62"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62" t="str">
            <v>4  del of this cycle   -  0-cycles pmnt   Completed - Collect 0</v>
          </cell>
          <cell r="O62" t="str">
            <v>Mix Alstroemeria ( 14 inch ) 16     FF Sachet + Grass</v>
          </cell>
          <cell r="P62" t="str">
            <v>O Asiatic ( 15 inch ) 3     Grass</v>
          </cell>
          <cell r="Q62" t="str">
            <v>P n W Glad ( 14 Inch ) 16     Grass</v>
          </cell>
          <cell r="R62" t="str">
            <v>P n Y Spray Daisy ( 14 Inch ) 5     FF Sachet + Grass</v>
          </cell>
          <cell r="S62" t="str">
            <v>Pur n P Car ( 14 Inch ) 16     FF Sachet + Grass</v>
          </cell>
          <cell r="T62" t="str">
            <v>P Eustoma ( 12 Inch ) 3     FF Sachet + Grass</v>
          </cell>
        </row>
        <row r="63">
          <cell r="A63" t="str">
            <v>B56227</v>
          </cell>
          <cell r="B63" t="str">
            <v>Jasbir singh</v>
          </cell>
          <cell r="C63">
            <v>9997092561</v>
          </cell>
          <cell r="D63" t="str">
            <v>514-A, The Camellias</v>
          </cell>
          <cell r="E63" t="str">
            <v>Golf Course Road</v>
          </cell>
          <cell r="F63" t="str">
            <v>Saturday</v>
          </cell>
          <cell r="G63" t="str">
            <v>By 12 PM</v>
          </cell>
          <cell r="H63">
            <v>6700</v>
          </cell>
          <cell r="I63">
            <v>6700</v>
          </cell>
          <cell r="J63" t="str">
            <v>Fathers day</v>
          </cell>
          <cell r="K63" t="str">
            <v>4 Hydrangea , 1.5 bunch colored babys breath and colored baby dollar in bigger bunch</v>
          </cell>
          <cell r="N63" t="str">
            <v>1  del of this cycle   -  1-cycles pmnt   Pending - Collect 6700</v>
          </cell>
          <cell r="O63" t="e">
            <v>#N/A</v>
          </cell>
          <cell r="P63" t="e">
            <v>#N/A</v>
          </cell>
          <cell r="Q63" t="e">
            <v>#N/A</v>
          </cell>
          <cell r="R63" t="e">
            <v>#N/A</v>
          </cell>
          <cell r="S63" t="e">
            <v>#N/A</v>
          </cell>
          <cell r="T63" t="str">
            <v xml:space="preserve">B Hydrangea + Light Color Babys Breath + Light B Color Baby Dollar 4 + 1.5 Bunch + 7 Big n Large Bouquet in Blue n W Korean Sheet Message   </v>
          </cell>
        </row>
        <row r="64">
          <cell r="A64" t="str">
            <v>B56219</v>
          </cell>
          <cell r="B64" t="str">
            <v>Chipra</v>
          </cell>
          <cell r="C64">
            <v>9711732778</v>
          </cell>
          <cell r="D64" t="str">
            <v>A-174, The Belaire</v>
          </cell>
          <cell r="E64" t="str">
            <v>Golf Course Road</v>
          </cell>
          <cell r="F64" t="str">
            <v>Sunday</v>
          </cell>
          <cell r="G64" t="str">
            <v>By 12 PM</v>
          </cell>
          <cell r="H64">
            <v>900</v>
          </cell>
          <cell r="I64">
            <v>900</v>
          </cell>
          <cell r="J64" t="str">
            <v>Fathers day</v>
          </cell>
          <cell r="K64" t="str">
            <v>8 Rajni and 8 Car in Single wrap// Hello Ritesh, Vhintu      You are our cutie pie,      You are an awesome dad and we love you.   Thank you being our sunshine always.    Ria Riana (20/06)</v>
          </cell>
          <cell r="N64" t="str">
            <v>1  del of this cycle   -  0-cycles pmnt   Completed - Collect 0</v>
          </cell>
          <cell r="O64" t="e">
            <v>#N/A</v>
          </cell>
          <cell r="P64" t="e">
            <v>#N/A</v>
          </cell>
          <cell r="Q64" t="e">
            <v>#N/A</v>
          </cell>
          <cell r="R64" t="e">
            <v>#N/A</v>
          </cell>
          <cell r="S64" t="e">
            <v>#N/A</v>
          </cell>
          <cell r="T64" t="str">
            <v xml:space="preserve">Rajni + P Car 8 + 8 Single Wrap Message   </v>
          </cell>
        </row>
        <row r="65">
          <cell r="A65">
            <v>2112</v>
          </cell>
          <cell r="B65" t="str">
            <v>Tarushi</v>
          </cell>
          <cell r="C65">
            <v>9999761657</v>
          </cell>
          <cell r="D65" t="str">
            <v>T-3/202, Emaar The Palm Terrace, Sec 66</v>
          </cell>
          <cell r="E65" t="str">
            <v>Badshahpur</v>
          </cell>
          <cell r="F65" t="str">
            <v>Sunday</v>
          </cell>
          <cell r="G65" t="str">
            <v>9 AM - 12 PM</v>
          </cell>
          <cell r="H65">
            <v>1450</v>
          </cell>
          <cell r="I65">
            <v>362.5</v>
          </cell>
          <cell r="J65" t="str">
            <v>Bliss</v>
          </cell>
          <cell r="K65"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v>
          </cell>
          <cell r="M65" t="str">
            <v>Mixed Flowers n Long Stem  // 1 Oriental and 2 Car Next (14/05)</v>
          </cell>
          <cell r="N65" t="str">
            <v>2  del of this cycle   -  1-cycles pmnt   Pending - Collect 1450</v>
          </cell>
          <cell r="O65" t="str">
            <v>Sunflower ( 15 inch ) 2 P n W Glad ( 14 inch ) 7   Grass</v>
          </cell>
          <cell r="P65" t="e">
            <v>#N/A</v>
          </cell>
          <cell r="Q65" t="str">
            <v>O Asiatic ( 15 Inch ) 2 R n W Car ( 14 Inch ) 7   Grass</v>
          </cell>
          <cell r="R65" t="str">
            <v>Y Spray Daisy ( 14 Inch ) 3 Mix Alstroemeria ( 12 Inch ) 7   FF Sachet + Grass</v>
          </cell>
          <cell r="S65" t="str">
            <v>P Eustoma ( 12 Inch ) 2 P n W Glad ( 14 Inch ) 7   FF Sachet + Grass</v>
          </cell>
          <cell r="T65" t="str">
            <v>P Asiatic ( 14 Inch ) 2 B Daisy ( 12 Inch ) 7   Grass</v>
          </cell>
        </row>
        <row r="66">
          <cell r="A66" t="str">
            <v>B56217</v>
          </cell>
          <cell r="B66" t="str">
            <v>Nupur Setia</v>
          </cell>
          <cell r="C66">
            <v>7828446059</v>
          </cell>
          <cell r="D66" t="str">
            <v>T-5/703, Uniworld Garden 1</v>
          </cell>
          <cell r="E66" t="str">
            <v>Sohna Road 1</v>
          </cell>
          <cell r="F66" t="str">
            <v>Sunday</v>
          </cell>
          <cell r="G66" t="str">
            <v>By 10 AM</v>
          </cell>
          <cell r="H66">
            <v>2800</v>
          </cell>
          <cell r="I66">
            <v>2800</v>
          </cell>
          <cell r="J66" t="str">
            <v>Fathers day</v>
          </cell>
          <cell r="K66" t="str">
            <v>40 Red Rose in Bow Box // Happy Father's Day… Love  - Aayaan &amp; Vaayu</v>
          </cell>
          <cell r="N66" t="str">
            <v>1  del of this cycle   -  0-cycles pmnt   Completed - Collect 0</v>
          </cell>
          <cell r="O66" t="e">
            <v>#N/A</v>
          </cell>
          <cell r="P66" t="e">
            <v>#N/A</v>
          </cell>
          <cell r="Q66" t="e">
            <v>#N/A</v>
          </cell>
          <cell r="R66" t="e">
            <v>#N/A</v>
          </cell>
          <cell r="S66" t="e">
            <v>#N/A</v>
          </cell>
          <cell r="T66" t="str">
            <v xml:space="preserve">R Rose 40 In Black Bow Box  Message   </v>
          </cell>
        </row>
        <row r="67">
          <cell r="A67" t="str">
            <v>G-00056</v>
          </cell>
          <cell r="B67" t="str">
            <v>Triveni Wahi</v>
          </cell>
          <cell r="C67">
            <v>7503975035</v>
          </cell>
          <cell r="D67" t="str">
            <v>B-14/12 C, Dlf The Grove</v>
          </cell>
          <cell r="E67" t="str">
            <v>DLF Phase 5</v>
          </cell>
          <cell r="F67" t="str">
            <v>Sunday</v>
          </cell>
          <cell r="G67" t="str">
            <v>9 AM - 12 PM</v>
          </cell>
          <cell r="H67">
            <v>1450</v>
          </cell>
          <cell r="I67">
            <v>362.5</v>
          </cell>
          <cell r="J67" t="str">
            <v>Bliss</v>
          </cell>
          <cell r="K67" t="str">
            <v>From Madhulika Geeta Chopra // 2sesonal Extra next (05/05) Today Returned -send next week (24/05) Today returned - hold (14/06)</v>
          </cell>
          <cell r="M67" t="str">
            <v>2 sesonal Extra next (05/05)</v>
          </cell>
          <cell r="N67" t="str">
            <v>3  del of this cycle   -  0-cycles pmnt   Completed - Collect 0</v>
          </cell>
          <cell r="O67" t="str">
            <v>P n W Glad ( 14 inch ) 16     Grass</v>
          </cell>
          <cell r="P67" t="str">
            <v>O Asiatic ( 15 inch ) 3     Grass</v>
          </cell>
          <cell r="Q67" t="str">
            <v>P n W Car ( 14 inch ) 16     FF Sachet + Grass</v>
          </cell>
          <cell r="R67" t="str">
            <v>Mix Alstroemeria ( 12 Inch ) 16     FF Sachet + Grass</v>
          </cell>
          <cell r="S67" t="str">
            <v>P n W Spray Daisy ( 14 Inch ) 5     FF Sachet + Grass</v>
          </cell>
          <cell r="T67" t="str">
            <v>P n W Spray Daisy ( 14 Inch ) 5     FF Sachet + Grass</v>
          </cell>
        </row>
        <row r="68">
          <cell r="A68" t="str">
            <v>B56183</v>
          </cell>
          <cell r="B68" t="str">
            <v>Dimpi Singh</v>
          </cell>
          <cell r="C68">
            <v>8510083681</v>
          </cell>
          <cell r="D68" t="str">
            <v>0805A Laburnum Condominium Complex, Sushant Lok Block A,Sector 28, Gurugram 122002</v>
          </cell>
          <cell r="E68" t="str">
            <v>M G Road</v>
          </cell>
          <cell r="F68" t="str">
            <v>Sunday</v>
          </cell>
          <cell r="G68" t="str">
            <v>By 10 AM</v>
          </cell>
          <cell r="H68">
            <v>700</v>
          </cell>
          <cell r="I68">
            <v>2100</v>
          </cell>
          <cell r="J68" t="str">
            <v>Fathers day</v>
          </cell>
          <cell r="K68" t="str">
            <v>3 Box with 3 Pur Eustoma</v>
          </cell>
          <cell r="N68" t="str">
            <v>1  del of this cycle   -  1-cycles pmnt   Pending - Collect 700</v>
          </cell>
          <cell r="O68" t="e">
            <v>#N/A</v>
          </cell>
          <cell r="P68" t="e">
            <v>#N/A</v>
          </cell>
          <cell r="Q68" t="e">
            <v>#N/A</v>
          </cell>
          <cell r="R68" t="e">
            <v>#N/A</v>
          </cell>
          <cell r="S68" t="e">
            <v>#N/A</v>
          </cell>
          <cell r="T68" t="str">
            <v xml:space="preserve">Pur Eustoma 3 1 Box    </v>
          </cell>
        </row>
        <row r="69">
          <cell r="A69">
            <v>2878</v>
          </cell>
          <cell r="B69" t="str">
            <v>Aditi Bhatt</v>
          </cell>
          <cell r="C69">
            <v>7506091115</v>
          </cell>
          <cell r="D69" t="str">
            <v>D-225, 2nd Floor, Sushant Lok-2, Sec 56</v>
          </cell>
          <cell r="E69" t="str">
            <v>Sector 56</v>
          </cell>
          <cell r="F69" t="str">
            <v>Sunday</v>
          </cell>
          <cell r="G69" t="str">
            <v>9 AM - 12 PM</v>
          </cell>
          <cell r="H69">
            <v>999</v>
          </cell>
          <cell r="I69">
            <v>249.75</v>
          </cell>
          <cell r="J69" t="str">
            <v>Delight</v>
          </cell>
          <cell r="K69"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69" t="str">
            <v>No White Local Gypsy</v>
          </cell>
          <cell r="N69" t="str">
            <v>1  del of this cycle   -  1-cycles pmnt   Pending - Collect 999</v>
          </cell>
          <cell r="O69" t="str">
            <v>P Spray Daisy ( 15 inch ) 3 No White Greens    FF Sachet + Grass</v>
          </cell>
          <cell r="P69" t="str">
            <v>P n W Glad ( 14 inch ) 9     Grass</v>
          </cell>
          <cell r="Q69" t="str">
            <v>O Asiatic ( 15 Inch ) 2     Grass</v>
          </cell>
          <cell r="R69" t="str">
            <v>Pur n P Car ( 14 Inch ) 9     FF Sachet + Grass</v>
          </cell>
          <cell r="S69" t="e">
            <v>#N/A</v>
          </cell>
          <cell r="T69" t="str">
            <v>B Daisy ( 12 Inch ) 9     Grass</v>
          </cell>
        </row>
        <row r="70">
          <cell r="A70">
            <v>1470</v>
          </cell>
          <cell r="B70" t="str">
            <v>Ankit Goyal</v>
          </cell>
          <cell r="C70">
            <v>9582406060</v>
          </cell>
          <cell r="D70" t="str">
            <v>A-402, La Lagune</v>
          </cell>
          <cell r="E70" t="str">
            <v>Golf Course Road</v>
          </cell>
          <cell r="F70" t="str">
            <v>Sunday</v>
          </cell>
          <cell r="G70" t="str">
            <v>9 AM - 12 PM</v>
          </cell>
          <cell r="H70">
            <v>2750</v>
          </cell>
          <cell r="I70">
            <v>687.5</v>
          </cell>
          <cell r="J70" t="str">
            <v>Elation</v>
          </cell>
          <cell r="K70"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0" t="str">
            <v>2  del of this cycle   -  1-cycles pmnt   Pending - Collect 2750</v>
          </cell>
          <cell r="O70" t="e">
            <v>#N/A</v>
          </cell>
          <cell r="P70" t="e">
            <v>#N/A</v>
          </cell>
          <cell r="Q70" t="e">
            <v>#N/A</v>
          </cell>
          <cell r="R70" t="e">
            <v>#N/A</v>
          </cell>
          <cell r="S70" t="e">
            <v>#N/A</v>
          </cell>
          <cell r="T70" t="str">
            <v>O Asiatic ( 14 Inch )' 6     2 Gypsola</v>
          </cell>
        </row>
        <row r="71">
          <cell r="A71">
            <v>3386</v>
          </cell>
          <cell r="B71" t="str">
            <v>Devina Duggal</v>
          </cell>
          <cell r="C71">
            <v>9992399954</v>
          </cell>
          <cell r="D71" t="str">
            <v>Sadev, C-149, Suncity, Ground Floor</v>
          </cell>
          <cell r="E71" t="str">
            <v>Golf Course Road</v>
          </cell>
          <cell r="F71" t="str">
            <v>Sunday</v>
          </cell>
          <cell r="G71" t="str">
            <v>9:30 Am to 2 PM</v>
          </cell>
          <cell r="H71">
            <v>2750</v>
          </cell>
          <cell r="I71">
            <v>687.5</v>
          </cell>
          <cell r="J71" t="str">
            <v>Elation</v>
          </cell>
          <cell r="N71" t="str">
            <v>1  del of this cycle   -  1-cycles pmnt   Pending - Collect 2750</v>
          </cell>
          <cell r="O71" t="e">
            <v>#N/A</v>
          </cell>
          <cell r="P71" t="e">
            <v>#N/A</v>
          </cell>
          <cell r="Q71" t="e">
            <v>#N/A</v>
          </cell>
          <cell r="R71" t="e">
            <v>#N/A</v>
          </cell>
          <cell r="S71" t="e">
            <v>#N/A</v>
          </cell>
          <cell r="T71" t="str">
            <v>Pur n P Car ( 14 Inch ) 32     2 Gypsola + FF Sachet</v>
          </cell>
        </row>
        <row r="72">
          <cell r="A72" t="str">
            <v>B56216</v>
          </cell>
          <cell r="B72" t="str">
            <v xml:space="preserve">Sanjiv Malik </v>
          </cell>
          <cell r="C72">
            <v>9810321555</v>
          </cell>
          <cell r="D72" t="str">
            <v>1701A Beverly Park II</v>
          </cell>
          <cell r="E72" t="str">
            <v>M G Road</v>
          </cell>
          <cell r="F72" t="str">
            <v>Sunday</v>
          </cell>
          <cell r="G72" t="str">
            <v>By 10 AM</v>
          </cell>
          <cell r="H72">
            <v>2000</v>
          </cell>
          <cell r="I72">
            <v>2000</v>
          </cell>
          <cell r="J72" t="str">
            <v>Fathers day</v>
          </cell>
          <cell r="K72" t="str">
            <v xml:space="preserve"> 8 B daisy in White Korean Sheet and other with Sunflowers and Blue daisy in front wrap//Dadu, Happy Father’s Day to you! Love from all of us! ( with 1st Bouquet)     With 2nd Bouquet -- Happy Father’s Day Janz! 
you know from who!</v>
          </cell>
          <cell r="N72" t="str">
            <v>1  del of this cycle   -  0-cycles pmnt   Completed - Collect 0</v>
          </cell>
          <cell r="O72" t="e">
            <v>#N/A</v>
          </cell>
          <cell r="P72" t="e">
            <v>#N/A</v>
          </cell>
          <cell r="Q72" t="e">
            <v>#N/A</v>
          </cell>
          <cell r="R72" t="e">
            <v>#N/A</v>
          </cell>
          <cell r="S72" t="e">
            <v>#N/A</v>
          </cell>
          <cell r="T72" t="str">
            <v>B Daisy  8 W Korean Sheet Message Sunflower+B Daisy 4+5 Tissue Wrap+Msg</v>
          </cell>
        </row>
        <row r="73">
          <cell r="A73">
            <v>3274</v>
          </cell>
          <cell r="B73" t="str">
            <v>Meera Singh</v>
          </cell>
          <cell r="C73">
            <v>9810401220</v>
          </cell>
          <cell r="D73" t="str">
            <v>138, Tatvam Villas, Sec 48</v>
          </cell>
          <cell r="E73" t="str">
            <v>Sohna Road 2</v>
          </cell>
          <cell r="F73" t="str">
            <v>Sunday</v>
          </cell>
          <cell r="G73" t="str">
            <v>9 AM - 12 PM</v>
          </cell>
          <cell r="H73">
            <v>1950</v>
          </cell>
          <cell r="I73">
            <v>487.5</v>
          </cell>
          <cell r="J73" t="str">
            <v>Joy</v>
          </cell>
          <cell r="K73" t="str">
            <v>No Lilies and Sunflower (20/02) Skip 1 week (28/03) Paytm From Singh M (06/04) No Sunflower n Asiatic (02/05)</v>
          </cell>
          <cell r="L73" t="str">
            <v>Asiatic n Sunflowers</v>
          </cell>
          <cell r="M73" t="str">
            <v>Single Kind</v>
          </cell>
          <cell r="N73" t="str">
            <v>4  del of this cycle   -  0-cycles pmnt   Completed - Collect 0</v>
          </cell>
          <cell r="O73" t="str">
            <v>Mix Alstroemeria ( 14 inch ) 22     FF Sachet + Grass</v>
          </cell>
          <cell r="P73" t="str">
            <v>Y Asiatic ( 15 Inch ) 4     Grass</v>
          </cell>
          <cell r="Q73" t="str">
            <v>P n W Glad ( 14 Inch ) 22     Grass</v>
          </cell>
          <cell r="R73" t="str">
            <v>P n W Spray Daisy ( 14 Inch) 7     FF Sachet + Grass</v>
          </cell>
          <cell r="S73" t="str">
            <v>Pur n P Car ( 14 Inch ) 22     FF Sachet + Grass</v>
          </cell>
          <cell r="T73" t="str">
            <v>B Daisy ( 12 Inch ) 22     FF Sachet + Grass</v>
          </cell>
        </row>
        <row r="74">
          <cell r="A74">
            <v>2707</v>
          </cell>
          <cell r="B74" t="str">
            <v>Mrigal Vora Puri</v>
          </cell>
          <cell r="C74">
            <v>9903474654</v>
          </cell>
          <cell r="D74" t="str">
            <v>T-6A/1103, Valley View Estate</v>
          </cell>
          <cell r="E74" t="str">
            <v>Ghata</v>
          </cell>
          <cell r="F74" t="str">
            <v>Sunday</v>
          </cell>
          <cell r="G74" t="str">
            <v>9 AM - 12 PM</v>
          </cell>
          <cell r="H74">
            <v>1450</v>
          </cell>
          <cell r="I74">
            <v>362.5</v>
          </cell>
          <cell r="J74" t="str">
            <v>Bliss</v>
          </cell>
          <cell r="K74" t="str">
            <v>Glad Next (20/06) Hold today (05/1) Hold due to non payment (01/02) Hold due to non payment (08/02) HDTNP (15/02) Skip 1 week (04/04) HDTNP (03/05) HDTNP (10/05) Paytm From Akhil Puri (07/06)</v>
          </cell>
          <cell r="M74" t="str">
            <v>Glad Next (20/06)</v>
          </cell>
          <cell r="N74" t="str">
            <v>3  del of this cycle   -  0-cycles pmnt   Completed - Collect 0</v>
          </cell>
          <cell r="O74" t="str">
            <v>Collect Rs 725 Carry Change and Receipt Book     FF Sachet + Grass</v>
          </cell>
          <cell r="P74" t="str">
            <v>O Asiatic ( 15 inch ) 2 P n W Glad ( 14 inch ) 7   Grass</v>
          </cell>
          <cell r="Q74" t="str">
            <v>Y Spray Daisy ( 15 Inch ) 3 P n W Car ( 14 Inch ) 7   FF Sachet + Grass</v>
          </cell>
          <cell r="R74" t="str">
            <v>Pur Eustoma ( 12 Inch ) 2 Mix Alstroemeria ( 12 Inch ) 7   FF Sachet + Grass</v>
          </cell>
          <cell r="S74" t="str">
            <v>Sunflower ( 12 Inch ) 2 P n W Glad ( 14 Inch ) 7   FF Sachet + Grass</v>
          </cell>
          <cell r="T74" t="str">
            <v>P Asiatic ( 14 Inch ) 2 Pur n P Car ( 14 Inch ) 7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v>
          </cell>
          <cell r="L75" t="str">
            <v>ROSE n ORCHID</v>
          </cell>
          <cell r="N75" t="str">
            <v>2  del of this cycle   -  0-cycles pmnt   Completed - Collect 0</v>
          </cell>
          <cell r="O75" t="str">
            <v>Mix Alstroemeria ( 14 inch ) 16     FF Sachet + Grass</v>
          </cell>
          <cell r="P75" t="str">
            <v>R n W Car ( 14 inch ) 16     FF Sachet + Grass</v>
          </cell>
          <cell r="Q75" t="str">
            <v>P n Y Spray Daisy ( 15 Inch ) 5     FF Sachet + Grass</v>
          </cell>
          <cell r="R75" t="e">
            <v>#N/A</v>
          </cell>
          <cell r="S75" t="str">
            <v>P Asiatic ( 14 Inch ) 3     Grass</v>
          </cell>
          <cell r="T75" t="str">
            <v>P n W Glad ( 14 Inch ) 16     Grass</v>
          </cell>
        </row>
        <row r="76">
          <cell r="A76">
            <v>2910</v>
          </cell>
          <cell r="B76" t="str">
            <v>Malvika</v>
          </cell>
          <cell r="C76">
            <v>9818627991</v>
          </cell>
          <cell r="D76" t="str">
            <v>T-2/1306, Valley View Estae</v>
          </cell>
          <cell r="E76" t="str">
            <v>Ghata</v>
          </cell>
          <cell r="F76" t="str">
            <v>Sunday</v>
          </cell>
          <cell r="G76" t="str">
            <v>10 AM to 3 PM</v>
          </cell>
          <cell r="H76">
            <v>1450</v>
          </cell>
          <cell r="I76">
            <v>362.5</v>
          </cell>
          <cell r="J76" t="str">
            <v>Bliss</v>
          </cell>
          <cell r="K76" t="str">
            <v>Upgraded as per scheme to Bliss for 5 Deliveries (22/08) Change to Delight next (30/09) Send replacement tom (25/11) Change to delight (13/01) Paytm From Malvika Singh</v>
          </cell>
          <cell r="M76" t="str">
            <v>Change to Deligfht next (30/09)</v>
          </cell>
          <cell r="N76" t="str">
            <v>3  del of this cycle   -  0-cycles pmnt   Completed - Collect 0</v>
          </cell>
          <cell r="O76" t="str">
            <v>P n Y Spray Daisy ( 15 inch ) 5     FF Sachet + Grass</v>
          </cell>
          <cell r="P76" t="str">
            <v>B Orchid  5     FF Sachet + Grass</v>
          </cell>
          <cell r="Q76" t="str">
            <v>R n W Car( 14 Inch)  16     FF Sachet + Grass</v>
          </cell>
          <cell r="R76" t="str">
            <v>P n W Glad ( 14 Inch ) 16     Grass</v>
          </cell>
          <cell r="S76" t="str">
            <v>P Asiatic ( 14 Inch ) 3     Grass</v>
          </cell>
          <cell r="T76" t="str">
            <v>B Daisy ( 12 Inch ) 16     Grass</v>
          </cell>
        </row>
        <row r="77">
          <cell r="A77">
            <v>3179</v>
          </cell>
          <cell r="B77" t="str">
            <v>Bandhana</v>
          </cell>
          <cell r="C77">
            <v>98188998617</v>
          </cell>
          <cell r="D77" t="str">
            <v>T-5/902, Tata Primanti</v>
          </cell>
          <cell r="E77" t="str">
            <v>Badshahpur</v>
          </cell>
          <cell r="F77" t="str">
            <v>Sunday</v>
          </cell>
          <cell r="G77" t="str">
            <v>9 AM - 12 PM</v>
          </cell>
          <cell r="H77">
            <v>1950</v>
          </cell>
          <cell r="I77">
            <v>487.5</v>
          </cell>
          <cell r="J77" t="str">
            <v>Joy</v>
          </cell>
          <cell r="K77" t="str">
            <v>Single Kind // Replacement tom (08/03) No Spray Daisy and BOP (31/03)</v>
          </cell>
          <cell r="L77" t="str">
            <v>Spray Daisy n BOP</v>
          </cell>
          <cell r="M77" t="str">
            <v>Single Kind</v>
          </cell>
          <cell r="N77" t="str">
            <v>3  del of this cycle   -  0-cycles pmnt   Completed - Collect 0</v>
          </cell>
          <cell r="O77" t="str">
            <v>Mix Alstroemeria ( 14 inch ) 22     FF Sachet + Grass</v>
          </cell>
          <cell r="P77" t="str">
            <v>P n W Car ( 14 Inch ) 22     FF sachet + Grass</v>
          </cell>
          <cell r="Q77" t="str">
            <v>Pur n P Eustoma ( 12 Inch ) 4     FF Sachet + garss</v>
          </cell>
          <cell r="R77" t="str">
            <v>W Asiatic ( 14 Inch ) 4     Grass</v>
          </cell>
          <cell r="S77" t="str">
            <v>Mix Glad (14Inch) 22     FF Sachet + Grass</v>
          </cell>
          <cell r="T77" t="str">
            <v>Pur n P Car ( 14 Inch ) 22     FF Sachet + Grass</v>
          </cell>
        </row>
        <row r="78">
          <cell r="A78">
            <v>3132</v>
          </cell>
          <cell r="B78" t="str">
            <v>Ramesh Kapoor</v>
          </cell>
          <cell r="C78">
            <v>9717416100</v>
          </cell>
          <cell r="D78" t="str">
            <v>T-6/1404, The Palms, South City 1</v>
          </cell>
          <cell r="E78" t="str">
            <v>South City 1</v>
          </cell>
          <cell r="F78" t="str">
            <v>Tuesday</v>
          </cell>
          <cell r="G78" t="str">
            <v>9 AM - 12 PM</v>
          </cell>
          <cell r="H78">
            <v>2300</v>
          </cell>
          <cell r="I78">
            <v>287.5</v>
          </cell>
          <cell r="J78" t="str">
            <v>Felicity</v>
          </cell>
          <cell r="K78" t="str">
            <v>Paytm From Anuradha Kapoor - Anu Kapoor (04/11) Premium tom (13/11) Replacement tom (21/04) 10 % Discint given (15/06) Today hold n sned tom (20/06)</v>
          </cell>
          <cell r="M78" t="str">
            <v>Premium Next (13/11)</v>
          </cell>
          <cell r="N78" t="str">
            <v>2  del of this cycle   -  0-cycles pmnt   Completed - Collect 40</v>
          </cell>
          <cell r="O78" t="e">
            <v>#N/A</v>
          </cell>
          <cell r="P78" t="e">
            <v>#N/A</v>
          </cell>
          <cell r="Q78" t="e">
            <v>#N/A</v>
          </cell>
          <cell r="R78" t="e">
            <v>#N/A</v>
          </cell>
          <cell r="S78" t="e">
            <v>#N/A</v>
          </cell>
          <cell r="T78" t="str">
            <v>B Daisy ( 12 Inch ) 11     Grass</v>
          </cell>
        </row>
        <row r="79">
          <cell r="A79" t="str">
            <v>B56234</v>
          </cell>
          <cell r="B79" t="str">
            <v>Pallabi Dey</v>
          </cell>
          <cell r="C79">
            <v>9953755297</v>
          </cell>
          <cell r="D79" t="str">
            <v>T-2/403, Uniworld Gardens 1</v>
          </cell>
          <cell r="E79" t="str">
            <v>Sohna Road 1</v>
          </cell>
          <cell r="F79" t="str">
            <v>Sunday</v>
          </cell>
          <cell r="G79" t="str">
            <v>By 10 AM</v>
          </cell>
          <cell r="H79">
            <v>700</v>
          </cell>
          <cell r="I79">
            <v>700</v>
          </cell>
          <cell r="J79" t="str">
            <v>Fathers day</v>
          </cell>
          <cell r="K79" t="str">
            <v>8 B Daisy in W Korean Wrap // Happy Father's Day, Baba!
Thank you for always being there for me and for leading by example. Your hard work, honesty, and dedication inspire me every day. I may not say it often, but I truly appreciate everything you do for me and our family.
I'm lucky to have you as my dad. Wishing you a wonderful Father's Day!
With Love 
Palash</v>
          </cell>
          <cell r="N79" t="str">
            <v>1  del of this cycle   -  0-cycles pmnt   In Process - Collect 0</v>
          </cell>
          <cell r="O79" t="e">
            <v>#N/A</v>
          </cell>
          <cell r="P79" t="e">
            <v>#N/A</v>
          </cell>
          <cell r="Q79" t="e">
            <v>#N/A</v>
          </cell>
          <cell r="R79" t="e">
            <v>#N/A</v>
          </cell>
          <cell r="S79" t="e">
            <v>#N/A</v>
          </cell>
          <cell r="T79" t="str">
            <v xml:space="preserve">B Daisy  8 W Korean Sheet Message   </v>
          </cell>
        </row>
        <row r="80">
          <cell r="A80" t="str">
            <v>B56186</v>
          </cell>
          <cell r="B80" t="str">
            <v>Yogi</v>
          </cell>
          <cell r="C80">
            <v>8554008383</v>
          </cell>
          <cell r="D80" t="str">
            <v>T-26/6 DLF PHASE III , Gurgaon- 122002</v>
          </cell>
          <cell r="E80" t="str">
            <v>DLF Phase 3</v>
          </cell>
          <cell r="F80" t="str">
            <v>Sunday</v>
          </cell>
          <cell r="G80" t="str">
            <v>By 10 AM</v>
          </cell>
          <cell r="H80">
            <v>1300</v>
          </cell>
          <cell r="I80">
            <v>1300</v>
          </cell>
          <cell r="J80" t="str">
            <v>Fathers day</v>
          </cell>
          <cell r="K80" t="str">
            <v>From Kanika // Sunlit Serenity //Happy Fathers Day Bapu ! We love you to the moon and back …Kanika Anuj Kaku Tima</v>
          </cell>
          <cell r="N80" t="str">
            <v>1  del of this cycle   -  0-cycles pmnt   Completed - Collect 0</v>
          </cell>
          <cell r="O80" t="e">
            <v>#N/A</v>
          </cell>
          <cell r="P80" t="e">
            <v>#N/A</v>
          </cell>
          <cell r="Q80" t="e">
            <v>#N/A</v>
          </cell>
          <cell r="R80" t="e">
            <v>#N/A</v>
          </cell>
          <cell r="S80" t="e">
            <v>#N/A</v>
          </cell>
          <cell r="T80" t="str">
            <v xml:space="preserve">Sunflower + B Daisy 4 + 5 front wh n B tissue Wrap Message   </v>
          </cell>
        </row>
        <row r="81">
          <cell r="A81" t="str">
            <v>B56232</v>
          </cell>
          <cell r="B81" t="str">
            <v>Papa</v>
          </cell>
          <cell r="C81">
            <v>9717724274</v>
          </cell>
          <cell r="D81" t="str">
            <v>T-4/6A, Bellevue, Central Park 2</v>
          </cell>
          <cell r="E81" t="str">
            <v>Sohna Road 2</v>
          </cell>
          <cell r="F81" t="str">
            <v>Sunday</v>
          </cell>
          <cell r="G81" t="str">
            <v>By 11 AM</v>
          </cell>
          <cell r="H81">
            <v>800</v>
          </cell>
          <cell r="I81">
            <v>800</v>
          </cell>
          <cell r="J81" t="str">
            <v>Fathers day</v>
          </cell>
          <cell r="K81" t="str">
            <v>Mix P n W Spray Daisy // From Vedica Karnik// Thank you for being a spec - QUACK - ular papa🐥
Love you from my head 🍅
~Duckling 
—————</v>
          </cell>
          <cell r="N81" t="str">
            <v>1  del of this cycle   -  0-cycles pmnt   In Process - Collect 0</v>
          </cell>
          <cell r="O81" t="e">
            <v>#N/A</v>
          </cell>
          <cell r="P81" t="e">
            <v>#N/A</v>
          </cell>
          <cell r="Q81" t="e">
            <v>#N/A</v>
          </cell>
          <cell r="R81" t="e">
            <v>#N/A</v>
          </cell>
          <cell r="S81" t="e">
            <v>#N/A</v>
          </cell>
          <cell r="T81" t="str">
            <v xml:space="preserve">P n W Spray daisy  8 Single Wrap Message   </v>
          </cell>
        </row>
        <row r="82">
          <cell r="A82" t="str">
            <v>B56229</v>
          </cell>
          <cell r="B82">
            <v>9818657768</v>
          </cell>
          <cell r="C82">
            <v>9818657768</v>
          </cell>
          <cell r="D82" t="str">
            <v>T-14/702, The Close South</v>
          </cell>
          <cell r="E82" t="str">
            <v>Nirvana Country</v>
          </cell>
          <cell r="F82" t="str">
            <v>Sunday</v>
          </cell>
          <cell r="G82" t="str">
            <v>By 1 PM</v>
          </cell>
          <cell r="H82">
            <v>1510</v>
          </cell>
          <cell r="I82">
            <v>1510</v>
          </cell>
          <cell r="J82" t="str">
            <v>Fathers day</v>
          </cell>
          <cell r="K82" t="str">
            <v>2 Dark P Oriental + 6 P Button Daisy + 2 B Daisy in Pink n White Tissue Wrap</v>
          </cell>
          <cell r="N82" t="str">
            <v>1  del of this cycle   -  0-cycles pmnt   Completed - Collect 0</v>
          </cell>
          <cell r="O82" t="e">
            <v>#N/A</v>
          </cell>
          <cell r="P82" t="e">
            <v>#N/A</v>
          </cell>
          <cell r="Q82" t="e">
            <v>#N/A</v>
          </cell>
          <cell r="R82" t="e">
            <v>#N/A</v>
          </cell>
          <cell r="S82" t="e">
            <v>#N/A</v>
          </cell>
          <cell r="T82" t="str">
            <v xml:space="preserve">Semi Bloom P Oriental + P Button Daisy + B Daisy  2 + 6 + 2 P n W Tissue Wrap    </v>
          </cell>
        </row>
        <row r="83">
          <cell r="A83">
            <v>1467</v>
          </cell>
          <cell r="B83" t="str">
            <v>Priyanka Chaturvedi</v>
          </cell>
          <cell r="C83">
            <v>7838930274</v>
          </cell>
          <cell r="D83" t="str">
            <v xml:space="preserve">Flat No. A-303, The Peaceful Homes, Sec 70-A
</v>
          </cell>
          <cell r="E83" t="str">
            <v>Badshahpur</v>
          </cell>
          <cell r="F83" t="str">
            <v>Friday</v>
          </cell>
          <cell r="G83" t="str">
            <v>9 AM - 12 PM</v>
          </cell>
          <cell r="H83">
            <v>1600</v>
          </cell>
          <cell r="I83">
            <v>200</v>
          </cell>
          <cell r="J83" t="str">
            <v>Bloom</v>
          </cell>
          <cell r="K83"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3" t="str">
            <v>ROSE n SPRAY DAISY</v>
          </cell>
          <cell r="N83" t="str">
            <v>1  del of this cycle   -  1-cycles pmnt   Pending - Collect 1600</v>
          </cell>
          <cell r="O83" t="str">
            <v>Sunflower ( 15 inch ) 2     Grass</v>
          </cell>
          <cell r="P83" t="str">
            <v>B Daisy ( 12 inch ) 7     FF sachet + Grass</v>
          </cell>
          <cell r="Q83" t="str">
            <v>R n W Car( 14 Inch)  7     FF Sachet + Grass</v>
          </cell>
          <cell r="R83" t="str">
            <v>Sunflower ( 12 Inch ) 2     FF Sachet + Grass</v>
          </cell>
          <cell r="S83" t="str">
            <v>Mix Alstroemeria ( 12 Inch ) 7     FF Sachet + Grass</v>
          </cell>
          <cell r="T83" t="str">
            <v>B Daisy ( 12 Inch ) 7     Grass</v>
          </cell>
        </row>
        <row r="84">
          <cell r="A84">
            <v>234</v>
          </cell>
          <cell r="B84" t="str">
            <v>jaya Chakrabarti-- Before 10 AM</v>
          </cell>
          <cell r="C84">
            <v>9810390185</v>
          </cell>
          <cell r="D84" t="str">
            <v>A 56, FF, south City 2, sonha road, gurgaon</v>
          </cell>
          <cell r="E84" t="str">
            <v>Nirvana Country</v>
          </cell>
          <cell r="F84" t="str">
            <v>Sunday</v>
          </cell>
          <cell r="G84" t="str">
            <v>9 AM - 12 PM</v>
          </cell>
          <cell r="H84">
            <v>1450</v>
          </cell>
          <cell r="I84">
            <v>362.5</v>
          </cell>
          <cell r="J84" t="str">
            <v>Bliss</v>
          </cell>
          <cell r="K84"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84" t="str">
            <v>BOP n HELICONIA</v>
          </cell>
          <cell r="N84" t="str">
            <v>4  del of this cycle   -  0-cycles pmnt   Completed - Collect 0</v>
          </cell>
          <cell r="O84" t="str">
            <v>Mix Alstroemeria ( 14 inch ) 16     FF Sachet + Grass</v>
          </cell>
          <cell r="P84" t="str">
            <v>O Asiatic ( 15 inch ) 3     Grass</v>
          </cell>
          <cell r="Q84" t="str">
            <v>P n W Glad ( 14 Inch ) 16     Grass</v>
          </cell>
          <cell r="R84" t="str">
            <v>Sunflower ( 12 Inch ) 4     FF Sachet + Grass</v>
          </cell>
          <cell r="S84" t="str">
            <v>Pur n P Car ( 14 Inch ) 16     FF Sachet + Grass</v>
          </cell>
          <cell r="T84" t="str">
            <v>Pur Eustoma ( 12 Inch ) 3     FF Sachet + Grass</v>
          </cell>
        </row>
        <row r="85">
          <cell r="A85" t="str">
            <v>B56187</v>
          </cell>
          <cell r="B85" t="str">
            <v>Ashok Jain</v>
          </cell>
          <cell r="C85">
            <v>8554008383</v>
          </cell>
          <cell r="D85" t="str">
            <v>T-18/3 DLF PHASE III, Gurgaon - 122002</v>
          </cell>
          <cell r="E85" t="str">
            <v>DLF Phase 3</v>
          </cell>
          <cell r="F85" t="str">
            <v>Sunday</v>
          </cell>
          <cell r="G85" t="str">
            <v>By 10 AM</v>
          </cell>
          <cell r="H85">
            <v>1350</v>
          </cell>
          <cell r="I85">
            <v>1350</v>
          </cell>
          <cell r="J85" t="str">
            <v>Fathers day</v>
          </cell>
          <cell r="K85" t="str">
            <v>From Kanika // 30 P Carntions in Single Wrap Dear Papa ….a very Happy Fathers Day to you! We love to the moon and back 
Anuj Kanika Aseem</v>
          </cell>
          <cell r="N85" t="str">
            <v>1  del of this cycle   -  0-cycles pmnt   Completed - Collect 0</v>
          </cell>
          <cell r="O85" t="e">
            <v>#N/A</v>
          </cell>
          <cell r="P85" t="e">
            <v>#N/A</v>
          </cell>
          <cell r="Q85" t="e">
            <v>#N/A</v>
          </cell>
          <cell r="R85" t="e">
            <v>#N/A</v>
          </cell>
          <cell r="S85" t="e">
            <v>#N/A</v>
          </cell>
          <cell r="T85" t="str">
            <v xml:space="preserve">Pur n W Car  30 Full Tissue Wrap Message   </v>
          </cell>
        </row>
        <row r="86">
          <cell r="A86" t="str">
            <v>B56218</v>
          </cell>
          <cell r="B86" t="str">
            <v>Orpita Mukherjee</v>
          </cell>
          <cell r="C86">
            <v>9619927551</v>
          </cell>
          <cell r="D86" t="str">
            <v>R-22 B, Windsor Court</v>
          </cell>
          <cell r="E86" t="str">
            <v>DLF Phase 4</v>
          </cell>
          <cell r="F86" t="str">
            <v>Sunday</v>
          </cell>
          <cell r="G86" t="str">
            <v>By 12 PM</v>
          </cell>
          <cell r="H86">
            <v>850</v>
          </cell>
          <cell r="I86">
            <v>850</v>
          </cell>
          <cell r="J86" t="str">
            <v>Fathers day</v>
          </cell>
          <cell r="K86" t="str">
            <v>2 Orange Asiatic + 5 Rajni + 6 B Daisy</v>
          </cell>
          <cell r="N86" t="str">
            <v>1  del of this cycle   -  0-cycles pmnt   Completed - Collect 0</v>
          </cell>
          <cell r="O86" t="e">
            <v>#N/A</v>
          </cell>
          <cell r="P86" t="e">
            <v>#N/A</v>
          </cell>
          <cell r="Q86" t="e">
            <v>#N/A</v>
          </cell>
          <cell r="R86" t="e">
            <v>#N/A</v>
          </cell>
          <cell r="S86" t="e">
            <v>#N/A</v>
          </cell>
          <cell r="T86" t="str">
            <v>O Asiatic +_ Rajni + B daisy 2 + 5 + 6     Areca Palm + Grass</v>
          </cell>
        </row>
        <row r="87">
          <cell r="B87" t="str">
            <v>Dr PK Wanchoo</v>
          </cell>
          <cell r="D87" t="str">
            <v>403, Tower 7,
The Close North
Nirvana Country</v>
          </cell>
          <cell r="G87" t="str">
            <v>Before 1 Pm</v>
          </cell>
          <cell r="H87">
            <v>4300</v>
          </cell>
          <cell r="J87" t="str">
            <v>Fathers day</v>
          </cell>
          <cell r="K87" t="str">
            <v>From Shivani Hazari today to 
Want it to be sent to -
Dr PK Wanchoo
403, Tower 7,
The Close North
Nirvana Country
Message-
Dearest Papa
You are super special and most loved by all of us.
Happy Father’s Day. 
Shivani, Vivek, Samarth &amp; Saniya
Jaya, Micky, Disha, Karan &amp; Anoushka</v>
          </cell>
          <cell r="T87" t="str">
            <v xml:space="preserve">B Daisy+ Oriental 15+6 Basket Message   </v>
          </cell>
        </row>
        <row r="88">
          <cell r="A88">
            <v>2748</v>
          </cell>
          <cell r="B88" t="str">
            <v>Rishabh Suri</v>
          </cell>
          <cell r="C88">
            <v>9871320514</v>
          </cell>
          <cell r="D88" t="str">
            <v>H. No. 962, Block C, Sushant Lok, Near Ambience Public School</v>
          </cell>
          <cell r="E88" t="str">
            <v>DLF Phase 5</v>
          </cell>
          <cell r="F88" t="str">
            <v>Sunday</v>
          </cell>
          <cell r="G88" t="str">
            <v>9 AM - 12 PM</v>
          </cell>
          <cell r="H88">
            <v>1450</v>
          </cell>
          <cell r="I88">
            <v>362.5</v>
          </cell>
          <cell r="J88" t="str">
            <v>Bliss</v>
          </cell>
          <cell r="K88" t="str">
            <v>Hold n start from Sep (06/08) Paytm from Rajeev Suri (22/11) Paytm from Anu Suri (21/12)</v>
          </cell>
          <cell r="N88" t="str">
            <v>3  del of this cycle   -  1-cycles pmnt   Pending - Collect 1450</v>
          </cell>
          <cell r="O88" t="e">
            <v>#N/A</v>
          </cell>
          <cell r="P88" t="e">
            <v>#N/A</v>
          </cell>
          <cell r="Q88" t="e">
            <v>#N/A</v>
          </cell>
          <cell r="R88" t="str">
            <v>Pur n P Car ( 14 Inch ) 16     FF Sachet + Grass</v>
          </cell>
          <cell r="S88" t="str">
            <v>O Asiatic ( 14 Inch ) 3     Grass</v>
          </cell>
          <cell r="T88" t="str">
            <v>P n W Glad ( 14 Inch ) 16     Grass</v>
          </cell>
        </row>
        <row r="89">
          <cell r="A89" t="str">
            <v>G-00063</v>
          </cell>
          <cell r="B89" t="str">
            <v>Tanvi</v>
          </cell>
          <cell r="C89">
            <v>9643816721</v>
          </cell>
          <cell r="D89" t="str">
            <v>G-91, Regent House, Near Richmond Park</v>
          </cell>
          <cell r="E89" t="str">
            <v>DLF Phase 4</v>
          </cell>
          <cell r="F89" t="str">
            <v>Saturday</v>
          </cell>
          <cell r="G89" t="str">
            <v>9 AM - 12 PM</v>
          </cell>
          <cell r="H89">
            <v>1450</v>
          </cell>
          <cell r="I89">
            <v>362.5</v>
          </cell>
          <cell r="J89" t="str">
            <v>Bliss</v>
          </cell>
          <cell r="K89" t="str">
            <v>From Dr. Khushboo Singh // Happy Anniversary to amazing people.         AKS (20/06)</v>
          </cell>
          <cell r="N89" t="str">
            <v>1  del of this cycle   -  0-cycles pmnt   In Process - Collect 0</v>
          </cell>
          <cell r="O89" t="e">
            <v>#N/A</v>
          </cell>
          <cell r="P89" t="e">
            <v>#N/A</v>
          </cell>
          <cell r="Q89" t="e">
            <v>#N/A</v>
          </cell>
          <cell r="R89" t="e">
            <v>#N/A</v>
          </cell>
          <cell r="S89" t="e">
            <v>#N/A</v>
          </cell>
          <cell r="T89" t="str">
            <v>Pur n P Car ( 14 Inch ) 16 Message    FF Sachet + Grass</v>
          </cell>
        </row>
        <row r="90">
          <cell r="A90" t="str">
            <v>B56185</v>
          </cell>
          <cell r="B90" t="str">
            <v>Shitiz Tandon</v>
          </cell>
          <cell r="C90">
            <v>9811009527</v>
          </cell>
          <cell r="D90" t="str">
            <v>S 64 2nd Floor Uppal Southend Sector 49 Sohna Road</v>
          </cell>
          <cell r="E90" t="str">
            <v>Sohna Road 1</v>
          </cell>
          <cell r="F90" t="str">
            <v>Sunday</v>
          </cell>
          <cell r="G90" t="str">
            <v>By 10 AM</v>
          </cell>
          <cell r="H90">
            <v>0</v>
          </cell>
          <cell r="I90">
            <v>0</v>
          </cell>
          <cell r="J90" t="str">
            <v>Replacement</v>
          </cell>
          <cell r="K90" t="str">
            <v xml:space="preserve"> From Vasanta Poddar // Calm n Bliss //Happy Father's Day....lots of love (Avi)</v>
          </cell>
          <cell r="N90" t="str">
            <v>1  del of this cycle   -  0-cycles pmnt   In Process - Collect 0</v>
          </cell>
          <cell r="T90" t="str">
            <v xml:space="preserve">W Car  15 Black Korean Sheet Message   </v>
          </cell>
        </row>
        <row r="91">
          <cell r="B91" t="str">
            <v>Manisha Dilawari</v>
          </cell>
          <cell r="C91">
            <v>9810653326</v>
          </cell>
          <cell r="D91" t="str">
            <v>Building-6/5B, The Hibiscus</v>
          </cell>
          <cell r="G91" t="str">
            <v>Before 3 Pm</v>
          </cell>
          <cell r="H91">
            <v>1000</v>
          </cell>
          <cell r="J91" t="str">
            <v>Fathers day</v>
          </cell>
          <cell r="K91" t="str">
            <v>Send today before 3 
5 stems yellow asiatic lilies with greens to Manisha Dilawari 
+91 98106 53326
Amount- 1000</v>
          </cell>
          <cell r="T91" t="str">
            <v xml:space="preserve">Y Asiatic 5 Grass+arica    </v>
          </cell>
        </row>
        <row r="92">
          <cell r="A92" t="str">
            <v>B56237</v>
          </cell>
          <cell r="B92" t="str">
            <v>Ashwinder Singh</v>
          </cell>
          <cell r="C92">
            <v>9810296045</v>
          </cell>
          <cell r="D92" t="str">
            <v>T-15/1802, The close South</v>
          </cell>
          <cell r="E92" t="str">
            <v>Nirvana Country</v>
          </cell>
          <cell r="F92" t="str">
            <v>Sunday</v>
          </cell>
          <cell r="G92" t="str">
            <v>By 3 PM</v>
          </cell>
          <cell r="H92">
            <v>1380</v>
          </cell>
          <cell r="I92">
            <v>1380</v>
          </cell>
          <cell r="J92" t="str">
            <v>Fathers day</v>
          </cell>
          <cell r="K92" t="str">
            <v>Happy Fathers Day,      Ash (20/06)</v>
          </cell>
          <cell r="N92" t="str">
            <v>1  del of this cycle   -  0-cycles pmnt   In Process - Collect 0</v>
          </cell>
          <cell r="T92" t="str">
            <v xml:space="preserve">W Spray Daisy + B Daisy 6 + 6 Single Wrap Message   </v>
          </cell>
        </row>
        <row r="93">
          <cell r="A93" t="str">
            <v>B56188</v>
          </cell>
          <cell r="B93" t="str">
            <v>Sharad Ahuja</v>
          </cell>
          <cell r="C93">
            <v>9999061820</v>
          </cell>
          <cell r="D93" t="str">
            <v>W5B/8, F-227, Sainik Farms</v>
          </cell>
          <cell r="E93" t="str">
            <v>New Delhi</v>
          </cell>
          <cell r="F93" t="str">
            <v>Friday</v>
          </cell>
          <cell r="G93" t="str">
            <v>By 10 AM</v>
          </cell>
          <cell r="H93">
            <v>3050</v>
          </cell>
          <cell r="I93">
            <v>3050</v>
          </cell>
          <cell r="J93" t="str">
            <v>Fathers day</v>
          </cell>
          <cell r="K93" t="str">
            <v xml:space="preserve">From Chandni Ahuja -- Blossom //Happy Father's Day. Lots of love. </v>
          </cell>
          <cell r="N93" t="str">
            <v>1  del of this cycle   -  0-cycles pmnt   In Process - Collect 0</v>
          </cell>
          <cell r="O93" t="e">
            <v>#N/A</v>
          </cell>
          <cell r="P93" t="e">
            <v>#N/A</v>
          </cell>
          <cell r="Q93" t="e">
            <v>#N/A</v>
          </cell>
          <cell r="R93" t="e">
            <v>#N/A</v>
          </cell>
          <cell r="S93" t="e">
            <v>#N/A</v>
          </cell>
          <cell r="T93" t="str">
            <v xml:space="preserve">P Spray Daisy + B Daisy + P n W Car + Yel Alstroemeria 6 + 6 + 15 + 10 Jute Wrap Message   </v>
          </cell>
        </row>
        <row r="94">
          <cell r="B94" t="str">
            <v>Charu Gupta</v>
          </cell>
          <cell r="C94">
            <v>9811003800</v>
          </cell>
          <cell r="D94" t="str">
            <v>E-104, The Icon</v>
          </cell>
          <cell r="G94" t="str">
            <v>Before 12 PM</v>
          </cell>
          <cell r="H94">
            <v>7150</v>
          </cell>
          <cell r="J94" t="str">
            <v>Fathers day</v>
          </cell>
          <cell r="K94" t="str">
            <v>Here is the message-
Dearest Mohit, 
Wishing you a very happy Father’s Day! Hope you have a great one with bhabhi, Ananya, Manya and Nemo.
Love - Pura Gupta Tabbar</v>
          </cell>
          <cell r="T94" t="str">
            <v xml:space="preserve">Oriental+Eustoma+Car  Glass Vase Arrangment Message   </v>
          </cell>
        </row>
        <row r="95">
          <cell r="A95">
            <v>3284</v>
          </cell>
          <cell r="B95" t="str">
            <v>Megha Sharma</v>
          </cell>
          <cell r="C95" t="str">
            <v>9643166797 // 7351797203</v>
          </cell>
          <cell r="D95" t="str">
            <v>338, Espace, 2nd Floor</v>
          </cell>
          <cell r="E95" t="str">
            <v>Nirvana Country</v>
          </cell>
          <cell r="F95" t="str">
            <v>Sunday</v>
          </cell>
          <cell r="G95" t="str">
            <v>4 PM to 7 PM</v>
          </cell>
          <cell r="H95">
            <v>1950</v>
          </cell>
          <cell r="I95">
            <v>487.5</v>
          </cell>
          <cell r="J95" t="str">
            <v>Joy</v>
          </cell>
          <cell r="K95" t="str">
            <v>Paytm From Megha Sharma</v>
          </cell>
          <cell r="N95" t="str">
            <v>4  del of this cycle   -  0-cycles pmnt   Completed - Collect 0</v>
          </cell>
          <cell r="O95" t="str">
            <v>Mix Alstroemeria ( 14 inch ) 22     FF Sachet + Grass</v>
          </cell>
          <cell r="P95" t="str">
            <v>R n W Car ( 14 inch ) 22     FF sachet + Grass</v>
          </cell>
          <cell r="Q95" t="str">
            <v>W Asiatic ( 15 inch ) 4     Grass</v>
          </cell>
          <cell r="R95" t="str">
            <v>P n W Glad ( 14 Inch ) 22     Grass</v>
          </cell>
          <cell r="S95" t="str">
            <v>P n Y Spray Daisy ( 14 Inch ) 7     FF Sachet + Grass</v>
          </cell>
          <cell r="T95" t="str">
            <v>B Daisy ( 12 Inch ) 22     Grass</v>
          </cell>
        </row>
        <row r="96">
          <cell r="B96">
            <v>9891745551</v>
          </cell>
          <cell r="C96">
            <v>9891745551</v>
          </cell>
          <cell r="D96" t="str">
            <v>G-701 BPTP Freedom Park Life Sector 57</v>
          </cell>
          <cell r="H96">
            <v>1000</v>
          </cell>
          <cell r="J96" t="str">
            <v>Fathers day</v>
          </cell>
          <cell r="K96" t="str">
            <v>Today before 3:30 from ‪+91 96503 00943‬
1000 received 
2 yellow aaiatic lilies 
3 orchids 
5 roses 
In tissue wrap to 
Delivery at BPTP freedom park life sector 57
If you need to contact someone please call on this number- 9891745551
Message 
Happy Father’s Day Dad! 
From The Chids</v>
          </cell>
          <cell r="T96" t="str">
            <v xml:space="preserve">Y Asiatic+ Orchid+Rose 2+3+5 Tissue Wrap Message   </v>
          </cell>
        </row>
        <row r="97">
          <cell r="A97">
            <v>237</v>
          </cell>
          <cell r="B97" t="str">
            <v>Mayom Hospital</v>
          </cell>
          <cell r="C97">
            <v>8860079525</v>
          </cell>
          <cell r="D97" t="str">
            <v>Mayom Hospital, D block south city 1</v>
          </cell>
          <cell r="E97" t="str">
            <v>South City 1</v>
          </cell>
          <cell r="F97" t="str">
            <v>Sunday</v>
          </cell>
          <cell r="G97" t="str">
            <v>9 AM - 12 PM</v>
          </cell>
          <cell r="H97">
            <v>3000</v>
          </cell>
          <cell r="I97">
            <v>375</v>
          </cell>
          <cell r="J97" t="str">
            <v>Corporate</v>
          </cell>
          <cell r="K97" t="str">
            <v>Sending on 20th instaed of 21st,bcoz of Holi(18/03) Send on Monday this week(20/03)</v>
          </cell>
          <cell r="N97" t="str">
            <v>4  del of this cycle   -  0-cycles pmnt   In Process - Collect 0</v>
          </cell>
          <cell r="O97" t="str">
            <v xml:space="preserve">Mix Alstroemeria ( 14 inch ) 15     </v>
          </cell>
          <cell r="P97" t="str">
            <v xml:space="preserve">Mix Spray  5     </v>
          </cell>
          <cell r="Q97" t="str">
            <v>Pur n P Eustoma ( 12 Inch ) 4     Grass</v>
          </cell>
          <cell r="R97" t="str">
            <v>Mix Alstroemeria ( 12 Inch ) 15     Grass</v>
          </cell>
          <cell r="S97" t="str">
            <v xml:space="preserve">P Eustoma ( 12 Inch ) 3     </v>
          </cell>
          <cell r="T97" t="str">
            <v xml:space="preserve">P Eustoma ( 12 Inch ) 3     </v>
          </cell>
        </row>
        <row r="98">
          <cell r="B98" t="str">
            <v xml:space="preserve">Tanya Sahay </v>
          </cell>
          <cell r="C98" t="str">
            <v>96431 69536</v>
          </cell>
          <cell r="D98" t="str">
            <v xml:space="preserve">A/187, First Floor
Today Blossoms - 1, 
Sector 47 Gurgaon </v>
          </cell>
          <cell r="H98">
            <v>450</v>
          </cell>
          <cell r="J98" t="str">
            <v>Fathers day</v>
          </cell>
          <cell r="T98" t="str">
            <v xml:space="preserve">Sunflower+ P n Y Button Daisy 2+3 Grass+arica    </v>
          </cell>
        </row>
        <row r="99">
          <cell r="B99" t="str">
            <v>Dr Partha Narayan Dutta Gupta</v>
          </cell>
          <cell r="C99" t="str">
            <v>98681 82647‬</v>
          </cell>
          <cell r="D99" t="str">
            <v xml:space="preserve">Flat no 1001, Tower 6, Unitech Harmony, Sector 50 </v>
          </cell>
          <cell r="G99" t="str">
            <v>Before 5 Pm</v>
          </cell>
          <cell r="H99">
            <v>600</v>
          </cell>
          <cell r="J99" t="str">
            <v>Fathers day</v>
          </cell>
          <cell r="K99" t="str">
            <v>From Pratik today before 5 
6 carnations and 6 blue daisies in walkin tissue wrap to
Address - Dr Partha Narayan Dutta Gupta, flat no 1001, Tower 6, Unitech Harmony, Sector 50 Gurugram
‪+91 98681 82647‬
Write a message - "Happy Father's Day - hope you have a great day ahead and look forward to celebrating it with you in person soon. 
From - Oindrila</v>
          </cell>
          <cell r="T99" t="str">
            <v xml:space="preserve">Car+ B Daisy 6+6 Walkin Tissue Wrap Message   </v>
          </cell>
        </row>
        <row r="100">
          <cell r="B100" t="str">
            <v>Inderbir</v>
          </cell>
          <cell r="C100">
            <v>9650136697</v>
          </cell>
          <cell r="D100" t="str">
            <v>1101/C2, Vatika City, Sector 49</v>
          </cell>
          <cell r="G100" t="str">
            <v>Before 1.30 Pm</v>
          </cell>
          <cell r="H100">
            <v>1000</v>
          </cell>
          <cell r="J100" t="str">
            <v>Fathers day</v>
          </cell>
          <cell r="K100" t="str">
            <v>Inderbir
+91 96501 36697 Happy Fathers Day 
From Rehat and Rabbani
Pls make a bunch with 2 semi bloom orange asiatic lily, 2 sunflowers and 8 mix carnations in walkin tissue wrap today before 1:30 pm for 1000…</v>
          </cell>
          <cell r="T100" t="str">
            <v xml:space="preserve">Semi Bloom O Asiatic+Sunflower+  Mix Car 2+2+8 Walkin Tissue Wrap Message   </v>
          </cell>
        </row>
        <row r="101">
          <cell r="A101">
            <v>3347</v>
          </cell>
          <cell r="B101" t="str">
            <v>Damini Dasgupta</v>
          </cell>
          <cell r="C101">
            <v>9874672103</v>
          </cell>
          <cell r="D101" t="str">
            <v>Flat No. 102, @nd Floor, Satguru Appartments, Sec 52, Wazirabad</v>
          </cell>
          <cell r="H101">
            <v>1950</v>
          </cell>
          <cell r="J101" t="str">
            <v>Joy</v>
          </cell>
          <cell r="T101" t="str">
            <v>B Daisy ( 12 Inch ) 22     FF Sachet + Grass</v>
          </cell>
        </row>
        <row r="102">
          <cell r="B102" t="str">
            <v>6364 463 165‬</v>
          </cell>
          <cell r="C102" t="str">
            <v>6364 463 165‬</v>
          </cell>
          <cell r="D102" t="str">
            <v>A-635 block A, Sushant lok 1, near labernum drive</v>
          </cell>
          <cell r="G102" t="str">
            <v>Before 7 Pm</v>
          </cell>
          <cell r="H102">
            <v>900</v>
          </cell>
          <cell r="J102" t="str">
            <v>Fathers day</v>
          </cell>
          <cell r="K102" t="str">
            <v>Today before 7 from 
‪+91 6364 463 165‬
To 
A-635 block A, Sushant lok 1, near labernum drive
10 Rajni, 2 BOP and 5 mixed carnations in single brown wrap 
Message-
Happy Anniversary of the first time we met and the last time we were apart ❤️</v>
          </cell>
          <cell r="T102" t="str">
            <v xml:space="preserve">Rajni+Bop+ Mix Car 10+2+5 Brown Wrap Message   </v>
          </cell>
        </row>
        <row r="103">
          <cell r="B103" t="str">
            <v>98997 65646</v>
          </cell>
          <cell r="C103" t="str">
            <v>98997 65646</v>
          </cell>
          <cell r="D103" t="str">
            <v>1201, Tower-9, Emaar The PTS, Sec-66, Gurgaon</v>
          </cell>
          <cell r="G103" t="str">
            <v>Before 3.30 Pm</v>
          </cell>
          <cell r="H103">
            <v>2350</v>
          </cell>
          <cell r="J103" t="str">
            <v>Fathers day</v>
          </cell>
          <cell r="K103" t="str">
            <v>Message on Orchid waala-
Happy Father’s Day Papa
Love Fateh/Message on bird of paradise:
Happy Father’s Day Papa
Love Kinnie n Tanya</v>
          </cell>
          <cell r="T103" t="str">
            <v xml:space="preserve">B Orchid  Brown Wrap+Message Bop Front Brown Wrap+Message  </v>
          </cell>
        </row>
        <row r="104">
          <cell r="B104" t="str">
            <v>96509 56777‬</v>
          </cell>
          <cell r="C104" t="str">
            <v>96509 56777‬</v>
          </cell>
          <cell r="D104" t="str">
            <v xml:space="preserve">Topaz - 42 First Floor, Emaar Emerald Hills, Sector - 65, </v>
          </cell>
          <cell r="G104" t="str">
            <v>Before 4.30 Pm</v>
          </cell>
          <cell r="H104">
            <v>650</v>
          </cell>
          <cell r="J104" t="str">
            <v>Fathers day</v>
          </cell>
          <cell r="K104" t="str">
            <v>Today before 5:30 
Topaz - 42 First Floor, Emaar Emerald Hills, Sector - 65, Gurgaon 122001
‪+91 96509 56777‬
5 blue daisies 
5 pink spray daisies with greens 
Amount 650</v>
          </cell>
          <cell r="T104" t="str">
            <v xml:space="preserve">B Daisy+ P Spray Daisy 5+5 Brown Wrap+Message    </v>
          </cell>
        </row>
        <row r="105">
          <cell r="A105">
            <v>1978</v>
          </cell>
          <cell r="B105" t="str">
            <v>Anu-- After 6 PM</v>
          </cell>
          <cell r="C105" t="str">
            <v>98103 39602</v>
          </cell>
          <cell r="D105" t="str">
            <v xml:space="preserve">Tower 6, 901 Fresco </v>
          </cell>
          <cell r="E105" t="str">
            <v>Nirvana Country</v>
          </cell>
          <cell r="F105" t="str">
            <v>Thursday</v>
          </cell>
          <cell r="G105" t="str">
            <v>4 Pm to 7 PM</v>
          </cell>
          <cell r="H105">
            <v>4850</v>
          </cell>
          <cell r="I105">
            <v>606.25</v>
          </cell>
          <cell r="J105" t="str">
            <v>Poise</v>
          </cell>
          <cell r="K105"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105" t="str">
            <v>ROSE n RAJNI n HELICONIA n BOP</v>
          </cell>
          <cell r="M105" t="str">
            <v>after 6 pm on 19th (16/04)</v>
          </cell>
          <cell r="N105" t="str">
            <v>3  del of this cycle   -  0-cycles pmnt   Completed - Collect 0</v>
          </cell>
          <cell r="O105" t="str">
            <v>Y Asiatic ( 15 inch ) 2 P Eustoma ( 14 inch ) 3 P n W Glad 12 Grass</v>
          </cell>
          <cell r="P105" t="str">
            <v>O Asiatic ( 15 inch ) 2 P n Y Spray Daisy ( 15 inch ) 4 P n W Glad ( 14 inch ) 12 Grass</v>
          </cell>
          <cell r="Q105" t="str">
            <v>W Asiatic ( 15 inch ) 2 Mix Eustoma ( 12 Inch ) 4 Rajni ( 14 Inch ) 12 FF Sachet + Grass</v>
          </cell>
          <cell r="R105" t="str">
            <v>W Asiatic ( 14 Inch ) 2 Mix Alstroemeria ( 12 Inch ) 10 P n W Glad ( 14 Inch ) 10 FF Sachet + Grass</v>
          </cell>
          <cell r="S105" t="str">
            <v>O Asiatic ( 14 Inch ) 2 P n W Spray Daisy  14 Inch ) 4 Rajni ( 14 Inch ) 12 Grass</v>
          </cell>
          <cell r="T105" t="str">
            <v>P Asiatic ( 14 Inch ) 2 B Daisy ( 12 Inch ) 6 Pur n P Car ( 14 Inch ) 10 Grass</v>
          </cell>
        </row>
        <row r="106">
          <cell r="A106" t="str">
            <v>B56208</v>
          </cell>
          <cell r="B106">
            <v>9811895922</v>
          </cell>
          <cell r="C106">
            <v>9811895922</v>
          </cell>
          <cell r="D106" t="str">
            <v>707-B, Beverly Park 1, DLF Phase 2</v>
          </cell>
          <cell r="G106" t="str">
            <v>Only Payment</v>
          </cell>
          <cell r="H106" t="str">
            <v>Only Payment</v>
          </cell>
          <cell r="I106" t="str">
            <v>Only Payment</v>
          </cell>
          <cell r="J106" t="str">
            <v>Only Payment</v>
          </cell>
          <cell r="K106" t="str">
            <v>Only Payment</v>
          </cell>
          <cell r="L106" t="str">
            <v>Only Payment</v>
          </cell>
          <cell r="M106" t="str">
            <v>Only Payment</v>
          </cell>
          <cell r="N106" t="str">
            <v>Only Payment</v>
          </cell>
          <cell r="O106" t="str">
            <v>Only Payment</v>
          </cell>
          <cell r="P106" t="str">
            <v>Only Payment</v>
          </cell>
          <cell r="Q106" t="str">
            <v>Only Payment</v>
          </cell>
          <cell r="R106" t="str">
            <v>Only Payment</v>
          </cell>
          <cell r="S106" t="str">
            <v>Only Payment</v>
          </cell>
          <cell r="T106" t="str">
            <v>Only Payment Only Payment Only Payment Only Payment Only Payment Only Payment Only Payment</v>
          </cell>
        </row>
        <row r="107">
          <cell r="B107" t="str">
            <v>Vivek Hazari</v>
          </cell>
          <cell r="C107" t="str">
            <v>98100 37403</v>
          </cell>
          <cell r="D107" t="str">
            <v>A284, the belaire</v>
          </cell>
          <cell r="G107" t="str">
            <v xml:space="preserve">Before 5:15 Pm </v>
          </cell>
          <cell r="H107">
            <v>4300</v>
          </cell>
          <cell r="J107" t="str">
            <v>Fathers day</v>
          </cell>
          <cell r="K107" t="str">
            <v>To be sent to 
Vivek Hazari
A284, the belaire
+91 98100 37403
Msg:
Happy Father’s Day Papa,
You are our strength and emotion all in one - we love you!
Sam &amp; Saniya
Pls send this before 5:15 pm</v>
          </cell>
          <cell r="T107" t="str">
            <v xml:space="preserve">B Daisy+ Oriental 15+7 Basket Message   </v>
          </cell>
        </row>
        <row r="108">
          <cell r="B108" t="str">
            <v>73037 26293</v>
          </cell>
          <cell r="C108" t="str">
            <v>73037 26293</v>
          </cell>
          <cell r="D108" t="str">
            <v>G 68 Ground floor
South city 2</v>
          </cell>
          <cell r="G108" t="str">
            <v>By 8 PM</v>
          </cell>
          <cell r="H108">
            <v>750</v>
          </cell>
          <cell r="J108" t="str">
            <v>Bouquet</v>
          </cell>
          <cell r="K108" t="str">
            <v>Send today 
5 blue orchids in brown wrap 
To
G 68 Ground floor
South city 2
‪+91 73037 26293</v>
          </cell>
          <cell r="T108" t="str">
            <v xml:space="preserve">B Orchid  5 Brown Wrap     </v>
          </cell>
        </row>
      </sheetData>
      <sheetData sheetId="21"/>
      <sheetData sheetId="22"/>
      <sheetData sheetId="23"/>
      <sheetData sheetId="24"/>
      <sheetData sheetId="25"/>
      <sheetData sheetId="26"/>
      <sheetData sheetId="27">
        <row r="2">
          <cell r="A2" t="str">
            <v>B56297</v>
          </cell>
          <cell r="B2" t="str">
            <v>JItendra</v>
          </cell>
          <cell r="C2">
            <v>8800156951</v>
          </cell>
          <cell r="D2" t="str">
            <v>Trehan Luxury Floors</v>
          </cell>
          <cell r="E2" t="str">
            <v>Badshahpur</v>
          </cell>
          <cell r="F2" t="str">
            <v>Wednesday</v>
          </cell>
          <cell r="G2" t="str">
            <v>By 9:30 AM</v>
          </cell>
          <cell r="H2">
            <v>1196</v>
          </cell>
          <cell r="I2">
            <v>1196</v>
          </cell>
          <cell r="J2" t="str">
            <v>Bouquet</v>
          </cell>
          <cell r="N2" t="str">
            <v>1  del of this cycle   -  0-cycles pmnt   In Process - Collect 0</v>
          </cell>
          <cell r="O2" t="e">
            <v>#N/A</v>
          </cell>
          <cell r="P2" t="e">
            <v>#N/A</v>
          </cell>
          <cell r="Q2" t="e">
            <v>#N/A</v>
          </cell>
          <cell r="R2" t="e">
            <v>#N/A</v>
          </cell>
          <cell r="S2" t="e">
            <v>#N/A</v>
          </cell>
          <cell r="T2" t="str">
            <v xml:space="preserve">Trehan Set  1     </v>
          </cell>
        </row>
        <row r="3">
          <cell r="A3">
            <v>2467</v>
          </cell>
          <cell r="B3" t="str">
            <v>Poorva Gera</v>
          </cell>
          <cell r="C3">
            <v>9891144787</v>
          </cell>
          <cell r="D3" t="str">
            <v>E-56, 1st Floor, Aarde City, Sec 52</v>
          </cell>
          <cell r="E3" t="str">
            <v>Sushant Estate</v>
          </cell>
          <cell r="F3" t="str">
            <v>Sunday</v>
          </cell>
          <cell r="G3" t="str">
            <v>10 AM to 2:30 PM</v>
          </cell>
          <cell r="H3">
            <v>999</v>
          </cell>
          <cell r="I3">
            <v>249.75</v>
          </cell>
          <cell r="J3" t="str">
            <v>Delight</v>
          </cell>
          <cell r="K3" t="str">
            <v>Skip 2 week (22/12) Skip 2 week (23/02) Skip 1 week (31/03) Hold for 1 month (21/04) Skip 2 week (13/06)</v>
          </cell>
          <cell r="N3" t="str">
            <v>4  del of this cycle   -  0-cycles pmnt   Completed - Collect 0</v>
          </cell>
          <cell r="O3" t="str">
            <v>P n W Car ( 14 Inch ) 9     FF Sachet + Grass</v>
          </cell>
          <cell r="P3" t="str">
            <v>Y Spray Daisy ( 15 Inch ) 3     FF Sachet + Grass</v>
          </cell>
          <cell r="Q3" t="str">
            <v>Mix Alstroemeria ( 12 Inch ) 9     FF Sachet + Grass</v>
          </cell>
          <cell r="R3" t="e">
            <v>#N/A</v>
          </cell>
          <cell r="S3" t="e">
            <v>#N/A</v>
          </cell>
          <cell r="T3" t="str">
            <v>P n W Glad ( 14 Inch ) 9     Grass</v>
          </cell>
        </row>
        <row r="4">
          <cell r="A4">
            <v>3018</v>
          </cell>
          <cell r="B4" t="str">
            <v>Gurrit Kaur sethi</v>
          </cell>
          <cell r="C4">
            <v>9810918222</v>
          </cell>
          <cell r="D4" t="str">
            <v>T-2/201, Unitech Escape</v>
          </cell>
          <cell r="E4" t="str">
            <v>Nirvana Country</v>
          </cell>
          <cell r="F4" t="str">
            <v>Sunday</v>
          </cell>
          <cell r="G4" t="str">
            <v>9 AM - 12 PM</v>
          </cell>
          <cell r="H4">
            <v>1450</v>
          </cell>
          <cell r="I4">
            <v>362.5</v>
          </cell>
          <cell r="J4" t="str">
            <v>Bliss</v>
          </cell>
          <cell r="N4" t="str">
            <v>1  del of this cycle   -  1-cycles pmnt   Pending - Collect 1450</v>
          </cell>
          <cell r="O4" t="str">
            <v>O Asiatic ( 15 inch ) 2     Grass</v>
          </cell>
          <cell r="P4" t="str">
            <v>P n W Car ( 14 inch ) 9     FF Sachet + Grass</v>
          </cell>
          <cell r="Q4" t="str">
            <v>P n W Glad ( 14 Inch ) 9     Grass</v>
          </cell>
          <cell r="R4" t="str">
            <v>Sunflower ( 12 Inch ) 2     FF Sachet + Grass</v>
          </cell>
          <cell r="S4" t="str">
            <v>B Daisy ( 12 Inch ) 9     Grass</v>
          </cell>
          <cell r="T4" t="str">
            <v>Pur n P Car ( 14 Inch 16     FF Sachet + Grass</v>
          </cell>
        </row>
        <row r="5">
          <cell r="A5">
            <v>3358</v>
          </cell>
          <cell r="B5" t="str">
            <v>Prasenjit</v>
          </cell>
          <cell r="C5">
            <v>9990903321</v>
          </cell>
          <cell r="D5" t="str">
            <v>T-10/1001, Vipul Belmonte</v>
          </cell>
          <cell r="E5" t="str">
            <v>DLF Phase 5</v>
          </cell>
          <cell r="F5" t="str">
            <v>Sunday</v>
          </cell>
          <cell r="G5" t="str">
            <v>9 AM - 12 PM</v>
          </cell>
          <cell r="H5">
            <v>1950</v>
          </cell>
          <cell r="I5">
            <v>487.5</v>
          </cell>
          <cell r="J5" t="str">
            <v>Joy</v>
          </cell>
          <cell r="K5" t="str">
            <v xml:space="preserve">Send Long stem </v>
          </cell>
          <cell r="M5" t="str">
            <v>Long Stem// Seasonal Next (24/05)</v>
          </cell>
          <cell r="N5" t="str">
            <v>4  del of this cycle   -  0-cycles pmnt   Completed - Collect 0</v>
          </cell>
          <cell r="O5" t="str">
            <v>O Asiatic ( 15 inch ) 4     Grass</v>
          </cell>
          <cell r="P5" t="str">
            <v>P n W Glad ( 14 Inch ) 22     Grass</v>
          </cell>
          <cell r="Q5" t="str">
            <v>Mix Alstroemeria ( 12 Inch ) 22     FF Sachet + Grass</v>
          </cell>
          <cell r="R5" t="str">
            <v>R n W Car )( 14 inch ) 22     FF Sachet + Grass</v>
          </cell>
          <cell r="S5" t="str">
            <v>B Daisy ( 12 Inch ) 22     Grass</v>
          </cell>
          <cell r="T5" t="str">
            <v>Y Asiatic ( 14 Inch ) 4     Grass</v>
          </cell>
        </row>
        <row r="6">
          <cell r="A6">
            <v>401</v>
          </cell>
          <cell r="B6" t="str">
            <v>Nameesha Verma -- Before 12PM</v>
          </cell>
          <cell r="C6">
            <v>9899240454</v>
          </cell>
          <cell r="D6" t="str">
            <v>D-4/102, Parsvanath Exotica</v>
          </cell>
          <cell r="E6" t="str">
            <v>DLF Phase 5</v>
          </cell>
          <cell r="F6" t="str">
            <v>Thursday</v>
          </cell>
          <cell r="G6" t="str">
            <v>Before 12 PM</v>
          </cell>
          <cell r="H6">
            <v>1600</v>
          </cell>
          <cell r="I6">
            <v>200</v>
          </cell>
          <cell r="J6" t="str">
            <v>Bloom</v>
          </cell>
          <cell r="K6"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6" t="str">
            <v>3 Car extra next (20/03)</v>
          </cell>
          <cell r="N6" t="str">
            <v>1  del of this cycle   -  1-cycles pmnt   Pending - Collect 1600</v>
          </cell>
          <cell r="O6" t="str">
            <v>Rajni ( 14 inch ) 7     Grass</v>
          </cell>
          <cell r="P6" t="str">
            <v>P n W Glad ( 14 Inch ) 7     Grass</v>
          </cell>
          <cell r="Q6" t="str">
            <v>Pur n P Car ( 14 Inch ) 7     FF Sachet + Grass</v>
          </cell>
          <cell r="R6" t="e">
            <v>#N/A</v>
          </cell>
          <cell r="S6" t="str">
            <v>Rajni ( 14 Inch ) 7     Grass</v>
          </cell>
          <cell r="T6" t="str">
            <v>P n W Glad ( 14 Inch ) 7     Grass</v>
          </cell>
        </row>
        <row r="7">
          <cell r="A7">
            <v>61</v>
          </cell>
          <cell r="B7" t="str">
            <v>Megha Manchanda -- Bliss Pack</v>
          </cell>
          <cell r="C7">
            <v>9871919500</v>
          </cell>
          <cell r="D7" t="str">
            <v>T-3/302, Unitech Harmony</v>
          </cell>
          <cell r="E7" t="str">
            <v>Nirvana Country</v>
          </cell>
          <cell r="F7" t="str">
            <v>Thursday</v>
          </cell>
          <cell r="G7" t="str">
            <v>9 AM - 12 PM</v>
          </cell>
          <cell r="H7">
            <v>999</v>
          </cell>
          <cell r="I7">
            <v>249.75</v>
          </cell>
          <cell r="J7" t="str">
            <v>Delight</v>
          </cell>
          <cell r="K7"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7" t="str">
            <v>3  del of this cycle   -  0-cycles pmnt   Completed - Collect 0</v>
          </cell>
          <cell r="O7" t="e">
            <v>#N/A</v>
          </cell>
          <cell r="P7" t="e">
            <v>#N/A</v>
          </cell>
          <cell r="Q7" t="e">
            <v>#N/A</v>
          </cell>
          <cell r="R7" t="e">
            <v>#N/A</v>
          </cell>
          <cell r="S7" t="e">
            <v>#N/A</v>
          </cell>
          <cell r="T7" t="str">
            <v>P n W Glad ( 14 Inch ) 9     Grass</v>
          </cell>
        </row>
        <row r="8">
          <cell r="A8">
            <v>3347</v>
          </cell>
          <cell r="B8" t="str">
            <v>Damini Dasgupta</v>
          </cell>
          <cell r="C8">
            <v>9874672103</v>
          </cell>
          <cell r="D8" t="str">
            <v>Flat No. 102, @nd Floor, Satguru Appartments, Sec 52, Wazirabad</v>
          </cell>
          <cell r="E8" t="str">
            <v>Sector 56</v>
          </cell>
          <cell r="F8" t="str">
            <v>Sunday</v>
          </cell>
          <cell r="G8" t="str">
            <v>9 AM - 12 PM</v>
          </cell>
          <cell r="H8">
            <v>1950</v>
          </cell>
          <cell r="I8">
            <v>487.5</v>
          </cell>
          <cell r="J8" t="str">
            <v>Joy</v>
          </cell>
          <cell r="K8" t="str">
            <v>Skip 1 week (09/05) Returned today (17/05) Returned today and skip 1 more week (07/06)</v>
          </cell>
          <cell r="N8" t="str">
            <v>1  del of this cycle   -  0-cycles pmnt   Completed - Collect 0</v>
          </cell>
          <cell r="O8" t="str">
            <v>O Asiatic ( 15 inch ) 4     Grass</v>
          </cell>
          <cell r="P8" t="str">
            <v>P n W Glad ( 14 Inch ) 22     Grass</v>
          </cell>
          <cell r="Q8" t="str">
            <v>Mix Alstroemeria ( 12 Inch ) 32     FF Sachet + Grass</v>
          </cell>
          <cell r="R8" t="e">
            <v>#N/A</v>
          </cell>
          <cell r="S8" t="str">
            <v>B Daisy ( 12 Inch ) 22     FF Sachet + Grass</v>
          </cell>
          <cell r="T8" t="str">
            <v>Sunflower ( 12 Inch ) 5     FF Sachet + Grass</v>
          </cell>
        </row>
        <row r="9">
          <cell r="A9" t="str">
            <v>B00000</v>
          </cell>
          <cell r="B9" t="str">
            <v>BPTP Amstoria</v>
          </cell>
          <cell r="D9" t="str">
            <v>BPTP Amstoria, Sec 102</v>
          </cell>
          <cell r="E9" t="str">
            <v>Dwarka Expressway</v>
          </cell>
          <cell r="F9" t="str">
            <v>Sunday</v>
          </cell>
          <cell r="G9" t="str">
            <v>By 10 AM</v>
          </cell>
          <cell r="H9">
            <v>0</v>
          </cell>
          <cell r="I9">
            <v>0</v>
          </cell>
          <cell r="J9" t="str">
            <v>Flower Workshop</v>
          </cell>
          <cell r="K9" t="str">
            <v>30 People // To reach there at 2 PM</v>
          </cell>
          <cell r="N9" t="str">
            <v>1  del of this cycle   -  0-cycles pmnt   In Process - Collect 0</v>
          </cell>
          <cell r="O9" t="e">
            <v>#N/A</v>
          </cell>
          <cell r="P9" t="e">
            <v>#N/A</v>
          </cell>
          <cell r="Q9" t="e">
            <v>#N/A</v>
          </cell>
          <cell r="R9" t="e">
            <v>#N/A</v>
          </cell>
          <cell r="S9" t="e">
            <v>#N/A</v>
          </cell>
          <cell r="T9" t="str">
            <v xml:space="preserve">P Asiatic + P n W Car + P n W Spray Daisy +  30 + 140 + 40 Taal Palm + G Victoria + Baby Dollar 30 + 30 + 30 Gypsola + Limonium 20 + 20 </v>
          </cell>
        </row>
        <row r="10">
          <cell r="A10">
            <v>2392</v>
          </cell>
          <cell r="B10" t="str">
            <v>Neelam malik</v>
          </cell>
          <cell r="C10">
            <v>8826230834</v>
          </cell>
          <cell r="D10" t="str">
            <v>T-B6/703, Exotica</v>
          </cell>
          <cell r="E10" t="str">
            <v>DLF Phase 5</v>
          </cell>
          <cell r="F10" t="str">
            <v>Sunday</v>
          </cell>
          <cell r="G10" t="str">
            <v>9 AM - 12 PM</v>
          </cell>
          <cell r="H10">
            <v>1450</v>
          </cell>
          <cell r="I10">
            <v>362.5</v>
          </cell>
          <cell r="J10" t="str">
            <v>Bliss</v>
          </cell>
          <cell r="K10" t="str">
            <v>Skip 1 week (25/01) Send this week delivery on Thursday (08/02) Skip tom and send on Thursday (01/03) Hold after current cycle (19/03) Upgrade to bliss and skip 1 week (06/12) Skip 1 week (25/01)</v>
          </cell>
          <cell r="N10" t="str">
            <v>4  del of this cycle   -  0-cycles pmnt   Completed - Collect 0</v>
          </cell>
          <cell r="O10" t="str">
            <v>O Asiatic ( 15 inch ) 3     Grass</v>
          </cell>
          <cell r="P10" t="str">
            <v>P n W Glad ( 14 Inch ) 16     Grass</v>
          </cell>
          <cell r="Q10" t="str">
            <v>Mix Alstroemeria ( 12 Inch ) 16     FF Sachet + Grass</v>
          </cell>
          <cell r="R10" t="str">
            <v>Pur n P Car ( 14 Inch ) 16     FF Sachet + Grass</v>
          </cell>
          <cell r="S10" t="str">
            <v>P Eustoma ( 12 Inch ) 3     FF Sachet + Grass</v>
          </cell>
          <cell r="T10" t="str">
            <v>Sunflower ( 12 Inch ) 4     FF Sachet + Grass</v>
          </cell>
        </row>
        <row r="11">
          <cell r="A11">
            <v>3345</v>
          </cell>
          <cell r="B11" t="str">
            <v>Pragya Ojha</v>
          </cell>
          <cell r="C11">
            <v>8879005210</v>
          </cell>
          <cell r="D11" t="str">
            <v>C-1403, Heritage One, Sec 62</v>
          </cell>
          <cell r="G11" t="str">
            <v>Replacment</v>
          </cell>
          <cell r="H11" t="str">
            <v>Replacment</v>
          </cell>
          <cell r="I11" t="str">
            <v>Replacment</v>
          </cell>
          <cell r="J11" t="str">
            <v>Replacment</v>
          </cell>
          <cell r="K11" t="str">
            <v>Replacment</v>
          </cell>
          <cell r="L11" t="str">
            <v>Replacment</v>
          </cell>
          <cell r="M11" t="str">
            <v>Replacment</v>
          </cell>
          <cell r="N11" t="str">
            <v>Replacment</v>
          </cell>
          <cell r="T11" t="str">
            <v xml:space="preserve">P n W Glad ( 14 Inch ) 32     </v>
          </cell>
        </row>
        <row r="12">
          <cell r="A12">
            <v>2444</v>
          </cell>
          <cell r="B12" t="str">
            <v>Navpreet Gill</v>
          </cell>
          <cell r="C12">
            <v>8076406029</v>
          </cell>
          <cell r="D12" t="str">
            <v>H. No. 1662, 2nd Floor. Near Oil Indian Petrol Pump, Wazirabad</v>
          </cell>
          <cell r="E12" t="str">
            <v>Sector 56</v>
          </cell>
          <cell r="F12" t="str">
            <v>Sunday</v>
          </cell>
          <cell r="G12" t="str">
            <v>9 AM to 2 PM</v>
          </cell>
          <cell r="H12">
            <v>1450</v>
          </cell>
          <cell r="I12">
            <v>362.5</v>
          </cell>
          <cell r="J12" t="str">
            <v>Bliss</v>
          </cell>
          <cell r="K12" t="str">
            <v>Insta // Return today (20/03) Hold today (27/03) Set replacement today (19/04) Hold n start after 2 week(15/05) Today returned (19/04) Send tom (20/04) HDTNP (03/05) Send on Tuesday this week (03/05)</v>
          </cell>
          <cell r="N12" t="str">
            <v>3  del of this cycle   -  0-cycles pmnt   Completed - Collect 0</v>
          </cell>
          <cell r="O12" t="str">
            <v>Y Asiatic ( 15 Inch ) 3     Grass</v>
          </cell>
          <cell r="P12" t="str">
            <v>R n W Car( 14 Inch)  16     FF Sachet + Grass</v>
          </cell>
          <cell r="Q12" t="str">
            <v>P n W Glad ( 14 Inch ) 16     Grass</v>
          </cell>
          <cell r="R12" t="str">
            <v>P n W Spray Daisy ( 14 Inch ) 5     FF Sachet + Grass</v>
          </cell>
          <cell r="S12" t="str">
            <v>Pur Eustoma ( 12 Inch ) 3     FF Sachet + Grass</v>
          </cell>
          <cell r="T12" t="str">
            <v>Sunflower ( 12 Inch ) 4     FF Sachet + Grass</v>
          </cell>
        </row>
        <row r="13">
          <cell r="A13" t="str">
            <v>G-00064</v>
          </cell>
          <cell r="B13" t="str">
            <v>Mahesh Mishra</v>
          </cell>
          <cell r="C13">
            <v>9039286484</v>
          </cell>
          <cell r="D13" t="str">
            <v>H-21, 2nd Floor, Residency Greens, Sec 46</v>
          </cell>
          <cell r="E13" t="str">
            <v>Sector 46</v>
          </cell>
          <cell r="F13" t="str">
            <v>Sunday</v>
          </cell>
          <cell r="G13" t="str">
            <v>9:30 Am to 2 PM</v>
          </cell>
          <cell r="H13">
            <v>1450</v>
          </cell>
          <cell r="I13">
            <v>362.5</v>
          </cell>
          <cell r="J13" t="str">
            <v>Bliss</v>
          </cell>
          <cell r="K13" t="str">
            <v>From 9310895959</v>
          </cell>
          <cell r="N13" t="str">
            <v>2  del of this cycle   -  0-cycles pmnt   Completed - Collect 0</v>
          </cell>
          <cell r="O13" t="e">
            <v>#N/A</v>
          </cell>
          <cell r="P13" t="e">
            <v>#N/A</v>
          </cell>
          <cell r="Q13" t="e">
            <v>#N/A</v>
          </cell>
          <cell r="R13" t="e">
            <v>#N/A</v>
          </cell>
          <cell r="S13" t="str">
            <v>Pur n P Car ( 14 Inch ) 16     FF Sachet + Grass</v>
          </cell>
          <cell r="T13" t="str">
            <v>Sunflower ( 12 Inch ) 4     FF Sachet + Grass</v>
          </cell>
        </row>
        <row r="14">
          <cell r="A14">
            <v>2639</v>
          </cell>
          <cell r="B14" t="str">
            <v>Bhanupriya Sharma</v>
          </cell>
          <cell r="C14">
            <v>9799191916</v>
          </cell>
          <cell r="D14" t="str">
            <v>37, Abundance Appartment, 4th Floor, D Block, Indira Colony-2, Sec 52 , Behind Arihant Hospital</v>
          </cell>
          <cell r="E14" t="str">
            <v>Artemis</v>
          </cell>
          <cell r="F14" t="str">
            <v>Sunday</v>
          </cell>
          <cell r="G14" t="str">
            <v>9 AM - 12 PM</v>
          </cell>
          <cell r="H14">
            <v>1450</v>
          </cell>
          <cell r="I14">
            <v>487.5</v>
          </cell>
          <cell r="J14" t="str">
            <v>Bliss</v>
          </cell>
          <cell r="K14" t="str">
            <v>Skip 1 week (16/05) today returned (06/07) Change day to delight (02/11) Paytm from Rajeev Bhambani (05/11) Upgrade to Bliss (24/01) Paytm From Aluma Care (25/03) No Lily (16/05)</v>
          </cell>
          <cell r="L14" t="str">
            <v>Lily</v>
          </cell>
          <cell r="M14" t="str">
            <v>One kInd in Bliss</v>
          </cell>
          <cell r="N14" t="str">
            <v>3  del of this cycle   -  0-cycles pmnt   Completed - Collect 0</v>
          </cell>
          <cell r="O14" t="str">
            <v>Eustoma 3 Y Glad 11   Grass</v>
          </cell>
          <cell r="P14" t="str">
            <v>Mix Spray Daisy 3 R n W Car ( 14 Inch ) 7   Grass</v>
          </cell>
          <cell r="Q14" t="str">
            <v>Mix Alstroemeria ( 12 Inch ) 16     FF Sachet + Grass</v>
          </cell>
          <cell r="R14" t="str">
            <v>Pur n P Car ( 14 Inch ) 16     FF Sachet + Grass</v>
          </cell>
          <cell r="S14" t="str">
            <v>P n W Glad ( 14 Inch ) 16     Grass</v>
          </cell>
          <cell r="T14" t="str">
            <v>Sunflower ( 12 Inch ) 4     FF Sachet + Grass</v>
          </cell>
        </row>
        <row r="15">
          <cell r="A15">
            <v>3243</v>
          </cell>
          <cell r="B15" t="str">
            <v>Muskan</v>
          </cell>
          <cell r="C15">
            <v>9877561166</v>
          </cell>
          <cell r="D15" t="str">
            <v>Floor - 6, Flat 601, Milan Appartment, CGHS</v>
          </cell>
          <cell r="E15" t="str">
            <v>Artemis</v>
          </cell>
          <cell r="F15" t="str">
            <v>Sunday</v>
          </cell>
          <cell r="G15" t="str">
            <v>10 AM to 2:30 PM</v>
          </cell>
          <cell r="H15">
            <v>1450</v>
          </cell>
          <cell r="I15">
            <v>362.5</v>
          </cell>
          <cell r="J15" t="str">
            <v>Bliss</v>
          </cell>
          <cell r="K15" t="str">
            <v>One Kind // Day Sunday (26/03) Mix in Joy (23/04) Change to bliss (21/06)</v>
          </cell>
          <cell r="M15" t="str">
            <v>Mix in Joy (23/04)</v>
          </cell>
          <cell r="N15" t="str">
            <v>2  del of this cycle   -  0-cycles pmnt   Completed - Collect 0</v>
          </cell>
          <cell r="O15" t="str">
            <v>O Asiatic ( 15 inch ) 4     Grass</v>
          </cell>
          <cell r="P15" t="str">
            <v>P n W Glad ( 14 Inch ) 22     Grass</v>
          </cell>
          <cell r="Q15" t="str">
            <v>P n Y Spray Daisy ( 14 Inch ) 7     FF Sachet + Grass</v>
          </cell>
          <cell r="R15" t="str">
            <v>Pur n P Car ( 14 Inch ) 22     FF Sachet + Grass</v>
          </cell>
          <cell r="S15" t="str">
            <v>B Daisy ( 12 Inch ) 16     Grass</v>
          </cell>
          <cell r="T15" t="str">
            <v>Sunflower ( 12 Inch ) 4     FF Sachet + Grass</v>
          </cell>
        </row>
        <row r="16">
          <cell r="A16">
            <v>13</v>
          </cell>
          <cell r="B16" t="str">
            <v>Mr. Vipin Marwah</v>
          </cell>
          <cell r="C16" t="str">
            <v>9313496645//9350353662</v>
          </cell>
          <cell r="D16" t="str">
            <v>D5/502, Parsvanath Exotica</v>
          </cell>
          <cell r="E16" t="str">
            <v>DLF Phase 5</v>
          </cell>
          <cell r="F16" t="str">
            <v>Sunday</v>
          </cell>
          <cell r="G16" t="str">
            <v>9 AM - 12 PM</v>
          </cell>
          <cell r="H16">
            <v>2750</v>
          </cell>
          <cell r="I16">
            <v>687.5</v>
          </cell>
          <cell r="J16" t="str">
            <v>Elation</v>
          </cell>
          <cell r="K16"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v>
          </cell>
          <cell r="N16" t="str">
            <v>2  del of this cycle   -  1-cycles pmnt   Pending - Collect 2750</v>
          </cell>
          <cell r="O16" t="str">
            <v>W Glad ( 14 inch ) 32     Grass</v>
          </cell>
          <cell r="P16" t="str">
            <v>W Glad ( 14 Inch ) 32     Grass</v>
          </cell>
          <cell r="Q16" t="str">
            <v>O Glad ( 14 Inch ) 32     Grass</v>
          </cell>
          <cell r="R16" t="str">
            <v>W Glad ( 14 Inch ) 32     Grass</v>
          </cell>
          <cell r="S16" t="str">
            <v>W Glad ( 15 Inch ) 32     Grass</v>
          </cell>
          <cell r="T16" t="str">
            <v>W Glad ( 14 Inch ) 32     Grass</v>
          </cell>
        </row>
        <row r="17">
          <cell r="A17">
            <v>2255</v>
          </cell>
          <cell r="B17" t="str">
            <v>Prerna -- Rosewood</v>
          </cell>
          <cell r="C17">
            <v>9910778929</v>
          </cell>
          <cell r="D17" t="str">
            <v>D-154, Rosewood City, Sector 50</v>
          </cell>
          <cell r="E17" t="str">
            <v>Nirvana Country</v>
          </cell>
          <cell r="F17" t="str">
            <v>Sunday</v>
          </cell>
          <cell r="G17" t="str">
            <v>9:30 Am to 2 PM</v>
          </cell>
          <cell r="H17">
            <v>1450</v>
          </cell>
          <cell r="I17">
            <v>362.5</v>
          </cell>
          <cell r="J17" t="str">
            <v>Bliss</v>
          </cell>
          <cell r="K17" t="str">
            <v>Sent replacement today (21/04) Skip 1 week (04/12) Skip tom (14/06) Return today (06/07) 27th Del Missed (03/08)Skip 22/23rd Nov (08/11) Paytm From Prerna Sharma // Skip 1 week (07/02) Hold n start after 9 th June (10/05)</v>
          </cell>
          <cell r="N17" t="str">
            <v>3  del of this cycle   -  0-cycles pmnt   Completed - Collect 0</v>
          </cell>
          <cell r="O17" t="e">
            <v>#N/A</v>
          </cell>
          <cell r="P17" t="e">
            <v>#N/A</v>
          </cell>
          <cell r="Q17" t="e">
            <v>#N/A</v>
          </cell>
          <cell r="R17" t="str">
            <v>Pur n P Car ( 14 Inch ) 16     FF Sachet + Grass</v>
          </cell>
          <cell r="S17" t="str">
            <v>Pur Eustoma ( 12 Inch ) 3     FF Sachet + Grass</v>
          </cell>
          <cell r="T17" t="str">
            <v>Rajni 16     Grass</v>
          </cell>
        </row>
        <row r="18">
          <cell r="A18">
            <v>894</v>
          </cell>
          <cell r="B18" t="str">
            <v>Dr. Roma Kumar</v>
          </cell>
          <cell r="C18" t="str">
            <v>98110 87708</v>
          </cell>
          <cell r="D18" t="str">
            <v>RT-181, Royalton Tower
Inside Princeton Estate
DLF City Phase-V
Gurgaon-122009
Haryana</v>
          </cell>
          <cell r="E18" t="str">
            <v>DLF Phase 5</v>
          </cell>
          <cell r="F18" t="str">
            <v>Thursday</v>
          </cell>
          <cell r="G18" t="str">
            <v>9 AM - 12 PM</v>
          </cell>
          <cell r="H18">
            <v>3000</v>
          </cell>
          <cell r="I18">
            <v>375</v>
          </cell>
          <cell r="J18" t="str">
            <v>Charm</v>
          </cell>
          <cell r="K18"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18" t="str">
            <v>ORCHID</v>
          </cell>
          <cell r="N18" t="str">
            <v>4  del of this cycle   -  0-cycles pmnt   Completed - Collect 0</v>
          </cell>
          <cell r="O18" t="str">
            <v>O Asiatic ( 15 inch ) 3     Grass</v>
          </cell>
          <cell r="P18" t="str">
            <v>Rajni ( 14 Inch )  15     Grass</v>
          </cell>
          <cell r="Q18" t="str">
            <v>Mix Alstroemeria ( 12 Inch ) 15     FF Sachet + Grass</v>
          </cell>
          <cell r="R18" t="str">
            <v>Pur n P Car ( 14 Inch ) 15     FF Sachet + Grass</v>
          </cell>
          <cell r="S18" t="str">
            <v>B Daisy ( 12 Inch ) 15     Grass</v>
          </cell>
          <cell r="T18" t="str">
            <v>P Oriental ( 15 Inch ) 2     Grass</v>
          </cell>
        </row>
        <row r="19">
          <cell r="A19">
            <v>945</v>
          </cell>
          <cell r="B19" t="str">
            <v>Ms. Shuchi Chopra</v>
          </cell>
          <cell r="C19">
            <v>9910984447</v>
          </cell>
          <cell r="D19" t="str">
            <v>Flat No. 703, M3M Golf Estate, Latitude Building</v>
          </cell>
          <cell r="E19" t="str">
            <v>Badshahpur</v>
          </cell>
          <cell r="F19" t="str">
            <v>Sunday</v>
          </cell>
          <cell r="G19" t="str">
            <v>9 AM - 12 PM</v>
          </cell>
          <cell r="H19">
            <v>1950</v>
          </cell>
          <cell r="I19">
            <v>487.5</v>
          </cell>
          <cell r="J19" t="str">
            <v>Joy</v>
          </cell>
          <cell r="K19"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19" t="str">
            <v>3  del of this cycle   -  0-cycles pmnt   In Process - Collect 0</v>
          </cell>
          <cell r="O19" t="str">
            <v>Eustoma 2 P n W  Glad ( 14 inch ) 11   Grass</v>
          </cell>
          <cell r="P19" t="str">
            <v>P n W Spray Daisy ( 15 Inch ) 4 R n W Car ( 14 Inch ) 11   FF Sachet + garss</v>
          </cell>
          <cell r="Q19" t="str">
            <v>BOP 2 Mix Alstroemeria ( 12 Inch ) 11   FF Sachet + Grass</v>
          </cell>
          <cell r="R19" t="str">
            <v>O Asiatic ( 14 Inch ) 2 P n W Glad ( 14 Inch ) 11   Grass</v>
          </cell>
          <cell r="S19" t="str">
            <v>P Eustoma ( 12 Inch ) 2 Rajni ( 14 Inch ) 11   Grass</v>
          </cell>
          <cell r="T19" t="str">
            <v>Sunflower ( 12 Inch ) 2 Pur n P Car ( 14 Inch ) 11   FF Sachet + Grass</v>
          </cell>
        </row>
        <row r="20">
          <cell r="A20">
            <v>1140</v>
          </cell>
          <cell r="B20" t="str">
            <v>Nidhi Singh</v>
          </cell>
          <cell r="C20" t="str">
            <v>8383036664//9899389873</v>
          </cell>
          <cell r="D20" t="str">
            <v>D-8/3, Ground Floor DLF Exclusive Floors</v>
          </cell>
          <cell r="E20" t="str">
            <v>DLF Phase 5</v>
          </cell>
          <cell r="F20" t="str">
            <v>Thursday</v>
          </cell>
          <cell r="G20" t="str">
            <v>9 AM - 12 PM</v>
          </cell>
          <cell r="H20">
            <v>2300</v>
          </cell>
          <cell r="I20">
            <v>287.5</v>
          </cell>
          <cell r="J20" t="str">
            <v>Felicity</v>
          </cell>
          <cell r="K20"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0" t="str">
            <v>ROSE</v>
          </cell>
          <cell r="N20" t="str">
            <v>8  del of this cycle   -  0-cycles pmnt   Completed - Collect 0</v>
          </cell>
          <cell r="O20" t="str">
            <v>Rajni ( 14 inch ) 11     Grass</v>
          </cell>
          <cell r="P20" t="str">
            <v>R n W Car( 14 Inch)  11     FF Sachet + Grass</v>
          </cell>
          <cell r="Q20" t="str">
            <v>Mix Alstroemeria ( 12 Inch ) 11     FF Sachet + Grass</v>
          </cell>
          <cell r="R20" t="str">
            <v>O Asiatic ( 14 Inch ) 2     Grass</v>
          </cell>
          <cell r="S20" t="str">
            <v>B Daisy ( 12 Inch ) 11     Grass</v>
          </cell>
          <cell r="T20" t="str">
            <v>Sunflower ( 12 Inch ) 3     FF Sachet + Grass</v>
          </cell>
        </row>
        <row r="21">
          <cell r="A21" t="str">
            <v>B46944</v>
          </cell>
          <cell r="B21" t="str">
            <v>Albi</v>
          </cell>
          <cell r="C21">
            <v>9999236508</v>
          </cell>
          <cell r="D21" t="str">
            <v>G-3/1A, DLF Phase 1</v>
          </cell>
          <cell r="E21" t="str">
            <v>DLF Phase 1</v>
          </cell>
          <cell r="F21" t="str">
            <v>Thursday</v>
          </cell>
          <cell r="G21" t="str">
            <v>By 9 AM</v>
          </cell>
          <cell r="H21">
            <v>28000</v>
          </cell>
          <cell r="I21">
            <v>7000</v>
          </cell>
          <cell r="J21" t="str">
            <v>Customized</v>
          </cell>
          <cell r="K21" t="str">
            <v>Now at every 10 days (18/12)</v>
          </cell>
          <cell r="N21" t="str">
            <v>4  del of this cycle   -  0-cycles pmnt   In Process - Collect 0</v>
          </cell>
          <cell r="O21" t="str">
            <v xml:space="preserve">P Oriental  + W Asiatic + P n W Car + P n W Spray Daisy + P n W Eustoma +  P n W Anthurium + W Orchid 5 + 5 + 40 + 10 + 6 + 4 + 6     </v>
          </cell>
          <cell r="P21" t="str">
            <v xml:space="preserve">W Oriental + W Asiatic + G n W Car + G n W Spray Daisy + G n W Anthurium  4 + 4 + 40 + 15 + 6     </v>
          </cell>
          <cell r="Q21" t="str">
            <v xml:space="preserve">P  Oriental + P Asiatic + P n Y Button Daisy + P n Y Car + P Eustoma 4 + 4 + 10 + 40 + 8 Mogra 300 Gm   </v>
          </cell>
          <cell r="R21" t="str">
            <v xml:space="preserve">P Oriental + Y Asiatic + P n W Spray Daisy + Pur n P Car + Pur Eustoma + Pur Anthurium 4 + 4 +10 + 35 + 6 Dilli patti + Fish Tail + Other Greens    </v>
          </cell>
          <cell r="S21" t="e">
            <v>#N/A</v>
          </cell>
          <cell r="T21" t="str">
            <v xml:space="preserve">W Oriental + R Asiatic + R n W Spray Daisy + R n W Car + R n W Anthurium + W Orchid  4 + 4 + 12 + 30 + 4 + 7 Mogra 200 Gm   </v>
          </cell>
        </row>
        <row r="22">
          <cell r="A22">
            <v>2637</v>
          </cell>
          <cell r="B22" t="str">
            <v>Shalini Kohli</v>
          </cell>
          <cell r="C22">
            <v>9999834141</v>
          </cell>
          <cell r="D22" t="str">
            <v>A-1402, Ireo Victory Valley</v>
          </cell>
          <cell r="E22" t="str">
            <v>Badshahpur</v>
          </cell>
          <cell r="F22" t="str">
            <v>Sunday</v>
          </cell>
          <cell r="G22" t="str">
            <v>9 AM - 12 PM</v>
          </cell>
          <cell r="H22">
            <v>1950</v>
          </cell>
          <cell r="I22">
            <v>487.5</v>
          </cell>
          <cell r="J22" t="str">
            <v>Joy</v>
          </cell>
          <cell r="K22"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22" t="str">
            <v>1  del of this cycle   -  1-cycles pmnt   Pending - Collect 1950</v>
          </cell>
          <cell r="O22" t="e">
            <v>#N/A</v>
          </cell>
          <cell r="P22" t="str">
            <v>P n W Spray Daisy ( 15 Inch ) 4 Mix Carnation  ( 12 Inch ) 11   FF Sachet + garss</v>
          </cell>
          <cell r="Q22" t="str">
            <v>Pur Eustoma ( 12 Inch ) 2 Mix Alstroemeria ( 12 Inch ) 11   FF Sachet + Grass</v>
          </cell>
          <cell r="R22" t="str">
            <v>O Asiatic ( 14 Inch ) 2 P n W Glad ( 14 Inch ) 11   Grass</v>
          </cell>
          <cell r="S22" t="str">
            <v>P Asiatic ( 14 Inch ) 2 P n W Glad ( 14 Inch ) 11   Grass</v>
          </cell>
          <cell r="T22" t="str">
            <v>Sunflower ( 12 Inch ) 3 Rajni ( 14 Inch ) 11   FF Sachet + Grass</v>
          </cell>
        </row>
        <row r="23">
          <cell r="A23">
            <v>2450</v>
          </cell>
          <cell r="B23" t="str">
            <v>Anshuman Divyanshu -- 1450 Pack</v>
          </cell>
          <cell r="C23">
            <v>9934010124</v>
          </cell>
          <cell r="D23" t="str">
            <v>G-1401, Bestech Park View Spa Next</v>
          </cell>
          <cell r="E23" t="str">
            <v>Badshahpur</v>
          </cell>
          <cell r="F23" t="str">
            <v>Sunday</v>
          </cell>
          <cell r="G23" t="str">
            <v>9:30 Am to 2 PM</v>
          </cell>
          <cell r="H23">
            <v>999</v>
          </cell>
          <cell r="I23">
            <v>249.75</v>
          </cell>
          <cell r="J23" t="str">
            <v>Delight</v>
          </cell>
          <cell r="K23" t="str">
            <v>Insta // return today (24/08) Hold today (28/09) HDTNP (03/05) Skip 1 week (06/06)</v>
          </cell>
          <cell r="N23" t="str">
            <v>4  del of this cycle   -  0-cycles pmnt   Completed - Collect 0</v>
          </cell>
          <cell r="O23" t="str">
            <v>P n W Glad ( 14 inch ) 9     Grass</v>
          </cell>
          <cell r="P23" t="str">
            <v>R n W Car( 14 Inch)  9     FF Sachet + Grass</v>
          </cell>
          <cell r="Q23" t="e">
            <v>#N/A</v>
          </cell>
          <cell r="R23" t="str">
            <v>O Asiatic ( 14 Inch ) 2     Grass</v>
          </cell>
          <cell r="S23" t="str">
            <v>B Daisy ( 12 Inch ) 9     Grass</v>
          </cell>
          <cell r="T23" t="str">
            <v>Sunflower ( 12 Inch ) 2     FF Sachet + Grass</v>
          </cell>
        </row>
        <row r="24">
          <cell r="A24">
            <v>3282</v>
          </cell>
          <cell r="B24" t="str">
            <v>Pluang Technologies India Pvt. Ltd.</v>
          </cell>
          <cell r="C24">
            <v>9650723437</v>
          </cell>
          <cell r="D24" t="str">
            <v>13th Floor, Magnum Global Park, Sec 58</v>
          </cell>
          <cell r="E24" t="str">
            <v>Ghata</v>
          </cell>
          <cell r="F24" t="str">
            <v>Sunday</v>
          </cell>
          <cell r="G24" t="str">
            <v>4 Pm to 7 PM</v>
          </cell>
          <cell r="H24">
            <v>1950</v>
          </cell>
          <cell r="I24">
            <v>487.5</v>
          </cell>
          <cell r="J24" t="str">
            <v>Joy</v>
          </cell>
          <cell r="K24" t="str">
            <v>Payment from Vibhuti --997176764 (10/03) Paytm From Sahiba Sachdeva (08/04)</v>
          </cell>
          <cell r="N24" t="str">
            <v>1  del of this cycle   -  0-cycles pmnt   Completed - Collect 0</v>
          </cell>
          <cell r="O24" t="str">
            <v>Spray Daisy 4 P n W Glad ( 14 inch ) 11   Grass</v>
          </cell>
          <cell r="P24" t="str">
            <v>Pur n P Eustoma ( 12 Inch ) 2 B Daisy 11   FF Sachet + garss</v>
          </cell>
          <cell r="Q24" t="str">
            <v>Sunflower ( 12 Inch ) 3 Mix Alstroemeria ( 12 Inch ) 11   FF Sachet + Grass</v>
          </cell>
          <cell r="R24" t="str">
            <v>P Asiatic ( 14 Inch ) 2 Pur n P Car ( 14 Inch ) 11   Grass</v>
          </cell>
          <cell r="S24" t="str">
            <v>P n Y Spray Daisy ( 14 Inch ) 4 P n W Glad ( 14 Inch ) 11   FF Sachet + Grass</v>
          </cell>
          <cell r="T24" t="str">
            <v>Sunflower ( 12 Inch ) 3 Rajni ( 14 Inch ) 11   FF Sachet + Grass</v>
          </cell>
        </row>
        <row r="25">
          <cell r="A25">
            <v>3245</v>
          </cell>
          <cell r="B25" t="str">
            <v>Parul Parihar</v>
          </cell>
          <cell r="C25">
            <v>9999903582</v>
          </cell>
          <cell r="D25" t="str">
            <v>502, Adhunil Appartments, Sec 52</v>
          </cell>
          <cell r="E25" t="str">
            <v>Artemis</v>
          </cell>
          <cell r="F25" t="str">
            <v>Sunday</v>
          </cell>
          <cell r="G25" t="str">
            <v>9 AM - 12 PM</v>
          </cell>
          <cell r="H25">
            <v>1450</v>
          </cell>
          <cell r="I25">
            <v>362.5</v>
          </cell>
          <cell r="J25" t="str">
            <v>Bliss</v>
          </cell>
          <cell r="N25" t="str">
            <v>1  del of this cycle   -  1-cycles pmnt   Pending - Collect 1450</v>
          </cell>
          <cell r="O25" t="str">
            <v>O Asiatic ( 15 inch ) 3     Grass</v>
          </cell>
          <cell r="P25" t="str">
            <v>P n W Car ( 14 inch ) 16     FF Sachet + Grass</v>
          </cell>
          <cell r="Q25" t="str">
            <v>P n W Spray Daisy ( 14 Inch) 5     FF Sachet + Grass</v>
          </cell>
          <cell r="R25" t="str">
            <v>P n W Glad ( 14 Inch ) 16     Grass</v>
          </cell>
          <cell r="S25" t="str">
            <v>Pur Eustoma ( 12 Inch ) 3     FF Sachet + Grass</v>
          </cell>
          <cell r="T25" t="str">
            <v>P Asiatic ( 14 Inch ) 3     Grass</v>
          </cell>
        </row>
        <row r="26">
          <cell r="A26">
            <v>2774</v>
          </cell>
          <cell r="B26" t="str">
            <v>Vandana Thakran</v>
          </cell>
          <cell r="C26">
            <v>9899589964</v>
          </cell>
          <cell r="D26" t="str">
            <v>H. No. 35, Cedar Crest</v>
          </cell>
          <cell r="E26" t="str">
            <v>Nirvana Country</v>
          </cell>
          <cell r="F26" t="str">
            <v>Sunday</v>
          </cell>
          <cell r="G26" t="str">
            <v>9 AM - 12 PM</v>
          </cell>
          <cell r="H26">
            <v>1600</v>
          </cell>
          <cell r="I26">
            <v>200</v>
          </cell>
          <cell r="J26" t="str">
            <v>Bloom</v>
          </cell>
          <cell r="N26" t="str">
            <v>1  del of this cycle   -  0-cycles pmnt   Completed - Collect 0</v>
          </cell>
          <cell r="O26" t="str">
            <v>Rajni ( 14 inch ) 7     Grass</v>
          </cell>
          <cell r="P26" t="str">
            <v>P n W Glad ( 14 Inch ) 7     Grass</v>
          </cell>
          <cell r="Q26" t="str">
            <v>Mix Alstroemeria ( 12 Inch ) 7     FF Sachet + Grass</v>
          </cell>
          <cell r="R26" t="str">
            <v>Rajni ( 14 Inch ) 7     Grass</v>
          </cell>
          <cell r="S26" t="str">
            <v>B Daisy ( 12 Inch ) 7     Grass</v>
          </cell>
          <cell r="T26" t="str">
            <v>Sunflower ( 12 Inch ) 2     FF Sachet + Grass</v>
          </cell>
        </row>
        <row r="27">
          <cell r="A27">
            <v>2462</v>
          </cell>
          <cell r="B27" t="str">
            <v>Rubeey Matharu -- 1450 Pack</v>
          </cell>
          <cell r="C27">
            <v>9811601176</v>
          </cell>
          <cell r="D27" t="str">
            <v>Sirera 1, T-6/306, M3M Marina</v>
          </cell>
          <cell r="E27" t="str">
            <v>Badshahpur</v>
          </cell>
          <cell r="F27" t="str">
            <v>Sunday</v>
          </cell>
          <cell r="G27" t="str">
            <v>9 AM - 12 PM</v>
          </cell>
          <cell r="H27">
            <v>999</v>
          </cell>
          <cell r="I27">
            <v>249.75</v>
          </cell>
          <cell r="J27" t="str">
            <v>Delight</v>
          </cell>
          <cell r="K27" t="str">
            <v>Skip 1 week and inform before starting (08/04) Hold n start from Aug (15/05) Paytm From Amanpreet Kaur Matharu // Paytm from Gurjeet Matharu</v>
          </cell>
          <cell r="M27" t="str">
            <v>Rajni Tom (01/11)</v>
          </cell>
          <cell r="N27" t="str">
            <v>4  del of this cycle   -  0-cycles pmnt   CompletedNO COLLECTION-we have extra money - Collect -450</v>
          </cell>
          <cell r="O27" t="str">
            <v>P n W Glad ( 14 inch ) 9     Grass</v>
          </cell>
          <cell r="P27" t="str">
            <v>O Asiatic ( 15 Inch ) 2     Grass</v>
          </cell>
          <cell r="Q27" t="str">
            <v>Mix Alstroemeria ( 12 Inch ) 9     FF Sachet + Grass</v>
          </cell>
          <cell r="R27" t="str">
            <v>Pur n P Car ( 14 Inch ) 9     FF Sachet + Grass</v>
          </cell>
          <cell r="S27" t="str">
            <v>B Daisy ( 12 Inch ) 9     Grass</v>
          </cell>
          <cell r="T27" t="str">
            <v>P n W Glad ( 14 Inch ) 9     Grass</v>
          </cell>
        </row>
        <row r="28">
          <cell r="A28">
            <v>2416</v>
          </cell>
          <cell r="B28" t="str">
            <v>Dinesh Dhir</v>
          </cell>
          <cell r="C28">
            <v>9810709096</v>
          </cell>
          <cell r="D28" t="str">
            <v>D-11/9, 1st Floor, DLF Exclusive Floors</v>
          </cell>
          <cell r="E28" t="str">
            <v>DLF Phase 5</v>
          </cell>
          <cell r="F28" t="str">
            <v>Sunday</v>
          </cell>
          <cell r="G28" t="str">
            <v>9 AM - 12 PM</v>
          </cell>
          <cell r="H28">
            <v>1450</v>
          </cell>
          <cell r="I28">
            <v>362.5</v>
          </cell>
          <cell r="J28" t="str">
            <v>Bliss</v>
          </cell>
          <cell r="K28" t="str">
            <v>Hold today n send next week (15/06) Add changed (17/05)</v>
          </cell>
          <cell r="N28" t="str">
            <v>1  del of this cycle   -  0-cycles pmnt   Completed - Collect 0</v>
          </cell>
          <cell r="O28" t="str">
            <v>O Asiatic ( 15 inch ) 2     Grass</v>
          </cell>
          <cell r="P28" t="str">
            <v>R n W Car( 14 Inch)  9     FF Sachet + Grass</v>
          </cell>
          <cell r="Q28" t="str">
            <v>P n W Glad ( 14 Inch ) 9     Grass</v>
          </cell>
          <cell r="R28" t="str">
            <v>Sunflower ( 12 Inch ) 2     FF Sachet + Grass</v>
          </cell>
          <cell r="S28" t="str">
            <v>B Daisy ( 12 Inch ) 9     Grass</v>
          </cell>
          <cell r="T28" t="str">
            <v>P Asiatic ( 14 Inch ) 3     Grass</v>
          </cell>
        </row>
        <row r="29">
          <cell r="A29">
            <v>3359</v>
          </cell>
          <cell r="B29" t="str">
            <v>Payal Soni</v>
          </cell>
          <cell r="C29">
            <v>7508901884</v>
          </cell>
          <cell r="D29" t="str">
            <v>T-9/1403, Pyramid Sec 67 A, Badshahpur Road, Near Iskcon</v>
          </cell>
          <cell r="E29" t="str">
            <v>Badshahpur</v>
          </cell>
          <cell r="F29" t="str">
            <v>Sunday</v>
          </cell>
          <cell r="G29" t="str">
            <v>9 AM - 12 PM</v>
          </cell>
          <cell r="H29">
            <v>1450</v>
          </cell>
          <cell r="I29">
            <v>362.5</v>
          </cell>
          <cell r="J29" t="str">
            <v>Bliss</v>
          </cell>
          <cell r="K29" t="str">
            <v>No Glad and day changed to Sunday 904/06)</v>
          </cell>
          <cell r="L29" t="str">
            <v>Glad</v>
          </cell>
          <cell r="N29" t="str">
            <v>4  del of this cycle   -  0-cycles pmnt   Completed - Collect 0</v>
          </cell>
          <cell r="O29" t="e">
            <v>#N/A</v>
          </cell>
          <cell r="P29" t="e">
            <v>#N/A</v>
          </cell>
          <cell r="Q29" t="str">
            <v>Mix Alstroemeria ( 12 Inch ) 16     FF Sachet + Grass</v>
          </cell>
          <cell r="R29" t="str">
            <v>P Asiatic ( 14 Inch ) 3     Grass</v>
          </cell>
          <cell r="S29" t="str">
            <v>Pur n P Car ( 14 Inch ) 16     FF Sachet + Grass</v>
          </cell>
          <cell r="T29" t="str">
            <v>Sunflower ( 12 Inch ) 4     FF Sachet + Grass</v>
          </cell>
        </row>
        <row r="30">
          <cell r="A30">
            <v>2724</v>
          </cell>
          <cell r="B30" t="str">
            <v>Kavita Dahiya</v>
          </cell>
          <cell r="C30">
            <v>9873400017</v>
          </cell>
          <cell r="D30" t="str">
            <v>H. No. 1391, 2nd Floor,  Sec-57 Part -2</v>
          </cell>
          <cell r="E30" t="str">
            <v>Artemis</v>
          </cell>
          <cell r="F30" t="str">
            <v>Sunday</v>
          </cell>
          <cell r="G30" t="str">
            <v>9:30 AM to 2 PM</v>
          </cell>
          <cell r="H30">
            <v>1450</v>
          </cell>
          <cell r="I30">
            <v>362.5</v>
          </cell>
          <cell r="J30" t="str">
            <v>Bliss</v>
          </cell>
          <cell r="K30" t="str">
            <v>Send on Sunday this week (27/08) No gerbera (12/09) No Sunflowers (15/11) Skip 1 week (30/12) Hold n collect 500 tom (25/02)</v>
          </cell>
          <cell r="L30" t="str">
            <v>Gerbera n Sunflower</v>
          </cell>
          <cell r="N30" t="str">
            <v>2  del of this cycle   -  0-cycles pmnt   CompletedNO COLLECTION-we have extra money - Collect -9</v>
          </cell>
          <cell r="O30" t="e">
            <v>#N/A</v>
          </cell>
          <cell r="P30" t="e">
            <v>#N/A</v>
          </cell>
          <cell r="Q30" t="e">
            <v>#N/A</v>
          </cell>
          <cell r="R30" t="e">
            <v>#N/A</v>
          </cell>
          <cell r="S30" t="str">
            <v>Pur n P Car ( 14 Inch ) 16     FF Sachet + Grass</v>
          </cell>
          <cell r="T30" t="str">
            <v>Sunflower ( 12 Inch ) 4     FF Sachet + Grass</v>
          </cell>
        </row>
        <row r="31">
          <cell r="A31">
            <v>3143</v>
          </cell>
          <cell r="B31" t="str">
            <v>Ruchira Sen</v>
          </cell>
          <cell r="C31">
            <v>8850376353</v>
          </cell>
          <cell r="D31" t="str">
            <v>A-016, Carlton Estate 1</v>
          </cell>
          <cell r="E31" t="str">
            <v>DLF Phase 5</v>
          </cell>
          <cell r="F31" t="str">
            <v>Sunday</v>
          </cell>
          <cell r="G31" t="str">
            <v>9 AM to 2 PM</v>
          </cell>
          <cell r="H31">
            <v>999</v>
          </cell>
          <cell r="I31">
            <v>249.75</v>
          </cell>
          <cell r="J31" t="str">
            <v>Delight</v>
          </cell>
          <cell r="K31" t="str">
            <v>Skip 2 week (14/12) Skip 1 week 903/01) Skip 1 week (21/02) Skip 1 week (14/03) Skip 1 week (30/03) Skip 1 week (06/04) No Spray Daisy (14/06) Skip 1 week (18/06)</v>
          </cell>
          <cell r="L31" t="str">
            <v>Spray Daisy</v>
          </cell>
          <cell r="N31" t="str">
            <v>3  del of this cycle   -  0-cycles pmnt   Completed - Collect 0</v>
          </cell>
          <cell r="O31" t="str">
            <v>O Asiatic ( 15 inch ) 2     Grass</v>
          </cell>
          <cell r="P31" t="str">
            <v>P n W Glad ( 14 Inch ) 9     Grass</v>
          </cell>
          <cell r="Q31" t="str">
            <v>Pur n P Car ( 14 Inch ) 9     FF Sachet + Grass</v>
          </cell>
          <cell r="R31" t="str">
            <v>Y Spray Daisy ( 14 Inch ) 3     FF Sachet + Grass</v>
          </cell>
          <cell r="S31" t="e">
            <v>#N/A</v>
          </cell>
          <cell r="T31" t="str">
            <v>P n W Glad ( 14 Inch ) 9     Grass</v>
          </cell>
        </row>
        <row r="32">
          <cell r="A32">
            <v>3364</v>
          </cell>
          <cell r="B32" t="str">
            <v xml:space="preserve">Shipra Malhotra </v>
          </cell>
          <cell r="C32">
            <v>9819952391</v>
          </cell>
          <cell r="D32" t="str">
            <v>F-12, First Floor, Galacy Apartments</v>
          </cell>
          <cell r="E32" t="str">
            <v>DLF Phase 5</v>
          </cell>
          <cell r="F32" t="str">
            <v>Sunday</v>
          </cell>
          <cell r="G32" t="str">
            <v>5 to 7 PM</v>
          </cell>
          <cell r="H32">
            <v>2750</v>
          </cell>
          <cell r="I32">
            <v>687.5</v>
          </cell>
          <cell r="J32" t="str">
            <v>Elation</v>
          </cell>
          <cell r="K32" t="str">
            <v>Same Flowers in her Both subscription // Skip 1 week and next week send after 5 PM (17/06)</v>
          </cell>
          <cell r="M32" t="str">
            <v>After 5 PM on 28th (17/06)</v>
          </cell>
          <cell r="N32" t="str">
            <v>2  del of this cycle   -  0-cycles pmnt   Completed - Collect 0</v>
          </cell>
          <cell r="O32" t="e">
            <v>#N/A</v>
          </cell>
          <cell r="P32" t="e">
            <v>#N/A</v>
          </cell>
          <cell r="Q32" t="e">
            <v>#N/A</v>
          </cell>
          <cell r="R32" t="str">
            <v>Pur n P Car ( 14 Inch ) 32     2 Gypsola + FF sachet</v>
          </cell>
          <cell r="S32" t="e">
            <v>#N/A</v>
          </cell>
          <cell r="T32" t="str">
            <v>Sunflower ( 12 Inch ) 8     2 Limonium + FF sachet</v>
          </cell>
        </row>
        <row r="33">
          <cell r="A33">
            <v>2458</v>
          </cell>
          <cell r="B33" t="str">
            <v>Kiran Yadav -- 1450 Pack</v>
          </cell>
          <cell r="C33">
            <v>9811801284</v>
          </cell>
          <cell r="D33" t="str">
            <v>E-1402, Palm Drive</v>
          </cell>
          <cell r="E33" t="str">
            <v>Badshahpur</v>
          </cell>
          <cell r="F33" t="str">
            <v>Sunday</v>
          </cell>
          <cell r="G33" t="str">
            <v>10 AM to 2:30 PM</v>
          </cell>
          <cell r="H33">
            <v>999</v>
          </cell>
          <cell r="I33">
            <v>249.75</v>
          </cell>
          <cell r="J33" t="str">
            <v>Delight</v>
          </cell>
          <cell r="K33" t="str">
            <v>Recvd 2000 Today (21/04) Pls send Rose/Gerbera and Rise laos (04/06) Skip 1 week (28/06) Skip next week after(27/09) Send Replacement tom (21/04)</v>
          </cell>
          <cell r="N33" t="str">
            <v>3  del of this cycle   -  0-cycles pmnt   CompletedNO COLLECTION-we have extra money - Collect -23</v>
          </cell>
          <cell r="O33" t="str">
            <v>Y Asiatic ( 15 Inch ) 2     Grass</v>
          </cell>
          <cell r="P33" t="str">
            <v>R n W Car( 14 Inch)  9     FF Sachet + Grass</v>
          </cell>
          <cell r="Q33" t="str">
            <v>P n W Glad ( 14 Inch ) 9     Grass</v>
          </cell>
          <cell r="R33" t="str">
            <v>Sunflower ( 12 Inch ) 2     FF Sachet + Grass</v>
          </cell>
          <cell r="S33" t="str">
            <v>B Daisy ( 12 Inch ) 9     Grass</v>
          </cell>
          <cell r="T33" t="str">
            <v>P Asiatic ( 14 Inch ) 2     Grass</v>
          </cell>
        </row>
        <row r="34">
          <cell r="A34">
            <v>1898</v>
          </cell>
          <cell r="B34" t="str">
            <v>Shipra</v>
          </cell>
          <cell r="C34">
            <v>8447778677</v>
          </cell>
          <cell r="D34" t="str">
            <v xml:space="preserve">C-94 Trinity </v>
          </cell>
          <cell r="E34" t="str">
            <v>DLF Phase 5</v>
          </cell>
          <cell r="F34" t="str">
            <v>Saturday</v>
          </cell>
          <cell r="G34" t="str">
            <v>4 Pm to 7 PM</v>
          </cell>
          <cell r="H34">
            <v>1600</v>
          </cell>
          <cell r="I34">
            <v>200</v>
          </cell>
          <cell r="J34" t="str">
            <v>Bloom</v>
          </cell>
          <cell r="K34"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34" t="str">
            <v>7  del of this cycle   -  0-cycles pmnt   Completed - Collect 0</v>
          </cell>
          <cell r="O34" t="str">
            <v>P Spray Daisy ( 15 inch ) 2     FF sachet + Grass</v>
          </cell>
          <cell r="P34" t="str">
            <v>Mix Car  7     FF Sachet + Grass</v>
          </cell>
          <cell r="Q34" t="str">
            <v>P n W Glad ( 14 Inch ) 7     Grass</v>
          </cell>
          <cell r="R34" t="str">
            <v>B Daisy ( 12 Inch ) 7     FF Sachet + Grass</v>
          </cell>
          <cell r="S34" t="e">
            <v>#N/A</v>
          </cell>
          <cell r="T34" t="str">
            <v>P n W Car ( 14 Inch ) 7     FF Sachet + Grass</v>
          </cell>
        </row>
        <row r="35">
          <cell r="A35">
            <v>237</v>
          </cell>
          <cell r="B35" t="str">
            <v>Mayom Hospital</v>
          </cell>
          <cell r="C35">
            <v>8860079525</v>
          </cell>
          <cell r="D35" t="str">
            <v>Mayom Hospital, D block south city 1</v>
          </cell>
          <cell r="E35" t="str">
            <v>South City 1</v>
          </cell>
          <cell r="F35" t="str">
            <v>Sunday</v>
          </cell>
          <cell r="G35" t="str">
            <v>9 AM - 12 PM</v>
          </cell>
          <cell r="H35">
            <v>3000</v>
          </cell>
          <cell r="I35">
            <v>375</v>
          </cell>
          <cell r="J35" t="str">
            <v>Corporate</v>
          </cell>
          <cell r="K35" t="str">
            <v>Sending on 20th instaed of 21st,bcoz of Holi(18/03) Send on Monday this week(20/03)</v>
          </cell>
          <cell r="N35" t="str">
            <v>1  del of this cycle   -  0-cycles pmnt   In Process - Collect 0</v>
          </cell>
          <cell r="O35" t="str">
            <v xml:space="preserve">Mix Spray  5     </v>
          </cell>
          <cell r="P35" t="str">
            <v>Pur n P Eustoma ( 12 Inch ) 4     Grass</v>
          </cell>
          <cell r="Q35" t="str">
            <v>Mix Alstroemeria ( 12 Inch ) 15     Grass</v>
          </cell>
          <cell r="R35" t="str">
            <v xml:space="preserve">P Eustoma ( 12 Inch ) 3     </v>
          </cell>
          <cell r="S35" t="str">
            <v xml:space="preserve">P Eustoma ( 12 Inch ) 3     </v>
          </cell>
          <cell r="T35" t="str">
            <v>Mix Spray Daisy 5     Grass</v>
          </cell>
        </row>
        <row r="36">
          <cell r="A36">
            <v>2378</v>
          </cell>
          <cell r="B36" t="str">
            <v>Dr. Juhi Saxena</v>
          </cell>
          <cell r="C36">
            <v>9958637975</v>
          </cell>
          <cell r="D36" t="str">
            <v>G-307, 2nd Floor, Sushant Lok -2, Sec 57</v>
          </cell>
          <cell r="E36" t="str">
            <v>Artemis</v>
          </cell>
          <cell r="F36" t="str">
            <v>Sunday</v>
          </cell>
          <cell r="G36" t="str">
            <v>9 AM - 12 PM</v>
          </cell>
          <cell r="H36">
            <v>1450</v>
          </cell>
          <cell r="I36">
            <v>362.5</v>
          </cell>
          <cell r="J36" t="str">
            <v>Bliss</v>
          </cell>
          <cell r="K36" t="str">
            <v>No Glad (17/01) Hold and start from May and inform before starting (09/04) Skip 1 week 901/05) hold n returned today (12/06) Skip tom and send on Saturday -- either Rajnigandha or Car (19/06) Add changed (23/06)</v>
          </cell>
          <cell r="L36" t="str">
            <v>GLAD</v>
          </cell>
          <cell r="N36" t="str">
            <v>1  del of this cycle   -  1-cycles pmnt   Pending - Collect 1450</v>
          </cell>
          <cell r="O36" t="e">
            <v>#N/A</v>
          </cell>
          <cell r="P36" t="e">
            <v>#N/A</v>
          </cell>
          <cell r="Q36" t="e">
            <v>#N/A</v>
          </cell>
          <cell r="R36" t="e">
            <v>#N/A</v>
          </cell>
          <cell r="S36" t="e">
            <v>#N/A</v>
          </cell>
          <cell r="T36" t="str">
            <v>Pur n P Car ( 14 Inch 16     FF Sachet + Grass</v>
          </cell>
        </row>
        <row r="37">
          <cell r="A37">
            <v>2246</v>
          </cell>
          <cell r="B37" t="str">
            <v>Amita Gupta</v>
          </cell>
          <cell r="C37">
            <v>9811985450</v>
          </cell>
          <cell r="D37" t="str">
            <v>146, Cedar Crest</v>
          </cell>
          <cell r="E37" t="str">
            <v>Nirvana Country</v>
          </cell>
          <cell r="F37" t="str">
            <v>Thursday</v>
          </cell>
          <cell r="G37" t="str">
            <v>9 AM - 12 PM</v>
          </cell>
          <cell r="H37">
            <v>1600</v>
          </cell>
          <cell r="I37">
            <v>200</v>
          </cell>
          <cell r="J37" t="str">
            <v>Bloom</v>
          </cell>
          <cell r="K37" t="str">
            <v>Return today (03/10) Change to bliss (23/10) No Orchid (24/10) Send a vase tom (20/08) Upgrade to bliss (17/12)</v>
          </cell>
          <cell r="L37" t="str">
            <v>Orchid</v>
          </cell>
          <cell r="M37" t="str">
            <v>1 Vase Tom (20/08)</v>
          </cell>
          <cell r="N37" t="str">
            <v>8  del of this cycle   -  0-cycles pmnt   Completed - Collect 0</v>
          </cell>
          <cell r="O37" t="str">
            <v>Rajni ( 14 inch ) 7     Grass</v>
          </cell>
          <cell r="P37" t="str">
            <v>P n W Glad ( 14 Inch ) 7     Grass</v>
          </cell>
          <cell r="Q37" t="str">
            <v>Y Spray Daisy ( 14 Inch ) 2     FF Sachet + Grass</v>
          </cell>
          <cell r="R37" t="str">
            <v>Rajni ( 14 Inch ) 7     Grass</v>
          </cell>
          <cell r="S37" t="str">
            <v>B Daisy ( 12 Inch ) 7     Grass</v>
          </cell>
          <cell r="T37" t="str">
            <v>Sunflower ( 12 Inch ) 2     FF Sachet + Grass</v>
          </cell>
        </row>
        <row r="38">
          <cell r="A38">
            <v>1438</v>
          </cell>
          <cell r="B38" t="str">
            <v>Aishwarya G Aiyar</v>
          </cell>
          <cell r="C38">
            <v>9884857311</v>
          </cell>
          <cell r="D38" t="str">
            <v>A-173, The Pinnacle</v>
          </cell>
          <cell r="E38" t="str">
            <v>DLF Phase 5</v>
          </cell>
          <cell r="F38" t="str">
            <v>Thursday</v>
          </cell>
          <cell r="G38" t="str">
            <v>9 AM - 12 PM</v>
          </cell>
          <cell r="H38">
            <v>1600</v>
          </cell>
          <cell r="I38">
            <v>200</v>
          </cell>
          <cell r="J38" t="str">
            <v>Bloom</v>
          </cell>
          <cell r="K3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38" t="str">
            <v>8  del of this cycle   -  0-cycles pmnt   Completed - Collect 0</v>
          </cell>
          <cell r="O38" t="str">
            <v>Rajni ( 14 inch ) 7     Grass</v>
          </cell>
          <cell r="P38" t="str">
            <v>Mix Car  7     FF Sachet + Grass</v>
          </cell>
          <cell r="Q38" t="str">
            <v>P Spray Daisy ( 14 Inch ) 2     FF Sachet + Grass</v>
          </cell>
          <cell r="R38" t="str">
            <v>Rajni ( 14 Inch ) 7     Grass</v>
          </cell>
          <cell r="S38" t="str">
            <v>B Daisy ( 12 Inch ) 7     Grass</v>
          </cell>
          <cell r="T38" t="str">
            <v>Sunflower ( 12 Inch ) 2     FF Sachet + Grass</v>
          </cell>
        </row>
        <row r="39">
          <cell r="A39">
            <v>2112</v>
          </cell>
          <cell r="B39" t="str">
            <v>Tarushi</v>
          </cell>
          <cell r="C39">
            <v>9999761657</v>
          </cell>
          <cell r="D39" t="str">
            <v>T-3/202, Emaar The Palm Terrace, Sec 66</v>
          </cell>
          <cell r="E39" t="str">
            <v>Badshahpur</v>
          </cell>
          <cell r="F39" t="str">
            <v>Sunday</v>
          </cell>
          <cell r="G39" t="str">
            <v>9 AM - 12 PM</v>
          </cell>
          <cell r="H39">
            <v>1450</v>
          </cell>
          <cell r="I39">
            <v>362.5</v>
          </cell>
          <cell r="J39" t="str">
            <v>Bliss</v>
          </cell>
          <cell r="K39"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v>
          </cell>
          <cell r="M39" t="str">
            <v>Mixed Flowers n Long Stem  // 1 Oriental and 2 Car Next (14/05)</v>
          </cell>
          <cell r="N39" t="str">
            <v>3  del of this cycle   -  1-cycles pmnt   Pending - Collect 1450</v>
          </cell>
          <cell r="O39" t="e">
            <v>#N/A</v>
          </cell>
          <cell r="P39" t="str">
            <v>O Asiatic ( 15 Inch ) 2 R n W Car ( 14 Inch ) 7   Grass</v>
          </cell>
          <cell r="Q39" t="str">
            <v>Y Spray Daisy ( 14 Inch ) 3 Mix Alstroemeria ( 12 Inch ) 7   FF Sachet + Grass</v>
          </cell>
          <cell r="R39" t="str">
            <v>P Eustoma ( 12 Inch ) 2 P n W Glad ( 14 Inch ) 7   FF Sachet + Grass</v>
          </cell>
          <cell r="S39" t="str">
            <v>P Asiatic ( 14 Inch ) 2 B Daisy ( 12 Inch ) 7   Grass</v>
          </cell>
          <cell r="T39" t="str">
            <v>Sunflower ( 12 Inch ) 2 Pur n P Car ( 14 Inch ) 7   FF Sachet + Grass</v>
          </cell>
        </row>
        <row r="40">
          <cell r="A40">
            <v>1517</v>
          </cell>
          <cell r="B40" t="str">
            <v>Megha Bhardwaj</v>
          </cell>
          <cell r="C40">
            <v>9818525564</v>
          </cell>
          <cell r="D40" t="str">
            <v>B-65, 1st floor, Sushant Lok-3,HDFC School, Sec 57</v>
          </cell>
          <cell r="E40" t="str">
            <v>Artemis</v>
          </cell>
          <cell r="F40" t="str">
            <v>Sunday</v>
          </cell>
          <cell r="G40" t="str">
            <v>9 AM - 12 PM</v>
          </cell>
          <cell r="H40">
            <v>1950</v>
          </cell>
          <cell r="I40">
            <v>487.5</v>
          </cell>
          <cell r="J40" t="str">
            <v>Joy</v>
          </cell>
          <cell r="K40"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0" t="str">
            <v>Orchid</v>
          </cell>
          <cell r="N40" t="str">
            <v>2  del of this cycle   -  0-cycles pmnt   Completed - Collect 0</v>
          </cell>
          <cell r="O40" t="str">
            <v>Y Asiatic ( 15 Inch ) 4     Grass</v>
          </cell>
          <cell r="P40" t="str">
            <v>P n W Glad ( 14 Inch ) 22     Grass</v>
          </cell>
          <cell r="Q40" t="e">
            <v>#N/A</v>
          </cell>
          <cell r="R40" t="str">
            <v>Sunflower ( 12 Inch ) 5     FF Sachet + Grass</v>
          </cell>
          <cell r="S40" t="str">
            <v>Pur n P Car ( 14 Inch ) 22     FF Sachet + Grass</v>
          </cell>
          <cell r="T40" t="str">
            <v>Pur n P Eustoma ( 12 Inch ) 4     FF Sachet + Grass</v>
          </cell>
        </row>
        <row r="41">
          <cell r="A41">
            <v>3252</v>
          </cell>
          <cell r="B41" t="str">
            <v>Madhumita Dhupar</v>
          </cell>
          <cell r="C41">
            <v>9999887549</v>
          </cell>
          <cell r="D41" t="str">
            <v>333, Deerwood Chase</v>
          </cell>
          <cell r="E41" t="str">
            <v>Nirvana Country</v>
          </cell>
          <cell r="F41" t="str">
            <v>Sunday</v>
          </cell>
          <cell r="G41" t="str">
            <v>9 AM to 2 PM</v>
          </cell>
          <cell r="H41">
            <v>1450</v>
          </cell>
          <cell r="I41">
            <v>362.5</v>
          </cell>
          <cell r="J41" t="str">
            <v>Bliss</v>
          </cell>
          <cell r="K41" t="str">
            <v>White Flowers in Each Delivery (10/01)</v>
          </cell>
          <cell r="N41" t="str">
            <v>1  del of this cycle   -  1-cycles pmnt   Pending - Collect 1450</v>
          </cell>
          <cell r="O41" t="str">
            <v>P n W Car ( 14 Inch ) 7     FF sachet + Grass</v>
          </cell>
          <cell r="P41" t="str">
            <v>P n W Glad ( 14 Inch ) 7     Grass</v>
          </cell>
          <cell r="Q41" t="str">
            <v>W Asiatic ( 14 Inch ) 3     Grass</v>
          </cell>
          <cell r="R41" t="str">
            <v>Mix Alstroemeria ( 12 Inch ) 16     FF Sachet + Grass</v>
          </cell>
          <cell r="S41" t="str">
            <v>P Eustoma ( 12 Inch ) 3     FF Sachet + Grass</v>
          </cell>
          <cell r="T41" t="str">
            <v>Pur n P Car ( 14 Inch 16     FF Sachet + Grass</v>
          </cell>
        </row>
        <row r="42">
          <cell r="A42">
            <v>571</v>
          </cell>
          <cell r="B42" t="str">
            <v>Mrs. Singh</v>
          </cell>
          <cell r="C42">
            <v>9873099320</v>
          </cell>
          <cell r="D42" t="str">
            <v>D 42, pinnacle, Dlf ph 5, Golf course road</v>
          </cell>
          <cell r="E42" t="str">
            <v>DLF Phase 5</v>
          </cell>
          <cell r="F42" t="str">
            <v>Thursday</v>
          </cell>
          <cell r="G42" t="str">
            <v>9 AM - 12 PM</v>
          </cell>
          <cell r="H42">
            <v>1600</v>
          </cell>
          <cell r="I42">
            <v>200</v>
          </cell>
          <cell r="J42" t="str">
            <v>Bloom</v>
          </cell>
          <cell r="K42"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42" t="str">
            <v>5  del of this cycle   -  0-cycles pmnt   Completed - Collect 0</v>
          </cell>
          <cell r="O42" t="str">
            <v>P n W Car ( 14 Inch ) 7     FF sachet + Grass</v>
          </cell>
          <cell r="P42" t="str">
            <v>Mix Glad  7     FF Sachet + Grass</v>
          </cell>
          <cell r="Q42" t="str">
            <v>Y Spray Daisy ( 14 Inch ) 2     FF Sachet + Grass</v>
          </cell>
          <cell r="R42" t="str">
            <v>Rajni ( 14 Inch ) 7     Grass</v>
          </cell>
          <cell r="S42" t="str">
            <v>B Daisy ( 12 Inch ) 7     Grass</v>
          </cell>
          <cell r="T42" t="str">
            <v>P Spray Daisy ( 14 Inch ) 2     FF Sachet + Grass</v>
          </cell>
        </row>
        <row r="43">
          <cell r="A43">
            <v>3238</v>
          </cell>
          <cell r="B43" t="str">
            <v>Alka Verma</v>
          </cell>
          <cell r="C43">
            <v>9910437766</v>
          </cell>
          <cell r="D43" t="str">
            <v>T-10/101, Emaar palm Terraces Select</v>
          </cell>
          <cell r="E43" t="str">
            <v>Badshahpur</v>
          </cell>
          <cell r="F43" t="str">
            <v>Sunday</v>
          </cell>
          <cell r="G43" t="str">
            <v>9 AM - 12 PM</v>
          </cell>
          <cell r="H43">
            <v>1450</v>
          </cell>
          <cell r="I43">
            <v>362.5</v>
          </cell>
          <cell r="J43" t="str">
            <v>Bliss</v>
          </cell>
          <cell r="K43" t="str">
            <v>Skip 1 week (28/03) Send Replacement tom (12/04) Skip 1 week (27/04) Skip 1 week after 14th June (06/06) Skip 1 week (16/06)</v>
          </cell>
          <cell r="N43" t="str">
            <v>3  del of this cycle   -  0-cycles pmnt   Completed - Collect 0</v>
          </cell>
          <cell r="O43" t="str">
            <v>O Asiatic ( 15 inch ) 3     Grass</v>
          </cell>
          <cell r="P43" t="str">
            <v>R n W Car( 14 Inch)  16     FF Sachet + Grass</v>
          </cell>
          <cell r="Q43" t="str">
            <v>P n W Glad ( 14 Inch ) 16     Grass</v>
          </cell>
          <cell r="R43" t="str">
            <v>P n Y Spray Daisy ( 14 Inch ) 5     FF Sachet + Grass</v>
          </cell>
          <cell r="S43" t="e">
            <v>#N/A</v>
          </cell>
          <cell r="T43" t="str">
            <v>Sunflower ( 12 Inch ) 4     FF Sachet + Grass</v>
          </cell>
        </row>
        <row r="44">
          <cell r="A44">
            <v>870</v>
          </cell>
          <cell r="B44" t="str">
            <v>Himabindu Kanchan</v>
          </cell>
          <cell r="C44">
            <v>9892501292</v>
          </cell>
          <cell r="D44" t="str">
            <v xml:space="preserve">D -13, Pinnacle Dlf Phase - 5 </v>
          </cell>
          <cell r="E44" t="str">
            <v>DLF Phase 5</v>
          </cell>
          <cell r="F44" t="str">
            <v>Thursday</v>
          </cell>
          <cell r="G44" t="str">
            <v>9 AM - 12 PM</v>
          </cell>
          <cell r="H44">
            <v>1600</v>
          </cell>
          <cell r="I44">
            <v>200</v>
          </cell>
          <cell r="J44" t="str">
            <v>Bloom</v>
          </cell>
          <cell r="K44"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44" t="str">
            <v>3  del of this cycle   -  1-cycles pmnt   Pending - Collect 1600</v>
          </cell>
          <cell r="O44" t="str">
            <v>Rajni ( 14 inch ) 7     Grass</v>
          </cell>
          <cell r="P44" t="str">
            <v>Rajni ( 14 Inch )  7     Grass</v>
          </cell>
          <cell r="Q44" t="str">
            <v>Mix Alstroemeria ( 12 Inch ) 7     FF Sachet + Grass</v>
          </cell>
          <cell r="R44" t="str">
            <v>P Spray Daisy ( 14 Inch ) 2     FF Sachet + Grass</v>
          </cell>
          <cell r="S44" t="str">
            <v>B Daisy ( 12 Inch ) 7     Grass</v>
          </cell>
          <cell r="T44" t="str">
            <v>P n W Glad ( 14 Inch ) 7     Grass</v>
          </cell>
        </row>
        <row r="45">
          <cell r="B45" t="str">
            <v xml:space="preserve">Tanvi Anand </v>
          </cell>
          <cell r="C45" t="str">
            <v>99102 20304</v>
          </cell>
          <cell r="D45" t="str">
            <v>House no 20 3rd floor, Cedar crest 
Nirvana</v>
          </cell>
          <cell r="G45" t="str">
            <v>Before 5 Pm</v>
          </cell>
          <cell r="H45">
            <v>1400</v>
          </cell>
          <cell r="J45" t="str">
            <v>Bouquet</v>
          </cell>
          <cell r="T45" t="str">
            <v>Asiatic+ Mix Car 3+10 Tissue Wrap    Send a blank card also</v>
          </cell>
        </row>
        <row r="46">
          <cell r="A46">
            <v>2779</v>
          </cell>
          <cell r="B46" t="str">
            <v>Riddhi Desai</v>
          </cell>
          <cell r="C46">
            <v>8130497969</v>
          </cell>
          <cell r="D46" t="str">
            <v>D-71, The Icon</v>
          </cell>
          <cell r="E46" t="str">
            <v>Golf Course Road</v>
          </cell>
          <cell r="F46" t="str">
            <v>Sunday</v>
          </cell>
          <cell r="G46" t="str">
            <v>9 AM to 2 PM</v>
          </cell>
          <cell r="H46">
            <v>1600</v>
          </cell>
          <cell r="I46">
            <v>200</v>
          </cell>
          <cell r="J46" t="str">
            <v>Bloom</v>
          </cell>
          <cell r="K46" t="str">
            <v>Send this week on Saturday (14/08) Skip 1 week (21/12) Hold till 2nd June (20/05)</v>
          </cell>
          <cell r="N46" t="str">
            <v>5  del of this cycle   -  0-cycles pmnt   Completed - Collect 0</v>
          </cell>
          <cell r="O46" t="e">
            <v>#N/A</v>
          </cell>
          <cell r="P46" t="e">
            <v>#N/A</v>
          </cell>
          <cell r="Q46" t="str">
            <v>Mix Alstroemeria ( 12 Inch ) 7     FF Sachet + Grass</v>
          </cell>
          <cell r="R46" t="str">
            <v>B Daisy ( 12 Inch ) 7     FF Sachet + Grass</v>
          </cell>
          <cell r="S46" t="str">
            <v>P n W Glad ( 14 Inch ) 7     Grass</v>
          </cell>
          <cell r="T46" t="str">
            <v>Pur n P Car ( 14 Inch 7     FF Sachet + Grass</v>
          </cell>
        </row>
        <row r="47">
          <cell r="A47">
            <v>2307</v>
          </cell>
          <cell r="B47" t="str">
            <v>Alpna Jain</v>
          </cell>
          <cell r="C47">
            <v>9599336609</v>
          </cell>
          <cell r="D47" t="str">
            <v>C-64, The Icon</v>
          </cell>
          <cell r="E47" t="str">
            <v>DLF Phase 5</v>
          </cell>
          <cell r="F47" t="str">
            <v>Thursday</v>
          </cell>
          <cell r="G47" t="str">
            <v>10 AM to 2:30 PM</v>
          </cell>
          <cell r="H47">
            <v>3000</v>
          </cell>
          <cell r="I47">
            <v>375</v>
          </cell>
          <cell r="J47" t="str">
            <v>Charm</v>
          </cell>
          <cell r="K47" t="str">
            <v>Thursday n Sunday // Hold today (08/02) Keep flowers outside of Door (17/05)</v>
          </cell>
          <cell r="M47" t="str">
            <v>Keep flowers outside of door always</v>
          </cell>
          <cell r="N47" t="str">
            <v>3  del of this cycle   -  1-cycles pmnt   Pending - Collect 3000</v>
          </cell>
          <cell r="O47" t="str">
            <v>R n W Car ( 14 inch ) 15     FF sachet + Grass</v>
          </cell>
          <cell r="P47" t="str">
            <v>P n Y Spray Daisy ( 15 Inch ) 4 Keep at door -- Don’t Call Keep at door -- Don’t Call Keep at door -- Don’t Call Keep at door -- Don’t Call FF Sachet + Grass</v>
          </cell>
          <cell r="Q47" t="str">
            <v>P n W Glad ( 14 Inch ) 15 Keep Flowers Outside of Door-- Don’t ring bell or Don’t Don’t Call    Grass</v>
          </cell>
          <cell r="R47" t="str">
            <v>B Daisy ( 12 Inch ) 15 Keep Flowers outside of door -- Don’t call n don’t ring bell    FF Sachet + Grass</v>
          </cell>
          <cell r="S47" t="str">
            <v>Rajni ( 14 Inch ) 15 Keep Flowers at Door -- Don’t Call or Knock    Grass</v>
          </cell>
          <cell r="T47" t="str">
            <v>Y Asiatic ( 14 Inch ) 3 Keep Flowers at door -- Don’t Call or ring the bell    Grass</v>
          </cell>
        </row>
        <row r="48">
          <cell r="A48">
            <v>2748</v>
          </cell>
          <cell r="B48" t="str">
            <v>Rishabh Suri</v>
          </cell>
          <cell r="C48">
            <v>9871320514</v>
          </cell>
          <cell r="D48" t="str">
            <v>H. No. 962, Block C, Sushant Lok, Near Ambience Public School</v>
          </cell>
          <cell r="E48" t="str">
            <v>DLF Phase 5</v>
          </cell>
          <cell r="F48" t="str">
            <v>Sunday</v>
          </cell>
          <cell r="G48" t="str">
            <v>9 AM - 12 PM</v>
          </cell>
          <cell r="H48">
            <v>1450</v>
          </cell>
          <cell r="I48">
            <v>362.5</v>
          </cell>
          <cell r="J48" t="str">
            <v>Bliss</v>
          </cell>
          <cell r="K48" t="str">
            <v>Hold n start from Sep (06/08) Paytm from Rajeev Suri (22/11) Paytm from Anu Suri (21/12)</v>
          </cell>
          <cell r="N48" t="str">
            <v>4  del of this cycle   -  1-cycles pmnt   Pending - Collect 1450</v>
          </cell>
          <cell r="O48" t="e">
            <v>#N/A</v>
          </cell>
          <cell r="P48" t="e">
            <v>#N/A</v>
          </cell>
          <cell r="Q48" t="str">
            <v>Pur n P Car ( 14 Inch ) 16     FF Sachet + Grass</v>
          </cell>
          <cell r="R48" t="str">
            <v>O Asiatic ( 14 Inch ) 3     Grass</v>
          </cell>
          <cell r="S48" t="str">
            <v>P n W Glad ( 14 Inch ) 16     Grass</v>
          </cell>
          <cell r="T48" t="str">
            <v>Sunflower ( 12 Inch ) 4     FF Sachet + Grass</v>
          </cell>
        </row>
        <row r="49">
          <cell r="A49">
            <v>2878</v>
          </cell>
          <cell r="B49" t="str">
            <v>Aditi Bhatt</v>
          </cell>
          <cell r="C49">
            <v>7506091115</v>
          </cell>
          <cell r="D49" t="str">
            <v>D-225, 2nd Floor, Sushant Lok-2, Sec 56</v>
          </cell>
          <cell r="E49" t="str">
            <v>Sector 56</v>
          </cell>
          <cell r="F49" t="str">
            <v>Sunday</v>
          </cell>
          <cell r="G49" t="str">
            <v>9 AM - 12 PM</v>
          </cell>
          <cell r="H49">
            <v>1450</v>
          </cell>
          <cell r="I49">
            <v>362.5</v>
          </cell>
          <cell r="J49" t="str">
            <v>Bliss</v>
          </cell>
          <cell r="K49"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49" t="str">
            <v>No White Local Gypsy</v>
          </cell>
          <cell r="N49" t="str">
            <v>2  del of this cycle   -  0-cycles pmnt   CompletedNO COLLECTION-we have extra money - Collect -1</v>
          </cell>
          <cell r="O49" t="str">
            <v>P n W Glad ( 14 inch ) 9     Grass</v>
          </cell>
          <cell r="P49" t="str">
            <v>O Asiatic ( 15 Inch ) 2     Grass</v>
          </cell>
          <cell r="Q49" t="str">
            <v>Pur n P Car ( 14 Inch ) 9     FF Sachet + Grass</v>
          </cell>
          <cell r="R49" t="e">
            <v>#N/A</v>
          </cell>
          <cell r="S49" t="str">
            <v>B Daisy ( 12 Inch ) 9     Grass</v>
          </cell>
          <cell r="T49" t="str">
            <v>Sunflower ( 12 Inch ) 4     FF Sachet + Grass</v>
          </cell>
        </row>
        <row r="50">
          <cell r="A50">
            <v>2869</v>
          </cell>
          <cell r="B50" t="str">
            <v>Jaya Wanchoo</v>
          </cell>
          <cell r="C50">
            <v>8130245666</v>
          </cell>
          <cell r="D50" t="str">
            <v xml:space="preserve">T-8/603, The Close North
</v>
          </cell>
          <cell r="E50" t="str">
            <v>Nirvana Country</v>
          </cell>
          <cell r="F50" t="str">
            <v>Sunday</v>
          </cell>
          <cell r="G50" t="str">
            <v>10 AM to 2:30 PM</v>
          </cell>
          <cell r="H50">
            <v>2750</v>
          </cell>
          <cell r="I50">
            <v>687.5</v>
          </cell>
          <cell r="J50" t="str">
            <v>Elation</v>
          </cell>
          <cell r="N50" t="str">
            <v>3  del of this cycle   -  0-cycles pmnt   Completed - Collect 0</v>
          </cell>
          <cell r="O50" t="str">
            <v>Sunflower 4 P n W Car ( 14 inch ) 16   2 Gypsola + FF Sachet</v>
          </cell>
          <cell r="P50" t="str">
            <v>P n Y Spray Daisy ( 15 Inch ) 5 P n W Glad ( 12 Inch ) 16   2 Limonium + FF aschet</v>
          </cell>
          <cell r="Q50" t="str">
            <v>Pur n P Eustoma ( 12 Inch ) 4 Mix Alstroemeria ( 12 Inch ) 16   2 Gypsola + FF sachet</v>
          </cell>
          <cell r="R50" t="str">
            <v>O Asiatic ( 14 Inch ) 3 Pur n P Car ( 14 Inch ) 16   2 Limonium</v>
          </cell>
          <cell r="S50" t="str">
            <v>P n Y Spray Daisy ( 14 Inch ) 5 B Daisy ( 12 Inch ) 16   2 Gypsola + FF Sachet</v>
          </cell>
          <cell r="T50" t="str">
            <v>Sunflower ( 12 Inch ) 4 P n W Glad ( 14 Inch ) 16   2 Limonium + FF sachet</v>
          </cell>
        </row>
        <row r="51">
          <cell r="A51">
            <v>3351</v>
          </cell>
          <cell r="B51" t="str">
            <v>Shubhpret kaur</v>
          </cell>
          <cell r="C51">
            <v>8800898704</v>
          </cell>
          <cell r="D51" t="str">
            <v>H. No. 667, 3rd Floor, Sec 43</v>
          </cell>
          <cell r="E51" t="str">
            <v>DLF Phase 5</v>
          </cell>
          <cell r="F51" t="str">
            <v>Sunday</v>
          </cell>
          <cell r="G51" t="str">
            <v>9 AM - 12 PM</v>
          </cell>
          <cell r="H51">
            <v>1950</v>
          </cell>
          <cell r="I51">
            <v>487.5</v>
          </cell>
          <cell r="J51" t="str">
            <v>Joy</v>
          </cell>
          <cell r="K51" t="str">
            <v>Paytm From Amara Preet Singh // Change day to Sunday (13/06)</v>
          </cell>
          <cell r="N51" t="str">
            <v>1  del of this cycle   -  1-cycles pmnt   Pending - Collect 1950</v>
          </cell>
          <cell r="O51" t="e">
            <v>#N/A</v>
          </cell>
          <cell r="P51" t="e">
            <v>#N/A</v>
          </cell>
          <cell r="Q51" t="e">
            <v>#N/A</v>
          </cell>
          <cell r="R51" t="str">
            <v>P Asiatic ( 14 Inch ) 2 Pur n P Car ( 14 Inch ) 11   Grass</v>
          </cell>
          <cell r="S51" t="str">
            <v>Pur Eustoma ( 12 Inch ) 2 B Daisy ( 12 Inch ) 11   FF Sachet + Grass</v>
          </cell>
          <cell r="T51" t="str">
            <v>Sunflower ( 12 Inch ) 3 P n W Glad ( 14 Inch ) 11   FF Sachet + Grass</v>
          </cell>
        </row>
        <row r="52">
          <cell r="A52">
            <v>3274</v>
          </cell>
          <cell r="B52" t="str">
            <v>Meera Singh</v>
          </cell>
          <cell r="C52">
            <v>9810401220</v>
          </cell>
          <cell r="D52" t="str">
            <v>138, Tatvam Villas, Sec 48</v>
          </cell>
          <cell r="E52" t="str">
            <v>Sohna Road 2</v>
          </cell>
          <cell r="F52" t="str">
            <v>Sunday</v>
          </cell>
          <cell r="G52" t="str">
            <v>9 AM - 12 PM</v>
          </cell>
          <cell r="H52">
            <v>1950</v>
          </cell>
          <cell r="I52">
            <v>487.5</v>
          </cell>
          <cell r="J52" t="str">
            <v>Joy</v>
          </cell>
          <cell r="K52" t="str">
            <v>No Lilies and Sunflower (20/02) Skip 1 week (28/03) Paytm From Singh M (06/04) No Sunflower n Asiatic (02/05)</v>
          </cell>
          <cell r="L52" t="str">
            <v>Asiatic n Sunflowers</v>
          </cell>
          <cell r="M52" t="str">
            <v>Single Kind</v>
          </cell>
          <cell r="N52" t="str">
            <v>1  del of this cycle   -  1-cycles pmnt   Pending - Collect 1950</v>
          </cell>
          <cell r="O52" t="str">
            <v>Y Asiatic ( 15 Inch ) 4     Grass</v>
          </cell>
          <cell r="P52" t="str">
            <v>P n W Glad ( 14 Inch ) 22     Grass</v>
          </cell>
          <cell r="Q52" t="str">
            <v>P n W Spray Daisy ( 14 Inch) 7     FF Sachet + Grass</v>
          </cell>
          <cell r="R52" t="str">
            <v>Pur n P Car ( 14 Inch ) 22     FF Sachet + Grass</v>
          </cell>
          <cell r="S52" t="str">
            <v>B Daisy ( 12 Inch ) 22     FF Sachet + Grass</v>
          </cell>
          <cell r="T52" t="str">
            <v>Pur n P Eustoma ( 12 Inch ) 4     FF Sachet + Grass</v>
          </cell>
        </row>
        <row r="53">
          <cell r="A53">
            <v>2580</v>
          </cell>
          <cell r="B53" t="str">
            <v>Davinder Singh</v>
          </cell>
          <cell r="C53">
            <v>9999653332</v>
          </cell>
          <cell r="D53" t="str">
            <v>T-12/002, Close North</v>
          </cell>
          <cell r="E53" t="str">
            <v>Nirvana Country</v>
          </cell>
          <cell r="F53" t="str">
            <v>Sunday</v>
          </cell>
          <cell r="G53" t="str">
            <v>9 AM - 12 PM</v>
          </cell>
          <cell r="H53">
            <v>1450</v>
          </cell>
          <cell r="I53">
            <v>362.5</v>
          </cell>
          <cell r="J53" t="str">
            <v>Bliss</v>
          </cell>
          <cell r="K53" t="str">
            <v xml:space="preserve"> Hold due to non payment (12/10) Hold due to non payment (20/12) Hold due to non payment (18/01) Hold due to non payment (25/01) Hold due to non payment (01/02) Hold due to non payment (08/02) HDTNP (15/02) HDTNP (22/02) Skip 1 week (18/04)</v>
          </cell>
          <cell r="N53" t="str">
            <v>2  del of this cycle   -  0-cycles pmnt   Completed - Collect 0</v>
          </cell>
          <cell r="O53" t="str">
            <v>O Asiatic ( 15 inch ) 2 P n W Car ( 14 inch ) 7   Grass</v>
          </cell>
          <cell r="P53" t="str">
            <v>P Eustoma ( 12 Inch )  2 Mix Glad ( 12 Inch ) 7   FF Sachet + Grass</v>
          </cell>
          <cell r="Q53" t="str">
            <v>Y Spray Daisy ( 14 Inch ) 3 Mix Alstroemeria ( 12 Inch ) 7   FF Sachet + Grass</v>
          </cell>
          <cell r="R53" t="str">
            <v>Sunflower ( 12 Inch ) 2 Pur n P Car ( 14 Inch ) 7   FF Sachet + Grass</v>
          </cell>
          <cell r="S53" t="str">
            <v>P Asiatic ( 14 Inch ) 2 B Daisy ( 12 Inch ) 7   Grass</v>
          </cell>
          <cell r="T53" t="str">
            <v>Pur Eustoma ( 12 inch ) 2 P n W Glad ( 14 Inch ) 7   FF Sachet + Grass</v>
          </cell>
        </row>
        <row r="54">
          <cell r="A54">
            <v>3378</v>
          </cell>
          <cell r="B54" t="str">
            <v>Yamini &amp; Sidharth Wazirchand</v>
          </cell>
          <cell r="C54">
            <v>8447034372</v>
          </cell>
          <cell r="D54" t="str">
            <v>C-72, The Belaire</v>
          </cell>
          <cell r="E54" t="str">
            <v>Golf Course Road</v>
          </cell>
          <cell r="F54" t="str">
            <v>Sunday</v>
          </cell>
          <cell r="G54" t="str">
            <v>9 AM to 2 PM</v>
          </cell>
          <cell r="H54">
            <v>4750</v>
          </cell>
          <cell r="I54">
            <v>1187.5</v>
          </cell>
          <cell r="J54" t="str">
            <v>Enchantment</v>
          </cell>
          <cell r="K54" t="str">
            <v>From Amana Batra//  Welcome back home &amp; Congratulations.     With Love and Best Wishes ,    Batra's (06/06)</v>
          </cell>
          <cell r="N54" t="str">
            <v>4  del of this cycle   -  0-cycles pmnt   Completed - Collect 0</v>
          </cell>
          <cell r="O54" t="e">
            <v>#N/A</v>
          </cell>
          <cell r="P54" t="e">
            <v>#N/A</v>
          </cell>
          <cell r="Q54" t="str">
            <v>W Asiatic ( 14 Inch ) 6 Pur n P  Car ( 14 Inch ) 30 Message + Tie The Bunch with BMF Ribbon Message + Tie The Bunch with BMF Ribbon 3 Gypsola + FF sachet</v>
          </cell>
          <cell r="R54" t="str">
            <v>Mix Eustoma  10 Rajni ( 14 Inch ) 30   3 Limonium</v>
          </cell>
          <cell r="S54" t="str">
            <v>P n Y Spray Daisy ( 14 Inch ) 10 Pur n P Car ( 14 Inch ) 30   3 Gypsola</v>
          </cell>
          <cell r="T54" t="str">
            <v>BOP ( 14 Inch ) 6 P n W Glad ( 14 Inch ) 30   3 Gypsola</v>
          </cell>
        </row>
        <row r="55">
          <cell r="A55">
            <v>2612</v>
          </cell>
          <cell r="B55" t="str">
            <v>Anjli Mata</v>
          </cell>
          <cell r="C55">
            <v>9810098755</v>
          </cell>
          <cell r="D55" t="str">
            <v>A-73, The Summit</v>
          </cell>
          <cell r="E55" t="str">
            <v>Golf Course Road</v>
          </cell>
          <cell r="F55" t="str">
            <v>Sunday</v>
          </cell>
          <cell r="G55" t="str">
            <v>9 AM - 12 PM</v>
          </cell>
          <cell r="H55">
            <v>999</v>
          </cell>
          <cell r="I55">
            <v>249.75</v>
          </cell>
          <cell r="J55" t="str">
            <v>Delight</v>
          </cell>
          <cell r="K55" t="str">
            <v>Skip 1 week (06/01) Skip 1 week (22/01) Skip 1 week (09/03) Add changed (11/03) Day changed to Sunday -- check with customer first (19/05)</v>
          </cell>
          <cell r="N55" t="str">
            <v>4  del of this cycle   -  0-cycles pmnt   Completed - Collect 0</v>
          </cell>
          <cell r="O55" t="str">
            <v>Y Asiatic 2     Grass</v>
          </cell>
          <cell r="P55" t="str">
            <v>Pur n p Car ( 14 Inch ) 9     FF Sachet + Grass</v>
          </cell>
          <cell r="Q55" t="str">
            <v>Mix Alstroemeria ( 12 Inch ) 9     FF Sachet + Grass</v>
          </cell>
          <cell r="R55" t="str">
            <v>Sunflower ( 12 Inch ) 2     FF Sachet + Grass</v>
          </cell>
          <cell r="S55" t="str">
            <v>P n W Glad ( 14 Inch ) 9     Grass</v>
          </cell>
          <cell r="T55" t="str">
            <v>Y Asiatic ( 14 Inch ) 2     Grass</v>
          </cell>
        </row>
        <row r="56">
          <cell r="A56">
            <v>3284</v>
          </cell>
          <cell r="B56" t="str">
            <v>Megha Sharma</v>
          </cell>
          <cell r="C56" t="str">
            <v>9643166797 // 7351797203</v>
          </cell>
          <cell r="D56" t="str">
            <v>338, Espace, 2nd Floor</v>
          </cell>
          <cell r="E56" t="str">
            <v>Nirvana Country</v>
          </cell>
          <cell r="F56" t="str">
            <v>Sunday</v>
          </cell>
          <cell r="G56" t="str">
            <v>4 PM to 7 PM</v>
          </cell>
          <cell r="H56">
            <v>1950</v>
          </cell>
          <cell r="I56">
            <v>487.5</v>
          </cell>
          <cell r="J56" t="str">
            <v>Joy</v>
          </cell>
          <cell r="K56" t="str">
            <v>Paytm From Megha Sharma</v>
          </cell>
          <cell r="N56" t="str">
            <v>1  del of this cycle   -  1-cycles pmnt   Pending - Collect 1950</v>
          </cell>
          <cell r="O56" t="str">
            <v>R n W Car ( 14 inch ) 22     FF sachet + Grass</v>
          </cell>
          <cell r="P56" t="str">
            <v>W Asiatic ( 15 inch ) 4     Grass</v>
          </cell>
          <cell r="Q56" t="str">
            <v>P n W Glad ( 14 Inch ) 22     Grass</v>
          </cell>
          <cell r="R56" t="str">
            <v>P n Y Spray Daisy ( 14 Inch ) 7     FF Sachet + Grass</v>
          </cell>
          <cell r="S56" t="str">
            <v>B Daisy ( 12 Inch ) 22     Grass</v>
          </cell>
          <cell r="T56" t="str">
            <v>Pur n P Car ( 14 Inch 22     FF Sachet + Grass</v>
          </cell>
        </row>
        <row r="57">
          <cell r="A57">
            <v>3214</v>
          </cell>
          <cell r="B57" t="str">
            <v>Sheeba Rana</v>
          </cell>
          <cell r="C57">
            <v>9958849523</v>
          </cell>
          <cell r="D57" t="str">
            <v>T-14/1202, The Close North</v>
          </cell>
          <cell r="E57" t="str">
            <v>Nirvana Country</v>
          </cell>
          <cell r="F57" t="str">
            <v>Sunday</v>
          </cell>
          <cell r="G57" t="str">
            <v>10 AM to 2:30 PM</v>
          </cell>
          <cell r="H57">
            <v>1450</v>
          </cell>
          <cell r="I57">
            <v>362.5</v>
          </cell>
          <cell r="J57" t="str">
            <v>Bliss</v>
          </cell>
          <cell r="K57" t="str">
            <v>Skip n send on 11th n then on preferred day</v>
          </cell>
          <cell r="N57" t="str">
            <v>1  del of this cycle   -  1-cycles pmnt   Pending - Collect 1450</v>
          </cell>
          <cell r="O57" t="str">
            <v>O Asiatic ( 15 inch ) 2     Grass</v>
          </cell>
          <cell r="P57" t="str">
            <v>P n W Glad ( 14 Inch ) 9     Grass</v>
          </cell>
          <cell r="Q57" t="str">
            <v>Pur n P Car ( 14 Inch ) 9     FF Sachet + Grass</v>
          </cell>
          <cell r="R57" t="str">
            <v>Sunflower ( 12 Inch ) 2     FF Sachet + Grass</v>
          </cell>
          <cell r="S57" t="str">
            <v>B Daisy ( 12 Inch ) 9     Grass</v>
          </cell>
          <cell r="T57" t="str">
            <v>P Asiatic ( 14 Inch ) 3     Grass</v>
          </cell>
        </row>
        <row r="58">
          <cell r="A58">
            <v>2434</v>
          </cell>
          <cell r="B58" t="str">
            <v>Manasi Sardana</v>
          </cell>
          <cell r="C58">
            <v>9825966349</v>
          </cell>
          <cell r="D58" t="str">
            <v>T-8/303, The South Close</v>
          </cell>
          <cell r="E58" t="str">
            <v>Nirvana Country</v>
          </cell>
          <cell r="F58" t="str">
            <v>Sunday</v>
          </cell>
          <cell r="G58" t="str">
            <v>9 AM to 2 PM</v>
          </cell>
          <cell r="H58">
            <v>1450</v>
          </cell>
          <cell r="I58">
            <v>362.5</v>
          </cell>
          <cell r="J58" t="str">
            <v>Bliss</v>
          </cell>
          <cell r="K58" t="str">
            <v>Rajni is preferred // Skip 1 week (17/05) paytm From Phadke Mansi Pradeep // Skip 1 week (01/01/26) Skip 1 week (24/01) Today returned (15/02)</v>
          </cell>
          <cell r="M58" t="str">
            <v>Rajni referred</v>
          </cell>
          <cell r="N58" t="str">
            <v>2  del of this cycle   -  0-cycles pmnt   Completed - Collect 0</v>
          </cell>
          <cell r="O58" t="str">
            <v>O Asiatic ( 15 inch ) 2 P n W Car ( 14 inch ) 7   Grass</v>
          </cell>
          <cell r="P58" t="str">
            <v>P Spray Daisy ( 15 Inch ) 3 Rajni( 12 Inch ) 7   FF Sachet + Grass</v>
          </cell>
          <cell r="Q58" t="str">
            <v>Pur Eustoma ( 12 Inch ) 2 Mix Alstroemeria ( 12 Inch ) 7   FF Sachet + Grass</v>
          </cell>
          <cell r="R58" t="str">
            <v>Sunflower ( 12 Inch ) 2 P n W Glad ( 14 Inch ) 7   FF Sachet + Grass</v>
          </cell>
          <cell r="S58" t="str">
            <v>Y Asiatic ( 14 Inch ) 2 Pur n P Car ( 14 Inch ) 7   Grass</v>
          </cell>
          <cell r="T58" t="str">
            <v>P Spray Daisy ( 14 Inch ) 3 Rajni ( 14 Inch ) 7   FF Sachet + Grass</v>
          </cell>
        </row>
        <row r="59">
          <cell r="A59">
            <v>257</v>
          </cell>
          <cell r="B59" t="str">
            <v>Mrs Munjal -- After 5 PM</v>
          </cell>
          <cell r="C59">
            <v>9818871139</v>
          </cell>
          <cell r="D59" t="str">
            <v>B- 22 Sushant Lok 2, sector 56 (Behind sector 56 police station)</v>
          </cell>
          <cell r="E59" t="str">
            <v>Sector 56</v>
          </cell>
          <cell r="F59" t="str">
            <v>Sunday</v>
          </cell>
          <cell r="G59" t="str">
            <v>9 AM - 12 PM</v>
          </cell>
          <cell r="H59">
            <v>1450</v>
          </cell>
          <cell r="I59">
            <v>362.5</v>
          </cell>
          <cell r="J59" t="str">
            <v>Bliss</v>
          </cell>
          <cell r="K59"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59" t="str">
            <v>1  del of this cycle   -  1-cycles pmnt   Pending - Collect 1450</v>
          </cell>
          <cell r="O59" t="str">
            <v>O Asiatic ( 15 inch ) 3     Grass</v>
          </cell>
          <cell r="P59" t="str">
            <v>P n W Glad ( 14 Inch ) 16     Grass</v>
          </cell>
          <cell r="Q59" t="str">
            <v>P n Y Spray Daisy ( 14 Inch ) 5     FF Sachet + Grass</v>
          </cell>
          <cell r="R59" t="str">
            <v>Pur n P Car ( 14 Inch ) 16     FF Sachet + Grass</v>
          </cell>
          <cell r="S59" t="str">
            <v>P Eustoma ( 12 Inch ) 3     FF Sachet + Grass</v>
          </cell>
          <cell r="T59" t="str">
            <v>Y Asiatic ( 14 Inch ) 3     Grass</v>
          </cell>
        </row>
        <row r="60">
          <cell r="A60">
            <v>2316</v>
          </cell>
          <cell r="B60" t="str">
            <v>Gitanjali Kamra</v>
          </cell>
          <cell r="C60">
            <v>9811842976</v>
          </cell>
          <cell r="D60" t="str">
            <v>121, Espace, Nirvana Country</v>
          </cell>
          <cell r="E60" t="str">
            <v>Nirvana Country</v>
          </cell>
          <cell r="F60" t="str">
            <v>Sunday</v>
          </cell>
          <cell r="G60" t="str">
            <v>9 AM - 12 PM</v>
          </cell>
          <cell r="H60">
            <v>4750</v>
          </cell>
          <cell r="I60">
            <v>1187.5</v>
          </cell>
          <cell r="J60" t="str">
            <v>Enchantment</v>
          </cell>
          <cell r="K60" t="str">
            <v>Now Elation (21/09) Skip 1 week (17/12)</v>
          </cell>
          <cell r="N60" t="str">
            <v>4  del of this cycle   -  0-cycles pmnt   Completed - Collect 0</v>
          </cell>
          <cell r="O60" t="str">
            <v>Mix Spray  8 P n W Car ( 14 inch ) 30   3 Limonium + FF Sachet</v>
          </cell>
          <cell r="P60" t="str">
            <v>Pur n P Eustoma ( 12 Inch ) 6 Mix Spray Carnation ( 12 Inch ) 15   3 Gypsola + FF Sachet</v>
          </cell>
          <cell r="Q60" t="str">
            <v>Sunflower ( 12 Inch ) 7 Mix Alstroemeria ( 12 Inch ) 30   3 Limonium + Ff Sachet</v>
          </cell>
          <cell r="R60" t="str">
            <v>O Asiatic ( 14 Inch ) 6 P n W Glad ( 14 Inch ) 30   3 Gypsola</v>
          </cell>
          <cell r="S60" t="str">
            <v>P n Y Spray Daisy ( 14 Inch ) 10 Pur n P Car ( 14 Inch ) 30   3 Limonium</v>
          </cell>
          <cell r="T60" t="str">
            <v>BOP ( 14 Inch ) 6 Rajni ( 14 Inch ) 30   3 Gypsola</v>
          </cell>
        </row>
        <row r="61">
          <cell r="A61">
            <v>2250</v>
          </cell>
          <cell r="B61" t="str">
            <v>Saloni Gupta</v>
          </cell>
          <cell r="C61">
            <v>9810796682</v>
          </cell>
          <cell r="D61" t="str">
            <v>338, 3rd Floor, Espace</v>
          </cell>
          <cell r="E61" t="str">
            <v>Nirvana Country</v>
          </cell>
          <cell r="F61" t="str">
            <v>Sunday</v>
          </cell>
          <cell r="G61" t="str">
            <v>9 AM - 12 PM</v>
          </cell>
          <cell r="H61">
            <v>3088</v>
          </cell>
          <cell r="I61">
            <v>386</v>
          </cell>
          <cell r="J61" t="str">
            <v>Cutsomized-Biweekly</v>
          </cell>
          <cell r="K61"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61" t="str">
            <v>3  del of this cycle   -  0-cycles pmnt   Completed - Collect 0</v>
          </cell>
          <cell r="O61" t="e">
            <v>#N/A</v>
          </cell>
          <cell r="P61" t="e">
            <v>#N/A</v>
          </cell>
          <cell r="Q61" t="e">
            <v>#N/A</v>
          </cell>
          <cell r="R61" t="e">
            <v>#N/A</v>
          </cell>
          <cell r="S61" t="str">
            <v>P Asiatic ( 14 Inch ) 3     Grass</v>
          </cell>
          <cell r="T61" t="str">
            <v>Y Asiatic ( 14 Inch ) 3     Grass</v>
          </cell>
        </row>
        <row r="62">
          <cell r="A62">
            <v>1899</v>
          </cell>
          <cell r="B62" t="str">
            <v>Hardik Shah</v>
          </cell>
          <cell r="C62">
            <v>9811227080</v>
          </cell>
          <cell r="D62" t="str">
            <v>T-5/1402, Vipul Green</v>
          </cell>
          <cell r="E62" t="str">
            <v>Sohna Road 2</v>
          </cell>
          <cell r="F62" t="str">
            <v>Friday</v>
          </cell>
          <cell r="G62" t="str">
            <v>9 AM - 12 PM</v>
          </cell>
          <cell r="H62">
            <v>4850</v>
          </cell>
          <cell r="I62">
            <v>606.25</v>
          </cell>
          <cell r="J62" t="str">
            <v>Poise</v>
          </cell>
          <cell r="K62"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2" t="str">
            <v>1  del of this cycle   -  1-cycles pmnt   Pending - Collect 4850</v>
          </cell>
          <cell r="O62" t="str">
            <v>P n W Car ( 14 Inch ) 26     FF sachet + Grass</v>
          </cell>
          <cell r="P62" t="str">
            <v>Rajni ( 14 Inch )  26     Grass</v>
          </cell>
          <cell r="Q62" t="str">
            <v>Mix Alstroemeria ( 12 Inch ) 20     FF Sachet + Grass</v>
          </cell>
          <cell r="R62" t="e">
            <v>#N/A</v>
          </cell>
          <cell r="S62" t="e">
            <v>#N/A</v>
          </cell>
          <cell r="T62" t="str">
            <v>Pur n P Car ( 14 Inch 26     FF Sachet + Grass</v>
          </cell>
        </row>
        <row r="63">
          <cell r="A63">
            <v>2515</v>
          </cell>
          <cell r="B63" t="str">
            <v>Divyaa Sharma -- Before 12 PM</v>
          </cell>
          <cell r="C63">
            <v>9582842340</v>
          </cell>
          <cell r="D63" t="str">
            <v>T-2/1301, Valley View Estate</v>
          </cell>
          <cell r="E63" t="str">
            <v>Ghata</v>
          </cell>
          <cell r="F63" t="str">
            <v>Sunday</v>
          </cell>
          <cell r="G63" t="str">
            <v>9 AM to 2 PM</v>
          </cell>
          <cell r="H63">
            <v>1950</v>
          </cell>
          <cell r="I63">
            <v>487.5</v>
          </cell>
          <cell r="J63" t="str">
            <v>Joy</v>
          </cell>
          <cell r="K63" t="str">
            <v>Send 3 Car Extra Next (06/04) Single Kind (21/11) Mix Kind next (06/12) No Rajni (04/01) Return-send next week (18/01) Skip 1 week (07/03) Skip tom (28/03) Skip tom )2/05) Skip 1 week (16/05) Skip 3 Weeks (06/06)</v>
          </cell>
          <cell r="L63" t="str">
            <v>Rajni</v>
          </cell>
          <cell r="M63" t="str">
            <v>Mix Always (14/12)</v>
          </cell>
          <cell r="N63" t="str">
            <v>4  del of this cycle   -  0-cycles pmnt   CompletedNO COLLECTION-we have extra money - Collect -50</v>
          </cell>
          <cell r="O63" t="str">
            <v>O Asiatic ( 15 inch ) 2 P n W Glad ( 14 inch ) 11   Grass</v>
          </cell>
          <cell r="P63" t="str">
            <v>P n Y Spray Daisy ( 15 Inch ) 4 Mix Car ( 12 Inch ) 11   FF Sachet + garss</v>
          </cell>
          <cell r="Q63" t="e">
            <v>#N/A</v>
          </cell>
          <cell r="R63" t="e">
            <v>#N/A</v>
          </cell>
          <cell r="S63" t="e">
            <v>#N/A</v>
          </cell>
          <cell r="T63" t="str">
            <v>P Asiatic ( 14 Inch ) 2 Pur n P Car ( 14 Inch ) 11   Grass</v>
          </cell>
        </row>
        <row r="64">
          <cell r="A64">
            <v>1455</v>
          </cell>
          <cell r="B64" t="str">
            <v>Gagan Ahluwalia</v>
          </cell>
          <cell r="C64">
            <v>9811105056</v>
          </cell>
          <cell r="D64" t="str">
            <v>C-82, The Summit</v>
          </cell>
          <cell r="E64" t="str">
            <v>Golf Course Road</v>
          </cell>
          <cell r="F64" t="str">
            <v>Thursday</v>
          </cell>
          <cell r="G64" t="str">
            <v>9 AM - 12 PM</v>
          </cell>
          <cell r="H64">
            <v>2300</v>
          </cell>
          <cell r="I64">
            <v>287.5</v>
          </cell>
          <cell r="J64" t="str">
            <v>Felicity</v>
          </cell>
          <cell r="K64"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64" t="str">
            <v>6  del of this cycle   -  0-cycles pmnt   Completed - Collect 0</v>
          </cell>
          <cell r="O64" t="e">
            <v>#N/A</v>
          </cell>
          <cell r="P64" t="e">
            <v>#N/A</v>
          </cell>
          <cell r="Q64" t="str">
            <v>Sunflower ( 12 Inch ) 3     FF Sachet + Grass</v>
          </cell>
          <cell r="R64" t="str">
            <v>O Asiatic ( 14 Inch ) 2     Grass</v>
          </cell>
          <cell r="S64" t="str">
            <v>B Daisy ( 12 Inch ) 11     Grass</v>
          </cell>
          <cell r="T64" t="str">
            <v>P n W Glad ( 14 Inch ) 11     Grass</v>
          </cell>
        </row>
        <row r="65">
          <cell r="A65" t="str">
            <v>G-00056</v>
          </cell>
          <cell r="B65" t="str">
            <v>Triveni Wahi</v>
          </cell>
          <cell r="C65">
            <v>7503975035</v>
          </cell>
          <cell r="D65" t="str">
            <v>B-14/12 C, Dlf The Grove</v>
          </cell>
          <cell r="E65" t="str">
            <v>DLF Phase 5</v>
          </cell>
          <cell r="F65" t="str">
            <v>Sunday</v>
          </cell>
          <cell r="G65" t="str">
            <v>9 AM - 12 PM</v>
          </cell>
          <cell r="H65">
            <v>1450</v>
          </cell>
          <cell r="I65">
            <v>362.5</v>
          </cell>
          <cell r="J65" t="str">
            <v>Bliss</v>
          </cell>
          <cell r="K65" t="str">
            <v>From Madhulika Geeta Chopra // 2sesonal Extra next (05/05) Today Returned -send next week (24/05) Today returned - hold (14/06)</v>
          </cell>
          <cell r="M65" t="str">
            <v>2 sesonal Extra next (05/05)</v>
          </cell>
          <cell r="N65" t="str">
            <v>4  del of this cycle   -  0-cycles pmnt   Completed - Collect 0</v>
          </cell>
          <cell r="O65" t="str">
            <v>O Asiatic ( 15 inch ) 3     Grass</v>
          </cell>
          <cell r="P65" t="str">
            <v>P n W Car ( 14 inch ) 16     FF Sachet + Grass</v>
          </cell>
          <cell r="Q65" t="str">
            <v>Mix Alstroemeria ( 12 Inch ) 16     FF Sachet + Grass</v>
          </cell>
          <cell r="R65" t="str">
            <v>P n W Spray Daisy ( 14 Inch ) 5     FF Sachet + Grass</v>
          </cell>
          <cell r="S65" t="str">
            <v>P n W Spray Daisy ( 14 Inch ) 5     FF Sachet + Grass</v>
          </cell>
          <cell r="T65" t="str">
            <v>Sunflower ( 12 Inch ) 4     FF Sachet + Grass</v>
          </cell>
        </row>
        <row r="66">
          <cell r="A66">
            <v>2856</v>
          </cell>
          <cell r="B66" t="str">
            <v>Bonita Bhatnagar</v>
          </cell>
          <cell r="C66">
            <v>9958222833</v>
          </cell>
          <cell r="D66" t="str">
            <v>C-134, Block C, Mayfield Garden</v>
          </cell>
          <cell r="E66" t="str">
            <v>Nirvana Country</v>
          </cell>
          <cell r="F66" t="str">
            <v>Sunday</v>
          </cell>
          <cell r="G66" t="str">
            <v>5 PM to 8 PM</v>
          </cell>
          <cell r="H66">
            <v>1450</v>
          </cell>
          <cell r="I66">
            <v>362.5</v>
          </cell>
          <cell r="J66" t="str">
            <v>Bliss</v>
          </cell>
          <cell r="K66" t="str">
            <v>Upgraded as per scheme to Bliss for 5 Deliveries (22/08)</v>
          </cell>
          <cell r="N66" t="str">
            <v>4  del of this cycle   -  0-cycles pmnt   Completed - Collect 0</v>
          </cell>
          <cell r="O66" t="str">
            <v>B Orchid  5     FF Sachet + Grass</v>
          </cell>
          <cell r="P66" t="str">
            <v>W Asiatic ( 15 inch ) 3     Grass</v>
          </cell>
          <cell r="Q66" t="str">
            <v>Mix Alstroemeria ( 12 Inch ) 16     FF Sachet + Grass</v>
          </cell>
          <cell r="R66" t="str">
            <v>Pur n P Car ( 14 Inch ) 16     FF Sachet + Grass</v>
          </cell>
          <cell r="S66" t="str">
            <v>P Eustoma ( 12 Inch ) 3     FF Sachet + Grass</v>
          </cell>
          <cell r="T66" t="str">
            <v>P n W Glad ( 14 Inch ) 16     Grass</v>
          </cell>
        </row>
        <row r="67">
          <cell r="A67">
            <v>2910</v>
          </cell>
          <cell r="B67" t="str">
            <v>Malvika</v>
          </cell>
          <cell r="C67">
            <v>9818627991</v>
          </cell>
          <cell r="D67" t="str">
            <v>T-2/1306, Valley View Estae</v>
          </cell>
          <cell r="E67" t="str">
            <v>Ghata</v>
          </cell>
          <cell r="F67" t="str">
            <v>Sunday</v>
          </cell>
          <cell r="G67" t="str">
            <v>10 AM to 3 PM</v>
          </cell>
          <cell r="H67">
            <v>1450</v>
          </cell>
          <cell r="I67">
            <v>362.5</v>
          </cell>
          <cell r="J67" t="str">
            <v>Bliss</v>
          </cell>
          <cell r="K67" t="str">
            <v>Upgraded as per scheme to Bliss for 5 Deliveries (22/08) Change to Delight next (30/09) Send replacement tom (25/11) Change to delight (13/01) Paytm From Malvika Singh</v>
          </cell>
          <cell r="M67" t="str">
            <v>Change to Deligfht next (30/09)</v>
          </cell>
          <cell r="N67" t="str">
            <v>4  del of this cycle   -  0-cycles pmnt   Completed - Collect 0</v>
          </cell>
          <cell r="O67" t="str">
            <v>B Orchid  5     FF Sachet + Grass</v>
          </cell>
          <cell r="P67" t="str">
            <v>R n W Car( 14 Inch)  16     FF Sachet + Grass</v>
          </cell>
          <cell r="Q67" t="str">
            <v>P n W Glad ( 14 Inch ) 16     Grass</v>
          </cell>
          <cell r="R67" t="str">
            <v>P Asiatic ( 14 Inch ) 3     Grass</v>
          </cell>
          <cell r="S67" t="str">
            <v>B Daisy ( 12 Inch ) 16     Grass</v>
          </cell>
          <cell r="T67" t="str">
            <v>Sunflower ( 12 Inch ) 4     FF Sachet + Grass</v>
          </cell>
        </row>
        <row r="68">
          <cell r="A68">
            <v>2855</v>
          </cell>
          <cell r="B68" t="str">
            <v>Mini Deerwoood</v>
          </cell>
          <cell r="C68">
            <v>9818447542</v>
          </cell>
          <cell r="D68" t="str">
            <v xml:space="preserve"> 332, 4th Floor, Espace</v>
          </cell>
          <cell r="E68" t="str">
            <v>Nirvana Country</v>
          </cell>
          <cell r="F68" t="str">
            <v>Sunday</v>
          </cell>
          <cell r="G68" t="str">
            <v>9 AM - 12 PM</v>
          </cell>
          <cell r="H68">
            <v>1950</v>
          </cell>
          <cell r="I68">
            <v>487.5</v>
          </cell>
          <cell r="J68" t="str">
            <v>Joy</v>
          </cell>
          <cell r="N68" t="str">
            <v>2  del of this cycle   -  1-cycles pmnt   Pending - Collect 1950</v>
          </cell>
          <cell r="O68" t="str">
            <v>Y Asiatic ( 15 Inch ) 2 P n W Car ( 14 inch ) 11   Grass</v>
          </cell>
          <cell r="P68" t="str">
            <v>P n W Spray Daisy ( 15 Inch ) 4 Mix Glad  ( 12 Inch ) 11   FF Sachet + garss</v>
          </cell>
          <cell r="Q68" t="e">
            <v>#N/A</v>
          </cell>
          <cell r="R68" t="e">
            <v>#N/A</v>
          </cell>
          <cell r="S68" t="str">
            <v>Pur Eustoma ( 12 Inch ) 2 B Daisy ( 12 Inch ) 11   FF Sachet + Grass</v>
          </cell>
          <cell r="T68" t="str">
            <v>Sunflower ( 12 Inch ) 3 Pur n P Car ( 14 Inch ) 11   FF Sachet + Grass</v>
          </cell>
        </row>
        <row r="69">
          <cell r="A69">
            <v>234</v>
          </cell>
          <cell r="B69" t="str">
            <v>jaya Chakrabarti-- Before 10 AM</v>
          </cell>
          <cell r="C69">
            <v>9810390185</v>
          </cell>
          <cell r="D69" t="str">
            <v>A 56, FF, south City 2, sonha road, gurgaon</v>
          </cell>
          <cell r="E69" t="str">
            <v>Nirvana Country</v>
          </cell>
          <cell r="F69" t="str">
            <v>Sunday</v>
          </cell>
          <cell r="G69" t="str">
            <v>9 AM - 12 PM</v>
          </cell>
          <cell r="H69">
            <v>1450</v>
          </cell>
          <cell r="I69">
            <v>362.5</v>
          </cell>
          <cell r="J69" t="str">
            <v>Bliss</v>
          </cell>
          <cell r="K69"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69" t="str">
            <v>BOP n HELICONIA</v>
          </cell>
          <cell r="N69" t="str">
            <v>1  del of this cycle   -  1-cycles pmnt   Pending - Collect 1450</v>
          </cell>
          <cell r="O69" t="str">
            <v>O Asiatic ( 15 inch ) 3     Grass</v>
          </cell>
          <cell r="P69" t="str">
            <v>P n W Glad ( 14 Inch ) 16     Grass</v>
          </cell>
          <cell r="Q69" t="str">
            <v>Sunflower ( 12 Inch ) 4     FF Sachet + Grass</v>
          </cell>
          <cell r="R69" t="str">
            <v>Pur n P Car ( 14 Inch ) 16     FF Sachet + Grass</v>
          </cell>
          <cell r="S69" t="str">
            <v>Pur Eustoma ( 12 Inch ) 3     FF Sachet + Grass</v>
          </cell>
          <cell r="T69" t="str">
            <v>P Asiatic ( 14 Inch ) 3     Grass</v>
          </cell>
        </row>
        <row r="70">
          <cell r="A70">
            <v>2707</v>
          </cell>
          <cell r="B70" t="str">
            <v>Mrigal Vora Puri</v>
          </cell>
          <cell r="C70">
            <v>9903474654</v>
          </cell>
          <cell r="D70" t="str">
            <v>T-6A/1103, Valley View Estate</v>
          </cell>
          <cell r="E70" t="str">
            <v>Ghata</v>
          </cell>
          <cell r="F70" t="str">
            <v>Sunday</v>
          </cell>
          <cell r="G70" t="str">
            <v>9 AM - 12 PM</v>
          </cell>
          <cell r="H70">
            <v>1450</v>
          </cell>
          <cell r="I70">
            <v>362.5</v>
          </cell>
          <cell r="J70" t="str">
            <v>Bliss</v>
          </cell>
          <cell r="K70" t="str">
            <v>Glad Next (20/06) Hold today (05/1) Hold due to non payment (01/02) Hold due to non payment (08/02) HDTNP (15/02) Skip 1 week (04/04) HDTNP (03/05) HDTNP (10/05) Paytm From Akhil Puri (07/06)</v>
          </cell>
          <cell r="M70" t="str">
            <v>Glad Next (20/06)</v>
          </cell>
          <cell r="N70" t="str">
            <v>4  del of this cycle   -  0-cycles pmnt   Completed - Collect 0</v>
          </cell>
          <cell r="O70" t="str">
            <v>O Asiatic ( 15 inch ) 2 P n W Glad ( 14 inch ) 7   Grass</v>
          </cell>
          <cell r="P70" t="str">
            <v>Y Spray Daisy ( 15 Inch ) 3 P n W Car ( 14 Inch ) 7   FF Sachet + Grass</v>
          </cell>
          <cell r="Q70" t="str">
            <v>Pur Eustoma ( 12 Inch ) 2 Mix Alstroemeria ( 12 Inch ) 7   FF Sachet + Grass</v>
          </cell>
          <cell r="R70" t="str">
            <v>Sunflower ( 12 Inch ) 2 P n W Glad ( 14 Inch ) 7   FF Sachet + Grass</v>
          </cell>
          <cell r="S70" t="str">
            <v>P Asiatic ( 14 Inch ) 2 Pur n P Car ( 14 Inch ) 7   Grass</v>
          </cell>
          <cell r="T70" t="str">
            <v>P Spray Daisy ( 14 Inch ) 3 Rajni ( 14 Inch ) 7   FF Sachet + Grass</v>
          </cell>
        </row>
        <row r="71">
          <cell r="A71">
            <v>2192</v>
          </cell>
          <cell r="B71" t="str">
            <v>Prabhdeep Kaur</v>
          </cell>
          <cell r="C71">
            <v>7456879082</v>
          </cell>
          <cell r="D71" t="str">
            <v>C-173, 2nd Floor,South City 2</v>
          </cell>
          <cell r="E71" t="str">
            <v>Nirvana Country</v>
          </cell>
          <cell r="F71" t="str">
            <v>Sunday</v>
          </cell>
          <cell r="G71" t="str">
            <v>9 AM - 12 PM</v>
          </cell>
          <cell r="H71">
            <v>1450</v>
          </cell>
          <cell r="I71">
            <v>362.5</v>
          </cell>
          <cell r="J71" t="str">
            <v>Bliss</v>
          </cell>
          <cell r="K71"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71" t="str">
            <v>3  del of this cycle   -  0-cycles pmnt   Completed - Collect 0</v>
          </cell>
          <cell r="O71" t="str">
            <v>O Asiatic ( 15 inch ) 3     Grass</v>
          </cell>
          <cell r="P71" t="str">
            <v>P n W Spray Daisy ( 15 Inch ) 5     FF Sachet + Grass</v>
          </cell>
          <cell r="Q71" t="str">
            <v>P n W Glad ( 14 Inch ) 16     Grass</v>
          </cell>
          <cell r="R71" t="str">
            <v>Pur n P Car ( 14 Inch ) 16     FF Sachet + Grass</v>
          </cell>
          <cell r="S71" t="str">
            <v>P Eustoma ( 12 Inch ) 3     FF Sachet + Grass</v>
          </cell>
          <cell r="T71" t="str">
            <v>Sunflower ( 12 Inch ) 4     FF Sachet + Grass</v>
          </cell>
        </row>
        <row r="72">
          <cell r="A72" t="str">
            <v>B56296</v>
          </cell>
          <cell r="B72" t="str">
            <v>Sonali Pota</v>
          </cell>
          <cell r="C72" t="str">
            <v>96548 59988</v>
          </cell>
          <cell r="D72" t="str">
            <v>Belleza 60, Emaar Marbella Villas,
Golf estate road,</v>
          </cell>
          <cell r="E72" t="str">
            <v>Badshahpur</v>
          </cell>
          <cell r="F72" t="str">
            <v>Thursday</v>
          </cell>
          <cell r="G72" t="str">
            <v>By 10 AM</v>
          </cell>
          <cell r="H72">
            <v>600</v>
          </cell>
          <cell r="I72">
            <v>600</v>
          </cell>
          <cell r="J72" t="str">
            <v>Bouquet</v>
          </cell>
          <cell r="K72" t="str">
            <v>15 Rajni in single wrap</v>
          </cell>
          <cell r="N72" t="str">
            <v>1  del of this cycle   -  1-cycles pmnt   Pending - Collect 600</v>
          </cell>
          <cell r="O72" t="e">
            <v>#N/A</v>
          </cell>
          <cell r="P72" t="e">
            <v>#N/A</v>
          </cell>
          <cell r="Q72" t="e">
            <v>#N/A</v>
          </cell>
          <cell r="R72" t="e">
            <v>#N/A</v>
          </cell>
          <cell r="S72" t="e">
            <v>#N/A</v>
          </cell>
          <cell r="T72" t="str">
            <v xml:space="preserve">Rajni 15 Single Wrap    </v>
          </cell>
        </row>
        <row r="73">
          <cell r="A73">
            <v>2583</v>
          </cell>
          <cell r="B73" t="str">
            <v>Bhumika Gupta</v>
          </cell>
          <cell r="C73">
            <v>9818096329</v>
          </cell>
          <cell r="D73" t="str">
            <v>H-37, 2nd Floor, Aaron Ville, Sec 48</v>
          </cell>
          <cell r="E73" t="str">
            <v>Sohna Road 1</v>
          </cell>
          <cell r="F73" t="str">
            <v>Sunday</v>
          </cell>
          <cell r="G73" t="str">
            <v>9:30 Am to 2 PM</v>
          </cell>
          <cell r="H73">
            <v>1950</v>
          </cell>
          <cell r="I73">
            <v>487.5</v>
          </cell>
          <cell r="J73" t="str">
            <v>Joy</v>
          </cell>
          <cell r="K73" t="str">
            <v>No Rose n Glad n flowers in same color // Long Stems (20/04) Gpay from Tanmay Oberoi (15/06) Skip 3 Sunday (04/08) Skip 3 weeks (4/08) Day Change to Friday (27/09) Skip 1 week (15/01) Skip Friday (26/03) Returned today (01/05) Skip 1 week (20/06)</v>
          </cell>
          <cell r="L73" t="str">
            <v>Rose n Glad</v>
          </cell>
          <cell r="M73" t="str">
            <v>Long Stems</v>
          </cell>
          <cell r="N73" t="str">
            <v>1  del of this cycle   -  1-cycles pmnt   Pending - Collect 1950</v>
          </cell>
          <cell r="O73" t="e">
            <v>#N/A</v>
          </cell>
          <cell r="P73" t="e">
            <v>#N/A</v>
          </cell>
          <cell r="Q73" t="e">
            <v>#N/A</v>
          </cell>
          <cell r="R73" t="e">
            <v>#N/A</v>
          </cell>
          <cell r="S73" t="e">
            <v>#N/A</v>
          </cell>
          <cell r="T73" t="str">
            <v>P n Y Spray Daisy ( 14 Inch ) 4 Rajni ( 14 Inch ) 11   FF Sachet + Grass</v>
          </cell>
        </row>
        <row r="74">
          <cell r="A74">
            <v>2997</v>
          </cell>
          <cell r="B74" t="str">
            <v>Anjana Johar</v>
          </cell>
          <cell r="C74">
            <v>9650897576</v>
          </cell>
          <cell r="D74" t="str">
            <v>T-8/201, Fresco</v>
          </cell>
          <cell r="E74" t="str">
            <v>Nirvana Country</v>
          </cell>
          <cell r="F74" t="str">
            <v>Sunday</v>
          </cell>
          <cell r="G74" t="str">
            <v>4 Pm to 7 PM</v>
          </cell>
          <cell r="H74">
            <v>1450</v>
          </cell>
          <cell r="I74">
            <v>362.5</v>
          </cell>
          <cell r="J74" t="str">
            <v>Bliss</v>
          </cell>
          <cell r="K74" t="str">
            <v>Skip 2 week (03/11) Skip 1 week (14/11) Hold today n send tom (30/11) Hold n start after 9th Jan (08/12) Send Replacement tom (23/03) Send 1 vase also (23/03) No White Flowers (01/05) No Spray Daisy (05/05) Skip 1 week (08/05) Skip 2 week and start from 25th (13/06)</v>
          </cell>
          <cell r="L74" t="str">
            <v>Spray Daisy</v>
          </cell>
          <cell r="M74" t="str">
            <v>No White Flowers</v>
          </cell>
          <cell r="N74" t="str">
            <v>2  del of this cycle   -  0-cycles pmnt   Completed - Collect 0</v>
          </cell>
          <cell r="O74" t="str">
            <v>Glad 16     Grass</v>
          </cell>
          <cell r="P74" t="str">
            <v>O Asiatic ( 15 Inch ) 3     Grass</v>
          </cell>
          <cell r="Q74" t="str">
            <v>Pur n P Car ( 14 Inch ) 16     FF Sachet + Grass</v>
          </cell>
          <cell r="R74" t="e">
            <v>#N/A</v>
          </cell>
          <cell r="S74" t="e">
            <v>#N/A</v>
          </cell>
          <cell r="T74" t="str">
            <v>Sunflower ( 12 Inch ) 4     FF Sachet +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v>
          </cell>
          <cell r="L75" t="str">
            <v>ROSE n ORCHID</v>
          </cell>
          <cell r="N75" t="str">
            <v>3  del of this cycle   -  0-cycles pmnt   Completed - Collect 0</v>
          </cell>
          <cell r="O75" t="str">
            <v>R n W Car ( 14 inch ) 16     FF Sachet + Grass</v>
          </cell>
          <cell r="P75" t="str">
            <v>P n Y Spray Daisy ( 15 Inch ) 5     FF Sachet + Grass</v>
          </cell>
          <cell r="Q75" t="e">
            <v>#N/A</v>
          </cell>
          <cell r="R75" t="str">
            <v>P Asiatic ( 14 Inch ) 3     Grass</v>
          </cell>
          <cell r="S75" t="str">
            <v>P n W Glad ( 14 Inch ) 16     Grass</v>
          </cell>
          <cell r="T75" t="str">
            <v>P n W Car ( 14 Inch ) 16     FF Sachet + Grass</v>
          </cell>
        </row>
        <row r="76">
          <cell r="A76">
            <v>1570</v>
          </cell>
          <cell r="B76" t="str">
            <v>Nisha Syriac</v>
          </cell>
          <cell r="C76">
            <v>9711811545</v>
          </cell>
          <cell r="D76" t="str">
            <v>G202, DLF Park Place Heights, Golf Course Road</v>
          </cell>
          <cell r="E76" t="str">
            <v>Golf Course Road</v>
          </cell>
          <cell r="F76" t="str">
            <v>Sunday</v>
          </cell>
          <cell r="G76" t="str">
            <v>9:30 Am to 2 PM</v>
          </cell>
          <cell r="H76">
            <v>1450</v>
          </cell>
          <cell r="I76">
            <v>362.5</v>
          </cell>
          <cell r="J76" t="str">
            <v>Bliss</v>
          </cell>
          <cell r="K76"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76" t="str">
            <v>Rajni n Orchid</v>
          </cell>
          <cell r="M76" t="str">
            <v xml:space="preserve">Single Color Flowers </v>
          </cell>
          <cell r="N76" t="str">
            <v>1  del of this cycle   -  1-cycles pmnt   Pending - Collect 1450</v>
          </cell>
          <cell r="O76" t="e">
            <v>#N/A</v>
          </cell>
          <cell r="P76" t="e">
            <v>#N/A</v>
          </cell>
          <cell r="Q76" t="str">
            <v>P Alstroemeria ( 12 Inch ) 16 Single Color Flower  Single Color Flower    FF Sachet + Grass</v>
          </cell>
          <cell r="R76" t="str">
            <v>P Spray Daisy ( 14 Inch ) 5     FF Sachet + Grass</v>
          </cell>
          <cell r="S76" t="str">
            <v>Pur n P Car ( 14 Inch ) 16     FF Sachet + Grass</v>
          </cell>
          <cell r="T76" t="str">
            <v>Y Asiatic ( 14 Inch ) 3     Grass</v>
          </cell>
        </row>
        <row r="77">
          <cell r="A77">
            <v>1470</v>
          </cell>
          <cell r="B77" t="str">
            <v>Ankit Goyal</v>
          </cell>
          <cell r="C77">
            <v>9582406060</v>
          </cell>
          <cell r="D77" t="str">
            <v>A-402, La Lagune</v>
          </cell>
          <cell r="E77" t="str">
            <v>Golf Course Road</v>
          </cell>
          <cell r="F77" t="str">
            <v>Sunday</v>
          </cell>
          <cell r="G77" t="str">
            <v>9 AM - 12 PM</v>
          </cell>
          <cell r="H77">
            <v>2750</v>
          </cell>
          <cell r="I77">
            <v>687.5</v>
          </cell>
          <cell r="J77" t="str">
            <v>Elation</v>
          </cell>
          <cell r="K77"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7" t="str">
            <v>3  del of this cycle   -  0-cycles pmnt   Completed - Collect 0</v>
          </cell>
          <cell r="O77" t="e">
            <v>#N/A</v>
          </cell>
          <cell r="P77" t="e">
            <v>#N/A</v>
          </cell>
          <cell r="Q77" t="e">
            <v>#N/A</v>
          </cell>
          <cell r="R77" t="e">
            <v>#N/A</v>
          </cell>
          <cell r="S77" t="str">
            <v>O Asiatic ( 14 Inch )' 6     2 Gypsola</v>
          </cell>
          <cell r="T77" t="str">
            <v>P n W Glad ( 14 Inch ) 32     2 Limonium</v>
          </cell>
        </row>
        <row r="78">
          <cell r="A78">
            <v>2592</v>
          </cell>
          <cell r="B78" t="str">
            <v>Nidhi Prasad</v>
          </cell>
          <cell r="C78">
            <v>9899779181</v>
          </cell>
          <cell r="D78" t="str">
            <v>T-10/1003, valley View Estate</v>
          </cell>
          <cell r="E78" t="str">
            <v>Ghata</v>
          </cell>
          <cell r="F78" t="str">
            <v>Sunday</v>
          </cell>
          <cell r="G78" t="str">
            <v>9 AM to 2 PM</v>
          </cell>
          <cell r="H78">
            <v>999</v>
          </cell>
          <cell r="I78">
            <v>249.75</v>
          </cell>
          <cell r="J78" t="str">
            <v>Delight</v>
          </cell>
          <cell r="K78" t="str">
            <v>Hold n start from 29th June(14/06) Hold today due to non payment (04/01) Hold due to non payment (01/02) Hold due to non payment (08/02) HDTNP (15/02) HDTNP (22/02) HDTNP (01/03) HDTNP (08/03) HDTNP (12/04) HDTNP (07/06) Hold till 26th (07/06)</v>
          </cell>
          <cell r="N78" t="str">
            <v>2  del of this cycle   -  0-cycles pmnt   Completed - Collect 0</v>
          </cell>
          <cell r="O78" t="str">
            <v>P n W Glad ( 14 inch ) 9     Grass</v>
          </cell>
          <cell r="P78" t="str">
            <v>R n W Car( 14 Inch)  9     FF Sachet + Grass</v>
          </cell>
          <cell r="Q78" t="e">
            <v>#N/A</v>
          </cell>
          <cell r="R78" t="e">
            <v>#N/A</v>
          </cell>
          <cell r="S78" t="e">
            <v>#N/A</v>
          </cell>
          <cell r="T78" t="str">
            <v>P Asiatic ( 14 Inch ) 2     Grass</v>
          </cell>
        </row>
        <row r="79">
          <cell r="A79">
            <v>3179</v>
          </cell>
          <cell r="B79" t="str">
            <v>Bandhana</v>
          </cell>
          <cell r="C79">
            <v>98188998617</v>
          </cell>
          <cell r="D79" t="str">
            <v>T-5/902, Tata Primanti</v>
          </cell>
          <cell r="E79" t="str">
            <v>Badshahpur</v>
          </cell>
          <cell r="F79" t="str">
            <v>Sunday</v>
          </cell>
          <cell r="G79" t="str">
            <v>9 AM - 12 PM</v>
          </cell>
          <cell r="H79">
            <v>1950</v>
          </cell>
          <cell r="I79">
            <v>487.5</v>
          </cell>
          <cell r="J79" t="str">
            <v>Joy</v>
          </cell>
          <cell r="K79" t="str">
            <v>Single Kind // Replacement tom (08/03) No Spray Daisy and BOP (31/03)</v>
          </cell>
          <cell r="L79" t="str">
            <v>Spray Daisy n BOP</v>
          </cell>
          <cell r="M79" t="str">
            <v>Single Kind</v>
          </cell>
          <cell r="N79" t="str">
            <v>4  del of this cycle   -  0-cycles pmnt   Completed - Collect 0</v>
          </cell>
          <cell r="O79" t="str">
            <v>P n W Car ( 14 Inch ) 22     FF sachet + Grass</v>
          </cell>
          <cell r="P79" t="str">
            <v>Pur n P Eustoma ( 12 Inch ) 4     FF Sachet + garss</v>
          </cell>
          <cell r="Q79" t="str">
            <v>W Asiatic ( 14 Inch ) 4     Grass</v>
          </cell>
          <cell r="R79" t="str">
            <v>Mix Glad (14Inch) 22     FF Sachet + Grass</v>
          </cell>
          <cell r="S79" t="str">
            <v>Pur n P Car ( 14 Inch ) 22     FF Sachet + Grass</v>
          </cell>
          <cell r="T79" t="str">
            <v>Pur n P Eustoma ( 12 Inch ) 4     FF Sachet + Grass</v>
          </cell>
        </row>
        <row r="80">
          <cell r="A80">
            <v>2481</v>
          </cell>
          <cell r="B80" t="str">
            <v>Puneet Mahajan</v>
          </cell>
          <cell r="C80">
            <v>9810110847</v>
          </cell>
          <cell r="D80" t="str">
            <v>D-19, 4th Floor, Siuth City -2, Opp Arcadia Mall</v>
          </cell>
          <cell r="E80" t="str">
            <v>Nirvana Country</v>
          </cell>
          <cell r="F80" t="str">
            <v>Sunday</v>
          </cell>
          <cell r="G80" t="str">
            <v>9 AM - 12 PM</v>
          </cell>
          <cell r="H80">
            <v>2300</v>
          </cell>
          <cell r="I80">
            <v>287.5</v>
          </cell>
          <cell r="J80" t="str">
            <v>Felicity</v>
          </cell>
          <cell r="K80" t="str">
            <v>Send Sponge// Day Changed to Sunday (16/04) Paytm From Sri Sai makers (20/04) Change to felicity (17/05)</v>
          </cell>
          <cell r="N80" t="str">
            <v>5  del of this cycle   -  0-cycles pmnt   Completed - Collect 0</v>
          </cell>
          <cell r="O80" t="str">
            <v>Y Spray Daisy ( 15 inch ) 3     FF sachet + Grass</v>
          </cell>
          <cell r="P80" t="str">
            <v>P n W Glad ( 14 Inch ) 11     Grass</v>
          </cell>
          <cell r="Q80" t="str">
            <v>Pur Eustoma ( 12 Inch ) 4     FF Sachet + Grass</v>
          </cell>
          <cell r="R80" t="str">
            <v>Rajni ( 14 Inch ) 11     Grass</v>
          </cell>
          <cell r="S80" t="str">
            <v>B Daisy ( 12 Inch ) 11     Grass</v>
          </cell>
          <cell r="T80" t="str">
            <v>P n W Glad ( 14 Inch ) 11     Grass</v>
          </cell>
        </row>
        <row r="81">
          <cell r="A81">
            <v>3386</v>
          </cell>
          <cell r="B81" t="str">
            <v>Devina Duggal</v>
          </cell>
          <cell r="C81">
            <v>9992399954</v>
          </cell>
          <cell r="D81" t="str">
            <v>Sadev, C-149, Suncity, Ground Floor</v>
          </cell>
          <cell r="E81" t="str">
            <v>Golf Course Road</v>
          </cell>
          <cell r="F81" t="str">
            <v>Sunday</v>
          </cell>
          <cell r="G81" t="str">
            <v>9:30 Am to 2 PM</v>
          </cell>
          <cell r="H81">
            <v>2750</v>
          </cell>
          <cell r="I81">
            <v>687.5</v>
          </cell>
          <cell r="J81" t="str">
            <v>Elation</v>
          </cell>
          <cell r="K81" t="str">
            <v>No Exotic Greens -- send Only Extra Local Greens</v>
          </cell>
          <cell r="M81" t="str">
            <v>No Exotic Greens -- send Only Extra Local Greens</v>
          </cell>
          <cell r="N81" t="str">
            <v>2  del of this cycle   -  1-cycles pmnt   Pending - Collect 2750</v>
          </cell>
          <cell r="O81" t="e">
            <v>#N/A</v>
          </cell>
          <cell r="P81" t="e">
            <v>#N/A</v>
          </cell>
          <cell r="Q81" t="e">
            <v>#N/A</v>
          </cell>
          <cell r="R81" t="e">
            <v>#N/A</v>
          </cell>
          <cell r="S81" t="str">
            <v>Pur n P Car ( 14 Inch ) 32     2 Gypsola + FF Sachet</v>
          </cell>
          <cell r="T81" t="str">
            <v>P Asiatic ( 14 Inch ) 3 P n W Glad ( 14 Inch ) 16   Extra Grass -- No Limonium or Gypsola</v>
          </cell>
        </row>
        <row r="82">
          <cell r="A82">
            <v>2923</v>
          </cell>
          <cell r="B82" t="str">
            <v>Shwetank Singh</v>
          </cell>
          <cell r="C82">
            <v>9983899832</v>
          </cell>
          <cell r="D82" t="str">
            <v>FW-919B, M3M Golf Estate</v>
          </cell>
          <cell r="E82" t="str">
            <v>Badshahpur</v>
          </cell>
          <cell r="F82" t="str">
            <v>Thursday</v>
          </cell>
          <cell r="G82" t="str">
            <v>By 10:30 AM</v>
          </cell>
          <cell r="H82">
            <v>20000</v>
          </cell>
          <cell r="I82">
            <v>5000</v>
          </cell>
          <cell r="J82" t="str">
            <v>Corporate</v>
          </cell>
          <cell r="K82" t="str">
            <v>21st -- ( 3 Car + 3 Spray Car + + 1 B daisy ) + ( 2 Orchid + 2 B daisy + 3 Spray Car ) + ( 1 BOP + 1 Orchid) + ( 2 Orchid + 3 Car + 2 B Daisy ) + ( 3 Dahelia + 2 Orchid + 2 B Daisy ) + ( 2 Oriental + 3 Dahelia + 1 Heliconia + 1 BOP + 3 B Daisy ) + ( 3 Oriental + 4 Alstroemeria + 5 Spray Car + 4 B Daisy ) + ( 2 BOP + 2 B Daisy + 3 Spray Car ) + ( 2 BOP + 2 Oriental + 3 Dahelia + 3 B Daisy ) + ( 1 Heliconia + 5 Car + 3 B Daisy ) Today hold (10/04) This week Whiet-Green-Orange and Yellow Color (23/04)</v>
          </cell>
          <cell r="N82" t="str">
            <v>4  del of this cycle   -  1-cycles pmnt   Pending - Collect 20000</v>
          </cell>
          <cell r="T82" t="str">
            <v xml:space="preserve">P Asiatic + W Oriental + P n W  Car  + P n W Spray Daisy + W Eustoma +  P n  W Anthurium + B Orchid 4 + 3 + 25 + 10 + 5 + 4 + 10     </v>
          </cell>
        </row>
        <row r="83">
          <cell r="A83">
            <v>1467</v>
          </cell>
          <cell r="B83" t="str">
            <v>Priyanka Chaturvedi</v>
          </cell>
          <cell r="C83">
            <v>7838930274</v>
          </cell>
          <cell r="D83" t="str">
            <v xml:space="preserve">Flat No. A-303, The Peaceful Homes, Sec 70-A
</v>
          </cell>
          <cell r="E83" t="str">
            <v>Badshahpur</v>
          </cell>
          <cell r="F83" t="str">
            <v>Friday</v>
          </cell>
          <cell r="G83" t="str">
            <v>9 AM - 12 PM</v>
          </cell>
          <cell r="H83">
            <v>1600</v>
          </cell>
          <cell r="I83">
            <v>200</v>
          </cell>
          <cell r="J83" t="str">
            <v>Bloom</v>
          </cell>
          <cell r="K83"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3" t="str">
            <v>ROSE n SPRAY DAISY</v>
          </cell>
          <cell r="N83" t="str">
            <v>3  del of this cycle   -  1-cycles pmnt   Pending - Collect 1600</v>
          </cell>
          <cell r="O83" t="str">
            <v>B Daisy ( 12 inch ) 7     FF sachet + Grass</v>
          </cell>
          <cell r="P83" t="str">
            <v>R n W Car( 14 Inch)  7     FF Sachet + Grass</v>
          </cell>
          <cell r="Q83" t="str">
            <v>Sunflower ( 12 Inch ) 2     FF Sachet + Grass</v>
          </cell>
          <cell r="R83" t="str">
            <v>Mix Alstroemeria ( 12 Inch ) 7     FF Sachet + Grass</v>
          </cell>
          <cell r="S83" t="str">
            <v>B Daisy ( 12 Inch ) 7     Grass</v>
          </cell>
          <cell r="T83" t="str">
            <v>Sunflower ( 12 Inch ) 2     FF Sachet + Grass</v>
          </cell>
        </row>
        <row r="84">
          <cell r="A84">
            <v>3277</v>
          </cell>
          <cell r="B84" t="str">
            <v>M2K</v>
          </cell>
          <cell r="C84">
            <v>8595180468</v>
          </cell>
          <cell r="D84" t="str">
            <v>M2k</v>
          </cell>
          <cell r="E84" t="str">
            <v>Nirvana Country</v>
          </cell>
          <cell r="F84" t="str">
            <v>Tuesday</v>
          </cell>
          <cell r="G84" t="str">
            <v>By 8 AM</v>
          </cell>
          <cell r="H84">
            <v>10500</v>
          </cell>
          <cell r="I84">
            <v>350</v>
          </cell>
          <cell r="J84" t="str">
            <v>Corporate</v>
          </cell>
          <cell r="N84" t="str">
            <v>2  del of this cycle   -  0-cycles pmnt   In Process - Collect 0</v>
          </cell>
          <cell r="O84" t="str">
            <v xml:space="preserve">Pooja Flowers  1     </v>
          </cell>
          <cell r="P84" t="str">
            <v xml:space="preserve">Pooja Flowers  1     </v>
          </cell>
          <cell r="Q84" t="str">
            <v xml:space="preserve">Pooja Flower 1      </v>
          </cell>
          <cell r="R84" t="str">
            <v xml:space="preserve">Pooja Flowers  1     </v>
          </cell>
          <cell r="S84" t="str">
            <v xml:space="preserve">Pooja Flowers  1     </v>
          </cell>
          <cell r="T84" t="str">
            <v xml:space="preserve">Pooja Flowers  1     </v>
          </cell>
        </row>
        <row r="85">
          <cell r="A85">
            <v>2368</v>
          </cell>
          <cell r="B85" t="str">
            <v>Jasbir Singh</v>
          </cell>
          <cell r="C85">
            <v>9997092561</v>
          </cell>
          <cell r="D85" t="str">
            <v>Amber, 4th Floor, Universal Trade Centre</v>
          </cell>
          <cell r="E85" t="str">
            <v>Sohna Road 1</v>
          </cell>
          <cell r="F85" t="str">
            <v>Sunday</v>
          </cell>
          <cell r="G85" t="str">
            <v>By 7 PM</v>
          </cell>
          <cell r="H85">
            <v>12800</v>
          </cell>
          <cell r="I85">
            <v>3200</v>
          </cell>
          <cell r="J85" t="str">
            <v>Corporate</v>
          </cell>
          <cell r="N85" t="str">
            <v>4  del of this cycle   -  0-cycles pmnt   In Process - Collect 0</v>
          </cell>
          <cell r="O85" t="str">
            <v xml:space="preserve">Arrangement 1     </v>
          </cell>
          <cell r="P85" t="str">
            <v xml:space="preserve">Arrangement  1     </v>
          </cell>
          <cell r="Q85" t="str">
            <v xml:space="preserve">Arrangement 1     </v>
          </cell>
          <cell r="R85" t="str">
            <v xml:space="preserve">Arrangement 1     </v>
          </cell>
          <cell r="S85" t="str">
            <v xml:space="preserve">Arrangement 1     </v>
          </cell>
          <cell r="T85" t="str">
            <v xml:space="preserve">Arrangement 1     </v>
          </cell>
        </row>
        <row r="86">
          <cell r="B86" t="str">
            <v>Megha</v>
          </cell>
          <cell r="C86">
            <v>9899820599</v>
          </cell>
          <cell r="D86" t="str">
            <v xml:space="preserve">EMAAR PALM HILLS  Tower #82 House #1001
10th floor Sector 77 </v>
          </cell>
          <cell r="G86" t="str">
            <v>Before 1 Pm</v>
          </cell>
          <cell r="H86">
            <v>750</v>
          </cell>
          <cell r="J86" t="str">
            <v>Bouquet</v>
          </cell>
          <cell r="K86" t="str">
            <v>Send 4 yellow Asuatic lily and 2 white spray daisy to Megha — +91 98998 20599 today before 1pm</v>
          </cell>
          <cell r="T86" t="str">
            <v xml:space="preserve">Y Asiatic+  W Spray Daisy 4+2 Grass+arica    </v>
          </cell>
        </row>
        <row r="87">
          <cell r="B87" t="str">
            <v>Anubhi</v>
          </cell>
          <cell r="C87">
            <v>8800423311</v>
          </cell>
          <cell r="D87" t="str">
            <v>T-10/6C, Central Park Resort</v>
          </cell>
          <cell r="H87">
            <v>1160</v>
          </cell>
          <cell r="J87" t="str">
            <v>Bouquet</v>
          </cell>
          <cell r="K87" t="str">
            <v>Pls send 7 agapanthus with 2 gypsola to Anubhi — +91 88004 23311 today for 1160 Rs.</v>
          </cell>
          <cell r="T87" t="str">
            <v xml:space="preserve">agapanthus 7 2 gypsola    </v>
          </cell>
        </row>
        <row r="88">
          <cell r="B88" t="str">
            <v>Jasbir Singh</v>
          </cell>
          <cell r="C88">
            <v>9997092561</v>
          </cell>
          <cell r="D88" t="str">
            <v>514-A, The Camellias</v>
          </cell>
          <cell r="G88" t="str">
            <v>Only Payment</v>
          </cell>
          <cell r="H88" t="str">
            <v>Only Payment</v>
          </cell>
          <cell r="I88" t="str">
            <v>Only Payment</v>
          </cell>
          <cell r="J88" t="str">
            <v>Only Payment</v>
          </cell>
          <cell r="K88" t="str">
            <v>Only Payment</v>
          </cell>
          <cell r="L88" t="str">
            <v>Only Payment</v>
          </cell>
          <cell r="M88" t="str">
            <v>Only Payment</v>
          </cell>
          <cell r="N88" t="str">
            <v>Only Payment</v>
          </cell>
          <cell r="O88" t="str">
            <v>Only Payment</v>
          </cell>
          <cell r="P88" t="str">
            <v>Only Payment</v>
          </cell>
          <cell r="Q88" t="str">
            <v>Only Payment</v>
          </cell>
          <cell r="R88" t="str">
            <v>Only Payment</v>
          </cell>
          <cell r="S88" t="str">
            <v>Only Payment</v>
          </cell>
          <cell r="T88" t="str">
            <v xml:space="preserve">Only Payment Only Payment Only Payment Only Payment Only Payment  </v>
          </cell>
        </row>
        <row r="89">
          <cell r="B89" t="str">
            <v xml:space="preserve">Ashish Sir </v>
          </cell>
          <cell r="C89" t="str">
            <v xml:space="preserve"> 99584 44511</v>
          </cell>
          <cell r="D89" t="str">
            <v>D-802 JMD Garden Sohna Road</v>
          </cell>
          <cell r="G89" t="str">
            <v>Before 5 Pm</v>
          </cell>
          <cell r="H89">
            <v>600</v>
          </cell>
          <cell r="J89" t="str">
            <v>Bouquet</v>
          </cell>
          <cell r="N89" t="str">
            <v>Pls Collect 600</v>
          </cell>
          <cell r="T89" t="str">
            <v xml:space="preserve">Rajni 15     </v>
          </cell>
        </row>
        <row r="90">
          <cell r="A90">
            <v>1978</v>
          </cell>
          <cell r="B90" t="str">
            <v>Anu-- After 6 PM</v>
          </cell>
          <cell r="C90" t="str">
            <v>98103 39602</v>
          </cell>
          <cell r="D90" t="str">
            <v xml:space="preserve">Tower 6, 901 Fresco </v>
          </cell>
          <cell r="E90" t="str">
            <v>Nirvana Country</v>
          </cell>
          <cell r="F90" t="str">
            <v>Thursday</v>
          </cell>
          <cell r="G90" t="str">
            <v>4 Pm to 7 PM</v>
          </cell>
          <cell r="H90">
            <v>4850</v>
          </cell>
          <cell r="I90">
            <v>606.25</v>
          </cell>
          <cell r="J90" t="str">
            <v>Poise</v>
          </cell>
          <cell r="K90"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90" t="str">
            <v>ROSE n RAJNI n HELICONIA n BOP</v>
          </cell>
          <cell r="M90" t="str">
            <v>after 6 pm on 19th (16/04)</v>
          </cell>
          <cell r="N90" t="str">
            <v>5  del of this cycle   -  0-cycles pmnt   Completed - Collect 0</v>
          </cell>
          <cell r="O90" t="str">
            <v>O Asiatic ( 15 inch ) 2 P n Y Spray Daisy ( 15 inch ) 4 P n W Glad ( 14 inch ) 12 Grass</v>
          </cell>
          <cell r="P90" t="str">
            <v>W Asiatic ( 15 inch ) 2 Mix Eustoma ( 12 Inch ) 4 Rajni ( 14 Inch ) 12 FF Sachet + Grass</v>
          </cell>
          <cell r="Q90" t="str">
            <v>W Asiatic ( 14 Inch ) 2 Mix Alstroemeria ( 12 Inch ) 10 P n W Glad ( 14 Inch ) 10 FF Sachet + Grass</v>
          </cell>
          <cell r="R90" t="str">
            <v>O Asiatic ( 14 Inch ) 2 P n W Spray Daisy  14 Inch ) 4 Rajni ( 14 Inch ) 12 Grass</v>
          </cell>
          <cell r="S90" t="str">
            <v>P Asiatic ( 14 Inch ) 2 B Daisy ( 12 Inch ) 6 Pur n P Car ( 14 Inch ) 10 Grass</v>
          </cell>
          <cell r="T90" t="str">
            <v>Y Asiatic ( 14 Inch ) 2 B Daisy ( 12 Inch ) 6 P n W Glad ( 14 Inch ) 12 Grass</v>
          </cell>
        </row>
        <row r="91">
          <cell r="B91" t="str">
            <v>Someone is coming to pick this bouquet from store
collect 1800</v>
          </cell>
          <cell r="C91" t="str">
            <v>Someone is coming to pick this bouquet from store
collect 1801</v>
          </cell>
          <cell r="D91" t="str">
            <v>Someone is coming to pick this bouquet from store
collect 1802</v>
          </cell>
          <cell r="E91" t="str">
            <v>Someone is coming to pick this bouquet from store
collect 1803</v>
          </cell>
          <cell r="F91" t="str">
            <v>Someone is coming to pick this bouquet from store
collect 1804</v>
          </cell>
          <cell r="G91" t="str">
            <v>Someone is coming to pick this bouquet from store
collect 1805</v>
          </cell>
          <cell r="H91">
            <v>1800</v>
          </cell>
          <cell r="J91" t="str">
            <v>Bouquet</v>
          </cell>
          <cell r="T91" t="str">
            <v xml:space="preserve">Mix Flr Bouquet      </v>
          </cell>
        </row>
        <row r="92">
          <cell r="B92" t="str">
            <v>99000 94415 will pick by 13 0’</v>
          </cell>
          <cell r="C92" t="str">
            <v>99000 94415 will pick by 13 0’</v>
          </cell>
          <cell r="D92" t="str">
            <v>99000 94415 will pick by 13 0’</v>
          </cell>
          <cell r="E92" t="str">
            <v>99000 94415 will pick by 13 0’</v>
          </cell>
          <cell r="F92" t="str">
            <v>99000 94415 will pick by 13 0’</v>
          </cell>
          <cell r="G92" t="str">
            <v>99000 94415 will pick by 13 0’</v>
          </cell>
          <cell r="H92">
            <v>1000</v>
          </cell>
          <cell r="J92" t="str">
            <v>Bouquet</v>
          </cell>
          <cell r="T92" t="str">
            <v xml:space="preserve">4 semi bloom pink Asiatic lily and 10 pink n white carnations       </v>
          </cell>
        </row>
        <row r="93">
          <cell r="B93" t="str">
            <v>Rishabh gupta</v>
          </cell>
          <cell r="C93" t="str">
            <v> 70309 81469‬</v>
          </cell>
          <cell r="D93" t="str">
            <v>House number 38 , Second Floor 
F Block South  City 2
Sector 50</v>
          </cell>
          <cell r="E93" t="str">
            <v xml:space="preserve"> Before 8pm</v>
          </cell>
          <cell r="F93">
            <v>600</v>
          </cell>
          <cell r="G93" t="str">
            <v>Before 8 Pm</v>
          </cell>
          <cell r="H93">
            <v>600</v>
          </cell>
          <cell r="J93" t="str">
            <v>Bouquet</v>
          </cell>
          <cell r="K93" t="str">
            <v>Rishabh gupta
‪+91 70309 81469‬
House number 38 , Second Floor 
F Block South  City 2
Sector 50
Hi Rishabh,
Thank you for the most intellectually thoughtful gift.
I was telling Swarnim I didn’t even guess when you first asked me during lunch about my thought on the idea of this book and what I like to read, haha.
We read the preface and were sure that we both are going to love this book. Can’t wait to dive in, it’s definitely going on plane with me.
You keep on telling me to invest but I guess is the best investment I am going to do, that will give me the highest of returns. Thanks again.
Hi Priyanka,
Congratulations to you on the new phase of your life. Rishabh tells me how much you love flowers, so here’s sending you some beautiful smelling Tuberoses.
Love,
Divya and Swarnim
Pls send today 15 Rajnigandha in same wrapping from divya swarnim before 8pm</v>
          </cell>
          <cell r="T93" t="str">
            <v xml:space="preserve">Rajni  15 Tissue Wrap + Msg     </v>
          </cell>
        </row>
      </sheetData>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s>
    <sheetDataSet>
      <sheetData sheetId="0"/>
      <sheetData sheetId="1"/>
      <sheetData sheetId="2"/>
      <sheetData sheetId="3"/>
      <sheetData sheetId="4">
        <row r="2">
          <cell r="A2">
            <v>2118</v>
          </cell>
          <cell r="B2" t="str">
            <v>Shantanu</v>
          </cell>
          <cell r="C2">
            <v>8800631116</v>
          </cell>
          <cell r="D2" t="str">
            <v>172, 1st Floor, Espace</v>
          </cell>
          <cell r="E2" t="str">
            <v>Nirvana Country</v>
          </cell>
          <cell r="F2" t="str">
            <v>Saturday</v>
          </cell>
          <cell r="G2" t="str">
            <v>9 AM - 12 PM</v>
          </cell>
          <cell r="H2">
            <v>6880</v>
          </cell>
          <cell r="I2">
            <v>1720</v>
          </cell>
          <cell r="J2" t="str">
            <v>Customized</v>
          </cell>
          <cell r="K2" t="str">
            <v>2 Asiatic + 1 Oriental + 1 Sunflower + 10 Guldawari + 10 Roses + 8 Spray Daisy + 10 Stems from Seasonal 0r Nargis ( 07/02) Yesterday Returned (23/02) 2 Asiatic + 1 Oriental + 1 Sunflower + 10 Guldawari + 10 car + 6 Spray Daisy + Seasonal Flower of Rs . 250 (04/03) Today returned-send on 3rd (28/06) No Flowers till 31st Oct (22/10) Today Returned (16/11)</v>
          </cell>
          <cell r="N2" t="str">
            <v>2  del of this cycle   -  1-cycles pmnt   Pending - Collect 6880</v>
          </cell>
          <cell r="O2" t="e">
            <v>#N/A</v>
          </cell>
          <cell r="P2" t="e">
            <v>#N/A</v>
          </cell>
          <cell r="Q2" t="e">
            <v>#N/A</v>
          </cell>
          <cell r="R2" t="e">
            <v>#N/A</v>
          </cell>
          <cell r="S2" t="e">
            <v>#N/A</v>
          </cell>
          <cell r="T2" t="str">
            <v>O Asiatic + W Oriental + Sunflowers + B Daisy + R n W Car + G n Y Spray Daisy + Mix Alstroemeria 2 + 1 + 1 + 10 + 10 + 6 + 5     5 Areca Palm + 2 Gypsola + 2 Limonium</v>
          </cell>
        </row>
        <row r="3">
          <cell r="A3">
            <v>3358</v>
          </cell>
          <cell r="B3" t="str">
            <v>Prasenjit</v>
          </cell>
          <cell r="C3">
            <v>9990903321</v>
          </cell>
          <cell r="D3" t="str">
            <v>T-10/1001, Vipul Belmonte</v>
          </cell>
          <cell r="E3" t="str">
            <v>DLF Phase 5</v>
          </cell>
          <cell r="F3" t="str">
            <v>Sunday</v>
          </cell>
          <cell r="G3" t="str">
            <v>9 AM - 12 PM</v>
          </cell>
          <cell r="H3">
            <v>1950</v>
          </cell>
          <cell r="I3">
            <v>487.5</v>
          </cell>
          <cell r="J3" t="str">
            <v>Joy</v>
          </cell>
          <cell r="K3" t="str">
            <v xml:space="preserve">Send Long stem </v>
          </cell>
          <cell r="M3" t="str">
            <v>Long Stem// Seasonal Next (24/05)</v>
          </cell>
          <cell r="N3" t="str">
            <v>1  del of this cycle   -  0-cycles pmnt   Completed - Collect 0</v>
          </cell>
          <cell r="O3" t="str">
            <v>P n W Glad ( 14 Inch ) 22     Grass</v>
          </cell>
          <cell r="P3" t="str">
            <v>Mix Alstroemeria ( 12 Inch ) 22     FF Sachet + Grass</v>
          </cell>
          <cell r="Q3" t="str">
            <v>R n W Car )( 14 inch ) 22     FF Sachet + Grass</v>
          </cell>
          <cell r="R3" t="str">
            <v>B Daisy ( 12 Inch ) 22     Grass</v>
          </cell>
          <cell r="S3" t="str">
            <v>Y Asiatic ( 14 Inch ) 4     Grass</v>
          </cell>
          <cell r="T3" t="str">
            <v>Rajni ( 14 Inch ) 22     Grass</v>
          </cell>
        </row>
        <row r="4">
          <cell r="A4" t="str">
            <v>B56366</v>
          </cell>
          <cell r="B4" t="str">
            <v>Mayank Parmar</v>
          </cell>
          <cell r="C4">
            <v>9555842911</v>
          </cell>
          <cell r="D4" t="str">
            <v>A-194, #rd Floor, Trehan Luxury Floors, Anantraj Estate, Sec 63 A</v>
          </cell>
          <cell r="E4" t="str">
            <v>Ghata</v>
          </cell>
          <cell r="F4" t="str">
            <v>Saturday</v>
          </cell>
          <cell r="G4" t="str">
            <v>By 10 AM</v>
          </cell>
          <cell r="H4">
            <v>950</v>
          </cell>
          <cell r="I4">
            <v>950</v>
          </cell>
          <cell r="J4" t="str">
            <v>Bouquet</v>
          </cell>
          <cell r="K4" t="str">
            <v>5 Sunflower in Black Korean Sheet</v>
          </cell>
          <cell r="N4" t="str">
            <v>1  del of this cycle   -  0-cycles pmnt   Completed - Collect 0</v>
          </cell>
          <cell r="O4" t="e">
            <v>#N/A</v>
          </cell>
          <cell r="P4" t="e">
            <v>#N/A</v>
          </cell>
          <cell r="Q4" t="e">
            <v>#N/A</v>
          </cell>
          <cell r="R4" t="e">
            <v>#N/A</v>
          </cell>
          <cell r="S4" t="e">
            <v>#N/A</v>
          </cell>
          <cell r="T4" t="str">
            <v xml:space="preserve">Sunflower  5 Black Korean Sheet    </v>
          </cell>
        </row>
        <row r="5">
          <cell r="A5">
            <v>2855</v>
          </cell>
          <cell r="B5" t="str">
            <v>Mini Deerwoood</v>
          </cell>
          <cell r="C5">
            <v>9818447542</v>
          </cell>
          <cell r="D5" t="str">
            <v xml:space="preserve"> 332, 4th Floor, Espace</v>
          </cell>
          <cell r="E5" t="str">
            <v>Nirvana Country</v>
          </cell>
          <cell r="F5" t="str">
            <v>Sunday</v>
          </cell>
          <cell r="G5" t="str">
            <v>9 AM - 12 PM</v>
          </cell>
          <cell r="H5">
            <v>1950</v>
          </cell>
          <cell r="I5">
            <v>487.5</v>
          </cell>
          <cell r="J5" t="str">
            <v>Joy</v>
          </cell>
          <cell r="N5" t="str">
            <v>3  del of this cycle   -  1-cycles pmnt   Pending - Collect 1950</v>
          </cell>
          <cell r="O5" t="str">
            <v>P n W Spray Daisy ( 15 Inch ) 4 Mix Glad  ( 12 Inch ) 11   FF Sachet + garss</v>
          </cell>
          <cell r="P5" t="e">
            <v>#N/A</v>
          </cell>
          <cell r="Q5" t="e">
            <v>#N/A</v>
          </cell>
          <cell r="R5" t="str">
            <v>Pur Eustoma ( 12 Inch ) 2 B Daisy ( 12 Inch ) 11   FF Sachet + Grass</v>
          </cell>
          <cell r="S5" t="str">
            <v>Sunflower ( 12 Inch ) 3 Pur n P Car ( 14 Inch ) 11   FF Sachet + Grass</v>
          </cell>
          <cell r="T5" t="str">
            <v>P Asiatic ( 14 Inch ) 2 Rajni ( 14 Inch ) 11   Grass</v>
          </cell>
        </row>
        <row r="6">
          <cell r="A6">
            <v>2316</v>
          </cell>
          <cell r="B6" t="str">
            <v>Gitanjali Kamra</v>
          </cell>
          <cell r="C6">
            <v>9811842976</v>
          </cell>
          <cell r="D6" t="str">
            <v>121, Espace, Nirvana Country</v>
          </cell>
          <cell r="E6" t="str">
            <v>Nirvana Country</v>
          </cell>
          <cell r="F6" t="str">
            <v>Sunday</v>
          </cell>
          <cell r="G6" t="str">
            <v>9 AM - 12 PM</v>
          </cell>
          <cell r="H6">
            <v>4750</v>
          </cell>
          <cell r="I6">
            <v>1187.5</v>
          </cell>
          <cell r="J6" t="str">
            <v>Enchantment</v>
          </cell>
          <cell r="K6" t="str">
            <v>Now Elation (21/09) Skip 1 week (17/12)</v>
          </cell>
          <cell r="N6" t="str">
            <v>1  del of this cycle   -  0-cycles pmnt   Completed - Collect 0</v>
          </cell>
          <cell r="O6" t="str">
            <v>Pur n P Eustoma ( 12 Inch ) 6 Mix Spray Carnation ( 12 Inch ) 15   3 Gypsola + FF Sachet</v>
          </cell>
          <cell r="P6" t="str">
            <v>Sunflower ( 12 Inch ) 7 Mix Alstroemeria ( 12 Inch ) 30   3 Limonium + Ff Sachet</v>
          </cell>
          <cell r="Q6" t="str">
            <v>O Asiatic ( 14 Inch ) 6 P n W Glad ( 14 Inch ) 30   3 Gypsola</v>
          </cell>
          <cell r="R6" t="str">
            <v>P n Y Spray Daisy ( 14 Inch ) 10 Pur n P Car ( 14 Inch ) 30   3 Limonium</v>
          </cell>
          <cell r="S6" t="str">
            <v>BOP ( 14 Inch ) 6 Rajni ( 14 Inch ) 30   3 Gypsola</v>
          </cell>
          <cell r="T6" t="str">
            <v>P Asiatic ( 14 Inch ) 6 Mix Alstroemeria ( 12 Inch ) 30   3 Areca Palm + 3 Limonium</v>
          </cell>
        </row>
        <row r="7">
          <cell r="A7" t="str">
            <v>G-00064</v>
          </cell>
          <cell r="B7" t="str">
            <v>Mahesh Mishra</v>
          </cell>
          <cell r="C7">
            <v>9039286484</v>
          </cell>
          <cell r="D7" t="str">
            <v>H-21, 2nd Floor, Residency Greens, Sec 46</v>
          </cell>
          <cell r="E7" t="str">
            <v>Sector 46</v>
          </cell>
          <cell r="F7" t="str">
            <v>Sunday</v>
          </cell>
          <cell r="G7" t="str">
            <v>9:30 Am to 2 PM</v>
          </cell>
          <cell r="H7">
            <v>1450</v>
          </cell>
          <cell r="I7">
            <v>362.5</v>
          </cell>
          <cell r="J7" t="str">
            <v>Bliss</v>
          </cell>
          <cell r="K7" t="str">
            <v>From 9310895959</v>
          </cell>
          <cell r="N7" t="str">
            <v>3  del of this cycle   -  0-cycles pmnt   Completed - Collect 0</v>
          </cell>
          <cell r="O7" t="e">
            <v>#N/A</v>
          </cell>
          <cell r="P7" t="e">
            <v>#N/A</v>
          </cell>
          <cell r="Q7" t="e">
            <v>#N/A</v>
          </cell>
          <cell r="R7" t="str">
            <v>Pur n P Car ( 14 Inch ) 16     FF Sachet + Grass</v>
          </cell>
          <cell r="S7" t="str">
            <v>Sunflower ( 12 Inch ) 4     FF Sachet + Grass</v>
          </cell>
          <cell r="T7" t="str">
            <v>Rajni ( 14 Inch ) 16     Grass</v>
          </cell>
        </row>
        <row r="8">
          <cell r="A8">
            <v>2481</v>
          </cell>
          <cell r="B8" t="str">
            <v>Puneet Mahajan</v>
          </cell>
          <cell r="C8">
            <v>9810110847</v>
          </cell>
          <cell r="D8" t="str">
            <v>D-19, 4th Floor, Siuth City -2, Opp Arcadia Mall</v>
          </cell>
          <cell r="E8" t="str">
            <v>Nirvana Country</v>
          </cell>
          <cell r="F8" t="str">
            <v>Sunday</v>
          </cell>
          <cell r="G8" t="str">
            <v>9 AM - 12 PM</v>
          </cell>
          <cell r="H8">
            <v>2300</v>
          </cell>
          <cell r="I8">
            <v>287.5</v>
          </cell>
          <cell r="J8" t="str">
            <v>Felicity</v>
          </cell>
          <cell r="K8" t="str">
            <v>Send Sponge// Day Changed to Sunday (16/04) Paytm From Sri Sai makers (20/04) Change to felicity (17/05)</v>
          </cell>
          <cell r="N8" t="str">
            <v>7  del of this cycle   -  0-cycles pmnt   Completed - Collect 0</v>
          </cell>
          <cell r="O8" t="str">
            <v>P n W Glad ( 14 Inch ) 11     Grass</v>
          </cell>
          <cell r="P8" t="str">
            <v>Pur Eustoma ( 12 Inch ) 4     FF Sachet + Grass</v>
          </cell>
          <cell r="Q8" t="str">
            <v>Rajni ( 14 Inch ) 11     Grass</v>
          </cell>
          <cell r="R8" t="str">
            <v>B Daisy ( 12 Inch ) 11     Grass</v>
          </cell>
          <cell r="S8" t="str">
            <v>P n W Glad ( 14 Inch ) 11     Grass</v>
          </cell>
          <cell r="T8" t="str">
            <v>P n W Car ( 14 Inch ) 11     FF Sachet + Grass</v>
          </cell>
        </row>
        <row r="9">
          <cell r="A9">
            <v>3347</v>
          </cell>
          <cell r="B9" t="str">
            <v>Damini Dasgupta</v>
          </cell>
          <cell r="C9">
            <v>9874672103</v>
          </cell>
          <cell r="D9" t="str">
            <v>Flat No. 102, @nd Floor, Satguru Appartments, Sec 52, Wazirabad</v>
          </cell>
          <cell r="E9" t="str">
            <v>Sector 56</v>
          </cell>
          <cell r="F9" t="str">
            <v>Sunday</v>
          </cell>
          <cell r="G9" t="str">
            <v>9 AM - 12 PM</v>
          </cell>
          <cell r="H9">
            <v>1950</v>
          </cell>
          <cell r="I9">
            <v>487.5</v>
          </cell>
          <cell r="J9" t="str">
            <v>Joy</v>
          </cell>
          <cell r="K9" t="str">
            <v>Skip 1 week (09/05) Returned today (17/05) Returned today and skip 1 more week (07/06)</v>
          </cell>
          <cell r="N9" t="str">
            <v>2  del of this cycle   -  0-cycles pmnt   Completed - Collect 0</v>
          </cell>
          <cell r="O9" t="str">
            <v>P n W Glad ( 14 Inch ) 22     Grass</v>
          </cell>
          <cell r="P9" t="str">
            <v>Mix Alstroemeria ( 12 Inch ) 32     FF Sachet + Grass</v>
          </cell>
          <cell r="Q9" t="e">
            <v>#N/A</v>
          </cell>
          <cell r="R9" t="str">
            <v>B Daisy ( 12 Inch ) 22     FF Sachet + Grass</v>
          </cell>
          <cell r="S9" t="str">
            <v>Sunflower ( 12 Inch ) 5     FF Sachet + Grass</v>
          </cell>
          <cell r="T9" t="str">
            <v>P Asiatic ( 14 Inch ) 4     Grass</v>
          </cell>
        </row>
        <row r="10">
          <cell r="A10">
            <v>401</v>
          </cell>
          <cell r="B10" t="str">
            <v>Nameesha Verma -- Before 12PM</v>
          </cell>
          <cell r="C10">
            <v>9899240454</v>
          </cell>
          <cell r="D10" t="str">
            <v>D-4/102, Parsvanath Exotica</v>
          </cell>
          <cell r="E10" t="str">
            <v>DLF Phase 5</v>
          </cell>
          <cell r="F10" t="str">
            <v>Thursday</v>
          </cell>
          <cell r="G10" t="str">
            <v>Before 12 PM</v>
          </cell>
          <cell r="H10">
            <v>1600</v>
          </cell>
          <cell r="I10">
            <v>200</v>
          </cell>
          <cell r="J10" t="str">
            <v>Bloom</v>
          </cell>
          <cell r="K10"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0" t="str">
            <v>3 Car extra next (20/03)</v>
          </cell>
          <cell r="N10" t="str">
            <v>3  del of this cycle   -  0-cycles pmnt   Completed - Collect 0</v>
          </cell>
          <cell r="O10" t="str">
            <v>P n W Glad ( 14 Inch ) 7     Grass</v>
          </cell>
          <cell r="P10" t="str">
            <v>Pur n P Car ( 14 Inch ) 7     FF Sachet + Grass</v>
          </cell>
          <cell r="Q10" t="e">
            <v>#N/A</v>
          </cell>
          <cell r="R10" t="str">
            <v>Rajni ( 14 Inch ) 7     Grass</v>
          </cell>
          <cell r="S10" t="str">
            <v>P n W Glad ( 14 Inch ) 7     Grass</v>
          </cell>
          <cell r="T10" t="str">
            <v>B Daisy ( 12 Inch ) 7     Grass</v>
          </cell>
        </row>
        <row r="11">
          <cell r="A11">
            <v>237</v>
          </cell>
          <cell r="B11" t="str">
            <v>Mayom Hospital</v>
          </cell>
          <cell r="C11">
            <v>8860079525</v>
          </cell>
          <cell r="D11" t="str">
            <v>Mayom Hospital, D block south city 1</v>
          </cell>
          <cell r="E11" t="str">
            <v>South City 1</v>
          </cell>
          <cell r="F11" t="str">
            <v>Sunday</v>
          </cell>
          <cell r="G11" t="str">
            <v>9 AM - 12 PM</v>
          </cell>
          <cell r="H11">
            <v>3000</v>
          </cell>
          <cell r="I11">
            <v>375</v>
          </cell>
          <cell r="J11" t="str">
            <v>Corporate</v>
          </cell>
          <cell r="K11" t="str">
            <v>Sending on 20th instaed of 21st,bcoz of Holi(18/03) Send on Monday this week(20/03)</v>
          </cell>
          <cell r="N11" t="str">
            <v>2  del of this cycle   -  0-cycles pmnt   In Process - Collect 0</v>
          </cell>
          <cell r="O11" t="str">
            <v>Pur n P Eustoma ( 12 Inch ) 4     Grass</v>
          </cell>
          <cell r="P11" t="str">
            <v>Mix Alstroemeria ( 12 Inch ) 15     Grass</v>
          </cell>
          <cell r="Q11" t="str">
            <v xml:space="preserve">P Eustoma ( 12 Inch ) 3     </v>
          </cell>
          <cell r="R11" t="str">
            <v xml:space="preserve">P Eustoma ( 12 Inch ) 3     </v>
          </cell>
          <cell r="S11" t="str">
            <v>Mix Spray Daisy 5     Grass</v>
          </cell>
          <cell r="T11" t="str">
            <v>Rajni ( 14 Inch ) 15     Grass</v>
          </cell>
        </row>
        <row r="12">
          <cell r="A12">
            <v>2192</v>
          </cell>
          <cell r="B12" t="str">
            <v>Prabhdeep Kaur</v>
          </cell>
          <cell r="C12">
            <v>7456879082</v>
          </cell>
          <cell r="D12" t="str">
            <v>C-173, 2nd Floor,South City 2</v>
          </cell>
          <cell r="E12" t="str">
            <v>Nirvana Country</v>
          </cell>
          <cell r="F12" t="str">
            <v>Sunday</v>
          </cell>
          <cell r="G12" t="str">
            <v>9 AM - 12 PM</v>
          </cell>
          <cell r="H12">
            <v>1450</v>
          </cell>
          <cell r="I12">
            <v>362.5</v>
          </cell>
          <cell r="J12" t="str">
            <v>Bliss</v>
          </cell>
          <cell r="K12"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12" t="str">
            <v>4  del of this cycle   -  0-cycles pmnt   Completed - Collect 0</v>
          </cell>
          <cell r="O12" t="str">
            <v>P n W Spray Daisy ( 15 Inch ) 5     FF Sachet + Grass</v>
          </cell>
          <cell r="P12" t="str">
            <v>P n W Glad ( 14 Inch ) 16     Grass</v>
          </cell>
          <cell r="Q12" t="str">
            <v>Pur n P Car ( 14 Inch ) 16     FF Sachet + Grass</v>
          </cell>
          <cell r="R12" t="str">
            <v>P Eustoma ( 12 Inch ) 3     FF Sachet + Grass</v>
          </cell>
          <cell r="S12" t="str">
            <v>Sunflower ( 12 Inch ) 4     FF Sachet + Grass</v>
          </cell>
          <cell r="T12" t="str">
            <v>Rajni ( 14 Inch ) 16     Grass</v>
          </cell>
        </row>
        <row r="13">
          <cell r="B13" t="str">
            <v>90244 56014‬</v>
          </cell>
          <cell r="C13" t="str">
            <v>90244 56014‬</v>
          </cell>
          <cell r="D13" t="str">
            <v>Muffin Villa, Block C, Sushant Lok Phase I, Sector 43, Gurugram, Haryana 122009</v>
          </cell>
          <cell r="H13">
            <v>900</v>
          </cell>
          <cell r="J13" t="str">
            <v>Bouquet</v>
          </cell>
          <cell r="K13" t="str">
            <v>From Pratik Advance Payment today 
15 blue daisies in full tissue wrap 
To
Muffin Villa
https://maps.google.com/?q=28.453630,77.082062
‪+91 90244 56014‬
Message 
Akshat, Saachi and Muffin, 
A huge congratulations on the little one coming home for the first time! The nest now feels complete. We are overjoyed for all of you. Here is to sleepless nights, tiny socks, and all the wonderful chaos ahead. Oindrila and I are cheering you on and can't wait to come meet her soon. 
Lots of love from the both of us!</v>
          </cell>
          <cell r="T13" t="str">
            <v xml:space="preserve">blue daisies  15 Full Tissue Wrap  Massage   </v>
          </cell>
        </row>
        <row r="14">
          <cell r="A14">
            <v>2542</v>
          </cell>
          <cell r="B14" t="str">
            <v>Ankita Jain</v>
          </cell>
          <cell r="C14">
            <v>9899133443</v>
          </cell>
          <cell r="D14" t="str">
            <v>B-778, 2nd Floor, Sushant Lok</v>
          </cell>
          <cell r="H14" t="str">
            <v>Replacement</v>
          </cell>
          <cell r="I14" t="str">
            <v>Replacement</v>
          </cell>
          <cell r="J14" t="str">
            <v>Replacement</v>
          </cell>
          <cell r="K14" t="str">
            <v>Replacement</v>
          </cell>
          <cell r="L14" t="str">
            <v>Replacement</v>
          </cell>
          <cell r="M14" t="str">
            <v>Replacement</v>
          </cell>
          <cell r="N14" t="str">
            <v>Replacement</v>
          </cell>
          <cell r="T14" t="str">
            <v xml:space="preserve">O Asiatic 3     </v>
          </cell>
        </row>
        <row r="15">
          <cell r="A15">
            <v>2639</v>
          </cell>
          <cell r="B15" t="str">
            <v>Bhanupriya Sharma</v>
          </cell>
          <cell r="C15">
            <v>9799191916</v>
          </cell>
          <cell r="D15" t="str">
            <v>37, Abundance Appartment, 4th Floor, D Block, Indira Colony-2, Sec 52 , Behind Arihant Hospital</v>
          </cell>
          <cell r="E15" t="str">
            <v>Artemis</v>
          </cell>
          <cell r="F15" t="str">
            <v>Sunday</v>
          </cell>
          <cell r="G15" t="str">
            <v>9 AM - 12 PM</v>
          </cell>
          <cell r="H15">
            <v>1450</v>
          </cell>
          <cell r="I15">
            <v>487.5</v>
          </cell>
          <cell r="J15" t="str">
            <v>Bliss</v>
          </cell>
          <cell r="K15" t="str">
            <v>Skip 1 week (16/05) today returned (06/07) Change day to delight (02/11) Paytm from Rajeev Bhambani (05/11) Upgrade to Bliss (24/01) Paytm From Aluma Care (25/03) No Lily (16/05)</v>
          </cell>
          <cell r="L15" t="str">
            <v>Lily</v>
          </cell>
          <cell r="M15" t="str">
            <v>One kInd in Bliss</v>
          </cell>
          <cell r="N15" t="str">
            <v>4  del of this cycle   -  0-cycles pmnt   Completed - Collect 0</v>
          </cell>
          <cell r="O15" t="str">
            <v>Mix Spray Daisy 3 R n W Car ( 14 Inch ) 7   Grass</v>
          </cell>
          <cell r="P15" t="str">
            <v>Mix Alstroemeria ( 12 Inch ) 16     FF Sachet + Grass</v>
          </cell>
          <cell r="Q15" t="str">
            <v>Pur n P Car ( 14 Inch ) 16     FF Sachet + Grass</v>
          </cell>
          <cell r="R15" t="str">
            <v>P n W Glad ( 14 Inch ) 16     Grass</v>
          </cell>
          <cell r="S15" t="str">
            <v>Sunflower ( 12 Inch ) 4     FF Sachet + Grass</v>
          </cell>
          <cell r="T15" t="str">
            <v>Rajni ( 14 Inch ) 16     Grass</v>
          </cell>
        </row>
        <row r="16">
          <cell r="A16">
            <v>3243</v>
          </cell>
          <cell r="B16" t="str">
            <v>Muskan</v>
          </cell>
          <cell r="C16">
            <v>9877561166</v>
          </cell>
          <cell r="D16" t="str">
            <v>Floor - 6, Flat 601, Milan Appartment, CGHS</v>
          </cell>
          <cell r="E16" t="str">
            <v>Artemis</v>
          </cell>
          <cell r="F16" t="str">
            <v>Sunday</v>
          </cell>
          <cell r="G16" t="str">
            <v>10 AM to 2:30 PM</v>
          </cell>
          <cell r="H16">
            <v>1450</v>
          </cell>
          <cell r="I16">
            <v>362.5</v>
          </cell>
          <cell r="J16" t="str">
            <v>Bliss</v>
          </cell>
          <cell r="K16" t="str">
            <v>One Kind // Day Sunday (26/03) Mix in Joy (23/04) Change to bliss (21/06)</v>
          </cell>
          <cell r="M16" t="str">
            <v>Mix in Joy (23/04)</v>
          </cell>
          <cell r="N16" t="str">
            <v>3  del of this cycle   -  0-cycles pmnt   Completed - Collect 0</v>
          </cell>
          <cell r="O16" t="str">
            <v>P n W Glad ( 14 Inch ) 22     Grass</v>
          </cell>
          <cell r="P16" t="str">
            <v>P n Y Spray Daisy ( 14 Inch ) 7     FF Sachet + Grass</v>
          </cell>
          <cell r="Q16" t="str">
            <v>Pur n P Car ( 14 Inch ) 22     FF Sachet + Grass</v>
          </cell>
          <cell r="R16" t="str">
            <v>B Daisy ( 12 Inch ) 16     Grass</v>
          </cell>
          <cell r="S16" t="str">
            <v>Sunflower ( 12 Inch ) 4     FF Sachet + Grass</v>
          </cell>
          <cell r="T16" t="str">
            <v>P Asiatic ( 14 Inch ) 3     Grass</v>
          </cell>
        </row>
        <row r="17">
          <cell r="A17">
            <v>234</v>
          </cell>
          <cell r="B17" t="str">
            <v>jaya Chakrabarti-- Before 10 AM</v>
          </cell>
          <cell r="C17">
            <v>9810390185</v>
          </cell>
          <cell r="D17" t="str">
            <v>A 56, FF, south City 2, sonha road, gurgaon</v>
          </cell>
          <cell r="E17" t="str">
            <v>Nirvana Country</v>
          </cell>
          <cell r="F17" t="str">
            <v>Sunday</v>
          </cell>
          <cell r="G17" t="str">
            <v>9 AM - 12 PM</v>
          </cell>
          <cell r="H17">
            <v>1450</v>
          </cell>
          <cell r="I17">
            <v>362.5</v>
          </cell>
          <cell r="J17" t="str">
            <v>Bliss</v>
          </cell>
          <cell r="K17"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17" t="str">
            <v>BOP n HELICONIA</v>
          </cell>
          <cell r="N17" t="str">
            <v>2  del of this cycle   -  0-cycles pmnt   Completed - Collect 0</v>
          </cell>
          <cell r="O17" t="str">
            <v>P n W Glad ( 14 Inch ) 16     Grass</v>
          </cell>
          <cell r="P17" t="str">
            <v>Sunflower ( 12 Inch ) 4     FF Sachet + Grass</v>
          </cell>
          <cell r="Q17" t="str">
            <v>Pur n P Car ( 14 Inch ) 16     FF Sachet + Grass</v>
          </cell>
          <cell r="R17" t="str">
            <v>Pur Eustoma ( 12 Inch ) 3     FF Sachet + Grass</v>
          </cell>
          <cell r="S17" t="str">
            <v>P Asiatic ( 14 Inch ) 3     Grass</v>
          </cell>
          <cell r="T17" t="str">
            <v>Rajni ( 14 Inch ) 16     Grass</v>
          </cell>
        </row>
        <row r="18">
          <cell r="A18">
            <v>13</v>
          </cell>
          <cell r="B18" t="str">
            <v>Mr. Vipin Marwah</v>
          </cell>
          <cell r="C18" t="str">
            <v>9313496645//9350353662</v>
          </cell>
          <cell r="D18" t="str">
            <v>D5/502, Parsvanath Exotica</v>
          </cell>
          <cell r="E18" t="str">
            <v>DLF Phase 5</v>
          </cell>
          <cell r="F18" t="str">
            <v>Sunday</v>
          </cell>
          <cell r="G18" t="str">
            <v>9 AM - 12 PM</v>
          </cell>
          <cell r="H18">
            <v>2750</v>
          </cell>
          <cell r="I18">
            <v>687.5</v>
          </cell>
          <cell r="J18" t="str">
            <v>Elation</v>
          </cell>
          <cell r="K18"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v>
          </cell>
          <cell r="N18" t="str">
            <v>3  del of this cycle   -  1-cycles pmnt   Pending - Collect 2750</v>
          </cell>
          <cell r="O18" t="str">
            <v>W Glad ( 14 Inch ) 32     Grass</v>
          </cell>
          <cell r="P18" t="str">
            <v>O Glad ( 14 Inch ) 32     Grass</v>
          </cell>
          <cell r="Q18" t="str">
            <v>W Glad ( 14 Inch ) 32     Grass</v>
          </cell>
          <cell r="R18" t="str">
            <v>W Glad ( 15 Inch ) 32     Grass</v>
          </cell>
          <cell r="S18" t="str">
            <v>W Glad ( 14 Inch ) 32     Grass</v>
          </cell>
          <cell r="T18" t="str">
            <v>W Glad ( 14 Inch ) 32     Grass</v>
          </cell>
        </row>
        <row r="19">
          <cell r="A19">
            <v>2255</v>
          </cell>
          <cell r="B19" t="str">
            <v>Prerna -- Rosewood</v>
          </cell>
          <cell r="C19">
            <v>9910778929</v>
          </cell>
          <cell r="D19" t="str">
            <v>D-154, Rosewood City, Sector 50</v>
          </cell>
          <cell r="E19" t="str">
            <v>Nirvana Country</v>
          </cell>
          <cell r="F19" t="str">
            <v>Sunday</v>
          </cell>
          <cell r="G19" t="str">
            <v>9:30 Am to 2 PM</v>
          </cell>
          <cell r="H19">
            <v>1450</v>
          </cell>
          <cell r="I19">
            <v>362.5</v>
          </cell>
          <cell r="J19" t="str">
            <v>Bliss</v>
          </cell>
          <cell r="K19" t="str">
            <v>Sent replacement today (21/04) Skip 1 week (04/12) Skip tom (14/06) Return today (06/07) 27th Del Missed (03/08)Skip 22/23rd Nov (08/11) Paytm From Prerna Sharma // Skip 1 week (07/02) Hold n start after 9 th June (10/05)</v>
          </cell>
          <cell r="N19" t="str">
            <v>4  del of this cycle   -  0-cycles pmnt   Completed - Collect 0</v>
          </cell>
          <cell r="O19" t="e">
            <v>#N/A</v>
          </cell>
          <cell r="P19" t="e">
            <v>#N/A</v>
          </cell>
          <cell r="Q19" t="str">
            <v>Pur n P Car ( 14 Inch ) 16     FF Sachet + Grass</v>
          </cell>
          <cell r="R19" t="str">
            <v>Pur Eustoma ( 12 Inch ) 3     FF Sachet + Grass</v>
          </cell>
          <cell r="S19" t="str">
            <v>Rajni 16     Grass</v>
          </cell>
          <cell r="T19" t="str">
            <v>Sunflower ( 12 Inch ) 4     FF Sachet + Grass</v>
          </cell>
        </row>
        <row r="20">
          <cell r="A20">
            <v>3245</v>
          </cell>
          <cell r="B20" t="str">
            <v>Parul Parihar</v>
          </cell>
          <cell r="C20">
            <v>9999903582</v>
          </cell>
          <cell r="D20" t="str">
            <v>502, Adhunil Appartments, Sec 52</v>
          </cell>
          <cell r="E20" t="str">
            <v>Artemis</v>
          </cell>
          <cell r="F20" t="str">
            <v>Sunday</v>
          </cell>
          <cell r="G20" t="str">
            <v>9 AM - 12 PM</v>
          </cell>
          <cell r="H20">
            <v>1450</v>
          </cell>
          <cell r="I20">
            <v>362.5</v>
          </cell>
          <cell r="J20" t="str">
            <v>Bliss</v>
          </cell>
          <cell r="N20" t="str">
            <v>2  del of this cycle   -  0-cycles pmnt   Completed - Collect 0</v>
          </cell>
          <cell r="O20" t="str">
            <v>P n W Car ( 14 inch ) 16     FF Sachet + Grass</v>
          </cell>
          <cell r="P20" t="str">
            <v>P n W Spray Daisy ( 14 Inch) 5     FF Sachet + Grass</v>
          </cell>
          <cell r="Q20" t="str">
            <v>P n W Glad ( 14 Inch ) 16     Grass</v>
          </cell>
          <cell r="R20" t="str">
            <v>Pur Eustoma ( 12 Inch ) 3     FF Sachet + Grass</v>
          </cell>
          <cell r="S20" t="str">
            <v>P Asiatic ( 14 Inch ) 3     Grass</v>
          </cell>
          <cell r="T20" t="str">
            <v>Rajni ( 14 Inch ) 16     Grass</v>
          </cell>
        </row>
        <row r="21">
          <cell r="A21">
            <v>3401</v>
          </cell>
          <cell r="B21" t="str">
            <v>Asheesh Handa</v>
          </cell>
          <cell r="C21">
            <v>7042482828</v>
          </cell>
          <cell r="D21" t="str">
            <v>H. No. 28, Ground Floor, M2k Whitehouse, Sector 57</v>
          </cell>
          <cell r="E21" t="str">
            <v>Artemis</v>
          </cell>
          <cell r="F21" t="str">
            <v>Sunday</v>
          </cell>
          <cell r="G21" t="str">
            <v>9 AM to 2 PM</v>
          </cell>
          <cell r="H21">
            <v>1450</v>
          </cell>
          <cell r="I21">
            <v>362.5</v>
          </cell>
          <cell r="J21" t="str">
            <v>Bliss</v>
          </cell>
          <cell r="N21" t="str">
            <v>1  del of this cycle   -  0-cycles pmnt   Completed - Collect 0</v>
          </cell>
          <cell r="O21" t="e">
            <v>#N/A</v>
          </cell>
          <cell r="P21" t="e">
            <v>#N/A</v>
          </cell>
          <cell r="Q21" t="e">
            <v>#N/A</v>
          </cell>
          <cell r="R21" t="e">
            <v>#N/A</v>
          </cell>
          <cell r="S21" t="e">
            <v>#N/A</v>
          </cell>
          <cell r="T21" t="str">
            <v>Pur n P Car ( 14 Inch ) 16     FF Sachet + Grass</v>
          </cell>
        </row>
        <row r="22">
          <cell r="A22">
            <v>2774</v>
          </cell>
          <cell r="B22" t="str">
            <v>Vandana Thakran</v>
          </cell>
          <cell r="C22">
            <v>9899589964</v>
          </cell>
          <cell r="D22" t="str">
            <v>H. No. 35, Cedar Crest</v>
          </cell>
          <cell r="E22" t="str">
            <v>Nirvana Country</v>
          </cell>
          <cell r="F22" t="str">
            <v>Sunday</v>
          </cell>
          <cell r="G22" t="str">
            <v>9 AM - 12 PM</v>
          </cell>
          <cell r="H22">
            <v>1600</v>
          </cell>
          <cell r="I22">
            <v>200</v>
          </cell>
          <cell r="J22" t="str">
            <v>Bloom</v>
          </cell>
          <cell r="N22" t="str">
            <v>3  del of this cycle   -  0-cycles pmnt   Completed - Collect 0</v>
          </cell>
          <cell r="O22" t="str">
            <v>P n W Glad ( 14 Inch ) 7     Grass</v>
          </cell>
          <cell r="P22" t="str">
            <v>Mix Alstroemeria ( 12 Inch ) 7     FF Sachet + Grass</v>
          </cell>
          <cell r="Q22" t="str">
            <v>Rajni ( 14 Inch ) 7     Grass</v>
          </cell>
          <cell r="R22" t="str">
            <v>B Daisy ( 12 Inch ) 7     Grass</v>
          </cell>
          <cell r="S22" t="str">
            <v>Sunflower ( 12 Inch ) 2     FF Sachet + Grass</v>
          </cell>
          <cell r="T22" t="str">
            <v>B Daisy ( 12 Inch ) 7     Grass</v>
          </cell>
        </row>
        <row r="23">
          <cell r="A23">
            <v>894</v>
          </cell>
          <cell r="B23" t="str">
            <v>Dr. Roma Kumar</v>
          </cell>
          <cell r="C23" t="str">
            <v>98110 87708</v>
          </cell>
          <cell r="D23" t="str">
            <v>RT-181, Royalton Tower
Inside Princeton Estate
DLF City Phase-V
Gurgaon-122009
Haryana</v>
          </cell>
          <cell r="E23" t="str">
            <v>DLF Phase 5</v>
          </cell>
          <cell r="F23" t="str">
            <v>Thursday</v>
          </cell>
          <cell r="G23" t="str">
            <v>9 AM - 12 PM</v>
          </cell>
          <cell r="H23">
            <v>3000</v>
          </cell>
          <cell r="I23">
            <v>375</v>
          </cell>
          <cell r="J23" t="str">
            <v>Charm</v>
          </cell>
          <cell r="K2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23" t="str">
            <v>ORCHID</v>
          </cell>
          <cell r="N23" t="str">
            <v>5  del of this cycle   -  0-cycles pmnt   Completed - Collect 0</v>
          </cell>
          <cell r="O23" t="str">
            <v>Rajni ( 14 Inch )  15     Grass</v>
          </cell>
          <cell r="P23" t="str">
            <v>Mix Alstroemeria ( 12 Inch ) 15     FF Sachet + Grass</v>
          </cell>
          <cell r="Q23" t="str">
            <v>Pur n P Car ( 14 Inch ) 15     FF Sachet + Grass</v>
          </cell>
          <cell r="R23" t="str">
            <v>B Daisy ( 12 Inch ) 15     Grass</v>
          </cell>
          <cell r="S23" t="str">
            <v>P Oriental ( 15 Inch ) 2     Grass</v>
          </cell>
          <cell r="T23" t="str">
            <v>B Daisy ( 12 Inch ) 15     Grass</v>
          </cell>
        </row>
        <row r="24">
          <cell r="A24">
            <v>1140</v>
          </cell>
          <cell r="B24" t="str">
            <v>Nidhi Singh</v>
          </cell>
          <cell r="C24" t="str">
            <v>8383036664//9899389873</v>
          </cell>
          <cell r="D24" t="str">
            <v>D-8/3, Ground Floor DLF Exclusive Floors</v>
          </cell>
          <cell r="E24" t="str">
            <v>DLF Phase 5</v>
          </cell>
          <cell r="F24" t="str">
            <v>Thursday</v>
          </cell>
          <cell r="G24" t="str">
            <v>9 AM - 12 PM</v>
          </cell>
          <cell r="H24">
            <v>2300</v>
          </cell>
          <cell r="I24">
            <v>287.5</v>
          </cell>
          <cell r="J24" t="str">
            <v>Felicity</v>
          </cell>
          <cell r="K24"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4" t="str">
            <v>ROSE</v>
          </cell>
          <cell r="N24" t="str">
            <v>2  del of this cycle   -  1-cycles pmnt   Pending - Collect 2300</v>
          </cell>
          <cell r="O24" t="str">
            <v>R n W Car( 14 Inch)  11     FF Sachet + Grass</v>
          </cell>
          <cell r="P24" t="str">
            <v>Mix Alstroemeria ( 12 Inch ) 11     FF Sachet + Grass</v>
          </cell>
          <cell r="Q24" t="str">
            <v>O Asiatic ( 14 Inch ) 2     Grass</v>
          </cell>
          <cell r="R24" t="str">
            <v>B Daisy ( 12 Inch ) 11     Grass</v>
          </cell>
          <cell r="S24" t="str">
            <v>Sunflower ( 12 Inch ) 3     FF Sachet + Grass</v>
          </cell>
          <cell r="T24" t="str">
            <v>O Asiatic ( 14 Inch ) 2     Grass</v>
          </cell>
        </row>
        <row r="25">
          <cell r="A25">
            <v>2416</v>
          </cell>
          <cell r="B25" t="str">
            <v>Dinesh Dhir</v>
          </cell>
          <cell r="C25">
            <v>9810709096</v>
          </cell>
          <cell r="D25" t="str">
            <v>D-11/9, 1st Floor, DLF Exclusive Floors</v>
          </cell>
          <cell r="E25" t="str">
            <v>DLF Phase 5</v>
          </cell>
          <cell r="F25" t="str">
            <v>Sunday</v>
          </cell>
          <cell r="G25" t="str">
            <v>9 AM - 12 PM</v>
          </cell>
          <cell r="H25">
            <v>1450</v>
          </cell>
          <cell r="I25">
            <v>362.5</v>
          </cell>
          <cell r="J25" t="str">
            <v>Bliss</v>
          </cell>
          <cell r="K25" t="str">
            <v>Hold today n send next week (15/06) Add changed (17/05)</v>
          </cell>
          <cell r="N25" t="str">
            <v>2  del of this cycle   -  0-cycles pmnt   Completed - Collect 0</v>
          </cell>
          <cell r="O25" t="str">
            <v>R n W Car( 14 Inch)  9     FF Sachet + Grass</v>
          </cell>
          <cell r="P25" t="str">
            <v>P n W Glad ( 14 Inch ) 9     Grass</v>
          </cell>
          <cell r="Q25" t="str">
            <v>Sunflower ( 12 Inch ) 2     FF Sachet + Grass</v>
          </cell>
          <cell r="R25" t="str">
            <v>B Daisy ( 12 Inch ) 9     Grass</v>
          </cell>
          <cell r="S25" t="str">
            <v>P Asiatic ( 14 Inch ) 3     Grass</v>
          </cell>
          <cell r="T25" t="str">
            <v>Pur n P Car ( 14 Inch ) 16     FF Sachet + Grass</v>
          </cell>
        </row>
        <row r="26">
          <cell r="A26">
            <v>3143</v>
          </cell>
          <cell r="B26" t="str">
            <v>Ruchira Sen</v>
          </cell>
          <cell r="C26">
            <v>8850376353</v>
          </cell>
          <cell r="D26" t="str">
            <v>A-016, Carlton Estate 1</v>
          </cell>
          <cell r="E26" t="str">
            <v>DLF Phase 5</v>
          </cell>
          <cell r="F26" t="str">
            <v>Sunday</v>
          </cell>
          <cell r="G26" t="str">
            <v>9 AM to 2 PM</v>
          </cell>
          <cell r="H26">
            <v>999</v>
          </cell>
          <cell r="I26">
            <v>249.75</v>
          </cell>
          <cell r="J26" t="str">
            <v>Delight</v>
          </cell>
          <cell r="K26" t="str">
            <v>Skip 2 week (14/12) Skip 1 week 903/01) Skip 1 week (21/02) Skip 1 week (14/03) Skip 1 week (30/03) Skip 1 week (06/04) No Spray Daisy (14/06) Skip 1 week (18/06)</v>
          </cell>
          <cell r="L26" t="str">
            <v>Spray Daisy</v>
          </cell>
          <cell r="N26" t="str">
            <v>4  del of this cycle   -  0-cycles pmnt   Completed - Collect 0</v>
          </cell>
          <cell r="O26" t="str">
            <v>P n W Glad ( 14 Inch ) 9     Grass</v>
          </cell>
          <cell r="P26" t="str">
            <v>Pur n P Car ( 14 Inch ) 9     FF Sachet + Grass</v>
          </cell>
          <cell r="Q26" t="str">
            <v>Y Spray Daisy ( 14 Inch ) 3     FF Sachet + Grass</v>
          </cell>
          <cell r="R26" t="e">
            <v>#N/A</v>
          </cell>
          <cell r="S26" t="str">
            <v>P n W Glad ( 14 Inch ) 9     Grass</v>
          </cell>
          <cell r="T26" t="str">
            <v>O Asiatic ( 14 Inch ) 2     Grass</v>
          </cell>
        </row>
        <row r="27">
          <cell r="A27">
            <v>2724</v>
          </cell>
          <cell r="B27" t="str">
            <v>Kavita Dahiya</v>
          </cell>
          <cell r="C27">
            <v>9873400017</v>
          </cell>
          <cell r="D27" t="str">
            <v>H. No. 1391, 2nd Floor,  Sec-57 Part -2</v>
          </cell>
          <cell r="E27" t="str">
            <v>Artemis</v>
          </cell>
          <cell r="F27" t="str">
            <v>Sunday</v>
          </cell>
          <cell r="G27" t="str">
            <v>9:30 AM to 2 PM</v>
          </cell>
          <cell r="H27">
            <v>1450</v>
          </cell>
          <cell r="I27">
            <v>362.5</v>
          </cell>
          <cell r="J27" t="str">
            <v>Bliss</v>
          </cell>
          <cell r="K27" t="str">
            <v>Send on Sunday this week (27/08) No gerbera (12/09) No Sunflowers (15/11) Skip 1 week (30/12) Hold n collect 500 tom (25/02)</v>
          </cell>
          <cell r="L27" t="str">
            <v>Gerbera n Sunflower</v>
          </cell>
          <cell r="N27" t="str">
            <v>3  del of this cycle   -  0-cycles pmnt   CompletedNO COLLECTION-we have extra money - Collect -9</v>
          </cell>
          <cell r="O27" t="e">
            <v>#N/A</v>
          </cell>
          <cell r="P27" t="e">
            <v>#N/A</v>
          </cell>
          <cell r="Q27" t="e">
            <v>#N/A</v>
          </cell>
          <cell r="R27" t="str">
            <v>Pur n P Car ( 14 Inch ) 16     FF Sachet + Grass</v>
          </cell>
          <cell r="S27" t="str">
            <v>Sunflower ( 12 Inch ) 4     FF Sachet + Grass</v>
          </cell>
          <cell r="T27" t="str">
            <v>Rajni ( 14 Inch ) 16     Grass</v>
          </cell>
        </row>
        <row r="28">
          <cell r="A28">
            <v>3364</v>
          </cell>
          <cell r="B28" t="str">
            <v xml:space="preserve">Shipra Malhotra </v>
          </cell>
          <cell r="C28">
            <v>9819952391</v>
          </cell>
          <cell r="D28" t="str">
            <v>F-12, First Floor, Galacy Apartments</v>
          </cell>
          <cell r="E28" t="str">
            <v>DLF Phase 5</v>
          </cell>
          <cell r="F28" t="str">
            <v>Sunday</v>
          </cell>
          <cell r="G28" t="str">
            <v>3:30 PM to 7:30 PM</v>
          </cell>
          <cell r="H28">
            <v>2750</v>
          </cell>
          <cell r="I28">
            <v>687.5</v>
          </cell>
          <cell r="J28" t="str">
            <v>Elation</v>
          </cell>
          <cell r="K28" t="str">
            <v>Same Flowers in her Both subscription // Skip 1 week and next week send after 5 PM (17/06)</v>
          </cell>
          <cell r="M28" t="str">
            <v>After 5 PM on 28th (17/06)</v>
          </cell>
          <cell r="N28" t="str">
            <v>3  del of this cycle   -  0-cycles pmnt   Completed - Collect 0</v>
          </cell>
          <cell r="O28" t="e">
            <v>#N/A</v>
          </cell>
          <cell r="P28" t="e">
            <v>#N/A</v>
          </cell>
          <cell r="Q28" t="str">
            <v>Pur n P Car ( 14 Inch ) 32     2 Gypsola + FF sachet</v>
          </cell>
          <cell r="R28" t="e">
            <v>#N/A</v>
          </cell>
          <cell r="S28" t="str">
            <v>Sunflower ( 12 Inch ) 8     2 Limonium + FF sachet</v>
          </cell>
          <cell r="T28" t="str">
            <v>P Asiatic ( 14 Inch ) 6     2 Gypsola</v>
          </cell>
        </row>
        <row r="29">
          <cell r="A29">
            <v>1438</v>
          </cell>
          <cell r="B29" t="str">
            <v>Aishwarya G Aiyar</v>
          </cell>
          <cell r="C29">
            <v>9884857311</v>
          </cell>
          <cell r="D29" t="str">
            <v>A-173, The Pinnacle</v>
          </cell>
          <cell r="E29" t="str">
            <v>DLF Phase 5</v>
          </cell>
          <cell r="F29" t="str">
            <v>Thursday</v>
          </cell>
          <cell r="G29" t="str">
            <v>9 AM - 12 PM</v>
          </cell>
          <cell r="H29">
            <v>1600</v>
          </cell>
          <cell r="I29">
            <v>200</v>
          </cell>
          <cell r="J29" t="str">
            <v>Bloom</v>
          </cell>
          <cell r="K29"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9" t="str">
            <v>2  del of this cycle   -  1-cycles pmnt   Pending - Collect 1600</v>
          </cell>
          <cell r="O29" t="str">
            <v>Mix Car  7     FF Sachet + Grass</v>
          </cell>
          <cell r="P29" t="str">
            <v>P Spray Daisy ( 14 Inch ) 2     FF Sachet + Grass</v>
          </cell>
          <cell r="Q29" t="str">
            <v>Rajni ( 14 Inch ) 7     Grass</v>
          </cell>
          <cell r="R29" t="str">
            <v>B Daisy ( 12 Inch ) 7     Grass</v>
          </cell>
          <cell r="S29" t="str">
            <v>Sunflower ( 12 Inch ) 2     FF Sachet + Grass</v>
          </cell>
          <cell r="T29" t="str">
            <v>Mix Alstroemeria 7     Grass</v>
          </cell>
        </row>
        <row r="30">
          <cell r="A30">
            <v>2246</v>
          </cell>
          <cell r="B30" t="str">
            <v>Amita Gupta</v>
          </cell>
          <cell r="C30">
            <v>9811985450</v>
          </cell>
          <cell r="D30" t="str">
            <v>146, Cedar Crest</v>
          </cell>
          <cell r="E30" t="str">
            <v>Nirvana Country</v>
          </cell>
          <cell r="F30" t="str">
            <v>Thursday</v>
          </cell>
          <cell r="G30" t="str">
            <v>9 AM - 12 PM</v>
          </cell>
          <cell r="H30">
            <v>1600</v>
          </cell>
          <cell r="I30">
            <v>200</v>
          </cell>
          <cell r="J30" t="str">
            <v>Bloom</v>
          </cell>
          <cell r="K30" t="str">
            <v>Return today (03/10) Change to bliss (23/10) No Orchid (24/10) Send a vase tom (20/08) Upgrade to bliss (17/12)</v>
          </cell>
          <cell r="L30" t="str">
            <v>Orchid</v>
          </cell>
          <cell r="M30" t="str">
            <v>1 Vase Tom (20/08)</v>
          </cell>
          <cell r="N30" t="str">
            <v>2  del of this cycle   -  0-cycles pmnt   Completed - Collect 0</v>
          </cell>
          <cell r="O30" t="str">
            <v>P n W Glad ( 14 Inch ) 7     Grass</v>
          </cell>
          <cell r="P30" t="str">
            <v>Y Spray Daisy ( 14 Inch ) 2     FF Sachet + Grass</v>
          </cell>
          <cell r="Q30" t="str">
            <v>Rajni ( 14 Inch ) 7     Grass</v>
          </cell>
          <cell r="R30" t="str">
            <v>B Daisy ( 12 Inch ) 7     Grass</v>
          </cell>
          <cell r="S30" t="str">
            <v>Sunflower ( 12 Inch ) 2     FF Sachet + Grass</v>
          </cell>
          <cell r="T30" t="str">
            <v>Rajni ( 14 Inch ) 7     Grass</v>
          </cell>
        </row>
        <row r="31">
          <cell r="A31">
            <v>571</v>
          </cell>
          <cell r="B31" t="str">
            <v>Mrs. Singh</v>
          </cell>
          <cell r="C31">
            <v>9873099320</v>
          </cell>
          <cell r="D31" t="str">
            <v>D 42, pinnacle, Dlf ph 5, Golf course road</v>
          </cell>
          <cell r="E31" t="str">
            <v>DLF Phase 5</v>
          </cell>
          <cell r="F31" t="str">
            <v>Thursday</v>
          </cell>
          <cell r="G31" t="str">
            <v>9 AM - 12 PM</v>
          </cell>
          <cell r="H31">
            <v>1600</v>
          </cell>
          <cell r="I31">
            <v>200</v>
          </cell>
          <cell r="J31" t="str">
            <v>Bloom</v>
          </cell>
          <cell r="K31"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1" t="str">
            <v>7  del of this cycle   -  0-cycles pmnt   Completed - Collect 0</v>
          </cell>
          <cell r="O31" t="str">
            <v>Mix Glad  7     FF Sachet + Grass</v>
          </cell>
          <cell r="P31" t="str">
            <v>Y Spray Daisy ( 14 Inch ) 2     FF Sachet + Grass</v>
          </cell>
          <cell r="Q31" t="str">
            <v>Rajni ( 14 Inch ) 7     Grass</v>
          </cell>
          <cell r="R31" t="str">
            <v>B Daisy ( 12 Inch ) 7     Grass</v>
          </cell>
          <cell r="S31" t="str">
            <v>P Spray Daisy ( 14 Inch ) 2     FF Sachet + Grass</v>
          </cell>
          <cell r="T31" t="str">
            <v>Rajni ( 14 Inch ) 7     Grass</v>
          </cell>
        </row>
        <row r="32">
          <cell r="A32">
            <v>870</v>
          </cell>
          <cell r="B32" t="str">
            <v>Himabindu Kanchan</v>
          </cell>
          <cell r="C32">
            <v>9892501292</v>
          </cell>
          <cell r="D32" t="str">
            <v xml:space="preserve">D -13, Pinnacle Dlf Phase - 5 </v>
          </cell>
          <cell r="E32" t="str">
            <v>DLF Phase 5</v>
          </cell>
          <cell r="F32" t="str">
            <v>Thursday</v>
          </cell>
          <cell r="G32" t="str">
            <v>9 AM - 12 PM</v>
          </cell>
          <cell r="H32">
            <v>1600</v>
          </cell>
          <cell r="I32">
            <v>200</v>
          </cell>
          <cell r="J32" t="str">
            <v>Bloom</v>
          </cell>
          <cell r="K3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2" t="str">
            <v>5  del of this cycle   -  0-cycles pmnt   Completed - Collect 0</v>
          </cell>
          <cell r="O32" t="str">
            <v>Rajni ( 14 Inch )  7     Grass</v>
          </cell>
          <cell r="P32" t="str">
            <v>Mix Alstroemeria ( 12 Inch ) 7     FF Sachet + Grass</v>
          </cell>
          <cell r="Q32" t="str">
            <v>P Spray Daisy ( 14 Inch ) 2     FF Sachet + Grass</v>
          </cell>
          <cell r="R32" t="str">
            <v>B Daisy ( 12 Inch ) 7     Grass</v>
          </cell>
          <cell r="S32" t="str">
            <v>P n W Glad ( 14 Inch ) 7     Grass</v>
          </cell>
          <cell r="T32" t="str">
            <v>Mix Alstroemeria 7     Grass</v>
          </cell>
        </row>
        <row r="33">
          <cell r="A33">
            <v>3277</v>
          </cell>
          <cell r="B33" t="str">
            <v>M2K</v>
          </cell>
          <cell r="C33">
            <v>8595180468</v>
          </cell>
          <cell r="D33" t="str">
            <v>M2k</v>
          </cell>
          <cell r="E33" t="str">
            <v>Nirvana Country</v>
          </cell>
          <cell r="F33" t="str">
            <v>Tuesday</v>
          </cell>
          <cell r="G33" t="str">
            <v>By 8 AM</v>
          </cell>
          <cell r="H33">
            <v>10500</v>
          </cell>
          <cell r="I33">
            <v>350</v>
          </cell>
          <cell r="J33" t="str">
            <v>Corporate</v>
          </cell>
          <cell r="N33" t="str">
            <v>3  del of this cycle   -  0-cycles pmnt   In Process - Collect 0</v>
          </cell>
          <cell r="O33" t="str">
            <v xml:space="preserve">Pooja Flowers  1     </v>
          </cell>
          <cell r="P33" t="str">
            <v xml:space="preserve">Pooja Flower 1      </v>
          </cell>
          <cell r="Q33" t="str">
            <v xml:space="preserve">Pooja Flowers  1     </v>
          </cell>
          <cell r="R33" t="str">
            <v xml:space="preserve">Pooja Flowers  1     </v>
          </cell>
          <cell r="S33" t="str">
            <v xml:space="preserve">Pooja Flowers  1     </v>
          </cell>
          <cell r="T33" t="str">
            <v xml:space="preserve">Pooja Flowers       </v>
          </cell>
        </row>
        <row r="34">
          <cell r="A34">
            <v>3252</v>
          </cell>
          <cell r="B34" t="str">
            <v>Madhumita Dhupar</v>
          </cell>
          <cell r="C34">
            <v>9999887549</v>
          </cell>
          <cell r="D34" t="str">
            <v>333, Deerwood Chase</v>
          </cell>
          <cell r="E34" t="str">
            <v>Nirvana Country</v>
          </cell>
          <cell r="F34" t="str">
            <v>Sunday</v>
          </cell>
          <cell r="G34" t="str">
            <v>9 AM to 2 PM</v>
          </cell>
          <cell r="H34">
            <v>1450</v>
          </cell>
          <cell r="I34">
            <v>362.5</v>
          </cell>
          <cell r="J34" t="str">
            <v>Bliss</v>
          </cell>
          <cell r="K34" t="str">
            <v>White Flowers in Each Delivery (10/01)</v>
          </cell>
          <cell r="N34" t="str">
            <v>2  del of this cycle   -  0-cycles pmnt   Completed - Collect 0</v>
          </cell>
          <cell r="O34" t="str">
            <v>P n W Glad ( 14 Inch ) 7     Grass</v>
          </cell>
          <cell r="P34" t="str">
            <v>W Asiatic ( 14 Inch ) 3     Grass</v>
          </cell>
          <cell r="Q34" t="str">
            <v>Mix Alstroemeria ( 12 Inch ) 16     FF Sachet + Grass</v>
          </cell>
          <cell r="R34" t="str">
            <v>P Eustoma ( 12 Inch ) 3     FF Sachet + Grass</v>
          </cell>
          <cell r="S34" t="str">
            <v>Pur n P Car ( 14 Inch 16     FF Sachet + Grass</v>
          </cell>
          <cell r="T34" t="str">
            <v>Rajni ( 14 Inch ) 16     Grass</v>
          </cell>
        </row>
        <row r="35">
          <cell r="A35">
            <v>2869</v>
          </cell>
          <cell r="B35" t="str">
            <v>Jaya Wanchoo</v>
          </cell>
          <cell r="C35">
            <v>8130245666</v>
          </cell>
          <cell r="D35" t="str">
            <v xml:space="preserve">T-8/603, The Close North
</v>
          </cell>
          <cell r="E35" t="str">
            <v>Nirvana Country</v>
          </cell>
          <cell r="F35" t="str">
            <v>Sunday</v>
          </cell>
          <cell r="G35" t="str">
            <v>10 AM to 2:30 PM</v>
          </cell>
          <cell r="H35">
            <v>2750</v>
          </cell>
          <cell r="I35">
            <v>687.5</v>
          </cell>
          <cell r="J35" t="str">
            <v>Elation</v>
          </cell>
          <cell r="N35" t="str">
            <v>4  del of this cycle   -  0-cycles pmnt   Completed - Collect 0</v>
          </cell>
          <cell r="O35" t="str">
            <v>P n Y Spray Daisy ( 15 Inch ) 5 P n W Glad ( 12 Inch ) 16   2 Limonium + FF aschet</v>
          </cell>
          <cell r="P35" t="str">
            <v>Pur n P Eustoma ( 12 Inch ) 4 Mix Alstroemeria ( 12 Inch ) 16   2 Gypsola + FF sachet</v>
          </cell>
          <cell r="Q35" t="str">
            <v>O Asiatic ( 14 Inch ) 3 Pur n P Car ( 14 Inch ) 16   2 Limonium</v>
          </cell>
          <cell r="R35" t="str">
            <v>P n Y Spray Daisy ( 14 Inch ) 5 B Daisy ( 12 Inch ) 16   2 Gypsola + FF Sachet</v>
          </cell>
          <cell r="S35" t="str">
            <v>Sunflower ( 12 Inch ) 4 P n W Glad ( 14 Inch ) 16   2 Limonium + FF sachet</v>
          </cell>
          <cell r="T35" t="str">
            <v>BOP 3 Rajni ( 14 Inch ) 16   2 Gypsola</v>
          </cell>
        </row>
        <row r="36">
          <cell r="A36">
            <v>2378</v>
          </cell>
          <cell r="B36" t="str">
            <v>Dr. Juhi Saxena</v>
          </cell>
          <cell r="C36">
            <v>9958637975</v>
          </cell>
          <cell r="D36" t="str">
            <v>G-307, 2nd Floor, Sushant Lok -2, Sec 57</v>
          </cell>
          <cell r="E36" t="str">
            <v>Artemis</v>
          </cell>
          <cell r="F36" t="str">
            <v>Sunday</v>
          </cell>
          <cell r="G36" t="str">
            <v>9 AM - 12 PM</v>
          </cell>
          <cell r="H36">
            <v>1450</v>
          </cell>
          <cell r="I36">
            <v>362.5</v>
          </cell>
          <cell r="J36" t="str">
            <v>Bliss</v>
          </cell>
          <cell r="K36" t="str">
            <v>No Glad (17/01) Hold and start from May and inform before starting (09/04) Skip 1 week 901/05) hold n returned today (12/06) Skip tom and send on Saturday -- either Rajnigandha or Car (19/06) Add changed (23/06)</v>
          </cell>
          <cell r="L36" t="str">
            <v>GLAD</v>
          </cell>
          <cell r="N36" t="str">
            <v>2  del of this cycle   -  0-cycles pmnt   Completed - Collect 0</v>
          </cell>
          <cell r="O36" t="e">
            <v>#N/A</v>
          </cell>
          <cell r="P36" t="e">
            <v>#N/A</v>
          </cell>
          <cell r="Q36" t="e">
            <v>#N/A</v>
          </cell>
          <cell r="R36" t="e">
            <v>#N/A</v>
          </cell>
          <cell r="S36" t="str">
            <v>Pur n P Car ( 14 Inch 16     FF Sachet + Grass</v>
          </cell>
          <cell r="T36" t="str">
            <v>Sunflower ( 12 Inch ) 4     FF Sachet + Grass</v>
          </cell>
        </row>
        <row r="37">
          <cell r="A37">
            <v>2580</v>
          </cell>
          <cell r="B37" t="str">
            <v>Davinder Singh</v>
          </cell>
          <cell r="C37">
            <v>9999653332</v>
          </cell>
          <cell r="D37" t="str">
            <v>T-12/002, Close North</v>
          </cell>
          <cell r="E37" t="str">
            <v>Nirvana Country</v>
          </cell>
          <cell r="F37" t="str">
            <v>Sunday</v>
          </cell>
          <cell r="G37" t="str">
            <v>9 AM - 12 PM</v>
          </cell>
          <cell r="H37">
            <v>1450</v>
          </cell>
          <cell r="I37">
            <v>362.5</v>
          </cell>
          <cell r="J37" t="str">
            <v>Bliss</v>
          </cell>
          <cell r="K37" t="str">
            <v xml:space="preserve"> Hold due to non payment (12/10) Hold due to non payment (20/12) Hold due to non payment (18/01) Hold due to non payment (25/01) Hold due to non payment (01/02) Hold due to non payment (08/02) HDTNP (15/02) HDTNP (22/02) Skip 1 week (18/04)</v>
          </cell>
          <cell r="N37" t="str">
            <v>3  del of this cycle   -  0-cycles pmnt   Completed - Collect 0</v>
          </cell>
          <cell r="O37" t="str">
            <v>P Eustoma ( 12 Inch )  2 Mix Glad ( 12 Inch ) 7   FF Sachet + Grass</v>
          </cell>
          <cell r="P37" t="str">
            <v>Y Spray Daisy ( 14 Inch ) 3 Mix Alstroemeria ( 12 Inch ) 7   FF Sachet + Grass</v>
          </cell>
          <cell r="Q37" t="str">
            <v>Sunflower ( 12 Inch ) 2 Pur n P Car ( 14 Inch ) 7   FF Sachet + Grass</v>
          </cell>
          <cell r="R37" t="str">
            <v>P Asiatic ( 14 Inch ) 2 B Daisy ( 12 Inch ) 7   Grass</v>
          </cell>
          <cell r="S37" t="str">
            <v>Pur Eustoma ( 12 inch ) 2 P n W Glad ( 14 Inch ) 7   FF Sachet + Grass</v>
          </cell>
          <cell r="T37" t="str">
            <v>Sunflower ( 12 Inch ) 2 B Daisy ( 12 Inch ) 7   FF Sachet + Grass</v>
          </cell>
        </row>
        <row r="38">
          <cell r="A38">
            <v>3214</v>
          </cell>
          <cell r="B38" t="str">
            <v>Sheeba Rana</v>
          </cell>
          <cell r="C38">
            <v>9958849523</v>
          </cell>
          <cell r="D38" t="str">
            <v>T-14/1202, The Close North</v>
          </cell>
          <cell r="E38" t="str">
            <v>Nirvana Country</v>
          </cell>
          <cell r="F38" t="str">
            <v>Sunday</v>
          </cell>
          <cell r="G38" t="str">
            <v>10 AM to 2:30 PM</v>
          </cell>
          <cell r="H38">
            <v>1450</v>
          </cell>
          <cell r="I38">
            <v>362.5</v>
          </cell>
          <cell r="J38" t="str">
            <v>Bliss</v>
          </cell>
          <cell r="K38" t="str">
            <v>Skip n send on 11th n then on preferred day</v>
          </cell>
          <cell r="N38" t="str">
            <v>2  del of this cycle   -  0-cycles pmnt   Completed - Collect 0</v>
          </cell>
          <cell r="O38" t="str">
            <v>P n W Glad ( 14 Inch ) 9     Grass</v>
          </cell>
          <cell r="P38" t="str">
            <v>Pur n P Car ( 14 Inch ) 9     FF Sachet + Grass</v>
          </cell>
          <cell r="Q38" t="str">
            <v>Sunflower ( 12 Inch ) 2     FF Sachet + Grass</v>
          </cell>
          <cell r="R38" t="str">
            <v>B Daisy ( 12 Inch ) 9     Grass</v>
          </cell>
          <cell r="S38" t="str">
            <v>P Asiatic ( 14 Inch ) 3     Grass</v>
          </cell>
          <cell r="T38" t="str">
            <v>Rajni ( 14 Inch ) 16     Grass</v>
          </cell>
        </row>
        <row r="39">
          <cell r="A39">
            <v>3018</v>
          </cell>
          <cell r="B39" t="str">
            <v>Gurrit Kaur sethi</v>
          </cell>
          <cell r="C39">
            <v>9810918222</v>
          </cell>
          <cell r="D39" t="str">
            <v>T-2/201, Unitech Escape</v>
          </cell>
          <cell r="E39" t="str">
            <v>Nirvana Country</v>
          </cell>
          <cell r="F39" t="str">
            <v>Sunday</v>
          </cell>
          <cell r="G39" t="str">
            <v>9 AM - 12 PM</v>
          </cell>
          <cell r="H39">
            <v>1450</v>
          </cell>
          <cell r="I39">
            <v>362.5</v>
          </cell>
          <cell r="J39" t="str">
            <v>Bliss</v>
          </cell>
          <cell r="N39" t="str">
            <v>2  del of this cycle   -  0-cycles pmnt   Completed - Collect 0</v>
          </cell>
          <cell r="O39" t="str">
            <v>P n W Car ( 14 inch ) 9     FF Sachet + Grass</v>
          </cell>
          <cell r="P39" t="str">
            <v>P n W Glad ( 14 Inch ) 9     Grass</v>
          </cell>
          <cell r="Q39" t="str">
            <v>Sunflower ( 12 Inch ) 2     FF Sachet + Grass</v>
          </cell>
          <cell r="R39" t="str">
            <v>B Daisy ( 12 Inch ) 9     Grass</v>
          </cell>
          <cell r="S39" t="str">
            <v>Pur n P Car ( 14 Inch 16     FF Sachet + Grass</v>
          </cell>
          <cell r="T39" t="str">
            <v>O Asiatic ( 14 Inch ) 3     Grass</v>
          </cell>
        </row>
        <row r="40">
          <cell r="A40">
            <v>1517</v>
          </cell>
          <cell r="B40" t="str">
            <v>Megha Bhardwaj</v>
          </cell>
          <cell r="C40">
            <v>9818525564</v>
          </cell>
          <cell r="D40" t="str">
            <v>B-65, 1st floor, Sushant Lok-3,HDFC School, Sec 57</v>
          </cell>
          <cell r="E40" t="str">
            <v>Artemis</v>
          </cell>
          <cell r="F40" t="str">
            <v>Sunday</v>
          </cell>
          <cell r="G40" t="str">
            <v>9 AM - 12 PM</v>
          </cell>
          <cell r="H40">
            <v>1950</v>
          </cell>
          <cell r="I40">
            <v>487.5</v>
          </cell>
          <cell r="J40" t="str">
            <v>Joy</v>
          </cell>
          <cell r="K40"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0" t="str">
            <v>Orchid</v>
          </cell>
          <cell r="N40" t="str">
            <v>3  del of this cycle   -  0-cycles pmnt   Completed - Collect 0</v>
          </cell>
          <cell r="O40" t="str">
            <v>P n W Glad ( 14 Inch ) 22     Grass</v>
          </cell>
          <cell r="P40" t="e">
            <v>#N/A</v>
          </cell>
          <cell r="Q40" t="str">
            <v>Sunflower ( 12 Inch ) 5     FF Sachet + Grass</v>
          </cell>
          <cell r="R40" t="str">
            <v>Pur n P Car ( 14 Inch ) 22     FF Sachet + Grass</v>
          </cell>
          <cell r="S40" t="str">
            <v>Pur n P Eustoma ( 12 Inch ) 4     FF Sachet + Grass</v>
          </cell>
          <cell r="T40" t="str">
            <v>O Asiatic ( 14 Inch ) 4     Grass</v>
          </cell>
        </row>
        <row r="41">
          <cell r="A41">
            <v>2779</v>
          </cell>
          <cell r="B41" t="str">
            <v>Riddhi Desai</v>
          </cell>
          <cell r="C41">
            <v>8130497969</v>
          </cell>
          <cell r="D41" t="str">
            <v>D-71, The Icon</v>
          </cell>
          <cell r="E41" t="str">
            <v>Golf Course Road</v>
          </cell>
          <cell r="F41" t="str">
            <v>Sunday</v>
          </cell>
          <cell r="G41" t="str">
            <v>9 AM to 2 PM</v>
          </cell>
          <cell r="H41">
            <v>1600</v>
          </cell>
          <cell r="I41">
            <v>200</v>
          </cell>
          <cell r="J41" t="str">
            <v>Bloom</v>
          </cell>
          <cell r="K41" t="str">
            <v>Send this week on Saturday (14/08) Skip 1 week (21/12) Hold till 2nd June (20/05)</v>
          </cell>
          <cell r="N41" t="str">
            <v>7  del of this cycle   -  0-cycles pmnt   Completed - Collect 0</v>
          </cell>
          <cell r="O41" t="e">
            <v>#N/A</v>
          </cell>
          <cell r="P41" t="str">
            <v>Mix Alstroemeria ( 12 Inch ) 7     FF Sachet + Grass</v>
          </cell>
          <cell r="Q41" t="str">
            <v>B Daisy ( 12 Inch ) 7     FF Sachet + Grass</v>
          </cell>
          <cell r="R41" t="str">
            <v>P n W Glad ( 14 Inch ) 7     Grass</v>
          </cell>
          <cell r="S41" t="str">
            <v>Pur n P Car ( 14 Inch 7     FF Sachet + Grass</v>
          </cell>
          <cell r="T41" t="str">
            <v>Mix Alstroemeria 7     Grass</v>
          </cell>
        </row>
        <row r="42">
          <cell r="A42">
            <v>2307</v>
          </cell>
          <cell r="B42" t="str">
            <v>Alpna Jain</v>
          </cell>
          <cell r="C42">
            <v>9599336609</v>
          </cell>
          <cell r="D42" t="str">
            <v>C-64, The Icon</v>
          </cell>
          <cell r="E42" t="str">
            <v>DLF Phase 5</v>
          </cell>
          <cell r="F42" t="str">
            <v>Thursday</v>
          </cell>
          <cell r="G42" t="str">
            <v>10 AM to 2:30 PM</v>
          </cell>
          <cell r="H42">
            <v>3000</v>
          </cell>
          <cell r="I42">
            <v>375</v>
          </cell>
          <cell r="J42" t="str">
            <v>Charm</v>
          </cell>
          <cell r="K42" t="str">
            <v>Thursday n Sunday // Hold today (08/02) Keep flowers outside of Door (17/05)</v>
          </cell>
          <cell r="M42" t="str">
            <v>Keep flowers outside of door always</v>
          </cell>
          <cell r="N42" t="str">
            <v>5  del of this cycle   -  1-cycles pmnt   Pending - Collect 3000</v>
          </cell>
          <cell r="O42" t="str">
            <v>P n Y Spray Daisy ( 15 Inch ) 4 Keep at door -- Don’t Call Keep at door -- Don’t Call Keep at door -- Don’t Call Keep at door -- Don’t Call FF Sachet + Grass</v>
          </cell>
          <cell r="P42" t="str">
            <v>P n W Glad ( 14 Inch ) 15 Keep Flowers Outside of Door-- Don’t ring bell or Don’t Don’t Call    Grass</v>
          </cell>
          <cell r="Q42" t="str">
            <v>B Daisy ( 12 Inch ) 15 Keep Flowers outside of door -- Don’t call n don’t ring bell    FF Sachet + Grass</v>
          </cell>
          <cell r="R42" t="str">
            <v>Rajni ( 14 Inch ) 15 Keep Flowers at Door -- Don’t Call or Knock    Grass</v>
          </cell>
          <cell r="S42" t="str">
            <v>Y Asiatic ( 14 Inch ) 3 Keep Flowers at door -- Don’t Call or ring the bell    Grass</v>
          </cell>
          <cell r="T42" t="str">
            <v>P n W Glad ( 14 Inch ) 15 Keep Flowesr at Door -- Don’t Ring Bell, Don’t Call    Grass</v>
          </cell>
        </row>
        <row r="43">
          <cell r="A43">
            <v>945</v>
          </cell>
          <cell r="B43" t="str">
            <v>Ms. Shuchi Chopra</v>
          </cell>
          <cell r="C43">
            <v>9910984447</v>
          </cell>
          <cell r="D43" t="str">
            <v>Flat No. 703, M3M Golf Estate, Latitude Building</v>
          </cell>
          <cell r="E43" t="str">
            <v>Badshahpur</v>
          </cell>
          <cell r="F43" t="str">
            <v>Sunday</v>
          </cell>
          <cell r="G43" t="str">
            <v>9 AM - 12 PM</v>
          </cell>
          <cell r="H43">
            <v>1950</v>
          </cell>
          <cell r="I43">
            <v>487.5</v>
          </cell>
          <cell r="J43" t="str">
            <v>Joy</v>
          </cell>
          <cell r="K43"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43" t="str">
            <v>4  del of this cycle   -  0-cycles pmnt   In Process - Collect 0</v>
          </cell>
          <cell r="O43" t="str">
            <v>P n W Spray Daisy ( 15 Inch ) 4 R n W Car ( 14 Inch ) 11   FF Sachet + garss</v>
          </cell>
          <cell r="P43" t="str">
            <v>BOP 2 Mix Alstroemeria ( 12 Inch ) 11   FF Sachet + Grass</v>
          </cell>
          <cell r="Q43" t="str">
            <v>O Asiatic ( 14 Inch ) 2 P n W Glad ( 14 Inch ) 11   Grass</v>
          </cell>
          <cell r="R43" t="str">
            <v>P Eustoma ( 12 Inch ) 2 Rajni ( 14 Inch ) 11   Grass</v>
          </cell>
          <cell r="S43" t="str">
            <v>Sunflower ( 12 Inch ) 2 Pur n P Car ( 14 Inch ) 11   FF Sachet + Grass</v>
          </cell>
          <cell r="T43" t="str">
            <v>BOP 2 B Daisy ( 12 Inch ) 11   FF Sachet + Grass</v>
          </cell>
        </row>
        <row r="44">
          <cell r="A44">
            <v>1898</v>
          </cell>
          <cell r="B44" t="str">
            <v>Shipra</v>
          </cell>
          <cell r="C44">
            <v>8447778677</v>
          </cell>
          <cell r="D44" t="str">
            <v xml:space="preserve">C-94 Trinity </v>
          </cell>
          <cell r="E44" t="str">
            <v>DLF Phase 5</v>
          </cell>
          <cell r="F44" t="str">
            <v>Saturday</v>
          </cell>
          <cell r="G44" t="str">
            <v>4 Pm to 7 PM</v>
          </cell>
          <cell r="H44">
            <v>1600</v>
          </cell>
          <cell r="I44">
            <v>200</v>
          </cell>
          <cell r="J44" t="str">
            <v>Bloom</v>
          </cell>
          <cell r="K44"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44" t="str">
            <v>1  del of this cycle   -  1-cycles pmnt   Pending - Collect 1600</v>
          </cell>
          <cell r="O44" t="str">
            <v>Mix Car  7     FF Sachet + Grass</v>
          </cell>
          <cell r="P44" t="str">
            <v>P n W Glad ( 14 Inch ) 7     Grass</v>
          </cell>
          <cell r="Q44" t="str">
            <v>B Daisy ( 12 Inch ) 7     FF Sachet + Grass</v>
          </cell>
          <cell r="R44" t="e">
            <v>#N/A</v>
          </cell>
          <cell r="S44" t="str">
            <v>P n W Car ( 14 Inch ) 7     FF Sachet + Grass</v>
          </cell>
          <cell r="T44" t="str">
            <v>B Daisy ( 12 Inch ) 7     Grass</v>
          </cell>
        </row>
        <row r="45">
          <cell r="A45">
            <v>2444</v>
          </cell>
          <cell r="B45" t="str">
            <v>Navpreet Gill</v>
          </cell>
          <cell r="C45">
            <v>8076406029</v>
          </cell>
          <cell r="D45" t="str">
            <v>H. No. 1662, 2nd Floor. Near Oil Indian Petrol Pump, Wazirabad</v>
          </cell>
          <cell r="E45" t="str">
            <v>Sector 56</v>
          </cell>
          <cell r="F45" t="str">
            <v>Sunday</v>
          </cell>
          <cell r="G45" t="str">
            <v>9 AM to 2 PM</v>
          </cell>
          <cell r="H45">
            <v>1450</v>
          </cell>
          <cell r="I45">
            <v>362.5</v>
          </cell>
          <cell r="J45" t="str">
            <v>Bliss</v>
          </cell>
          <cell r="K45" t="str">
            <v>Insta // Return today (20/03) Hold today (27/03) Set replacement today (19/04) Hold n start after 2 week(15/05) Today returned (19/04) Send tom (20/04) HDTNP (03/05) Send on Tuesday this week (03/05)</v>
          </cell>
          <cell r="N45" t="str">
            <v>4  del of this cycle   -  0-cycles pmnt   Completed - Collect 0</v>
          </cell>
          <cell r="O45" t="str">
            <v>R n W Car( 14 Inch)  16     FF Sachet + Grass</v>
          </cell>
          <cell r="P45" t="str">
            <v>P n W Glad ( 14 Inch ) 16     Grass</v>
          </cell>
          <cell r="Q45" t="str">
            <v>P n W Spray Daisy ( 14 Inch ) 5     FF Sachet + Grass</v>
          </cell>
          <cell r="R45" t="str">
            <v>Pur Eustoma ( 12 Inch ) 3     FF Sachet + Grass</v>
          </cell>
          <cell r="S45" t="str">
            <v>Sunflower ( 12 Inch ) 4     FF Sachet + Grass</v>
          </cell>
          <cell r="T45" t="str">
            <v>O Asiatic ( 14 Inch ) 3     Grass</v>
          </cell>
        </row>
        <row r="46">
          <cell r="A46">
            <v>2637</v>
          </cell>
          <cell r="B46" t="str">
            <v>Shalini Kohli</v>
          </cell>
          <cell r="C46">
            <v>9999834141</v>
          </cell>
          <cell r="D46" t="str">
            <v>A-1402, Ireo Victory Valley</v>
          </cell>
          <cell r="E46" t="str">
            <v>Badshahpur</v>
          </cell>
          <cell r="F46" t="str">
            <v>Sunday</v>
          </cell>
          <cell r="G46" t="str">
            <v>9 AM - 12 PM</v>
          </cell>
          <cell r="H46">
            <v>1950</v>
          </cell>
          <cell r="I46">
            <v>487.5</v>
          </cell>
          <cell r="J46" t="str">
            <v>Joy</v>
          </cell>
          <cell r="K46"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46" t="str">
            <v>2  del of this cycle   -  0-cycles pmnt   Completed - Collect 0</v>
          </cell>
          <cell r="O46" t="str">
            <v>P n W Spray Daisy ( 15 Inch ) 4 Mix Carnation  ( 12 Inch ) 11   FF Sachet + garss</v>
          </cell>
          <cell r="P46" t="str">
            <v>Pur Eustoma ( 12 Inch ) 2 Mix Alstroemeria ( 12 Inch ) 11   FF Sachet + Grass</v>
          </cell>
          <cell r="Q46" t="str">
            <v>O Asiatic ( 14 Inch ) 2 P n W Glad ( 14 Inch ) 11   Grass</v>
          </cell>
          <cell r="R46" t="str">
            <v>P Asiatic ( 14 Inch ) 2 P n W Glad ( 14 Inch ) 11   Grass</v>
          </cell>
          <cell r="S46" t="str">
            <v>Sunflower ( 12 Inch ) 3 Rajni ( 14 Inch ) 11   FF Sachet + Grass</v>
          </cell>
          <cell r="T46" t="str">
            <v>BOP 2 Pur n P Car ( 14 Inch ) 11   FF Sachet + Grass</v>
          </cell>
        </row>
        <row r="47">
          <cell r="A47">
            <v>2434</v>
          </cell>
          <cell r="B47" t="str">
            <v>Manasi Sardana</v>
          </cell>
          <cell r="C47">
            <v>9825966349</v>
          </cell>
          <cell r="D47" t="str">
            <v>T-8/303, The South Close</v>
          </cell>
          <cell r="E47" t="str">
            <v>Nirvana Country</v>
          </cell>
          <cell r="F47" t="str">
            <v>Sunday</v>
          </cell>
          <cell r="G47" t="str">
            <v>9 AM to 2 PM</v>
          </cell>
          <cell r="H47">
            <v>1450</v>
          </cell>
          <cell r="I47">
            <v>362.5</v>
          </cell>
          <cell r="J47" t="str">
            <v>Bliss</v>
          </cell>
          <cell r="K47" t="str">
            <v>Rajni is preferred // Skip 1 week (17/05) paytm From Phadke Mansi Pradeep // Skip 1 week (01/01/26) Skip 1 week (24/01) Today returned (15/02)</v>
          </cell>
          <cell r="M47" t="str">
            <v>Rajni referred</v>
          </cell>
          <cell r="N47" t="str">
            <v>3  del of this cycle   -  0-cycles pmnt   Completed - Collect 0</v>
          </cell>
          <cell r="O47" t="str">
            <v>P Spray Daisy ( 15 Inch ) 3 Rajni( 12 Inch ) 7   FF Sachet + Grass</v>
          </cell>
          <cell r="P47" t="str">
            <v>Pur Eustoma ( 12 Inch ) 2 Mix Alstroemeria ( 12 Inch ) 7   FF Sachet + Grass</v>
          </cell>
          <cell r="Q47" t="str">
            <v>Sunflower ( 12 Inch ) 2 P n W Glad ( 14 Inch ) 7   FF Sachet + Grass</v>
          </cell>
          <cell r="R47" t="str">
            <v>Y Asiatic ( 14 Inch ) 2 Pur n P Car ( 14 Inch ) 7   Grass</v>
          </cell>
          <cell r="S47" t="str">
            <v>P Spray Daisy ( 14 Inch ) 3 Rajni ( 14 Inch ) 7   FF Sachet + Grass</v>
          </cell>
          <cell r="T47" t="str">
            <v>Sunflower ( 12 Inch ) 2 B Daisy ( 12 Inch ) 7   FF Sachet + Grass</v>
          </cell>
        </row>
        <row r="48">
          <cell r="A48">
            <v>2494</v>
          </cell>
          <cell r="B48" t="str">
            <v>Mili Sodhi -- Before 12 PM -- 1450 Pack</v>
          </cell>
          <cell r="C48">
            <v>9312059597</v>
          </cell>
          <cell r="D48" t="str">
            <v>E-801, Bestech Park View Spa Next, Sec 67</v>
          </cell>
          <cell r="E48" t="str">
            <v>Badshahpur</v>
          </cell>
          <cell r="F48" t="str">
            <v>Sunday</v>
          </cell>
          <cell r="G48" t="str">
            <v>9 AM to 2 PM</v>
          </cell>
          <cell r="H48">
            <v>1450</v>
          </cell>
          <cell r="I48">
            <v>362.5</v>
          </cell>
          <cell r="J48" t="str">
            <v>Bliss</v>
          </cell>
          <cell r="K48"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48" t="str">
            <v>Before 12 PM (16/11)</v>
          </cell>
          <cell r="N48" t="str">
            <v>1  del of this cycle   -  1-cycles pmnt   Pending - Collect 1450</v>
          </cell>
          <cell r="O48" t="str">
            <v>R n W Car( 14 Inch)  9     FF Sachet + Grass</v>
          </cell>
          <cell r="P48" t="str">
            <v>Mix Alstroemeria ( 12 Inch ) 9     FF Sachet + Grass</v>
          </cell>
          <cell r="Q48" t="str">
            <v>Sunflower ( 12 Inch ) 2     FF Sachet + Grass</v>
          </cell>
          <cell r="R48" t="e">
            <v>#N/A</v>
          </cell>
          <cell r="S48" t="e">
            <v>#N/A</v>
          </cell>
          <cell r="T48" t="str">
            <v>Pur n P Car ( 14 Inch ) 16     FF Sachet + Grass</v>
          </cell>
        </row>
        <row r="49">
          <cell r="A49">
            <v>3282</v>
          </cell>
          <cell r="B49" t="str">
            <v>Pluang Technologies India Pvt. Ltd.</v>
          </cell>
          <cell r="C49">
            <v>9650723437</v>
          </cell>
          <cell r="D49" t="str">
            <v>13th Floor, Magnum Global Park, Sec 58</v>
          </cell>
          <cell r="E49" t="str">
            <v>Ghata</v>
          </cell>
          <cell r="F49" t="str">
            <v>Sunday</v>
          </cell>
          <cell r="G49" t="str">
            <v>4 Pm to 7 PM</v>
          </cell>
          <cell r="H49">
            <v>1950</v>
          </cell>
          <cell r="I49">
            <v>487.5</v>
          </cell>
          <cell r="J49" t="str">
            <v>Joy</v>
          </cell>
          <cell r="K49" t="str">
            <v>Payment from Vibhuti --997176764 (10/03) Paytm From Sahiba Sachdeva (08/04)</v>
          </cell>
          <cell r="N49" t="str">
            <v>2  del of this cycle   -  0-cycles pmnt   Completed - Collect 0</v>
          </cell>
          <cell r="O49" t="str">
            <v>Pur n P Eustoma ( 12 Inch ) 2 B Daisy 11   FF Sachet + garss</v>
          </cell>
          <cell r="P49" t="str">
            <v>Sunflower ( 12 Inch ) 3 Mix Alstroemeria ( 12 Inch ) 11   FF Sachet + Grass</v>
          </cell>
          <cell r="Q49" t="str">
            <v>P Asiatic ( 14 Inch ) 2 Pur n P Car ( 14 Inch ) 11   Grass</v>
          </cell>
          <cell r="R49" t="str">
            <v>P n Y Spray Daisy ( 14 Inch ) 4 P n W Glad ( 14 Inch ) 11   FF Sachet + Grass</v>
          </cell>
          <cell r="S49" t="str">
            <v>Sunflower ( 12 Inch ) 3 Rajni ( 14 Inch ) 11   FF Sachet + Grass</v>
          </cell>
          <cell r="T49" t="str">
            <v>O Asiatic ( 14 Inch ) 2 P n W Glad ( 14 Inch ) 11   Grass</v>
          </cell>
        </row>
        <row r="50">
          <cell r="A50">
            <v>2450</v>
          </cell>
          <cell r="B50" t="str">
            <v>Anshuman Divyanshu -- 1450 Pack</v>
          </cell>
          <cell r="C50">
            <v>9934010124</v>
          </cell>
          <cell r="D50" t="str">
            <v>G-1401, Bestech Park View Spa Next</v>
          </cell>
          <cell r="E50" t="str">
            <v>Badshahpur</v>
          </cell>
          <cell r="F50" t="str">
            <v>Sunday</v>
          </cell>
          <cell r="G50" t="str">
            <v>9:30 Am to 2 PM</v>
          </cell>
          <cell r="H50">
            <v>1450</v>
          </cell>
          <cell r="I50">
            <v>362.5</v>
          </cell>
          <cell r="J50" t="str">
            <v>Bliss</v>
          </cell>
          <cell r="K50" t="str">
            <v>Insta // return today (24/08) Hold today (28/09) HDTNP (03/05) Skip 1 week (06/06)</v>
          </cell>
          <cell r="N50" t="str">
            <v>1  del of this cycle   -  1-cycles pmnt   Pending - Collect 1450</v>
          </cell>
          <cell r="O50" t="str">
            <v>R n W Car( 14 Inch)  9     FF Sachet + Grass</v>
          </cell>
          <cell r="P50" t="e">
            <v>#N/A</v>
          </cell>
          <cell r="Q50" t="str">
            <v>O Asiatic ( 14 Inch ) 2     Grass</v>
          </cell>
          <cell r="R50" t="str">
            <v>B Daisy ( 12 Inch ) 9     Grass</v>
          </cell>
          <cell r="S50" t="str">
            <v>Sunflower ( 12 Inch ) 2     FF Sachet + Grass</v>
          </cell>
          <cell r="T50" t="str">
            <v>Pur n P Car ( 14 Inch ) 16     FF Sachet + Grass</v>
          </cell>
        </row>
        <row r="51">
          <cell r="A51">
            <v>2856</v>
          </cell>
          <cell r="B51" t="str">
            <v>Bonita Bhatnagar</v>
          </cell>
          <cell r="C51">
            <v>9958222833</v>
          </cell>
          <cell r="D51" t="str">
            <v>C-134, Block C, Mayfield Garden</v>
          </cell>
          <cell r="E51" t="str">
            <v>Nirvana Country</v>
          </cell>
          <cell r="F51" t="str">
            <v>Sunday</v>
          </cell>
          <cell r="G51" t="str">
            <v>5 PM to 8 PM</v>
          </cell>
          <cell r="H51">
            <v>1450</v>
          </cell>
          <cell r="I51">
            <v>362.5</v>
          </cell>
          <cell r="J51" t="str">
            <v>Bliss</v>
          </cell>
          <cell r="K51" t="str">
            <v>Upgraded as per scheme to Bliss for 5 Deliveries (22/08)</v>
          </cell>
          <cell r="N51" t="str">
            <v>1  del of this cycle   -  1-cycles pmnt   Pending - Collect 1450</v>
          </cell>
          <cell r="O51" t="str">
            <v>W Asiatic ( 15 inch ) 3     Grass</v>
          </cell>
          <cell r="P51" t="str">
            <v>Mix Alstroemeria ( 12 Inch ) 16     FF Sachet + Grass</v>
          </cell>
          <cell r="Q51" t="str">
            <v>Pur n P Car ( 14 Inch ) 16     FF Sachet + Grass</v>
          </cell>
          <cell r="R51" t="str">
            <v>P Eustoma ( 12 Inch ) 3     FF Sachet + Grass</v>
          </cell>
          <cell r="S51" t="str">
            <v>P n W Glad ( 14 Inch ) 16     Grass</v>
          </cell>
          <cell r="T51" t="str">
            <v>Sunflower ( 12 Inch ) 4     FF Sachet + Grass</v>
          </cell>
        </row>
        <row r="52">
          <cell r="A52">
            <v>257</v>
          </cell>
          <cell r="B52" t="str">
            <v>Mrs Munjal -- After 5 PM</v>
          </cell>
          <cell r="C52">
            <v>9818871139</v>
          </cell>
          <cell r="D52" t="str">
            <v>B- 22 Sushant Lok 2, sector 56 (Behind sector 56 police station)</v>
          </cell>
          <cell r="E52" t="str">
            <v>Sector 56</v>
          </cell>
          <cell r="F52" t="str">
            <v>Sunday</v>
          </cell>
          <cell r="G52" t="str">
            <v>9 AM - 12 PM</v>
          </cell>
          <cell r="H52">
            <v>1450</v>
          </cell>
          <cell r="I52">
            <v>362.5</v>
          </cell>
          <cell r="J52" t="str">
            <v>Bliss</v>
          </cell>
          <cell r="K52"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52" t="str">
            <v>2  del of this cycle   -  0-cycles pmnt   Completed - Collect 0</v>
          </cell>
          <cell r="O52" t="str">
            <v>P n W Glad ( 14 Inch ) 16     Grass</v>
          </cell>
          <cell r="P52" t="str">
            <v>P n Y Spray Daisy ( 14 Inch ) 5     FF Sachet + Grass</v>
          </cell>
          <cell r="Q52" t="str">
            <v>Pur n P Car ( 14 Inch ) 16     FF Sachet + Grass</v>
          </cell>
          <cell r="R52" t="str">
            <v>P Eustoma ( 12 Inch ) 3     FF Sachet + Grass</v>
          </cell>
          <cell r="S52" t="str">
            <v>Y Asiatic ( 14 Inch ) 3     Grass</v>
          </cell>
          <cell r="T52" t="str">
            <v>Rajni ( 14 Inch ) 16     Grass</v>
          </cell>
        </row>
        <row r="53">
          <cell r="A53">
            <v>2748</v>
          </cell>
          <cell r="B53" t="str">
            <v>Rishabh Suri</v>
          </cell>
          <cell r="C53">
            <v>9871320514</v>
          </cell>
          <cell r="D53" t="str">
            <v>H. No. 962, Block C, Sushant Lok, Near Ambience Public School</v>
          </cell>
          <cell r="E53" t="str">
            <v>DLF Phase 5</v>
          </cell>
          <cell r="F53" t="str">
            <v>Sunday</v>
          </cell>
          <cell r="G53" t="str">
            <v>9 AM - 12 PM</v>
          </cell>
          <cell r="H53">
            <v>1450</v>
          </cell>
          <cell r="I53">
            <v>362.5</v>
          </cell>
          <cell r="J53" t="str">
            <v>Bliss</v>
          </cell>
          <cell r="K53" t="str">
            <v>Hold n start from Sep (06/08) Paytm from Rajeev Suri (22/11) Paytm from Anu Suri (21/12)</v>
          </cell>
          <cell r="N53" t="str">
            <v>1  del of this cycle   -  0-cycles pmnt   Completed - Collect 0</v>
          </cell>
          <cell r="O53" t="e">
            <v>#N/A</v>
          </cell>
          <cell r="P53" t="str">
            <v>Pur n P Car ( 14 Inch ) 16     FF Sachet + Grass</v>
          </cell>
          <cell r="Q53" t="str">
            <v>O Asiatic ( 14 Inch ) 3     Grass</v>
          </cell>
          <cell r="R53" t="str">
            <v>P n W Glad ( 14 Inch ) 16     Grass</v>
          </cell>
          <cell r="S53" t="str">
            <v>Sunflower ( 12 Inch ) 4     FF Sachet + Grass</v>
          </cell>
          <cell r="T53" t="str">
            <v>Rajni ( 14 Inch ) 16     Grass</v>
          </cell>
        </row>
        <row r="54">
          <cell r="A54">
            <v>3351</v>
          </cell>
          <cell r="B54" t="str">
            <v>Shubhpret kaur</v>
          </cell>
          <cell r="C54">
            <v>8800898704</v>
          </cell>
          <cell r="D54" t="str">
            <v>H. No. 667, 3rd Floor, Sec 43</v>
          </cell>
          <cell r="E54" t="str">
            <v>DLF Phase 5</v>
          </cell>
          <cell r="F54" t="str">
            <v>Sunday</v>
          </cell>
          <cell r="G54" t="str">
            <v>9 AM - 12 PM</v>
          </cell>
          <cell r="H54">
            <v>1950</v>
          </cell>
          <cell r="I54">
            <v>487.5</v>
          </cell>
          <cell r="J54" t="str">
            <v>Joy</v>
          </cell>
          <cell r="K54" t="str">
            <v>Paytm From Amara Preet Singh // Change day to Sunday (13/06)</v>
          </cell>
          <cell r="N54" t="str">
            <v>2  del of this cycle   -  1-cycles pmnt   Pending - Collect 1950</v>
          </cell>
          <cell r="O54" t="e">
            <v>#N/A</v>
          </cell>
          <cell r="P54" t="e">
            <v>#N/A</v>
          </cell>
          <cell r="Q54" t="str">
            <v>P Asiatic ( 14 Inch ) 2 Pur n P Car ( 14 Inch ) 11   Grass</v>
          </cell>
          <cell r="R54" t="str">
            <v>Pur Eustoma ( 12 Inch ) 2 B Daisy ( 12 Inch ) 11   FF Sachet + Grass</v>
          </cell>
          <cell r="S54" t="str">
            <v>Sunflower ( 12 Inch ) 3 P n W Glad ( 14 Inch ) 11   FF Sachet + Grass</v>
          </cell>
          <cell r="T54" t="str">
            <v>BOP  2 Rajni ( 14 Inch ) 11   FF Sachet + Grass</v>
          </cell>
        </row>
        <row r="55">
          <cell r="A55">
            <v>2878</v>
          </cell>
          <cell r="B55" t="str">
            <v>Aditi Bhatt</v>
          </cell>
          <cell r="C55">
            <v>7506091115</v>
          </cell>
          <cell r="D55" t="str">
            <v>D-225, 2nd Floor, Sushant Lok-2, Sec 56</v>
          </cell>
          <cell r="E55" t="str">
            <v>Sector 56</v>
          </cell>
          <cell r="F55" t="str">
            <v>Sunday</v>
          </cell>
          <cell r="G55" t="str">
            <v>9 AM - 12 PM</v>
          </cell>
          <cell r="H55">
            <v>1450</v>
          </cell>
          <cell r="I55">
            <v>362.5</v>
          </cell>
          <cell r="J55" t="str">
            <v>Bliss</v>
          </cell>
          <cell r="K55"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55" t="str">
            <v>No White Local Gypsy</v>
          </cell>
          <cell r="N55" t="str">
            <v>3  del of this cycle   -  0-cycles pmnt   CompletedNO COLLECTION-we have extra money - Collect -1</v>
          </cell>
          <cell r="O55" t="str">
            <v>O Asiatic ( 15 Inch ) 2     Grass</v>
          </cell>
          <cell r="P55" t="str">
            <v>Pur n P Car ( 14 Inch ) 9     FF Sachet + Grass</v>
          </cell>
          <cell r="Q55" t="e">
            <v>#N/A</v>
          </cell>
          <cell r="R55" t="str">
            <v>B Daisy ( 12 Inch ) 9     Grass</v>
          </cell>
          <cell r="S55" t="str">
            <v>Sunflower ( 12 Inch ) 4     FF Sachet + Grass</v>
          </cell>
          <cell r="T55" t="str">
            <v>Rajni ( 14 Inch ) 16     Grass</v>
          </cell>
        </row>
        <row r="56">
          <cell r="A56">
            <v>3359</v>
          </cell>
          <cell r="B56" t="str">
            <v>Payal Soni</v>
          </cell>
          <cell r="C56">
            <v>7508901884</v>
          </cell>
          <cell r="D56" t="str">
            <v>T-9/1403, Pyramid Sec 67 A, Badshahpur Road, Near Iskcon</v>
          </cell>
          <cell r="E56" t="str">
            <v>Badshahpur</v>
          </cell>
          <cell r="F56" t="str">
            <v>Sunday</v>
          </cell>
          <cell r="G56" t="str">
            <v>9 AM - 12 PM</v>
          </cell>
          <cell r="H56">
            <v>1450</v>
          </cell>
          <cell r="I56">
            <v>362.5</v>
          </cell>
          <cell r="J56" t="str">
            <v>Bliss</v>
          </cell>
          <cell r="K56" t="str">
            <v>No Glad and day changed to Sunday 904/06)</v>
          </cell>
          <cell r="L56" t="str">
            <v>Glad</v>
          </cell>
          <cell r="N56" t="str">
            <v>1  del of this cycle   -  0-cycles pmnt   Completed - Collect 0</v>
          </cell>
          <cell r="O56" t="e">
            <v>#N/A</v>
          </cell>
          <cell r="P56" t="str">
            <v>Mix Alstroemeria ( 12 Inch ) 16     FF Sachet + Grass</v>
          </cell>
          <cell r="Q56" t="str">
            <v>P Asiatic ( 14 Inch ) 3     Grass</v>
          </cell>
          <cell r="R56" t="str">
            <v>Pur n P Car ( 14 Inch ) 16     FF Sachet + Grass</v>
          </cell>
          <cell r="S56" t="str">
            <v>Sunflower ( 12 Inch ) 4     FF Sachet + Grass</v>
          </cell>
          <cell r="T56" t="str">
            <v>Rajni ( 14 Inch ) 16     Grass</v>
          </cell>
        </row>
        <row r="57">
          <cell r="A57">
            <v>2462</v>
          </cell>
          <cell r="B57" t="str">
            <v>Rubeey Matharu -- 1450 Pack</v>
          </cell>
          <cell r="C57">
            <v>9811601176</v>
          </cell>
          <cell r="D57" t="str">
            <v>Sirera 1, T-6/306, M3M Marina</v>
          </cell>
          <cell r="E57" t="str">
            <v>Badshahpur</v>
          </cell>
          <cell r="F57" t="str">
            <v>Sunday</v>
          </cell>
          <cell r="G57" t="str">
            <v>9 AM - 12 PM</v>
          </cell>
          <cell r="H57">
            <v>1450</v>
          </cell>
          <cell r="I57">
            <v>362.5</v>
          </cell>
          <cell r="J57" t="str">
            <v>Bliss</v>
          </cell>
          <cell r="K57" t="str">
            <v>Skip 1 week and inform before starting (08/04) Hold n start from Aug (15/05) Paytm From Amanpreet Kaur Matharu // Paytm from Gurjeet Matharu</v>
          </cell>
          <cell r="M57" t="str">
            <v>Rajni Tom (01/11)</v>
          </cell>
          <cell r="N57" t="str">
            <v>1  del of this cycle   -  1-cycles pmnt   Pending - Collect 1000</v>
          </cell>
          <cell r="O57" t="str">
            <v>O Asiatic ( 15 Inch ) 2     Grass</v>
          </cell>
          <cell r="P57" t="str">
            <v>Mix Alstroemeria ( 12 Inch ) 9     FF Sachet + Grass</v>
          </cell>
          <cell r="Q57" t="str">
            <v>Pur n P Car ( 14 Inch ) 9     FF Sachet + Grass</v>
          </cell>
          <cell r="R57" t="str">
            <v>B Daisy ( 12 Inch ) 9     Grass</v>
          </cell>
          <cell r="S57" t="str">
            <v>P n W Glad ( 14 Inch ) 9     Grass</v>
          </cell>
          <cell r="T57" t="str">
            <v>Sunflower ( 12 Inch ) 4     FF Sachet + Grass</v>
          </cell>
        </row>
        <row r="58">
          <cell r="A58">
            <v>2200</v>
          </cell>
          <cell r="B58" t="str">
            <v>Naina Gandhi</v>
          </cell>
          <cell r="C58">
            <v>9811188863</v>
          </cell>
          <cell r="D58" t="str">
            <v>K2/105, Central Park -1</v>
          </cell>
          <cell r="E58" t="str">
            <v>Golf Course Road</v>
          </cell>
          <cell r="F58" t="str">
            <v>Thursday</v>
          </cell>
          <cell r="G58" t="str">
            <v>9 AM - 12 PM</v>
          </cell>
          <cell r="H58">
            <v>2300</v>
          </cell>
          <cell r="I58">
            <v>287.5</v>
          </cell>
          <cell r="J58" t="str">
            <v>Felicity</v>
          </cell>
          <cell r="K58"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58" t="str">
            <v>SPRAY DAISY</v>
          </cell>
          <cell r="M58" t="str">
            <v>Check for Bi weekly package</v>
          </cell>
          <cell r="N58" t="str">
            <v>2  del of this cycle   -  0-cycles pmnt   Completed - Collect 0</v>
          </cell>
          <cell r="O58" t="e">
            <v>#N/A</v>
          </cell>
          <cell r="P58" t="e">
            <v>#N/A</v>
          </cell>
          <cell r="Q58" t="e">
            <v>#N/A</v>
          </cell>
          <cell r="R58" t="str">
            <v>O Asiatic ( 14 Inch )' 2     Grass</v>
          </cell>
          <cell r="S58" t="e">
            <v>#N/A</v>
          </cell>
          <cell r="T58" t="str">
            <v>Rajni ( 14 Inch ) 11     Grass</v>
          </cell>
        </row>
        <row r="59">
          <cell r="A59">
            <v>1467</v>
          </cell>
          <cell r="B59" t="str">
            <v>Priyanka Chaturvedi</v>
          </cell>
          <cell r="C59">
            <v>7838930274</v>
          </cell>
          <cell r="D59" t="str">
            <v xml:space="preserve">Flat No. A-303, The Peaceful Homes, Sec 70-A
</v>
          </cell>
          <cell r="E59" t="str">
            <v>Badshahpur</v>
          </cell>
          <cell r="F59" t="str">
            <v>Friday</v>
          </cell>
          <cell r="G59" t="str">
            <v>9 AM - 12 PM</v>
          </cell>
          <cell r="H59">
            <v>1600</v>
          </cell>
          <cell r="I59">
            <v>200</v>
          </cell>
          <cell r="J59" t="str">
            <v>Bloom</v>
          </cell>
          <cell r="K5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9" t="str">
            <v>ROSE n SPRAY DAISY</v>
          </cell>
          <cell r="N59" t="str">
            <v>5  del of this cycle   -  0-cycles pmnt   Completed - Collect 0</v>
          </cell>
          <cell r="O59" t="str">
            <v>R n W Car( 14 Inch)  7     FF Sachet + Grass</v>
          </cell>
          <cell r="P59" t="str">
            <v>Sunflower ( 12 Inch ) 2     FF Sachet + Grass</v>
          </cell>
          <cell r="Q59" t="str">
            <v>Mix Alstroemeria ( 12 Inch ) 7     FF Sachet + Grass</v>
          </cell>
          <cell r="R59" t="str">
            <v>B Daisy ( 12 Inch ) 7     Grass</v>
          </cell>
          <cell r="S59" t="str">
            <v>Sunflower ( 12 Inch ) 2     FF Sachet + Grass</v>
          </cell>
          <cell r="T59" t="str">
            <v>B Daisy ( 12 Inch ) 7     Grass</v>
          </cell>
        </row>
        <row r="60">
          <cell r="A60">
            <v>1455</v>
          </cell>
          <cell r="B60" t="str">
            <v>Gagan Ahluwalia</v>
          </cell>
          <cell r="C60">
            <v>9811105056</v>
          </cell>
          <cell r="D60" t="str">
            <v>C-82, The Summit</v>
          </cell>
          <cell r="E60" t="str">
            <v>Golf Course Road</v>
          </cell>
          <cell r="F60" t="str">
            <v>Thursday</v>
          </cell>
          <cell r="G60" t="str">
            <v>9 AM - 12 PM</v>
          </cell>
          <cell r="H60">
            <v>2300</v>
          </cell>
          <cell r="I60">
            <v>287.5</v>
          </cell>
          <cell r="J60" t="str">
            <v>Felicity</v>
          </cell>
          <cell r="K60"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60" t="str">
            <v>8  del of this cycle   -  0-cycles pmnt   Completed - Collect 0</v>
          </cell>
          <cell r="O60" t="e">
            <v>#N/A</v>
          </cell>
          <cell r="P60" t="str">
            <v>Sunflower ( 12 Inch ) 3     FF Sachet + Grass</v>
          </cell>
          <cell r="Q60" t="str">
            <v>O Asiatic ( 14 Inch ) 2     Grass</v>
          </cell>
          <cell r="R60" t="str">
            <v>B Daisy ( 12 Inch ) 11     Grass</v>
          </cell>
          <cell r="S60" t="str">
            <v>P n W Glad ( 14 Inch ) 11     Grass</v>
          </cell>
          <cell r="T60" t="str">
            <v>Rajni ( 14 Inch ) 11     Grass</v>
          </cell>
        </row>
        <row r="61">
          <cell r="A61">
            <v>3179</v>
          </cell>
          <cell r="B61" t="str">
            <v>Bandhana</v>
          </cell>
          <cell r="C61">
            <v>98188998617</v>
          </cell>
          <cell r="D61" t="str">
            <v>T-5/902, Tata Primanti</v>
          </cell>
          <cell r="E61" t="str">
            <v>Badshahpur</v>
          </cell>
          <cell r="F61" t="str">
            <v>Sunday</v>
          </cell>
          <cell r="G61" t="str">
            <v>9 AM - 12 PM</v>
          </cell>
          <cell r="H61">
            <v>1950</v>
          </cell>
          <cell r="I61">
            <v>487.5</v>
          </cell>
          <cell r="J61" t="str">
            <v>Joy</v>
          </cell>
          <cell r="K61" t="str">
            <v>Single Kind // Replacement tom (08/03) No Spray Daisy and BOP (31/03)</v>
          </cell>
          <cell r="L61" t="str">
            <v>Spray Daisy n BOP</v>
          </cell>
          <cell r="M61" t="str">
            <v>Single Kind</v>
          </cell>
          <cell r="N61" t="str">
            <v>1  del of this cycle   -  1-cycles pmnt   Pending - Collect 1950</v>
          </cell>
          <cell r="O61" t="str">
            <v>Pur n P Eustoma ( 12 Inch ) 4     FF Sachet + garss</v>
          </cell>
          <cell r="P61" t="str">
            <v>W Asiatic ( 14 Inch ) 4     Grass</v>
          </cell>
          <cell r="Q61" t="str">
            <v>Mix Glad (14Inch) 22     FF Sachet + Grass</v>
          </cell>
          <cell r="R61" t="str">
            <v>Pur n P Car ( 14 Inch ) 22     FF Sachet + Grass</v>
          </cell>
          <cell r="S61" t="str">
            <v>Pur n P Eustoma ( 12 Inch ) 4     FF Sachet + Grass</v>
          </cell>
          <cell r="T61" t="str">
            <v>Rajni ( 14 Inch ) 22     Grass</v>
          </cell>
        </row>
        <row r="62">
          <cell r="A62">
            <v>3274</v>
          </cell>
          <cell r="B62" t="str">
            <v>Meera Singh</v>
          </cell>
          <cell r="C62">
            <v>9810401220</v>
          </cell>
          <cell r="D62" t="str">
            <v>138, Tatvam Villas, Sec 48</v>
          </cell>
          <cell r="E62" t="str">
            <v>Sohna Road 2</v>
          </cell>
          <cell r="F62" t="str">
            <v>Sunday</v>
          </cell>
          <cell r="G62" t="str">
            <v>9 AM - 12 PM</v>
          </cell>
          <cell r="H62">
            <v>1950</v>
          </cell>
          <cell r="I62">
            <v>487.5</v>
          </cell>
          <cell r="J62" t="str">
            <v>Joy</v>
          </cell>
          <cell r="K62" t="str">
            <v>No Lilies and Sunflower (20/02) Skip 1 week (28/03) Paytm From Singh M (06/04) No Sunflower n Asiatic (02/05)</v>
          </cell>
          <cell r="L62" t="str">
            <v>Asiatic n Sunflowers</v>
          </cell>
          <cell r="M62" t="str">
            <v>Single Kind</v>
          </cell>
          <cell r="N62" t="str">
            <v>2  del of this cycle   -  0-cycles pmnt   Completed - Collect 0</v>
          </cell>
          <cell r="O62" t="str">
            <v>P n W Glad ( 14 Inch ) 22     Grass</v>
          </cell>
          <cell r="P62" t="str">
            <v>P n W Spray Daisy ( 14 Inch) 7     FF Sachet + Grass</v>
          </cell>
          <cell r="Q62" t="str">
            <v>Pur n P Car ( 14 Inch ) 22     FF Sachet + Grass</v>
          </cell>
          <cell r="R62" t="str">
            <v>B Daisy ( 12 Inch ) 22     FF Sachet + Grass</v>
          </cell>
          <cell r="S62" t="str">
            <v>Pur n P Eustoma ( 12 Inch ) 4     FF Sachet + Grass</v>
          </cell>
          <cell r="T62" t="str">
            <v>Rajni ( 14 Inch ) 22     Grass</v>
          </cell>
        </row>
        <row r="63">
          <cell r="A63" t="str">
            <v>G-00056</v>
          </cell>
          <cell r="B63" t="str">
            <v>Triveni Wahi</v>
          </cell>
          <cell r="C63">
            <v>7503975035</v>
          </cell>
          <cell r="D63" t="str">
            <v>B-14/12 C, Dlf The Grove</v>
          </cell>
          <cell r="E63" t="str">
            <v>DLF Phase 5</v>
          </cell>
          <cell r="F63" t="str">
            <v>Sunday</v>
          </cell>
          <cell r="G63" t="str">
            <v>9 AM - 12 PM</v>
          </cell>
          <cell r="H63">
            <v>1450</v>
          </cell>
          <cell r="I63">
            <v>362.5</v>
          </cell>
          <cell r="J63" t="str">
            <v>Bliss</v>
          </cell>
          <cell r="K63" t="str">
            <v>From Madhulika Geeta Chopra // 2sesonal Extra next (05/05) Today Returned -send next week (24/05) Today returned - hold (14/06)</v>
          </cell>
          <cell r="M63" t="str">
            <v>2 sesonal Extra next (05/05)</v>
          </cell>
          <cell r="N63" t="str">
            <v>1  del of this cycle   -  0-cycles pmnt   Completed - Collect 0</v>
          </cell>
          <cell r="O63" t="str">
            <v>P n W Car ( 14 inch ) 16     FF Sachet + Grass</v>
          </cell>
          <cell r="P63" t="str">
            <v>Mix Alstroemeria ( 12 Inch ) 16     FF Sachet + Grass</v>
          </cell>
          <cell r="Q63" t="str">
            <v>P n W Spray Daisy ( 14 Inch ) 5     FF Sachet + Grass</v>
          </cell>
          <cell r="R63" t="str">
            <v>P n W Spray Daisy ( 14 Inch ) 5     FF Sachet + Grass</v>
          </cell>
          <cell r="S63" t="str">
            <v>Sunflower ( 12 Inch ) 4     FF Sachet + Grass</v>
          </cell>
          <cell r="T63" t="str">
            <v>Pur n P Car ( 14 Inch ) 16     FF Sachet + Grass</v>
          </cell>
        </row>
        <row r="64">
          <cell r="A64" t="str">
            <v>B46944</v>
          </cell>
          <cell r="B64" t="str">
            <v>Albi</v>
          </cell>
          <cell r="C64">
            <v>9999236508</v>
          </cell>
          <cell r="D64" t="str">
            <v>G-3/1A, DLF Phase 1</v>
          </cell>
          <cell r="E64" t="str">
            <v>DLF Phase 1</v>
          </cell>
          <cell r="F64" t="str">
            <v>Thursday</v>
          </cell>
          <cell r="G64" t="str">
            <v>By 9 AM</v>
          </cell>
          <cell r="H64">
            <v>28000</v>
          </cell>
          <cell r="I64">
            <v>7000</v>
          </cell>
          <cell r="J64" t="str">
            <v>Customized</v>
          </cell>
          <cell r="K64" t="str">
            <v>Now at every 10 days (18/12)</v>
          </cell>
          <cell r="N64" t="str">
            <v>1  del of this cycle   -  0-cycles pmnt   In Process - Collect 0</v>
          </cell>
          <cell r="O64" t="str">
            <v xml:space="preserve">W Oriental + W Asiatic + G n W Car + G n W Spray Daisy + G n W Anthurium  4 + 4 + 40 + 15 + 6     </v>
          </cell>
          <cell r="P64" t="str">
            <v xml:space="preserve">P  Oriental + P Asiatic + P n Y Button Daisy + P n Y Car + P Eustoma 4 + 4 + 10 + 40 + 8 Mogra 300 Gm   </v>
          </cell>
          <cell r="Q64" t="str">
            <v xml:space="preserve">P Oriental + Y Asiatic + P n W Spray Daisy + Pur n P Car + Pur Eustoma + Pur Anthurium 4 + 4 +10 + 35 + 6 Dilli patti + Fish Tail + Other Greens    </v>
          </cell>
          <cell r="R64" t="e">
            <v>#N/A</v>
          </cell>
          <cell r="S64" t="str">
            <v xml:space="preserve">W Oriental + R Asiatic + R n W Spray Daisy + R n W Car + R n W Anthurium + W Orchid  4 + 4 + 12 + 30 + 4 + 7 Mogra 200 Gm   </v>
          </cell>
          <cell r="T64" t="str">
            <v xml:space="preserve">W Oriental + G Anthurium + G Lotus Pd + Baloon Flower + G n W Car + Big Monstera 4 + 6 + 8 + 8 + 15 W Oriental + Limonium 2 + 3 ( In Suraahi Vase) Mogra  300 Gm </v>
          </cell>
        </row>
        <row r="65">
          <cell r="A65">
            <v>1899</v>
          </cell>
          <cell r="B65" t="str">
            <v>Hardik Shah</v>
          </cell>
          <cell r="C65">
            <v>9811227080</v>
          </cell>
          <cell r="D65" t="str">
            <v>T-5/1402, Vipul Green</v>
          </cell>
          <cell r="E65" t="str">
            <v>Sohna Road 2</v>
          </cell>
          <cell r="F65" t="str">
            <v>Friday</v>
          </cell>
          <cell r="G65" t="str">
            <v>9 AM - 12 PM</v>
          </cell>
          <cell r="H65">
            <v>4850</v>
          </cell>
          <cell r="I65">
            <v>606.25</v>
          </cell>
          <cell r="J65" t="str">
            <v>Poise</v>
          </cell>
          <cell r="K65"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5" t="str">
            <v>3  del of this cycle   -  1-cycles pmnt   Pending - Collect 4850</v>
          </cell>
          <cell r="O65" t="str">
            <v>Rajni ( 14 Inch )  26     Grass</v>
          </cell>
          <cell r="P65" t="str">
            <v>Mix Alstroemeria ( 12 Inch ) 20     FF Sachet + Grass</v>
          </cell>
          <cell r="Q65" t="e">
            <v>#N/A</v>
          </cell>
          <cell r="R65" t="e">
            <v>#N/A</v>
          </cell>
          <cell r="S65" t="str">
            <v>Pur n P Car ( 14 Inch 26     FF Sachet + Grass</v>
          </cell>
          <cell r="T65" t="str">
            <v>B Daisy ( 12 Inch ) 26     Grass</v>
          </cell>
        </row>
        <row r="66">
          <cell r="A66">
            <v>2707</v>
          </cell>
          <cell r="B66" t="str">
            <v>Mrigal Vora Puri</v>
          </cell>
          <cell r="C66">
            <v>9903474654</v>
          </cell>
          <cell r="D66" t="str">
            <v>T-6A/1103, Valley View Estate</v>
          </cell>
          <cell r="E66" t="str">
            <v>Ghata</v>
          </cell>
          <cell r="F66" t="str">
            <v>Sunday</v>
          </cell>
          <cell r="G66" t="str">
            <v>9 AM - 12 PM</v>
          </cell>
          <cell r="H66">
            <v>1450</v>
          </cell>
          <cell r="I66">
            <v>362.5</v>
          </cell>
          <cell r="J66" t="str">
            <v>Bliss</v>
          </cell>
          <cell r="K66" t="str">
            <v>Glad Next (20/06) Hold today (05/1) Hold due to non payment (01/02) Hold due to non payment (08/02) HDTNP (15/02) Skip 1 week (04/04) HDTNP (03/05) HDTNP (10/05) Paytm From Akhil Puri (07/06)</v>
          </cell>
          <cell r="M66" t="str">
            <v>Glad Next (20/06)</v>
          </cell>
          <cell r="N66" t="str">
            <v>1  del of this cycle   -  1-cycles pmnt   Pending - Collect 1450</v>
          </cell>
          <cell r="O66" t="str">
            <v>Y Spray Daisy ( 15 Inch ) 3 P n W Car ( 14 Inch ) 7   FF Sachet + Grass</v>
          </cell>
          <cell r="P66" t="str">
            <v>Pur Eustoma ( 12 Inch ) 2 Mix Alstroemeria ( 12 Inch ) 7   FF Sachet + Grass</v>
          </cell>
          <cell r="Q66" t="str">
            <v>Sunflower ( 12 Inch ) 2 P n W Glad ( 14 Inch ) 7   FF Sachet + Grass</v>
          </cell>
          <cell r="R66" t="str">
            <v>P Asiatic ( 14 Inch ) 2 Pur n P Car ( 14 Inch ) 7   Grass</v>
          </cell>
          <cell r="S66" t="str">
            <v>P Spray Daisy ( 14 Inch ) 3 Rajni ( 14 Inch ) 7   FF Sachet + Grass</v>
          </cell>
          <cell r="T66" t="str">
            <v>Sunflower ( 12 Inch ) 2 B Daisy ( 12 Inch ) 7   FF Sachet + Grass</v>
          </cell>
        </row>
        <row r="67">
          <cell r="A67">
            <v>2458</v>
          </cell>
          <cell r="B67" t="str">
            <v>Kiran Yadav -- 1450 Pack</v>
          </cell>
          <cell r="C67">
            <v>9811801284</v>
          </cell>
          <cell r="D67" t="str">
            <v>E-1402, Palm Drive</v>
          </cell>
          <cell r="E67" t="str">
            <v>Badshahpur</v>
          </cell>
          <cell r="F67" t="str">
            <v>Sunday</v>
          </cell>
          <cell r="G67" t="str">
            <v>10 AM to 2:30 PM</v>
          </cell>
          <cell r="H67">
            <v>999</v>
          </cell>
          <cell r="I67">
            <v>249.75</v>
          </cell>
          <cell r="J67" t="str">
            <v>Delight</v>
          </cell>
          <cell r="K67" t="str">
            <v>Recvd 2000 Today (21/04) Pls send Rose/Gerbera and Rise laos (04/06) Skip 1 week (28/06) Skip next week after(27/09) Send Replacement tom (21/04)</v>
          </cell>
          <cell r="N67" t="str">
            <v>4  del of this cycle   -  0-cycles pmnt   CompletedNO COLLECTION-we have extra money - Collect -23</v>
          </cell>
          <cell r="O67" t="str">
            <v>R n W Car( 14 Inch)  9     FF Sachet + Grass</v>
          </cell>
          <cell r="P67" t="str">
            <v>P n W Glad ( 14 Inch ) 9     Grass</v>
          </cell>
          <cell r="Q67" t="str">
            <v>Sunflower ( 12 Inch ) 2     FF Sachet + Grass</v>
          </cell>
          <cell r="R67" t="str">
            <v>B Daisy ( 12 Inch ) 9     Grass</v>
          </cell>
          <cell r="S67" t="str">
            <v>P Asiatic ( 14 Inch ) 2     Grass</v>
          </cell>
          <cell r="T67" t="str">
            <v>Pur n P Car ( 14 Inch ) 9     FF Sachet + Grass</v>
          </cell>
        </row>
        <row r="68">
          <cell r="A68">
            <v>3284</v>
          </cell>
          <cell r="B68" t="str">
            <v>Megha Sharma</v>
          </cell>
          <cell r="C68" t="str">
            <v>9643166797 // 7351797203</v>
          </cell>
          <cell r="D68" t="str">
            <v>338, Espace, 2nd Floor</v>
          </cell>
          <cell r="E68" t="str">
            <v>Nirvana Country</v>
          </cell>
          <cell r="F68" t="str">
            <v>Sunday</v>
          </cell>
          <cell r="G68" t="str">
            <v>4 PM to 7 PM</v>
          </cell>
          <cell r="H68">
            <v>1950</v>
          </cell>
          <cell r="I68">
            <v>487.5</v>
          </cell>
          <cell r="J68" t="str">
            <v>Joy</v>
          </cell>
          <cell r="K68" t="str">
            <v>Paytm From Megha Sharma</v>
          </cell>
          <cell r="N68" t="str">
            <v>2  del of this cycle   -  0 -cycles pmnt   Completed - Collect 0</v>
          </cell>
          <cell r="O68" t="str">
            <v>W Asiatic ( 15 inch ) 4     Grass</v>
          </cell>
          <cell r="P68" t="str">
            <v>P n W Glad ( 14 Inch ) 22     Grass</v>
          </cell>
          <cell r="Q68" t="str">
            <v>P n Y Spray Daisy ( 14 Inch ) 7     FF Sachet + Grass</v>
          </cell>
          <cell r="R68" t="str">
            <v>B Daisy ( 12 Inch ) 22     Grass</v>
          </cell>
          <cell r="S68" t="str">
            <v>Pur n P Car ( 14 Inch 22     FF Sachet + Grass</v>
          </cell>
          <cell r="T68" t="str">
            <v>Rajni ( 14 Inch ) 22     Grass</v>
          </cell>
        </row>
        <row r="69">
          <cell r="A69">
            <v>1978</v>
          </cell>
          <cell r="B69" t="str">
            <v>Anu-- After 6 PM</v>
          </cell>
          <cell r="C69" t="str">
            <v>98103 39602</v>
          </cell>
          <cell r="D69" t="str">
            <v xml:space="preserve">Tower 6, 901 Fresco </v>
          </cell>
          <cell r="E69" t="str">
            <v>Nirvana Country</v>
          </cell>
          <cell r="F69" t="str">
            <v>Thursday</v>
          </cell>
          <cell r="G69" t="str">
            <v>4 Pm to 7 PM</v>
          </cell>
          <cell r="H69">
            <v>4850</v>
          </cell>
          <cell r="I69">
            <v>606.25</v>
          </cell>
          <cell r="J69" t="str">
            <v>Poise</v>
          </cell>
          <cell r="K69"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9" t="str">
            <v>ROSE n RAJNI n HELICONIA n BOP</v>
          </cell>
          <cell r="M69" t="str">
            <v>after 6 pm on 19th (16/04)</v>
          </cell>
          <cell r="N69" t="str">
            <v>7  del of this cycle   -  0-cycles pmnt   Completed - Collect 0</v>
          </cell>
          <cell r="O69" t="str">
            <v>W Asiatic ( 15 inch ) 2 Mix Eustoma ( 12 Inch ) 4 Rajni ( 14 Inch ) 12 FF Sachet + Grass</v>
          </cell>
          <cell r="P69" t="str">
            <v>W Asiatic ( 14 Inch ) 2 Mix Alstroemeria ( 12 Inch ) 10 P n W Glad ( 14 Inch ) 10 FF Sachet + Grass</v>
          </cell>
          <cell r="Q69" t="str">
            <v>O Asiatic ( 14 Inch ) 2 P n W Spray Daisy  14 Inch ) 4 Rajni ( 14 Inch ) 12 Grass</v>
          </cell>
          <cell r="R69" t="str">
            <v>P Asiatic ( 14 Inch ) 2 B Daisy ( 12 Inch ) 6 Pur n P Car ( 14 Inch ) 10 Grass</v>
          </cell>
          <cell r="S69" t="str">
            <v>Y Asiatic ( 14 Inch ) 2 B Daisy ( 12 Inch ) 6 P n W Glad ( 14 Inch ) 12 Grass</v>
          </cell>
          <cell r="T69" t="str">
            <v>P Asiatic ( 14 Inch ) 2 B Daisy ( 12 Inch ) 6 Rajni ( 14 Inch ) 10 Grass</v>
          </cell>
        </row>
        <row r="70">
          <cell r="A70">
            <v>2997</v>
          </cell>
          <cell r="B70" t="str">
            <v>Anjana Johar</v>
          </cell>
          <cell r="C70">
            <v>9650897576</v>
          </cell>
          <cell r="D70" t="str">
            <v>T-8/201, Fresco</v>
          </cell>
          <cell r="E70" t="str">
            <v>Nirvana Country</v>
          </cell>
          <cell r="F70" t="str">
            <v>Sunday</v>
          </cell>
          <cell r="G70" t="str">
            <v>4 Pm to 7 PM</v>
          </cell>
          <cell r="H70">
            <v>1450</v>
          </cell>
          <cell r="I70">
            <v>362.5</v>
          </cell>
          <cell r="J70" t="str">
            <v>Bliss</v>
          </cell>
          <cell r="K70" t="str">
            <v>Skip 2 week (03/11) Skip 1 week (14/11) Hold today n send tom (30/11) Hold n start after 9th Jan (08/12) Send Replacement tom (23/03) Send 1 vase also (23/03) No White Flowers (01/05) No Spray Daisy (05/05) Skip 1 week (08/05) Skip 2 week and start from 25th (13/06)</v>
          </cell>
          <cell r="L70" t="str">
            <v>Spray Daisy</v>
          </cell>
          <cell r="M70" t="str">
            <v>No White Flowers</v>
          </cell>
          <cell r="N70" t="str">
            <v>3  del of this cycle   -  0-cycles pmnt   Completed - Collect 0</v>
          </cell>
          <cell r="O70" t="str">
            <v>O Asiatic ( 15 Inch ) 3     Grass</v>
          </cell>
          <cell r="P70" t="str">
            <v>Pur n P Car ( 14 Inch ) 16     FF Sachet + Grass</v>
          </cell>
          <cell r="Q70" t="e">
            <v>#N/A</v>
          </cell>
          <cell r="R70" t="e">
            <v>#N/A</v>
          </cell>
          <cell r="S70" t="str">
            <v>Sunflower ( 12 Inch ) 4     FF Sachet + Grass</v>
          </cell>
          <cell r="T70" t="str">
            <v>P Asiatic ( 14 Inch ) 3     Grass</v>
          </cell>
        </row>
        <row r="71">
          <cell r="A71" t="str">
            <v>B56364</v>
          </cell>
          <cell r="B71" t="str">
            <v>Jitendra</v>
          </cell>
          <cell r="C71">
            <v>8800156951</v>
          </cell>
          <cell r="D71" t="str">
            <v>Trehan Luxury Floors</v>
          </cell>
          <cell r="E71" t="str">
            <v>Badshahpur</v>
          </cell>
          <cell r="F71" t="str">
            <v>Wednesday</v>
          </cell>
          <cell r="G71" t="str">
            <v>By 9:30 AM</v>
          </cell>
          <cell r="H71">
            <v>3600</v>
          </cell>
          <cell r="I71">
            <v>3600</v>
          </cell>
          <cell r="J71" t="str">
            <v>Bouquet</v>
          </cell>
          <cell r="K71" t="str">
            <v>3 Set</v>
          </cell>
          <cell r="N71" t="str">
            <v>1  del of this cycle   -  0-cycles pmnt   In Process - Collect 0</v>
          </cell>
          <cell r="O71" t="e">
            <v>#N/A</v>
          </cell>
          <cell r="P71" t="e">
            <v>#N/A</v>
          </cell>
          <cell r="Q71" t="e">
            <v>#N/A</v>
          </cell>
          <cell r="R71" t="e">
            <v>#N/A</v>
          </cell>
          <cell r="S71" t="e">
            <v>#N/A</v>
          </cell>
          <cell r="T71" t="str">
            <v xml:space="preserve">Trehan Set 3     </v>
          </cell>
        </row>
        <row r="72">
          <cell r="A72">
            <v>2592</v>
          </cell>
          <cell r="B72" t="str">
            <v>Nidhi Prasad</v>
          </cell>
          <cell r="C72">
            <v>9899779181</v>
          </cell>
          <cell r="D72" t="str">
            <v>T-10/1003, valley View Estate</v>
          </cell>
          <cell r="E72" t="str">
            <v>Ghata</v>
          </cell>
          <cell r="F72" t="str">
            <v>Sunday</v>
          </cell>
          <cell r="G72" t="str">
            <v>9 AM to 2 PM</v>
          </cell>
          <cell r="H72">
            <v>999</v>
          </cell>
          <cell r="I72">
            <v>249.75</v>
          </cell>
          <cell r="J72" t="str">
            <v>Delight</v>
          </cell>
          <cell r="K72" t="str">
            <v>Hold n start from 29th June(14/06) Hold today due to non payment (04/01) Hold due to non payment (01/02) Hold due to non payment (08/02) HDTNP (15/02) HDTNP (22/02) HDTNP (01/03) HDTNP (08/03) HDTNP (12/04) HDTNP (07/06) Hold till 26th (07/06)</v>
          </cell>
          <cell r="N72" t="str">
            <v>3  del of this cycle   -  0-cycles pmnt   Completed - Collect 0</v>
          </cell>
          <cell r="O72" t="str">
            <v>R n W Car( 14 Inch)  9     FF Sachet + Grass</v>
          </cell>
          <cell r="P72" t="e">
            <v>#N/A</v>
          </cell>
          <cell r="Q72" t="e">
            <v>#N/A</v>
          </cell>
          <cell r="R72" t="e">
            <v>#N/A</v>
          </cell>
          <cell r="S72" t="str">
            <v>P Asiatic ( 14 Inch ) 2     Grass</v>
          </cell>
          <cell r="T72" t="str">
            <v>Rajni ( 14 Inch ) 9     Grass</v>
          </cell>
        </row>
        <row r="73">
          <cell r="A73">
            <v>2550</v>
          </cell>
          <cell r="B73" t="str">
            <v>Pooja Singh</v>
          </cell>
          <cell r="C73">
            <v>9810123062</v>
          </cell>
          <cell r="D73" t="str">
            <v>B-289, 3rd Floor, Anantraj Estates, Sec 63 A</v>
          </cell>
          <cell r="E73" t="str">
            <v>Ghata</v>
          </cell>
          <cell r="F73" t="str">
            <v>Sunday</v>
          </cell>
          <cell r="G73" t="str">
            <v>9 AM - 12 PM</v>
          </cell>
          <cell r="H73">
            <v>1450</v>
          </cell>
          <cell r="I73">
            <v>362.5</v>
          </cell>
          <cell r="J73" t="str">
            <v>Bliss</v>
          </cell>
          <cell r="K73" t="str">
            <v>Hold today n sned on Tuesday (18/05) Skip this week and send on Monday(01/01/26) Return today (18/01) Skip this Sunday and sned on Tuesday this week (27/06)</v>
          </cell>
          <cell r="N73" t="str">
            <v>4  del of this cycle   -  0-cycles pmnt   Completed - Collect 0</v>
          </cell>
          <cell r="O73" t="str">
            <v>Sunflower ( 12 Inch ) 2 Mix Glad  ( 12 Inch ) 7   Grass</v>
          </cell>
          <cell r="P73" t="str">
            <v>Pur Eustoma ( 12 Inch ) 2 Mix Alstroemeria ( 12 Inch ) 7   FF Sachet + Grass</v>
          </cell>
          <cell r="Q73" t="str">
            <v>P Spray Daisy ( 14 Inch ) 3 Pur n P Car ( 14 Inch ) 7   FF Sachet + Grass</v>
          </cell>
          <cell r="R73" t="str">
            <v>P Asiatic ( 14 Inch ) 2 B Daisy ( 12 Inch ) 7   Grass</v>
          </cell>
          <cell r="S73" t="e">
            <v>#N/A</v>
          </cell>
          <cell r="T73" t="str">
            <v>Sunflower ( 12 Inch ) 2 P n W Glad ( 14 Inch ) 7   FF Sachet + Grass</v>
          </cell>
        </row>
        <row r="74">
          <cell r="A74">
            <v>3010</v>
          </cell>
          <cell r="B74" t="str">
            <v>Kriti Suman</v>
          </cell>
          <cell r="C74">
            <v>9771430070</v>
          </cell>
          <cell r="D74" t="str">
            <v>Studio -105, Palm Drive</v>
          </cell>
          <cell r="E74" t="str">
            <v>Badshahpur</v>
          </cell>
          <cell r="F74" t="str">
            <v>Sunday</v>
          </cell>
          <cell r="G74" t="str">
            <v>9 AM - 12 PM</v>
          </cell>
          <cell r="H74">
            <v>999</v>
          </cell>
          <cell r="I74">
            <v>249.75</v>
          </cell>
          <cell r="J74" t="str">
            <v>Delight</v>
          </cell>
          <cell r="K74" t="str">
            <v>Skip 1 week (16/10) Skip 1 week (26/12) No Glad (09/03) Skip 2 week (20/06)</v>
          </cell>
          <cell r="L74" t="str">
            <v>Glad</v>
          </cell>
          <cell r="N74" t="str">
            <v>3  del of this cycle   -  0-cycles pmnt   Completed - Collect 0</v>
          </cell>
          <cell r="O74" t="str">
            <v>P Spray Daisy ( 15 Inch ) 3     FF Sachet + Grass</v>
          </cell>
          <cell r="P74" t="str">
            <v>Pur n P Car ( 14 Inch ) 9     FF Sachet + Grass</v>
          </cell>
          <cell r="Q74" t="str">
            <v>Sunflower ( 12 Inch ) 2     FF Sachet + Grass</v>
          </cell>
          <cell r="R74" t="e">
            <v>#N/A</v>
          </cell>
          <cell r="S74" t="e">
            <v>#N/A</v>
          </cell>
          <cell r="T74" t="str">
            <v>Rajni ( 14 Inch ) 9     Grass</v>
          </cell>
        </row>
        <row r="75">
          <cell r="A75">
            <v>1570</v>
          </cell>
          <cell r="B75" t="str">
            <v>Nisha Syriac</v>
          </cell>
          <cell r="C75">
            <v>9711811545</v>
          </cell>
          <cell r="D75" t="str">
            <v>G202, DLF Park Place Heights, Golf Course Road</v>
          </cell>
          <cell r="E75" t="str">
            <v>Golf Course Road</v>
          </cell>
          <cell r="F75" t="str">
            <v>Sunday</v>
          </cell>
          <cell r="G75" t="str">
            <v>9:30 Am to 2 PM</v>
          </cell>
          <cell r="H75">
            <v>1450</v>
          </cell>
          <cell r="I75">
            <v>362.5</v>
          </cell>
          <cell r="J75" t="str">
            <v>Bliss</v>
          </cell>
          <cell r="K75"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75" t="str">
            <v>Rajni n Orchid</v>
          </cell>
          <cell r="M75" t="str">
            <v xml:space="preserve">Single Color Flowers </v>
          </cell>
          <cell r="N75" t="str">
            <v>2  del of this cycle   -  0-cycles pmnt   Completed - Collect 0</v>
          </cell>
          <cell r="O75" t="e">
            <v>#N/A</v>
          </cell>
          <cell r="P75" t="str">
            <v>P Alstroemeria ( 12 Inch ) 16 Single Color Flower  Single Color Flower    FF Sachet + Grass</v>
          </cell>
          <cell r="Q75" t="str">
            <v>P Spray Daisy ( 14 Inch ) 5     FF Sachet + Grass</v>
          </cell>
          <cell r="R75" t="str">
            <v>Pur n P Car ( 14 Inch ) 16     FF Sachet + Grass</v>
          </cell>
          <cell r="S75" t="str">
            <v>Y Asiatic ( 14 Inch ) 3     Grass</v>
          </cell>
          <cell r="T75" t="str">
            <v>P n W Glad ( 14 Inch ) 16     Grass</v>
          </cell>
        </row>
        <row r="76">
          <cell r="A76">
            <v>1470</v>
          </cell>
          <cell r="B76" t="str">
            <v>Ankit Goyal</v>
          </cell>
          <cell r="C76">
            <v>9582406060</v>
          </cell>
          <cell r="D76" t="str">
            <v>A-402, La Lagune</v>
          </cell>
          <cell r="E76" t="str">
            <v>Golf Course Road</v>
          </cell>
          <cell r="F76" t="str">
            <v>Sunday</v>
          </cell>
          <cell r="G76" t="str">
            <v>9 AM - 12 PM</v>
          </cell>
          <cell r="H76">
            <v>2750</v>
          </cell>
          <cell r="I76">
            <v>687.5</v>
          </cell>
          <cell r="J76" t="str">
            <v>Elation</v>
          </cell>
          <cell r="K76"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6" t="str">
            <v>4  del of this cycle   -  0-cycles pmnt   Completed - Collect 0</v>
          </cell>
          <cell r="O76" t="e">
            <v>#N/A</v>
          </cell>
          <cell r="P76" t="e">
            <v>#N/A</v>
          </cell>
          <cell r="Q76" t="e">
            <v>#N/A</v>
          </cell>
          <cell r="R76" t="str">
            <v>O Asiatic ( 14 Inch )' 6     2 Gypsola</v>
          </cell>
          <cell r="S76" t="str">
            <v>P n W Glad ( 14 Inch ) 32     2 Limonium</v>
          </cell>
          <cell r="T76" t="str">
            <v>P n Y Spray Daisy ( 14 Inch ) 10     2 Gypsola</v>
          </cell>
        </row>
        <row r="77">
          <cell r="A77">
            <v>3238</v>
          </cell>
          <cell r="B77" t="str">
            <v>Alka Verma</v>
          </cell>
          <cell r="C77">
            <v>9910437766</v>
          </cell>
          <cell r="D77" t="str">
            <v>T-10/101, Emaar palm Terraces Select</v>
          </cell>
          <cell r="E77" t="str">
            <v>Badshahpur</v>
          </cell>
          <cell r="F77" t="str">
            <v>Sunday</v>
          </cell>
          <cell r="G77" t="str">
            <v>9 AM - 12 PM</v>
          </cell>
          <cell r="H77">
            <v>1450</v>
          </cell>
          <cell r="I77">
            <v>362.5</v>
          </cell>
          <cell r="J77" t="str">
            <v>Bliss</v>
          </cell>
          <cell r="K77" t="str">
            <v>Skip 1 week (28/03) Send Replacement tom (12/04) Skip 1 week (27/04) Skip 1 week after 14th June (06/06) Skip 1 week (16/06)</v>
          </cell>
          <cell r="N77" t="str">
            <v>4  del of this cycle   -  0-cycles pmnt   Completed - Collect 0</v>
          </cell>
          <cell r="O77" t="str">
            <v>R n W Car( 14 Inch)  16     FF Sachet + Grass</v>
          </cell>
          <cell r="P77" t="str">
            <v>P n W Glad ( 14 Inch ) 16     Grass</v>
          </cell>
          <cell r="Q77" t="str">
            <v>P n Y Spray Daisy ( 14 Inch ) 5     FF Sachet + Grass</v>
          </cell>
          <cell r="R77" t="e">
            <v>#N/A</v>
          </cell>
          <cell r="S77" t="str">
            <v>Sunflower ( 12 Inch ) 4     FF Sachet + Grass</v>
          </cell>
          <cell r="T77" t="str">
            <v>P Asiatic ( 14 Inch ) 3     Grass</v>
          </cell>
        </row>
        <row r="78">
          <cell r="A78">
            <v>1238</v>
          </cell>
          <cell r="B78" t="str">
            <v>Meenakshi Dua-- Evening Only</v>
          </cell>
          <cell r="C78">
            <v>9560900277</v>
          </cell>
          <cell r="D78" t="str">
            <v>T-9/803, Orchid Petals</v>
          </cell>
          <cell r="E78" t="str">
            <v>Sohna Road 1</v>
          </cell>
          <cell r="F78" t="str">
            <v>Friday</v>
          </cell>
          <cell r="G78" t="str">
            <v>4 PM to 7PM</v>
          </cell>
          <cell r="H78">
            <v>1950</v>
          </cell>
          <cell r="I78">
            <v>487.5</v>
          </cell>
          <cell r="J78" t="str">
            <v>Joy</v>
          </cell>
          <cell r="K7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78" t="str">
            <v xml:space="preserve">HELICONIA n BOP n GERBERA </v>
          </cell>
          <cell r="M78" t="str">
            <v>No Yel/Wht/Red in Glad and Guldawari</v>
          </cell>
          <cell r="N78" t="str">
            <v>3  del of this cycle   -  0-cycles pmnt   Completed - Collect 0</v>
          </cell>
          <cell r="O78" t="e">
            <v>#N/A</v>
          </cell>
          <cell r="P78" t="e">
            <v>#N/A</v>
          </cell>
          <cell r="Q78" t="e">
            <v>#N/A</v>
          </cell>
          <cell r="R78" t="e">
            <v>#N/A</v>
          </cell>
          <cell r="S78" t="e">
            <v>#N/A</v>
          </cell>
          <cell r="T78" t="str">
            <v>Pur n P Car ( 14 Inch ) 22     FF Sachet + Grass</v>
          </cell>
        </row>
        <row r="79">
          <cell r="A79">
            <v>3386</v>
          </cell>
          <cell r="B79" t="str">
            <v>Devina Duggal</v>
          </cell>
          <cell r="C79">
            <v>9992399954</v>
          </cell>
          <cell r="D79" t="str">
            <v>Sadev, C-149, Suncity, Ground Floor</v>
          </cell>
          <cell r="E79" t="str">
            <v>Golf Course Road</v>
          </cell>
          <cell r="F79" t="str">
            <v>Sunday</v>
          </cell>
          <cell r="G79" t="str">
            <v>9:30 Am to 2 PM</v>
          </cell>
          <cell r="H79">
            <v>2750</v>
          </cell>
          <cell r="I79">
            <v>687.5</v>
          </cell>
          <cell r="J79" t="str">
            <v>Elation</v>
          </cell>
          <cell r="K79" t="str">
            <v>No Exotic Greens -- send Only Extra Local Greens</v>
          </cell>
          <cell r="M79" t="str">
            <v>No Exotic Greens -- send Only Extra Local Greens</v>
          </cell>
          <cell r="N79" t="str">
            <v>3  del of this cycle   -  0-cycles pmnt   Completed - Collect 0</v>
          </cell>
          <cell r="O79" t="e">
            <v>#N/A</v>
          </cell>
          <cell r="P79" t="e">
            <v>#N/A</v>
          </cell>
          <cell r="Q79" t="e">
            <v>#N/A</v>
          </cell>
          <cell r="R79" t="str">
            <v>Pur n P Car ( 14 Inch ) 32     2 Gypsola + FF Sachet</v>
          </cell>
          <cell r="S79" t="str">
            <v>P Asiatic ( 14 Inch ) 3 P n W Glad ( 14 Inch ) 16   Extra Grass -- No Limonium or Gypsola</v>
          </cell>
          <cell r="T79" t="str">
            <v>Rajni ( 14 Inch ) 32     2 Limonium + Grass</v>
          </cell>
        </row>
        <row r="80">
          <cell r="B80" t="str">
            <v>Arvinder</v>
          </cell>
          <cell r="C80">
            <v>9717121144</v>
          </cell>
          <cell r="D80" t="str">
            <v>T-15/1202, Close South</v>
          </cell>
          <cell r="G80" t="str">
            <v>Before 11 Am</v>
          </cell>
          <cell r="H80">
            <v>1150</v>
          </cell>
          <cell r="J80" t="str">
            <v>Bouquet</v>
          </cell>
          <cell r="T80" t="str">
            <v xml:space="preserve">R Rose 20 tissue wrap 
pls add golden spirl   Message  </v>
          </cell>
        </row>
        <row r="81">
          <cell r="B81" t="str">
            <v xml:space="preserve">Kritika, </v>
          </cell>
          <cell r="C81" t="str">
            <v>96545 52906</v>
          </cell>
          <cell r="D81" t="str">
            <v>B1-1401 , Tulip Violet,  Sector 69</v>
          </cell>
          <cell r="H81">
            <v>975</v>
          </cell>
          <cell r="J81" t="str">
            <v>Bouquet</v>
          </cell>
          <cell r="K81" t="str">
            <v>Today from Parul Rathi
10 Shaded purple, 5 white carnations and 3 pink  and 2 white spray daisies in tissue wrap to 
B1-1401 , Tulip Violet,  Sector 69
+91 96545 52906
Message 
Dear Kritika, 
Wishing you a complete and quick recovery. 
Love and blessings, 
Parul Bua &amp; Fufaji</v>
          </cell>
          <cell r="T81" t="str">
            <v xml:space="preserve">Shaded purple,+ white carnations and + pink  and + white spray daisies 10+5+3+2  tissue wrap Massage   </v>
          </cell>
        </row>
        <row r="82">
          <cell r="A82">
            <v>2368</v>
          </cell>
          <cell r="B82" t="str">
            <v>Jasbir Singh</v>
          </cell>
          <cell r="C82">
            <v>9997092561</v>
          </cell>
          <cell r="D82" t="str">
            <v>Amber, 4th Floor, Universal Trade Centre</v>
          </cell>
          <cell r="E82" t="str">
            <v>Sohna Road 1</v>
          </cell>
          <cell r="F82" t="str">
            <v>Sunday</v>
          </cell>
          <cell r="G82" t="str">
            <v>By 7 PM</v>
          </cell>
          <cell r="H82">
            <v>12800</v>
          </cell>
          <cell r="I82">
            <v>3200</v>
          </cell>
          <cell r="J82" t="str">
            <v>Corporate</v>
          </cell>
          <cell r="N82" t="str">
            <v>1  del of this cycle   -  0-cycles pmnt   In Process - Collect 0</v>
          </cell>
          <cell r="O82" t="str">
            <v xml:space="preserve">Arrangement  1     </v>
          </cell>
          <cell r="P82" t="str">
            <v xml:space="preserve">Arrangement 1     </v>
          </cell>
          <cell r="Q82" t="str">
            <v xml:space="preserve">Arrangement 1     </v>
          </cell>
          <cell r="R82" t="str">
            <v xml:space="preserve">Arrangement 1     </v>
          </cell>
          <cell r="S82" t="str">
            <v xml:space="preserve">Arrangement 1     </v>
          </cell>
          <cell r="T82" t="str">
            <v xml:space="preserve">Arrangement 1     </v>
          </cell>
        </row>
        <row r="83">
          <cell r="A83" t="str">
            <v>B56362</v>
          </cell>
          <cell r="B83" t="str">
            <v>Garima Kumar</v>
          </cell>
          <cell r="C83">
            <v>7015923583</v>
          </cell>
          <cell r="D83" t="str">
            <v>T-12/1201, Fresco</v>
          </cell>
          <cell r="E83" t="str">
            <v>Nirvana Country</v>
          </cell>
          <cell r="F83" t="str">
            <v>Monday</v>
          </cell>
          <cell r="G83" t="str">
            <v>By 10 AM</v>
          </cell>
          <cell r="H83">
            <v>2800</v>
          </cell>
          <cell r="I83">
            <v>2800</v>
          </cell>
          <cell r="J83" t="str">
            <v>Next Day Order</v>
          </cell>
          <cell r="K83" t="str">
            <v>Open 6 P Oriental + 15 Pink n Peach Rose + 6 B Daisy in Pink n White Tissue Wrap</v>
          </cell>
          <cell r="N83" t="str">
            <v>1  del of this cycle   -  0-cycles pmnt   Completed - Collect 0</v>
          </cell>
          <cell r="O83" t="e">
            <v>#N/A</v>
          </cell>
          <cell r="P83" t="e">
            <v>#N/A</v>
          </cell>
          <cell r="Q83" t="e">
            <v>#N/A</v>
          </cell>
          <cell r="R83" t="e">
            <v>#N/A</v>
          </cell>
          <cell r="S83" t="e">
            <v>#N/A</v>
          </cell>
          <cell r="T83" t="str">
            <v xml:space="preserve">Opne P Oriental + Pink n Peach Rose + B daisy 6 + 15 + 6 Don’t Send -- Pls Keep Open Pink Oriental Separate    </v>
          </cell>
        </row>
        <row r="84">
          <cell r="A84" t="str">
            <v>B54111</v>
          </cell>
          <cell r="B84" t="str">
            <v>Aekta Subba</v>
          </cell>
          <cell r="C84">
            <v>7827645744</v>
          </cell>
          <cell r="D84" t="str">
            <v>1003,C4 Vatika city</v>
          </cell>
          <cell r="H84">
            <v>2550</v>
          </cell>
          <cell r="J84" t="str">
            <v>Bouquet</v>
          </cell>
          <cell r="K84" t="str">
            <v>Aekta
+91 78276 45744
Send 12 orange asiatic lilies 
10 yellow spray daisies 
Greens
Areca palm
Send immediately via Uber
Customer will pay for Uber</v>
          </cell>
          <cell r="T84" t="str">
            <v xml:space="preserve">orange asiatic lilies +Yellow Spray Daisy 12+10 Arica+Grass    </v>
          </cell>
        </row>
        <row r="85">
          <cell r="A85" t="str">
            <v>B56089</v>
          </cell>
          <cell r="B85" t="str">
            <v>Nidhi Sharma Malhotra -- BPTP -- Sector 102</v>
          </cell>
          <cell r="D85" t="str">
            <v>BPTP Amstoria Club, Sectpr 102</v>
          </cell>
          <cell r="H85">
            <v>850</v>
          </cell>
          <cell r="J85" t="str">
            <v>Bouquet</v>
          </cell>
          <cell r="T85" t="str">
            <v xml:space="preserve">Asiatic+Mix Car 3+10 Tissue Wrap    </v>
          </cell>
        </row>
      </sheetData>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9BE3-48EF-42C7-9755-FDE5F5C73897}">
  <dimension ref="A1:R60"/>
  <sheetViews>
    <sheetView tabSelected="1" workbookViewId="0">
      <pane xSplit="1" ySplit="1" topLeftCell="B27" activePane="bottomRight" state="frozen"/>
      <selection pane="topRight" activeCell="B1" sqref="B1"/>
      <selection pane="bottomLeft" activeCell="A2" sqref="A2"/>
      <selection pane="bottomRight" activeCell="I34" sqref="I34"/>
    </sheetView>
  </sheetViews>
  <sheetFormatPr defaultRowHeight="14" x14ac:dyDescent="0.3"/>
  <sheetData>
    <row r="1" spans="1:18" ht="40.299999999999997" x14ac:dyDescent="0.3">
      <c r="A1" s="32"/>
      <c r="B1" s="32" t="s">
        <v>424</v>
      </c>
      <c r="C1" s="33" t="s">
        <v>433</v>
      </c>
      <c r="D1" s="33" t="s">
        <v>434</v>
      </c>
      <c r="E1" s="33" t="s">
        <v>435</v>
      </c>
      <c r="F1" s="33" t="s">
        <v>436</v>
      </c>
      <c r="G1" s="33" t="s">
        <v>40</v>
      </c>
      <c r="H1" s="33" t="s">
        <v>437</v>
      </c>
      <c r="I1" s="33" t="s">
        <v>438</v>
      </c>
      <c r="J1" s="33" t="s">
        <v>117</v>
      </c>
      <c r="K1" s="33" t="s">
        <v>439</v>
      </c>
      <c r="L1" s="34" t="s">
        <v>440</v>
      </c>
      <c r="M1" s="34" t="s">
        <v>441</v>
      </c>
      <c r="N1" s="34" t="s">
        <v>442</v>
      </c>
      <c r="O1" s="35"/>
      <c r="P1" s="36" t="s">
        <v>443</v>
      </c>
      <c r="Q1" s="36" t="s">
        <v>444</v>
      </c>
      <c r="R1" s="35"/>
    </row>
    <row r="2" spans="1:18" x14ac:dyDescent="0.3">
      <c r="A2" s="37">
        <v>999</v>
      </c>
      <c r="B2" s="38"/>
      <c r="C2" s="38"/>
      <c r="D2" s="38"/>
      <c r="E2" s="38"/>
      <c r="F2" s="38"/>
      <c r="G2" s="38"/>
      <c r="H2" s="38"/>
      <c r="I2" s="38">
        <v>1</v>
      </c>
      <c r="J2" s="38"/>
      <c r="K2" s="38">
        <v>1</v>
      </c>
      <c r="L2" s="38"/>
      <c r="M2" s="38"/>
      <c r="N2" s="38"/>
      <c r="O2" s="39">
        <f t="shared" ref="O2:O7" si="0">SUM(B2:N2)</f>
        <v>2</v>
      </c>
      <c r="P2" s="39">
        <f>(O2*A2)/4</f>
        <v>499.5</v>
      </c>
      <c r="Q2" s="39"/>
      <c r="R2" s="39"/>
    </row>
    <row r="3" spans="1:18" x14ac:dyDescent="0.3">
      <c r="A3" s="37">
        <v>1450</v>
      </c>
      <c r="B3" s="38">
        <v>5</v>
      </c>
      <c r="C3" s="38">
        <v>2.5</v>
      </c>
      <c r="D3" s="38">
        <v>2.5</v>
      </c>
      <c r="E3" s="38">
        <v>7</v>
      </c>
      <c r="F3" s="38"/>
      <c r="G3" s="38">
        <v>2.5</v>
      </c>
      <c r="H3" s="38"/>
      <c r="I3" s="38">
        <v>6</v>
      </c>
      <c r="J3" s="40"/>
      <c r="K3" s="40">
        <v>8.5</v>
      </c>
      <c r="L3" s="38"/>
      <c r="M3" s="38"/>
      <c r="N3" s="38"/>
      <c r="O3" s="39">
        <f t="shared" si="0"/>
        <v>34</v>
      </c>
      <c r="P3" s="39">
        <f>(O3*A3)/4</f>
        <v>12325</v>
      </c>
      <c r="Q3" s="39"/>
      <c r="R3" s="39"/>
    </row>
    <row r="4" spans="1:18" x14ac:dyDescent="0.3">
      <c r="A4" s="37">
        <v>1950</v>
      </c>
      <c r="B4" s="38"/>
      <c r="C4" s="38">
        <v>5.5</v>
      </c>
      <c r="D4" s="38">
        <v>1.5</v>
      </c>
      <c r="E4" s="38"/>
      <c r="F4" s="38"/>
      <c r="G4" s="38">
        <v>0.5</v>
      </c>
      <c r="H4" s="38"/>
      <c r="I4" s="38">
        <v>1.5</v>
      </c>
      <c r="J4" s="38"/>
      <c r="K4" s="38">
        <v>3</v>
      </c>
      <c r="L4" s="38"/>
      <c r="M4" s="38"/>
      <c r="N4" s="38"/>
      <c r="O4" s="39">
        <f t="shared" si="0"/>
        <v>12</v>
      </c>
      <c r="P4" s="39">
        <f>(O4*A4)/4</f>
        <v>5850</v>
      </c>
      <c r="Q4" s="39"/>
      <c r="R4" s="39"/>
    </row>
    <row r="5" spans="1:18" x14ac:dyDescent="0.3">
      <c r="A5" s="37">
        <v>2750</v>
      </c>
      <c r="B5" s="38">
        <v>1</v>
      </c>
      <c r="C5" s="38"/>
      <c r="D5" s="38">
        <v>2</v>
      </c>
      <c r="E5" s="38"/>
      <c r="F5" s="38"/>
      <c r="G5" s="38">
        <v>1.5</v>
      </c>
      <c r="H5" s="38"/>
      <c r="I5" s="41"/>
      <c r="J5" s="41"/>
      <c r="K5" s="41">
        <v>0.5</v>
      </c>
      <c r="L5" s="41"/>
      <c r="M5" s="38"/>
      <c r="N5" s="38"/>
      <c r="O5" s="39">
        <f t="shared" si="0"/>
        <v>5</v>
      </c>
      <c r="P5" s="39">
        <f>(O5*A5)/4</f>
        <v>3437.5</v>
      </c>
      <c r="Q5" s="39"/>
      <c r="R5" s="39"/>
    </row>
    <row r="6" spans="1:18" x14ac:dyDescent="0.3">
      <c r="A6" s="37">
        <v>4750</v>
      </c>
      <c r="B6" s="38"/>
      <c r="C6" s="38"/>
      <c r="D6" s="38"/>
      <c r="E6" s="38">
        <v>0.5</v>
      </c>
      <c r="F6" s="38"/>
      <c r="G6" s="38"/>
      <c r="H6" s="38"/>
      <c r="I6" s="38">
        <v>0.5</v>
      </c>
      <c r="J6" s="38"/>
      <c r="K6" s="38"/>
      <c r="L6" s="38"/>
      <c r="M6" s="38"/>
      <c r="N6" s="38"/>
      <c r="O6" s="39">
        <f t="shared" si="0"/>
        <v>1</v>
      </c>
      <c r="P6" s="39">
        <f>(O6*A6)/4</f>
        <v>1187.5</v>
      </c>
      <c r="Q6" s="39"/>
      <c r="R6" s="39"/>
    </row>
    <row r="7" spans="1:18" x14ac:dyDescent="0.3">
      <c r="A7" s="32" t="s">
        <v>445</v>
      </c>
      <c r="B7" s="42">
        <f t="shared" ref="B7:N7" si="1">SUM(B2:B6)</f>
        <v>6</v>
      </c>
      <c r="C7" s="42">
        <f t="shared" si="1"/>
        <v>8</v>
      </c>
      <c r="D7" s="42">
        <f t="shared" si="1"/>
        <v>6</v>
      </c>
      <c r="E7" s="42">
        <f t="shared" si="1"/>
        <v>7.5</v>
      </c>
      <c r="F7" s="42">
        <f t="shared" si="1"/>
        <v>0</v>
      </c>
      <c r="G7" s="42">
        <f t="shared" si="1"/>
        <v>4.5</v>
      </c>
      <c r="H7" s="42">
        <f t="shared" si="1"/>
        <v>0</v>
      </c>
      <c r="I7" s="42">
        <f t="shared" si="1"/>
        <v>9</v>
      </c>
      <c r="J7" s="42">
        <f t="shared" si="1"/>
        <v>0</v>
      </c>
      <c r="K7" s="42">
        <f t="shared" si="1"/>
        <v>13</v>
      </c>
      <c r="L7" s="42">
        <f t="shared" si="1"/>
        <v>0</v>
      </c>
      <c r="M7" s="42">
        <f t="shared" si="1"/>
        <v>0</v>
      </c>
      <c r="N7" s="42">
        <f t="shared" si="1"/>
        <v>0</v>
      </c>
      <c r="O7" s="39">
        <f t="shared" si="0"/>
        <v>54</v>
      </c>
      <c r="P7" s="43">
        <f>SUM(P2:P6)</f>
        <v>23299.5</v>
      </c>
      <c r="Q7" s="43">
        <f>P7</f>
        <v>23299.5</v>
      </c>
      <c r="R7" s="39"/>
    </row>
    <row r="8" spans="1:18" ht="27.95" x14ac:dyDescent="0.3">
      <c r="A8" s="37" t="s">
        <v>446</v>
      </c>
      <c r="B8" s="38">
        <v>22</v>
      </c>
      <c r="C8" s="38">
        <v>10</v>
      </c>
      <c r="D8" s="38">
        <v>10</v>
      </c>
      <c r="E8" s="38">
        <v>5</v>
      </c>
      <c r="F8" s="38">
        <v>10</v>
      </c>
      <c r="G8" s="38">
        <v>20</v>
      </c>
      <c r="H8" s="38">
        <v>20</v>
      </c>
      <c r="I8" s="38">
        <v>20</v>
      </c>
      <c r="J8" s="38">
        <v>10</v>
      </c>
      <c r="K8" s="38">
        <v>10</v>
      </c>
      <c r="L8" s="38">
        <v>10</v>
      </c>
      <c r="M8" s="38">
        <v>1</v>
      </c>
      <c r="N8" s="38">
        <v>10</v>
      </c>
      <c r="O8" s="39"/>
      <c r="P8" s="39"/>
      <c r="Q8" s="39"/>
      <c r="R8" s="39"/>
    </row>
    <row r="9" spans="1:18" ht="27.95" x14ac:dyDescent="0.3">
      <c r="A9" s="32" t="s">
        <v>447</v>
      </c>
      <c r="B9" s="34">
        <v>125</v>
      </c>
      <c r="C9" s="34">
        <v>550</v>
      </c>
      <c r="D9" s="34">
        <v>160</v>
      </c>
      <c r="E9" s="34">
        <v>125</v>
      </c>
      <c r="F9" s="34">
        <v>170</v>
      </c>
      <c r="G9" s="34">
        <v>300</v>
      </c>
      <c r="H9" s="34">
        <v>375</v>
      </c>
      <c r="I9" s="34">
        <v>250</v>
      </c>
      <c r="J9" s="34">
        <v>425</v>
      </c>
      <c r="K9" s="34">
        <v>750</v>
      </c>
      <c r="L9" s="34">
        <v>1500</v>
      </c>
      <c r="M9" s="34">
        <v>120</v>
      </c>
      <c r="N9" s="34">
        <v>1000</v>
      </c>
      <c r="O9" s="39"/>
      <c r="P9" s="39"/>
      <c r="Q9" s="39"/>
      <c r="R9" s="39"/>
    </row>
    <row r="10" spans="1:18" x14ac:dyDescent="0.3">
      <c r="A10" s="37">
        <v>999</v>
      </c>
      <c r="B10" s="38">
        <f>B2*9</f>
        <v>0</v>
      </c>
      <c r="C10" s="38">
        <f>C2*3</f>
        <v>0</v>
      </c>
      <c r="D10" s="38">
        <f>D2*9</f>
        <v>0</v>
      </c>
      <c r="E10" s="38">
        <f>E2*2</f>
        <v>0</v>
      </c>
      <c r="F10" s="38">
        <f>F2*9</f>
        <v>0</v>
      </c>
      <c r="G10" s="38">
        <f>G2*9</f>
        <v>0</v>
      </c>
      <c r="H10" s="38">
        <f>H2*9</f>
        <v>0</v>
      </c>
      <c r="I10" s="38">
        <f>I2*9</f>
        <v>9</v>
      </c>
      <c r="J10" s="40">
        <f>J2*3</f>
        <v>0</v>
      </c>
      <c r="K10" s="40">
        <f>K2*2</f>
        <v>2</v>
      </c>
      <c r="L10" s="40">
        <f>L3*0</f>
        <v>0</v>
      </c>
      <c r="M10" s="38">
        <f>M2*2</f>
        <v>0</v>
      </c>
      <c r="N10" s="38">
        <f>N2*2</f>
        <v>0</v>
      </c>
      <c r="O10" s="39">
        <f t="shared" ref="O10:O21" si="2">B10*($B$9/$B$8)+C10*($C$9/$C$8)+D10*($D$9/$D$8)+E10*($E$9/$E$8)+F10*($F$9/$F$8)+G10*($G$9/$G$8)+H10*($H$9/$H$8)+I10*($I$9/$I$8)+J10*($J$9/$J$8)+K10*($K$9/$K$8)+L10*($L$9/$L$8)+M10*($M$9/$M$8)+N10*($N$9/$N$8)</f>
        <v>262.5</v>
      </c>
      <c r="P10" s="39">
        <f>O2*(A2/4)</f>
        <v>499.5</v>
      </c>
      <c r="Q10" s="39"/>
      <c r="R10" s="39">
        <f>P10-O10</f>
        <v>237</v>
      </c>
    </row>
    <row r="11" spans="1:18" x14ac:dyDescent="0.3">
      <c r="A11" s="37">
        <v>1250</v>
      </c>
      <c r="B11" s="38">
        <f>B3*16</f>
        <v>80</v>
      </c>
      <c r="C11" s="38">
        <f>C3*6</f>
        <v>15</v>
      </c>
      <c r="D11" s="38">
        <f>D3*16</f>
        <v>40</v>
      </c>
      <c r="E11" s="38">
        <f>E3*4</f>
        <v>28</v>
      </c>
      <c r="F11" s="40">
        <f>F3*16</f>
        <v>0</v>
      </c>
      <c r="G11" s="40">
        <f>G3*16</f>
        <v>40</v>
      </c>
      <c r="H11" s="40">
        <f>H3*16</f>
        <v>0</v>
      </c>
      <c r="I11" s="40">
        <f>I3*16</f>
        <v>96</v>
      </c>
      <c r="J11" s="40">
        <f>J3*6</f>
        <v>0</v>
      </c>
      <c r="K11" s="38">
        <f>K3*3.25</f>
        <v>27.625</v>
      </c>
      <c r="L11" s="38">
        <f>L3*2</f>
        <v>0</v>
      </c>
      <c r="M11" s="38">
        <f>M3*4</f>
        <v>0</v>
      </c>
      <c r="N11" s="38">
        <f>N3*3.5</f>
        <v>0</v>
      </c>
      <c r="O11" s="39">
        <f t="shared" si="2"/>
        <v>6491.420454545454</v>
      </c>
      <c r="P11" s="39">
        <f>O3*(A3/4)</f>
        <v>12325</v>
      </c>
      <c r="Q11" s="39"/>
      <c r="R11" s="39">
        <f>P11-O11</f>
        <v>5833.579545454546</v>
      </c>
    </row>
    <row r="12" spans="1:18" x14ac:dyDescent="0.3">
      <c r="A12" s="37">
        <v>1700</v>
      </c>
      <c r="B12" s="38">
        <f>B4*22</f>
        <v>0</v>
      </c>
      <c r="C12" s="38">
        <f>C4*8</f>
        <v>44</v>
      </c>
      <c r="D12" s="38">
        <f>D4*22</f>
        <v>33</v>
      </c>
      <c r="E12" s="38">
        <f>E4*6</f>
        <v>0</v>
      </c>
      <c r="F12" s="40">
        <f>F4*22</f>
        <v>0</v>
      </c>
      <c r="G12" s="40">
        <f>G4*22</f>
        <v>11</v>
      </c>
      <c r="H12" s="40">
        <f>H4*22</f>
        <v>0</v>
      </c>
      <c r="I12" s="40">
        <f>I4*22</f>
        <v>33</v>
      </c>
      <c r="J12" s="40">
        <f>J4*8</f>
        <v>0</v>
      </c>
      <c r="K12" s="38">
        <f>K4*4</f>
        <v>12</v>
      </c>
      <c r="L12" s="38">
        <f>L4*3</f>
        <v>0</v>
      </c>
      <c r="M12" s="38">
        <f>M4*4</f>
        <v>0</v>
      </c>
      <c r="N12" s="38">
        <f>N4*5</f>
        <v>0</v>
      </c>
      <c r="O12" s="39">
        <f t="shared" si="2"/>
        <v>4425.5</v>
      </c>
      <c r="P12" s="39">
        <f>O4*(A4/4)</f>
        <v>5850</v>
      </c>
      <c r="Q12" s="39"/>
      <c r="R12" s="39">
        <f>P12-O12</f>
        <v>1424.5</v>
      </c>
    </row>
    <row r="13" spans="1:18" x14ac:dyDescent="0.3">
      <c r="A13" s="37">
        <v>2450</v>
      </c>
      <c r="B13" s="38">
        <f>B5*32</f>
        <v>32</v>
      </c>
      <c r="C13" s="38">
        <f>C5*10</f>
        <v>0</v>
      </c>
      <c r="D13" s="38">
        <f>D5*32</f>
        <v>64</v>
      </c>
      <c r="E13" s="38">
        <f>E5*8</f>
        <v>0</v>
      </c>
      <c r="F13" s="38">
        <f>F5*32</f>
        <v>0</v>
      </c>
      <c r="G13" s="38">
        <f>G5*32</f>
        <v>48</v>
      </c>
      <c r="H13" s="38">
        <f>H5*32</f>
        <v>0</v>
      </c>
      <c r="I13" s="40">
        <f>I5*32</f>
        <v>0</v>
      </c>
      <c r="J13" s="44">
        <f>J5*10</f>
        <v>0</v>
      </c>
      <c r="K13" s="38">
        <f>K5*8</f>
        <v>4</v>
      </c>
      <c r="L13" s="38">
        <f>L5*4</f>
        <v>0</v>
      </c>
      <c r="M13" s="38">
        <f>M5*6</f>
        <v>0</v>
      </c>
      <c r="N13" s="38">
        <f>N5*8</f>
        <v>0</v>
      </c>
      <c r="O13" s="39">
        <f t="shared" si="2"/>
        <v>2225.818181818182</v>
      </c>
      <c r="P13" s="39">
        <f>O5*(A5/4)</f>
        <v>3437.5</v>
      </c>
      <c r="Q13" s="39"/>
      <c r="R13" s="39">
        <f>P13-O13</f>
        <v>1211.681818181818</v>
      </c>
    </row>
    <row r="14" spans="1:18" x14ac:dyDescent="0.3">
      <c r="A14" s="37">
        <v>4400</v>
      </c>
      <c r="B14" s="38">
        <f>B6*60</f>
        <v>0</v>
      </c>
      <c r="C14" s="38">
        <f>C6*20</f>
        <v>0</v>
      </c>
      <c r="D14" s="38">
        <f t="shared" ref="D14:I14" si="3">D6*60</f>
        <v>0</v>
      </c>
      <c r="E14" s="38">
        <f>E6*14</f>
        <v>7</v>
      </c>
      <c r="F14" s="40">
        <f>F6*60</f>
        <v>0</v>
      </c>
      <c r="G14" s="40">
        <f t="shared" si="3"/>
        <v>0</v>
      </c>
      <c r="H14" s="40">
        <f t="shared" si="3"/>
        <v>0</v>
      </c>
      <c r="I14" s="40">
        <f t="shared" si="3"/>
        <v>30</v>
      </c>
      <c r="J14" s="40">
        <f>J6*22</f>
        <v>0</v>
      </c>
      <c r="K14" s="38">
        <f>K6*12</f>
        <v>0</v>
      </c>
      <c r="L14" s="38">
        <f>L6*8</f>
        <v>0</v>
      </c>
      <c r="M14" s="38">
        <f>M6*12</f>
        <v>0</v>
      </c>
      <c r="N14" s="38">
        <f>N6*12</f>
        <v>0</v>
      </c>
      <c r="O14" s="39">
        <f t="shared" si="2"/>
        <v>550</v>
      </c>
      <c r="P14" s="39">
        <f>O6*(A6/4)</f>
        <v>1187.5</v>
      </c>
      <c r="Q14" s="39"/>
      <c r="R14" s="39">
        <f>P14-O14</f>
        <v>637.5</v>
      </c>
    </row>
    <row r="15" spans="1:18" x14ac:dyDescent="0.3">
      <c r="A15" s="45" t="s">
        <v>306</v>
      </c>
      <c r="B15" s="46">
        <v>37</v>
      </c>
      <c r="C15" s="46">
        <v>2</v>
      </c>
      <c r="D15" s="46"/>
      <c r="E15" s="46"/>
      <c r="F15" s="46"/>
      <c r="G15" s="46"/>
      <c r="H15" s="46"/>
      <c r="I15" s="46">
        <v>42</v>
      </c>
      <c r="J15" s="46">
        <v>3</v>
      </c>
      <c r="K15" s="46">
        <v>17</v>
      </c>
      <c r="L15" s="46"/>
      <c r="M15" s="46">
        <v>7</v>
      </c>
      <c r="N15" s="38"/>
      <c r="O15" s="39">
        <f t="shared" si="2"/>
        <v>3087.727272727273</v>
      </c>
      <c r="P15" s="39"/>
      <c r="Q15" s="39">
        <v>9000</v>
      </c>
      <c r="R15" s="39">
        <f>SUM(R10:R14)</f>
        <v>9344.261363636364</v>
      </c>
    </row>
    <row r="16" spans="1:18" ht="27.95" x14ac:dyDescent="0.3">
      <c r="A16" s="47" t="s">
        <v>448</v>
      </c>
      <c r="B16" s="46">
        <v>22</v>
      </c>
      <c r="C16" s="46">
        <v>18</v>
      </c>
      <c r="D16" s="46">
        <v>30</v>
      </c>
      <c r="E16" s="46"/>
      <c r="F16" s="46"/>
      <c r="G16" s="46">
        <v>7</v>
      </c>
      <c r="H16" s="46"/>
      <c r="I16" s="46">
        <v>30</v>
      </c>
      <c r="J16" s="46"/>
      <c r="K16" s="46">
        <v>12</v>
      </c>
      <c r="L16" s="46"/>
      <c r="M16" s="46"/>
      <c r="N16" s="46"/>
      <c r="O16" s="39">
        <f t="shared" si="2"/>
        <v>2975</v>
      </c>
      <c r="P16" s="39"/>
      <c r="Q16" s="39">
        <v>5000</v>
      </c>
      <c r="R16" s="39"/>
    </row>
    <row r="17" spans="1:18" ht="31.2" x14ac:dyDescent="0.3">
      <c r="A17" s="48" t="s">
        <v>480</v>
      </c>
      <c r="B17" s="49"/>
      <c r="C17" s="49">
        <v>8</v>
      </c>
      <c r="D17" s="49">
        <v>15</v>
      </c>
      <c r="E17" s="49"/>
      <c r="F17" s="49"/>
      <c r="G17" s="49"/>
      <c r="H17" s="49"/>
      <c r="I17" s="49">
        <v>50</v>
      </c>
      <c r="J17" s="49">
        <v>10</v>
      </c>
      <c r="K17" s="49">
        <v>4</v>
      </c>
      <c r="L17" s="49">
        <v>4</v>
      </c>
      <c r="M17" s="49">
        <v>5</v>
      </c>
      <c r="N17" s="49">
        <v>5</v>
      </c>
      <c r="O17" s="39">
        <f t="shared" si="2"/>
        <v>3730</v>
      </c>
      <c r="P17" s="39"/>
      <c r="Q17" s="50">
        <v>7000</v>
      </c>
      <c r="R17" s="39"/>
    </row>
    <row r="18" spans="1:18" ht="46.75" x14ac:dyDescent="0.3">
      <c r="A18" s="48" t="s">
        <v>481</v>
      </c>
      <c r="B18" s="49"/>
      <c r="C18" s="49">
        <v>30</v>
      </c>
      <c r="D18" s="49"/>
      <c r="E18" s="49"/>
      <c r="F18" s="49"/>
      <c r="G18" s="49"/>
      <c r="H18" s="49"/>
      <c r="I18" s="49">
        <v>120</v>
      </c>
      <c r="J18" s="49">
        <v>30</v>
      </c>
      <c r="K18" s="49">
        <v>10</v>
      </c>
      <c r="L18" s="49">
        <v>10</v>
      </c>
      <c r="M18" s="49">
        <v>10</v>
      </c>
      <c r="N18" s="49">
        <v>20</v>
      </c>
      <c r="O18" s="39">
        <f t="shared" si="2"/>
        <v>9875</v>
      </c>
      <c r="P18" s="39"/>
      <c r="Q18" s="50">
        <v>20000</v>
      </c>
      <c r="R18" s="39"/>
    </row>
    <row r="19" spans="1:18" ht="46.75" x14ac:dyDescent="0.3">
      <c r="A19" s="51" t="s">
        <v>450</v>
      </c>
      <c r="B19" s="49"/>
      <c r="C19" s="49"/>
      <c r="D19" s="49">
        <v>15</v>
      </c>
      <c r="E19" s="49"/>
      <c r="F19" s="49"/>
      <c r="G19" s="49"/>
      <c r="H19" s="49"/>
      <c r="I19" s="49"/>
      <c r="J19" s="49"/>
      <c r="K19" s="49"/>
      <c r="L19" s="49"/>
      <c r="M19" s="49"/>
      <c r="N19" s="49"/>
      <c r="O19" s="39">
        <f t="shared" si="2"/>
        <v>240</v>
      </c>
      <c r="P19" s="39"/>
      <c r="Q19" s="50"/>
      <c r="R19" s="39"/>
    </row>
    <row r="20" spans="1:18" ht="27.95" x14ac:dyDescent="0.3">
      <c r="A20" s="52" t="s">
        <v>451</v>
      </c>
      <c r="B20" s="53">
        <v>40</v>
      </c>
      <c r="C20" s="53">
        <v>15</v>
      </c>
      <c r="D20" s="53"/>
      <c r="E20" s="53">
        <v>15</v>
      </c>
      <c r="F20" s="53"/>
      <c r="G20" s="53"/>
      <c r="H20" s="53">
        <v>100</v>
      </c>
      <c r="I20" s="53">
        <v>180</v>
      </c>
      <c r="J20" s="53"/>
      <c r="K20" s="53">
        <v>8</v>
      </c>
      <c r="L20" s="53">
        <v>20</v>
      </c>
      <c r="M20" s="53"/>
      <c r="N20" s="53">
        <v>10</v>
      </c>
      <c r="O20" s="39">
        <f t="shared" si="2"/>
        <v>10152.272727272728</v>
      </c>
      <c r="P20" s="39"/>
      <c r="Q20" s="39">
        <v>20000</v>
      </c>
      <c r="R20" s="39"/>
    </row>
    <row r="21" spans="1:18" x14ac:dyDescent="0.3">
      <c r="A21" s="54" t="s">
        <v>449</v>
      </c>
      <c r="B21" s="53"/>
      <c r="C21" s="53"/>
      <c r="D21" s="53"/>
      <c r="E21" s="53"/>
      <c r="F21" s="53"/>
      <c r="G21" s="53"/>
      <c r="H21" s="53"/>
      <c r="I21" s="53"/>
      <c r="J21" s="53"/>
      <c r="K21" s="53"/>
      <c r="L21" s="53"/>
      <c r="M21" s="53"/>
      <c r="N21" s="53"/>
      <c r="O21" s="39">
        <f t="shared" si="2"/>
        <v>0</v>
      </c>
      <c r="P21" s="39"/>
      <c r="Q21" s="39"/>
      <c r="R21" s="39"/>
    </row>
    <row r="22" spans="1:18" x14ac:dyDescent="0.3">
      <c r="A22" s="37" t="s">
        <v>445</v>
      </c>
      <c r="B22" s="38">
        <f>SUM(B10:B21)</f>
        <v>211</v>
      </c>
      <c r="C22" s="38">
        <f t="shared" ref="C22:N22" si="4">SUM(C10:C21)</f>
        <v>132</v>
      </c>
      <c r="D22" s="38">
        <f t="shared" si="4"/>
        <v>197</v>
      </c>
      <c r="E22" s="38">
        <f t="shared" si="4"/>
        <v>50</v>
      </c>
      <c r="F22" s="38">
        <f t="shared" si="4"/>
        <v>0</v>
      </c>
      <c r="G22" s="38">
        <f t="shared" si="4"/>
        <v>106</v>
      </c>
      <c r="H22" s="38">
        <f t="shared" si="4"/>
        <v>100</v>
      </c>
      <c r="I22" s="38">
        <f t="shared" si="4"/>
        <v>590</v>
      </c>
      <c r="J22" s="38">
        <f t="shared" si="4"/>
        <v>43</v>
      </c>
      <c r="K22" s="38">
        <f t="shared" si="4"/>
        <v>96.625</v>
      </c>
      <c r="L22" s="38">
        <f t="shared" si="4"/>
        <v>34</v>
      </c>
      <c r="M22" s="38">
        <f t="shared" si="4"/>
        <v>22</v>
      </c>
      <c r="N22" s="38">
        <f t="shared" si="4"/>
        <v>35</v>
      </c>
      <c r="O22" s="39"/>
      <c r="P22" s="39"/>
      <c r="Q22" s="39"/>
      <c r="R22" s="39"/>
    </row>
    <row r="23" spans="1:18" ht="27.95" x14ac:dyDescent="0.3">
      <c r="A23" s="37" t="s">
        <v>452</v>
      </c>
      <c r="B23" s="38">
        <v>30</v>
      </c>
      <c r="C23" s="38">
        <v>15</v>
      </c>
      <c r="D23" s="38"/>
      <c r="E23" s="38">
        <v>5</v>
      </c>
      <c r="F23" s="38"/>
      <c r="G23" s="38"/>
      <c r="H23" s="38">
        <v>60</v>
      </c>
      <c r="I23" s="38"/>
      <c r="J23" s="38">
        <v>8</v>
      </c>
      <c r="K23" s="38">
        <v>30</v>
      </c>
      <c r="L23" s="38"/>
      <c r="M23" s="38">
        <v>4</v>
      </c>
      <c r="N23" s="38"/>
      <c r="O23" s="39">
        <f>B23*($B$9/$B$8)+C23*($C$9/$C$8)+D23*($D$9/$D$8)+E23*($E$9/$E$8)+F23*($F$9/$F$8)+G23*($G$9/$G$8)+H23*($H$9/$H$8)+I23*($I$9/$I$8)+J23*($J$9/$J$8)+K23*($K$9/$K$8)+L23*($L$9/$L$8)+M23*($M$9/$M$8)+N23*($N$9/$N$8)</f>
        <v>5315.454545454546</v>
      </c>
      <c r="P23" s="39"/>
      <c r="Q23" s="39"/>
      <c r="R23" s="39"/>
    </row>
    <row r="24" spans="1:18" x14ac:dyDescent="0.3">
      <c r="A24" s="32" t="s">
        <v>453</v>
      </c>
      <c r="B24" s="55">
        <f t="shared" ref="B24:N24" si="5">B22-B23</f>
        <v>181</v>
      </c>
      <c r="C24" s="55">
        <f t="shared" si="5"/>
        <v>117</v>
      </c>
      <c r="D24" s="55">
        <f t="shared" si="5"/>
        <v>197</v>
      </c>
      <c r="E24" s="55">
        <f t="shared" si="5"/>
        <v>45</v>
      </c>
      <c r="F24" s="55">
        <f t="shared" si="5"/>
        <v>0</v>
      </c>
      <c r="G24" s="55">
        <f t="shared" si="5"/>
        <v>106</v>
      </c>
      <c r="H24" s="55">
        <f t="shared" si="5"/>
        <v>40</v>
      </c>
      <c r="I24" s="55">
        <f t="shared" si="5"/>
        <v>590</v>
      </c>
      <c r="J24" s="55">
        <f t="shared" si="5"/>
        <v>35</v>
      </c>
      <c r="K24" s="55">
        <f t="shared" si="5"/>
        <v>66.625</v>
      </c>
      <c r="L24" s="55">
        <f t="shared" si="5"/>
        <v>34</v>
      </c>
      <c r="M24" s="55">
        <f>M22-M23</f>
        <v>18</v>
      </c>
      <c r="N24" s="55">
        <f t="shared" si="5"/>
        <v>35</v>
      </c>
      <c r="O24" s="35"/>
      <c r="P24" s="35"/>
      <c r="Q24" s="35"/>
      <c r="R24" s="35"/>
    </row>
    <row r="25" spans="1:18" x14ac:dyDescent="0.3">
      <c r="A25" s="37" t="s">
        <v>454</v>
      </c>
      <c r="B25" s="56">
        <v>0.1</v>
      </c>
      <c r="C25" s="56">
        <v>0.1</v>
      </c>
      <c r="D25" s="56">
        <v>0.1</v>
      </c>
      <c r="E25" s="56">
        <v>0.1</v>
      </c>
      <c r="F25" s="56">
        <v>0.15</v>
      </c>
      <c r="G25" s="56">
        <v>0.1</v>
      </c>
      <c r="H25" s="56">
        <v>0.1</v>
      </c>
      <c r="I25" s="56">
        <v>0.1</v>
      </c>
      <c r="J25" s="56">
        <v>0.15</v>
      </c>
      <c r="K25" s="56">
        <v>0.1</v>
      </c>
      <c r="L25" s="56">
        <v>0.05</v>
      </c>
      <c r="M25" s="56">
        <v>0.1</v>
      </c>
      <c r="N25" s="56">
        <v>0.1</v>
      </c>
      <c r="O25" s="35"/>
      <c r="P25" s="35"/>
      <c r="Q25" s="35"/>
      <c r="R25" s="35"/>
    </row>
    <row r="26" spans="1:18" ht="41.95" x14ac:dyDescent="0.3">
      <c r="A26" s="37" t="s">
        <v>455</v>
      </c>
      <c r="B26" s="57">
        <f t="shared" ref="B26:N26" si="6">B24+(B24*10%)</f>
        <v>199.1</v>
      </c>
      <c r="C26" s="57">
        <f t="shared" si="6"/>
        <v>128.69999999999999</v>
      </c>
      <c r="D26" s="57">
        <f t="shared" si="6"/>
        <v>216.7</v>
      </c>
      <c r="E26" s="57">
        <f>E24+(E24*30%)</f>
        <v>58.5</v>
      </c>
      <c r="F26" s="57">
        <f t="shared" si="6"/>
        <v>0</v>
      </c>
      <c r="G26" s="57">
        <f t="shared" si="6"/>
        <v>116.6</v>
      </c>
      <c r="H26" s="57">
        <f t="shared" si="6"/>
        <v>44</v>
      </c>
      <c r="I26" s="57">
        <f t="shared" si="6"/>
        <v>649</v>
      </c>
      <c r="J26" s="57">
        <f>J24+(J24*15%)</f>
        <v>40.25</v>
      </c>
      <c r="K26" s="57">
        <f t="shared" si="6"/>
        <v>73.287499999999994</v>
      </c>
      <c r="L26" s="57">
        <f t="shared" si="6"/>
        <v>37.4</v>
      </c>
      <c r="M26" s="57">
        <f t="shared" si="6"/>
        <v>19.8</v>
      </c>
      <c r="N26" s="57">
        <f t="shared" si="6"/>
        <v>38.5</v>
      </c>
      <c r="O26" s="35"/>
      <c r="P26" s="35"/>
      <c r="Q26" s="35"/>
      <c r="R26" s="35"/>
    </row>
    <row r="27" spans="1:18" ht="27.95" x14ac:dyDescent="0.3">
      <c r="A27" s="37" t="s">
        <v>456</v>
      </c>
      <c r="B27" s="58">
        <f t="shared" ref="B27:N27" si="7">B26/B8</f>
        <v>9.0499999999999989</v>
      </c>
      <c r="C27" s="58">
        <f t="shared" si="7"/>
        <v>12.87</v>
      </c>
      <c r="D27" s="58">
        <f t="shared" si="7"/>
        <v>21.669999999999998</v>
      </c>
      <c r="E27" s="58">
        <f t="shared" si="7"/>
        <v>11.7</v>
      </c>
      <c r="F27" s="58">
        <f t="shared" si="7"/>
        <v>0</v>
      </c>
      <c r="G27" s="58">
        <f t="shared" si="7"/>
        <v>5.83</v>
      </c>
      <c r="H27" s="58">
        <f t="shared" si="7"/>
        <v>2.2000000000000002</v>
      </c>
      <c r="I27" s="58">
        <f t="shared" si="7"/>
        <v>32.450000000000003</v>
      </c>
      <c r="J27" s="58">
        <f t="shared" si="7"/>
        <v>4.0250000000000004</v>
      </c>
      <c r="K27" s="58">
        <f t="shared" si="7"/>
        <v>7.3287499999999994</v>
      </c>
      <c r="L27" s="58">
        <f t="shared" si="7"/>
        <v>3.7399999999999998</v>
      </c>
      <c r="M27" s="58">
        <f t="shared" si="7"/>
        <v>19.8</v>
      </c>
      <c r="N27" s="58">
        <f t="shared" si="7"/>
        <v>3.85</v>
      </c>
      <c r="O27" s="35"/>
      <c r="P27" s="35"/>
      <c r="Q27" s="35"/>
      <c r="R27" s="35"/>
    </row>
    <row r="28" spans="1:18" x14ac:dyDescent="0.3">
      <c r="A28" s="32" t="s">
        <v>457</v>
      </c>
      <c r="B28" s="34">
        <v>9</v>
      </c>
      <c r="C28" s="34">
        <v>12</v>
      </c>
      <c r="D28" s="34">
        <v>22</v>
      </c>
      <c r="E28" s="34">
        <v>12</v>
      </c>
      <c r="F28" s="34"/>
      <c r="G28" s="34">
        <v>6</v>
      </c>
      <c r="H28" s="34">
        <v>3</v>
      </c>
      <c r="I28" s="34">
        <v>35</v>
      </c>
      <c r="J28" s="34">
        <v>4</v>
      </c>
      <c r="K28" s="34">
        <v>8</v>
      </c>
      <c r="L28" s="34">
        <v>5</v>
      </c>
      <c r="M28" s="34">
        <v>20</v>
      </c>
      <c r="N28" s="34">
        <v>4</v>
      </c>
      <c r="O28" s="35"/>
      <c r="P28" s="35"/>
      <c r="Q28" s="35"/>
      <c r="R28" s="35"/>
    </row>
    <row r="29" spans="1:18" x14ac:dyDescent="0.3">
      <c r="A29" s="59"/>
      <c r="B29" s="60"/>
      <c r="C29" s="60"/>
      <c r="D29" s="60"/>
      <c r="E29" s="60"/>
      <c r="F29" s="60"/>
      <c r="G29" s="60"/>
      <c r="H29" s="60"/>
      <c r="I29" s="60"/>
      <c r="J29" s="60"/>
      <c r="K29" s="60"/>
      <c r="L29" s="60"/>
      <c r="M29" s="38"/>
      <c r="N29" s="34"/>
      <c r="O29" s="35"/>
      <c r="P29" s="35"/>
      <c r="Q29" s="35"/>
      <c r="R29" s="35"/>
    </row>
    <row r="30" spans="1:18" x14ac:dyDescent="0.3">
      <c r="A30" s="61"/>
      <c r="B30" s="62"/>
      <c r="C30" s="62">
        <v>4</v>
      </c>
      <c r="D30" s="62"/>
      <c r="E30" s="62"/>
      <c r="F30" s="62"/>
      <c r="G30" s="62">
        <v>3</v>
      </c>
      <c r="H30" s="62">
        <v>2</v>
      </c>
      <c r="I30" s="62">
        <v>3</v>
      </c>
      <c r="J30" s="62"/>
      <c r="K30" s="62">
        <v>5</v>
      </c>
      <c r="L30" s="62">
        <v>2</v>
      </c>
      <c r="M30" s="38"/>
      <c r="N30" s="38">
        <v>1</v>
      </c>
      <c r="O30" s="35"/>
      <c r="P30" s="35"/>
      <c r="Q30" s="35"/>
      <c r="R30" s="35"/>
    </row>
    <row r="31" spans="1:18" x14ac:dyDescent="0.3">
      <c r="A31" s="32"/>
      <c r="B31" s="38"/>
      <c r="C31" s="63">
        <v>2</v>
      </c>
      <c r="D31" s="38"/>
      <c r="E31" s="38"/>
      <c r="F31" s="38"/>
      <c r="G31" s="38">
        <v>3</v>
      </c>
      <c r="H31" s="38">
        <v>1</v>
      </c>
      <c r="I31" s="38">
        <v>17</v>
      </c>
      <c r="J31" s="38"/>
      <c r="K31" s="38"/>
      <c r="L31" s="38">
        <v>3</v>
      </c>
      <c r="M31" s="38">
        <v>7</v>
      </c>
      <c r="N31" s="38">
        <v>2</v>
      </c>
      <c r="O31" s="35"/>
      <c r="P31" s="35"/>
      <c r="Q31" s="35"/>
      <c r="R31" s="35"/>
    </row>
    <row r="32" spans="1:18" x14ac:dyDescent="0.3">
      <c r="A32" s="54"/>
      <c r="B32" s="64"/>
      <c r="C32" s="64">
        <v>4</v>
      </c>
      <c r="D32" s="64"/>
      <c r="E32" s="64"/>
      <c r="F32" s="64"/>
      <c r="G32" s="64"/>
      <c r="H32" s="64"/>
      <c r="I32" s="64">
        <v>1</v>
      </c>
      <c r="J32" s="64"/>
      <c r="K32" s="64"/>
      <c r="L32" s="64"/>
      <c r="M32" s="38"/>
      <c r="N32" s="38"/>
      <c r="O32" s="35"/>
      <c r="P32" s="35"/>
      <c r="Q32" s="35"/>
      <c r="R32" s="35"/>
    </row>
    <row r="33" spans="1:18" x14ac:dyDescent="0.3">
      <c r="A33" s="65"/>
      <c r="B33" s="66"/>
      <c r="C33" s="66"/>
      <c r="D33" s="66"/>
      <c r="E33" s="66"/>
      <c r="F33" s="66"/>
      <c r="G33" s="66"/>
      <c r="H33" s="66"/>
      <c r="I33" s="66"/>
      <c r="J33" s="66"/>
      <c r="K33" s="66">
        <v>3</v>
      </c>
      <c r="L33" s="66"/>
      <c r="M33" s="38">
        <v>5</v>
      </c>
      <c r="N33" s="38"/>
      <c r="O33" s="35"/>
      <c r="P33" s="35"/>
      <c r="Q33" s="35"/>
      <c r="R33" s="35"/>
    </row>
    <row r="34" spans="1:18" x14ac:dyDescent="0.3">
      <c r="A34" s="67"/>
      <c r="B34" s="68"/>
      <c r="C34" s="68"/>
      <c r="D34" s="68"/>
      <c r="E34" s="68"/>
      <c r="F34" s="68"/>
      <c r="G34" s="68"/>
      <c r="H34" s="68"/>
      <c r="I34" s="68">
        <v>1</v>
      </c>
      <c r="J34" s="68">
        <v>1</v>
      </c>
      <c r="K34" s="68"/>
      <c r="L34" s="68"/>
      <c r="M34" s="38"/>
      <c r="N34" s="38">
        <v>1</v>
      </c>
      <c r="O34" s="35"/>
      <c r="P34" s="35"/>
      <c r="Q34" s="35"/>
      <c r="R34" s="35"/>
    </row>
    <row r="35" spans="1:18" x14ac:dyDescent="0.3">
      <c r="A35" s="69"/>
      <c r="B35" s="70"/>
      <c r="C35" s="70">
        <v>2</v>
      </c>
      <c r="D35" s="70"/>
      <c r="E35" s="70"/>
      <c r="F35" s="70"/>
      <c r="G35" s="70"/>
      <c r="H35" s="70"/>
      <c r="I35" s="70">
        <v>13</v>
      </c>
      <c r="J35" s="70">
        <v>1</v>
      </c>
      <c r="K35" s="70"/>
      <c r="L35" s="70"/>
      <c r="M35" s="38">
        <v>8</v>
      </c>
      <c r="N35" s="38"/>
      <c r="O35" s="35"/>
      <c r="P35" s="35"/>
      <c r="Q35" s="35"/>
      <c r="R35" s="35"/>
    </row>
    <row r="36" spans="1:18" x14ac:dyDescent="0.3">
      <c r="A36" s="32"/>
      <c r="B36" s="38"/>
      <c r="C36" s="38"/>
      <c r="D36" s="38"/>
      <c r="E36" s="38"/>
      <c r="F36" s="38"/>
      <c r="G36" s="38"/>
      <c r="H36" s="38"/>
      <c r="I36" s="38"/>
      <c r="J36" s="38">
        <v>2</v>
      </c>
      <c r="K36" s="38"/>
      <c r="L36" s="34"/>
      <c r="M36" s="34"/>
      <c r="N36" s="38"/>
      <c r="O36" s="35"/>
      <c r="P36" s="35"/>
      <c r="Q36" s="35"/>
      <c r="R36" s="35"/>
    </row>
    <row r="37" spans="1:18" ht="15.6" x14ac:dyDescent="0.3">
      <c r="A37" s="71"/>
      <c r="B37" s="72"/>
      <c r="C37" s="72"/>
      <c r="D37" s="72"/>
      <c r="E37" s="72"/>
      <c r="F37" s="72"/>
      <c r="G37" s="72"/>
      <c r="H37" s="72"/>
      <c r="I37" s="72"/>
      <c r="J37" s="72"/>
      <c r="K37" s="72"/>
      <c r="L37" s="72"/>
      <c r="M37" s="72"/>
      <c r="N37" s="72"/>
      <c r="O37" s="35"/>
      <c r="P37" s="35"/>
      <c r="Q37" s="35"/>
      <c r="R37" s="35"/>
    </row>
    <row r="38" spans="1:18" x14ac:dyDescent="0.3">
      <c r="A38" s="34" t="s">
        <v>458</v>
      </c>
      <c r="B38" s="41">
        <f t="shared" ref="B38:N38" si="8">B28*B9</f>
        <v>1125</v>
      </c>
      <c r="C38" s="41">
        <f t="shared" si="8"/>
        <v>6600</v>
      </c>
      <c r="D38" s="41">
        <f t="shared" si="8"/>
        <v>3520</v>
      </c>
      <c r="E38" s="41">
        <f t="shared" si="8"/>
        <v>1500</v>
      </c>
      <c r="F38" s="41">
        <f t="shared" si="8"/>
        <v>0</v>
      </c>
      <c r="G38" s="41">
        <f t="shared" si="8"/>
        <v>1800</v>
      </c>
      <c r="H38" s="41">
        <f t="shared" si="8"/>
        <v>1125</v>
      </c>
      <c r="I38" s="41">
        <f t="shared" si="8"/>
        <v>8750</v>
      </c>
      <c r="J38" s="41">
        <f t="shared" si="8"/>
        <v>1700</v>
      </c>
      <c r="K38" s="41">
        <f t="shared" si="8"/>
        <v>6000</v>
      </c>
      <c r="L38" s="41">
        <f t="shared" si="8"/>
        <v>7500</v>
      </c>
      <c r="M38" s="41">
        <f t="shared" si="8"/>
        <v>2400</v>
      </c>
      <c r="N38" s="41">
        <f t="shared" si="8"/>
        <v>4000</v>
      </c>
      <c r="O38" s="35">
        <f>B38+C38+D38+E38+F38+G38+H38+I38+J38+K38+L38+M38+N38+Q60+ 2000</f>
        <v>53530</v>
      </c>
      <c r="P38" s="73"/>
      <c r="Q38" s="39">
        <f>SUM(Q7:Q23)</f>
        <v>84299.5</v>
      </c>
      <c r="R38" s="35"/>
    </row>
    <row r="39" spans="1:18" x14ac:dyDescent="0.3">
      <c r="A39" s="35"/>
      <c r="B39" s="35"/>
      <c r="C39" s="35"/>
      <c r="D39" s="35"/>
      <c r="E39" s="35"/>
      <c r="F39" s="35"/>
      <c r="G39" s="35"/>
      <c r="H39" s="35"/>
      <c r="I39" s="35"/>
      <c r="J39" s="35"/>
      <c r="K39" s="35"/>
      <c r="L39" s="35"/>
      <c r="M39" s="35"/>
      <c r="N39" s="35"/>
      <c r="O39" s="35"/>
      <c r="P39" s="74" t="s">
        <v>459</v>
      </c>
      <c r="Q39" s="74" t="s">
        <v>460</v>
      </c>
      <c r="R39" s="35"/>
    </row>
    <row r="40" spans="1:18" x14ac:dyDescent="0.3">
      <c r="A40" s="35"/>
      <c r="B40" s="35"/>
      <c r="C40" s="35"/>
      <c r="D40" s="35"/>
      <c r="E40" s="35"/>
      <c r="F40" s="35"/>
      <c r="G40" s="35"/>
      <c r="H40" s="35"/>
      <c r="I40" s="35"/>
      <c r="J40" s="35"/>
      <c r="K40" s="35"/>
      <c r="L40" s="35"/>
      <c r="M40" s="35"/>
      <c r="N40" s="35" t="s">
        <v>461</v>
      </c>
      <c r="O40" s="35">
        <f t="shared" ref="O40:O59" si="9">Q40*P40</f>
        <v>1000</v>
      </c>
      <c r="P40" s="35">
        <v>5</v>
      </c>
      <c r="Q40" s="35">
        <v>200</v>
      </c>
      <c r="R40" s="35"/>
    </row>
    <row r="41" spans="1:18" x14ac:dyDescent="0.3">
      <c r="A41" s="35"/>
      <c r="B41" s="35"/>
      <c r="C41" s="35"/>
      <c r="D41" s="35"/>
      <c r="E41" s="35"/>
      <c r="F41" s="35"/>
      <c r="G41" s="35"/>
      <c r="H41" s="35"/>
      <c r="I41" s="35"/>
      <c r="J41" s="35"/>
      <c r="K41" s="35"/>
      <c r="L41" s="35"/>
      <c r="M41" s="35"/>
      <c r="N41" s="35" t="s">
        <v>462</v>
      </c>
      <c r="O41" s="35">
        <f t="shared" si="9"/>
        <v>300</v>
      </c>
      <c r="P41" s="35">
        <v>3</v>
      </c>
      <c r="Q41" s="35">
        <v>100</v>
      </c>
      <c r="R41" s="35"/>
    </row>
    <row r="42" spans="1:18" x14ac:dyDescent="0.3">
      <c r="A42" s="35"/>
      <c r="B42" s="35"/>
      <c r="C42" s="35"/>
      <c r="D42" s="35"/>
      <c r="E42" s="35"/>
      <c r="F42" s="35"/>
      <c r="G42" s="35"/>
      <c r="H42" s="35"/>
      <c r="I42" s="35"/>
      <c r="J42" s="35"/>
      <c r="K42" s="35"/>
      <c r="L42" s="35"/>
      <c r="M42" s="35"/>
      <c r="N42" s="35" t="s">
        <v>463</v>
      </c>
      <c r="O42" s="35">
        <f t="shared" si="9"/>
        <v>0</v>
      </c>
      <c r="P42" s="35">
        <v>0</v>
      </c>
      <c r="Q42" s="35">
        <v>100</v>
      </c>
      <c r="R42" s="35"/>
    </row>
    <row r="43" spans="1:18" x14ac:dyDescent="0.3">
      <c r="A43" s="35"/>
      <c r="B43" s="35"/>
      <c r="C43" s="35"/>
      <c r="D43" s="35"/>
      <c r="E43" s="35"/>
      <c r="F43" s="35"/>
      <c r="G43" s="35"/>
      <c r="H43" s="35"/>
      <c r="I43" s="35"/>
      <c r="J43" s="35"/>
      <c r="K43" s="35"/>
      <c r="L43" s="35"/>
      <c r="M43" s="35"/>
      <c r="N43" s="35" t="s">
        <v>464</v>
      </c>
      <c r="O43" s="35">
        <f t="shared" si="9"/>
        <v>2000</v>
      </c>
      <c r="P43" s="35">
        <v>100</v>
      </c>
      <c r="Q43" s="35">
        <v>20</v>
      </c>
      <c r="R43" s="35"/>
    </row>
    <row r="44" spans="1:18" ht="27.95" x14ac:dyDescent="0.3">
      <c r="A44" s="35"/>
      <c r="B44" s="35"/>
      <c r="C44" s="35"/>
      <c r="D44" s="35"/>
      <c r="E44" s="35"/>
      <c r="F44" s="75"/>
      <c r="G44" s="35"/>
      <c r="H44" s="35"/>
      <c r="I44" s="35"/>
      <c r="J44" s="35"/>
      <c r="K44" s="35"/>
      <c r="L44" s="35"/>
      <c r="M44" s="35"/>
      <c r="N44" s="35" t="s">
        <v>465</v>
      </c>
      <c r="O44" s="35">
        <f t="shared" si="9"/>
        <v>320</v>
      </c>
      <c r="P44" s="35">
        <v>4</v>
      </c>
      <c r="Q44" s="35">
        <v>80</v>
      </c>
      <c r="R44" s="35"/>
    </row>
    <row r="45" spans="1:18" x14ac:dyDescent="0.3">
      <c r="A45" s="35"/>
      <c r="B45" s="35"/>
      <c r="C45" s="35"/>
      <c r="D45" s="35"/>
      <c r="E45" s="35"/>
      <c r="F45" s="35"/>
      <c r="G45" s="35"/>
      <c r="H45" s="35"/>
      <c r="I45" s="35"/>
      <c r="J45" s="35"/>
      <c r="K45" s="35"/>
      <c r="L45" s="35"/>
      <c r="M45" s="35"/>
      <c r="N45" s="35" t="s">
        <v>466</v>
      </c>
      <c r="O45" s="35">
        <f t="shared" si="9"/>
        <v>0</v>
      </c>
      <c r="P45" s="35">
        <v>0</v>
      </c>
      <c r="Q45" s="35">
        <v>300</v>
      </c>
      <c r="R45" s="35"/>
    </row>
    <row r="46" spans="1:18" ht="27.95" x14ac:dyDescent="0.3">
      <c r="A46" s="35"/>
      <c r="B46" s="35"/>
      <c r="C46" s="35"/>
      <c r="D46" s="35"/>
      <c r="E46" s="35"/>
      <c r="F46" s="35"/>
      <c r="G46" s="35"/>
      <c r="H46" s="35"/>
      <c r="I46" s="35"/>
      <c r="J46" s="35"/>
      <c r="K46" s="35"/>
      <c r="L46" s="35"/>
      <c r="M46" s="35"/>
      <c r="N46" s="35" t="s">
        <v>467</v>
      </c>
      <c r="O46" s="35">
        <f t="shared" si="9"/>
        <v>0</v>
      </c>
      <c r="P46" s="35">
        <v>0</v>
      </c>
      <c r="Q46" s="35">
        <v>250</v>
      </c>
      <c r="R46" s="35"/>
    </row>
    <row r="47" spans="1:18" x14ac:dyDescent="0.3">
      <c r="A47" s="35"/>
      <c r="B47" s="35"/>
      <c r="C47" s="35"/>
      <c r="D47" s="35"/>
      <c r="E47" s="35"/>
      <c r="F47" s="35"/>
      <c r="G47" s="35"/>
      <c r="H47" s="35"/>
      <c r="I47" s="35"/>
      <c r="J47" s="35"/>
      <c r="K47" s="35"/>
      <c r="L47" s="35"/>
      <c r="M47" s="35"/>
      <c r="N47" s="35" t="s">
        <v>468</v>
      </c>
      <c r="O47" s="35">
        <f t="shared" si="9"/>
        <v>300</v>
      </c>
      <c r="P47" s="35">
        <v>3</v>
      </c>
      <c r="Q47" s="35">
        <v>100</v>
      </c>
      <c r="R47" s="35"/>
    </row>
    <row r="48" spans="1:18" ht="27.95" x14ac:dyDescent="0.3">
      <c r="A48" s="35"/>
      <c r="B48" s="35"/>
      <c r="C48" s="35"/>
      <c r="D48" s="35"/>
      <c r="E48" s="35"/>
      <c r="F48" s="35"/>
      <c r="G48" s="35"/>
      <c r="H48" s="35"/>
      <c r="I48" s="35"/>
      <c r="J48" s="35"/>
      <c r="K48" s="35"/>
      <c r="L48" s="35"/>
      <c r="M48" s="35"/>
      <c r="N48" s="35" t="s">
        <v>469</v>
      </c>
      <c r="O48" s="35">
        <f t="shared" si="9"/>
        <v>600</v>
      </c>
      <c r="P48" s="35">
        <v>2</v>
      </c>
      <c r="Q48" s="35">
        <v>300</v>
      </c>
      <c r="R48" s="35"/>
    </row>
    <row r="49" spans="1:18" x14ac:dyDescent="0.3">
      <c r="A49" s="35"/>
      <c r="B49" s="35"/>
      <c r="C49" s="35"/>
      <c r="D49" s="35"/>
      <c r="E49" s="35"/>
      <c r="F49" s="35"/>
      <c r="G49" s="35"/>
      <c r="H49" s="35"/>
      <c r="I49" s="35"/>
      <c r="J49" s="35"/>
      <c r="K49" s="35"/>
      <c r="L49" s="35"/>
      <c r="M49" s="35"/>
      <c r="N49" s="35" t="s">
        <v>470</v>
      </c>
      <c r="O49" s="35">
        <f t="shared" si="9"/>
        <v>0</v>
      </c>
      <c r="P49" s="35">
        <v>0</v>
      </c>
      <c r="Q49" s="35">
        <v>700</v>
      </c>
      <c r="R49" s="35"/>
    </row>
    <row r="50" spans="1:18" x14ac:dyDescent="0.3">
      <c r="A50" s="35"/>
      <c r="B50" s="35"/>
      <c r="C50" s="35"/>
      <c r="D50" s="35"/>
      <c r="E50" s="35"/>
      <c r="F50" s="35"/>
      <c r="G50" s="35"/>
      <c r="H50" s="35"/>
      <c r="I50" s="35"/>
      <c r="J50" s="35"/>
      <c r="K50" s="35"/>
      <c r="L50" s="35"/>
      <c r="M50" s="35"/>
      <c r="N50" s="35" t="s">
        <v>471</v>
      </c>
      <c r="O50" s="35">
        <f t="shared" si="9"/>
        <v>1500</v>
      </c>
      <c r="P50" s="35">
        <v>5</v>
      </c>
      <c r="Q50" s="35">
        <v>300</v>
      </c>
      <c r="R50" s="35"/>
    </row>
    <row r="51" spans="1:18" x14ac:dyDescent="0.3">
      <c r="A51" s="35"/>
      <c r="B51" s="35"/>
      <c r="C51" s="35"/>
      <c r="D51" s="35"/>
      <c r="E51" s="35"/>
      <c r="F51" s="35"/>
      <c r="G51" s="35"/>
      <c r="H51" s="35"/>
      <c r="I51" s="35"/>
      <c r="J51" s="35"/>
      <c r="K51" s="35"/>
      <c r="L51" s="35"/>
      <c r="M51" s="35"/>
      <c r="N51" s="35" t="s">
        <v>436</v>
      </c>
      <c r="O51" s="35">
        <f t="shared" si="9"/>
        <v>900</v>
      </c>
      <c r="P51" s="35">
        <v>5</v>
      </c>
      <c r="Q51" s="35">
        <v>180</v>
      </c>
      <c r="R51" s="35"/>
    </row>
    <row r="52" spans="1:18" ht="27.95" x14ac:dyDescent="0.3">
      <c r="A52" s="35"/>
      <c r="B52" s="35"/>
      <c r="C52" s="35"/>
      <c r="D52" s="35"/>
      <c r="E52" s="35"/>
      <c r="F52" s="35"/>
      <c r="G52" s="35"/>
      <c r="H52" s="35"/>
      <c r="I52" s="35"/>
      <c r="J52" s="35"/>
      <c r="K52" s="35"/>
      <c r="L52" s="35"/>
      <c r="M52" s="35"/>
      <c r="N52" s="35" t="s">
        <v>472</v>
      </c>
      <c r="O52" s="35">
        <f t="shared" si="9"/>
        <v>200</v>
      </c>
      <c r="P52" s="35">
        <v>2</v>
      </c>
      <c r="Q52" s="35">
        <v>100</v>
      </c>
      <c r="R52" s="35"/>
    </row>
    <row r="53" spans="1:18" ht="27.95" x14ac:dyDescent="0.3">
      <c r="A53" s="35"/>
      <c r="B53" s="35"/>
      <c r="C53" s="35"/>
      <c r="D53" s="35"/>
      <c r="E53" s="35"/>
      <c r="F53" s="35"/>
      <c r="G53" s="35"/>
      <c r="H53" s="35"/>
      <c r="I53" s="35"/>
      <c r="J53" s="35"/>
      <c r="K53" s="35"/>
      <c r="L53" s="35"/>
      <c r="M53" s="35"/>
      <c r="N53" s="35" t="s">
        <v>473</v>
      </c>
      <c r="O53" s="35">
        <f t="shared" si="9"/>
        <v>80</v>
      </c>
      <c r="P53" s="35">
        <v>1</v>
      </c>
      <c r="Q53" s="35">
        <v>80</v>
      </c>
      <c r="R53" s="35"/>
    </row>
    <row r="54" spans="1:18" ht="41.95" x14ac:dyDescent="0.3">
      <c r="A54" s="35"/>
      <c r="B54" s="35"/>
      <c r="C54" s="35"/>
      <c r="D54" s="35"/>
      <c r="E54" s="35"/>
      <c r="F54" s="35"/>
      <c r="G54" s="35"/>
      <c r="H54" s="35"/>
      <c r="I54" s="35"/>
      <c r="J54" s="35"/>
      <c r="K54" s="35"/>
      <c r="L54" s="35"/>
      <c r="M54" s="35"/>
      <c r="N54" s="35" t="s">
        <v>474</v>
      </c>
      <c r="O54" s="35">
        <f t="shared" si="9"/>
        <v>0</v>
      </c>
      <c r="P54" s="35">
        <v>0</v>
      </c>
      <c r="Q54" s="35">
        <v>450</v>
      </c>
      <c r="R54" s="35"/>
    </row>
    <row r="55" spans="1:18" ht="41.95" x14ac:dyDescent="0.3">
      <c r="A55" s="35"/>
      <c r="B55" s="35"/>
      <c r="C55" s="35"/>
      <c r="D55" s="35"/>
      <c r="E55" s="35"/>
      <c r="F55" s="35"/>
      <c r="G55" s="35"/>
      <c r="H55" s="35"/>
      <c r="I55" s="35"/>
      <c r="J55" s="35"/>
      <c r="K55" s="35"/>
      <c r="L55" s="35"/>
      <c r="M55" s="35"/>
      <c r="N55" s="35" t="s">
        <v>475</v>
      </c>
      <c r="O55" s="35">
        <f t="shared" si="9"/>
        <v>0</v>
      </c>
      <c r="P55" s="35">
        <v>0</v>
      </c>
      <c r="Q55" s="35">
        <v>550</v>
      </c>
      <c r="R55" s="35"/>
    </row>
    <row r="56" spans="1:18" ht="27.95" x14ac:dyDescent="0.3">
      <c r="A56" s="35"/>
      <c r="B56" s="35"/>
      <c r="C56" s="35"/>
      <c r="D56" s="35"/>
      <c r="E56" s="35"/>
      <c r="F56" s="35"/>
      <c r="G56" s="35"/>
      <c r="H56" s="35"/>
      <c r="I56" s="35"/>
      <c r="J56" s="35"/>
      <c r="K56" s="35"/>
      <c r="L56" s="35"/>
      <c r="M56" s="35"/>
      <c r="N56" s="35" t="s">
        <v>476</v>
      </c>
      <c r="O56" s="35">
        <f t="shared" si="9"/>
        <v>0</v>
      </c>
      <c r="P56" s="35">
        <v>0</v>
      </c>
      <c r="Q56" s="35">
        <v>200</v>
      </c>
      <c r="R56" s="35"/>
    </row>
    <row r="57" spans="1:18" ht="27.95" x14ac:dyDescent="0.3">
      <c r="A57" s="35"/>
      <c r="B57" s="35"/>
      <c r="C57" s="35"/>
      <c r="D57" s="35"/>
      <c r="E57" s="35"/>
      <c r="F57" s="35"/>
      <c r="G57" s="35"/>
      <c r="H57" s="35"/>
      <c r="I57" s="35"/>
      <c r="J57" s="35"/>
      <c r="K57" s="35"/>
      <c r="L57" s="35"/>
      <c r="M57" s="35"/>
      <c r="N57" s="35" t="s">
        <v>477</v>
      </c>
      <c r="O57" s="35">
        <f t="shared" si="9"/>
        <v>0</v>
      </c>
      <c r="P57" s="35">
        <v>0</v>
      </c>
      <c r="Q57" s="35">
        <v>600</v>
      </c>
      <c r="R57" s="35"/>
    </row>
    <row r="58" spans="1:18" x14ac:dyDescent="0.3">
      <c r="A58" s="35"/>
      <c r="B58" s="35"/>
      <c r="C58" s="35"/>
      <c r="D58" s="35"/>
      <c r="E58" s="35"/>
      <c r="F58" s="35"/>
      <c r="G58" s="35"/>
      <c r="H58" s="35"/>
      <c r="I58" s="35"/>
      <c r="J58" s="35"/>
      <c r="K58" s="35"/>
      <c r="L58" s="35"/>
      <c r="M58" s="35"/>
      <c r="N58" s="35" t="s">
        <v>478</v>
      </c>
      <c r="O58" s="35">
        <f t="shared" si="9"/>
        <v>0</v>
      </c>
      <c r="P58" s="35">
        <v>0</v>
      </c>
      <c r="Q58" s="35">
        <v>300</v>
      </c>
      <c r="R58" s="35"/>
    </row>
    <row r="59" spans="1:18" ht="27.95" x14ac:dyDescent="0.3">
      <c r="A59" s="35"/>
      <c r="B59" s="35"/>
      <c r="C59" s="35"/>
      <c r="D59" s="35"/>
      <c r="E59" s="35"/>
      <c r="F59" s="35"/>
      <c r="G59" s="35"/>
      <c r="H59" s="76">
        <f>(1038*25)/30</f>
        <v>865</v>
      </c>
      <c r="I59" s="35"/>
      <c r="J59" s="35"/>
      <c r="K59" s="35"/>
      <c r="L59" s="35"/>
      <c r="M59" s="35"/>
      <c r="N59" s="35" t="s">
        <v>479</v>
      </c>
      <c r="O59" s="35">
        <f t="shared" si="9"/>
        <v>0</v>
      </c>
      <c r="P59" s="35">
        <v>0</v>
      </c>
      <c r="Q59" s="35">
        <v>600</v>
      </c>
      <c r="R59" s="35"/>
    </row>
    <row r="60" spans="1:18" x14ac:dyDescent="0.3">
      <c r="Q60">
        <f>SUM(Q40:Q59)</f>
        <v>5510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C117-1AB8-4925-A7CF-AEA4C6A40485}">
  <sheetPr filterMode="1"/>
  <dimension ref="A1:AD83"/>
  <sheetViews>
    <sheetView zoomScale="60" zoomScaleNormal="60" workbookViewId="0">
      <selection activeCell="U6" sqref="U6:U74"/>
    </sheetView>
  </sheetViews>
  <sheetFormatPr defaultRowHeight="14" x14ac:dyDescent="0.3"/>
  <cols>
    <col min="3" max="7" width="0" hidden="1" customWidth="1"/>
    <col min="9" max="9" width="0" hidden="1" customWidth="1"/>
    <col min="11" max="11" width="140.296875" hidden="1" customWidth="1"/>
  </cols>
  <sheetData>
    <row r="1" spans="1:30" ht="104.8"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31" t="s">
        <v>373</v>
      </c>
      <c r="P1" s="31" t="s">
        <v>374</v>
      </c>
      <c r="Q1" s="31" t="s">
        <v>375</v>
      </c>
      <c r="R1" s="31" t="s">
        <v>376</v>
      </c>
      <c r="S1" s="31" t="s">
        <v>377</v>
      </c>
      <c r="T1" s="31" t="s">
        <v>378</v>
      </c>
      <c r="U1" s="31" t="s">
        <v>379</v>
      </c>
      <c r="V1" s="31" t="s">
        <v>380</v>
      </c>
      <c r="W1" s="31" t="s">
        <v>379</v>
      </c>
      <c r="X1" s="31" t="s">
        <v>381</v>
      </c>
      <c r="Y1" s="31" t="s">
        <v>379</v>
      </c>
      <c r="Z1" s="31" t="s">
        <v>382</v>
      </c>
      <c r="AA1" s="31" t="s">
        <v>383</v>
      </c>
      <c r="AB1" s="31" t="s">
        <v>384</v>
      </c>
      <c r="AC1" s="31" t="s">
        <v>385</v>
      </c>
      <c r="AD1" s="31" t="s">
        <v>386</v>
      </c>
    </row>
    <row r="2" spans="1:30" ht="119.3" hidden="1" customHeight="1" x14ac:dyDescent="0.3">
      <c r="A2" s="8">
        <v>13</v>
      </c>
      <c r="B2" s="9" t="s">
        <v>14</v>
      </c>
      <c r="C2" s="8" t="s">
        <v>15</v>
      </c>
      <c r="D2" s="1" t="s">
        <v>16</v>
      </c>
      <c r="E2" s="8" t="s">
        <v>17</v>
      </c>
      <c r="F2" s="8" t="s">
        <v>18</v>
      </c>
      <c r="G2" s="10" t="s">
        <v>19</v>
      </c>
      <c r="H2" s="11">
        <v>2750</v>
      </c>
      <c r="I2" s="12">
        <v>687.5</v>
      </c>
      <c r="J2" s="11" t="s">
        <v>20</v>
      </c>
      <c r="K2" s="8" t="s">
        <v>21</v>
      </c>
      <c r="L2" s="12"/>
      <c r="M2" s="12"/>
      <c r="N2" s="13" t="s">
        <v>22</v>
      </c>
      <c r="O2" s="13" t="str">
        <f>VLOOKUP(A2,'[1] 07-06-26'!$A$2:$T$87,20,0)</f>
        <v>O Glad ( 14 Inch ) 32     Grass</v>
      </c>
      <c r="P2" s="13" t="str">
        <f>VLOOKUP(A2,'[1]14-06-26'!$A$2:$T$83,20,0)</f>
        <v>W Glad ( 14 Inch ) 32     Grass</v>
      </c>
      <c r="Q2" s="13" t="str">
        <f>VLOOKUP(A2,'[1]21-06-26'!$A$2:$T$108,20,0)</f>
        <v>W Glad ( 15 Inch ) 32     Grass</v>
      </c>
      <c r="R2" s="13" t="str">
        <f>VLOOKUP(A2,'[1]28-06-26'!$A$2:$T$93,20,0)</f>
        <v>W Glad ( 14 Inch ) 32     Grass</v>
      </c>
      <c r="S2" s="13" t="str">
        <f>VLOOKUP(A2,'[2]05-07-26'!$A$2:$T$85,20,0)</f>
        <v>W Glad ( 14 Inch ) 32     Grass</v>
      </c>
      <c r="T2" s="13" t="s">
        <v>427</v>
      </c>
      <c r="U2" s="13">
        <v>32</v>
      </c>
      <c r="V2" s="13"/>
      <c r="W2" s="13"/>
      <c r="X2" s="13"/>
      <c r="Y2" s="13"/>
      <c r="Z2" s="13" t="s">
        <v>403</v>
      </c>
      <c r="AA2" s="13"/>
      <c r="AB2" s="13"/>
      <c r="AC2" s="13"/>
      <c r="AD2" s="13"/>
    </row>
    <row r="3" spans="1:30" ht="119.3" hidden="1" customHeight="1" x14ac:dyDescent="0.3">
      <c r="A3" s="1">
        <v>2592</v>
      </c>
      <c r="B3" s="14" t="s">
        <v>23</v>
      </c>
      <c r="C3" s="15">
        <v>9899779181</v>
      </c>
      <c r="D3" s="11" t="s">
        <v>24</v>
      </c>
      <c r="E3" s="11" t="s">
        <v>25</v>
      </c>
      <c r="F3" s="11" t="s">
        <v>18</v>
      </c>
      <c r="G3" s="10" t="s">
        <v>26</v>
      </c>
      <c r="H3" s="12">
        <v>999</v>
      </c>
      <c r="I3" s="12">
        <v>249.75</v>
      </c>
      <c r="J3" s="8" t="s">
        <v>27</v>
      </c>
      <c r="K3" s="11" t="s">
        <v>28</v>
      </c>
      <c r="L3" s="12"/>
      <c r="M3" s="12"/>
      <c r="N3" s="13" t="s">
        <v>29</v>
      </c>
      <c r="O3" s="13" t="e">
        <f>VLOOKUP(A3,'[1] 07-06-26'!$A$2:$T$87,20,0)</f>
        <v>#N/A</v>
      </c>
      <c r="P3" s="13" t="e">
        <f>VLOOKUP(A3,'[1]14-06-26'!$A$2:$T$83,20,0)</f>
        <v>#N/A</v>
      </c>
      <c r="Q3" s="13" t="e">
        <f>VLOOKUP(A3,'[1]21-06-26'!$A$2:$T$108,20,0)</f>
        <v>#N/A</v>
      </c>
      <c r="R3" s="13" t="str">
        <f>VLOOKUP(A3,'[1]28-06-26'!$A$2:$T$93,20,0)</f>
        <v>P Asiatic ( 14 Inch ) 2     Grass</v>
      </c>
      <c r="S3" s="13" t="str">
        <f>VLOOKUP(A3,'[2]05-07-26'!$A$2:$T$85,20,0)</f>
        <v>Rajni ( 14 Inch ) 9     Grass</v>
      </c>
      <c r="T3" s="13" t="s">
        <v>398</v>
      </c>
      <c r="U3" s="13">
        <v>9</v>
      </c>
      <c r="V3" s="13"/>
      <c r="W3" s="13"/>
      <c r="X3" s="13"/>
      <c r="Y3" s="13"/>
      <c r="Z3" s="13" t="s">
        <v>402</v>
      </c>
      <c r="AA3" s="13"/>
      <c r="AB3" s="13"/>
      <c r="AC3" s="13"/>
      <c r="AD3" s="13"/>
    </row>
    <row r="4" spans="1:30" ht="119.3" hidden="1" customHeight="1" x14ac:dyDescent="0.3">
      <c r="A4" s="1">
        <v>1182</v>
      </c>
      <c r="B4" s="9" t="s">
        <v>30</v>
      </c>
      <c r="C4" s="12">
        <v>9818335503</v>
      </c>
      <c r="D4" s="11" t="s">
        <v>31</v>
      </c>
      <c r="E4" s="11" t="s">
        <v>25</v>
      </c>
      <c r="F4" s="11" t="s">
        <v>18</v>
      </c>
      <c r="G4" s="10" t="s">
        <v>26</v>
      </c>
      <c r="H4" s="11">
        <v>1450</v>
      </c>
      <c r="I4" s="12">
        <v>362.5</v>
      </c>
      <c r="J4" s="11" t="s">
        <v>32</v>
      </c>
      <c r="K4" s="11" t="s">
        <v>33</v>
      </c>
      <c r="L4" s="11" t="s">
        <v>34</v>
      </c>
      <c r="M4" s="12"/>
      <c r="N4" s="13" t="s">
        <v>35</v>
      </c>
      <c r="O4" s="13" t="e">
        <f>VLOOKUP(A4,'[1] 07-06-26'!$A$2:$T$87,20,0)</f>
        <v>#N/A</v>
      </c>
      <c r="P4" s="13" t="str">
        <f>VLOOKUP(A4,'[1]14-06-26'!$A$2:$T$83,20,0)</f>
        <v>P Asiatic ( 14 Inch ) 3     Grass</v>
      </c>
      <c r="Q4" s="13" t="str">
        <f>VLOOKUP(A4,'[1]21-06-26'!$A$2:$T$108,20,0)</f>
        <v>P n W Glad ( 14 Inch ) 16     Grass</v>
      </c>
      <c r="R4" s="13" t="str">
        <f>VLOOKUP(A4,'[1]28-06-26'!$A$2:$T$93,20,0)</f>
        <v>P n W Car ( 14 Inch ) 16     FF Sachet + Grass</v>
      </c>
      <c r="S4" s="13" t="e">
        <f>VLOOKUP(A4,'[2]05-07-26'!$A$2:$T$85,20,0)</f>
        <v>#N/A</v>
      </c>
      <c r="T4" s="13" t="s">
        <v>422</v>
      </c>
      <c r="U4" s="13">
        <v>4</v>
      </c>
      <c r="V4" s="13"/>
      <c r="W4" s="13"/>
      <c r="X4" s="13"/>
      <c r="Y4" s="13"/>
      <c r="Z4" s="13" t="s">
        <v>402</v>
      </c>
      <c r="AA4" s="13"/>
      <c r="AB4" s="13"/>
      <c r="AC4" s="13"/>
      <c r="AD4" s="13"/>
    </row>
    <row r="5" spans="1:30" ht="119.3" hidden="1" customHeight="1" x14ac:dyDescent="0.3">
      <c r="A5" s="1">
        <v>3010</v>
      </c>
      <c r="B5" s="9" t="s">
        <v>36</v>
      </c>
      <c r="C5" s="15">
        <v>9771430070</v>
      </c>
      <c r="D5" s="11" t="s">
        <v>37</v>
      </c>
      <c r="E5" s="11" t="s">
        <v>38</v>
      </c>
      <c r="F5" s="11" t="s">
        <v>18</v>
      </c>
      <c r="G5" s="10" t="s">
        <v>19</v>
      </c>
      <c r="H5" s="12">
        <v>999</v>
      </c>
      <c r="I5" s="12">
        <v>249.75</v>
      </c>
      <c r="J5" s="8" t="s">
        <v>27</v>
      </c>
      <c r="K5" s="11" t="s">
        <v>39</v>
      </c>
      <c r="L5" s="11" t="s">
        <v>40</v>
      </c>
      <c r="M5" s="12"/>
      <c r="N5" s="13" t="s">
        <v>35</v>
      </c>
      <c r="O5" s="13" t="str">
        <f>VLOOKUP(A5,'[1] 07-06-26'!$A$2:$T$87,20,0)</f>
        <v>Pur n P Car ( 14 Inch ) 9     FF Sachet + Grass</v>
      </c>
      <c r="P5" s="13" t="str">
        <f>VLOOKUP(A5,'[1]14-06-26'!$A$2:$T$83,20,0)</f>
        <v>Sunflower ( 12 Inch ) 2     FF Sachet + Grass</v>
      </c>
      <c r="Q5" s="13" t="e">
        <f>VLOOKUP(A5,'[1]21-06-26'!$A$2:$T$108,20,0)</f>
        <v>#N/A</v>
      </c>
      <c r="R5" s="13" t="e">
        <f>VLOOKUP(A5,'[1]28-06-26'!$A$2:$T$93,20,0)</f>
        <v>#N/A</v>
      </c>
      <c r="S5" s="13" t="str">
        <f>VLOOKUP(A5,'[2]05-07-26'!$A$2:$T$85,20,0)</f>
        <v>Rajni ( 14 Inch ) 9     Grass</v>
      </c>
      <c r="T5" s="13" t="s">
        <v>421</v>
      </c>
      <c r="U5" s="13">
        <v>2</v>
      </c>
      <c r="V5" s="13"/>
      <c r="W5" s="13"/>
      <c r="X5" s="13"/>
      <c r="Y5" s="13"/>
      <c r="Z5" s="13"/>
      <c r="AA5" s="13"/>
      <c r="AB5" s="13"/>
      <c r="AC5" s="13"/>
      <c r="AD5" s="13"/>
    </row>
    <row r="6" spans="1:30" ht="119.3" hidden="1" customHeight="1" x14ac:dyDescent="0.3">
      <c r="A6" s="1">
        <v>2878</v>
      </c>
      <c r="B6" s="9" t="s">
        <v>41</v>
      </c>
      <c r="C6" s="15">
        <v>7506091115</v>
      </c>
      <c r="D6" s="11" t="s">
        <v>42</v>
      </c>
      <c r="E6" s="11" t="s">
        <v>43</v>
      </c>
      <c r="F6" s="11" t="s">
        <v>18</v>
      </c>
      <c r="G6" s="10" t="s">
        <v>19</v>
      </c>
      <c r="H6" s="12">
        <v>1450</v>
      </c>
      <c r="I6" s="12">
        <v>362.5</v>
      </c>
      <c r="J6" s="8" t="s">
        <v>32</v>
      </c>
      <c r="K6" s="11" t="s">
        <v>44</v>
      </c>
      <c r="L6" s="12"/>
      <c r="M6" s="11" t="s">
        <v>45</v>
      </c>
      <c r="N6" s="13" t="s">
        <v>46</v>
      </c>
      <c r="O6" s="13" t="str">
        <f>VLOOKUP(A6,'[1] 07-06-26'!$A$2:$T$87,20,0)</f>
        <v>Pur n P Car ( 14 Inch ) 9     FF Sachet + Grass</v>
      </c>
      <c r="P6" s="13" t="e">
        <f>VLOOKUP(A6,'[1]14-06-26'!$A$2:$T$83,20,0)</f>
        <v>#N/A</v>
      </c>
      <c r="Q6" s="13" t="str">
        <f>VLOOKUP(A6,'[1]21-06-26'!$A$2:$T$108,20,0)</f>
        <v>B Daisy ( 12 Inch ) 9     Grass</v>
      </c>
      <c r="R6" s="13" t="str">
        <f>VLOOKUP(A6,'[1]28-06-26'!$A$2:$T$93,20,0)</f>
        <v>Sunflower ( 12 Inch ) 4     FF Sachet + Grass</v>
      </c>
      <c r="S6" s="13" t="str">
        <f>VLOOKUP(A6,'[2]05-07-26'!$A$2:$T$85,20,0)</f>
        <v>Rajni ( 14 Inch ) 16     Grass</v>
      </c>
      <c r="T6" s="13" t="s">
        <v>423</v>
      </c>
      <c r="U6" s="13">
        <v>3</v>
      </c>
      <c r="V6" s="13"/>
      <c r="W6" s="13"/>
      <c r="X6" s="13"/>
      <c r="Y6" s="13"/>
      <c r="Z6" s="13" t="s">
        <v>403</v>
      </c>
      <c r="AA6" s="13"/>
      <c r="AB6" s="13"/>
      <c r="AC6" s="13"/>
      <c r="AD6" s="13"/>
    </row>
    <row r="7" spans="1:30" ht="119.3" hidden="1" customHeight="1" x14ac:dyDescent="0.3">
      <c r="A7" s="1">
        <v>3364</v>
      </c>
      <c r="B7" s="9" t="s">
        <v>47</v>
      </c>
      <c r="C7" s="12">
        <v>9819952391</v>
      </c>
      <c r="D7" s="11" t="s">
        <v>48</v>
      </c>
      <c r="E7" s="11" t="s">
        <v>17</v>
      </c>
      <c r="F7" s="11" t="s">
        <v>18</v>
      </c>
      <c r="G7" s="16" t="s">
        <v>49</v>
      </c>
      <c r="H7" s="12">
        <v>2750</v>
      </c>
      <c r="I7" s="12">
        <v>687.5</v>
      </c>
      <c r="J7" s="8" t="s">
        <v>20</v>
      </c>
      <c r="K7" s="11" t="s">
        <v>50</v>
      </c>
      <c r="L7" s="12"/>
      <c r="M7" s="11" t="s">
        <v>51</v>
      </c>
      <c r="N7" s="13" t="s">
        <v>35</v>
      </c>
      <c r="O7" s="13" t="e">
        <f>VLOOKUP(A7,'[1] 07-06-26'!$A$2:$T$87,20,0)</f>
        <v>#N/A</v>
      </c>
      <c r="P7" s="13" t="str">
        <f>VLOOKUP(A7,'[1]14-06-26'!$A$2:$T$83,20,0)</f>
        <v>Pur n P Car ( 14 Inch ) 32     2 Gypsola + FF sachet</v>
      </c>
      <c r="Q7" s="13" t="e">
        <f>VLOOKUP(A7,'[1]21-06-26'!$A$2:$T$108,20,0)</f>
        <v>#N/A</v>
      </c>
      <c r="R7" s="13" t="str">
        <f>VLOOKUP(A7,'[1]28-06-26'!$A$2:$T$93,20,0)</f>
        <v>Sunflower ( 12 Inch ) 8     2 Limonium + FF sachet</v>
      </c>
      <c r="S7" s="13" t="str">
        <f>VLOOKUP(A7,'[2]05-07-26'!$A$2:$T$85,20,0)</f>
        <v>P Asiatic ( 14 Inch ) 6     2 Gypsola</v>
      </c>
      <c r="T7" s="13" t="s">
        <v>399</v>
      </c>
      <c r="U7" s="13">
        <v>32</v>
      </c>
      <c r="V7" s="13"/>
      <c r="W7" s="13"/>
      <c r="X7" s="13"/>
      <c r="Y7" s="13"/>
      <c r="Z7" s="13" t="s">
        <v>429</v>
      </c>
      <c r="AA7" s="13"/>
      <c r="AB7" s="13"/>
      <c r="AC7" s="13"/>
      <c r="AD7" s="13"/>
    </row>
    <row r="8" spans="1:30" ht="119.3" hidden="1" customHeight="1" x14ac:dyDescent="0.3">
      <c r="A8" s="1">
        <v>1899</v>
      </c>
      <c r="B8" s="9" t="s">
        <v>52</v>
      </c>
      <c r="C8" s="12">
        <v>9811227080</v>
      </c>
      <c r="D8" s="11" t="s">
        <v>53</v>
      </c>
      <c r="E8" s="11" t="s">
        <v>54</v>
      </c>
      <c r="F8" s="11" t="s">
        <v>55</v>
      </c>
      <c r="G8" s="10" t="s">
        <v>19</v>
      </c>
      <c r="H8" s="11">
        <v>4850</v>
      </c>
      <c r="I8" s="12">
        <v>606.25</v>
      </c>
      <c r="J8" s="17" t="s">
        <v>56</v>
      </c>
      <c r="K8" s="11" t="s">
        <v>57</v>
      </c>
      <c r="L8" s="12"/>
      <c r="M8" s="12"/>
      <c r="N8" s="13" t="s">
        <v>387</v>
      </c>
      <c r="O8" s="13" t="str">
        <f>VLOOKUP(A8,'[1] 07-06-26'!$A$2:$T$87,20,0)</f>
        <v>Mix Alstroemeria ( 12 Inch ) 20     FF Sachet + Grass</v>
      </c>
      <c r="P8" s="13" t="e">
        <f>VLOOKUP(A8,'[1]14-06-26'!$A$2:$T$83,20,0)</f>
        <v>#N/A</v>
      </c>
      <c r="Q8" s="13" t="e">
        <f>VLOOKUP(A8,'[1]21-06-26'!$A$2:$T$108,20,0)</f>
        <v>#N/A</v>
      </c>
      <c r="R8" s="13" t="str">
        <f>VLOOKUP(A8,'[1]28-06-26'!$A$2:$T$93,20,0)</f>
        <v>Pur n P Car ( 14 Inch 26     FF Sachet + Grass</v>
      </c>
      <c r="S8" s="13" t="str">
        <f>VLOOKUP(A8,'[2]05-07-26'!$A$2:$T$85,20,0)</f>
        <v>B Daisy ( 12 Inch ) 26     Grass</v>
      </c>
      <c r="T8" s="13" t="s">
        <v>394</v>
      </c>
      <c r="U8" s="13">
        <v>6</v>
      </c>
      <c r="V8" s="13"/>
      <c r="W8" s="13"/>
      <c r="X8" s="13"/>
      <c r="Y8" s="13"/>
      <c r="Z8" s="13" t="s">
        <v>403</v>
      </c>
      <c r="AA8" s="13"/>
      <c r="AB8" s="13"/>
      <c r="AC8" s="13"/>
      <c r="AD8" s="13"/>
    </row>
    <row r="9" spans="1:30" ht="119.3" hidden="1" customHeight="1" x14ac:dyDescent="0.3">
      <c r="A9" s="1">
        <v>2494</v>
      </c>
      <c r="B9" s="9" t="s">
        <v>58</v>
      </c>
      <c r="C9" s="15">
        <v>9312059597</v>
      </c>
      <c r="D9" s="11" t="s">
        <v>59</v>
      </c>
      <c r="E9" s="11" t="s">
        <v>38</v>
      </c>
      <c r="F9" s="11" t="s">
        <v>18</v>
      </c>
      <c r="G9" s="11" t="s">
        <v>26</v>
      </c>
      <c r="H9" s="12">
        <v>1450</v>
      </c>
      <c r="I9" s="12">
        <v>362.5</v>
      </c>
      <c r="J9" s="8" t="s">
        <v>32</v>
      </c>
      <c r="K9" s="11" t="s">
        <v>60</v>
      </c>
      <c r="L9" s="12"/>
      <c r="M9" s="11" t="s">
        <v>61</v>
      </c>
      <c r="N9" s="13" t="s">
        <v>62</v>
      </c>
      <c r="O9" s="13" t="str">
        <f>VLOOKUP(A9,'[1] 07-06-26'!$A$2:$T$87,20,0)</f>
        <v>Mix Alstroemeria ( 12 Inch ) 9     FF Sachet + Grass</v>
      </c>
      <c r="P9" s="13" t="str">
        <f>VLOOKUP(A9,'[1]14-06-26'!$A$2:$T$83,20,0)</f>
        <v>Sunflower ( 12 Inch ) 2     FF Sachet + Grass</v>
      </c>
      <c r="Q9" s="13" t="e">
        <f>VLOOKUP(A9,'[1]21-06-26'!$A$2:$T$108,20,0)</f>
        <v>#N/A</v>
      </c>
      <c r="R9" s="13" t="e">
        <f>VLOOKUP(A9,'[1]28-06-26'!$A$2:$T$93,20,0)</f>
        <v>#N/A</v>
      </c>
      <c r="S9" s="13" t="str">
        <f>VLOOKUP(A9,'[2]05-07-26'!$A$2:$T$85,20,0)</f>
        <v>Pur n P Car ( 14 Inch ) 16     FF Sachet + Grass</v>
      </c>
      <c r="T9" s="13" t="s">
        <v>421</v>
      </c>
      <c r="U9" s="13">
        <v>3</v>
      </c>
      <c r="V9" s="13"/>
      <c r="W9" s="13"/>
      <c r="X9" s="13"/>
      <c r="Y9" s="13"/>
      <c r="Z9" s="13" t="s">
        <v>403</v>
      </c>
      <c r="AA9" s="13"/>
      <c r="AB9" s="13"/>
      <c r="AC9" s="13"/>
      <c r="AD9" s="13"/>
    </row>
    <row r="10" spans="1:30" ht="119.3" hidden="1" customHeight="1" x14ac:dyDescent="0.3">
      <c r="A10" s="1">
        <v>2112</v>
      </c>
      <c r="B10" s="18" t="s">
        <v>63</v>
      </c>
      <c r="C10" s="12">
        <v>9999761657</v>
      </c>
      <c r="D10" s="11" t="s">
        <v>64</v>
      </c>
      <c r="E10" s="11" t="s">
        <v>38</v>
      </c>
      <c r="F10" s="11" t="s">
        <v>18</v>
      </c>
      <c r="G10" s="10" t="s">
        <v>19</v>
      </c>
      <c r="H10" s="12">
        <v>1450</v>
      </c>
      <c r="I10" s="12">
        <v>362.5</v>
      </c>
      <c r="J10" s="11" t="s">
        <v>32</v>
      </c>
      <c r="K10" s="11" t="s">
        <v>65</v>
      </c>
      <c r="L10" s="12"/>
      <c r="M10" s="11" t="s">
        <v>66</v>
      </c>
      <c r="N10" s="13" t="s">
        <v>393</v>
      </c>
      <c r="O10" s="13" t="str">
        <f>VLOOKUP(A10,'[1] 07-06-26'!$A$2:$T$87,20,0)</f>
        <v>Y Spray Daisy ( 14 Inch ) 3 Mix Alstroemeria ( 12 Inch ) 7   FF Sachet + Grass</v>
      </c>
      <c r="P10" s="13" t="str">
        <f>VLOOKUP(A10,'[1]14-06-26'!$A$2:$T$83,20,0)</f>
        <v>P Eustoma ( 12 Inch ) 2 P n W Glad ( 14 Inch ) 7   FF Sachet + Grass</v>
      </c>
      <c r="Q10" s="13" t="str">
        <f>VLOOKUP(A10,'[1]21-06-26'!$A$2:$T$108,20,0)</f>
        <v>P Asiatic ( 14 Inch ) 2 B Daisy ( 12 Inch ) 7   Grass</v>
      </c>
      <c r="R10" s="13" t="str">
        <f>VLOOKUP(A10,'[1]28-06-26'!$A$2:$T$93,20,0)</f>
        <v>Sunflower ( 12 Inch ) 2 Pur n P Car ( 14 Inch ) 7   FF Sachet + Grass</v>
      </c>
      <c r="S10" s="13" t="e">
        <f>VLOOKUP(A10,'[2]05-07-26'!$A$2:$T$85,20,0)</f>
        <v>#N/A</v>
      </c>
      <c r="T10" s="13" t="s">
        <v>401</v>
      </c>
      <c r="U10" s="13">
        <v>3</v>
      </c>
      <c r="V10" s="13" t="s">
        <v>399</v>
      </c>
      <c r="W10" s="13">
        <v>7</v>
      </c>
      <c r="X10" s="13"/>
      <c r="Y10" s="13"/>
      <c r="Z10" s="13" t="s">
        <v>402</v>
      </c>
      <c r="AA10" s="13"/>
      <c r="AB10" s="13"/>
      <c r="AC10" s="13"/>
      <c r="AD10" s="13"/>
    </row>
    <row r="11" spans="1:30" ht="119.3" hidden="1" customHeight="1" x14ac:dyDescent="0.3">
      <c r="A11" s="8">
        <v>894</v>
      </c>
      <c r="B11" s="19" t="s">
        <v>67</v>
      </c>
      <c r="C11" s="20" t="s">
        <v>68</v>
      </c>
      <c r="D11" s="20" t="s">
        <v>69</v>
      </c>
      <c r="E11" s="8" t="s">
        <v>17</v>
      </c>
      <c r="F11" s="8" t="s">
        <v>70</v>
      </c>
      <c r="G11" s="10" t="s">
        <v>19</v>
      </c>
      <c r="H11" s="12">
        <v>3000</v>
      </c>
      <c r="I11" s="12">
        <v>375</v>
      </c>
      <c r="J11" s="11" t="s">
        <v>71</v>
      </c>
      <c r="K11" s="8" t="s">
        <v>72</v>
      </c>
      <c r="L11" s="11" t="s">
        <v>73</v>
      </c>
      <c r="M11" s="12"/>
      <c r="N11" s="13" t="s">
        <v>388</v>
      </c>
      <c r="O11" s="13" t="str">
        <f>VLOOKUP(A11,'[1] 07-06-26'!$A$2:$T$87,20,0)</f>
        <v>Mix Alstroemeria ( 12 Inch ) 15     FF Sachet + Grass</v>
      </c>
      <c r="P11" s="13" t="str">
        <f>VLOOKUP(A11,'[1]14-06-26'!$A$2:$T$83,20,0)</f>
        <v>Pur n P Car ( 14 Inch ) 15     FF Sachet + Grass</v>
      </c>
      <c r="Q11" s="13" t="str">
        <f>VLOOKUP(A11,'[1]21-06-26'!$A$2:$T$108,20,0)</f>
        <v>B Daisy ( 12 Inch ) 15     Grass</v>
      </c>
      <c r="R11" s="13" t="str">
        <f>VLOOKUP(A11,'[1]28-06-26'!$A$2:$T$93,20,0)</f>
        <v>P Oriental ( 15 Inch ) 2     Grass</v>
      </c>
      <c r="S11" s="13" t="str">
        <f>VLOOKUP(A11,'[2]05-07-26'!$A$2:$T$85,20,0)</f>
        <v>B Daisy ( 12 Inch ) 15     Grass</v>
      </c>
      <c r="T11" s="13" t="s">
        <v>395</v>
      </c>
      <c r="U11" s="13">
        <v>4</v>
      </c>
      <c r="V11" s="13"/>
      <c r="W11" s="13"/>
      <c r="X11" s="13"/>
      <c r="Y11" s="13"/>
      <c r="Z11" s="13" t="s">
        <v>402</v>
      </c>
      <c r="AA11" s="13"/>
      <c r="AB11" s="13"/>
      <c r="AC11" s="13"/>
      <c r="AD11" s="13"/>
    </row>
    <row r="12" spans="1:30" ht="119.3" hidden="1" customHeight="1" x14ac:dyDescent="0.3">
      <c r="A12" s="1">
        <v>2724</v>
      </c>
      <c r="B12" s="9" t="s">
        <v>74</v>
      </c>
      <c r="C12" s="9">
        <v>9873400017</v>
      </c>
      <c r="D12" s="11" t="s">
        <v>75</v>
      </c>
      <c r="E12" s="11" t="s">
        <v>76</v>
      </c>
      <c r="F12" s="11" t="s">
        <v>18</v>
      </c>
      <c r="G12" s="12" t="s">
        <v>77</v>
      </c>
      <c r="H12" s="12">
        <v>1450</v>
      </c>
      <c r="I12" s="12">
        <v>362.5</v>
      </c>
      <c r="J12" s="11" t="s">
        <v>32</v>
      </c>
      <c r="K12" s="11" t="s">
        <v>78</v>
      </c>
      <c r="L12" s="11" t="s">
        <v>79</v>
      </c>
      <c r="M12" s="12"/>
      <c r="N12" s="13" t="s">
        <v>80</v>
      </c>
      <c r="O12" s="13" t="e">
        <f>VLOOKUP(A12,'[1] 07-06-26'!$A$2:$T$87,20,0)</f>
        <v>#N/A</v>
      </c>
      <c r="P12" s="13" t="e">
        <f>VLOOKUP(A12,'[1]14-06-26'!$A$2:$T$83,20,0)</f>
        <v>#N/A</v>
      </c>
      <c r="Q12" s="13" t="str">
        <f>VLOOKUP(A12,'[1]21-06-26'!$A$2:$T$108,20,0)</f>
        <v>Pur n P Car ( 14 Inch ) 16     FF Sachet + Grass</v>
      </c>
      <c r="R12" s="13" t="str">
        <f>VLOOKUP(A12,'[1]28-06-26'!$A$2:$T$93,20,0)</f>
        <v>Sunflower ( 12 Inch ) 4     FF Sachet + Grass</v>
      </c>
      <c r="S12" s="13" t="str">
        <f>VLOOKUP(A12,'[2]05-07-26'!$A$2:$T$85,20,0)</f>
        <v>Rajni ( 14 Inch ) 16     Grass</v>
      </c>
      <c r="T12" s="13" t="s">
        <v>421</v>
      </c>
      <c r="U12" s="13">
        <v>3</v>
      </c>
      <c r="V12" s="13"/>
      <c r="W12" s="13"/>
      <c r="X12" s="13"/>
      <c r="Y12" s="13"/>
      <c r="Z12" s="13" t="s">
        <v>403</v>
      </c>
      <c r="AA12" s="13"/>
      <c r="AB12" s="13"/>
      <c r="AC12" s="13"/>
      <c r="AD12" s="13"/>
    </row>
    <row r="13" spans="1:30" ht="119.3" hidden="1" customHeight="1" x14ac:dyDescent="0.3">
      <c r="A13" s="1">
        <v>2250</v>
      </c>
      <c r="B13" s="9" t="s">
        <v>81</v>
      </c>
      <c r="C13" s="12">
        <v>9810796682</v>
      </c>
      <c r="D13" s="11" t="s">
        <v>82</v>
      </c>
      <c r="E13" s="11" t="s">
        <v>83</v>
      </c>
      <c r="F13" s="11" t="s">
        <v>18</v>
      </c>
      <c r="G13" s="10" t="s">
        <v>19</v>
      </c>
      <c r="H13" s="12">
        <v>3088</v>
      </c>
      <c r="I13" s="12">
        <v>386</v>
      </c>
      <c r="J13" s="11" t="s">
        <v>84</v>
      </c>
      <c r="K13" s="11" t="s">
        <v>85</v>
      </c>
      <c r="L13" s="12"/>
      <c r="M13" s="12"/>
      <c r="N13" s="13" t="s">
        <v>389</v>
      </c>
      <c r="O13" s="13" t="e">
        <f>VLOOKUP(A13,'[1] 07-06-26'!$A$2:$T$87,20,0)</f>
        <v>#N/A</v>
      </c>
      <c r="P13" s="13" t="e">
        <f>VLOOKUP(A13,'[1]14-06-26'!$A$2:$T$83,20,0)</f>
        <v>#N/A</v>
      </c>
      <c r="Q13" s="13" t="str">
        <f>VLOOKUP(A13,'[1]21-06-26'!$A$2:$T$108,20,0)</f>
        <v>P Asiatic ( 14 Inch ) 3     Grass</v>
      </c>
      <c r="R13" s="13" t="str">
        <f>VLOOKUP(A13,'[1]28-06-26'!$A$2:$T$93,20,0)</f>
        <v>Y Asiatic ( 14 Inch ) 3     Grass</v>
      </c>
      <c r="S13" s="13" t="e">
        <f>VLOOKUP(A13,'[2]05-07-26'!$A$2:$T$85,20,0)</f>
        <v>#N/A</v>
      </c>
      <c r="T13" s="13" t="s">
        <v>404</v>
      </c>
      <c r="U13" s="13">
        <v>3</v>
      </c>
      <c r="V13" s="13"/>
      <c r="W13" s="13"/>
      <c r="X13" s="13"/>
      <c r="Y13" s="13"/>
      <c r="Z13" s="13" t="s">
        <v>403</v>
      </c>
      <c r="AA13" s="13"/>
      <c r="AB13" s="13"/>
      <c r="AC13" s="13"/>
      <c r="AD13" s="13"/>
    </row>
    <row r="14" spans="1:30" ht="119.3" hidden="1" customHeight="1" x14ac:dyDescent="0.3">
      <c r="A14" s="1">
        <v>2307</v>
      </c>
      <c r="B14" s="9" t="s">
        <v>86</v>
      </c>
      <c r="C14" s="12">
        <v>9599336609</v>
      </c>
      <c r="D14" s="11" t="s">
        <v>87</v>
      </c>
      <c r="E14" s="11" t="s">
        <v>17</v>
      </c>
      <c r="F14" s="11" t="s">
        <v>70</v>
      </c>
      <c r="G14" s="10" t="s">
        <v>88</v>
      </c>
      <c r="H14" s="12">
        <v>3000</v>
      </c>
      <c r="I14" s="12">
        <v>375</v>
      </c>
      <c r="J14" s="11" t="s">
        <v>71</v>
      </c>
      <c r="K14" s="11" t="s">
        <v>89</v>
      </c>
      <c r="L14" s="12"/>
      <c r="M14" s="21" t="s">
        <v>90</v>
      </c>
      <c r="N14" s="13" t="s">
        <v>388</v>
      </c>
      <c r="O14" s="13" t="str">
        <f>VLOOKUP(A14,'[1] 07-06-26'!$A$2:$T$87,20,0)</f>
        <v>P n W Glad ( 14 Inch ) 15 Keep Flowers Outside of Door-- Don’t ring bell or Don’t Don’t Call    Grass</v>
      </c>
      <c r="P14" s="13" t="str">
        <f>VLOOKUP(A14,'[1]14-06-26'!$A$2:$T$83,20,0)</f>
        <v>B Daisy ( 12 Inch ) 15 Keep Flowers outside of door -- Don’t call n don’t ring bell    FF Sachet + Grass</v>
      </c>
      <c r="Q14" s="13" t="str">
        <f>VLOOKUP(A14,'[1]21-06-26'!$A$2:$T$108,20,0)</f>
        <v>Rajni ( 14 Inch ) 15 Keep Flowers at Door -- Don’t Call or Knock    Grass</v>
      </c>
      <c r="R14" s="13" t="str">
        <f>VLOOKUP(A14,'[1]28-06-26'!$A$2:$T$93,20,0)</f>
        <v>Y Asiatic ( 14 Inch ) 3 Keep Flowers at door -- Don’t Call or ring the bell    Grass</v>
      </c>
      <c r="S14" s="13" t="str">
        <f>VLOOKUP(A14,'[2]05-07-26'!$A$2:$T$85,20,0)</f>
        <v>P n W Glad ( 14 Inch ) 15 Keep Flowesr at Door -- Don’t Ring Bell, Don’t Call    Grass</v>
      </c>
      <c r="T14" s="13" t="s">
        <v>396</v>
      </c>
      <c r="U14" s="13">
        <v>15</v>
      </c>
      <c r="V14" s="13" t="s">
        <v>397</v>
      </c>
      <c r="W14" s="13"/>
      <c r="X14" s="13"/>
      <c r="Y14" s="13"/>
      <c r="Z14" s="13" t="s">
        <v>403</v>
      </c>
      <c r="AA14" s="13"/>
      <c r="AB14" s="13"/>
      <c r="AC14" s="13"/>
      <c r="AD14" s="13"/>
    </row>
    <row r="15" spans="1:30" ht="119.3" hidden="1" customHeight="1" x14ac:dyDescent="0.3">
      <c r="A15" s="1">
        <v>2580</v>
      </c>
      <c r="B15" s="18" t="s">
        <v>91</v>
      </c>
      <c r="C15" s="12">
        <v>9999653332</v>
      </c>
      <c r="D15" s="11" t="s">
        <v>92</v>
      </c>
      <c r="E15" s="11" t="s">
        <v>83</v>
      </c>
      <c r="F15" s="11" t="s">
        <v>18</v>
      </c>
      <c r="G15" s="10" t="s">
        <v>19</v>
      </c>
      <c r="H15" s="12">
        <v>1450</v>
      </c>
      <c r="I15" s="12">
        <v>362.5</v>
      </c>
      <c r="J15" s="11" t="s">
        <v>32</v>
      </c>
      <c r="K15" s="11" t="s">
        <v>93</v>
      </c>
      <c r="L15" s="12"/>
      <c r="M15" s="12"/>
      <c r="N15" s="13" t="s">
        <v>35</v>
      </c>
      <c r="O15" s="13" t="str">
        <f>VLOOKUP(A15,'[1] 07-06-26'!$A$2:$T$87,20,0)</f>
        <v>Y Spray Daisy ( 14 Inch ) 3 Mix Alstroemeria ( 12 Inch ) 7   FF Sachet + Grass</v>
      </c>
      <c r="P15" s="13" t="str">
        <f>VLOOKUP(A15,'[1]14-06-26'!$A$2:$T$83,20,0)</f>
        <v>Sunflower ( 12 Inch ) 2 Pur n P Car ( 14 Inch ) 7   FF Sachet + Grass</v>
      </c>
      <c r="Q15" s="13" t="str">
        <f>VLOOKUP(A15,'[1]21-06-26'!$A$2:$T$108,20,0)</f>
        <v>P Asiatic ( 14 Inch ) 2 B Daisy ( 12 Inch ) 7   Grass</v>
      </c>
      <c r="R15" s="13" t="str">
        <f>VLOOKUP(A15,'[1]28-06-26'!$A$2:$T$93,20,0)</f>
        <v>Pur Eustoma ( 12 inch ) 2 P n W Glad ( 14 Inch ) 7   FF Sachet + Grass</v>
      </c>
      <c r="S15" s="13" t="str">
        <f>VLOOKUP(A15,'[2]05-07-26'!$A$2:$T$85,20,0)</f>
        <v>Sunflower ( 12 Inch ) 2 B Daisy ( 12 Inch ) 7   FF Sachet + Grass</v>
      </c>
      <c r="T15" s="13" t="s">
        <v>421</v>
      </c>
      <c r="U15" s="13">
        <v>2</v>
      </c>
      <c r="V15" s="13" t="s">
        <v>399</v>
      </c>
      <c r="W15" s="13">
        <v>7</v>
      </c>
      <c r="X15" s="13"/>
      <c r="Y15" s="13"/>
      <c r="Z15" s="13" t="s">
        <v>403</v>
      </c>
      <c r="AA15" s="13"/>
      <c r="AB15" s="13"/>
      <c r="AC15" s="13"/>
      <c r="AD15" s="13"/>
    </row>
    <row r="16" spans="1:30" ht="119.3" hidden="1" customHeight="1" x14ac:dyDescent="0.3">
      <c r="A16" s="1">
        <v>3386</v>
      </c>
      <c r="B16" s="9" t="s">
        <v>94</v>
      </c>
      <c r="C16" s="12">
        <v>9992399954</v>
      </c>
      <c r="D16" s="11" t="s">
        <v>95</v>
      </c>
      <c r="E16" s="11" t="s">
        <v>96</v>
      </c>
      <c r="F16" s="11" t="s">
        <v>18</v>
      </c>
      <c r="G16" s="11" t="s">
        <v>97</v>
      </c>
      <c r="H16" s="12">
        <v>2750</v>
      </c>
      <c r="I16" s="12">
        <v>687.5</v>
      </c>
      <c r="J16" s="11" t="s">
        <v>20</v>
      </c>
      <c r="K16" s="11" t="s">
        <v>98</v>
      </c>
      <c r="L16" s="12"/>
      <c r="M16" s="11" t="s">
        <v>98</v>
      </c>
      <c r="N16" s="13" t="s">
        <v>35</v>
      </c>
      <c r="O16" s="13" t="e">
        <f>VLOOKUP(A16,'[1] 07-06-26'!$A$2:$T$87,20,0)</f>
        <v>#N/A</v>
      </c>
      <c r="P16" s="13" t="e">
        <f>VLOOKUP(A16,'[1]14-06-26'!$A$2:$T$83,20,0)</f>
        <v>#N/A</v>
      </c>
      <c r="Q16" s="13" t="str">
        <f>VLOOKUP(A16,'[1]21-06-26'!$A$2:$T$108,20,0)</f>
        <v>Pur n P Car ( 14 Inch ) 32     2 Gypsola + FF Sachet</v>
      </c>
      <c r="R16" s="13" t="str">
        <f>VLOOKUP(A16,'[1]28-06-26'!$A$2:$T$93,20,0)</f>
        <v>P Asiatic ( 14 Inch ) 3 P n W Glad ( 14 Inch ) 16   Extra Grass -- No Limonium or Gypsola</v>
      </c>
      <c r="S16" s="13" t="str">
        <f>VLOOKUP(A16,'[2]05-07-26'!$A$2:$T$85,20,0)</f>
        <v>Rajni ( 14 Inch ) 32     2 Limonium + Grass</v>
      </c>
      <c r="T16" s="13" t="s">
        <v>399</v>
      </c>
      <c r="U16" s="13">
        <v>32</v>
      </c>
      <c r="V16" s="13"/>
      <c r="W16" s="13"/>
      <c r="X16" s="13"/>
      <c r="Y16" s="13"/>
      <c r="Z16" s="13" t="s">
        <v>429</v>
      </c>
      <c r="AA16" s="13"/>
      <c r="AB16" s="13"/>
      <c r="AC16" s="13"/>
      <c r="AD16" s="13"/>
    </row>
    <row r="17" spans="1:30" ht="119.3" hidden="1" customHeight="1" x14ac:dyDescent="0.3">
      <c r="A17" s="1">
        <v>870</v>
      </c>
      <c r="B17" s="18" t="s">
        <v>99</v>
      </c>
      <c r="C17" s="1">
        <v>9892501292</v>
      </c>
      <c r="D17" s="1" t="s">
        <v>100</v>
      </c>
      <c r="E17" s="1" t="s">
        <v>17</v>
      </c>
      <c r="F17" s="8" t="s">
        <v>70</v>
      </c>
      <c r="G17" s="10" t="s">
        <v>19</v>
      </c>
      <c r="H17" s="12">
        <v>1600</v>
      </c>
      <c r="I17" s="12">
        <v>200</v>
      </c>
      <c r="J17" s="11" t="s">
        <v>101</v>
      </c>
      <c r="K17" s="8" t="s">
        <v>102</v>
      </c>
      <c r="L17" s="12"/>
      <c r="M17" s="12"/>
      <c r="N17" s="13" t="s">
        <v>388</v>
      </c>
      <c r="O17" s="13" t="str">
        <f>VLOOKUP(A17,'[1] 07-06-26'!$A$2:$T$87,20,0)</f>
        <v>Mix Alstroemeria ( 12 Inch ) 7     FF Sachet + Grass</v>
      </c>
      <c r="P17" s="13" t="str">
        <f>VLOOKUP(A17,'[1]14-06-26'!$A$2:$T$83,20,0)</f>
        <v>P Spray Daisy ( 14 Inch ) 2     FF Sachet + Grass</v>
      </c>
      <c r="Q17" s="13" t="str">
        <f>VLOOKUP(A17,'[1]21-06-26'!$A$2:$T$108,20,0)</f>
        <v>B Daisy ( 12 Inch ) 7     Grass</v>
      </c>
      <c r="R17" s="13" t="str">
        <f>VLOOKUP(A17,'[1]28-06-26'!$A$2:$T$93,20,0)</f>
        <v>P n W Glad ( 14 Inch ) 7     Grass</v>
      </c>
      <c r="S17" s="13" t="str">
        <f>VLOOKUP(A17,'[2]05-07-26'!$A$2:$T$85,20,0)</f>
        <v>Mix Alstroemeria 7     Grass</v>
      </c>
      <c r="T17" s="13" t="s">
        <v>396</v>
      </c>
      <c r="U17" s="13">
        <v>7</v>
      </c>
      <c r="V17" s="13"/>
      <c r="W17" s="13"/>
      <c r="X17" s="13"/>
      <c r="Y17" s="13"/>
      <c r="Z17" s="13" t="s">
        <v>403</v>
      </c>
      <c r="AA17" s="13"/>
      <c r="AB17" s="13"/>
      <c r="AC17" s="13"/>
      <c r="AD17" s="13"/>
    </row>
    <row r="18" spans="1:30" ht="119.3" hidden="1" customHeight="1" x14ac:dyDescent="0.3">
      <c r="A18" s="1">
        <v>3277</v>
      </c>
      <c r="B18" s="9" t="s">
        <v>103</v>
      </c>
      <c r="C18" s="12">
        <v>8595180468</v>
      </c>
      <c r="D18" s="11" t="s">
        <v>104</v>
      </c>
      <c r="E18" s="11" t="s">
        <v>83</v>
      </c>
      <c r="F18" s="11" t="s">
        <v>105</v>
      </c>
      <c r="G18" s="11" t="s">
        <v>106</v>
      </c>
      <c r="H18" s="12">
        <v>10500</v>
      </c>
      <c r="I18" s="12">
        <v>350</v>
      </c>
      <c r="J18" s="8" t="s">
        <v>107</v>
      </c>
      <c r="K18" s="12"/>
      <c r="L18" s="12"/>
      <c r="M18" s="12"/>
      <c r="N18" s="13" t="s">
        <v>108</v>
      </c>
      <c r="O18" s="13" t="str">
        <f>VLOOKUP(A18,'[1] 07-06-26'!$A$2:$T$87,20,0)</f>
        <v xml:space="preserve">Pooja Flower 1      </v>
      </c>
      <c r="P18" s="13" t="str">
        <f>VLOOKUP(A18,'[1]14-06-26'!$A$2:$T$83,20,0)</f>
        <v xml:space="preserve">Pooja Flowers  1     </v>
      </c>
      <c r="Q18" s="13" t="str">
        <f>VLOOKUP(A18,'[1]21-06-26'!$A$2:$T$108,20,0)</f>
        <v xml:space="preserve">Pooja Flowers  1     </v>
      </c>
      <c r="R18" s="13" t="str">
        <f>VLOOKUP(A18,'[1]28-06-26'!$A$2:$T$93,20,0)</f>
        <v xml:space="preserve">Pooja Flowers  1     </v>
      </c>
      <c r="S18" s="13" t="str">
        <f>VLOOKUP(A18,'[2]05-07-26'!$A$2:$T$85,20,0)</f>
        <v xml:space="preserve">Pooja Flowers       </v>
      </c>
      <c r="T18" s="13" t="s">
        <v>431</v>
      </c>
      <c r="U18" s="13"/>
      <c r="V18" s="13"/>
      <c r="W18" s="13"/>
      <c r="X18" s="13"/>
      <c r="Y18" s="13"/>
      <c r="Z18" s="13"/>
      <c r="AA18" s="13"/>
      <c r="AB18" s="13"/>
      <c r="AC18" s="13"/>
      <c r="AD18" s="13"/>
    </row>
    <row r="19" spans="1:30" ht="119.3" hidden="1" customHeight="1" x14ac:dyDescent="0.3">
      <c r="A19" s="1">
        <v>2434</v>
      </c>
      <c r="B19" s="9" t="s">
        <v>109</v>
      </c>
      <c r="C19" s="12">
        <v>9825966349</v>
      </c>
      <c r="D19" s="11" t="s">
        <v>110</v>
      </c>
      <c r="E19" s="11" t="s">
        <v>83</v>
      </c>
      <c r="F19" s="11" t="s">
        <v>18</v>
      </c>
      <c r="G19" s="11" t="s">
        <v>26</v>
      </c>
      <c r="H19" s="12">
        <v>1450</v>
      </c>
      <c r="I19" s="12">
        <v>362.5</v>
      </c>
      <c r="J19" s="11" t="s">
        <v>32</v>
      </c>
      <c r="K19" s="11" t="s">
        <v>111</v>
      </c>
      <c r="L19" s="12"/>
      <c r="M19" s="11" t="s">
        <v>112</v>
      </c>
      <c r="N19" s="13" t="s">
        <v>35</v>
      </c>
      <c r="O19" s="13" t="str">
        <f>VLOOKUP(A19,'[1] 07-06-26'!$A$2:$T$87,20,0)</f>
        <v>Pur Eustoma ( 12 Inch ) 2 Mix Alstroemeria ( 12 Inch ) 7   FF Sachet + Grass</v>
      </c>
      <c r="P19" s="13" t="str">
        <f>VLOOKUP(A19,'[1]14-06-26'!$A$2:$T$83,20,0)</f>
        <v>Sunflower ( 12 Inch ) 2 P n W Glad ( 14 Inch ) 7   FF Sachet + Grass</v>
      </c>
      <c r="Q19" s="13" t="str">
        <f>VLOOKUP(A19,'[1]21-06-26'!$A$2:$T$108,20,0)</f>
        <v>Y Asiatic ( 14 Inch ) 2 Pur n P Car ( 14 Inch ) 7   Grass</v>
      </c>
      <c r="R19" s="13" t="str">
        <f>VLOOKUP(A19,'[1]28-06-26'!$A$2:$T$93,20,0)</f>
        <v>P Spray Daisy ( 14 Inch ) 3 Rajni ( 14 Inch ) 7   FF Sachet + Grass</v>
      </c>
      <c r="S19" s="13" t="str">
        <f>VLOOKUP(A19,'[2]05-07-26'!$A$2:$T$85,20,0)</f>
        <v>Sunflower ( 12 Inch ) 2 B Daisy ( 12 Inch ) 7   FF Sachet + Grass</v>
      </c>
      <c r="T19" s="13" t="s">
        <v>423</v>
      </c>
      <c r="U19" s="13">
        <v>2</v>
      </c>
      <c r="V19" s="13" t="s">
        <v>399</v>
      </c>
      <c r="W19" s="13">
        <v>7</v>
      </c>
      <c r="X19" s="13"/>
      <c r="Y19" s="13"/>
      <c r="Z19" s="13" t="s">
        <v>403</v>
      </c>
      <c r="AA19" s="13"/>
      <c r="AB19" s="13"/>
      <c r="AC19" s="13"/>
      <c r="AD19" s="13"/>
    </row>
    <row r="20" spans="1:30" ht="119.3" hidden="1" customHeight="1" x14ac:dyDescent="0.3">
      <c r="A20" s="1">
        <v>1517</v>
      </c>
      <c r="B20" s="9" t="s">
        <v>113</v>
      </c>
      <c r="C20" s="12">
        <v>9818525564</v>
      </c>
      <c r="D20" s="11" t="s">
        <v>114</v>
      </c>
      <c r="E20" s="11" t="s">
        <v>76</v>
      </c>
      <c r="F20" s="8" t="s">
        <v>18</v>
      </c>
      <c r="G20" s="10" t="s">
        <v>19</v>
      </c>
      <c r="H20" s="12">
        <v>1950</v>
      </c>
      <c r="I20" s="12">
        <v>487.5</v>
      </c>
      <c r="J20" s="17" t="s">
        <v>115</v>
      </c>
      <c r="K20" s="11" t="s">
        <v>116</v>
      </c>
      <c r="L20" s="11" t="s">
        <v>117</v>
      </c>
      <c r="M20" s="12"/>
      <c r="N20" s="13" t="s">
        <v>35</v>
      </c>
      <c r="O20" s="13" t="e">
        <f>VLOOKUP(A20,'[1] 07-06-26'!$A$2:$T$87,20,0)</f>
        <v>#N/A</v>
      </c>
      <c r="P20" s="13" t="str">
        <f>VLOOKUP(A20,'[1]14-06-26'!$A$2:$T$83,20,0)</f>
        <v>Sunflower ( 12 Inch ) 5     FF Sachet + Grass</v>
      </c>
      <c r="Q20" s="13" t="str">
        <f>VLOOKUP(A20,'[1]21-06-26'!$A$2:$T$108,20,0)</f>
        <v>Pur n P Car ( 14 Inch ) 22     FF Sachet + Grass</v>
      </c>
      <c r="R20" s="13" t="str">
        <f>VLOOKUP(A20,'[1]28-06-26'!$A$2:$T$93,20,0)</f>
        <v>Pur n P Eustoma ( 12 Inch ) 4     FF Sachet + Grass</v>
      </c>
      <c r="S20" s="13" t="str">
        <f>VLOOKUP(A20,'[2]05-07-26'!$A$2:$T$85,20,0)</f>
        <v>O Asiatic ( 14 Inch ) 4     Grass</v>
      </c>
      <c r="T20" s="13" t="s">
        <v>395</v>
      </c>
      <c r="U20" s="13">
        <v>7</v>
      </c>
      <c r="V20" s="13"/>
      <c r="W20" s="13"/>
      <c r="X20" s="13"/>
      <c r="Y20" s="13"/>
      <c r="Z20" s="13" t="s">
        <v>402</v>
      </c>
      <c r="AA20" s="13"/>
      <c r="AB20" s="13"/>
      <c r="AC20" s="13"/>
      <c r="AD20" s="13"/>
    </row>
    <row r="21" spans="1:30" ht="119.3" hidden="1" customHeight="1" x14ac:dyDescent="0.3">
      <c r="A21" s="1">
        <v>2855</v>
      </c>
      <c r="B21" s="9" t="s">
        <v>118</v>
      </c>
      <c r="C21" s="9">
        <v>9818447542</v>
      </c>
      <c r="D21" s="11" t="s">
        <v>119</v>
      </c>
      <c r="E21" s="11" t="s">
        <v>83</v>
      </c>
      <c r="F21" s="11" t="s">
        <v>18</v>
      </c>
      <c r="G21" s="10" t="s">
        <v>19</v>
      </c>
      <c r="H21" s="12">
        <v>1950</v>
      </c>
      <c r="I21" s="12">
        <v>487.5</v>
      </c>
      <c r="J21" s="11" t="s">
        <v>115</v>
      </c>
      <c r="K21" s="12"/>
      <c r="L21" s="12"/>
      <c r="M21" s="12"/>
      <c r="N21" s="13" t="s">
        <v>35</v>
      </c>
      <c r="O21" s="13" t="e">
        <f>VLOOKUP(A21,'[1] 07-06-26'!$A$2:$T$87,20,0)</f>
        <v>#N/A</v>
      </c>
      <c r="P21" s="13" t="e">
        <f>VLOOKUP(A21,'[1]14-06-26'!$A$2:$T$83,20,0)</f>
        <v>#N/A</v>
      </c>
      <c r="Q21" s="13" t="str">
        <f>VLOOKUP(A21,'[1]21-06-26'!$A$2:$T$108,20,0)</f>
        <v>Pur Eustoma ( 12 Inch ) 2 B Daisy ( 12 Inch ) 11   FF Sachet + Grass</v>
      </c>
      <c r="R21" s="13" t="str">
        <f>VLOOKUP(A21,'[1]28-06-26'!$A$2:$T$93,20,0)</f>
        <v>Sunflower ( 12 Inch ) 3 Pur n P Car ( 14 Inch ) 11   FF Sachet + Grass</v>
      </c>
      <c r="S21" s="13" t="str">
        <f>VLOOKUP(A21,'[2]05-07-26'!$A$2:$T$85,20,0)</f>
        <v>P Asiatic ( 14 Inch ) 2 Rajni ( 14 Inch ) 11   Grass</v>
      </c>
      <c r="T21" s="13" t="s">
        <v>395</v>
      </c>
      <c r="U21" s="13">
        <v>4</v>
      </c>
      <c r="V21" s="13" t="s">
        <v>425</v>
      </c>
      <c r="W21" s="13">
        <v>10</v>
      </c>
      <c r="X21" s="13"/>
      <c r="Y21" s="13"/>
      <c r="Z21" s="13" t="s">
        <v>402</v>
      </c>
      <c r="AA21" s="13"/>
      <c r="AB21" s="13"/>
      <c r="AC21" s="13"/>
      <c r="AD21" s="13"/>
    </row>
    <row r="22" spans="1:30" ht="119.3" hidden="1" customHeight="1" x14ac:dyDescent="0.3">
      <c r="A22" s="1">
        <v>3243</v>
      </c>
      <c r="B22" s="9" t="s">
        <v>120</v>
      </c>
      <c r="C22" s="12">
        <v>9877561166</v>
      </c>
      <c r="D22" s="11" t="s">
        <v>121</v>
      </c>
      <c r="E22" s="11" t="s">
        <v>76</v>
      </c>
      <c r="F22" s="11" t="s">
        <v>18</v>
      </c>
      <c r="G22" s="10" t="s">
        <v>88</v>
      </c>
      <c r="H22" s="12">
        <v>1450</v>
      </c>
      <c r="I22" s="12">
        <v>362.5</v>
      </c>
      <c r="J22" s="8" t="s">
        <v>32</v>
      </c>
      <c r="K22" s="11" t="s">
        <v>122</v>
      </c>
      <c r="L22" s="12"/>
      <c r="M22" s="11" t="s">
        <v>123</v>
      </c>
      <c r="N22" s="13" t="s">
        <v>35</v>
      </c>
      <c r="O22" s="13" t="str">
        <f>VLOOKUP(A22,'[1] 07-06-26'!$A$2:$T$87,20,0)</f>
        <v>P n Y Spray Daisy ( 14 Inch ) 7     FF Sachet + Grass</v>
      </c>
      <c r="P22" s="13" t="str">
        <f>VLOOKUP(A22,'[1]14-06-26'!$A$2:$T$83,20,0)</f>
        <v>Pur n P Car ( 14 Inch ) 22     FF Sachet + Grass</v>
      </c>
      <c r="Q22" s="13" t="str">
        <f>VLOOKUP(A22,'[1]21-06-26'!$A$2:$T$108,20,0)</f>
        <v>B Daisy ( 12 Inch ) 16     Grass</v>
      </c>
      <c r="R22" s="13" t="str">
        <f>VLOOKUP(A22,'[1]28-06-26'!$A$2:$T$93,20,0)</f>
        <v>Sunflower ( 12 Inch ) 4     FF Sachet + Grass</v>
      </c>
      <c r="S22" s="13" t="str">
        <f>VLOOKUP(A22,'[2]05-07-26'!$A$2:$T$85,20,0)</f>
        <v>P Asiatic ( 14 Inch ) 3     Grass</v>
      </c>
      <c r="T22" s="13" t="s">
        <v>395</v>
      </c>
      <c r="U22" s="13">
        <v>5</v>
      </c>
      <c r="V22" s="13"/>
      <c r="W22" s="13"/>
      <c r="X22" s="13"/>
      <c r="Y22" s="13"/>
      <c r="Z22" s="13" t="s">
        <v>402</v>
      </c>
      <c r="AA22" s="13"/>
      <c r="AB22" s="13"/>
      <c r="AC22" s="13"/>
      <c r="AD22" s="13"/>
    </row>
    <row r="23" spans="1:30" ht="119.3" hidden="1" customHeight="1" x14ac:dyDescent="0.3">
      <c r="A23" s="1">
        <v>1467</v>
      </c>
      <c r="B23" s="9" t="s">
        <v>124</v>
      </c>
      <c r="C23" s="12">
        <v>7838930274</v>
      </c>
      <c r="D23" s="11" t="s">
        <v>125</v>
      </c>
      <c r="E23" s="11" t="s">
        <v>38</v>
      </c>
      <c r="F23" s="11" t="s">
        <v>55</v>
      </c>
      <c r="G23" s="10" t="s">
        <v>19</v>
      </c>
      <c r="H23" s="12">
        <v>1600</v>
      </c>
      <c r="I23" s="12">
        <v>200</v>
      </c>
      <c r="J23" s="11" t="s">
        <v>101</v>
      </c>
      <c r="K23" s="11" t="s">
        <v>126</v>
      </c>
      <c r="L23" s="11" t="s">
        <v>127</v>
      </c>
      <c r="M23" s="12"/>
      <c r="N23" s="13" t="s">
        <v>388</v>
      </c>
      <c r="O23" s="13" t="str">
        <f>VLOOKUP(A23,'[1] 07-06-26'!$A$2:$T$87,20,0)</f>
        <v>Sunflower ( 12 Inch ) 2     FF Sachet + Grass</v>
      </c>
      <c r="P23" s="13" t="str">
        <f>VLOOKUP(A23,'[1]14-06-26'!$A$2:$T$83,20,0)</f>
        <v>Mix Alstroemeria ( 12 Inch ) 7     FF Sachet + Grass</v>
      </c>
      <c r="Q23" s="13" t="str">
        <f>VLOOKUP(A23,'[1]21-06-26'!$A$2:$T$108,20,0)</f>
        <v>B Daisy ( 12 Inch ) 7     Grass</v>
      </c>
      <c r="R23" s="13" t="str">
        <f>VLOOKUP(A23,'[1]28-06-26'!$A$2:$T$93,20,0)</f>
        <v>Sunflower ( 12 Inch ) 2     FF Sachet + Grass</v>
      </c>
      <c r="S23" s="13" t="str">
        <f>VLOOKUP(A23,'[2]05-07-26'!$A$2:$T$85,20,0)</f>
        <v>B Daisy ( 12 Inch ) 7     Grass</v>
      </c>
      <c r="T23" s="13" t="s">
        <v>398</v>
      </c>
      <c r="U23" s="13">
        <v>7</v>
      </c>
      <c r="V23" s="13"/>
      <c r="W23" s="13"/>
      <c r="X23" s="13"/>
      <c r="Y23" s="13"/>
      <c r="Z23" s="13" t="s">
        <v>402</v>
      </c>
      <c r="AA23" s="13"/>
      <c r="AB23" s="13"/>
      <c r="AC23" s="13"/>
      <c r="AD23" s="13"/>
    </row>
    <row r="24" spans="1:30" ht="119.3" hidden="1" customHeight="1" x14ac:dyDescent="0.3">
      <c r="A24" s="1">
        <v>3347</v>
      </c>
      <c r="B24" s="9" t="s">
        <v>128</v>
      </c>
      <c r="C24" s="12">
        <v>9874672103</v>
      </c>
      <c r="D24" s="11" t="s">
        <v>129</v>
      </c>
      <c r="E24" s="11" t="s">
        <v>43</v>
      </c>
      <c r="F24" s="11" t="s">
        <v>18</v>
      </c>
      <c r="G24" s="12" t="s">
        <v>19</v>
      </c>
      <c r="H24" s="12">
        <v>1950</v>
      </c>
      <c r="I24" s="12">
        <v>487.5</v>
      </c>
      <c r="J24" s="11" t="s">
        <v>115</v>
      </c>
      <c r="K24" s="11" t="s">
        <v>130</v>
      </c>
      <c r="L24" s="12"/>
      <c r="M24" s="12"/>
      <c r="N24" s="13" t="s">
        <v>29</v>
      </c>
      <c r="O24" s="13" t="str">
        <f>VLOOKUP(A24,'[1] 07-06-26'!$A$2:$T$87,20,0)</f>
        <v>Mix Alstroemeria ( 12 Inch ) 32     FF Sachet + Grass</v>
      </c>
      <c r="P24" s="13" t="e">
        <f>VLOOKUP(A24,'[1]14-06-26'!$A$2:$T$83,20,0)</f>
        <v>#N/A</v>
      </c>
      <c r="Q24" s="13" t="str">
        <f>VLOOKUP(A24,'[1]21-06-26'!$A$2:$T$108,20,0)</f>
        <v>B Daisy ( 12 Inch ) 22     FF Sachet + Grass</v>
      </c>
      <c r="R24" s="13" t="str">
        <f>VLOOKUP(A24,'[1]28-06-26'!$A$2:$T$93,20,0)</f>
        <v>Sunflower ( 12 Inch ) 5     FF Sachet + Grass</v>
      </c>
      <c r="S24" s="13" t="str">
        <f>VLOOKUP(A24,'[2]05-07-26'!$A$2:$T$85,20,0)</f>
        <v>P Asiatic ( 14 Inch ) 4     Grass</v>
      </c>
      <c r="T24" s="13" t="s">
        <v>398</v>
      </c>
      <c r="U24" s="13">
        <v>22</v>
      </c>
      <c r="V24" s="13"/>
      <c r="W24" s="13"/>
      <c r="X24" s="13"/>
      <c r="Y24" s="13"/>
      <c r="Z24" s="13" t="s">
        <v>402</v>
      </c>
      <c r="AA24" s="13"/>
      <c r="AB24" s="13"/>
      <c r="AC24" s="13"/>
      <c r="AD24" s="13"/>
    </row>
    <row r="25" spans="1:30" ht="119.3" hidden="1" customHeight="1" x14ac:dyDescent="0.3">
      <c r="A25" s="1">
        <v>2416</v>
      </c>
      <c r="B25" s="9" t="s">
        <v>131</v>
      </c>
      <c r="C25" s="15">
        <v>9810709096</v>
      </c>
      <c r="D25" s="11" t="s">
        <v>132</v>
      </c>
      <c r="E25" s="11" t="s">
        <v>17</v>
      </c>
      <c r="F25" s="11" t="s">
        <v>18</v>
      </c>
      <c r="G25" s="10" t="s">
        <v>19</v>
      </c>
      <c r="H25" s="12">
        <v>1450</v>
      </c>
      <c r="I25" s="12">
        <v>362.5</v>
      </c>
      <c r="J25" s="8" t="s">
        <v>32</v>
      </c>
      <c r="K25" s="11" t="s">
        <v>133</v>
      </c>
      <c r="L25" s="12"/>
      <c r="M25" s="12"/>
      <c r="N25" s="13" t="s">
        <v>29</v>
      </c>
      <c r="O25" s="13" t="str">
        <f>VLOOKUP(A25,'[1] 07-06-26'!$A$2:$T$87,20,0)</f>
        <v>P n W Glad ( 14 Inch ) 9     Grass</v>
      </c>
      <c r="P25" s="13" t="str">
        <f>VLOOKUP(A25,'[1]14-06-26'!$A$2:$T$83,20,0)</f>
        <v>Sunflower ( 12 Inch ) 2     FF Sachet + Grass</v>
      </c>
      <c r="Q25" s="13" t="str">
        <f>VLOOKUP(A25,'[1]21-06-26'!$A$2:$T$108,20,0)</f>
        <v>B Daisy ( 12 Inch ) 9     Grass</v>
      </c>
      <c r="R25" s="13" t="str">
        <f>VLOOKUP(A25,'[1]28-06-26'!$A$2:$T$93,20,0)</f>
        <v>P Asiatic ( 14 Inch ) 3     Grass</v>
      </c>
      <c r="S25" s="13" t="str">
        <f>VLOOKUP(A25,'[2]05-07-26'!$A$2:$T$85,20,0)</f>
        <v>Pur n P Car ( 14 Inch ) 16     FF Sachet + Grass</v>
      </c>
      <c r="T25" s="13" t="s">
        <v>396</v>
      </c>
      <c r="U25" s="13">
        <v>16</v>
      </c>
      <c r="V25" s="13"/>
      <c r="W25" s="13"/>
      <c r="X25" s="13"/>
      <c r="Y25" s="13"/>
      <c r="Z25" s="13" t="s">
        <v>403</v>
      </c>
      <c r="AA25" s="13"/>
      <c r="AB25" s="13"/>
      <c r="AC25" s="13"/>
      <c r="AD25" s="13"/>
    </row>
    <row r="26" spans="1:30" ht="119.3" hidden="1" customHeight="1" x14ac:dyDescent="0.3">
      <c r="A26" s="1">
        <v>2200</v>
      </c>
      <c r="B26" s="9" t="s">
        <v>134</v>
      </c>
      <c r="C26" s="12">
        <v>9811188863</v>
      </c>
      <c r="D26" s="11" t="s">
        <v>135</v>
      </c>
      <c r="E26" s="11" t="s">
        <v>96</v>
      </c>
      <c r="F26" s="11" t="s">
        <v>70</v>
      </c>
      <c r="G26" s="10" t="s">
        <v>19</v>
      </c>
      <c r="H26" s="12">
        <v>2300</v>
      </c>
      <c r="I26" s="12">
        <v>287.5</v>
      </c>
      <c r="J26" s="8" t="s">
        <v>136</v>
      </c>
      <c r="K26" s="11" t="s">
        <v>137</v>
      </c>
      <c r="L26" s="11" t="s">
        <v>138</v>
      </c>
      <c r="M26" s="11" t="s">
        <v>139</v>
      </c>
      <c r="N26" s="13" t="s">
        <v>35</v>
      </c>
      <c r="O26" s="13" t="e">
        <f>VLOOKUP(A26,'[1] 07-06-26'!$A$2:$T$87,20,0)</f>
        <v>#N/A</v>
      </c>
      <c r="P26" s="13" t="e">
        <f>VLOOKUP(A26,'[1]14-06-26'!$A$2:$T$83,20,0)</f>
        <v>#N/A</v>
      </c>
      <c r="Q26" s="13" t="str">
        <f>VLOOKUP(A26,'[1]21-06-26'!$A$2:$T$108,20,0)</f>
        <v>O Asiatic ( 14 Inch )' 2     Grass</v>
      </c>
      <c r="R26" s="13" t="e">
        <f>VLOOKUP(A26,'[1]28-06-26'!$A$2:$T$93,20,0)</f>
        <v>#N/A</v>
      </c>
      <c r="S26" s="13" t="str">
        <f>VLOOKUP(A26,'[2]05-07-26'!$A$2:$T$85,20,0)</f>
        <v>Rajni ( 14 Inch ) 11     Grass</v>
      </c>
      <c r="T26" s="13" t="s">
        <v>399</v>
      </c>
      <c r="U26" s="13">
        <v>11</v>
      </c>
      <c r="V26" s="13"/>
      <c r="W26" s="13"/>
      <c r="X26" s="13"/>
      <c r="Y26" s="13"/>
      <c r="Z26" s="13" t="s">
        <v>402</v>
      </c>
      <c r="AA26" s="13"/>
      <c r="AB26" s="13"/>
      <c r="AC26" s="13"/>
      <c r="AD26" s="13"/>
    </row>
    <row r="27" spans="1:30" ht="119.3" hidden="1" customHeight="1" x14ac:dyDescent="0.3">
      <c r="A27" s="1">
        <v>3282</v>
      </c>
      <c r="B27" s="9" t="s">
        <v>140</v>
      </c>
      <c r="C27" s="12">
        <v>9650723437</v>
      </c>
      <c r="D27" s="11" t="s">
        <v>141</v>
      </c>
      <c r="E27" s="11" t="s">
        <v>25</v>
      </c>
      <c r="F27" s="11" t="s">
        <v>18</v>
      </c>
      <c r="G27" s="16" t="s">
        <v>142</v>
      </c>
      <c r="H27" s="12">
        <v>1950</v>
      </c>
      <c r="I27" s="12">
        <v>487.5</v>
      </c>
      <c r="J27" s="11" t="s">
        <v>115</v>
      </c>
      <c r="K27" s="11" t="s">
        <v>143</v>
      </c>
      <c r="L27" s="12"/>
      <c r="M27" s="12"/>
      <c r="N27" s="13" t="s">
        <v>29</v>
      </c>
      <c r="O27" s="13" t="str">
        <f>VLOOKUP(A27,'[1] 07-06-26'!$A$2:$T$87,20,0)</f>
        <v>Sunflower ( 12 Inch ) 3 Mix Alstroemeria ( 12 Inch ) 11   FF Sachet + Grass</v>
      </c>
      <c r="P27" s="13" t="str">
        <f>VLOOKUP(A27,'[1]14-06-26'!$A$2:$T$83,20,0)</f>
        <v>P Asiatic ( 14 Inch ) 2 Pur n P Car ( 14 Inch ) 11   Grass</v>
      </c>
      <c r="Q27" s="13" t="str">
        <f>VLOOKUP(A27,'[1]21-06-26'!$A$2:$T$108,20,0)</f>
        <v>P n Y Spray Daisy ( 14 Inch ) 4 P n W Glad ( 14 Inch ) 11   FF Sachet + Grass</v>
      </c>
      <c r="R27" s="13" t="str">
        <f>VLOOKUP(A27,'[1]28-06-26'!$A$2:$T$93,20,0)</f>
        <v>Sunflower ( 12 Inch ) 3 Rajni ( 14 Inch ) 11   FF Sachet + Grass</v>
      </c>
      <c r="S27" s="13" t="str">
        <f>VLOOKUP(A27,'[2]05-07-26'!$A$2:$T$85,20,0)</f>
        <v>O Asiatic ( 14 Inch ) 2 P n W Glad ( 14 Inch ) 11   Grass</v>
      </c>
      <c r="T27" s="13" t="s">
        <v>395</v>
      </c>
      <c r="U27" s="13">
        <v>4</v>
      </c>
      <c r="V27" s="13" t="s">
        <v>399</v>
      </c>
      <c r="W27" s="13">
        <v>10</v>
      </c>
      <c r="X27" s="13"/>
      <c r="Y27" s="13"/>
      <c r="Z27" s="13" t="s">
        <v>402</v>
      </c>
      <c r="AA27" s="13"/>
      <c r="AB27" s="13"/>
      <c r="AC27" s="13"/>
      <c r="AD27" s="13"/>
    </row>
    <row r="28" spans="1:30" ht="119.3" hidden="1" customHeight="1" x14ac:dyDescent="0.3">
      <c r="A28" s="1">
        <v>2378</v>
      </c>
      <c r="B28" s="9" t="s">
        <v>144</v>
      </c>
      <c r="C28" s="15">
        <v>9958637975</v>
      </c>
      <c r="D28" s="11" t="s">
        <v>145</v>
      </c>
      <c r="E28" s="11" t="s">
        <v>76</v>
      </c>
      <c r="F28" s="11" t="s">
        <v>18</v>
      </c>
      <c r="G28" s="12" t="s">
        <v>19</v>
      </c>
      <c r="H28" s="12">
        <v>1450</v>
      </c>
      <c r="I28" s="12">
        <v>362.5</v>
      </c>
      <c r="J28" s="8" t="s">
        <v>32</v>
      </c>
      <c r="K28" s="11" t="s">
        <v>146</v>
      </c>
      <c r="L28" s="11" t="s">
        <v>147</v>
      </c>
      <c r="M28" s="12"/>
      <c r="N28" s="13" t="s">
        <v>29</v>
      </c>
      <c r="O28" s="13" t="e">
        <f>VLOOKUP(A28,'[1] 07-06-26'!$A$2:$T$87,20,0)</f>
        <v>#N/A</v>
      </c>
      <c r="P28" s="13" t="e">
        <f>VLOOKUP(A28,'[1]14-06-26'!$A$2:$T$83,20,0)</f>
        <v>#N/A</v>
      </c>
      <c r="Q28" s="13" t="e">
        <f>VLOOKUP(A28,'[1]21-06-26'!$A$2:$T$108,20,0)</f>
        <v>#N/A</v>
      </c>
      <c r="R28" s="13" t="str">
        <f>VLOOKUP(A28,'[1]28-06-26'!$A$2:$T$93,20,0)</f>
        <v>Pur n P Car ( 14 Inch 16     FF Sachet + Grass</v>
      </c>
      <c r="S28" s="13" t="str">
        <f>VLOOKUP(A28,'[2]05-07-26'!$A$2:$T$85,20,0)</f>
        <v>Sunflower ( 12 Inch ) 4     FF Sachet + Grass</v>
      </c>
      <c r="T28" s="13" t="s">
        <v>396</v>
      </c>
      <c r="U28" s="13">
        <v>16</v>
      </c>
      <c r="V28" s="13"/>
      <c r="W28" s="13"/>
      <c r="X28" s="13"/>
      <c r="Y28" s="13"/>
      <c r="Z28" s="13" t="s">
        <v>403</v>
      </c>
      <c r="AA28" s="13"/>
      <c r="AB28" s="13"/>
      <c r="AC28" s="13"/>
      <c r="AD28" s="13"/>
    </row>
    <row r="29" spans="1:30" ht="119.3" hidden="1" customHeight="1" x14ac:dyDescent="0.3">
      <c r="A29" s="1">
        <v>3018</v>
      </c>
      <c r="B29" s="9" t="s">
        <v>148</v>
      </c>
      <c r="C29" s="15">
        <v>9810918222</v>
      </c>
      <c r="D29" s="11" t="s">
        <v>149</v>
      </c>
      <c r="E29" s="11" t="s">
        <v>83</v>
      </c>
      <c r="F29" s="11" t="s">
        <v>18</v>
      </c>
      <c r="G29" s="10" t="s">
        <v>19</v>
      </c>
      <c r="H29" s="12">
        <v>1450</v>
      </c>
      <c r="I29" s="12">
        <v>362.5</v>
      </c>
      <c r="J29" s="8" t="s">
        <v>32</v>
      </c>
      <c r="K29" s="12"/>
      <c r="L29" s="12"/>
      <c r="M29" s="12"/>
      <c r="N29" s="13" t="s">
        <v>29</v>
      </c>
      <c r="O29" s="13" t="str">
        <f>VLOOKUP(A29,'[1] 07-06-26'!$A$2:$T$87,20,0)</f>
        <v>P n W Glad ( 14 Inch ) 9     Grass</v>
      </c>
      <c r="P29" s="13" t="str">
        <f>VLOOKUP(A29,'[1]14-06-26'!$A$2:$T$83,20,0)</f>
        <v>Sunflower ( 12 Inch ) 2     FF Sachet + Grass</v>
      </c>
      <c r="Q29" s="13" t="str">
        <f>VLOOKUP(A29,'[1]21-06-26'!$A$2:$T$108,20,0)</f>
        <v>B Daisy ( 12 Inch ) 9     Grass</v>
      </c>
      <c r="R29" s="13" t="str">
        <f>VLOOKUP(A29,'[1]28-06-26'!$A$2:$T$93,20,0)</f>
        <v>Pur n P Car ( 14 Inch 16     FF Sachet + Grass</v>
      </c>
      <c r="S29" s="13" t="str">
        <f>VLOOKUP(A29,'[2]05-07-26'!$A$2:$T$85,20,0)</f>
        <v>O Asiatic ( 14 Inch ) 3     Grass</v>
      </c>
      <c r="T29" s="13" t="s">
        <v>396</v>
      </c>
      <c r="U29" s="13">
        <v>16</v>
      </c>
      <c r="V29" s="13"/>
      <c r="W29" s="13"/>
      <c r="X29" s="13"/>
      <c r="Y29" s="13"/>
      <c r="Z29" s="13" t="s">
        <v>403</v>
      </c>
      <c r="AA29" s="13"/>
      <c r="AB29" s="13"/>
      <c r="AC29" s="13"/>
      <c r="AD29" s="13"/>
    </row>
    <row r="30" spans="1:30" ht="119.3" hidden="1" customHeight="1" x14ac:dyDescent="0.3">
      <c r="A30" s="1">
        <v>234</v>
      </c>
      <c r="B30" s="18" t="s">
        <v>150</v>
      </c>
      <c r="C30" s="1">
        <v>9810390185</v>
      </c>
      <c r="D30" s="1" t="s">
        <v>151</v>
      </c>
      <c r="E30" s="11" t="s">
        <v>83</v>
      </c>
      <c r="F30" s="8" t="s">
        <v>18</v>
      </c>
      <c r="G30" s="10" t="s">
        <v>19</v>
      </c>
      <c r="H30" s="12">
        <v>1450</v>
      </c>
      <c r="I30" s="12">
        <v>362.5</v>
      </c>
      <c r="J30" s="11" t="s">
        <v>32</v>
      </c>
      <c r="K30" s="8" t="s">
        <v>152</v>
      </c>
      <c r="L30" s="11" t="s">
        <v>153</v>
      </c>
      <c r="M30" s="12"/>
      <c r="N30" s="13" t="s">
        <v>29</v>
      </c>
      <c r="O30" s="13" t="str">
        <f>VLOOKUP(A30,'[1] 07-06-26'!$A$2:$T$87,20,0)</f>
        <v>Sunflower ( 12 Inch ) 4     FF Sachet + Grass</v>
      </c>
      <c r="P30" s="13" t="str">
        <f>VLOOKUP(A30,'[1]14-06-26'!$A$2:$T$83,20,0)</f>
        <v>Pur n P Car ( 14 Inch ) 16     FF Sachet + Grass</v>
      </c>
      <c r="Q30" s="13" t="str">
        <f>VLOOKUP(A30,'[1]21-06-26'!$A$2:$T$108,20,0)</f>
        <v>Pur Eustoma ( 12 Inch ) 3     FF Sachet + Grass</v>
      </c>
      <c r="R30" s="13" t="str">
        <f>VLOOKUP(A30,'[1]28-06-26'!$A$2:$T$93,20,0)</f>
        <v>P Asiatic ( 14 Inch ) 3     Grass</v>
      </c>
      <c r="S30" s="13" t="str">
        <f>VLOOKUP(A30,'[2]05-07-26'!$A$2:$T$85,20,0)</f>
        <v>Rajni ( 14 Inch ) 16     Grass</v>
      </c>
      <c r="T30" s="13" t="s">
        <v>422</v>
      </c>
      <c r="U30" s="13">
        <v>4</v>
      </c>
      <c r="V30" s="13"/>
      <c r="W30" s="13"/>
      <c r="X30" s="13"/>
      <c r="Y30" s="13"/>
      <c r="Z30" s="13" t="s">
        <v>402</v>
      </c>
      <c r="AA30" s="13"/>
      <c r="AB30" s="13"/>
      <c r="AC30" s="13"/>
      <c r="AD30" s="13"/>
    </row>
    <row r="31" spans="1:30" ht="119.3" hidden="1" customHeight="1" x14ac:dyDescent="0.3">
      <c r="A31" s="1">
        <v>3252</v>
      </c>
      <c r="B31" s="9" t="s">
        <v>154</v>
      </c>
      <c r="C31" s="12">
        <v>9999887549</v>
      </c>
      <c r="D31" s="11" t="s">
        <v>155</v>
      </c>
      <c r="E31" s="11" t="s">
        <v>83</v>
      </c>
      <c r="F31" s="11" t="s">
        <v>18</v>
      </c>
      <c r="G31" s="10" t="s">
        <v>26</v>
      </c>
      <c r="H31" s="11">
        <v>1450</v>
      </c>
      <c r="I31" s="12">
        <v>362.5</v>
      </c>
      <c r="J31" s="11" t="s">
        <v>32</v>
      </c>
      <c r="K31" s="11" t="s">
        <v>156</v>
      </c>
      <c r="L31" s="12"/>
      <c r="M31" s="12"/>
      <c r="N31" s="13" t="s">
        <v>29</v>
      </c>
      <c r="O31" s="13" t="str">
        <f>VLOOKUP(A31,'[1] 07-06-26'!$A$2:$T$87,20,0)</f>
        <v>W Asiatic ( 14 Inch ) 3     Grass</v>
      </c>
      <c r="P31" s="13" t="str">
        <f>VLOOKUP(A31,'[1]14-06-26'!$A$2:$T$83,20,0)</f>
        <v>Mix Alstroemeria ( 12 Inch ) 16     FF Sachet + Grass</v>
      </c>
      <c r="Q31" s="13" t="str">
        <f>VLOOKUP(A31,'[1]21-06-26'!$A$2:$T$108,20,0)</f>
        <v>P Eustoma ( 12 Inch ) 3     FF Sachet + Grass</v>
      </c>
      <c r="R31" s="13" t="str">
        <f>VLOOKUP(A31,'[1]28-06-26'!$A$2:$T$93,20,0)</f>
        <v>Pur n P Car ( 14 Inch 16     FF Sachet + Grass</v>
      </c>
      <c r="S31" s="13" t="str">
        <f>VLOOKUP(A31,'[2]05-07-26'!$A$2:$T$85,20,0)</f>
        <v>Rajni ( 14 Inch ) 16     Grass</v>
      </c>
      <c r="T31" s="13" t="s">
        <v>422</v>
      </c>
      <c r="U31" s="13">
        <v>4</v>
      </c>
      <c r="V31" s="13"/>
      <c r="W31" s="13"/>
      <c r="X31" s="13"/>
      <c r="Y31" s="13"/>
      <c r="Z31" s="13" t="s">
        <v>402</v>
      </c>
      <c r="AA31" s="13"/>
      <c r="AB31" s="13"/>
      <c r="AC31" s="13"/>
      <c r="AD31" s="13"/>
    </row>
    <row r="32" spans="1:30" ht="119.3" hidden="1" customHeight="1" x14ac:dyDescent="0.3">
      <c r="A32" s="1">
        <v>237</v>
      </c>
      <c r="B32" s="22" t="s">
        <v>157</v>
      </c>
      <c r="C32" s="1">
        <v>8860079525</v>
      </c>
      <c r="D32" s="1" t="s">
        <v>158</v>
      </c>
      <c r="E32" s="1" t="s">
        <v>159</v>
      </c>
      <c r="F32" s="8" t="s">
        <v>18</v>
      </c>
      <c r="G32" s="10" t="s">
        <v>19</v>
      </c>
      <c r="H32" s="12">
        <v>3000</v>
      </c>
      <c r="I32" s="12">
        <v>375</v>
      </c>
      <c r="J32" s="8" t="s">
        <v>107</v>
      </c>
      <c r="K32" s="8" t="s">
        <v>160</v>
      </c>
      <c r="L32" s="12"/>
      <c r="M32" s="12"/>
      <c r="N32" s="13" t="s">
        <v>161</v>
      </c>
      <c r="O32" s="13" t="str">
        <f>VLOOKUP(A32,'[1] 07-06-26'!$A$2:$T$87,20,0)</f>
        <v>Mix Alstroemeria ( 12 Inch ) 15     Grass</v>
      </c>
      <c r="P32" s="13" t="str">
        <f>VLOOKUP(A32,'[1]14-06-26'!$A$2:$T$83,20,0)</f>
        <v xml:space="preserve">P Eustoma ( 12 Inch ) 3     </v>
      </c>
      <c r="Q32" s="13" t="str">
        <f>VLOOKUP(A32,'[1]21-06-26'!$A$2:$T$108,20,0)</f>
        <v xml:space="preserve">P Eustoma ( 12 Inch ) 3     </v>
      </c>
      <c r="R32" s="13" t="str">
        <f>VLOOKUP(A32,'[1]28-06-26'!$A$2:$T$93,20,0)</f>
        <v>Mix Spray Daisy 5     Grass</v>
      </c>
      <c r="S32" s="13" t="str">
        <f>VLOOKUP(A32,'[2]05-07-26'!$A$2:$T$85,20,0)</f>
        <v>Rajni ( 14 Inch ) 15     Grass</v>
      </c>
      <c r="T32" s="13" t="s">
        <v>399</v>
      </c>
      <c r="U32" s="13">
        <v>12</v>
      </c>
      <c r="V32" s="13"/>
      <c r="W32" s="13"/>
      <c r="X32" s="13"/>
      <c r="Y32" s="13"/>
      <c r="Z32" s="13"/>
      <c r="AA32" s="13"/>
      <c r="AB32" s="13"/>
      <c r="AC32" s="13"/>
      <c r="AD32" s="13"/>
    </row>
    <row r="33" spans="1:30" ht="119.3" hidden="1" customHeight="1" x14ac:dyDescent="0.3">
      <c r="A33" s="1">
        <v>3274</v>
      </c>
      <c r="B33" s="9" t="s">
        <v>162</v>
      </c>
      <c r="C33" s="12">
        <v>9810401220</v>
      </c>
      <c r="D33" s="11" t="s">
        <v>163</v>
      </c>
      <c r="E33" s="11" t="s">
        <v>54</v>
      </c>
      <c r="F33" s="11" t="s">
        <v>18</v>
      </c>
      <c r="G33" s="10" t="s">
        <v>19</v>
      </c>
      <c r="H33" s="12">
        <v>1950</v>
      </c>
      <c r="I33" s="12">
        <v>487.5</v>
      </c>
      <c r="J33" s="11" t="s">
        <v>115</v>
      </c>
      <c r="K33" s="11" t="s">
        <v>164</v>
      </c>
      <c r="L33" s="11" t="s">
        <v>165</v>
      </c>
      <c r="M33" s="11" t="s">
        <v>166</v>
      </c>
      <c r="N33" s="13" t="s">
        <v>29</v>
      </c>
      <c r="O33" s="13" t="str">
        <f>VLOOKUP(A33,'[1] 07-06-26'!$A$2:$T$87,20,0)</f>
        <v>P n W Spray Daisy ( 14 Inch) 7     FF Sachet + Grass</v>
      </c>
      <c r="P33" s="13" t="str">
        <f>VLOOKUP(A33,'[1]14-06-26'!$A$2:$T$83,20,0)</f>
        <v>Pur n P Car ( 14 Inch ) 22     FF Sachet + Grass</v>
      </c>
      <c r="Q33" s="13" t="str">
        <f>VLOOKUP(A33,'[1]21-06-26'!$A$2:$T$108,20,0)</f>
        <v>B Daisy ( 12 Inch ) 22     FF Sachet + Grass</v>
      </c>
      <c r="R33" s="13" t="str">
        <f>VLOOKUP(A33,'[1]28-06-26'!$A$2:$T$93,20,0)</f>
        <v>Pur n P Eustoma ( 12 Inch ) 4     FF Sachet + Grass</v>
      </c>
      <c r="S33" s="13" t="str">
        <f>VLOOKUP(A33,'[2]05-07-26'!$A$2:$T$85,20,0)</f>
        <v>Rajni ( 14 Inch ) 22     Grass</v>
      </c>
      <c r="T33" s="13" t="s">
        <v>395</v>
      </c>
      <c r="U33" s="13">
        <v>7</v>
      </c>
      <c r="V33" s="13"/>
      <c r="W33" s="13"/>
      <c r="X33" s="13"/>
      <c r="Y33" s="13"/>
      <c r="Z33" s="13" t="s">
        <v>402</v>
      </c>
      <c r="AA33" s="13"/>
      <c r="AB33" s="13"/>
      <c r="AC33" s="13"/>
      <c r="AD33" s="13"/>
    </row>
    <row r="34" spans="1:30" ht="119.3" hidden="1" customHeight="1" x14ac:dyDescent="0.3">
      <c r="A34" s="1">
        <v>3284</v>
      </c>
      <c r="B34" s="9" t="s">
        <v>167</v>
      </c>
      <c r="C34" s="11" t="s">
        <v>168</v>
      </c>
      <c r="D34" s="11" t="s">
        <v>169</v>
      </c>
      <c r="E34" s="11" t="s">
        <v>83</v>
      </c>
      <c r="F34" s="11" t="s">
        <v>18</v>
      </c>
      <c r="G34" s="16" t="s">
        <v>170</v>
      </c>
      <c r="H34" s="12">
        <v>1950</v>
      </c>
      <c r="I34" s="12">
        <v>487.5</v>
      </c>
      <c r="J34" s="11" t="s">
        <v>115</v>
      </c>
      <c r="K34" s="11" t="s">
        <v>171</v>
      </c>
      <c r="L34" s="12"/>
      <c r="M34" s="12"/>
      <c r="N34" s="13" t="s">
        <v>29</v>
      </c>
      <c r="O34" s="13" t="str">
        <f>VLOOKUP(A34,'[1] 07-06-26'!$A$2:$T$87,20,0)</f>
        <v>P n W Glad ( 14 Inch ) 22     Grass</v>
      </c>
      <c r="P34" s="13" t="str">
        <f>VLOOKUP(A34,'[1]14-06-26'!$A$2:$T$83,20,0)</f>
        <v>P n Y Spray Daisy ( 14 Inch ) 7     FF Sachet + Grass</v>
      </c>
      <c r="Q34" s="13" t="str">
        <f>VLOOKUP(A34,'[1]21-06-26'!$A$2:$T$108,20,0)</f>
        <v>B Daisy ( 12 Inch ) 22     Grass</v>
      </c>
      <c r="R34" s="13" t="str">
        <f>VLOOKUP(A34,'[1]28-06-26'!$A$2:$T$93,20,0)</f>
        <v>Pur n P Car ( 14 Inch 22     FF Sachet + Grass</v>
      </c>
      <c r="S34" s="13" t="str">
        <f>VLOOKUP(A34,'[2]05-07-26'!$A$2:$T$85,20,0)</f>
        <v>Rajni ( 14 Inch ) 22     Grass</v>
      </c>
      <c r="T34" s="13" t="s">
        <v>423</v>
      </c>
      <c r="U34" s="13">
        <v>4</v>
      </c>
      <c r="V34" s="13"/>
      <c r="W34" s="13"/>
      <c r="X34" s="13"/>
      <c r="Y34" s="13"/>
      <c r="Z34" s="13" t="s">
        <v>403</v>
      </c>
      <c r="AA34" s="13"/>
      <c r="AB34" s="13"/>
      <c r="AC34" s="13"/>
      <c r="AD34" s="13"/>
    </row>
    <row r="35" spans="1:30" ht="119.3" hidden="1" customHeight="1" x14ac:dyDescent="0.3">
      <c r="A35" s="1">
        <v>257</v>
      </c>
      <c r="B35" s="9" t="s">
        <v>172</v>
      </c>
      <c r="C35" s="1">
        <v>9818871139</v>
      </c>
      <c r="D35" s="1" t="s">
        <v>173</v>
      </c>
      <c r="E35" s="1" t="s">
        <v>43</v>
      </c>
      <c r="F35" s="8" t="s">
        <v>18</v>
      </c>
      <c r="G35" s="10" t="s">
        <v>19</v>
      </c>
      <c r="H35" s="12">
        <v>1450</v>
      </c>
      <c r="I35" s="12">
        <v>362.5</v>
      </c>
      <c r="J35" s="11" t="s">
        <v>32</v>
      </c>
      <c r="K35" s="8" t="s">
        <v>174</v>
      </c>
      <c r="L35" s="12"/>
      <c r="M35" s="12"/>
      <c r="N35" s="13" t="s">
        <v>29</v>
      </c>
      <c r="O35" s="13" t="str">
        <f>VLOOKUP(A35,'[1] 07-06-26'!$A$2:$T$87,20,0)</f>
        <v>P n Y Spray Daisy ( 14 Inch ) 5     FF Sachet + Grass</v>
      </c>
      <c r="P35" s="13" t="str">
        <f>VLOOKUP(A35,'[1]14-06-26'!$A$2:$T$83,20,0)</f>
        <v>Pur n P Car ( 14 Inch ) 16     FF Sachet + Grass</v>
      </c>
      <c r="Q35" s="13" t="str">
        <f>VLOOKUP(A35,'[1]21-06-26'!$A$2:$T$108,20,0)</f>
        <v>P Eustoma ( 12 Inch ) 3     FF Sachet + Grass</v>
      </c>
      <c r="R35" s="13" t="str">
        <f>VLOOKUP(A35,'[1]28-06-26'!$A$2:$T$93,20,0)</f>
        <v>Y Asiatic ( 14 Inch ) 3     Grass</v>
      </c>
      <c r="S35" s="13" t="str">
        <f>VLOOKUP(A35,'[2]05-07-26'!$A$2:$T$85,20,0)</f>
        <v>Rajni ( 14 Inch ) 16     Grass</v>
      </c>
      <c r="T35" s="13" t="s">
        <v>422</v>
      </c>
      <c r="U35" s="13">
        <v>4</v>
      </c>
      <c r="V35" s="13"/>
      <c r="W35" s="13"/>
      <c r="X35" s="13"/>
      <c r="Y35" s="13"/>
      <c r="Z35" s="13" t="s">
        <v>402</v>
      </c>
      <c r="AA35" s="13"/>
      <c r="AB35" s="13"/>
      <c r="AC35" s="13"/>
      <c r="AD35" s="13"/>
    </row>
    <row r="36" spans="1:30" ht="119.3" hidden="1" customHeight="1" x14ac:dyDescent="0.3">
      <c r="A36" s="1">
        <v>401</v>
      </c>
      <c r="B36" s="9" t="s">
        <v>175</v>
      </c>
      <c r="C36" s="1">
        <v>9899240454</v>
      </c>
      <c r="D36" s="8" t="s">
        <v>176</v>
      </c>
      <c r="E36" s="8" t="s">
        <v>17</v>
      </c>
      <c r="F36" s="8" t="s">
        <v>70</v>
      </c>
      <c r="G36" s="10" t="s">
        <v>177</v>
      </c>
      <c r="H36" s="12">
        <v>1600</v>
      </c>
      <c r="I36" s="12">
        <v>200</v>
      </c>
      <c r="J36" s="11" t="s">
        <v>101</v>
      </c>
      <c r="K36" s="8" t="s">
        <v>178</v>
      </c>
      <c r="L36" s="12"/>
      <c r="M36" s="11" t="s">
        <v>179</v>
      </c>
      <c r="N36" s="13" t="s">
        <v>390</v>
      </c>
      <c r="O36" s="13" t="str">
        <f>VLOOKUP(A36,'[1] 07-06-26'!$A$2:$T$87,20,0)</f>
        <v>Pur n P Car ( 14 Inch ) 7     FF Sachet + Grass</v>
      </c>
      <c r="P36" s="13" t="e">
        <f>VLOOKUP(A36,'[1]14-06-26'!$A$2:$T$83,20,0)</f>
        <v>#N/A</v>
      </c>
      <c r="Q36" s="13" t="str">
        <f>VLOOKUP(A36,'[1]21-06-26'!$A$2:$T$108,20,0)</f>
        <v>Rajni ( 14 Inch ) 7     Grass</v>
      </c>
      <c r="R36" s="13" t="str">
        <f>VLOOKUP(A36,'[1]28-06-26'!$A$2:$T$93,20,0)</f>
        <v>P n W Glad ( 14 Inch ) 7     Grass</v>
      </c>
      <c r="S36" s="13" t="str">
        <f>VLOOKUP(A36,'[2]05-07-26'!$A$2:$T$85,20,0)</f>
        <v>B Daisy ( 12 Inch ) 7     Grass</v>
      </c>
      <c r="T36" s="13" t="s">
        <v>400</v>
      </c>
      <c r="U36" s="13">
        <v>2</v>
      </c>
      <c r="V36" s="13"/>
      <c r="W36" s="13"/>
      <c r="X36" s="13"/>
      <c r="Y36" s="13"/>
      <c r="Z36" s="13" t="s">
        <v>402</v>
      </c>
      <c r="AA36" s="13"/>
      <c r="AB36" s="13"/>
      <c r="AC36" s="13"/>
      <c r="AD36" s="13"/>
    </row>
    <row r="37" spans="1:30" ht="119.3" hidden="1" customHeight="1" x14ac:dyDescent="0.3">
      <c r="A37" s="1">
        <v>1570</v>
      </c>
      <c r="B37" s="9" t="s">
        <v>180</v>
      </c>
      <c r="C37" s="12">
        <v>9711811545</v>
      </c>
      <c r="D37" s="1" t="s">
        <v>181</v>
      </c>
      <c r="E37" s="11" t="s">
        <v>96</v>
      </c>
      <c r="F37" s="11" t="s">
        <v>18</v>
      </c>
      <c r="G37" s="11" t="s">
        <v>97</v>
      </c>
      <c r="H37" s="12">
        <v>1450</v>
      </c>
      <c r="I37" s="12">
        <v>362.5</v>
      </c>
      <c r="J37" s="11" t="s">
        <v>32</v>
      </c>
      <c r="K37" s="11" t="s">
        <v>182</v>
      </c>
      <c r="L37" s="11" t="s">
        <v>183</v>
      </c>
      <c r="M37" s="11" t="s">
        <v>184</v>
      </c>
      <c r="N37" s="13" t="s">
        <v>29</v>
      </c>
      <c r="O37" s="13" t="str">
        <f>VLOOKUP(A37,'[1] 07-06-26'!$A$2:$T$87,20,0)</f>
        <v>P Alstroemeria ( 12 Inch ) 16 Single Color Flower  Single Color Flower    FF Sachet + Grass</v>
      </c>
      <c r="P37" s="13" t="str">
        <f>VLOOKUP(A37,'[1]14-06-26'!$A$2:$T$83,20,0)</f>
        <v>P Spray Daisy ( 14 Inch ) 5     FF Sachet + Grass</v>
      </c>
      <c r="Q37" s="13" t="str">
        <f>VLOOKUP(A37,'[1]21-06-26'!$A$2:$T$108,20,0)</f>
        <v>Pur n P Car ( 14 Inch ) 16     FF Sachet + Grass</v>
      </c>
      <c r="R37" s="13" t="str">
        <f>VLOOKUP(A37,'[1]28-06-26'!$A$2:$T$93,20,0)</f>
        <v>Y Asiatic ( 14 Inch ) 3     Grass</v>
      </c>
      <c r="S37" s="13" t="str">
        <f>VLOOKUP(A37,'[2]05-07-26'!$A$2:$T$85,20,0)</f>
        <v>P n W Glad ( 14 Inch ) 16     Grass</v>
      </c>
      <c r="T37" s="13" t="s">
        <v>422</v>
      </c>
      <c r="U37" s="13">
        <v>4</v>
      </c>
      <c r="V37" s="13"/>
      <c r="W37" s="13"/>
      <c r="X37" s="13"/>
      <c r="Y37" s="13"/>
      <c r="Z37" s="13" t="s">
        <v>402</v>
      </c>
      <c r="AA37" s="13"/>
      <c r="AB37" s="13"/>
      <c r="AC37" s="13"/>
      <c r="AD37" s="13"/>
    </row>
    <row r="38" spans="1:30" ht="119.3" hidden="1" customHeight="1" x14ac:dyDescent="0.3">
      <c r="A38" s="1">
        <v>3245</v>
      </c>
      <c r="B38" s="9" t="s">
        <v>185</v>
      </c>
      <c r="C38" s="12">
        <v>9999903582</v>
      </c>
      <c r="D38" s="11" t="s">
        <v>186</v>
      </c>
      <c r="E38" s="11" t="s">
        <v>76</v>
      </c>
      <c r="F38" s="11" t="s">
        <v>18</v>
      </c>
      <c r="G38" s="10" t="s">
        <v>19</v>
      </c>
      <c r="H38" s="12">
        <v>1450</v>
      </c>
      <c r="I38" s="12">
        <v>362.5</v>
      </c>
      <c r="J38" s="8" t="s">
        <v>32</v>
      </c>
      <c r="K38" s="12"/>
      <c r="L38" s="12"/>
      <c r="M38" s="12"/>
      <c r="N38" s="13" t="s">
        <v>29</v>
      </c>
      <c r="O38" s="13" t="str">
        <f>VLOOKUP(A38,'[1] 07-06-26'!$A$2:$T$87,20,0)</f>
        <v>P n W Spray Daisy ( 14 Inch) 5     FF Sachet + Grass</v>
      </c>
      <c r="P38" s="13" t="str">
        <f>VLOOKUP(A38,'[1]14-06-26'!$A$2:$T$83,20,0)</f>
        <v>P n W Glad ( 14 Inch ) 16     Grass</v>
      </c>
      <c r="Q38" s="13" t="str">
        <f>VLOOKUP(A38,'[1]21-06-26'!$A$2:$T$108,20,0)</f>
        <v>Pur Eustoma ( 12 Inch ) 3     FF Sachet + Grass</v>
      </c>
      <c r="R38" s="13" t="str">
        <f>VLOOKUP(A38,'[1]28-06-26'!$A$2:$T$93,20,0)</f>
        <v>P Asiatic ( 14 Inch ) 3     Grass</v>
      </c>
      <c r="S38" s="13" t="str">
        <f>VLOOKUP(A38,'[2]05-07-26'!$A$2:$T$85,20,0)</f>
        <v>Rajni ( 14 Inch ) 16     Grass</v>
      </c>
      <c r="T38" s="13" t="s">
        <v>398</v>
      </c>
      <c r="U38" s="13">
        <v>16</v>
      </c>
      <c r="V38" s="13"/>
      <c r="W38" s="13"/>
      <c r="X38" s="13"/>
      <c r="Y38" s="13"/>
      <c r="Z38" s="13" t="s">
        <v>403</v>
      </c>
      <c r="AA38" s="13"/>
      <c r="AB38" s="13"/>
      <c r="AC38" s="13"/>
      <c r="AD38" s="13"/>
    </row>
    <row r="39" spans="1:30" ht="119.3" hidden="1" customHeight="1" x14ac:dyDescent="0.3">
      <c r="A39" s="1">
        <v>2637</v>
      </c>
      <c r="B39" s="23" t="s">
        <v>187</v>
      </c>
      <c r="C39" s="11">
        <v>9999834141</v>
      </c>
      <c r="D39" s="11" t="s">
        <v>188</v>
      </c>
      <c r="E39" s="11" t="s">
        <v>38</v>
      </c>
      <c r="F39" s="11" t="s">
        <v>18</v>
      </c>
      <c r="G39" s="10" t="s">
        <v>19</v>
      </c>
      <c r="H39" s="12">
        <v>1950</v>
      </c>
      <c r="I39" s="12">
        <v>487.5</v>
      </c>
      <c r="J39" s="11" t="s">
        <v>115</v>
      </c>
      <c r="K39" s="11" t="s">
        <v>189</v>
      </c>
      <c r="L39" s="12"/>
      <c r="M39" s="12"/>
      <c r="N39" s="13" t="s">
        <v>29</v>
      </c>
      <c r="O39" s="13" t="str">
        <f>VLOOKUP(A39,'[1] 07-06-26'!$A$2:$T$87,20,0)</f>
        <v>Pur Eustoma ( 12 Inch ) 2 Mix Alstroemeria ( 12 Inch ) 11   FF Sachet + Grass</v>
      </c>
      <c r="P39" s="13" t="str">
        <f>VLOOKUP(A39,'[1]14-06-26'!$A$2:$T$83,20,0)</f>
        <v>O Asiatic ( 14 Inch ) 2 P n W Glad ( 14 Inch ) 11   Grass</v>
      </c>
      <c r="Q39" s="13" t="str">
        <f>VLOOKUP(A39,'[1]21-06-26'!$A$2:$T$108,20,0)</f>
        <v>P Asiatic ( 14 Inch ) 2 P n W Glad ( 14 Inch ) 11   Grass</v>
      </c>
      <c r="R39" s="13" t="str">
        <f>VLOOKUP(A39,'[1]28-06-26'!$A$2:$T$93,20,0)</f>
        <v>Sunflower ( 12 Inch ) 3 Rajni ( 14 Inch ) 11   FF Sachet + Grass</v>
      </c>
      <c r="S39" s="13" t="str">
        <f>VLOOKUP(A39,'[2]05-07-26'!$A$2:$T$85,20,0)</f>
        <v>BOP 2 Pur n P Car ( 14 Inch ) 11   FF Sachet + Grass</v>
      </c>
      <c r="T39" s="13" t="s">
        <v>395</v>
      </c>
      <c r="U39" s="13">
        <v>4</v>
      </c>
      <c r="V39" s="13" t="s">
        <v>399</v>
      </c>
      <c r="W39" s="13">
        <v>10</v>
      </c>
      <c r="X39" s="13"/>
      <c r="Y39" s="13"/>
      <c r="Z39" s="13" t="s">
        <v>402</v>
      </c>
      <c r="AA39" s="13"/>
      <c r="AB39" s="13"/>
      <c r="AC39" s="13"/>
      <c r="AD39" s="13"/>
    </row>
    <row r="40" spans="1:30" ht="119.3" hidden="1" customHeight="1" x14ac:dyDescent="0.3">
      <c r="A40" s="8">
        <v>3214</v>
      </c>
      <c r="B40" s="9" t="s">
        <v>190</v>
      </c>
      <c r="C40" s="15">
        <v>9958849523</v>
      </c>
      <c r="D40" s="11" t="s">
        <v>191</v>
      </c>
      <c r="E40" s="11" t="s">
        <v>83</v>
      </c>
      <c r="F40" s="11" t="s">
        <v>18</v>
      </c>
      <c r="G40" s="11" t="s">
        <v>88</v>
      </c>
      <c r="H40" s="12">
        <v>1450</v>
      </c>
      <c r="I40" s="12">
        <v>362.5</v>
      </c>
      <c r="J40" s="8" t="s">
        <v>32</v>
      </c>
      <c r="K40" s="11" t="s">
        <v>192</v>
      </c>
      <c r="L40" s="12"/>
      <c r="M40" s="12"/>
      <c r="N40" s="13" t="s">
        <v>29</v>
      </c>
      <c r="O40" s="13" t="str">
        <f>VLOOKUP(A40,'[1] 07-06-26'!$A$2:$T$87,20,0)</f>
        <v>Pur n P Car ( 14 Inch ) 9     FF Sachet + Grass</v>
      </c>
      <c r="P40" s="13" t="str">
        <f>VLOOKUP(A40,'[1]14-06-26'!$A$2:$T$83,20,0)</f>
        <v>Sunflower ( 12 Inch ) 2     FF Sachet + Grass</v>
      </c>
      <c r="Q40" s="13" t="str">
        <f>VLOOKUP(A40,'[1]21-06-26'!$A$2:$T$108,20,0)</f>
        <v>B Daisy ( 12 Inch ) 9     Grass</v>
      </c>
      <c r="R40" s="13" t="str">
        <f>VLOOKUP(A40,'[1]28-06-26'!$A$2:$T$93,20,0)</f>
        <v>P Asiatic ( 14 Inch ) 3     Grass</v>
      </c>
      <c r="S40" s="13" t="str">
        <f>VLOOKUP(A40,'[2]05-07-26'!$A$2:$T$85,20,0)</f>
        <v>Rajni ( 14 Inch ) 16     Grass</v>
      </c>
      <c r="T40" s="13" t="s">
        <v>422</v>
      </c>
      <c r="U40" s="13">
        <v>4</v>
      </c>
      <c r="V40" s="13"/>
      <c r="W40" s="13"/>
      <c r="X40" s="13"/>
      <c r="Y40" s="13"/>
      <c r="Z40" s="13" t="s">
        <v>402</v>
      </c>
      <c r="AA40" s="13"/>
      <c r="AB40" s="13"/>
      <c r="AC40" s="13"/>
      <c r="AD40" s="13"/>
    </row>
    <row r="41" spans="1:30" ht="119.3" hidden="1" customHeight="1" x14ac:dyDescent="0.3">
      <c r="A41" s="1">
        <v>3351</v>
      </c>
      <c r="B41" s="9" t="s">
        <v>193</v>
      </c>
      <c r="C41" s="12">
        <v>8800898704</v>
      </c>
      <c r="D41" s="11" t="s">
        <v>194</v>
      </c>
      <c r="E41" s="11" t="s">
        <v>17</v>
      </c>
      <c r="F41" s="11" t="s">
        <v>18</v>
      </c>
      <c r="G41" s="10" t="s">
        <v>19</v>
      </c>
      <c r="H41" s="12">
        <v>1950</v>
      </c>
      <c r="I41" s="12">
        <v>487.5</v>
      </c>
      <c r="J41" s="11" t="s">
        <v>115</v>
      </c>
      <c r="K41" s="11" t="s">
        <v>195</v>
      </c>
      <c r="L41" s="12"/>
      <c r="M41" s="12"/>
      <c r="N41" s="13" t="s">
        <v>196</v>
      </c>
      <c r="O41" s="13" t="e">
        <f>VLOOKUP(A41,'[1] 07-06-26'!$A$2:$T$87,20,0)</f>
        <v>#N/A</v>
      </c>
      <c r="P41" s="13" t="str">
        <f>VLOOKUP(A41,'[1]14-06-26'!$A$2:$T$83,20,0)</f>
        <v>P Asiatic ( 14 Inch ) 2 Pur n P Car ( 14 Inch ) 11   Grass</v>
      </c>
      <c r="Q41" s="13" t="str">
        <f>VLOOKUP(A41,'[1]21-06-26'!$A$2:$T$108,20,0)</f>
        <v>Pur Eustoma ( 12 Inch ) 2 B Daisy ( 12 Inch ) 11   FF Sachet + Grass</v>
      </c>
      <c r="R41" s="13" t="str">
        <f>VLOOKUP(A41,'[1]28-06-26'!$A$2:$T$93,20,0)</f>
        <v>Sunflower ( 12 Inch ) 3 P n W Glad ( 14 Inch ) 11   FF Sachet + Grass</v>
      </c>
      <c r="S41" s="13" t="str">
        <f>VLOOKUP(A41,'[2]05-07-26'!$A$2:$T$85,20,0)</f>
        <v>BOP  2 Rajni ( 14 Inch ) 11   FF Sachet + Grass</v>
      </c>
      <c r="T41" s="13" t="s">
        <v>421</v>
      </c>
      <c r="U41" s="13">
        <v>2</v>
      </c>
      <c r="V41" s="13" t="s">
        <v>398</v>
      </c>
      <c r="W41" s="13">
        <v>11</v>
      </c>
      <c r="X41" s="13"/>
      <c r="Y41" s="13"/>
      <c r="Z41" s="13" t="s">
        <v>403</v>
      </c>
      <c r="AA41" s="13"/>
      <c r="AB41" s="13"/>
      <c r="AC41" s="13"/>
      <c r="AD41" s="13"/>
    </row>
    <row r="42" spans="1:30" ht="119.3" hidden="1" customHeight="1" x14ac:dyDescent="0.3">
      <c r="A42" s="1">
        <v>2774</v>
      </c>
      <c r="B42" s="9" t="s">
        <v>197</v>
      </c>
      <c r="C42" s="12">
        <v>9899589964</v>
      </c>
      <c r="D42" s="11" t="s">
        <v>198</v>
      </c>
      <c r="E42" s="11" t="s">
        <v>83</v>
      </c>
      <c r="F42" s="11" t="s">
        <v>18</v>
      </c>
      <c r="G42" s="10" t="s">
        <v>19</v>
      </c>
      <c r="H42" s="12">
        <v>1600</v>
      </c>
      <c r="I42" s="12">
        <v>200</v>
      </c>
      <c r="J42" s="11" t="s">
        <v>101</v>
      </c>
      <c r="K42" s="12"/>
      <c r="L42" s="12"/>
      <c r="M42" s="12"/>
      <c r="N42" s="13" t="s">
        <v>390</v>
      </c>
      <c r="O42" s="13" t="str">
        <f>VLOOKUP(A42,'[1] 07-06-26'!$A$2:$T$87,20,0)</f>
        <v>Mix Alstroemeria ( 12 Inch ) 7     FF Sachet + Grass</v>
      </c>
      <c r="P42" s="13" t="str">
        <f>VLOOKUP(A42,'[1]14-06-26'!$A$2:$T$83,20,0)</f>
        <v>Rajni ( 14 Inch ) 7     Grass</v>
      </c>
      <c r="Q42" s="13" t="str">
        <f>VLOOKUP(A42,'[1]21-06-26'!$A$2:$T$108,20,0)</f>
        <v>B Daisy ( 12 Inch ) 7     Grass</v>
      </c>
      <c r="R42" s="13" t="str">
        <f>VLOOKUP(A42,'[1]28-06-26'!$A$2:$T$93,20,0)</f>
        <v>Sunflower ( 12 Inch ) 2     FF Sachet + Grass</v>
      </c>
      <c r="S42" s="13" t="str">
        <f>VLOOKUP(A42,'[2]05-07-26'!$A$2:$T$85,20,0)</f>
        <v>B Daisy ( 12 Inch ) 7     Grass</v>
      </c>
      <c r="T42" s="13" t="s">
        <v>400</v>
      </c>
      <c r="U42" s="13">
        <v>2</v>
      </c>
      <c r="V42" s="13"/>
      <c r="W42" s="13"/>
      <c r="X42" s="13"/>
      <c r="Y42" s="13"/>
      <c r="Z42" s="13" t="s">
        <v>402</v>
      </c>
      <c r="AA42" s="13"/>
      <c r="AB42" s="13"/>
      <c r="AC42" s="13"/>
      <c r="AD42" s="13"/>
    </row>
    <row r="43" spans="1:30" ht="119.3" hidden="1" customHeight="1" x14ac:dyDescent="0.3">
      <c r="A43" s="1">
        <v>1438</v>
      </c>
      <c r="B43" s="24" t="s">
        <v>199</v>
      </c>
      <c r="C43" s="12">
        <v>9884857311</v>
      </c>
      <c r="D43" s="11" t="s">
        <v>200</v>
      </c>
      <c r="E43" s="11" t="s">
        <v>17</v>
      </c>
      <c r="F43" s="11" t="s">
        <v>70</v>
      </c>
      <c r="G43" s="10" t="s">
        <v>19</v>
      </c>
      <c r="H43" s="12">
        <v>1600</v>
      </c>
      <c r="I43" s="12">
        <v>200</v>
      </c>
      <c r="J43" s="11" t="s">
        <v>101</v>
      </c>
      <c r="K43" s="11" t="s">
        <v>201</v>
      </c>
      <c r="L43" s="12"/>
      <c r="M43" s="12"/>
      <c r="N43" s="13" t="s">
        <v>391</v>
      </c>
      <c r="O43" s="13" t="str">
        <f>VLOOKUP(A43,'[1] 07-06-26'!$A$2:$T$87,20,0)</f>
        <v>P Spray Daisy ( 14 Inch ) 2     FF Sachet + Grass</v>
      </c>
      <c r="P43" s="13" t="str">
        <f>VLOOKUP(A43,'[1]14-06-26'!$A$2:$T$83,20,0)</f>
        <v>Rajni ( 14 Inch ) 7     Grass</v>
      </c>
      <c r="Q43" s="13" t="str">
        <f>VLOOKUP(A43,'[1]21-06-26'!$A$2:$T$108,20,0)</f>
        <v>B Daisy ( 12 Inch ) 7     Grass</v>
      </c>
      <c r="R43" s="13" t="str">
        <f>VLOOKUP(A43,'[1]28-06-26'!$A$2:$T$93,20,0)</f>
        <v>Sunflower ( 12 Inch ) 2     FF Sachet + Grass</v>
      </c>
      <c r="S43" s="13" t="str">
        <f>VLOOKUP(A43,'[2]05-07-26'!$A$2:$T$85,20,0)</f>
        <v>Mix Alstroemeria 7     Grass</v>
      </c>
      <c r="T43" s="13" t="s">
        <v>398</v>
      </c>
      <c r="U43" s="13">
        <v>7</v>
      </c>
      <c r="V43" s="13"/>
      <c r="W43" s="13"/>
      <c r="X43" s="13"/>
      <c r="Y43" s="13"/>
      <c r="Z43" s="13" t="s">
        <v>402</v>
      </c>
      <c r="AA43" s="13"/>
      <c r="AB43" s="13"/>
      <c r="AC43" s="13"/>
      <c r="AD43" s="13"/>
    </row>
    <row r="44" spans="1:30" ht="119.3" hidden="1" customHeight="1" x14ac:dyDescent="0.3">
      <c r="A44" s="1">
        <v>2246</v>
      </c>
      <c r="B44" s="9" t="s">
        <v>202</v>
      </c>
      <c r="C44" s="12">
        <v>9811985450</v>
      </c>
      <c r="D44" s="12" t="s">
        <v>203</v>
      </c>
      <c r="E44" s="12" t="s">
        <v>83</v>
      </c>
      <c r="F44" s="12" t="s">
        <v>70</v>
      </c>
      <c r="G44" s="12" t="s">
        <v>19</v>
      </c>
      <c r="H44" s="12">
        <v>1600</v>
      </c>
      <c r="I44" s="12">
        <v>200</v>
      </c>
      <c r="J44" s="11" t="s">
        <v>101</v>
      </c>
      <c r="K44" s="11" t="s">
        <v>204</v>
      </c>
      <c r="L44" s="12" t="s">
        <v>117</v>
      </c>
      <c r="M44" s="11" t="s">
        <v>205</v>
      </c>
      <c r="N44" s="13" t="s">
        <v>35</v>
      </c>
      <c r="O44" s="13" t="str">
        <f>VLOOKUP(A44,'[1] 07-06-26'!$A$2:$T$87,20,0)</f>
        <v>Y Spray Daisy ( 14 Inch ) 2     FF Sachet + Grass</v>
      </c>
      <c r="P44" s="13" t="str">
        <f>VLOOKUP(A44,'[1]14-06-26'!$A$2:$T$83,20,0)</f>
        <v>Rajni ( 14 Inch ) 7     Grass</v>
      </c>
      <c r="Q44" s="13" t="str">
        <f>VLOOKUP(A44,'[1]21-06-26'!$A$2:$T$108,20,0)</f>
        <v>B Daisy ( 12 Inch ) 7     Grass</v>
      </c>
      <c r="R44" s="13" t="str">
        <f>VLOOKUP(A44,'[1]28-06-26'!$A$2:$T$93,20,0)</f>
        <v>Sunflower ( 12 Inch ) 2     FF Sachet + Grass</v>
      </c>
      <c r="S44" s="13" t="str">
        <f>VLOOKUP(A44,'[2]05-07-26'!$A$2:$T$85,20,0)</f>
        <v>Rajni ( 14 Inch ) 7     Grass</v>
      </c>
      <c r="T44" s="13" t="s">
        <v>401</v>
      </c>
      <c r="U44" s="13">
        <v>2</v>
      </c>
      <c r="V44" s="13"/>
      <c r="W44" s="13"/>
      <c r="X44" s="13"/>
      <c r="Y44" s="13"/>
      <c r="Z44" s="13" t="s">
        <v>402</v>
      </c>
      <c r="AA44" s="13"/>
      <c r="AB44" s="13"/>
      <c r="AC44" s="13"/>
      <c r="AD44" s="13"/>
    </row>
    <row r="45" spans="1:30" ht="149.94999999999999" hidden="1" customHeight="1" x14ac:dyDescent="0.3">
      <c r="A45" s="1">
        <v>2316</v>
      </c>
      <c r="B45" s="9" t="s">
        <v>206</v>
      </c>
      <c r="C45" s="12">
        <v>9811842976</v>
      </c>
      <c r="D45" s="11" t="s">
        <v>207</v>
      </c>
      <c r="E45" s="11" t="s">
        <v>83</v>
      </c>
      <c r="F45" s="11" t="s">
        <v>18</v>
      </c>
      <c r="G45" s="10" t="s">
        <v>19</v>
      </c>
      <c r="H45" s="11">
        <v>4750</v>
      </c>
      <c r="I45" s="12">
        <v>1187.5</v>
      </c>
      <c r="J45" s="11" t="s">
        <v>208</v>
      </c>
      <c r="K45" s="11" t="s">
        <v>209</v>
      </c>
      <c r="L45" s="12"/>
      <c r="M45" s="12"/>
      <c r="N45" s="13" t="s">
        <v>62</v>
      </c>
      <c r="O45" s="13" t="str">
        <f>VLOOKUP(A45,'[1] 07-06-26'!$A$2:$T$87,20,0)</f>
        <v>Sunflower ( 12 Inch ) 7 Mix Alstroemeria ( 12 Inch ) 30   3 Limonium + Ff Sachet</v>
      </c>
      <c r="P45" s="13" t="str">
        <f>VLOOKUP(A45,'[1]14-06-26'!$A$2:$T$83,20,0)</f>
        <v>O Asiatic ( 14 Inch ) 6 P n W Glad ( 14 Inch ) 30   3 Gypsola</v>
      </c>
      <c r="Q45" s="13" t="str">
        <f>VLOOKUP(A45,'[1]21-06-26'!$A$2:$T$108,20,0)</f>
        <v>P n Y Spray Daisy ( 14 Inch ) 10 Pur n P Car ( 14 Inch ) 30   3 Limonium</v>
      </c>
      <c r="R45" s="13" t="str">
        <f>VLOOKUP(A45,'[1]28-06-26'!$A$2:$T$93,20,0)</f>
        <v>BOP ( 14 Inch ) 6 Rajni ( 14 Inch ) 30   3 Gypsola</v>
      </c>
      <c r="S45" s="13" t="str">
        <f>VLOOKUP(A45,'[2]05-07-26'!$A$2:$T$85,20,0)</f>
        <v>P Asiatic ( 14 Inch ) 6 Mix Alstroemeria ( 12 Inch ) 30   3 Areca Palm + 3 Limonium</v>
      </c>
      <c r="T45" s="13" t="s">
        <v>422</v>
      </c>
      <c r="U45" s="13">
        <v>7</v>
      </c>
      <c r="V45" s="13" t="s">
        <v>398</v>
      </c>
      <c r="W45" s="13">
        <v>30</v>
      </c>
      <c r="X45" s="13"/>
      <c r="Y45" s="13"/>
      <c r="Z45" s="13" t="s">
        <v>432</v>
      </c>
      <c r="AA45" s="13"/>
      <c r="AB45" s="13"/>
      <c r="AC45" s="13"/>
      <c r="AD45" s="13"/>
    </row>
    <row r="46" spans="1:30" ht="119.3" hidden="1" customHeight="1" x14ac:dyDescent="0.3">
      <c r="A46" s="1">
        <v>1140</v>
      </c>
      <c r="B46" s="9" t="s">
        <v>210</v>
      </c>
      <c r="C46" s="11" t="s">
        <v>211</v>
      </c>
      <c r="D46" s="11" t="s">
        <v>212</v>
      </c>
      <c r="E46" s="11" t="s">
        <v>17</v>
      </c>
      <c r="F46" s="11" t="s">
        <v>70</v>
      </c>
      <c r="G46" s="10" t="s">
        <v>19</v>
      </c>
      <c r="H46" s="12">
        <v>2300</v>
      </c>
      <c r="I46" s="12">
        <v>287.5</v>
      </c>
      <c r="J46" s="11" t="s">
        <v>136</v>
      </c>
      <c r="K46" s="11" t="s">
        <v>213</v>
      </c>
      <c r="L46" s="11" t="s">
        <v>214</v>
      </c>
      <c r="M46" s="12"/>
      <c r="N46" s="13" t="s">
        <v>35</v>
      </c>
      <c r="O46" s="13" t="str">
        <f>VLOOKUP(A46,'[1] 07-06-26'!$A$2:$T$87,20,0)</f>
        <v>Mix Alstroemeria ( 12 Inch ) 11     FF Sachet + Grass</v>
      </c>
      <c r="P46" s="13" t="str">
        <f>VLOOKUP(A46,'[1]14-06-26'!$A$2:$T$83,20,0)</f>
        <v>O Asiatic ( 14 Inch ) 2     Grass</v>
      </c>
      <c r="Q46" s="13" t="str">
        <f>VLOOKUP(A46,'[1]21-06-26'!$A$2:$T$108,20,0)</f>
        <v>B Daisy ( 12 Inch ) 11     Grass</v>
      </c>
      <c r="R46" s="13" t="str">
        <f>VLOOKUP(A46,'[1]28-06-26'!$A$2:$T$93,20,0)</f>
        <v>Sunflower ( 12 Inch ) 3     FF Sachet + Grass</v>
      </c>
      <c r="S46" s="13" t="str">
        <f>VLOOKUP(A46,'[2]05-07-26'!$A$2:$T$85,20,0)</f>
        <v>O Asiatic ( 14 Inch ) 2     Grass</v>
      </c>
      <c r="T46" s="13" t="s">
        <v>400</v>
      </c>
      <c r="U46" s="13">
        <v>2</v>
      </c>
      <c r="V46" s="13"/>
      <c r="W46" s="13"/>
      <c r="X46" s="13"/>
      <c r="Y46" s="13"/>
      <c r="Z46" s="13" t="s">
        <v>402</v>
      </c>
      <c r="AA46" s="13"/>
      <c r="AB46" s="13"/>
      <c r="AC46" s="13"/>
      <c r="AD46" s="13"/>
    </row>
    <row r="47" spans="1:30" ht="119.3" hidden="1" customHeight="1" x14ac:dyDescent="0.3">
      <c r="A47" s="8" t="s">
        <v>215</v>
      </c>
      <c r="B47" s="9" t="s">
        <v>216</v>
      </c>
      <c r="C47" s="12">
        <v>9999236508</v>
      </c>
      <c r="D47" s="11" t="s">
        <v>217</v>
      </c>
      <c r="E47" s="11" t="s">
        <v>218</v>
      </c>
      <c r="F47" s="11" t="s">
        <v>70</v>
      </c>
      <c r="G47" s="11" t="s">
        <v>219</v>
      </c>
      <c r="H47" s="12">
        <v>28000</v>
      </c>
      <c r="I47" s="12">
        <v>7000</v>
      </c>
      <c r="J47" s="12" t="s">
        <v>220</v>
      </c>
      <c r="K47" s="11" t="s">
        <v>221</v>
      </c>
      <c r="L47" s="12"/>
      <c r="M47" s="12"/>
      <c r="N47" s="13" t="s">
        <v>222</v>
      </c>
      <c r="O47" s="13" t="str">
        <f>VLOOKUP(A47,'[1] 07-06-26'!$A$2:$T$87,20,0)</f>
        <v xml:space="preserve">P  Oriental + P Asiatic + P n Y Button Daisy + P n Y Car + P Eustoma 4 + 4 + 10 + 40 + 8 Mogra 300 Gm   </v>
      </c>
      <c r="P47" s="13" t="str">
        <f>VLOOKUP(A47,'[1]14-06-26'!$A$2:$T$83,20,0)</f>
        <v xml:space="preserve">P Oriental + Y Asiatic + P n W Spray Daisy + Pur n P Car + Pur Eustoma + Pur Anthurium 4 + 4 +10 + 35 + 6 Dilli patti + Fish Tail + Other Greens    </v>
      </c>
      <c r="Q47" s="13" t="e">
        <f>VLOOKUP(A47,'[1]21-06-26'!$A$2:$T$108,20,0)</f>
        <v>#N/A</v>
      </c>
      <c r="R47" s="13" t="str">
        <f>VLOOKUP(A47,'[1]28-06-26'!$A$2:$T$93,20,0)</f>
        <v xml:space="preserve">W Oriental + R Asiatic + R n W Spray Daisy + R n W Car + R n W Anthurium + W Orchid  4 + 4 + 12 + 30 + 4 + 7 Mogra 200 Gm   </v>
      </c>
      <c r="S47" s="13" t="str">
        <f>VLOOKUP(A47,'[2]05-07-26'!$A$2:$T$85,20,0)</f>
        <v xml:space="preserve">W Oriental + G Anthurium + G Lotus Pd + Baloon Flower + G n W Car + Big Monstera 4 + 6 + 8 + 8 + 15 W Oriental + Limonium 2 + 3 ( In Suraahi Vase) Mogra  300 Gm </v>
      </c>
      <c r="T47" s="13"/>
      <c r="U47" s="13"/>
      <c r="V47" s="13"/>
      <c r="W47" s="13"/>
      <c r="X47" s="13"/>
      <c r="Y47" s="13"/>
      <c r="Z47" s="13"/>
      <c r="AA47" s="13"/>
      <c r="AB47" s="13"/>
      <c r="AC47" s="13"/>
      <c r="AD47" s="13"/>
    </row>
    <row r="48" spans="1:30" ht="119.3" hidden="1" customHeight="1" x14ac:dyDescent="0.3">
      <c r="A48" s="1">
        <v>2450</v>
      </c>
      <c r="B48" s="9" t="s">
        <v>223</v>
      </c>
      <c r="C48" s="15">
        <v>9934010124</v>
      </c>
      <c r="D48" s="11" t="s">
        <v>224</v>
      </c>
      <c r="E48" s="11" t="s">
        <v>38</v>
      </c>
      <c r="F48" s="11" t="s">
        <v>18</v>
      </c>
      <c r="G48" s="11" t="s">
        <v>97</v>
      </c>
      <c r="H48" s="12">
        <v>1450</v>
      </c>
      <c r="I48" s="12">
        <v>362.5</v>
      </c>
      <c r="J48" s="8" t="s">
        <v>32</v>
      </c>
      <c r="K48" s="11" t="s">
        <v>225</v>
      </c>
      <c r="L48" s="12"/>
      <c r="M48" s="12"/>
      <c r="N48" s="13" t="s">
        <v>62</v>
      </c>
      <c r="O48" s="13" t="e">
        <f>VLOOKUP(A48,'[1] 07-06-26'!$A$2:$T$87,20,0)</f>
        <v>#N/A</v>
      </c>
      <c r="P48" s="13" t="str">
        <f>VLOOKUP(A48,'[1]14-06-26'!$A$2:$T$83,20,0)</f>
        <v>O Asiatic ( 14 Inch ) 2     Grass</v>
      </c>
      <c r="Q48" s="13" t="str">
        <f>VLOOKUP(A48,'[1]21-06-26'!$A$2:$T$108,20,0)</f>
        <v>B Daisy ( 12 Inch ) 9     Grass</v>
      </c>
      <c r="R48" s="13" t="str">
        <f>VLOOKUP(A48,'[1]28-06-26'!$A$2:$T$93,20,0)</f>
        <v>Sunflower ( 12 Inch ) 2     FF Sachet + Grass</v>
      </c>
      <c r="S48" s="13" t="str">
        <f>VLOOKUP(A48,'[2]05-07-26'!$A$2:$T$85,20,0)</f>
        <v>Pur n P Car ( 14 Inch ) 16     FF Sachet + Grass</v>
      </c>
      <c r="T48" s="13" t="s">
        <v>396</v>
      </c>
      <c r="U48" s="13">
        <v>16</v>
      </c>
      <c r="V48" s="13"/>
      <c r="W48" s="13"/>
      <c r="X48" s="13"/>
      <c r="Y48" s="13"/>
      <c r="Z48" s="13" t="s">
        <v>403</v>
      </c>
      <c r="AA48" s="13"/>
      <c r="AB48" s="13"/>
      <c r="AC48" s="13"/>
      <c r="AD48" s="13"/>
    </row>
    <row r="49" spans="1:30" ht="119.3" hidden="1" customHeight="1" x14ac:dyDescent="0.3">
      <c r="A49" s="1">
        <v>3401</v>
      </c>
      <c r="B49" s="9" t="s">
        <v>226</v>
      </c>
      <c r="C49" s="12">
        <v>7042482828</v>
      </c>
      <c r="D49" s="11" t="s">
        <v>227</v>
      </c>
      <c r="E49" s="11" t="s">
        <v>76</v>
      </c>
      <c r="F49" s="11" t="s">
        <v>18</v>
      </c>
      <c r="G49" s="11" t="s">
        <v>26</v>
      </c>
      <c r="H49" s="12">
        <v>1450</v>
      </c>
      <c r="I49" s="12">
        <v>362.5</v>
      </c>
      <c r="J49" s="25" t="s">
        <v>32</v>
      </c>
      <c r="K49" s="12"/>
      <c r="L49" s="12"/>
      <c r="M49" s="12"/>
      <c r="N49" s="13" t="s">
        <v>62</v>
      </c>
      <c r="O49" s="13" t="e">
        <f>VLOOKUP(A49,'[1] 07-06-26'!$A$2:$T$87,20,0)</f>
        <v>#N/A</v>
      </c>
      <c r="P49" s="13" t="e">
        <f>VLOOKUP(A49,'[1]14-06-26'!$A$2:$T$83,20,0)</f>
        <v>#N/A</v>
      </c>
      <c r="Q49" s="13" t="e">
        <f>VLOOKUP(A49,'[1]21-06-26'!$A$2:$T$108,20,0)</f>
        <v>#N/A</v>
      </c>
      <c r="R49" s="13" t="e">
        <f>VLOOKUP(A49,'[1]28-06-26'!$A$2:$T$93,20,0)</f>
        <v>#N/A</v>
      </c>
      <c r="S49" s="13" t="str">
        <f>VLOOKUP(A49,'[2]05-07-26'!$A$2:$T$85,20,0)</f>
        <v>Pur n P Car ( 14 Inch ) 16     FF Sachet + Grass</v>
      </c>
      <c r="T49" s="13" t="s">
        <v>422</v>
      </c>
      <c r="U49" s="13">
        <v>4</v>
      </c>
      <c r="V49" s="13"/>
      <c r="W49" s="13"/>
      <c r="X49" s="13"/>
      <c r="Y49" s="13"/>
      <c r="Z49" s="13" t="s">
        <v>402</v>
      </c>
      <c r="AA49" s="13"/>
      <c r="AB49" s="13"/>
      <c r="AC49" s="13"/>
      <c r="AD49" s="13"/>
    </row>
    <row r="50" spans="1:30" ht="119.3" hidden="1" customHeight="1" x14ac:dyDescent="0.3">
      <c r="A50" s="1">
        <v>3179</v>
      </c>
      <c r="B50" s="9" t="s">
        <v>228</v>
      </c>
      <c r="C50" s="12">
        <v>98188998617</v>
      </c>
      <c r="D50" s="11" t="s">
        <v>229</v>
      </c>
      <c r="E50" s="11" t="s">
        <v>38</v>
      </c>
      <c r="F50" s="11" t="s">
        <v>18</v>
      </c>
      <c r="G50" s="10" t="s">
        <v>19</v>
      </c>
      <c r="H50" s="12">
        <v>1950</v>
      </c>
      <c r="I50" s="12">
        <v>487.5</v>
      </c>
      <c r="J50" s="25" t="s">
        <v>115</v>
      </c>
      <c r="K50" s="11" t="s">
        <v>230</v>
      </c>
      <c r="L50" s="11" t="s">
        <v>231</v>
      </c>
      <c r="M50" s="11" t="s">
        <v>166</v>
      </c>
      <c r="N50" s="13" t="s">
        <v>232</v>
      </c>
      <c r="O50" s="13" t="str">
        <f>VLOOKUP(A50,'[1] 07-06-26'!$A$2:$T$87,20,0)</f>
        <v>W Asiatic ( 14 Inch ) 4     Grass</v>
      </c>
      <c r="P50" s="13" t="str">
        <f>VLOOKUP(A50,'[1]14-06-26'!$A$2:$T$83,20,0)</f>
        <v>Mix Glad (14Inch) 22     FF Sachet + Grass</v>
      </c>
      <c r="Q50" s="13" t="str">
        <f>VLOOKUP(A50,'[1]21-06-26'!$A$2:$T$108,20,0)</f>
        <v>Pur n P Car ( 14 Inch ) 22     FF Sachet + Grass</v>
      </c>
      <c r="R50" s="13" t="str">
        <f>VLOOKUP(A50,'[1]28-06-26'!$A$2:$T$93,20,0)</f>
        <v>Pur n P Eustoma ( 12 Inch ) 4     FF Sachet + Grass</v>
      </c>
      <c r="S50" s="13" t="str">
        <f>VLOOKUP(A50,'[2]05-07-26'!$A$2:$T$85,20,0)</f>
        <v>Rajni ( 14 Inch ) 22     Grass</v>
      </c>
      <c r="T50" s="13" t="s">
        <v>395</v>
      </c>
      <c r="U50" s="13">
        <v>7</v>
      </c>
      <c r="V50" s="13"/>
      <c r="W50" s="13"/>
      <c r="X50" s="13"/>
      <c r="Y50" s="13"/>
      <c r="Z50" s="13" t="s">
        <v>402</v>
      </c>
      <c r="AA50" s="13"/>
      <c r="AB50" s="13"/>
      <c r="AC50" s="13"/>
      <c r="AD50" s="13"/>
    </row>
    <row r="51" spans="1:30" ht="119.3" hidden="1" customHeight="1" x14ac:dyDescent="0.3">
      <c r="A51" s="1">
        <v>2856</v>
      </c>
      <c r="B51" s="9" t="s">
        <v>233</v>
      </c>
      <c r="C51" s="12">
        <v>9958222833</v>
      </c>
      <c r="D51" s="11" t="s">
        <v>234</v>
      </c>
      <c r="E51" s="11" t="s">
        <v>83</v>
      </c>
      <c r="F51" s="11" t="s">
        <v>18</v>
      </c>
      <c r="G51" s="16" t="s">
        <v>235</v>
      </c>
      <c r="H51" s="12">
        <v>1450</v>
      </c>
      <c r="I51" s="12">
        <v>362.5</v>
      </c>
      <c r="J51" s="25" t="s">
        <v>32</v>
      </c>
      <c r="K51" s="11" t="s">
        <v>236</v>
      </c>
      <c r="L51" s="12"/>
      <c r="M51" s="12"/>
      <c r="N51" s="13" t="s">
        <v>62</v>
      </c>
      <c r="O51" s="13" t="str">
        <f>VLOOKUP(A51,'[1] 07-06-26'!$A$2:$T$87,20,0)</f>
        <v>Mix Alstroemeria ( 12 Inch ) 16     FF Sachet + Grass</v>
      </c>
      <c r="P51" s="13" t="str">
        <f>VLOOKUP(A51,'[1]14-06-26'!$A$2:$T$83,20,0)</f>
        <v>Pur n P Car ( 14 Inch ) 16     FF Sachet + Grass</v>
      </c>
      <c r="Q51" s="13" t="str">
        <f>VLOOKUP(A51,'[1]21-06-26'!$A$2:$T$108,20,0)</f>
        <v>P Eustoma ( 12 Inch ) 3     FF Sachet + Grass</v>
      </c>
      <c r="R51" s="13" t="str">
        <f>VLOOKUP(A51,'[1]28-06-26'!$A$2:$T$93,20,0)</f>
        <v>P n W Glad ( 14 Inch ) 16     Grass</v>
      </c>
      <c r="S51" s="13" t="str">
        <f>VLOOKUP(A51,'[2]05-07-26'!$A$2:$T$85,20,0)</f>
        <v>Sunflower ( 12 Inch ) 4     FF Sachet + Grass</v>
      </c>
      <c r="T51" s="13" t="s">
        <v>396</v>
      </c>
      <c r="U51" s="13">
        <v>16</v>
      </c>
      <c r="V51" s="13"/>
      <c r="W51" s="13"/>
      <c r="X51" s="13"/>
      <c r="Y51" s="13"/>
      <c r="Z51" s="13" t="s">
        <v>403</v>
      </c>
      <c r="AA51" s="13"/>
      <c r="AB51" s="13"/>
      <c r="AC51" s="13"/>
      <c r="AD51" s="13"/>
    </row>
    <row r="52" spans="1:30" ht="119.3" hidden="1" customHeight="1" x14ac:dyDescent="0.3">
      <c r="A52" s="1">
        <v>2368</v>
      </c>
      <c r="B52" s="9" t="s">
        <v>237</v>
      </c>
      <c r="C52" s="12">
        <v>9997092561</v>
      </c>
      <c r="D52" s="11" t="s">
        <v>238</v>
      </c>
      <c r="E52" s="11" t="s">
        <v>239</v>
      </c>
      <c r="F52" s="11" t="s">
        <v>18</v>
      </c>
      <c r="G52" s="26" t="s">
        <v>240</v>
      </c>
      <c r="H52" s="12">
        <v>12800</v>
      </c>
      <c r="I52" s="12">
        <v>3200</v>
      </c>
      <c r="J52" s="8" t="s">
        <v>107</v>
      </c>
      <c r="K52" s="12"/>
      <c r="L52" s="12"/>
      <c r="M52" s="12"/>
      <c r="N52" s="13" t="s">
        <v>222</v>
      </c>
      <c r="O52" s="13" t="str">
        <f>VLOOKUP(A52,'[1] 07-06-26'!$A$2:$T$87,20,0)</f>
        <v xml:space="preserve">Arrangement 1     </v>
      </c>
      <c r="P52" s="13" t="str">
        <f>VLOOKUP(A52,'[1]14-06-26'!$A$2:$T$83,20,0)</f>
        <v xml:space="preserve">Arrangement 1     </v>
      </c>
      <c r="Q52" s="13" t="str">
        <f>VLOOKUP(A52,'[1]21-06-26'!$A$2:$T$108,20,0)</f>
        <v xml:space="preserve">Arrangement 1     </v>
      </c>
      <c r="R52" s="13" t="str">
        <f>VLOOKUP(A52,'[1]28-06-26'!$A$2:$T$93,20,0)</f>
        <v xml:space="preserve">Arrangement 1     </v>
      </c>
      <c r="S52" s="13" t="str">
        <f>VLOOKUP(A52,'[2]05-07-26'!$A$2:$T$85,20,0)</f>
        <v xml:space="preserve">Arrangement 1     </v>
      </c>
      <c r="T52" s="13" t="s">
        <v>430</v>
      </c>
      <c r="U52" s="13">
        <v>1</v>
      </c>
      <c r="V52" s="13"/>
      <c r="W52" s="13"/>
      <c r="X52" s="13"/>
      <c r="Y52" s="13"/>
      <c r="Z52" s="13"/>
      <c r="AA52" s="13"/>
      <c r="AB52" s="13"/>
      <c r="AC52" s="13"/>
      <c r="AD52" s="13"/>
    </row>
    <row r="53" spans="1:30" ht="119.3" hidden="1" customHeight="1" x14ac:dyDescent="0.3">
      <c r="A53" s="1">
        <v>2707</v>
      </c>
      <c r="B53" s="9" t="s">
        <v>241</v>
      </c>
      <c r="C53" s="12">
        <v>9903474654</v>
      </c>
      <c r="D53" s="11" t="s">
        <v>242</v>
      </c>
      <c r="E53" s="11" t="s">
        <v>25</v>
      </c>
      <c r="F53" s="11" t="s">
        <v>18</v>
      </c>
      <c r="G53" s="10" t="s">
        <v>19</v>
      </c>
      <c r="H53" s="12">
        <v>1450</v>
      </c>
      <c r="I53" s="12">
        <v>362.5</v>
      </c>
      <c r="J53" s="11" t="s">
        <v>32</v>
      </c>
      <c r="K53" s="11" t="s">
        <v>243</v>
      </c>
      <c r="L53" s="12"/>
      <c r="M53" s="11" t="s">
        <v>244</v>
      </c>
      <c r="N53" s="13" t="s">
        <v>245</v>
      </c>
      <c r="O53" s="13" t="str">
        <f>VLOOKUP(A53,'[1] 07-06-26'!$A$2:$T$87,20,0)</f>
        <v>Pur Eustoma ( 12 Inch ) 2 Mix Alstroemeria ( 12 Inch ) 7   FF Sachet + Grass</v>
      </c>
      <c r="P53" s="13" t="str">
        <f>VLOOKUP(A53,'[1]14-06-26'!$A$2:$T$83,20,0)</f>
        <v>Sunflower ( 12 Inch ) 2 P n W Glad ( 14 Inch ) 7   FF Sachet + Grass</v>
      </c>
      <c r="Q53" s="13" t="str">
        <f>VLOOKUP(A53,'[1]21-06-26'!$A$2:$T$108,20,0)</f>
        <v>P Asiatic ( 14 Inch ) 2 Pur n P Car ( 14 Inch ) 7   Grass</v>
      </c>
      <c r="R53" s="13" t="str">
        <f>VLOOKUP(A53,'[1]28-06-26'!$A$2:$T$93,20,0)</f>
        <v>P Spray Daisy ( 14 Inch ) 3 Rajni ( 14 Inch ) 7   FF Sachet + Grass</v>
      </c>
      <c r="S53" s="13" t="str">
        <f>VLOOKUP(A53,'[2]05-07-26'!$A$2:$T$85,20,0)</f>
        <v>Sunflower ( 12 Inch ) 2 B Daisy ( 12 Inch ) 7   FF Sachet + Grass</v>
      </c>
      <c r="T53" s="13" t="s">
        <v>421</v>
      </c>
      <c r="U53" s="13">
        <v>2</v>
      </c>
      <c r="V53" s="13" t="s">
        <v>425</v>
      </c>
      <c r="W53" s="13">
        <v>7</v>
      </c>
      <c r="X53" s="13"/>
      <c r="Y53" s="13"/>
      <c r="Z53" s="13" t="s">
        <v>403</v>
      </c>
      <c r="AA53" s="13"/>
      <c r="AB53" s="13"/>
      <c r="AC53" s="13"/>
      <c r="AD53" s="13"/>
    </row>
    <row r="54" spans="1:30" ht="119.3" hidden="1" customHeight="1" x14ac:dyDescent="0.3">
      <c r="A54" s="1">
        <v>3359</v>
      </c>
      <c r="B54" s="9" t="s">
        <v>246</v>
      </c>
      <c r="C54" s="12">
        <v>7508901884</v>
      </c>
      <c r="D54" s="11" t="s">
        <v>247</v>
      </c>
      <c r="E54" s="11" t="s">
        <v>38</v>
      </c>
      <c r="F54" s="11" t="s">
        <v>18</v>
      </c>
      <c r="G54" s="10" t="s">
        <v>19</v>
      </c>
      <c r="H54" s="12">
        <v>1450</v>
      </c>
      <c r="I54" s="12">
        <v>362.5</v>
      </c>
      <c r="J54" s="11" t="s">
        <v>32</v>
      </c>
      <c r="K54" s="11" t="s">
        <v>248</v>
      </c>
      <c r="L54" s="11" t="s">
        <v>40</v>
      </c>
      <c r="M54" s="12"/>
      <c r="N54" s="13" t="s">
        <v>62</v>
      </c>
      <c r="O54" s="13" t="str">
        <f>VLOOKUP(A54,'[1] 07-06-26'!$A$2:$T$87,20,0)</f>
        <v>Mix Alstroemeria ( 12 Inch ) 16     FF Sachet + Grass</v>
      </c>
      <c r="P54" s="13" t="str">
        <f>VLOOKUP(A54,'[1]14-06-26'!$A$2:$T$83,20,0)</f>
        <v>P Asiatic ( 14 Inch ) 3     Grass</v>
      </c>
      <c r="Q54" s="13" t="str">
        <f>VLOOKUP(A54,'[1]21-06-26'!$A$2:$T$108,20,0)</f>
        <v>Pur n P Car ( 14 Inch ) 16     FF Sachet + Grass</v>
      </c>
      <c r="R54" s="13" t="str">
        <f>VLOOKUP(A54,'[1]28-06-26'!$A$2:$T$93,20,0)</f>
        <v>Sunflower ( 12 Inch ) 4     FF Sachet + Grass</v>
      </c>
      <c r="S54" s="13" t="str">
        <f>VLOOKUP(A54,'[2]05-07-26'!$A$2:$T$85,20,0)</f>
        <v>Rajni ( 14 Inch ) 16     Grass</v>
      </c>
      <c r="T54" s="13" t="s">
        <v>399</v>
      </c>
      <c r="U54" s="13">
        <v>16</v>
      </c>
      <c r="V54" s="13"/>
      <c r="W54" s="13"/>
      <c r="X54" s="13"/>
      <c r="Y54" s="13"/>
      <c r="Z54" s="13" t="s">
        <v>402</v>
      </c>
      <c r="AA54" s="13"/>
      <c r="AB54" s="13"/>
      <c r="AC54" s="13"/>
      <c r="AD54" s="13"/>
    </row>
    <row r="55" spans="1:30" ht="119.3" hidden="1" customHeight="1" x14ac:dyDescent="0.3">
      <c r="A55" s="1">
        <v>3358</v>
      </c>
      <c r="B55" s="9" t="s">
        <v>249</v>
      </c>
      <c r="C55" s="12">
        <v>9990903321</v>
      </c>
      <c r="D55" s="11" t="s">
        <v>250</v>
      </c>
      <c r="E55" s="11" t="s">
        <v>17</v>
      </c>
      <c r="F55" s="11" t="s">
        <v>18</v>
      </c>
      <c r="G55" s="10" t="s">
        <v>19</v>
      </c>
      <c r="H55" s="12">
        <v>1950</v>
      </c>
      <c r="I55" s="12">
        <v>487.5</v>
      </c>
      <c r="J55" s="8" t="s">
        <v>115</v>
      </c>
      <c r="K55" s="11" t="s">
        <v>251</v>
      </c>
      <c r="L55" s="12"/>
      <c r="M55" s="11" t="s">
        <v>252</v>
      </c>
      <c r="N55" s="13" t="s">
        <v>62</v>
      </c>
      <c r="O55" s="13" t="str">
        <f>VLOOKUP(A55,'[1] 07-06-26'!$A$2:$T$87,20,0)</f>
        <v>Mix Alstroemeria ( 12 Inch ) 22     FF Sachet + Grass</v>
      </c>
      <c r="P55" s="13" t="str">
        <f>VLOOKUP(A55,'[1]14-06-26'!$A$2:$T$83,20,0)</f>
        <v>R n W Car )( 14 inch ) 22     FF Sachet + Grass</v>
      </c>
      <c r="Q55" s="13" t="str">
        <f>VLOOKUP(A55,'[1]21-06-26'!$A$2:$T$108,20,0)</f>
        <v>B Daisy ( 12 Inch ) 22     Grass</v>
      </c>
      <c r="R55" s="13" t="str">
        <f>VLOOKUP(A55,'[1]28-06-26'!$A$2:$T$93,20,0)</f>
        <v>Y Asiatic ( 14 Inch ) 4     Grass</v>
      </c>
      <c r="S55" s="13" t="str">
        <f>VLOOKUP(A55,'[2]05-07-26'!$A$2:$T$85,20,0)</f>
        <v>Rajni ( 14 Inch ) 22     Grass</v>
      </c>
      <c r="T55" s="13" t="s">
        <v>423</v>
      </c>
      <c r="U55" s="13">
        <v>4</v>
      </c>
      <c r="V55" s="13"/>
      <c r="W55" s="13"/>
      <c r="X55" s="13"/>
      <c r="Y55" s="13"/>
      <c r="Z55" s="13" t="s">
        <v>403</v>
      </c>
      <c r="AA55" s="13"/>
      <c r="AB55" s="13"/>
      <c r="AC55" s="13"/>
      <c r="AD55" s="13"/>
    </row>
    <row r="56" spans="1:30" ht="119.3" hidden="1" customHeight="1" x14ac:dyDescent="0.3">
      <c r="A56" s="1">
        <v>2748</v>
      </c>
      <c r="B56" s="9" t="s">
        <v>253</v>
      </c>
      <c r="C56" s="12">
        <v>9871320514</v>
      </c>
      <c r="D56" s="11" t="s">
        <v>254</v>
      </c>
      <c r="E56" s="11" t="s">
        <v>17</v>
      </c>
      <c r="F56" s="11" t="s">
        <v>18</v>
      </c>
      <c r="G56" s="10" t="s">
        <v>19</v>
      </c>
      <c r="H56" s="12">
        <v>1450</v>
      </c>
      <c r="I56" s="12">
        <v>362.5</v>
      </c>
      <c r="J56" s="8" t="s">
        <v>32</v>
      </c>
      <c r="K56" s="11" t="s">
        <v>255</v>
      </c>
      <c r="L56" s="12"/>
      <c r="M56" s="12"/>
      <c r="N56" s="13" t="s">
        <v>62</v>
      </c>
      <c r="O56" s="13" t="str">
        <f>VLOOKUP(A56,'[1] 07-06-26'!$A$2:$T$87,20,0)</f>
        <v>Pur n P Car ( 14 Inch ) 16     FF Sachet + Grass</v>
      </c>
      <c r="P56" s="13" t="str">
        <f>VLOOKUP(A56,'[1]14-06-26'!$A$2:$T$83,20,0)</f>
        <v>O Asiatic ( 14 Inch ) 3     Grass</v>
      </c>
      <c r="Q56" s="13" t="str">
        <f>VLOOKUP(A56,'[1]21-06-26'!$A$2:$T$108,20,0)</f>
        <v>P n W Glad ( 14 Inch ) 16     Grass</v>
      </c>
      <c r="R56" s="13" t="str">
        <f>VLOOKUP(A56,'[1]28-06-26'!$A$2:$T$93,20,0)</f>
        <v>Sunflower ( 12 Inch ) 4     FF Sachet + Grass</v>
      </c>
      <c r="S56" s="13" t="str">
        <f>VLOOKUP(A56,'[2]05-07-26'!$A$2:$T$85,20,0)</f>
        <v>Rajni ( 14 Inch ) 16     Grass</v>
      </c>
      <c r="T56" s="13" t="s">
        <v>398</v>
      </c>
      <c r="U56" s="13">
        <v>16</v>
      </c>
      <c r="V56" s="13"/>
      <c r="W56" s="13"/>
      <c r="X56" s="13"/>
      <c r="Y56" s="13"/>
      <c r="Z56" s="13" t="s">
        <v>402</v>
      </c>
      <c r="AA56" s="13"/>
      <c r="AB56" s="13"/>
      <c r="AC56" s="13"/>
      <c r="AD56" s="13"/>
    </row>
    <row r="57" spans="1:30" ht="119.3" hidden="1" customHeight="1" x14ac:dyDescent="0.3">
      <c r="A57" s="1">
        <v>2462</v>
      </c>
      <c r="B57" s="9" t="s">
        <v>256</v>
      </c>
      <c r="C57" s="15">
        <v>9811601176</v>
      </c>
      <c r="D57" s="11" t="s">
        <v>257</v>
      </c>
      <c r="E57" s="11" t="s">
        <v>38</v>
      </c>
      <c r="F57" s="11" t="s">
        <v>18</v>
      </c>
      <c r="G57" s="10" t="s">
        <v>19</v>
      </c>
      <c r="H57" s="12">
        <v>1450</v>
      </c>
      <c r="I57" s="12">
        <v>362.5</v>
      </c>
      <c r="J57" s="8" t="s">
        <v>32</v>
      </c>
      <c r="K57" s="11" t="s">
        <v>258</v>
      </c>
      <c r="L57" s="12"/>
      <c r="M57" s="11" t="s">
        <v>259</v>
      </c>
      <c r="N57" s="13" t="s">
        <v>260</v>
      </c>
      <c r="O57" s="13" t="str">
        <f>VLOOKUP(A57,'[1] 07-06-26'!$A$2:$T$87,20,0)</f>
        <v>Mix Alstroemeria ( 12 Inch ) 9     FF Sachet + Grass</v>
      </c>
      <c r="P57" s="13" t="str">
        <f>VLOOKUP(A57,'[1]14-06-26'!$A$2:$T$83,20,0)</f>
        <v>Pur n P Car ( 14 Inch ) 9     FF Sachet + Grass</v>
      </c>
      <c r="Q57" s="13" t="str">
        <f>VLOOKUP(A57,'[1]21-06-26'!$A$2:$T$108,20,0)</f>
        <v>B Daisy ( 12 Inch ) 9     Grass</v>
      </c>
      <c r="R57" s="13" t="str">
        <f>VLOOKUP(A57,'[1]28-06-26'!$A$2:$T$93,20,0)</f>
        <v>P n W Glad ( 14 Inch ) 9     Grass</v>
      </c>
      <c r="S57" s="13" t="str">
        <f>VLOOKUP(A57,'[2]05-07-26'!$A$2:$T$85,20,0)</f>
        <v>Sunflower ( 12 Inch ) 4     FF Sachet + Grass</v>
      </c>
      <c r="T57" s="13" t="s">
        <v>423</v>
      </c>
      <c r="U57" s="13">
        <v>3</v>
      </c>
      <c r="V57" s="13"/>
      <c r="W57" s="13"/>
      <c r="X57" s="13"/>
      <c r="Y57" s="13"/>
      <c r="Z57" s="13" t="s">
        <v>403</v>
      </c>
      <c r="AA57" s="13"/>
      <c r="AB57" s="13"/>
      <c r="AC57" s="13"/>
      <c r="AD57" s="13"/>
    </row>
    <row r="58" spans="1:30" ht="119.3" hidden="1" customHeight="1" x14ac:dyDescent="0.3">
      <c r="A58" s="8" t="s">
        <v>262</v>
      </c>
      <c r="B58" s="9" t="s">
        <v>263</v>
      </c>
      <c r="C58" s="1">
        <v>7503975035</v>
      </c>
      <c r="D58" s="8" t="s">
        <v>264</v>
      </c>
      <c r="E58" s="11" t="s">
        <v>17</v>
      </c>
      <c r="F58" s="11" t="s">
        <v>18</v>
      </c>
      <c r="G58" s="10" t="s">
        <v>19</v>
      </c>
      <c r="H58" s="12">
        <v>1450</v>
      </c>
      <c r="I58" s="12">
        <v>362.5</v>
      </c>
      <c r="J58" s="8" t="s">
        <v>32</v>
      </c>
      <c r="K58" s="11" t="s">
        <v>265</v>
      </c>
      <c r="L58" s="12"/>
      <c r="M58" s="11" t="s">
        <v>266</v>
      </c>
      <c r="N58" s="13" t="s">
        <v>62</v>
      </c>
      <c r="O58" s="13" t="str">
        <f>VLOOKUP(A58,'[1] 07-06-26'!$A$2:$T$87,20,0)</f>
        <v>Mix Alstroemeria ( 12 Inch ) 16     FF Sachet + Grass</v>
      </c>
      <c r="P58" s="13" t="str">
        <f>VLOOKUP(A58,'[1]14-06-26'!$A$2:$T$83,20,0)</f>
        <v>P n W Spray Daisy ( 14 Inch ) 5     FF Sachet + Grass</v>
      </c>
      <c r="Q58" s="13" t="str">
        <f>VLOOKUP(A58,'[1]21-06-26'!$A$2:$T$108,20,0)</f>
        <v>P n W Spray Daisy ( 14 Inch ) 5     FF Sachet + Grass</v>
      </c>
      <c r="R58" s="13" t="str">
        <f>VLOOKUP(A58,'[1]28-06-26'!$A$2:$T$93,20,0)</f>
        <v>Sunflower ( 12 Inch ) 4     FF Sachet + Grass</v>
      </c>
      <c r="S58" s="13" t="str">
        <f>VLOOKUP(A58,'[2]05-07-26'!$A$2:$T$85,20,0)</f>
        <v>Pur n P Car ( 14 Inch ) 16     FF Sachet + Grass</v>
      </c>
      <c r="T58" s="13" t="s">
        <v>421</v>
      </c>
      <c r="U58" s="13">
        <v>3</v>
      </c>
      <c r="V58" s="13"/>
      <c r="W58" s="13"/>
      <c r="X58" s="13"/>
      <c r="Y58" s="13"/>
      <c r="Z58" s="13" t="s">
        <v>403</v>
      </c>
      <c r="AA58" s="13"/>
      <c r="AB58" s="13"/>
      <c r="AC58" s="13"/>
      <c r="AD58" s="13"/>
    </row>
    <row r="59" spans="1:30" ht="143.5" hidden="1" customHeight="1" x14ac:dyDescent="0.3">
      <c r="A59" s="1">
        <v>2458</v>
      </c>
      <c r="B59" s="9" t="s">
        <v>267</v>
      </c>
      <c r="C59" s="15">
        <v>9811801284</v>
      </c>
      <c r="D59" s="11" t="s">
        <v>268</v>
      </c>
      <c r="E59" s="11" t="s">
        <v>38</v>
      </c>
      <c r="F59" s="11" t="s">
        <v>18</v>
      </c>
      <c r="G59" s="10" t="s">
        <v>88</v>
      </c>
      <c r="H59" s="12">
        <v>1450</v>
      </c>
      <c r="I59" s="12">
        <v>362.5</v>
      </c>
      <c r="J59" s="8" t="s">
        <v>32</v>
      </c>
      <c r="K59" s="11" t="s">
        <v>269</v>
      </c>
      <c r="L59" s="12"/>
      <c r="M59" s="12"/>
      <c r="N59" s="13" t="s">
        <v>270</v>
      </c>
      <c r="O59" s="13" t="str">
        <f>VLOOKUP(A59,'[1] 07-06-26'!$A$2:$T$87,20,0)</f>
        <v>P n W Glad ( 14 Inch ) 9     Grass</v>
      </c>
      <c r="P59" s="13" t="str">
        <f>VLOOKUP(A59,'[1]14-06-26'!$A$2:$T$83,20,0)</f>
        <v>Sunflower ( 12 Inch ) 2     FF Sachet + Grass</v>
      </c>
      <c r="Q59" s="13" t="str">
        <f>VLOOKUP(A59,'[1]21-06-26'!$A$2:$T$108,20,0)</f>
        <v>B Daisy ( 12 Inch ) 9     Grass</v>
      </c>
      <c r="R59" s="13" t="str">
        <f>VLOOKUP(A59,'[1]28-06-26'!$A$2:$T$93,20,0)</f>
        <v>P Asiatic ( 14 Inch ) 2     Grass</v>
      </c>
      <c r="S59" s="13" t="str">
        <f>VLOOKUP(A59,'[2]05-07-26'!$A$2:$T$85,20,0)</f>
        <v>Pur n P Car ( 14 Inch ) 9     FF Sachet + Grass</v>
      </c>
      <c r="T59" s="13" t="s">
        <v>425</v>
      </c>
      <c r="U59" s="13">
        <v>16</v>
      </c>
      <c r="V59" s="13"/>
      <c r="W59" s="13"/>
      <c r="X59" s="13"/>
      <c r="Y59" s="13"/>
      <c r="Z59" s="13" t="s">
        <v>403</v>
      </c>
      <c r="AA59" s="13"/>
      <c r="AB59" s="13"/>
      <c r="AC59" s="13"/>
      <c r="AD59" s="13"/>
    </row>
    <row r="60" spans="1:30" ht="119.3" hidden="1" customHeight="1" x14ac:dyDescent="0.3">
      <c r="A60" s="1">
        <v>3166</v>
      </c>
      <c r="B60" s="18" t="s">
        <v>271</v>
      </c>
      <c r="C60" s="12">
        <v>9999284587</v>
      </c>
      <c r="D60" s="11" t="s">
        <v>272</v>
      </c>
      <c r="E60" s="11" t="s">
        <v>83</v>
      </c>
      <c r="F60" s="11" t="s">
        <v>18</v>
      </c>
      <c r="G60" s="10" t="s">
        <v>19</v>
      </c>
      <c r="H60" s="12">
        <v>1450</v>
      </c>
      <c r="I60" s="12">
        <v>362.5</v>
      </c>
      <c r="J60" s="11" t="s">
        <v>32</v>
      </c>
      <c r="K60" s="11" t="s">
        <v>273</v>
      </c>
      <c r="L60" s="12"/>
      <c r="M60" s="11" t="s">
        <v>274</v>
      </c>
      <c r="N60" s="13" t="s">
        <v>62</v>
      </c>
      <c r="O60" s="13" t="e">
        <f>VLOOKUP(A60,'[1] 07-06-26'!$A$2:$T$87,20,0)</f>
        <v>#N/A</v>
      </c>
      <c r="P60" s="13" t="e">
        <f>VLOOKUP(A60,'[1]14-06-26'!$A$2:$T$83,20,0)</f>
        <v>#N/A</v>
      </c>
      <c r="Q60" s="13" t="e">
        <f>VLOOKUP(A60,'[1]21-06-26'!$A$2:$T$108,20,0)</f>
        <v>#N/A</v>
      </c>
      <c r="R60" s="13" t="e">
        <f>VLOOKUP(A60,'[1]28-06-26'!$A$2:$T$93,20,0)</f>
        <v>#N/A</v>
      </c>
      <c r="S60" s="13" t="e">
        <f>VLOOKUP(A60,'[2]05-07-26'!$A$2:$T$85,20,0)</f>
        <v>#N/A</v>
      </c>
      <c r="T60" s="13" t="s">
        <v>423</v>
      </c>
      <c r="U60" s="13">
        <v>3</v>
      </c>
      <c r="V60" s="13"/>
      <c r="W60" s="13"/>
      <c r="X60" s="13"/>
      <c r="Y60" s="13"/>
      <c r="Z60" s="13" t="s">
        <v>403</v>
      </c>
      <c r="AA60" s="13"/>
      <c r="AB60" s="13"/>
      <c r="AC60" s="13"/>
      <c r="AD60" s="13"/>
    </row>
    <row r="61" spans="1:30" ht="119.3" hidden="1" customHeight="1" x14ac:dyDescent="0.3">
      <c r="A61" s="1">
        <v>1455</v>
      </c>
      <c r="B61" s="27" t="s">
        <v>275</v>
      </c>
      <c r="C61" s="12">
        <v>9811105056</v>
      </c>
      <c r="D61" s="11" t="s">
        <v>276</v>
      </c>
      <c r="E61" s="11" t="s">
        <v>96</v>
      </c>
      <c r="F61" s="11" t="s">
        <v>70</v>
      </c>
      <c r="G61" s="10" t="s">
        <v>19</v>
      </c>
      <c r="H61" s="12">
        <v>2300</v>
      </c>
      <c r="I61" s="12">
        <v>287.5</v>
      </c>
      <c r="J61" s="11" t="s">
        <v>136</v>
      </c>
      <c r="K61" s="11" t="s">
        <v>277</v>
      </c>
      <c r="L61" s="12"/>
      <c r="M61" s="12"/>
      <c r="N61" s="13" t="s">
        <v>392</v>
      </c>
      <c r="O61" s="13" t="str">
        <f>VLOOKUP(A61,'[1] 07-06-26'!$A$2:$T$87,20,0)</f>
        <v>Sunflower ( 12 Inch ) 3     FF Sachet + Grass</v>
      </c>
      <c r="P61" s="13" t="str">
        <f>VLOOKUP(A61,'[1]14-06-26'!$A$2:$T$83,20,0)</f>
        <v>O Asiatic ( 14 Inch ) 2     Grass</v>
      </c>
      <c r="Q61" s="13" t="str">
        <f>VLOOKUP(A61,'[1]21-06-26'!$A$2:$T$108,20,0)</f>
        <v>B Daisy ( 12 Inch ) 11     Grass</v>
      </c>
      <c r="R61" s="13" t="str">
        <f>VLOOKUP(A61,'[1]28-06-26'!$A$2:$T$93,20,0)</f>
        <v>P n W Glad ( 14 Inch ) 11     Grass</v>
      </c>
      <c r="S61" s="13" t="str">
        <f>VLOOKUP(A61,'[2]05-07-26'!$A$2:$T$85,20,0)</f>
        <v>Rajni ( 14 Inch ) 11     Grass</v>
      </c>
      <c r="T61" s="13" t="s">
        <v>398</v>
      </c>
      <c r="U61" s="13">
        <v>11</v>
      </c>
      <c r="V61" s="13"/>
      <c r="W61" s="13"/>
      <c r="X61" s="13"/>
      <c r="Y61" s="13"/>
      <c r="Z61" s="13" t="s">
        <v>402</v>
      </c>
      <c r="AA61" s="13"/>
      <c r="AB61" s="13"/>
      <c r="AC61" s="13"/>
      <c r="AD61" s="13"/>
    </row>
    <row r="62" spans="1:30" ht="119.3" hidden="1" customHeight="1" x14ac:dyDescent="0.3">
      <c r="A62" s="1">
        <v>190</v>
      </c>
      <c r="B62" s="9" t="s">
        <v>279</v>
      </c>
      <c r="C62" s="28">
        <v>9810045432</v>
      </c>
      <c r="D62" s="8" t="s">
        <v>280</v>
      </c>
      <c r="E62" s="11" t="s">
        <v>83</v>
      </c>
      <c r="F62" s="8" t="s">
        <v>261</v>
      </c>
      <c r="G62" s="10" t="s">
        <v>19</v>
      </c>
      <c r="H62" s="12">
        <v>1450</v>
      </c>
      <c r="I62" s="12">
        <v>362.5</v>
      </c>
      <c r="J62" s="8" t="s">
        <v>32</v>
      </c>
      <c r="K62" s="8" t="s">
        <v>281</v>
      </c>
      <c r="L62" s="11"/>
      <c r="M62" s="11" t="s">
        <v>282</v>
      </c>
      <c r="N62" s="13" t="s">
        <v>283</v>
      </c>
      <c r="O62" s="13" t="e">
        <f>VLOOKUP(A62,'[1] 07-06-26'!$A$2:$T$87,20,0)</f>
        <v>#N/A</v>
      </c>
      <c r="P62" s="13" t="e">
        <f>VLOOKUP(A62,'[1]14-06-26'!$A$2:$T$83,20,0)</f>
        <v>#N/A</v>
      </c>
      <c r="Q62" s="13" t="e">
        <f>VLOOKUP(A62,'[1]21-06-26'!$A$2:$T$108,20,0)</f>
        <v>#N/A</v>
      </c>
      <c r="R62" s="13" t="e">
        <f>VLOOKUP(A62,'[1]28-06-26'!$A$2:$T$93,20,0)</f>
        <v>#N/A</v>
      </c>
      <c r="S62" s="13" t="e">
        <f>VLOOKUP(A62,'[2]05-07-26'!$A$2:$T$85,20,0)</f>
        <v>#N/A</v>
      </c>
      <c r="T62" s="13" t="s">
        <v>398</v>
      </c>
      <c r="U62" s="13">
        <v>16</v>
      </c>
      <c r="V62" s="13"/>
      <c r="W62" s="13"/>
      <c r="X62" s="13"/>
      <c r="Y62" s="13"/>
      <c r="Z62" s="13" t="s">
        <v>402</v>
      </c>
      <c r="AA62" s="13"/>
      <c r="AB62" s="13"/>
      <c r="AC62" s="13"/>
      <c r="AD62" s="13"/>
    </row>
    <row r="63" spans="1:30" ht="119.3" hidden="1" customHeight="1" x14ac:dyDescent="0.3">
      <c r="A63" s="1">
        <v>3238</v>
      </c>
      <c r="B63" s="9" t="s">
        <v>284</v>
      </c>
      <c r="C63" s="12">
        <v>9910437766</v>
      </c>
      <c r="D63" s="11" t="s">
        <v>285</v>
      </c>
      <c r="E63" s="11" t="s">
        <v>38</v>
      </c>
      <c r="F63" s="11" t="s">
        <v>18</v>
      </c>
      <c r="G63" s="10" t="s">
        <v>19</v>
      </c>
      <c r="H63" s="12">
        <v>1450</v>
      </c>
      <c r="I63" s="12">
        <v>362.5</v>
      </c>
      <c r="J63" s="8" t="s">
        <v>32</v>
      </c>
      <c r="K63" s="11" t="s">
        <v>286</v>
      </c>
      <c r="L63" s="12"/>
      <c r="M63" s="12"/>
      <c r="N63" s="13" t="s">
        <v>283</v>
      </c>
      <c r="O63" s="13" t="str">
        <f>VLOOKUP(A63,'[1] 07-06-26'!$A$2:$T$87,20,0)</f>
        <v>P n W Glad ( 14 Inch ) 16     Grass</v>
      </c>
      <c r="P63" s="13" t="str">
        <f>VLOOKUP(A63,'[1]14-06-26'!$A$2:$T$83,20,0)</f>
        <v>P n Y Spray Daisy ( 14 Inch ) 5     FF Sachet + Grass</v>
      </c>
      <c r="Q63" s="13" t="e">
        <f>VLOOKUP(A63,'[1]21-06-26'!$A$2:$T$108,20,0)</f>
        <v>#N/A</v>
      </c>
      <c r="R63" s="13" t="str">
        <f>VLOOKUP(A63,'[1]28-06-26'!$A$2:$T$93,20,0)</f>
        <v>Sunflower ( 12 Inch ) 4     FF Sachet + Grass</v>
      </c>
      <c r="S63" s="13" t="str">
        <f>VLOOKUP(A63,'[2]05-07-26'!$A$2:$T$85,20,0)</f>
        <v>P Asiatic ( 14 Inch ) 3     Grass</v>
      </c>
      <c r="T63" s="13" t="s">
        <v>398</v>
      </c>
      <c r="U63" s="13">
        <v>16</v>
      </c>
      <c r="V63" s="13"/>
      <c r="W63" s="13"/>
      <c r="X63" s="13"/>
      <c r="Y63" s="13"/>
      <c r="Z63" s="13" t="s">
        <v>402</v>
      </c>
      <c r="AA63" s="13"/>
      <c r="AB63" s="13"/>
      <c r="AC63" s="13"/>
      <c r="AD63" s="13"/>
    </row>
    <row r="64" spans="1:30" ht="119.3" hidden="1" customHeight="1" x14ac:dyDescent="0.3">
      <c r="A64" s="1">
        <v>1470</v>
      </c>
      <c r="B64" s="9" t="s">
        <v>287</v>
      </c>
      <c r="C64" s="12">
        <v>9582406060</v>
      </c>
      <c r="D64" s="11" t="s">
        <v>288</v>
      </c>
      <c r="E64" s="11" t="s">
        <v>96</v>
      </c>
      <c r="F64" s="11" t="s">
        <v>18</v>
      </c>
      <c r="G64" s="10" t="s">
        <v>19</v>
      </c>
      <c r="H64" s="12">
        <v>2750</v>
      </c>
      <c r="I64" s="12">
        <v>687.5</v>
      </c>
      <c r="J64" s="8" t="s">
        <v>20</v>
      </c>
      <c r="K64" s="11" t="s">
        <v>289</v>
      </c>
      <c r="L64" s="12"/>
      <c r="M64" s="12"/>
      <c r="N64" s="13" t="s">
        <v>290</v>
      </c>
      <c r="O64" s="13" t="e">
        <f>VLOOKUP(A64,'[1] 07-06-26'!$A$2:$T$87,20,0)</f>
        <v>#N/A</v>
      </c>
      <c r="P64" s="13" t="e">
        <f>VLOOKUP(A64,'[1]14-06-26'!$A$2:$T$83,20,0)</f>
        <v>#N/A</v>
      </c>
      <c r="Q64" s="13" t="str">
        <f>VLOOKUP(A64,'[1]21-06-26'!$A$2:$T$108,20,0)</f>
        <v>O Asiatic ( 14 Inch )' 6     2 Gypsola</v>
      </c>
      <c r="R64" s="13" t="str">
        <f>VLOOKUP(A64,'[1]28-06-26'!$A$2:$T$93,20,0)</f>
        <v>P n W Glad ( 14 Inch ) 32     2 Limonium</v>
      </c>
      <c r="S64" s="13" t="str">
        <f>VLOOKUP(A64,'[2]05-07-26'!$A$2:$T$85,20,0)</f>
        <v>P n Y Spray Daisy ( 14 Inch ) 10     2 Gypsola</v>
      </c>
      <c r="T64" s="13" t="s">
        <v>396</v>
      </c>
      <c r="U64" s="13">
        <v>32</v>
      </c>
      <c r="V64" s="13"/>
      <c r="W64" s="13"/>
      <c r="X64" s="13"/>
      <c r="Y64" s="13"/>
      <c r="Z64" s="13" t="s">
        <v>428</v>
      </c>
      <c r="AA64" s="13"/>
      <c r="AB64" s="13"/>
      <c r="AC64" s="13"/>
      <c r="AD64" s="13"/>
    </row>
    <row r="65" spans="1:30" ht="119.3" hidden="1" customHeight="1" x14ac:dyDescent="0.3">
      <c r="A65" s="1">
        <v>1978</v>
      </c>
      <c r="B65" s="9" t="s">
        <v>291</v>
      </c>
      <c r="C65" s="12" t="s">
        <v>292</v>
      </c>
      <c r="D65" s="11" t="s">
        <v>293</v>
      </c>
      <c r="E65" s="11" t="s">
        <v>83</v>
      </c>
      <c r="F65" s="11" t="s">
        <v>70</v>
      </c>
      <c r="G65" s="26" t="s">
        <v>142</v>
      </c>
      <c r="H65" s="12">
        <v>4850</v>
      </c>
      <c r="I65" s="12">
        <v>606.25</v>
      </c>
      <c r="J65" s="17" t="s">
        <v>56</v>
      </c>
      <c r="K65" s="11" t="s">
        <v>294</v>
      </c>
      <c r="L65" s="11" t="s">
        <v>295</v>
      </c>
      <c r="M65" s="11" t="s">
        <v>296</v>
      </c>
      <c r="N65" s="13" t="s">
        <v>297</v>
      </c>
      <c r="O65" s="13" t="str">
        <f>VLOOKUP(A65,'[1] 07-06-26'!$A$2:$T$87,20,0)</f>
        <v>W Asiatic ( 14 Inch ) 2 Mix Alstroemeria ( 12 Inch ) 10 P n W Glad ( 14 Inch ) 10 FF Sachet + Grass</v>
      </c>
      <c r="P65" s="13" t="str">
        <f>VLOOKUP(A65,'[1]14-06-26'!$A$2:$T$83,20,0)</f>
        <v>O Asiatic ( 14 Inch ) 2 P n W Spray Daisy  14 Inch ) 4 Rajni ( 14 Inch ) 12 Grass</v>
      </c>
      <c r="Q65" s="13" t="str">
        <f>VLOOKUP(A65,'[1]21-06-26'!$A$2:$T$108,20,0)</f>
        <v>P Asiatic ( 14 Inch ) 2 B Daisy ( 12 Inch ) 6 Pur n P Car ( 14 Inch ) 10 Grass</v>
      </c>
      <c r="R65" s="13" t="str">
        <f>VLOOKUP(A65,'[1]28-06-26'!$A$2:$T$93,20,0)</f>
        <v>Y Asiatic ( 14 Inch ) 2 B Daisy ( 12 Inch ) 6 P n W Glad ( 14 Inch ) 12 Grass</v>
      </c>
      <c r="S65" s="13" t="str">
        <f>VLOOKUP(A65,'[2]05-07-26'!$A$2:$T$85,20,0)</f>
        <v>P Asiatic ( 14 Inch ) 2 B Daisy ( 12 Inch ) 6 Rajni ( 14 Inch ) 10 Grass</v>
      </c>
      <c r="T65" s="13" t="s">
        <v>394</v>
      </c>
      <c r="U65" s="13">
        <v>2</v>
      </c>
      <c r="V65" s="13" t="s">
        <v>401</v>
      </c>
      <c r="W65" s="13">
        <v>3</v>
      </c>
      <c r="X65" s="13" t="s">
        <v>398</v>
      </c>
      <c r="Y65" s="13">
        <v>12</v>
      </c>
      <c r="Z65" s="13" t="s">
        <v>403</v>
      </c>
      <c r="AA65" s="13"/>
      <c r="AB65" s="13"/>
      <c r="AC65" s="13"/>
      <c r="AD65" s="13"/>
    </row>
    <row r="66" spans="1:30" ht="119.3" hidden="1" customHeight="1" x14ac:dyDescent="0.3">
      <c r="A66" s="1">
        <v>2639</v>
      </c>
      <c r="B66" s="9" t="s">
        <v>298</v>
      </c>
      <c r="C66" s="12">
        <v>9799191916</v>
      </c>
      <c r="D66" s="11" t="s">
        <v>299</v>
      </c>
      <c r="E66" s="11" t="s">
        <v>76</v>
      </c>
      <c r="F66" s="11" t="s">
        <v>18</v>
      </c>
      <c r="G66" s="10" t="s">
        <v>19</v>
      </c>
      <c r="H66" s="12">
        <v>1450</v>
      </c>
      <c r="I66" s="12">
        <v>487.5</v>
      </c>
      <c r="J66" s="8" t="s">
        <v>32</v>
      </c>
      <c r="K66" s="11" t="s">
        <v>300</v>
      </c>
      <c r="L66" s="11" t="s">
        <v>301</v>
      </c>
      <c r="M66" s="11" t="s">
        <v>302</v>
      </c>
      <c r="N66" s="13" t="s">
        <v>283</v>
      </c>
      <c r="O66" s="13" t="str">
        <f>VLOOKUP(A66,'[1] 07-06-26'!$A$2:$T$87,20,0)</f>
        <v>Mix Alstroemeria ( 12 Inch ) 16     FF Sachet + Grass</v>
      </c>
      <c r="P66" s="13" t="str">
        <f>VLOOKUP(A66,'[1]14-06-26'!$A$2:$T$83,20,0)</f>
        <v>Pur n P Car ( 14 Inch ) 16     FF Sachet + Grass</v>
      </c>
      <c r="Q66" s="13" t="str">
        <f>VLOOKUP(A66,'[1]21-06-26'!$A$2:$T$108,20,0)</f>
        <v>P n W Glad ( 14 Inch ) 16     Grass</v>
      </c>
      <c r="R66" s="13" t="str">
        <f>VLOOKUP(A66,'[1]28-06-26'!$A$2:$T$93,20,0)</f>
        <v>Sunflower ( 12 Inch ) 4     FF Sachet + Grass</v>
      </c>
      <c r="S66" s="13" t="str">
        <f>VLOOKUP(A66,'[2]05-07-26'!$A$2:$T$85,20,0)</f>
        <v>Rajni ( 14 Inch ) 16     Grass</v>
      </c>
      <c r="T66" s="13" t="s">
        <v>395</v>
      </c>
      <c r="U66" s="13">
        <v>5</v>
      </c>
      <c r="V66" s="13"/>
      <c r="W66" s="13"/>
      <c r="X66" s="13"/>
      <c r="Y66" s="13"/>
      <c r="Z66" s="13" t="s">
        <v>402</v>
      </c>
      <c r="AA66" s="13"/>
      <c r="AB66" s="13"/>
      <c r="AC66" s="13"/>
      <c r="AD66" s="13"/>
    </row>
    <row r="67" spans="1:30" ht="119.3" hidden="1" customHeight="1" x14ac:dyDescent="0.3">
      <c r="A67" s="8" t="s">
        <v>303</v>
      </c>
      <c r="B67" s="9" t="s">
        <v>304</v>
      </c>
      <c r="C67" s="12">
        <v>9799191916</v>
      </c>
      <c r="D67" s="11" t="s">
        <v>299</v>
      </c>
      <c r="E67" s="11" t="s">
        <v>76</v>
      </c>
      <c r="F67" s="11" t="s">
        <v>18</v>
      </c>
      <c r="G67" s="11" t="s">
        <v>305</v>
      </c>
      <c r="H67" s="12">
        <v>2600</v>
      </c>
      <c r="I67" s="12">
        <v>2600</v>
      </c>
      <c r="J67" s="8" t="s">
        <v>306</v>
      </c>
      <c r="K67" s="11" t="s">
        <v>307</v>
      </c>
      <c r="L67" s="12"/>
      <c r="M67" s="12"/>
      <c r="N67" s="13" t="s">
        <v>323</v>
      </c>
      <c r="O67" s="13" t="e">
        <f>VLOOKUP(A67,'[1] 07-06-26'!$A$2:$T$87,20,0)</f>
        <v>#N/A</v>
      </c>
      <c r="P67" s="13" t="e">
        <f>VLOOKUP(A67,'[1]14-06-26'!$A$2:$T$83,20,0)</f>
        <v>#N/A</v>
      </c>
      <c r="Q67" s="13" t="e">
        <f>VLOOKUP(A67,'[1]21-06-26'!$A$2:$T$108,20,0)</f>
        <v>#N/A</v>
      </c>
      <c r="R67" s="13" t="e">
        <f>VLOOKUP(A67,'[1]28-06-26'!$A$2:$T$93,20,0)</f>
        <v>#N/A</v>
      </c>
      <c r="S67" s="13" t="e">
        <f>VLOOKUP(A67,'[2]05-07-26'!$A$2:$T$85,20,0)</f>
        <v>#N/A</v>
      </c>
      <c r="T67" s="13" t="s">
        <v>420</v>
      </c>
      <c r="U67" s="13" t="s">
        <v>405</v>
      </c>
      <c r="V67" s="13" t="s">
        <v>406</v>
      </c>
      <c r="W67" s="13"/>
      <c r="X67" s="13"/>
      <c r="Y67" s="13"/>
      <c r="Z67" s="13"/>
      <c r="AA67" s="13"/>
      <c r="AB67" s="13"/>
      <c r="AC67" s="13"/>
      <c r="AD67" s="13"/>
    </row>
    <row r="68" spans="1:30" ht="119.3" customHeight="1" x14ac:dyDescent="0.3">
      <c r="A68" s="8" t="s">
        <v>308</v>
      </c>
      <c r="B68" s="9" t="s">
        <v>309</v>
      </c>
      <c r="C68" s="12">
        <v>9310519349</v>
      </c>
      <c r="D68" s="11" t="s">
        <v>310</v>
      </c>
      <c r="E68" s="11" t="s">
        <v>25</v>
      </c>
      <c r="F68" s="11" t="s">
        <v>261</v>
      </c>
      <c r="G68" s="10" t="s">
        <v>311</v>
      </c>
      <c r="H68" s="12">
        <v>2495</v>
      </c>
      <c r="I68" s="12">
        <v>2495</v>
      </c>
      <c r="J68" s="8" t="s">
        <v>306</v>
      </c>
      <c r="K68" s="11" t="s">
        <v>312</v>
      </c>
      <c r="L68" s="12"/>
      <c r="M68" s="12"/>
      <c r="N68" s="13" t="s">
        <v>324</v>
      </c>
      <c r="O68" s="13" t="e">
        <f>VLOOKUP(A68,'[1] 07-06-26'!$A$2:$T$87,20,0)</f>
        <v>#N/A</v>
      </c>
      <c r="P68" s="13" t="e">
        <f>VLOOKUP(A68,'[1]14-06-26'!$A$2:$T$83,20,0)</f>
        <v>#N/A</v>
      </c>
      <c r="Q68" s="13" t="e">
        <f>VLOOKUP(A68,'[1]21-06-26'!$A$2:$T$108,20,0)</f>
        <v>#N/A</v>
      </c>
      <c r="R68" s="13" t="e">
        <f>VLOOKUP(A68,'[1]28-06-26'!$A$2:$T$93,20,0)</f>
        <v>#N/A</v>
      </c>
      <c r="S68" s="13" t="e">
        <f>VLOOKUP(A68,'[2]05-07-26'!$A$2:$T$85,20,0)</f>
        <v>#N/A</v>
      </c>
      <c r="T68" s="13" t="s">
        <v>407</v>
      </c>
      <c r="U68" s="13" t="s">
        <v>408</v>
      </c>
      <c r="V68" s="13" t="s">
        <v>409</v>
      </c>
      <c r="W68" s="13"/>
      <c r="X68" s="13"/>
      <c r="Y68" s="13"/>
      <c r="Z68" s="13"/>
      <c r="AA68" s="13"/>
      <c r="AB68" s="13"/>
      <c r="AC68" s="13"/>
      <c r="AD68" s="13"/>
    </row>
    <row r="69" spans="1:30" ht="119.3" hidden="1" customHeight="1" x14ac:dyDescent="0.3">
      <c r="A69" s="8" t="s">
        <v>313</v>
      </c>
      <c r="B69" s="9" t="s">
        <v>314</v>
      </c>
      <c r="C69" s="12">
        <v>9818774223</v>
      </c>
      <c r="D69" s="11" t="s">
        <v>315</v>
      </c>
      <c r="E69" s="11" t="s">
        <v>25</v>
      </c>
      <c r="F69" s="11" t="s">
        <v>18</v>
      </c>
      <c r="G69" s="11" t="s">
        <v>316</v>
      </c>
      <c r="H69" s="12">
        <v>920</v>
      </c>
      <c r="I69" s="12">
        <v>920</v>
      </c>
      <c r="J69" s="11" t="s">
        <v>306</v>
      </c>
      <c r="K69" s="11" t="s">
        <v>317</v>
      </c>
      <c r="L69" s="12"/>
      <c r="M69" s="12"/>
      <c r="N69" s="13" t="s">
        <v>325</v>
      </c>
      <c r="O69" s="13" t="e">
        <f>VLOOKUP(A69,'[1] 07-06-26'!$A$2:$T$87,20,0)</f>
        <v>#N/A</v>
      </c>
      <c r="P69" s="13" t="e">
        <f>VLOOKUP(A69,'[1]14-06-26'!$A$2:$T$83,20,0)</f>
        <v>#N/A</v>
      </c>
      <c r="Q69" s="13" t="e">
        <f>VLOOKUP(A69,'[1]21-06-26'!$A$2:$T$108,20,0)</f>
        <v>#N/A</v>
      </c>
      <c r="R69" s="13" t="e">
        <f>VLOOKUP(A69,'[1]28-06-26'!$A$2:$T$93,20,0)</f>
        <v>#N/A</v>
      </c>
      <c r="S69" s="13" t="e">
        <f>VLOOKUP(A69,'[2]05-07-26'!$A$2:$T$85,20,0)</f>
        <v>#N/A</v>
      </c>
      <c r="T69" s="13" t="s">
        <v>417</v>
      </c>
      <c r="U69" s="13" t="s">
        <v>418</v>
      </c>
      <c r="V69" s="13" t="s">
        <v>406</v>
      </c>
      <c r="W69" s="13" t="s">
        <v>419</v>
      </c>
      <c r="X69" s="13"/>
      <c r="Y69" s="13"/>
      <c r="Z69" s="13"/>
      <c r="AA69" s="13"/>
      <c r="AB69" s="13"/>
      <c r="AC69" s="13"/>
      <c r="AD69" s="13"/>
    </row>
    <row r="70" spans="1:30" ht="119.3" hidden="1" customHeight="1" x14ac:dyDescent="0.3">
      <c r="A70" s="8" t="s">
        <v>318</v>
      </c>
      <c r="B70" s="9" t="s">
        <v>319</v>
      </c>
      <c r="C70" s="12">
        <v>9899072906</v>
      </c>
      <c r="D70" s="11" t="s">
        <v>320</v>
      </c>
      <c r="E70" s="11" t="s">
        <v>321</v>
      </c>
      <c r="F70" s="11" t="s">
        <v>18</v>
      </c>
      <c r="G70" s="11" t="s">
        <v>316</v>
      </c>
      <c r="H70" s="12">
        <v>680</v>
      </c>
      <c r="I70" s="12">
        <v>680</v>
      </c>
      <c r="J70" s="11" t="s">
        <v>306</v>
      </c>
      <c r="K70" s="11" t="s">
        <v>322</v>
      </c>
      <c r="L70" s="12"/>
      <c r="M70" s="12"/>
      <c r="N70" s="13" t="s">
        <v>326</v>
      </c>
      <c r="O70" s="13" t="e">
        <f>VLOOKUP(A70,'[1] 07-06-26'!$A$2:$T$87,20,0)</f>
        <v>#N/A</v>
      </c>
      <c r="P70" s="13" t="e">
        <f>VLOOKUP(A70,'[1]14-06-26'!$A$2:$T$83,20,0)</f>
        <v>#N/A</v>
      </c>
      <c r="Q70" s="13" t="e">
        <f>VLOOKUP(A70,'[1]21-06-26'!$A$2:$T$108,20,0)</f>
        <v>#N/A</v>
      </c>
      <c r="R70" s="13" t="e">
        <f>VLOOKUP(A70,'[1]28-06-26'!$A$2:$T$93,20,0)</f>
        <v>#N/A</v>
      </c>
      <c r="S70" s="13" t="e">
        <f>VLOOKUP(A70,'[2]05-07-26'!$A$2:$T$85,20,0)</f>
        <v>#N/A</v>
      </c>
      <c r="T70" s="13" t="s">
        <v>410</v>
      </c>
      <c r="U70" s="13" t="s">
        <v>411</v>
      </c>
      <c r="V70" s="13"/>
      <c r="W70" s="13"/>
      <c r="X70" s="13"/>
      <c r="Y70" s="13"/>
      <c r="Z70" s="13" t="s">
        <v>412</v>
      </c>
      <c r="AA70" s="13"/>
      <c r="AB70" s="13"/>
      <c r="AC70" s="13"/>
      <c r="AD70" s="13"/>
    </row>
    <row r="71" spans="1:30" ht="119.3" hidden="1" customHeight="1" x14ac:dyDescent="0.3">
      <c r="A71" s="1">
        <v>1656</v>
      </c>
      <c r="B71" s="9" t="s">
        <v>327</v>
      </c>
      <c r="C71" s="15">
        <v>9560609907</v>
      </c>
      <c r="D71" s="11" t="s">
        <v>328</v>
      </c>
      <c r="E71" s="11" t="s">
        <v>17</v>
      </c>
      <c r="F71" s="11" t="s">
        <v>70</v>
      </c>
      <c r="G71" s="11" t="s">
        <v>97</v>
      </c>
      <c r="H71" s="12">
        <v>1450</v>
      </c>
      <c r="I71" s="12">
        <v>362.5</v>
      </c>
      <c r="J71" s="8" t="s">
        <v>32</v>
      </c>
      <c r="K71" s="11" t="s">
        <v>329</v>
      </c>
      <c r="L71" s="12"/>
      <c r="M71" s="12"/>
      <c r="N71" s="13" t="s">
        <v>283</v>
      </c>
      <c r="O71" s="13" t="e">
        <f>VLOOKUP(A71,'[1] 07-06-26'!$A$2:$T$87,20,0)</f>
        <v>#N/A</v>
      </c>
      <c r="P71" s="13" t="e">
        <f>VLOOKUP(A71,'[1]14-06-26'!$A$2:$T$83,20,0)</f>
        <v>#N/A</v>
      </c>
      <c r="Q71" s="13" t="e">
        <f>VLOOKUP(A71,'[1]21-06-26'!$A$2:$T$108,20,0)</f>
        <v>#N/A</v>
      </c>
      <c r="R71" s="13" t="e">
        <f>VLOOKUP(A71,'[1]28-06-26'!$A$2:$T$93,20,0)</f>
        <v>#N/A</v>
      </c>
      <c r="S71" s="13" t="e">
        <f>VLOOKUP(A71,'[2]05-07-26'!$A$2:$T$85,20,0)</f>
        <v>#N/A</v>
      </c>
      <c r="T71" s="13" t="s">
        <v>398</v>
      </c>
      <c r="U71" s="13">
        <v>16</v>
      </c>
      <c r="V71" s="13"/>
      <c r="W71" s="13"/>
      <c r="X71" s="13"/>
      <c r="Y71" s="13"/>
      <c r="Z71" s="13" t="s">
        <v>402</v>
      </c>
      <c r="AA71" s="13"/>
      <c r="AB71" s="13"/>
      <c r="AC71" s="13"/>
      <c r="AD71" s="13"/>
    </row>
    <row r="72" spans="1:30" ht="119.3" hidden="1" customHeight="1" x14ac:dyDescent="0.3">
      <c r="A72" s="8">
        <v>2869</v>
      </c>
      <c r="B72" s="9" t="s">
        <v>330</v>
      </c>
      <c r="C72" s="12">
        <v>8130245666</v>
      </c>
      <c r="D72" s="11" t="s">
        <v>331</v>
      </c>
      <c r="E72" s="11" t="s">
        <v>83</v>
      </c>
      <c r="F72" s="11" t="s">
        <v>18</v>
      </c>
      <c r="G72" s="11" t="s">
        <v>88</v>
      </c>
      <c r="H72" s="12">
        <v>2750</v>
      </c>
      <c r="I72" s="12">
        <v>687.5</v>
      </c>
      <c r="J72" s="11" t="s">
        <v>20</v>
      </c>
      <c r="K72" s="12"/>
      <c r="L72" s="12"/>
      <c r="M72" s="12"/>
      <c r="N72" s="13" t="s">
        <v>290</v>
      </c>
      <c r="O72" s="13" t="str">
        <f>VLOOKUP(A72,'[1] 07-06-26'!$A$2:$T$87,20,0)</f>
        <v>Pur n P Eustoma ( 12 Inch ) 4 Mix Alstroemeria ( 12 Inch ) 16   2 Gypsola + FF sachet</v>
      </c>
      <c r="P72" s="13" t="str">
        <f>VLOOKUP(A72,'[1]14-06-26'!$A$2:$T$83,20,0)</f>
        <v>O Asiatic ( 14 Inch ) 3 Pur n P Car ( 14 Inch ) 16   2 Limonium</v>
      </c>
      <c r="Q72" s="13" t="str">
        <f>VLOOKUP(A72,'[1]21-06-26'!$A$2:$T$108,20,0)</f>
        <v>P n Y Spray Daisy ( 14 Inch ) 5 B Daisy ( 12 Inch ) 16   2 Gypsola + FF Sachet</v>
      </c>
      <c r="R72" s="13" t="str">
        <f>VLOOKUP(A72,'[1]28-06-26'!$A$2:$T$93,20,0)</f>
        <v>Sunflower ( 12 Inch ) 4 P n W Glad ( 14 Inch ) 16   2 Limonium + FF sachet</v>
      </c>
      <c r="S72" s="13" t="str">
        <f>VLOOKUP(A72,'[2]05-07-26'!$A$2:$T$85,20,0)</f>
        <v>BOP 3 Rajni ( 14 Inch ) 16   2 Gypsola</v>
      </c>
      <c r="T72" s="13" t="s">
        <v>423</v>
      </c>
      <c r="U72" s="13">
        <v>3</v>
      </c>
      <c r="V72" s="13" t="s">
        <v>398</v>
      </c>
      <c r="W72" s="13">
        <v>16</v>
      </c>
      <c r="X72" s="13"/>
      <c r="Y72" s="13"/>
      <c r="Z72" s="13" t="s">
        <v>428</v>
      </c>
      <c r="AA72" s="13"/>
      <c r="AB72" s="13"/>
      <c r="AC72" s="13"/>
      <c r="AD72" s="13"/>
    </row>
    <row r="73" spans="1:30" ht="119.3" hidden="1" customHeight="1" x14ac:dyDescent="0.3">
      <c r="A73" s="1">
        <v>571</v>
      </c>
      <c r="B73" s="9" t="s">
        <v>332</v>
      </c>
      <c r="C73" s="1">
        <v>9873099320</v>
      </c>
      <c r="D73" s="1" t="s">
        <v>333</v>
      </c>
      <c r="E73" s="8" t="s">
        <v>17</v>
      </c>
      <c r="F73" s="8" t="s">
        <v>70</v>
      </c>
      <c r="G73" s="10" t="s">
        <v>19</v>
      </c>
      <c r="H73" s="12">
        <v>1600</v>
      </c>
      <c r="I73" s="12">
        <v>200</v>
      </c>
      <c r="J73" s="11" t="s">
        <v>101</v>
      </c>
      <c r="K73" s="8" t="s">
        <v>334</v>
      </c>
      <c r="L73" s="12"/>
      <c r="M73" s="12"/>
      <c r="N73" s="13" t="s">
        <v>335</v>
      </c>
      <c r="O73" s="13" t="str">
        <f>VLOOKUP(A73,'[1] 07-06-26'!$A$2:$T$87,20,0)</f>
        <v>Y Spray Daisy ( 14 Inch ) 2     FF Sachet + Grass</v>
      </c>
      <c r="P73" s="13" t="str">
        <f>VLOOKUP(A73,'[1]14-06-26'!$A$2:$T$83,20,0)</f>
        <v>Rajni ( 14 Inch ) 7     Grass</v>
      </c>
      <c r="Q73" s="13" t="str">
        <f>VLOOKUP(A73,'[1]21-06-26'!$A$2:$T$108,20,0)</f>
        <v>B Daisy ( 12 Inch ) 7     Grass</v>
      </c>
      <c r="R73" s="13" t="str">
        <f>VLOOKUP(A73,'[1]28-06-26'!$A$2:$T$93,20,0)</f>
        <v>P Spray Daisy ( 14 Inch ) 2     FF Sachet + Grass</v>
      </c>
      <c r="S73" s="13" t="str">
        <f>VLOOKUP(A73,'[2]05-07-26'!$A$2:$T$85,20,0)</f>
        <v>Rajni ( 14 Inch ) 7     Grass</v>
      </c>
      <c r="T73" s="13" t="s">
        <v>399</v>
      </c>
      <c r="U73" s="13">
        <v>7</v>
      </c>
      <c r="V73" s="13"/>
      <c r="W73" s="13"/>
      <c r="X73" s="13"/>
      <c r="Y73" s="13"/>
      <c r="Z73" s="13" t="s">
        <v>402</v>
      </c>
      <c r="AA73" s="13"/>
      <c r="AB73" s="13"/>
      <c r="AC73" s="13"/>
      <c r="AD73" s="13"/>
    </row>
    <row r="74" spans="1:30" ht="119.3" hidden="1" customHeight="1" x14ac:dyDescent="0.3">
      <c r="A74" s="1">
        <v>945</v>
      </c>
      <c r="B74" s="9" t="s">
        <v>336</v>
      </c>
      <c r="C74" s="12">
        <v>9910984447</v>
      </c>
      <c r="D74" s="11" t="s">
        <v>337</v>
      </c>
      <c r="E74" s="8" t="s">
        <v>38</v>
      </c>
      <c r="F74" s="8" t="s">
        <v>18</v>
      </c>
      <c r="G74" s="10" t="s">
        <v>19</v>
      </c>
      <c r="H74" s="12">
        <v>1950</v>
      </c>
      <c r="I74" s="12">
        <v>487.5</v>
      </c>
      <c r="J74" s="11" t="s">
        <v>115</v>
      </c>
      <c r="K74" s="11" t="s">
        <v>338</v>
      </c>
      <c r="L74" s="12"/>
      <c r="M74" s="12"/>
      <c r="N74" s="13" t="s">
        <v>325</v>
      </c>
      <c r="O74" s="13" t="str">
        <f>VLOOKUP(A74,'[1] 07-06-26'!$A$2:$T$87,20,0)</f>
        <v>BOP 2 Mix Alstroemeria ( 12 Inch ) 11   FF Sachet + Grass</v>
      </c>
      <c r="P74" s="13" t="str">
        <f>VLOOKUP(A74,'[1]14-06-26'!$A$2:$T$83,20,0)</f>
        <v>O Asiatic ( 14 Inch ) 2 P n W Glad ( 14 Inch ) 11   Grass</v>
      </c>
      <c r="Q74" s="13" t="str">
        <f>VLOOKUP(A74,'[1]21-06-26'!$A$2:$T$108,20,0)</f>
        <v>P Eustoma ( 12 Inch ) 2 Rajni ( 14 Inch ) 11   Grass</v>
      </c>
      <c r="R74" s="13" t="str">
        <f>VLOOKUP(A74,'[1]28-06-26'!$A$2:$T$93,20,0)</f>
        <v>Sunflower ( 12 Inch ) 2 Pur n P Car ( 14 Inch ) 11   FF Sachet + Grass</v>
      </c>
      <c r="S74" s="13" t="str">
        <f>VLOOKUP(A74,'[2]05-07-26'!$A$2:$T$85,20,0)</f>
        <v>BOP 2 B Daisy ( 12 Inch ) 11   FF Sachet + Grass</v>
      </c>
      <c r="T74" s="13" t="s">
        <v>423</v>
      </c>
      <c r="U74" s="13">
        <v>2</v>
      </c>
      <c r="V74" s="13" t="s">
        <v>399</v>
      </c>
      <c r="W74" s="13">
        <v>10</v>
      </c>
      <c r="X74" s="13"/>
      <c r="Y74" s="13"/>
      <c r="Z74" s="13" t="s">
        <v>403</v>
      </c>
      <c r="AA74" s="13"/>
      <c r="AB74" s="13"/>
      <c r="AC74" s="13"/>
      <c r="AD74" s="13"/>
    </row>
    <row r="75" spans="1:30" ht="119.3" hidden="1" customHeight="1" x14ac:dyDescent="0.3">
      <c r="A75" s="8" t="s">
        <v>339</v>
      </c>
      <c r="B75" s="9" t="s">
        <v>340</v>
      </c>
      <c r="C75" s="12">
        <v>9999016333</v>
      </c>
      <c r="D75" s="11" t="s">
        <v>341</v>
      </c>
      <c r="E75" s="11" t="s">
        <v>25</v>
      </c>
      <c r="F75" s="11" t="s">
        <v>18</v>
      </c>
      <c r="G75" s="29" t="s">
        <v>106</v>
      </c>
      <c r="H75" s="12">
        <v>21400</v>
      </c>
      <c r="I75" s="12">
        <v>21400</v>
      </c>
      <c r="J75" s="11" t="s">
        <v>342</v>
      </c>
      <c r="K75" s="12"/>
      <c r="L75" s="12"/>
      <c r="M75" s="12"/>
      <c r="N75" s="13" t="s">
        <v>325</v>
      </c>
      <c r="O75" s="13" t="e">
        <f>VLOOKUP(A75,'[1] 07-06-26'!$A$2:$T$87,20,0)</f>
        <v>#N/A</v>
      </c>
      <c r="P75" s="13" t="e">
        <f>VLOOKUP(A75,'[1]14-06-26'!$A$2:$T$83,20,0)</f>
        <v>#N/A</v>
      </c>
      <c r="Q75" s="13" t="e">
        <f>VLOOKUP(A75,'[1]21-06-26'!$A$2:$T$108,20,0)</f>
        <v>#N/A</v>
      </c>
      <c r="R75" s="13" t="e">
        <f>VLOOKUP(A75,'[1]28-06-26'!$A$2:$T$93,20,0)</f>
        <v>#N/A</v>
      </c>
      <c r="S75" s="13" t="e">
        <f>VLOOKUP(A75,'[2]05-07-26'!$A$2:$T$85,20,0)</f>
        <v>#N/A</v>
      </c>
      <c r="T75" s="13" t="s">
        <v>482</v>
      </c>
      <c r="U75" s="13"/>
      <c r="V75" s="13"/>
      <c r="W75" s="13"/>
      <c r="X75" s="13"/>
      <c r="Y75" s="13"/>
      <c r="Z75" s="13"/>
      <c r="AA75" s="13"/>
      <c r="AB75" s="13"/>
      <c r="AC75" s="13"/>
      <c r="AD75" s="13"/>
    </row>
    <row r="76" spans="1:30" ht="119.3" hidden="1" customHeight="1" x14ac:dyDescent="0.3">
      <c r="A76" s="8" t="s">
        <v>343</v>
      </c>
      <c r="B76" s="9" t="s">
        <v>344</v>
      </c>
      <c r="C76" s="12">
        <v>9619927551</v>
      </c>
      <c r="D76" s="11" t="s">
        <v>345</v>
      </c>
      <c r="E76" s="11" t="s">
        <v>346</v>
      </c>
      <c r="F76" s="11" t="s">
        <v>18</v>
      </c>
      <c r="G76" s="11" t="s">
        <v>347</v>
      </c>
      <c r="H76" s="12">
        <v>750</v>
      </c>
      <c r="I76" s="12">
        <v>750</v>
      </c>
      <c r="J76" s="11" t="s">
        <v>306</v>
      </c>
      <c r="K76" s="11" t="s">
        <v>348</v>
      </c>
      <c r="L76" s="12"/>
      <c r="M76" s="12"/>
      <c r="N76" s="13" t="s">
        <v>326</v>
      </c>
      <c r="O76" s="13" t="e">
        <f>VLOOKUP(A76,'[1] 07-06-26'!$A$2:$T$87,20,0)</f>
        <v>#N/A</v>
      </c>
      <c r="P76" s="13" t="e">
        <f>VLOOKUP(A76,'[1]14-06-26'!$A$2:$T$83,20,0)</f>
        <v>#N/A</v>
      </c>
      <c r="Q76" s="13" t="e">
        <f>VLOOKUP(A76,'[1]21-06-26'!$A$2:$T$108,20,0)</f>
        <v>#N/A</v>
      </c>
      <c r="R76" s="13" t="e">
        <f>VLOOKUP(A76,'[1]28-06-26'!$A$2:$T$93,20,0)</f>
        <v>#N/A</v>
      </c>
      <c r="S76" s="13" t="e">
        <f>VLOOKUP(A76,'[2]05-07-26'!$A$2:$T$85,20,0)</f>
        <v>#N/A</v>
      </c>
      <c r="T76" s="13" t="s">
        <v>413</v>
      </c>
      <c r="U76" s="13" t="s">
        <v>414</v>
      </c>
      <c r="V76" s="13"/>
      <c r="W76" s="13"/>
      <c r="X76" s="13"/>
      <c r="Y76" s="13"/>
      <c r="Z76" s="13" t="s">
        <v>412</v>
      </c>
      <c r="AA76" s="13"/>
      <c r="AB76" s="13"/>
      <c r="AC76" s="13"/>
      <c r="AD76" s="13"/>
    </row>
    <row r="77" spans="1:30" ht="119.3" hidden="1" customHeight="1" x14ac:dyDescent="0.3">
      <c r="A77" s="1">
        <v>2192</v>
      </c>
      <c r="B77" s="9" t="s">
        <v>349</v>
      </c>
      <c r="C77" s="12">
        <v>7456879082</v>
      </c>
      <c r="D77" s="11" t="s">
        <v>350</v>
      </c>
      <c r="E77" s="11" t="s">
        <v>83</v>
      </c>
      <c r="F77" s="11" t="s">
        <v>18</v>
      </c>
      <c r="G77" s="10" t="s">
        <v>19</v>
      </c>
      <c r="H77" s="12">
        <v>1450</v>
      </c>
      <c r="I77" s="12">
        <v>362.5</v>
      </c>
      <c r="J77" s="11" t="s">
        <v>32</v>
      </c>
      <c r="K77" s="11" t="s">
        <v>351</v>
      </c>
      <c r="L77" s="12"/>
      <c r="M77" s="12"/>
      <c r="N77" s="13" t="s">
        <v>426</v>
      </c>
      <c r="O77" s="13" t="str">
        <f>VLOOKUP(A77,'[1] 07-06-26'!$A$2:$T$87,20,0)</f>
        <v>P n W Glad ( 14 Inch ) 16     Grass</v>
      </c>
      <c r="P77" s="13" t="str">
        <f>VLOOKUP(A77,'[1]14-06-26'!$A$2:$T$83,20,0)</f>
        <v>Pur n P Car ( 14 Inch ) 16     FF Sachet + Grass</v>
      </c>
      <c r="Q77" s="13" t="str">
        <f>VLOOKUP(A77,'[1]21-06-26'!$A$2:$T$108,20,0)</f>
        <v>P Eustoma ( 12 Inch ) 3     FF Sachet + Grass</v>
      </c>
      <c r="R77" s="13" t="str">
        <f>VLOOKUP(A77,'[1]28-06-26'!$A$2:$T$93,20,0)</f>
        <v>Sunflower ( 12 Inch ) 4     FF Sachet + Grass</v>
      </c>
      <c r="S77" s="13" t="str">
        <f>VLOOKUP(A77,'[2]05-07-26'!$A$2:$T$85,20,0)</f>
        <v>Rajni ( 14 Inch ) 16     Grass</v>
      </c>
      <c r="T77" s="13" t="s">
        <v>421</v>
      </c>
      <c r="U77" s="13">
        <v>3</v>
      </c>
      <c r="V77" s="13"/>
      <c r="W77" s="13"/>
      <c r="X77" s="13"/>
      <c r="Y77" s="13"/>
      <c r="Z77" s="13" t="s">
        <v>403</v>
      </c>
      <c r="AA77" s="13"/>
      <c r="AB77" s="13"/>
      <c r="AC77" s="13"/>
      <c r="AD77" s="13"/>
    </row>
    <row r="78" spans="1:30" ht="119.3" hidden="1" customHeight="1" x14ac:dyDescent="0.3">
      <c r="A78" s="8" t="s">
        <v>352</v>
      </c>
      <c r="B78" s="9" t="s">
        <v>353</v>
      </c>
      <c r="C78" s="12">
        <v>9310066367</v>
      </c>
      <c r="D78" s="11" t="s">
        <v>354</v>
      </c>
      <c r="E78" s="11" t="s">
        <v>38</v>
      </c>
      <c r="F78" s="11" t="s">
        <v>18</v>
      </c>
      <c r="G78" s="11" t="s">
        <v>347</v>
      </c>
      <c r="H78" s="12">
        <v>600</v>
      </c>
      <c r="I78" s="12">
        <v>600</v>
      </c>
      <c r="J78" s="11" t="s">
        <v>306</v>
      </c>
      <c r="K78" s="11" t="s">
        <v>355</v>
      </c>
      <c r="L78" s="12"/>
      <c r="M78" s="12"/>
      <c r="N78" s="13" t="s">
        <v>325</v>
      </c>
      <c r="O78" s="13" t="e">
        <f>VLOOKUP(A78,'[1] 07-06-26'!$A$2:$T$87,20,0)</f>
        <v>#N/A</v>
      </c>
      <c r="P78" s="13" t="e">
        <f>VLOOKUP(A78,'[1]14-06-26'!$A$2:$T$83,20,0)</f>
        <v>#N/A</v>
      </c>
      <c r="Q78" s="13" t="e">
        <f>VLOOKUP(A78,'[1]21-06-26'!$A$2:$T$108,20,0)</f>
        <v>#N/A</v>
      </c>
      <c r="R78" s="13" t="e">
        <f>VLOOKUP(A78,'[1]28-06-26'!$A$2:$T$93,20,0)</f>
        <v>#N/A</v>
      </c>
      <c r="S78" s="13" t="e">
        <f>VLOOKUP(A78,'[2]05-07-26'!$A$2:$T$85,20,0)</f>
        <v>#N/A</v>
      </c>
      <c r="T78" s="13" t="s">
        <v>415</v>
      </c>
      <c r="U78" s="13">
        <v>15</v>
      </c>
      <c r="V78" s="13" t="s">
        <v>406</v>
      </c>
      <c r="W78" s="13"/>
      <c r="X78" s="13"/>
      <c r="Y78" s="13"/>
      <c r="Z78" s="13"/>
      <c r="AA78" s="13"/>
      <c r="AB78" s="13"/>
      <c r="AC78" s="13"/>
      <c r="AD78" s="13"/>
    </row>
    <row r="79" spans="1:30" ht="119.3" hidden="1" customHeight="1" x14ac:dyDescent="0.3">
      <c r="A79" s="1">
        <v>2255</v>
      </c>
      <c r="B79" s="9" t="s">
        <v>356</v>
      </c>
      <c r="C79" s="12">
        <v>9910778929</v>
      </c>
      <c r="D79" s="11" t="s">
        <v>357</v>
      </c>
      <c r="E79" s="11" t="s">
        <v>83</v>
      </c>
      <c r="F79" s="11" t="s">
        <v>18</v>
      </c>
      <c r="G79" s="11" t="s">
        <v>97</v>
      </c>
      <c r="H79" s="30">
        <v>1450</v>
      </c>
      <c r="I79" s="12">
        <v>362.5</v>
      </c>
      <c r="J79" s="11" t="s">
        <v>32</v>
      </c>
      <c r="K79" s="11" t="s">
        <v>358</v>
      </c>
      <c r="L79" s="12"/>
      <c r="M79" s="12"/>
      <c r="N79" s="13" t="s">
        <v>283</v>
      </c>
      <c r="O79" s="13" t="e">
        <f>VLOOKUP(A79,'[1] 07-06-26'!$A$2:$T$87,20,0)</f>
        <v>#N/A</v>
      </c>
      <c r="P79" s="13" t="str">
        <f>VLOOKUP(A79,'[1]14-06-26'!$A$2:$T$83,20,0)</f>
        <v>Pur n P Car ( 14 Inch ) 16     FF Sachet + Grass</v>
      </c>
      <c r="Q79" s="13" t="str">
        <f>VLOOKUP(A79,'[1]21-06-26'!$A$2:$T$108,20,0)</f>
        <v>Pur Eustoma ( 12 Inch ) 3     FF Sachet + Grass</v>
      </c>
      <c r="R79" s="13" t="str">
        <f>VLOOKUP(A79,'[1]28-06-26'!$A$2:$T$93,20,0)</f>
        <v>Rajni 16     Grass</v>
      </c>
      <c r="S79" s="13" t="str">
        <f>VLOOKUP(A79,'[2]05-07-26'!$A$2:$T$85,20,0)</f>
        <v>Sunflower ( 12 Inch ) 4     FF Sachet + Grass</v>
      </c>
      <c r="T79" s="13" t="s">
        <v>425</v>
      </c>
      <c r="U79" s="13">
        <v>16</v>
      </c>
      <c r="V79" s="13"/>
      <c r="W79" s="13"/>
      <c r="X79" s="13"/>
      <c r="Y79" s="13"/>
      <c r="Z79" s="13" t="s">
        <v>403</v>
      </c>
      <c r="AA79" s="13"/>
      <c r="AB79" s="13"/>
      <c r="AC79" s="13"/>
      <c r="AD79" s="13"/>
    </row>
    <row r="80" spans="1:30" ht="119.3" hidden="1" customHeight="1" x14ac:dyDescent="0.3">
      <c r="A80" s="1">
        <v>2481</v>
      </c>
      <c r="B80" s="27" t="s">
        <v>359</v>
      </c>
      <c r="C80" s="12">
        <v>9810110847</v>
      </c>
      <c r="D80" s="11" t="s">
        <v>360</v>
      </c>
      <c r="E80" s="11" t="s">
        <v>83</v>
      </c>
      <c r="F80" s="11" t="s">
        <v>18</v>
      </c>
      <c r="G80" s="10" t="s">
        <v>19</v>
      </c>
      <c r="H80" s="12">
        <v>2300</v>
      </c>
      <c r="I80" s="12">
        <v>287.5</v>
      </c>
      <c r="J80" s="11" t="s">
        <v>136</v>
      </c>
      <c r="K80" s="11" t="s">
        <v>361</v>
      </c>
      <c r="L80" s="12"/>
      <c r="M80" s="12"/>
      <c r="N80" s="13" t="s">
        <v>278</v>
      </c>
      <c r="O80" s="13" t="str">
        <f>VLOOKUP(A80,'[1] 07-06-26'!$A$2:$T$87,20,0)</f>
        <v>Pur Eustoma ( 12 Inch ) 4     FF Sachet + Grass</v>
      </c>
      <c r="P80" s="13" t="str">
        <f>VLOOKUP(A80,'[1]14-06-26'!$A$2:$T$83,20,0)</f>
        <v>Rajni ( 14 Inch ) 11     Grass</v>
      </c>
      <c r="Q80" s="13" t="str">
        <f>VLOOKUP(A80,'[1]21-06-26'!$A$2:$T$108,20,0)</f>
        <v>B Daisy ( 12 Inch ) 11     Grass</v>
      </c>
      <c r="R80" s="13" t="str">
        <f>VLOOKUP(A80,'[1]28-06-26'!$A$2:$T$93,20,0)</f>
        <v>P n W Glad ( 14 Inch ) 11     Grass</v>
      </c>
      <c r="S80" s="13" t="str">
        <f>VLOOKUP(A80,'[2]05-07-26'!$A$2:$T$85,20,0)</f>
        <v>P n W Car ( 14 Inch ) 11     FF Sachet + Grass</v>
      </c>
      <c r="T80" s="13" t="s">
        <v>399</v>
      </c>
      <c r="U80" s="13">
        <v>11</v>
      </c>
      <c r="V80" s="13"/>
      <c r="W80" s="13"/>
      <c r="X80" s="13"/>
      <c r="Y80" s="13"/>
      <c r="Z80" s="13" t="s">
        <v>402</v>
      </c>
      <c r="AA80" s="13"/>
      <c r="AB80" s="13"/>
      <c r="AC80" s="13"/>
      <c r="AD80" s="13"/>
    </row>
    <row r="81" spans="1:30" ht="119.3" hidden="1" customHeight="1" x14ac:dyDescent="0.3">
      <c r="A81" s="1">
        <v>2779</v>
      </c>
      <c r="B81" s="9" t="s">
        <v>362</v>
      </c>
      <c r="C81" s="12">
        <v>8130497969</v>
      </c>
      <c r="D81" s="11" t="s">
        <v>363</v>
      </c>
      <c r="E81" s="11" t="s">
        <v>96</v>
      </c>
      <c r="F81" s="11" t="s">
        <v>18</v>
      </c>
      <c r="G81" s="11" t="s">
        <v>26</v>
      </c>
      <c r="H81" s="12">
        <v>1600</v>
      </c>
      <c r="I81" s="12">
        <v>200</v>
      </c>
      <c r="J81" s="8" t="s">
        <v>101</v>
      </c>
      <c r="K81" s="11" t="s">
        <v>364</v>
      </c>
      <c r="L81" s="12"/>
      <c r="M81" s="12"/>
      <c r="N81" s="13" t="s">
        <v>335</v>
      </c>
      <c r="O81" s="13" t="str">
        <f>VLOOKUP(A81,'[1] 07-06-26'!$A$2:$T$87,20,0)</f>
        <v>Mix Alstroemeria ( 12 Inch ) 7     FF Sachet + Grass</v>
      </c>
      <c r="P81" s="13" t="str">
        <f>VLOOKUP(A81,'[1]14-06-26'!$A$2:$T$83,20,0)</f>
        <v>B Daisy ( 12 Inch ) 7     FF Sachet + Grass</v>
      </c>
      <c r="Q81" s="13" t="str">
        <f>VLOOKUP(A81,'[1]21-06-26'!$A$2:$T$108,20,0)</f>
        <v>P n W Glad ( 14 Inch ) 7     Grass</v>
      </c>
      <c r="R81" s="13" t="str">
        <f>VLOOKUP(A81,'[1]28-06-26'!$A$2:$T$93,20,0)</f>
        <v>Pur n P Car ( 14 Inch 7     FF Sachet + Grass</v>
      </c>
      <c r="S81" s="13" t="str">
        <f>VLOOKUP(A81,'[2]05-07-26'!$A$2:$T$85,20,0)</f>
        <v>Mix Alstroemeria 7     Grass</v>
      </c>
      <c r="T81" s="13" t="s">
        <v>400</v>
      </c>
      <c r="U81" s="13">
        <v>2</v>
      </c>
      <c r="V81" s="13"/>
      <c r="W81" s="13"/>
      <c r="X81" s="13"/>
      <c r="Y81" s="13"/>
      <c r="Z81" s="13" t="s">
        <v>402</v>
      </c>
      <c r="AA81" s="13"/>
      <c r="AB81" s="13"/>
      <c r="AC81" s="13"/>
      <c r="AD81" s="13"/>
    </row>
    <row r="82" spans="1:30" ht="119.3" hidden="1" customHeight="1" x14ac:dyDescent="0.3">
      <c r="A82" s="1">
        <v>2827</v>
      </c>
      <c r="B82" s="9" t="s">
        <v>365</v>
      </c>
      <c r="C82" s="15">
        <v>9899212888</v>
      </c>
      <c r="D82" s="11" t="s">
        <v>366</v>
      </c>
      <c r="E82" s="11" t="s">
        <v>83</v>
      </c>
      <c r="F82" s="11" t="s">
        <v>18</v>
      </c>
      <c r="G82" s="10" t="s">
        <v>19</v>
      </c>
      <c r="H82" s="12">
        <v>1450</v>
      </c>
      <c r="I82" s="12">
        <v>362.5</v>
      </c>
      <c r="J82" s="8" t="s">
        <v>32</v>
      </c>
      <c r="K82" s="11" t="s">
        <v>367</v>
      </c>
      <c r="L82" s="12"/>
      <c r="M82" s="11"/>
      <c r="N82" s="13" t="s">
        <v>283</v>
      </c>
      <c r="O82" s="13" t="str">
        <f>VLOOKUP(A82,'[1] 07-06-26'!$A$2:$T$87,20,0)</f>
        <v>Mix Alstroemeria ( 12 Inch ) 9     FF Sachet + Grass</v>
      </c>
      <c r="P82" s="13" t="str">
        <f>VLOOKUP(A82,'[1]14-06-26'!$A$2:$T$83,20,0)</f>
        <v>P n W Glad ( 14 Inch ) 9     Grass</v>
      </c>
      <c r="Q82" s="13" t="e">
        <f>VLOOKUP(A82,'[1]21-06-26'!$A$2:$T$108,20,0)</f>
        <v>#N/A</v>
      </c>
      <c r="R82" s="13" t="e">
        <f>VLOOKUP(A82,'[1]28-06-26'!$A$2:$T$93,20,0)</f>
        <v>#N/A</v>
      </c>
      <c r="S82" s="13" t="e">
        <f>VLOOKUP(A82,'[2]05-07-26'!$A$2:$T$85,20,0)</f>
        <v>#N/A</v>
      </c>
      <c r="T82" s="13" t="s">
        <v>398</v>
      </c>
      <c r="U82" s="13">
        <v>16</v>
      </c>
      <c r="V82" s="13"/>
      <c r="W82" s="13"/>
      <c r="X82" s="13"/>
      <c r="Y82" s="13"/>
      <c r="Z82" s="13" t="s">
        <v>402</v>
      </c>
      <c r="AA82" s="13"/>
      <c r="AB82" s="13"/>
      <c r="AC82" s="13"/>
      <c r="AD82" s="13"/>
    </row>
    <row r="83" spans="1:30" ht="119.3" hidden="1" customHeight="1" x14ac:dyDescent="0.3">
      <c r="A83" s="8" t="s">
        <v>368</v>
      </c>
      <c r="B83" s="9" t="s">
        <v>369</v>
      </c>
      <c r="C83" s="1">
        <v>9900094415</v>
      </c>
      <c r="D83" s="8" t="s">
        <v>370</v>
      </c>
      <c r="E83" s="11" t="s">
        <v>25</v>
      </c>
      <c r="F83" s="11" t="s">
        <v>18</v>
      </c>
      <c r="G83" s="10" t="s">
        <v>311</v>
      </c>
      <c r="H83" s="12">
        <v>1000</v>
      </c>
      <c r="I83" s="12">
        <v>1000</v>
      </c>
      <c r="J83" s="11" t="s">
        <v>306</v>
      </c>
      <c r="K83" s="11" t="s">
        <v>371</v>
      </c>
      <c r="L83" s="12"/>
      <c r="M83" s="12"/>
      <c r="N83" s="13" t="s">
        <v>372</v>
      </c>
      <c r="O83" s="13" t="e">
        <f>VLOOKUP(A83,'[1] 07-06-26'!$A$2:$T$87,20,0)</f>
        <v>#N/A</v>
      </c>
      <c r="P83" s="13" t="e">
        <f>VLOOKUP(A83,'[1]14-06-26'!$A$2:$T$83,20,0)</f>
        <v>#N/A</v>
      </c>
      <c r="Q83" s="13" t="e">
        <f>VLOOKUP(A83,'[1]21-06-26'!$A$2:$T$108,20,0)</f>
        <v>#N/A</v>
      </c>
      <c r="R83" s="13" t="e">
        <f>VLOOKUP(A83,'[1]28-06-26'!$A$2:$T$93,20,0)</f>
        <v>#N/A</v>
      </c>
      <c r="S83" s="13" t="e">
        <f>VLOOKUP(A83,'[2]05-07-26'!$A$2:$T$85,20,0)</f>
        <v>#N/A</v>
      </c>
      <c r="T83" s="13" t="s">
        <v>416</v>
      </c>
      <c r="U83" s="13">
        <v>24</v>
      </c>
      <c r="V83" s="13" t="s">
        <v>406</v>
      </c>
      <c r="W83" s="13"/>
      <c r="X83" s="13"/>
      <c r="Y83" s="13"/>
      <c r="Z83" s="13"/>
      <c r="AA83" s="13"/>
      <c r="AB83" s="13"/>
      <c r="AC83" s="13"/>
      <c r="AD83" s="13"/>
    </row>
  </sheetData>
  <autoFilter ref="A1:AD83" xr:uid="{83DCC117-1AB8-4925-A7CF-AEA4C6A40485}">
    <filterColumn colId="19">
      <filters>
        <filter val="BOP + Pur Orchid + W Ca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2026-07-11T16:43:25Z</dcterms:created>
  <dcterms:modified xsi:type="dcterms:W3CDTF">2026-07-11T18:39:57Z</dcterms:modified>
</cp:coreProperties>
</file>