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38" documentId="8_{934FF459-05DC-45E2-B757-6FFB78BEF88D}" xr6:coauthVersionLast="47" xr6:coauthVersionMax="47" xr10:uidLastSave="{8FF7A8FF-9AFE-44D7-B77F-A780F76764F8}"/>
  <bookViews>
    <workbookView xWindow="-107" yWindow="-107" windowWidth="20847" windowHeight="11100" activeTab="1" xr2:uid="{E717D731-F952-4768-BCEF-4B00C1D098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0" i="2" l="1"/>
  <c r="O59" i="2"/>
  <c r="H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23" i="2"/>
  <c r="O21" i="2"/>
  <c r="O20" i="2"/>
  <c r="O19" i="2"/>
  <c r="O18" i="2"/>
  <c r="O17" i="2"/>
  <c r="O16" i="2"/>
  <c r="O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O12" i="2" s="1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N22" i="2" s="1"/>
  <c r="N24" i="2" s="1"/>
  <c r="N26" i="2" s="1"/>
  <c r="N27" i="2" s="1"/>
  <c r="M10" i="2"/>
  <c r="L10" i="2"/>
  <c r="K10" i="2"/>
  <c r="J10" i="2"/>
  <c r="I10" i="2"/>
  <c r="H10" i="2"/>
  <c r="G10" i="2"/>
  <c r="F10" i="2"/>
  <c r="F22" i="2" s="1"/>
  <c r="F24" i="2" s="1"/>
  <c r="F26" i="2" s="1"/>
  <c r="F27" i="2" s="1"/>
  <c r="E10" i="2"/>
  <c r="D10" i="2"/>
  <c r="C10" i="2"/>
  <c r="B10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P14" i="2" s="1"/>
  <c r="O5" i="2"/>
  <c r="P13" i="2" s="1"/>
  <c r="O4" i="2"/>
  <c r="P12" i="2" s="1"/>
  <c r="O3" i="2"/>
  <c r="P3" i="2" s="1"/>
  <c r="O2" i="2"/>
  <c r="P10" i="2" s="1"/>
  <c r="O38" i="2" l="1"/>
  <c r="O7" i="2"/>
  <c r="O14" i="2"/>
  <c r="O11" i="2"/>
  <c r="J22" i="2"/>
  <c r="J24" i="2" s="1"/>
  <c r="J26" i="2" s="1"/>
  <c r="J27" i="2" s="1"/>
  <c r="C22" i="2"/>
  <c r="C24" i="2" s="1"/>
  <c r="C26" i="2" s="1"/>
  <c r="C27" i="2" s="1"/>
  <c r="O13" i="2"/>
  <c r="R13" i="2" s="1"/>
  <c r="P6" i="2"/>
  <c r="O10" i="2"/>
  <c r="R10" i="2" s="1"/>
  <c r="L22" i="2"/>
  <c r="L24" i="2" s="1"/>
  <c r="L26" i="2" s="1"/>
  <c r="L27" i="2" s="1"/>
  <c r="P2" i="2"/>
  <c r="G22" i="2"/>
  <c r="G24" i="2" s="1"/>
  <c r="G26" i="2" s="1"/>
  <c r="G27" i="2" s="1"/>
  <c r="H22" i="2"/>
  <c r="H24" i="2" s="1"/>
  <c r="H26" i="2" s="1"/>
  <c r="H27" i="2" s="1"/>
  <c r="I22" i="2"/>
  <c r="I24" i="2" s="1"/>
  <c r="I26" i="2" s="1"/>
  <c r="I27" i="2" s="1"/>
  <c r="B22" i="2"/>
  <c r="B24" i="2" s="1"/>
  <c r="B26" i="2" s="1"/>
  <c r="B27" i="2" s="1"/>
  <c r="K22" i="2"/>
  <c r="K24" i="2" s="1"/>
  <c r="K26" i="2" s="1"/>
  <c r="K27" i="2" s="1"/>
  <c r="E22" i="2"/>
  <c r="E24" i="2" s="1"/>
  <c r="E26" i="2" s="1"/>
  <c r="E27" i="2" s="1"/>
  <c r="M22" i="2"/>
  <c r="M24" i="2" s="1"/>
  <c r="M26" i="2" s="1"/>
  <c r="M27" i="2" s="1"/>
  <c r="R12" i="2"/>
  <c r="R14" i="2"/>
  <c r="D22" i="2"/>
  <c r="D24" i="2" s="1"/>
  <c r="D26" i="2" s="1"/>
  <c r="D27" i="2" s="1"/>
  <c r="P4" i="2"/>
  <c r="P5" i="2"/>
  <c r="P11" i="2"/>
  <c r="P7" i="2" l="1"/>
  <c r="Q7" i="2" s="1"/>
  <c r="Q38" i="2" s="1"/>
  <c r="R11" i="2"/>
  <c r="R15" i="2" s="1"/>
</calcChain>
</file>

<file path=xl/sharedStrings.xml><?xml version="1.0" encoding="utf-8"?>
<sst xmlns="http://schemas.openxmlformats.org/spreadsheetml/2006/main" count="115" uniqueCount="101">
  <si>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</si>
  <si>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</si>
  <si>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</si>
  <si>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</si>
  <si>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</si>
  <si>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</si>
  <si>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</si>
  <si>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</si>
  <si>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</si>
  <si>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</si>
  <si>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</si>
  <si>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</si>
  <si>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</si>
  <si>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</si>
  <si>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B56644</t>
  </si>
  <si>
    <t>Manish Mittal</t>
  </si>
  <si>
    <t>12/1B, Rail Vihar , Sec 56</t>
  </si>
  <si>
    <t>Sector 56</t>
  </si>
  <si>
    <t>Wednesday</t>
  </si>
  <si>
    <t>By 11 AM</t>
  </si>
  <si>
    <t>Bouquet</t>
  </si>
  <si>
    <t>From Rotary Club// Wish You a very Happy Birthday.      Regards,  RCGQE(03/08)</t>
  </si>
  <si>
    <t>1  del of this cycle   -  0-cycles pmnt   In Process - Collect 0</t>
  </si>
  <si>
    <t>B56655</t>
  </si>
  <si>
    <t>Gunjan Verma</t>
  </si>
  <si>
    <t>T-4/1001, Unitech Escape</t>
  </si>
  <si>
    <t>Nirvana Country</t>
  </si>
  <si>
    <t>By 10 AM</t>
  </si>
  <si>
    <t>6 P Oriental and 10 B Daisy in Multiple Color Tissue// From 9871296830 // Happy Birthday Buli, Lots of love.  From  Mom, Dad and Bhai (04/08)</t>
  </si>
  <si>
    <t>E-92, The Icon</t>
  </si>
  <si>
    <t>DLF Phase 5</t>
  </si>
  <si>
    <t>4 Oriental lily in single wtap</t>
  </si>
  <si>
    <t>1  del of this cycle   -  0-cycles pmnt   Completed - Collect 0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</si>
  <si>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</si>
  <si>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</si>
  <si>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</si>
  <si>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</si>
  <si>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</si>
  <si>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</si>
  <si>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</si>
  <si>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</si>
  <si>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</si>
  <si>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 xml:space="preserve">Pur n W Car </t>
  </si>
  <si>
    <t>Walkin Tissue Wrap</t>
  </si>
  <si>
    <t>Message</t>
  </si>
  <si>
    <t>P oriental + B Daisy</t>
  </si>
  <si>
    <t>5 + 8</t>
  </si>
  <si>
    <t>Multiple Tissue Wrap + Message</t>
  </si>
  <si>
    <t>P Oriental</t>
  </si>
  <si>
    <t>Single Wrap</t>
  </si>
  <si>
    <t>Rajni</t>
  </si>
  <si>
    <t>Spray Daisy</t>
  </si>
  <si>
    <t>Alstroemeria</t>
  </si>
  <si>
    <t>Sunflower</t>
  </si>
  <si>
    <t>Gerbera</t>
  </si>
  <si>
    <t>Glad</t>
  </si>
  <si>
    <t>Rose</t>
  </si>
  <si>
    <t>Carnation</t>
  </si>
  <si>
    <t>Orchid</t>
  </si>
  <si>
    <t>Asiatic</t>
  </si>
  <si>
    <t>Oriental</t>
  </si>
  <si>
    <t>Anthurium // BOP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</si>
  <si>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</si>
  <si>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</si>
  <si>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</si>
  <si>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</si>
  <si>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</si>
  <si>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</si>
  <si>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</si>
  <si>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</si>
  <si>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</si>
  <si>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</si>
  <si>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</si>
  <si>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</si>
  <si>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</si>
  <si>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</si>
  <si>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</si>
  <si>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</si>
  <si>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</si>
  <si>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</si>
  <si>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</si>
  <si>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</si>
  <si>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</si>
  <si>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</si>
  <si>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</si>
  <si>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</si>
  <si>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</si>
  <si>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</si>
  <si>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</si>
  <si>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</si>
  <si>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</si>
  <si>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</si>
  <si>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B Daisy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</si>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</sst>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₹&quot;\ #,##0.00"/>
    <numFmt numFmtId="166" formatCode="dd\/mm\/yy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2" borderId="1" xfId="2" applyFont="1" applyFill="1" applyBorder="1" applyAlignment="1">
      <alignment horizontal="center" vertical="center" wrapText="1" shrinkToFit="1"/>
    </xf>
    <xf numFmtId="1" fontId="2" fillId="2" borderId="1" xfId="2" applyNumberFormat="1" applyFont="1" applyFill="1" applyBorder="1" applyAlignment="1">
      <alignment horizontal="center" vertical="center" wrapText="1" shrinkToFit="1"/>
    </xf>
    <xf numFmtId="0" fontId="4" fillId="2" borderId="1" xfId="2" applyFont="1" applyFill="1" applyBorder="1" applyAlignment="1">
      <alignment horizontal="center" vertical="center" wrapText="1" shrinkToFit="1"/>
    </xf>
    <xf numFmtId="165" fontId="2" fillId="2" borderId="1" xfId="2" applyNumberFormat="1" applyFont="1" applyFill="1" applyBorder="1" applyAlignment="1">
      <alignment horizontal="center" vertical="center" wrapText="1" shrinkToFit="1"/>
    </xf>
    <xf numFmtId="166" fontId="4" fillId="2" borderId="1" xfId="2" applyNumberFormat="1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 shrinkToFit="1"/>
    </xf>
    <xf numFmtId="0" fontId="7" fillId="0" borderId="1" xfId="0" applyFont="1" applyBorder="1" applyAlignment="1">
      <alignment wrapText="1" shrinkToFit="1"/>
    </xf>
    <xf numFmtId="0" fontId="8" fillId="0" borderId="1" xfId="0" applyFont="1" applyBorder="1" applyAlignment="1">
      <alignment wrapText="1" shrinkToFit="1"/>
    </xf>
    <xf numFmtId="0" fontId="9" fillId="0" borderId="2" xfId="2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0" xfId="2" applyNumberFormat="1" applyFont="1" applyAlignment="1">
      <alignment horizontal="center" vertical="center" wrapText="1"/>
    </xf>
    <xf numFmtId="1" fontId="12" fillId="0" borderId="1" xfId="2" applyNumberFormat="1" applyFont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13" fillId="3" borderId="2" xfId="2" applyFont="1" applyFill="1" applyBorder="1" applyAlignment="1">
      <alignment horizontal="center" vertical="center" wrapText="1"/>
    </xf>
    <xf numFmtId="0" fontId="11" fillId="5" borderId="1" xfId="2" applyFont="1" applyFill="1" applyBorder="1" applyAlignment="1">
      <alignment horizontal="center" vertical="center" wrapText="1"/>
    </xf>
    <xf numFmtId="1" fontId="7" fillId="0" borderId="0" xfId="1" applyNumberFormat="1" applyFont="1" applyAlignment="1">
      <alignment horizontal="center" vertical="center" wrapText="1"/>
    </xf>
    <xf numFmtId="0" fontId="13" fillId="2" borderId="2" xfId="2" applyFont="1" applyFill="1" applyBorder="1" applyAlignment="1">
      <alignment horizontal="center" vertical="center" wrapText="1"/>
    </xf>
    <xf numFmtId="0" fontId="9" fillId="6" borderId="2" xfId="2" applyFont="1" applyFill="1" applyBorder="1" applyAlignment="1">
      <alignment horizontal="center" vertical="center" wrapText="1"/>
    </xf>
    <xf numFmtId="0" fontId="9" fillId="6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1" fontId="9" fillId="0" borderId="1" xfId="2" applyNumberFormat="1" applyFont="1" applyBorder="1" applyAlignment="1">
      <alignment horizontal="center" vertical="center" wrapText="1"/>
    </xf>
    <xf numFmtId="9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7" fontId="11" fillId="0" borderId="1" xfId="2" applyNumberFormat="1" applyFont="1" applyBorder="1" applyAlignment="1">
      <alignment horizontal="center" vertical="center" wrapText="1"/>
    </xf>
    <xf numFmtId="0" fontId="9" fillId="7" borderId="2" xfId="2" applyFont="1" applyFill="1" applyBorder="1" applyAlignment="1">
      <alignment horizontal="center" vertical="center" wrapText="1"/>
    </xf>
    <xf numFmtId="0" fontId="11" fillId="7" borderId="1" xfId="2" applyFont="1" applyFill="1" applyBorder="1" applyAlignment="1">
      <alignment horizontal="center" vertical="center" wrapText="1"/>
    </xf>
    <xf numFmtId="0" fontId="3" fillId="8" borderId="2" xfId="2" applyFont="1" applyFill="1" applyBorder="1" applyAlignment="1">
      <alignment horizontal="center" vertical="center" wrapText="1"/>
    </xf>
    <xf numFmtId="0" fontId="12" fillId="8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3" borderId="1" xfId="2" applyFont="1" applyFill="1" applyBorder="1" applyAlignment="1">
      <alignment horizontal="center" vertical="center" wrapText="1"/>
    </xf>
    <xf numFmtId="0" fontId="9" fillId="9" borderId="2" xfId="2" applyFont="1" applyFill="1" applyBorder="1" applyAlignment="1">
      <alignment horizontal="center" vertical="center" wrapText="1"/>
    </xf>
    <xf numFmtId="0" fontId="11" fillId="9" borderId="1" xfId="2" applyFont="1" applyFill="1" applyBorder="1" applyAlignment="1">
      <alignment horizontal="center" vertical="center" wrapText="1"/>
    </xf>
    <xf numFmtId="0" fontId="14" fillId="10" borderId="2" xfId="2" applyFont="1" applyFill="1" applyBorder="1" applyAlignment="1">
      <alignment horizontal="center" vertical="center" wrapText="1"/>
    </xf>
    <xf numFmtId="0" fontId="15" fillId="10" borderId="1" xfId="2" applyFont="1" applyFill="1" applyBorder="1" applyAlignment="1">
      <alignment horizontal="center" vertical="center" wrapText="1"/>
    </xf>
    <xf numFmtId="0" fontId="9" fillId="11" borderId="2" xfId="2" applyFont="1" applyFill="1" applyBorder="1" applyAlignment="1">
      <alignment horizontal="center" vertical="center" wrapText="1"/>
    </xf>
    <xf numFmtId="0" fontId="16" fillId="11" borderId="1" xfId="2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9" fontId="7" fillId="0" borderId="0" xfId="3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7" fillId="0" borderId="0" xfId="0" quotePrefix="1" applyFont="1" applyAlignment="1">
      <alignment horizontal="center" vertical="center" wrapText="1"/>
    </xf>
  </cellXfs>
  <cellStyles count="4">
    <cellStyle name="Normal" xfId="0" builtinId="0"/>
    <cellStyle name="Normal 2" xfId="2" xr:uid="{5BC6AC7B-7E11-4E88-997C-8685403873C5}"/>
    <cellStyle name="Percent" xfId="1" builtinId="5"/>
    <cellStyle name="Percent 2" xfId="3" xr:uid="{D1C7ADC7-9FF9-4643-BBB2-3E80870916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94A3-066F-4568-AD53-AF4C538EB0E7}">
  <dimension ref="A1:Y4"/>
  <sheetViews>
    <sheetView topLeftCell="A2" workbookViewId="0">
      <selection activeCell="H2" sqref="H1:H1048576"/>
    </sheetView>
  </sheetViews>
  <sheetFormatPr defaultRowHeight="14" x14ac:dyDescent="0.3"/>
  <sheetData>
    <row r="1" spans="1:25" ht="108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14" t="s">
        <v>33</v>
      </c>
      <c r="P1" s="14" t="s">
        <v>34</v>
      </c>
      <c r="Q1" s="14" t="s">
        <v>35</v>
      </c>
      <c r="R1" s="14" t="s">
        <v>34</v>
      </c>
      <c r="S1" s="14" t="s">
        <v>36</v>
      </c>
      <c r="T1" s="14" t="s">
        <v>34</v>
      </c>
      <c r="U1" s="14" t="s">
        <v>37</v>
      </c>
      <c r="V1" s="14" t="s">
        <v>38</v>
      </c>
      <c r="W1" s="14" t="s">
        <v>39</v>
      </c>
      <c r="X1" s="14" t="s">
        <v>40</v>
      </c>
      <c r="Y1" s="14" t="s">
        <v>41</v>
      </c>
    </row>
    <row r="2" spans="1:25" ht="108" customHeight="1" x14ac:dyDescent="0.3">
      <c r="A2" s="8" t="s">
        <v>14</v>
      </c>
      <c r="B2" s="9" t="s">
        <v>15</v>
      </c>
      <c r="C2" s="10">
        <v>7428894369</v>
      </c>
      <c r="D2" s="11" t="s">
        <v>16</v>
      </c>
      <c r="E2" s="11" t="s">
        <v>17</v>
      </c>
      <c r="F2" s="11" t="s">
        <v>18</v>
      </c>
      <c r="G2" s="11" t="s">
        <v>19</v>
      </c>
      <c r="H2" s="10">
        <v>600</v>
      </c>
      <c r="I2" s="10">
        <v>600</v>
      </c>
      <c r="J2" s="8" t="s">
        <v>20</v>
      </c>
      <c r="K2" s="11" t="s">
        <v>21</v>
      </c>
      <c r="L2" s="10"/>
      <c r="M2" s="10"/>
      <c r="N2" s="12" t="s">
        <v>22</v>
      </c>
      <c r="O2" s="13" t="s">
        <v>42</v>
      </c>
      <c r="P2" s="13">
        <v>15</v>
      </c>
      <c r="Q2" s="13" t="s">
        <v>43</v>
      </c>
      <c r="R2" s="13" t="s">
        <v>44</v>
      </c>
      <c r="S2" s="13"/>
      <c r="T2" s="13"/>
      <c r="U2" s="13"/>
      <c r="V2" s="13"/>
      <c r="W2" s="13"/>
      <c r="X2" s="13"/>
      <c r="Y2" s="13"/>
    </row>
    <row r="3" spans="1:25" ht="108" customHeight="1" x14ac:dyDescent="0.3">
      <c r="A3" s="8" t="s">
        <v>23</v>
      </c>
      <c r="B3" s="9" t="s">
        <v>24</v>
      </c>
      <c r="C3" s="10">
        <v>9811107091</v>
      </c>
      <c r="D3" s="11" t="s">
        <v>25</v>
      </c>
      <c r="E3" s="11" t="s">
        <v>26</v>
      </c>
      <c r="F3" s="11" t="s">
        <v>18</v>
      </c>
      <c r="G3" s="11" t="s">
        <v>27</v>
      </c>
      <c r="H3" s="10">
        <v>2950</v>
      </c>
      <c r="I3" s="10">
        <v>2950</v>
      </c>
      <c r="J3" s="11" t="s">
        <v>20</v>
      </c>
      <c r="K3" s="11" t="s">
        <v>28</v>
      </c>
      <c r="L3" s="10"/>
      <c r="M3" s="10"/>
      <c r="N3" s="12" t="s">
        <v>32</v>
      </c>
      <c r="O3" s="13" t="s">
        <v>45</v>
      </c>
      <c r="P3" s="13" t="s">
        <v>46</v>
      </c>
      <c r="Q3" s="13" t="s">
        <v>47</v>
      </c>
      <c r="R3" s="13" t="s">
        <v>44</v>
      </c>
      <c r="S3" s="13"/>
      <c r="T3" s="13"/>
      <c r="U3" s="13"/>
      <c r="V3" s="13"/>
      <c r="W3" s="13"/>
      <c r="X3" s="13"/>
      <c r="Y3" s="13"/>
    </row>
    <row r="4" spans="1:25" ht="108" customHeight="1" x14ac:dyDescent="0.3">
      <c r="A4" s="8" t="s">
        <v>23</v>
      </c>
      <c r="B4" s="9">
        <v>9650050785</v>
      </c>
      <c r="C4" s="9">
        <v>9650050785</v>
      </c>
      <c r="D4" s="11" t="s">
        <v>29</v>
      </c>
      <c r="E4" s="11" t="s">
        <v>30</v>
      </c>
      <c r="F4" s="11" t="s">
        <v>18</v>
      </c>
      <c r="G4" s="11" t="s">
        <v>27</v>
      </c>
      <c r="H4" s="10">
        <v>1200</v>
      </c>
      <c r="I4" s="10">
        <v>1200</v>
      </c>
      <c r="J4" s="11" t="s">
        <v>20</v>
      </c>
      <c r="K4" s="11" t="s">
        <v>31</v>
      </c>
      <c r="L4" s="10"/>
      <c r="M4" s="10"/>
      <c r="N4" s="12" t="s">
        <v>32</v>
      </c>
      <c r="O4" s="13" t="s">
        <v>48</v>
      </c>
      <c r="P4" s="13">
        <v>4</v>
      </c>
      <c r="Q4" s="13" t="s">
        <v>49</v>
      </c>
      <c r="R4" s="13"/>
      <c r="S4" s="13"/>
      <c r="T4" s="13"/>
      <c r="U4" s="13"/>
      <c r="V4" s="13"/>
      <c r="W4" s="13"/>
      <c r="X4" s="13"/>
      <c r="Y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219E-CF77-4ADF-AE6F-DA367E085EB4}">
  <dimension ref="A1:R60"/>
  <sheetViews>
    <sheetView tabSelected="1" workbookViewId="0">
      <pane xSplit="1" ySplit="1" topLeftCell="B25" activePane="bottomRight" state="frozen"/>
      <selection pane="topRight" activeCell="B1" sqref="B1"/>
      <selection pane="bottomLeft" activeCell="A2" sqref="A2"/>
      <selection pane="bottomRight" activeCell="N34" sqref="N34"/>
    </sheetView>
  </sheetViews>
  <sheetFormatPr defaultRowHeight="14" x14ac:dyDescent="0.3"/>
  <sheetData>
    <row r="1" spans="1:18" ht="41.95" x14ac:dyDescent="0.3">
      <c r="A1" s="15"/>
      <c r="B1" s="15" t="s">
        <v>50</v>
      </c>
      <c r="C1" s="16" t="s">
        <v>51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  <c r="I1" s="16" t="s">
        <v>57</v>
      </c>
      <c r="J1" s="16" t="s">
        <v>58</v>
      </c>
      <c r="K1" s="16" t="s">
        <v>59</v>
      </c>
      <c r="L1" s="17" t="s">
        <v>60</v>
      </c>
      <c r="M1" s="17" t="s">
        <v>61</v>
      </c>
      <c r="N1" s="17" t="s">
        <v>62</v>
      </c>
      <c r="O1" s="18"/>
      <c r="P1" s="19" t="s">
        <v>63</v>
      </c>
      <c r="Q1" s="19" t="s">
        <v>64</v>
      </c>
      <c r="R1" s="18"/>
    </row>
    <row r="2" spans="1:18" x14ac:dyDescent="0.3">
      <c r="A2" s="20">
        <v>999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>
        <f t="shared" ref="O2:O7" si="0">SUM(B2:N2)</f>
        <v>0</v>
      </c>
      <c r="P2" s="22">
        <f>(O2*A2)/4</f>
        <v>0</v>
      </c>
      <c r="Q2" s="22"/>
      <c r="R2" s="22"/>
    </row>
    <row r="3" spans="1:18" x14ac:dyDescent="0.3">
      <c r="A3" s="20">
        <v>1450</v>
      </c>
      <c r="B3" s="21"/>
      <c r="C3" s="21"/>
      <c r="D3" s="21"/>
      <c r="E3" s="21"/>
      <c r="F3" s="21"/>
      <c r="G3" s="21"/>
      <c r="H3" s="21"/>
      <c r="I3" s="21"/>
      <c r="J3" s="23"/>
      <c r="K3" s="23"/>
      <c r="L3" s="21"/>
      <c r="M3" s="21"/>
      <c r="N3" s="21"/>
      <c r="O3" s="22">
        <f t="shared" si="0"/>
        <v>0</v>
      </c>
      <c r="P3" s="22">
        <f>(O3*A3)/4</f>
        <v>0</v>
      </c>
      <c r="Q3" s="22"/>
      <c r="R3" s="22"/>
    </row>
    <row r="4" spans="1:18" x14ac:dyDescent="0.3">
      <c r="A4" s="20">
        <v>1950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2">
        <f t="shared" si="0"/>
        <v>0</v>
      </c>
      <c r="P4" s="22">
        <f>(O4*A4)/4</f>
        <v>0</v>
      </c>
      <c r="Q4" s="22"/>
      <c r="R4" s="22"/>
    </row>
    <row r="5" spans="1:18" x14ac:dyDescent="0.3">
      <c r="A5" s="20">
        <v>2750</v>
      </c>
      <c r="B5" s="21"/>
      <c r="C5" s="21"/>
      <c r="D5" s="21"/>
      <c r="E5" s="21"/>
      <c r="F5" s="21"/>
      <c r="G5" s="21"/>
      <c r="H5" s="21"/>
      <c r="I5" s="24"/>
      <c r="J5" s="24"/>
      <c r="K5" s="24"/>
      <c r="L5" s="24"/>
      <c r="M5" s="21"/>
      <c r="N5" s="21"/>
      <c r="O5" s="22">
        <f t="shared" si="0"/>
        <v>0</v>
      </c>
      <c r="P5" s="22">
        <f>(O5*A5)/4</f>
        <v>0</v>
      </c>
      <c r="Q5" s="22"/>
      <c r="R5" s="22"/>
    </row>
    <row r="6" spans="1:18" x14ac:dyDescent="0.3">
      <c r="A6" s="20">
        <v>4750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>
        <f t="shared" si="0"/>
        <v>0</v>
      </c>
      <c r="P6" s="22">
        <f>(O6*A6)/4</f>
        <v>0</v>
      </c>
      <c r="Q6" s="22"/>
      <c r="R6" s="22"/>
    </row>
    <row r="7" spans="1:18" x14ac:dyDescent="0.3">
      <c r="A7" s="15" t="s">
        <v>65</v>
      </c>
      <c r="B7" s="25">
        <f t="shared" ref="B7:N7" si="1">SUM(B2:B6)</f>
        <v>0</v>
      </c>
      <c r="C7" s="25">
        <f t="shared" si="1"/>
        <v>0</v>
      </c>
      <c r="D7" s="25">
        <f t="shared" si="1"/>
        <v>0</v>
      </c>
      <c r="E7" s="25">
        <f t="shared" si="1"/>
        <v>0</v>
      </c>
      <c r="F7" s="25">
        <f t="shared" si="1"/>
        <v>0</v>
      </c>
      <c r="G7" s="25">
        <f t="shared" si="1"/>
        <v>0</v>
      </c>
      <c r="H7" s="25">
        <f t="shared" si="1"/>
        <v>0</v>
      </c>
      <c r="I7" s="25">
        <f t="shared" si="1"/>
        <v>0</v>
      </c>
      <c r="J7" s="25">
        <f t="shared" si="1"/>
        <v>0</v>
      </c>
      <c r="K7" s="25">
        <f t="shared" si="1"/>
        <v>0</v>
      </c>
      <c r="L7" s="25">
        <f t="shared" si="1"/>
        <v>0</v>
      </c>
      <c r="M7" s="25">
        <f t="shared" si="1"/>
        <v>0</v>
      </c>
      <c r="N7" s="25">
        <f t="shared" si="1"/>
        <v>0</v>
      </c>
      <c r="O7" s="22">
        <f t="shared" si="0"/>
        <v>0</v>
      </c>
      <c r="P7" s="26">
        <f>SUM(P2:P6)</f>
        <v>0</v>
      </c>
      <c r="Q7" s="26">
        <f>P7</f>
        <v>0</v>
      </c>
      <c r="R7" s="22"/>
    </row>
    <row r="8" spans="1:18" ht="27.95" x14ac:dyDescent="0.3">
      <c r="A8" s="20" t="s">
        <v>66</v>
      </c>
      <c r="B8" s="21">
        <v>22</v>
      </c>
      <c r="C8" s="21">
        <v>10</v>
      </c>
      <c r="D8" s="21">
        <v>10</v>
      </c>
      <c r="E8" s="21">
        <v>5</v>
      </c>
      <c r="F8" s="21">
        <v>10</v>
      </c>
      <c r="G8" s="21">
        <v>20</v>
      </c>
      <c r="H8" s="21">
        <v>20</v>
      </c>
      <c r="I8" s="21">
        <v>20</v>
      </c>
      <c r="J8" s="21">
        <v>10</v>
      </c>
      <c r="K8" s="21">
        <v>10</v>
      </c>
      <c r="L8" s="21">
        <v>10</v>
      </c>
      <c r="M8" s="21">
        <v>1</v>
      </c>
      <c r="N8" s="21">
        <v>10</v>
      </c>
      <c r="O8" s="22"/>
      <c r="P8" s="22"/>
      <c r="Q8" s="22"/>
      <c r="R8" s="22"/>
    </row>
    <row r="9" spans="1:18" ht="27.95" x14ac:dyDescent="0.3">
      <c r="A9" s="15" t="s">
        <v>67</v>
      </c>
      <c r="B9" s="17">
        <v>100</v>
      </c>
      <c r="C9" s="17">
        <v>300</v>
      </c>
      <c r="D9" s="17">
        <v>120</v>
      </c>
      <c r="E9" s="17">
        <v>130</v>
      </c>
      <c r="F9" s="17">
        <v>100</v>
      </c>
      <c r="G9" s="17">
        <v>300</v>
      </c>
      <c r="H9" s="17">
        <v>300</v>
      </c>
      <c r="I9" s="17">
        <v>150</v>
      </c>
      <c r="J9" s="17">
        <v>425</v>
      </c>
      <c r="K9" s="17">
        <v>475</v>
      </c>
      <c r="L9" s="17">
        <v>1150</v>
      </c>
      <c r="M9" s="17">
        <v>120</v>
      </c>
      <c r="N9" s="17">
        <v>400</v>
      </c>
      <c r="O9" s="22"/>
      <c r="P9" s="22"/>
      <c r="Q9" s="22"/>
      <c r="R9" s="22"/>
    </row>
    <row r="10" spans="1:18" x14ac:dyDescent="0.3">
      <c r="A10" s="20">
        <v>999</v>
      </c>
      <c r="B10" s="21">
        <f>B2*9</f>
        <v>0</v>
      </c>
      <c r="C10" s="21">
        <f>C2*3</f>
        <v>0</v>
      </c>
      <c r="D10" s="21">
        <f>D2*9</f>
        <v>0</v>
      </c>
      <c r="E10" s="21">
        <f>E2*2</f>
        <v>0</v>
      </c>
      <c r="F10" s="21">
        <f>F2*9</f>
        <v>0</v>
      </c>
      <c r="G10" s="21">
        <f>G2*9</f>
        <v>0</v>
      </c>
      <c r="H10" s="21">
        <f>H2*9</f>
        <v>0</v>
      </c>
      <c r="I10" s="21">
        <f>I2*9</f>
        <v>0</v>
      </c>
      <c r="J10" s="23">
        <f>J2*3</f>
        <v>0</v>
      </c>
      <c r="K10" s="23">
        <f>K2*2</f>
        <v>0</v>
      </c>
      <c r="L10" s="23">
        <f>L3*0</f>
        <v>0</v>
      </c>
      <c r="M10" s="21">
        <f>M2*2</f>
        <v>0</v>
      </c>
      <c r="N10" s="21">
        <f>N2*2</f>
        <v>0</v>
      </c>
      <c r="O10" s="22">
        <f t="shared" ref="O10:O21" si="2">B10*($B$9/$B$8)+C10*($C$9/$C$8)+D10*($D$9/$D$8)+E10*($E$9/$E$8)+F10*($F$9/$F$8)+G10*($G$9/$G$8)+H10*($H$9/$H$8)+I10*($I$9/$I$8)+J10*($J$9/$J$8)+K10*($K$9/$K$8)+L10*($L$9/$L$8)+M10*($M$9/$M$8)+N10*($N$9/$N$8)</f>
        <v>0</v>
      </c>
      <c r="P10" s="22">
        <f>O2*(A2/4)</f>
        <v>0</v>
      </c>
      <c r="Q10" s="22"/>
      <c r="R10" s="22">
        <f>P10-O10</f>
        <v>0</v>
      </c>
    </row>
    <row r="11" spans="1:18" x14ac:dyDescent="0.3">
      <c r="A11" s="20">
        <v>1450</v>
      </c>
      <c r="B11" s="21">
        <f>B3*16</f>
        <v>0</v>
      </c>
      <c r="C11" s="21">
        <f>C3*6</f>
        <v>0</v>
      </c>
      <c r="D11" s="21">
        <f>D3*16</f>
        <v>0</v>
      </c>
      <c r="E11" s="21">
        <f>E3*4</f>
        <v>0</v>
      </c>
      <c r="F11" s="23">
        <f>F3*16</f>
        <v>0</v>
      </c>
      <c r="G11" s="23">
        <f>G3*16</f>
        <v>0</v>
      </c>
      <c r="H11" s="23">
        <f>H3*16</f>
        <v>0</v>
      </c>
      <c r="I11" s="23">
        <f>I3*16</f>
        <v>0</v>
      </c>
      <c r="J11" s="23">
        <f>J3*6</f>
        <v>0</v>
      </c>
      <c r="K11" s="21">
        <f>K3*3.5</f>
        <v>0</v>
      </c>
      <c r="L11" s="21">
        <f>L3*2</f>
        <v>0</v>
      </c>
      <c r="M11" s="21">
        <f>M3*4</f>
        <v>0</v>
      </c>
      <c r="N11" s="21">
        <f>N3*3.5</f>
        <v>0</v>
      </c>
      <c r="O11" s="22">
        <f t="shared" si="2"/>
        <v>0</v>
      </c>
      <c r="P11" s="22">
        <f>O3*(A3/4)</f>
        <v>0</v>
      </c>
      <c r="Q11" s="22"/>
      <c r="R11" s="22">
        <f>P11-O11</f>
        <v>0</v>
      </c>
    </row>
    <row r="12" spans="1:18" x14ac:dyDescent="0.3">
      <c r="A12" s="20">
        <v>1950</v>
      </c>
      <c r="B12" s="21">
        <f>B4*22</f>
        <v>0</v>
      </c>
      <c r="C12" s="21">
        <f>C4*8</f>
        <v>0</v>
      </c>
      <c r="D12" s="21">
        <f>D4*22</f>
        <v>0</v>
      </c>
      <c r="E12" s="21">
        <f>E4*6</f>
        <v>0</v>
      </c>
      <c r="F12" s="23">
        <f>F4*22</f>
        <v>0</v>
      </c>
      <c r="G12" s="23">
        <f>G4*22</f>
        <v>0</v>
      </c>
      <c r="H12" s="23">
        <f>H4*22</f>
        <v>0</v>
      </c>
      <c r="I12" s="23">
        <f>I4*22</f>
        <v>0</v>
      </c>
      <c r="J12" s="23">
        <f>J4*8</f>
        <v>0</v>
      </c>
      <c r="K12" s="21">
        <f>K4*4</f>
        <v>0</v>
      </c>
      <c r="L12" s="21">
        <f>L4*3</f>
        <v>0</v>
      </c>
      <c r="M12" s="21">
        <f>M4*5</f>
        <v>0</v>
      </c>
      <c r="N12" s="21">
        <f>N4*5</f>
        <v>0</v>
      </c>
      <c r="O12" s="22">
        <f t="shared" si="2"/>
        <v>0</v>
      </c>
      <c r="P12" s="22">
        <f>O4*(A4/4)</f>
        <v>0</v>
      </c>
      <c r="Q12" s="22"/>
      <c r="R12" s="22">
        <f>P12-O12</f>
        <v>0</v>
      </c>
    </row>
    <row r="13" spans="1:18" x14ac:dyDescent="0.3">
      <c r="A13" s="20">
        <v>2750</v>
      </c>
      <c r="B13" s="21">
        <f>B5*32</f>
        <v>0</v>
      </c>
      <c r="C13" s="21">
        <f>C5*10</f>
        <v>0</v>
      </c>
      <c r="D13" s="21">
        <f>D5*32</f>
        <v>0</v>
      </c>
      <c r="E13" s="21">
        <f>E5*8</f>
        <v>0</v>
      </c>
      <c r="F13" s="21">
        <f>F5*32</f>
        <v>0</v>
      </c>
      <c r="G13" s="21">
        <f>G5*32</f>
        <v>0</v>
      </c>
      <c r="H13" s="21">
        <f>H5*32</f>
        <v>0</v>
      </c>
      <c r="I13" s="23">
        <f>I5*32</f>
        <v>0</v>
      </c>
      <c r="J13" s="27">
        <f>J5*10</f>
        <v>0</v>
      </c>
      <c r="K13" s="21">
        <f>K5*7</f>
        <v>0</v>
      </c>
      <c r="L13" s="21">
        <f>L5*4</f>
        <v>0</v>
      </c>
      <c r="M13" s="21">
        <f>M5*7</f>
        <v>0</v>
      </c>
      <c r="N13" s="21">
        <f>N5*7</f>
        <v>0</v>
      </c>
      <c r="O13" s="22">
        <f t="shared" si="2"/>
        <v>0</v>
      </c>
      <c r="P13" s="22">
        <f>O5*(A5/4)</f>
        <v>0</v>
      </c>
      <c r="Q13" s="22"/>
      <c r="R13" s="22">
        <f>P13-O13</f>
        <v>0</v>
      </c>
    </row>
    <row r="14" spans="1:18" x14ac:dyDescent="0.3">
      <c r="A14" s="20">
        <v>4750</v>
      </c>
      <c r="B14" s="21">
        <f>B6*60</f>
        <v>0</v>
      </c>
      <c r="C14" s="21">
        <f>C6*20</f>
        <v>0</v>
      </c>
      <c r="D14" s="21">
        <f t="shared" ref="D14:I14" si="3">D6*60</f>
        <v>0</v>
      </c>
      <c r="E14" s="21">
        <f>E6*14</f>
        <v>0</v>
      </c>
      <c r="F14" s="23">
        <f>F6*60</f>
        <v>0</v>
      </c>
      <c r="G14" s="23">
        <f t="shared" si="3"/>
        <v>0</v>
      </c>
      <c r="H14" s="23">
        <f t="shared" si="3"/>
        <v>0</v>
      </c>
      <c r="I14" s="23">
        <f t="shared" si="3"/>
        <v>0</v>
      </c>
      <c r="J14" s="23">
        <f>J6*22</f>
        <v>0</v>
      </c>
      <c r="K14" s="21">
        <f>K6*12</f>
        <v>0</v>
      </c>
      <c r="L14" s="21">
        <f>L6*8</f>
        <v>0</v>
      </c>
      <c r="M14" s="21">
        <f>M6*12</f>
        <v>0</v>
      </c>
      <c r="N14" s="21">
        <f>N6*12</f>
        <v>0</v>
      </c>
      <c r="O14" s="22">
        <f t="shared" si="2"/>
        <v>0</v>
      </c>
      <c r="P14" s="22">
        <f>O6*(A6/4)</f>
        <v>0</v>
      </c>
      <c r="Q14" s="22"/>
      <c r="R14" s="22">
        <f>P14-O14</f>
        <v>0</v>
      </c>
    </row>
    <row r="15" spans="1:18" x14ac:dyDescent="0.3">
      <c r="A15" s="28" t="s">
        <v>20</v>
      </c>
      <c r="B15" s="29"/>
      <c r="C15" s="29"/>
      <c r="D15" s="29"/>
      <c r="E15" s="29"/>
      <c r="F15" s="29"/>
      <c r="G15" s="29"/>
      <c r="H15" s="29"/>
      <c r="I15" s="29">
        <v>15</v>
      </c>
      <c r="J15" s="29"/>
      <c r="K15" s="29"/>
      <c r="L15" s="29">
        <v>12</v>
      </c>
      <c r="M15" s="29"/>
      <c r="N15" s="21"/>
      <c r="O15" s="22">
        <f t="shared" si="2"/>
        <v>1492.5</v>
      </c>
      <c r="P15" s="22"/>
      <c r="Q15" s="22">
        <v>4000</v>
      </c>
      <c r="R15" s="22">
        <f>SUM(R10:R14)</f>
        <v>0</v>
      </c>
    </row>
    <row r="16" spans="1:18" ht="27.95" x14ac:dyDescent="0.3">
      <c r="A16" s="30" t="s">
        <v>68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2">
        <f t="shared" si="2"/>
        <v>0</v>
      </c>
      <c r="P16" s="22"/>
      <c r="Q16" s="22"/>
      <c r="R16" s="22"/>
    </row>
    <row r="17" spans="1:18" ht="15.6" x14ac:dyDescent="0.3">
      <c r="A17" s="31" t="s">
        <v>69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22">
        <f t="shared" si="2"/>
        <v>0</v>
      </c>
      <c r="P17" s="22"/>
      <c r="Q17" s="33"/>
      <c r="R17" s="22"/>
    </row>
    <row r="18" spans="1:18" ht="15.6" x14ac:dyDescent="0.3">
      <c r="A18" s="31" t="s">
        <v>69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22">
        <f t="shared" si="2"/>
        <v>0</v>
      </c>
      <c r="P18" s="22"/>
      <c r="Q18" s="33"/>
      <c r="R18" s="22"/>
    </row>
    <row r="19" spans="1:18" ht="46.75" x14ac:dyDescent="0.3">
      <c r="A19" s="34" t="s">
        <v>70</v>
      </c>
      <c r="B19" s="32">
        <v>20</v>
      </c>
      <c r="C19" s="32">
        <v>20</v>
      </c>
      <c r="D19" s="32"/>
      <c r="E19" s="32">
        <v>10</v>
      </c>
      <c r="F19" s="32"/>
      <c r="G19" s="32"/>
      <c r="H19" s="32">
        <v>80</v>
      </c>
      <c r="I19" s="32">
        <v>160</v>
      </c>
      <c r="J19" s="32">
        <v>10</v>
      </c>
      <c r="K19" s="32">
        <v>10</v>
      </c>
      <c r="L19" s="32">
        <v>15</v>
      </c>
      <c r="M19" s="32"/>
      <c r="N19" s="32">
        <v>10</v>
      </c>
      <c r="O19" s="22">
        <f t="shared" si="2"/>
        <v>6375.909090909091</v>
      </c>
      <c r="P19" s="22"/>
      <c r="Q19" s="33">
        <v>15000</v>
      </c>
      <c r="R19" s="22"/>
    </row>
    <row r="20" spans="1:18" ht="27.95" x14ac:dyDescent="0.3">
      <c r="A20" s="35" t="s">
        <v>71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22">
        <f t="shared" si="2"/>
        <v>0</v>
      </c>
      <c r="P20" s="22"/>
      <c r="Q20" s="22"/>
      <c r="R20" s="22"/>
    </row>
    <row r="21" spans="1:18" x14ac:dyDescent="0.3">
      <c r="A21" s="37" t="s">
        <v>69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22">
        <f t="shared" si="2"/>
        <v>0</v>
      </c>
      <c r="P21" s="22"/>
      <c r="Q21" s="22"/>
      <c r="R21" s="22"/>
    </row>
    <row r="22" spans="1:18" x14ac:dyDescent="0.3">
      <c r="A22" s="20" t="s">
        <v>65</v>
      </c>
      <c r="B22" s="21">
        <f>SUM(B10:B21)</f>
        <v>20</v>
      </c>
      <c r="C22" s="21">
        <f t="shared" ref="C22:N22" si="4">SUM(C10:C21)</f>
        <v>20</v>
      </c>
      <c r="D22" s="21">
        <f t="shared" si="4"/>
        <v>0</v>
      </c>
      <c r="E22" s="21">
        <f t="shared" si="4"/>
        <v>10</v>
      </c>
      <c r="F22" s="21">
        <f t="shared" si="4"/>
        <v>0</v>
      </c>
      <c r="G22" s="21">
        <f t="shared" si="4"/>
        <v>0</v>
      </c>
      <c r="H22" s="21">
        <f t="shared" si="4"/>
        <v>80</v>
      </c>
      <c r="I22" s="21">
        <f t="shared" si="4"/>
        <v>175</v>
      </c>
      <c r="J22" s="21">
        <f t="shared" si="4"/>
        <v>10</v>
      </c>
      <c r="K22" s="21">
        <f t="shared" si="4"/>
        <v>10</v>
      </c>
      <c r="L22" s="21">
        <f t="shared" si="4"/>
        <v>27</v>
      </c>
      <c r="M22" s="21">
        <f t="shared" si="4"/>
        <v>0</v>
      </c>
      <c r="N22" s="21">
        <f t="shared" si="4"/>
        <v>10</v>
      </c>
      <c r="O22" s="22"/>
      <c r="P22" s="22"/>
      <c r="Q22" s="22"/>
      <c r="R22" s="22"/>
    </row>
    <row r="23" spans="1:18" ht="27.95" x14ac:dyDescent="0.3">
      <c r="A23" s="20" t="s">
        <v>72</v>
      </c>
      <c r="B23" s="21">
        <v>40</v>
      </c>
      <c r="C23" s="21">
        <v>10</v>
      </c>
      <c r="D23" s="21"/>
      <c r="E23" s="21">
        <v>10</v>
      </c>
      <c r="F23" s="21"/>
      <c r="G23" s="21"/>
      <c r="H23" s="21">
        <v>60</v>
      </c>
      <c r="I23" s="21"/>
      <c r="J23" s="21">
        <v>4</v>
      </c>
      <c r="K23" s="21"/>
      <c r="L23" s="21"/>
      <c r="M23" s="21"/>
      <c r="N23" s="21"/>
      <c r="O23" s="22">
        <f>B23*($B$9/$B$8)+C23*($C$9/$C$8)+D23*($D$9/$D$8)+E23*($E$9/$E$8)+F23*($F$9/$F$8)+G23*($G$9/$G$8)+H23*($H$9/$H$8)+I23*($I$9/$I$8)+J23*($J$9/$J$8)+K23*($K$9/$K$8)+L23*($L$9/$L$8)+M23*($M$9/$M$8)+N23*($N$9/$N$8)</f>
        <v>1811.818181818182</v>
      </c>
      <c r="P23" s="22"/>
      <c r="Q23" s="22"/>
      <c r="R23" s="22"/>
    </row>
    <row r="24" spans="1:18" x14ac:dyDescent="0.3">
      <c r="A24" s="15" t="s">
        <v>73</v>
      </c>
      <c r="B24" s="38">
        <f t="shared" ref="B24:N24" si="5">B22-B23</f>
        <v>-20</v>
      </c>
      <c r="C24" s="38">
        <f t="shared" si="5"/>
        <v>10</v>
      </c>
      <c r="D24" s="38">
        <f t="shared" si="5"/>
        <v>0</v>
      </c>
      <c r="E24" s="38">
        <f t="shared" si="5"/>
        <v>0</v>
      </c>
      <c r="F24" s="38">
        <f t="shared" si="5"/>
        <v>0</v>
      </c>
      <c r="G24" s="38">
        <f t="shared" si="5"/>
        <v>0</v>
      </c>
      <c r="H24" s="38">
        <f t="shared" si="5"/>
        <v>20</v>
      </c>
      <c r="I24" s="38">
        <f t="shared" si="5"/>
        <v>175</v>
      </c>
      <c r="J24" s="38">
        <f t="shared" si="5"/>
        <v>6</v>
      </c>
      <c r="K24" s="38">
        <f t="shared" si="5"/>
        <v>10</v>
      </c>
      <c r="L24" s="38">
        <f t="shared" si="5"/>
        <v>27</v>
      </c>
      <c r="M24" s="38">
        <f>M22-M23</f>
        <v>0</v>
      </c>
      <c r="N24" s="38">
        <f t="shared" si="5"/>
        <v>10</v>
      </c>
      <c r="O24" s="18"/>
      <c r="P24" s="18"/>
      <c r="Q24" s="18"/>
      <c r="R24" s="18"/>
    </row>
    <row r="25" spans="1:18" x14ac:dyDescent="0.3">
      <c r="A25" s="20" t="s">
        <v>74</v>
      </c>
      <c r="B25" s="39">
        <v>0.1</v>
      </c>
      <c r="C25" s="39">
        <v>0.1</v>
      </c>
      <c r="D25" s="39">
        <v>0.1</v>
      </c>
      <c r="E25" s="39">
        <v>0.1</v>
      </c>
      <c r="F25" s="39">
        <v>0.15</v>
      </c>
      <c r="G25" s="39">
        <v>0.1</v>
      </c>
      <c r="H25" s="39">
        <v>0.1</v>
      </c>
      <c r="I25" s="39">
        <v>0.1</v>
      </c>
      <c r="J25" s="39">
        <v>0.15</v>
      </c>
      <c r="K25" s="39">
        <v>0.1</v>
      </c>
      <c r="L25" s="39">
        <v>0.05</v>
      </c>
      <c r="M25" s="39">
        <v>0.1</v>
      </c>
      <c r="N25" s="39">
        <v>0.1</v>
      </c>
      <c r="O25" s="18"/>
      <c r="P25" s="18"/>
      <c r="Q25" s="18"/>
      <c r="R25" s="18"/>
    </row>
    <row r="26" spans="1:18" ht="41.95" x14ac:dyDescent="0.3">
      <c r="A26" s="20" t="s">
        <v>75</v>
      </c>
      <c r="B26" s="40">
        <f t="shared" ref="B26:N26" si="6">B24+(B24*10%)</f>
        <v>-22</v>
      </c>
      <c r="C26" s="40">
        <f t="shared" si="6"/>
        <v>11</v>
      </c>
      <c r="D26" s="40">
        <f t="shared" si="6"/>
        <v>0</v>
      </c>
      <c r="E26" s="40">
        <f>E24+(E24*15%)</f>
        <v>0</v>
      </c>
      <c r="F26" s="40">
        <f t="shared" si="6"/>
        <v>0</v>
      </c>
      <c r="G26" s="40">
        <f t="shared" si="6"/>
        <v>0</v>
      </c>
      <c r="H26" s="40">
        <f t="shared" si="6"/>
        <v>22</v>
      </c>
      <c r="I26" s="40">
        <f t="shared" si="6"/>
        <v>192.5</v>
      </c>
      <c r="J26" s="40">
        <f>J24+(J24*10%)</f>
        <v>6.6</v>
      </c>
      <c r="K26" s="40">
        <f t="shared" si="6"/>
        <v>11</v>
      </c>
      <c r="L26" s="40">
        <f t="shared" si="6"/>
        <v>29.7</v>
      </c>
      <c r="M26" s="40">
        <f t="shared" si="6"/>
        <v>0</v>
      </c>
      <c r="N26" s="40">
        <f t="shared" si="6"/>
        <v>11</v>
      </c>
      <c r="O26" s="18"/>
      <c r="P26" s="18"/>
      <c r="Q26" s="18"/>
      <c r="R26" s="18"/>
    </row>
    <row r="27" spans="1:18" ht="27.95" x14ac:dyDescent="0.3">
      <c r="A27" s="20" t="s">
        <v>76</v>
      </c>
      <c r="B27" s="41">
        <f t="shared" ref="B27:N27" si="7">B26/B8</f>
        <v>-1</v>
      </c>
      <c r="C27" s="41">
        <f t="shared" si="7"/>
        <v>1.1000000000000001</v>
      </c>
      <c r="D27" s="41">
        <f t="shared" si="7"/>
        <v>0</v>
      </c>
      <c r="E27" s="41">
        <f t="shared" si="7"/>
        <v>0</v>
      </c>
      <c r="F27" s="41">
        <f t="shared" si="7"/>
        <v>0</v>
      </c>
      <c r="G27" s="41">
        <f t="shared" si="7"/>
        <v>0</v>
      </c>
      <c r="H27" s="41">
        <f t="shared" si="7"/>
        <v>1.1000000000000001</v>
      </c>
      <c r="I27" s="41">
        <f t="shared" si="7"/>
        <v>9.625</v>
      </c>
      <c r="J27" s="41">
        <f t="shared" si="7"/>
        <v>0.65999999999999992</v>
      </c>
      <c r="K27" s="41">
        <f t="shared" si="7"/>
        <v>1.1000000000000001</v>
      </c>
      <c r="L27" s="41">
        <f t="shared" si="7"/>
        <v>2.9699999999999998</v>
      </c>
      <c r="M27" s="41">
        <f t="shared" si="7"/>
        <v>0</v>
      </c>
      <c r="N27" s="41">
        <f t="shared" si="7"/>
        <v>1.1000000000000001</v>
      </c>
      <c r="O27" s="18"/>
      <c r="P27" s="18"/>
      <c r="Q27" s="18"/>
      <c r="R27" s="18"/>
    </row>
    <row r="28" spans="1:18" x14ac:dyDescent="0.3">
      <c r="A28" s="15" t="s">
        <v>77</v>
      </c>
      <c r="B28" s="17"/>
      <c r="C28" s="17">
        <v>3</v>
      </c>
      <c r="D28" s="17"/>
      <c r="E28" s="17"/>
      <c r="F28" s="17"/>
      <c r="G28" s="17"/>
      <c r="H28" s="17"/>
      <c r="I28" s="17">
        <v>11</v>
      </c>
      <c r="J28" s="17">
        <v>1</v>
      </c>
      <c r="K28" s="17">
        <v>2</v>
      </c>
      <c r="L28" s="17">
        <v>3</v>
      </c>
      <c r="M28" s="17"/>
      <c r="N28" s="17">
        <v>2</v>
      </c>
      <c r="O28" s="18"/>
      <c r="P28" s="18"/>
      <c r="Q28" s="18"/>
      <c r="R28" s="18"/>
    </row>
    <row r="29" spans="1:18" x14ac:dyDescent="0.3">
      <c r="A29" s="42"/>
      <c r="B29" s="43"/>
      <c r="C29" s="43"/>
      <c r="D29" s="43"/>
      <c r="E29" s="43"/>
      <c r="F29" s="43"/>
      <c r="G29" s="43"/>
      <c r="H29" s="43"/>
      <c r="I29" s="43">
        <v>1</v>
      </c>
      <c r="J29" s="43"/>
      <c r="K29" s="43"/>
      <c r="L29" s="43"/>
      <c r="M29" s="21"/>
      <c r="N29" s="17"/>
      <c r="O29" s="18"/>
      <c r="P29" s="18"/>
      <c r="Q29" s="18"/>
      <c r="R29" s="18"/>
    </row>
    <row r="30" spans="1:18" x14ac:dyDescent="0.3">
      <c r="A30" s="44"/>
      <c r="B30" s="45"/>
      <c r="C30" s="45">
        <v>2</v>
      </c>
      <c r="D30" s="45"/>
      <c r="E30" s="45"/>
      <c r="F30" s="45"/>
      <c r="G30" s="45"/>
      <c r="H30" s="45"/>
      <c r="I30" s="45">
        <v>4</v>
      </c>
      <c r="J30" s="45"/>
      <c r="K30" s="45">
        <v>1</v>
      </c>
      <c r="L30" s="45">
        <v>2</v>
      </c>
      <c r="M30" s="21"/>
      <c r="N30" s="21">
        <v>1</v>
      </c>
      <c r="O30" s="18"/>
      <c r="P30" s="18"/>
      <c r="Q30" s="18"/>
      <c r="R30" s="18"/>
    </row>
    <row r="31" spans="1:18" x14ac:dyDescent="0.3">
      <c r="A31" s="15"/>
      <c r="B31" s="21"/>
      <c r="C31" s="46"/>
      <c r="D31" s="21"/>
      <c r="E31" s="21"/>
      <c r="F31" s="21"/>
      <c r="G31" s="21"/>
      <c r="H31" s="21"/>
      <c r="I31" s="21">
        <v>4</v>
      </c>
      <c r="J31" s="21"/>
      <c r="K31" s="21"/>
      <c r="L31" s="21">
        <v>1</v>
      </c>
      <c r="M31" s="21"/>
      <c r="N31" s="21"/>
      <c r="O31" s="18"/>
      <c r="P31" s="18"/>
      <c r="Q31" s="18"/>
      <c r="R31" s="18"/>
    </row>
    <row r="32" spans="1:18" x14ac:dyDescent="0.3">
      <c r="A32" s="37"/>
      <c r="B32" s="47"/>
      <c r="C32" s="47"/>
      <c r="D32" s="47"/>
      <c r="E32" s="47"/>
      <c r="F32" s="47"/>
      <c r="G32" s="47"/>
      <c r="H32" s="47"/>
      <c r="I32" s="47"/>
      <c r="J32" s="47"/>
      <c r="K32" s="47">
        <v>1</v>
      </c>
      <c r="L32" s="47"/>
      <c r="M32" s="21"/>
      <c r="N32" s="21"/>
      <c r="O32" s="18"/>
      <c r="P32" s="18"/>
      <c r="Q32" s="18"/>
      <c r="R32" s="18"/>
    </row>
    <row r="33" spans="1:18" x14ac:dyDescent="0.3">
      <c r="A33" s="48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21"/>
      <c r="N33" s="21"/>
      <c r="O33" s="18"/>
      <c r="P33" s="18"/>
      <c r="Q33" s="18"/>
      <c r="R33" s="18"/>
    </row>
    <row r="34" spans="1:18" x14ac:dyDescent="0.3">
      <c r="A34" s="50"/>
      <c r="B34" s="51"/>
      <c r="C34" s="51"/>
      <c r="D34" s="51"/>
      <c r="E34" s="51"/>
      <c r="F34" s="51"/>
      <c r="G34" s="51"/>
      <c r="H34" s="51"/>
      <c r="I34" s="51">
        <v>2</v>
      </c>
      <c r="J34" s="51"/>
      <c r="K34" s="51"/>
      <c r="L34" s="51"/>
      <c r="M34" s="21"/>
      <c r="N34" s="21">
        <v>1</v>
      </c>
      <c r="O34" s="18"/>
      <c r="P34" s="18"/>
      <c r="Q34" s="18"/>
      <c r="R34" s="18"/>
    </row>
    <row r="35" spans="1:18" x14ac:dyDescent="0.3">
      <c r="A35" s="52"/>
      <c r="B35" s="53"/>
      <c r="C35" s="53">
        <v>1</v>
      </c>
      <c r="D35" s="53"/>
      <c r="E35" s="53"/>
      <c r="F35" s="53"/>
      <c r="G35" s="53"/>
      <c r="H35" s="53"/>
      <c r="I35" s="53"/>
      <c r="J35" s="53">
        <v>1</v>
      </c>
      <c r="K35" s="53"/>
      <c r="L35" s="53"/>
      <c r="M35" s="21"/>
      <c r="N35" s="21"/>
      <c r="O35" s="18"/>
      <c r="P35" s="18"/>
      <c r="Q35" s="18"/>
      <c r="R35" s="18"/>
    </row>
    <row r="36" spans="1:18" x14ac:dyDescent="0.3">
      <c r="A36" s="15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7"/>
      <c r="M36" s="17"/>
      <c r="N36" s="21"/>
      <c r="O36" s="18"/>
      <c r="P36" s="18"/>
      <c r="Q36" s="18"/>
      <c r="R36" s="18"/>
    </row>
    <row r="37" spans="1:18" ht="15.6" x14ac:dyDescent="0.3">
      <c r="A37" s="54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18"/>
      <c r="P37" s="18"/>
      <c r="Q37" s="18"/>
      <c r="R37" s="18"/>
    </row>
    <row r="38" spans="1:18" x14ac:dyDescent="0.3">
      <c r="A38" s="17" t="s">
        <v>78</v>
      </c>
      <c r="B38" s="24">
        <f t="shared" ref="B38:N38" si="8">B28*B9</f>
        <v>0</v>
      </c>
      <c r="C38" s="24">
        <f t="shared" si="8"/>
        <v>900</v>
      </c>
      <c r="D38" s="24">
        <f t="shared" si="8"/>
        <v>0</v>
      </c>
      <c r="E38" s="24">
        <f t="shared" si="8"/>
        <v>0</v>
      </c>
      <c r="F38" s="24">
        <f t="shared" si="8"/>
        <v>0</v>
      </c>
      <c r="G38" s="24">
        <f t="shared" si="8"/>
        <v>0</v>
      </c>
      <c r="H38" s="24">
        <f t="shared" si="8"/>
        <v>0</v>
      </c>
      <c r="I38" s="24">
        <f t="shared" si="8"/>
        <v>1650</v>
      </c>
      <c r="J38" s="24">
        <f t="shared" si="8"/>
        <v>425</v>
      </c>
      <c r="K38" s="24">
        <f t="shared" si="8"/>
        <v>950</v>
      </c>
      <c r="L38" s="24">
        <f t="shared" si="8"/>
        <v>3450</v>
      </c>
      <c r="M38" s="24">
        <f t="shared" si="8"/>
        <v>0</v>
      </c>
      <c r="N38" s="24">
        <f t="shared" si="8"/>
        <v>800</v>
      </c>
      <c r="O38" s="18">
        <f>B38+C38+D38+E38+F38+G38+H38+I38+J38+K38+L38+M38+N38+Q60+ 2000</f>
        <v>15685</v>
      </c>
      <c r="P38" s="56"/>
      <c r="Q38" s="22">
        <f>SUM(Q7:Q23)</f>
        <v>19000</v>
      </c>
      <c r="R38" s="18"/>
    </row>
    <row r="39" spans="1:18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57" t="s">
        <v>79</v>
      </c>
      <c r="Q39" s="57" t="s">
        <v>80</v>
      </c>
      <c r="R39" s="18"/>
    </row>
    <row r="40" spans="1:18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 t="s">
        <v>81</v>
      </c>
      <c r="O40" s="18">
        <f t="shared" ref="O40:O59" si="9">Q40*P40</f>
        <v>1000</v>
      </c>
      <c r="P40" s="18">
        <v>5</v>
      </c>
      <c r="Q40" s="18">
        <v>200</v>
      </c>
      <c r="R40" s="18"/>
    </row>
    <row r="41" spans="1:18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 t="s">
        <v>82</v>
      </c>
      <c r="O41" s="18">
        <f t="shared" si="9"/>
        <v>300</v>
      </c>
      <c r="P41" s="18">
        <v>3</v>
      </c>
      <c r="Q41" s="18">
        <v>100</v>
      </c>
      <c r="R41" s="18"/>
    </row>
    <row r="42" spans="1:18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 t="s">
        <v>83</v>
      </c>
      <c r="O42" s="18">
        <f t="shared" si="9"/>
        <v>0</v>
      </c>
      <c r="P42" s="18">
        <v>0</v>
      </c>
      <c r="Q42" s="18">
        <v>100</v>
      </c>
      <c r="R42" s="18"/>
    </row>
    <row r="43" spans="1:18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 t="s">
        <v>84</v>
      </c>
      <c r="O43" s="18">
        <f t="shared" si="9"/>
        <v>2000</v>
      </c>
      <c r="P43" s="18">
        <v>100</v>
      </c>
      <c r="Q43" s="18">
        <v>20</v>
      </c>
      <c r="R43" s="18"/>
    </row>
    <row r="44" spans="1:18" ht="27.95" x14ac:dyDescent="0.3">
      <c r="A44" s="18"/>
      <c r="B44" s="18"/>
      <c r="C44" s="18"/>
      <c r="D44" s="18"/>
      <c r="E44" s="18"/>
      <c r="F44" s="58"/>
      <c r="G44" s="18"/>
      <c r="H44" s="18"/>
      <c r="I44" s="18"/>
      <c r="J44" s="18"/>
      <c r="K44" s="18"/>
      <c r="L44" s="18"/>
      <c r="M44" s="18"/>
      <c r="N44" s="18" t="s">
        <v>85</v>
      </c>
      <c r="O44" s="18">
        <f t="shared" si="9"/>
        <v>320</v>
      </c>
      <c r="P44" s="18">
        <v>4</v>
      </c>
      <c r="Q44" s="18">
        <v>80</v>
      </c>
      <c r="R44" s="18"/>
    </row>
    <row r="45" spans="1:18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 t="s">
        <v>86</v>
      </c>
      <c r="O45" s="18">
        <f t="shared" si="9"/>
        <v>0</v>
      </c>
      <c r="P45" s="18">
        <v>0</v>
      </c>
      <c r="Q45" s="18">
        <v>300</v>
      </c>
      <c r="R45" s="18"/>
    </row>
    <row r="46" spans="1:18" ht="27.95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 t="s">
        <v>87</v>
      </c>
      <c r="O46" s="18">
        <f t="shared" si="9"/>
        <v>0</v>
      </c>
      <c r="P46" s="18">
        <v>0</v>
      </c>
      <c r="Q46" s="18">
        <v>250</v>
      </c>
      <c r="R46" s="18"/>
    </row>
    <row r="47" spans="1:18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 t="s">
        <v>88</v>
      </c>
      <c r="O47" s="18">
        <f t="shared" si="9"/>
        <v>300</v>
      </c>
      <c r="P47" s="18">
        <v>3</v>
      </c>
      <c r="Q47" s="18">
        <v>100</v>
      </c>
      <c r="R47" s="18"/>
    </row>
    <row r="48" spans="1:18" ht="27.95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 t="s">
        <v>89</v>
      </c>
      <c r="O48" s="18">
        <f t="shared" si="9"/>
        <v>600</v>
      </c>
      <c r="P48" s="18">
        <v>2</v>
      </c>
      <c r="Q48" s="18">
        <v>300</v>
      </c>
      <c r="R48" s="18"/>
    </row>
    <row r="49" spans="1:18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 t="s">
        <v>90</v>
      </c>
      <c r="O49" s="18">
        <f t="shared" si="9"/>
        <v>0</v>
      </c>
      <c r="P49" s="18">
        <v>0</v>
      </c>
      <c r="Q49" s="18">
        <v>700</v>
      </c>
      <c r="R49" s="18"/>
    </row>
    <row r="50" spans="1:18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 t="s">
        <v>91</v>
      </c>
      <c r="O50" s="18">
        <f t="shared" si="9"/>
        <v>1500</v>
      </c>
      <c r="P50" s="18">
        <v>5</v>
      </c>
      <c r="Q50" s="18">
        <v>300</v>
      </c>
      <c r="R50" s="18"/>
    </row>
    <row r="51" spans="1:18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 t="s">
        <v>92</v>
      </c>
      <c r="O51" s="18">
        <f t="shared" si="9"/>
        <v>900</v>
      </c>
      <c r="P51" s="18">
        <v>5</v>
      </c>
      <c r="Q51" s="18">
        <v>180</v>
      </c>
      <c r="R51" s="18"/>
    </row>
    <row r="52" spans="1:18" ht="27.95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 t="s">
        <v>93</v>
      </c>
      <c r="O52" s="18">
        <f t="shared" si="9"/>
        <v>200</v>
      </c>
      <c r="P52" s="18">
        <v>2</v>
      </c>
      <c r="Q52" s="18">
        <v>100</v>
      </c>
      <c r="R52" s="18"/>
    </row>
    <row r="53" spans="1:18" ht="27.95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 t="s">
        <v>94</v>
      </c>
      <c r="O53" s="18">
        <f t="shared" si="9"/>
        <v>80</v>
      </c>
      <c r="P53" s="18">
        <v>1</v>
      </c>
      <c r="Q53" s="18">
        <v>80</v>
      </c>
      <c r="R53" s="18"/>
    </row>
    <row r="54" spans="1:18" ht="41.95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 t="s">
        <v>95</v>
      </c>
      <c r="O54" s="18">
        <f t="shared" si="9"/>
        <v>0</v>
      </c>
      <c r="P54" s="18">
        <v>0</v>
      </c>
      <c r="Q54" s="18">
        <v>450</v>
      </c>
      <c r="R54" s="18"/>
    </row>
    <row r="55" spans="1:18" ht="41.95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 t="s">
        <v>96</v>
      </c>
      <c r="O55" s="18">
        <f t="shared" si="9"/>
        <v>0</v>
      </c>
      <c r="P55" s="18">
        <v>0</v>
      </c>
      <c r="Q55" s="18">
        <v>550</v>
      </c>
      <c r="R55" s="18"/>
    </row>
    <row r="56" spans="1:18" ht="27.95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 t="s">
        <v>97</v>
      </c>
      <c r="O56" s="18">
        <f t="shared" si="9"/>
        <v>0</v>
      </c>
      <c r="P56" s="18">
        <v>0</v>
      </c>
      <c r="Q56" s="18">
        <v>200</v>
      </c>
      <c r="R56" s="18"/>
    </row>
    <row r="57" spans="1:18" ht="27.95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 t="s">
        <v>98</v>
      </c>
      <c r="O57" s="18">
        <f t="shared" si="9"/>
        <v>0</v>
      </c>
      <c r="P57" s="18">
        <v>0</v>
      </c>
      <c r="Q57" s="18">
        <v>600</v>
      </c>
      <c r="R57" s="18"/>
    </row>
    <row r="58" spans="1:18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 t="s">
        <v>99</v>
      </c>
      <c r="O58" s="18">
        <f t="shared" si="9"/>
        <v>0</v>
      </c>
      <c r="P58" s="18">
        <v>0</v>
      </c>
      <c r="Q58" s="18">
        <v>300</v>
      </c>
      <c r="R58" s="18"/>
    </row>
    <row r="59" spans="1:18" ht="27.95" x14ac:dyDescent="0.3">
      <c r="A59" s="18"/>
      <c r="B59" s="18"/>
      <c r="C59" s="18"/>
      <c r="D59" s="18"/>
      <c r="E59" s="18"/>
      <c r="F59" s="18"/>
      <c r="G59" s="18"/>
      <c r="H59" s="59">
        <f>(1038*25)/30</f>
        <v>865</v>
      </c>
      <c r="I59" s="18"/>
      <c r="J59" s="18"/>
      <c r="K59" s="18"/>
      <c r="L59" s="18"/>
      <c r="M59" s="18"/>
      <c r="N59" s="18" t="s">
        <v>100</v>
      </c>
      <c r="O59" s="18">
        <f t="shared" si="9"/>
        <v>0</v>
      </c>
      <c r="P59" s="18">
        <v>0</v>
      </c>
      <c r="Q59" s="18">
        <v>600</v>
      </c>
      <c r="R59" s="18"/>
    </row>
    <row r="60" spans="1:18" x14ac:dyDescent="0.3">
      <c r="Q60">
        <f>SUM(Q40:Q59)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2026-08-04T17:19:16Z</dcterms:created>
  <dcterms:modified xsi:type="dcterms:W3CDTF">2026-08-04T17:55:51Z</dcterms:modified>
</cp:coreProperties>
</file>