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52" documentId="8_{C2D7C209-A903-46A6-8CAC-0B2CE2AA7C0D}" xr6:coauthVersionLast="47" xr6:coauthVersionMax="47" xr10:uidLastSave="{51968E60-B97B-4C39-8276-49FD5C251309}"/>
  <bookViews>
    <workbookView xWindow="-107" yWindow="-107" windowWidth="20847" windowHeight="11100" xr2:uid="{EE578CE1-95D1-40DC-BB96-7F11C6D17CCF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0" i="1" l="1"/>
  <c r="I109" i="1"/>
  <c r="Q58" i="2"/>
  <c r="O57" i="2"/>
  <c r="H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O21" i="2"/>
  <c r="O19" i="2"/>
  <c r="O18" i="2"/>
  <c r="O17" i="2"/>
  <c r="O16" i="2"/>
  <c r="O15" i="2"/>
  <c r="O14" i="2"/>
  <c r="O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N6" i="2"/>
  <c r="M6" i="2"/>
  <c r="L6" i="2"/>
  <c r="K6" i="2"/>
  <c r="J6" i="2"/>
  <c r="I6" i="2"/>
  <c r="H6" i="2"/>
  <c r="G6" i="2"/>
  <c r="F6" i="2"/>
  <c r="E6" i="2"/>
  <c r="D6" i="2"/>
  <c r="C6" i="2"/>
  <c r="B6" i="2"/>
  <c r="O5" i="2"/>
  <c r="P5" i="2" s="1"/>
  <c r="O4" i="2"/>
  <c r="P11" i="2" s="1"/>
  <c r="O3" i="2"/>
  <c r="P3" i="2" s="1"/>
  <c r="O2" i="2"/>
  <c r="P2" i="2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2" i="1"/>
  <c r="I20" i="2" l="1"/>
  <c r="I22" i="2" s="1"/>
  <c r="I24" i="2" s="1"/>
  <c r="I25" i="2" s="1"/>
  <c r="P9" i="2"/>
  <c r="B20" i="2"/>
  <c r="B22" i="2" s="1"/>
  <c r="B24" i="2" s="1"/>
  <c r="B25" i="2" s="1"/>
  <c r="J20" i="2"/>
  <c r="J22" i="2" s="1"/>
  <c r="J24" i="2" s="1"/>
  <c r="J25" i="2" s="1"/>
  <c r="C20" i="2"/>
  <c r="C22" i="2" s="1"/>
  <c r="C24" i="2" s="1"/>
  <c r="C25" i="2" s="1"/>
  <c r="K20" i="2"/>
  <c r="K22" i="2" s="1"/>
  <c r="K24" i="2" s="1"/>
  <c r="K25" i="2" s="1"/>
  <c r="O9" i="2"/>
  <c r="L20" i="2"/>
  <c r="L22" i="2" s="1"/>
  <c r="L24" i="2" s="1"/>
  <c r="L25" i="2" s="1"/>
  <c r="E20" i="2"/>
  <c r="E22" i="2" s="1"/>
  <c r="E24" i="2" s="1"/>
  <c r="E25" i="2" s="1"/>
  <c r="M20" i="2"/>
  <c r="M22" i="2" s="1"/>
  <c r="M24" i="2" s="1"/>
  <c r="M25" i="2" s="1"/>
  <c r="F20" i="2"/>
  <c r="F22" i="2" s="1"/>
  <c r="F24" i="2" s="1"/>
  <c r="F25" i="2" s="1"/>
  <c r="N20" i="2"/>
  <c r="N22" i="2" s="1"/>
  <c r="N24" i="2" s="1"/>
  <c r="N25" i="2" s="1"/>
  <c r="G20" i="2"/>
  <c r="G22" i="2" s="1"/>
  <c r="G24" i="2" s="1"/>
  <c r="G25" i="2" s="1"/>
  <c r="H20" i="2"/>
  <c r="H22" i="2" s="1"/>
  <c r="H24" i="2" s="1"/>
  <c r="H25" i="2" s="1"/>
  <c r="P4" i="2"/>
  <c r="P6" i="2" s="1"/>
  <c r="Q6" i="2" s="1"/>
  <c r="Q36" i="2" s="1"/>
  <c r="D20" i="2"/>
  <c r="D22" i="2" s="1"/>
  <c r="D24" i="2" s="1"/>
  <c r="D25" i="2" s="1"/>
  <c r="P10" i="2"/>
  <c r="O11" i="2"/>
  <c r="R11" i="2" s="1"/>
  <c r="O10" i="2"/>
  <c r="O12" i="2"/>
  <c r="O36" i="2"/>
  <c r="O6" i="2"/>
  <c r="P12" i="2"/>
  <c r="R10" i="2" l="1"/>
  <c r="R9" i="2"/>
  <c r="R12" i="2"/>
  <c r="R13" i="2" l="1"/>
</calcChain>
</file>

<file path=xl/sharedStrings.xml><?xml version="1.0" encoding="utf-8"?>
<sst xmlns="http://schemas.openxmlformats.org/spreadsheetml/2006/main" count="1243" uniqueCount="552">
  <si>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</si>
  <si>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</si>
  <si>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</si>
  <si>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</si>
  <si>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</si>
  <si>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</si>
  <si>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</si>
  <si>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</si>
  <si>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</si>
  <si>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</si>
  <si>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</si>
  <si>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</si>
  <si>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</si>
  <si>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</si>
  <si>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Arpita Das</t>
  </si>
  <si>
    <t>120/63, Silver Oaks Appartment, G Block, Sec 26</t>
  </si>
  <si>
    <t>DLF Phase 1</t>
  </si>
  <si>
    <t>Saturday</t>
  </si>
  <si>
    <t>9 AM - 12 PM</t>
  </si>
  <si>
    <t>Bliss</t>
  </si>
  <si>
    <t>Rajni next (23/05) Skip 1 week (25/05) Skip 1 week (06/07) Skip 16th (12/08) Hold tom (28/11) Hold till 4th Jan (14/12) Start from 31st Jan (12/01) Skip tom (06/02) Skip tom (13/02) Hold 28th Mar (25/03) Hold till 20th June (11/05) Hold today (11/07) Hold today (01/08)</t>
  </si>
  <si>
    <t>Rajni next</t>
  </si>
  <si>
    <t>4  del of this cycle   -  0-cycles pmnt   Completed - Collect 0</t>
  </si>
  <si>
    <t>Kaamini Singhal</t>
  </si>
  <si>
    <t>H-40/9, DLF Phase 1</t>
  </si>
  <si>
    <t>10% Discount// Sent one deltodayu and then every Saturday (12/04) Skip Tom (08/08) Skip tom (22/08) Today returned (04/10) Hold tom (26/12) Today Hold (17/01) Skip 2 week (23/01) Day Changed to satirday (10/02) Skip 2 week (12/04) Skip 1 week (10/07) Skip 1 week (24/07) Returned today (01/08)</t>
  </si>
  <si>
    <t>Aman</t>
  </si>
  <si>
    <t>S-1/12, 1st Floor, DLF Phase 3</t>
  </si>
  <si>
    <t>DLF Phase 3</t>
  </si>
  <si>
    <t>4 Pm to 7 PM</t>
  </si>
  <si>
    <t>Charm</t>
  </si>
  <si>
    <t>Sat n Tuesday//NO Car n Lilies(07/09) Skip coming del n send on 4th Jan (25/12) Skip tom (10/01) Hold n start from 5th Mar-25(09/02) Hold due to non payment (14/10) Hold due to non payment (17/01)</t>
  </si>
  <si>
    <t>Car n Lilies</t>
  </si>
  <si>
    <t>3  del of this cycle   -  0-cycles pmnt   Completed - Collect 0</t>
  </si>
  <si>
    <t>Navjot Kaur</t>
  </si>
  <si>
    <t>T-1/106, Sushant Estate</t>
  </si>
  <si>
    <t>Sushant Estate</t>
  </si>
  <si>
    <t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 HDTNP (25/07) HDTNP (25/07) HDTNP (01/08)</t>
  </si>
  <si>
    <t>Tanvir Mallik</t>
  </si>
  <si>
    <t>D-39, South City 1</t>
  </si>
  <si>
    <t>South City 1</t>
  </si>
  <si>
    <t>Skip 2 weeks (01/06) Skip 2 week (03/07)</t>
  </si>
  <si>
    <t>Anna Thakran</t>
  </si>
  <si>
    <t>B1/83, Regency Park-1, DLF Phase 4</t>
  </si>
  <si>
    <t>DLF Phase 4</t>
  </si>
  <si>
    <t>Day Changed to Saturday (22/03)Paytm Anna Tresa Jose Tharakan (08/11) Skip 1 week (21/11) Returned today (29/11) Skip 1 week (14/02) Skip 1 week (17/04) Today Hold (02/05) HDTNP (25/07)</t>
  </si>
  <si>
    <t>Jyotsna Ghoshal</t>
  </si>
  <si>
    <t xml:space="preserve">1701, tower 4, the palms, south city 1    South City 1 Gurgaon  122001 </t>
  </si>
  <si>
    <t>Elation</t>
  </si>
  <si>
    <t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 Hold till July ()6/07)</t>
  </si>
  <si>
    <t>2  del of this cycle   -  0-cycles pmnt   Completed - Collect 0</t>
  </si>
  <si>
    <t>Madhulika</t>
  </si>
  <si>
    <t>C-2101, Pioneer Araya, Sec 62</t>
  </si>
  <si>
    <t>Ghata</t>
  </si>
  <si>
    <t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 Skip 1 week (29/07)</t>
  </si>
  <si>
    <t>Eustoma n Rajni</t>
  </si>
  <si>
    <t>Collect cash</t>
  </si>
  <si>
    <t>Farah</t>
  </si>
  <si>
    <t>D-12/3, Ground Floor, Gate no.4, aardee City</t>
  </si>
  <si>
    <t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t>
  </si>
  <si>
    <t>Spray Daisy n Rajni</t>
  </si>
  <si>
    <t>Sangeeta-South City 1</t>
  </si>
  <si>
    <t>A-299, 1st Floor, South City 1</t>
  </si>
  <si>
    <t>9 AM to 2 PM</t>
  </si>
  <si>
    <t>Upgrade to Blis // Today Returned (06/12) Skip tom as payment not received (11/12) Paytm From Sangeeta yadav (03/02) Returned today (21/02) HDTNP (13/03) HDTNP (20/06) HDTNP (18/07)</t>
  </si>
  <si>
    <t>Manya Jha</t>
  </si>
  <si>
    <t>H-33/1, Ground Floor, DLF Phase 1</t>
  </si>
  <si>
    <t>9:30 Am to 2 PM</t>
  </si>
  <si>
    <t>Send 1 Bottle Flower Food tom // No Orchids (09/04) Skip 1 week (29/09) Skip n sned on Tuesday this week (05/08)</t>
  </si>
  <si>
    <t>ORCHID</t>
  </si>
  <si>
    <t>Skip 8th n sned on 11th (05/08)</t>
  </si>
  <si>
    <t>Kalyani Rajan</t>
  </si>
  <si>
    <t>9/106, Heritage City, M G Road</t>
  </si>
  <si>
    <t>M G Road</t>
  </si>
  <si>
    <t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t>
  </si>
  <si>
    <t>GERBERA</t>
  </si>
  <si>
    <t>Vase Tom (22/05)</t>
  </si>
  <si>
    <t>Supriya Bijlwan</t>
  </si>
  <si>
    <t>C-201, Mahindra Luminaire</t>
  </si>
  <si>
    <t>10 AM to 2:30 PM</t>
  </si>
  <si>
    <t>Felicity</t>
  </si>
  <si>
    <t>1 Seasonal Extra next (20/05) No Rajni in Summer (12/07)</t>
  </si>
  <si>
    <t>Rajni in Summer</t>
  </si>
  <si>
    <t>Premium in next 2 Del (23/05)</t>
  </si>
  <si>
    <t>Samia Sharma</t>
  </si>
  <si>
    <t>C-65, 1st Floor, South City 1</t>
  </si>
  <si>
    <t>Joy</t>
  </si>
  <si>
    <t>Mix Color and one kind (07/03)</t>
  </si>
  <si>
    <t>Arti Kaul</t>
  </si>
  <si>
    <t>T-2B, Windsor Court, DLF Phase 4</t>
  </si>
  <si>
    <t>One Kind of Flower (13/01)</t>
  </si>
  <si>
    <t>One Kind</t>
  </si>
  <si>
    <t>Jaya Todi</t>
  </si>
  <si>
    <t>T-6/1001, M3M Heights, Sec 65</t>
  </si>
  <si>
    <t>Badshahpur</t>
  </si>
  <si>
    <t>4 PM to 7PM</t>
  </si>
  <si>
    <t>No Spray Daisy ( 15/07)</t>
  </si>
  <si>
    <t>Spray Daisy</t>
  </si>
  <si>
    <t>Anuvrata</t>
  </si>
  <si>
    <t>H. No. 82, 1st Floor, Sec 41, South City 1</t>
  </si>
  <si>
    <t>One Bouquet of 600 Missed, Pls add in her account (09/07)</t>
  </si>
  <si>
    <t>Nandita Singh</t>
  </si>
  <si>
    <t>325-B, Hamilton Court</t>
  </si>
  <si>
    <t>Savor</t>
  </si>
  <si>
    <t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t>
  </si>
  <si>
    <t>Nidhi Duggal</t>
  </si>
  <si>
    <t>B-2803, Ireo Grand Arch</t>
  </si>
  <si>
    <t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t>
  </si>
  <si>
    <t>Hold 21st and 28th June (05/05)</t>
  </si>
  <si>
    <t xml:space="preserve">Paroma </t>
  </si>
  <si>
    <t>123A Hamilton Court, DLF City Phase IV. Tower 1 23rd floor. Gurgaon</t>
  </si>
  <si>
    <t>Four Plus 1 Pack (18/04) Next del with Flower Food (15/05) HDTNP (25/07) Send 1 del tom (27/07)</t>
  </si>
  <si>
    <t>Next Del with FF (15/05)</t>
  </si>
  <si>
    <t>Riti Malhotra-- Before 1 PM</t>
  </si>
  <si>
    <t>C-701, Elevate, Sec 59</t>
  </si>
  <si>
    <t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 Skip 1 week (28/07)</t>
  </si>
  <si>
    <t>Shalini Sinha</t>
  </si>
  <si>
    <t>A4/602, World Spa East</t>
  </si>
  <si>
    <t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t>
  </si>
  <si>
    <t xml:space="preserve">ORCHID n GLAD </t>
  </si>
  <si>
    <t>Sharmistha Dutta</t>
  </si>
  <si>
    <t>T-A/501, Uniwrold City Sec 30</t>
  </si>
  <si>
    <t xml:space="preserve">Smita Halder </t>
  </si>
  <si>
    <t>1st floor, plot 65
Opposite ardee school 
Ardee city gate 3</t>
  </si>
  <si>
    <t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t>
  </si>
  <si>
    <t>4  del of this cycle   -  0-cycles pmnt   CompletedNO COLLECTION-we have extra money - Collect -340</t>
  </si>
  <si>
    <t>Ritu Gupta</t>
  </si>
  <si>
    <t>T-3/1201, The Close North</t>
  </si>
  <si>
    <t>Nirvana Country</t>
  </si>
  <si>
    <t>Customized</t>
  </si>
  <si>
    <t>3 Asiatic every week (30/09) Paytm from Tritu Pasricha // Hold tom (28/11) Skip 1 week (29/12) Today Hold (17/01) Hold today (21/02) Hold today (28/03) Tiday Returned (25/04) Today Returned (30/05) Hold till 12th June (31/05) HDTNP (01/08)</t>
  </si>
  <si>
    <t>3 Asiatic</t>
  </si>
  <si>
    <t>Rajpal Singh</t>
  </si>
  <si>
    <t>F-2, Greenwood City, Sec 46</t>
  </si>
  <si>
    <t>Sector 46</t>
  </si>
  <si>
    <t>No Rajni (11/07)</t>
  </si>
  <si>
    <t>Rajni</t>
  </si>
  <si>
    <t>Akanksha Bhatia -- After 4 PM</t>
  </si>
  <si>
    <t>H. No. 149, 3rd Floor, A Block, South City 1</t>
  </si>
  <si>
    <t>After 4 PM</t>
  </si>
  <si>
    <t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t>
  </si>
  <si>
    <t>Pranta Dutta</t>
  </si>
  <si>
    <t>99535 59491</t>
  </si>
  <si>
    <t>C 1 flat 501 Ireo skyon golf course extension sector 60 gurgaon ( behind lemon tree hotel)</t>
  </si>
  <si>
    <t>Bloom</t>
  </si>
  <si>
    <t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t>
  </si>
  <si>
    <t>RAJNI n GERBERA</t>
  </si>
  <si>
    <t>Ramesh Kapoor</t>
  </si>
  <si>
    <t>T-6/1404, The Palms, South City 1</t>
  </si>
  <si>
    <t>Tuesday</t>
  </si>
  <si>
    <t>Paytm From Anuradha Kapoor - Anu Kapoor (04/11) Premium tom (13/11) Replacement tom (21/04) 10 % Discint given (15/06) Today hold n sned tom (20/06) Today returned and skip Tuesday also (27/06)</t>
  </si>
  <si>
    <t>Premium Next (13/11)</t>
  </si>
  <si>
    <t>Vrinda Sehgal 1</t>
  </si>
  <si>
    <t>B-13/1, 3rd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</si>
  <si>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t>
  </si>
  <si>
    <t>Aman Batra</t>
  </si>
  <si>
    <t>Tower-F/702, The Ivy, Block A, Sushant Lok-1</t>
  </si>
  <si>
    <t>Enchantment</t>
  </si>
  <si>
    <t>Hold n start from 30th May // Sen this week on Friday (25/06) No Glad (25/06) No rajni ( 07/07)</t>
  </si>
  <si>
    <t xml:space="preserve">Glad n Rajni </t>
  </si>
  <si>
    <t>Anabhra Mishra</t>
  </si>
  <si>
    <t>E-504, Sujjan Vihar</t>
  </si>
  <si>
    <t>DLF Phase 5</t>
  </si>
  <si>
    <t>Eustoma next (12/06)</t>
  </si>
  <si>
    <t>Ankita Jain</t>
  </si>
  <si>
    <t>B-778, 2nd Floor, Sushant Lok</t>
  </si>
  <si>
    <t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t>
  </si>
  <si>
    <t>Atul Gupta</t>
  </si>
  <si>
    <t>Audio Visual Aids, LG-53 DLF Mega Mall</t>
  </si>
  <si>
    <t>Asiatic//Oriental//BOP//Heliconia// Spray Daisy(09/03) NO BOP(//) Received Rs. 2050 today  (24/12) Sent replacement today (16/05) Send replacement tom (05/06) NO BOP // Send replacement of y spray daisy tom (23/07) Today returned (05/10) No Glad Also (17/05)</t>
  </si>
  <si>
    <t>BOP n Glad</t>
  </si>
  <si>
    <t>Bindiya Rawat</t>
  </si>
  <si>
    <t>V-12/3, 1st Floor, DLF Phase 3, Sec 24</t>
  </si>
  <si>
    <t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t>
  </si>
  <si>
    <t>GERBERA n HELICONIA</t>
  </si>
  <si>
    <t>Chandni Ahuja</t>
  </si>
  <si>
    <t>B-102, Regency Park-1</t>
  </si>
  <si>
    <t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t>
  </si>
  <si>
    <t>ORCHID n GLAD n GERBERA</t>
  </si>
  <si>
    <t xml:space="preserve">Mixed Flowers </t>
  </si>
  <si>
    <t>Dr. Khushboo Singh</t>
  </si>
  <si>
    <t>Aks Clinic, Ground Floor, C-1070, Sushant Lok 1</t>
  </si>
  <si>
    <t>10 AM to 3 PM</t>
  </si>
  <si>
    <t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t>
  </si>
  <si>
    <t>Gerbera</t>
  </si>
  <si>
    <t>Skip 23rd May Flowers (07/04)</t>
  </si>
  <si>
    <t>Isha Tyagi</t>
  </si>
  <si>
    <t>C-22-A, 2nd Floor,Aardee City</t>
  </si>
  <si>
    <t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t>
  </si>
  <si>
    <t>3  del of this cycle   -  1-cycles pmnt   Pending - Collect 1950</t>
  </si>
  <si>
    <t>Megha Saraogi</t>
  </si>
  <si>
    <t>A-161, 16th Floor, Raheja Atlantis</t>
  </si>
  <si>
    <t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 Skip 1 week (24/07)</t>
  </si>
  <si>
    <t>BOP n GLAD N NO GULDAWARI</t>
  </si>
  <si>
    <t>17 Flowers only/ Send if Payment Received (06/06)</t>
  </si>
  <si>
    <t xml:space="preserve">Monisha Sharma-- Before 10AM
</t>
  </si>
  <si>
    <t xml:space="preserve">
609A Hamilton Court    DLF Phase 4 Gurgaon  122002 
</t>
  </si>
  <si>
    <t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t>
  </si>
  <si>
    <t xml:space="preserve">Prashant </t>
  </si>
  <si>
    <t>Flat 3B, Building 1, The Hibiscus</t>
  </si>
  <si>
    <t>No Orchid (21/05)</t>
  </si>
  <si>
    <t>Rahul Vatts</t>
  </si>
  <si>
    <t>N-6/14 B, 2nd Floor, Last House in Lane N6, DLF Phase 2, Sec 25</t>
  </si>
  <si>
    <t>Rashmi Chandra</t>
  </si>
  <si>
    <t>6826, DLF Phase-4</t>
  </si>
  <si>
    <t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t>
  </si>
  <si>
    <t>Reena Singh</t>
  </si>
  <si>
    <t>A1/304, Uniworld City</t>
  </si>
  <si>
    <t>Collect cash// Paytm From Harinder Singh// Skip tom (01/11) Paytm from Atikant Kaur (16/11) Paytm from Atikant Kaur (14/12) Today returnde-send next week (14/06) Return-send next week (15/06) Paytm from Harman Singh (02/11) Paytm From Atikant Kaur (18/01)</t>
  </si>
  <si>
    <t>3  del of this cycle   -  0-cycles pmnt   CompletedNO COLLECTION-we have extra money - Collect -4</t>
  </si>
  <si>
    <t>Rekha Krishnan</t>
  </si>
  <si>
    <t>S9/23, DLF Phase3</t>
  </si>
  <si>
    <t>Cash to be collected from Manoj Pandey(10/06) 2 Stick extra next week(28/12) Send 2 stick extra on next del(25/05/2020) Sending Del tom due to Diwali(11/11) Pls return 1050 tom(26/11)</t>
  </si>
  <si>
    <t>Richa Jindal</t>
  </si>
  <si>
    <t>E-1001, The Vilas, Akashmeen Marg, DLF Phase 2</t>
  </si>
  <si>
    <t>Seasonal Only // HDTNP (01/08)</t>
  </si>
  <si>
    <t>Seasnola Only // Rajni Next (24/10)</t>
  </si>
  <si>
    <t>Ruchika Rattan</t>
  </si>
  <si>
    <t>E-0004, Richmond Park, DLF Phase 4</t>
  </si>
  <si>
    <t>Today Returned (16/05)</t>
  </si>
  <si>
    <t>Shawlinee</t>
  </si>
  <si>
    <t>18/502, Heritage City</t>
  </si>
  <si>
    <t>Rajni Next (07/11) Replacement tom (12/07) 5 Pur Orchid (30/09) Skip 1 week (20/11) 1000 received as cash on 05th Aug (09/08) Change to bliss now (03/10) Shift to Delight now (15/10) Mixed Flowers Only (22/07) Send tom this week (30/07)</t>
  </si>
  <si>
    <t>Mixed Flowers only (22/07)</t>
  </si>
  <si>
    <t xml:space="preserve">Shilpa Gupta </t>
  </si>
  <si>
    <t>H . No. 83, 1st Floor, Sector 30</t>
  </si>
  <si>
    <t>Skip 1 week(11/04) Skip this week to Tuesday (08/03) Skip 2 week (19/07) Skip and send on 31st Mar (28/03) Skip n send on Monday (10/07) Skip tom n send on Monday (14/08)</t>
  </si>
  <si>
    <t xml:space="preserve">Skip 29th </t>
  </si>
  <si>
    <t>Shreya -- Smartworld</t>
  </si>
  <si>
    <t>E-2D, Smartworld Orchard, Sec 61</t>
  </si>
  <si>
    <t>From Shreya Pandey // Skip and send on Tuesday (09/01) HDTNP (21/02) HDTNP --send tom (28/02)</t>
  </si>
  <si>
    <t>3  del of this cycle   -  0-cycles pmnt   CompletedNO COLLECTION-we have extra money - Collect -2</t>
  </si>
  <si>
    <t>Suniti Banga -- Before 11 AM</t>
  </si>
  <si>
    <t>A-3/1102, Uniworld City Sector 30</t>
  </si>
  <si>
    <t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t>
  </si>
  <si>
    <t>Neha Gupta</t>
  </si>
  <si>
    <t>C-106, DLF Oakwood Estate, DLF Phase 2</t>
  </si>
  <si>
    <t>Vani Kalra</t>
  </si>
  <si>
    <t>B-644, Sushant Lok-1</t>
  </si>
  <si>
    <t>Day Changed to Tuesday and shared Location</t>
  </si>
  <si>
    <t>Location</t>
  </si>
  <si>
    <t>Mohini Mallik</t>
  </si>
  <si>
    <t>603. Shiv Shankar Appartment, Plot No. 6, Sec-51</t>
  </si>
  <si>
    <t>Artemis</t>
  </si>
  <si>
    <t>Tuesday and Saturday//Tuesday and Friday//From Neeru malik(14/11) Payment Always from Neeru malik(09/12) Send a replacement(13/12) Skip this weekn send on Monday(18/03) Skip 1 week(14/04) Inform Before sending(01/07) Returned-start from next week(11/07) Skip 1 week(12/08) Skip 1 week(11/10) Skip 1 Week(15/01)  Skip 2 weeks(18/03) Sent replacement today(31/07) Skip 1 del(05/11) NO BOP(09/11) No Button Daisy(27/02) Skip 1 week(26/08) Change to weekly plan (30/10) Hold n start from 9th Mar (21/02) Skip 2 week (16/03)</t>
  </si>
  <si>
    <t>Check before sending (30/07)</t>
  </si>
  <si>
    <t>2  del of this cycle   -  1-cycles pmnt   Pending - Collect 1450</t>
  </si>
  <si>
    <t>Anjum</t>
  </si>
  <si>
    <t>C-804, Mahindra Luminare, Sec 59</t>
  </si>
  <si>
    <t>Bhagyashri Khandelwal</t>
  </si>
  <si>
    <t>C-1983, Flat 401, Sushant Lok Phase 1</t>
  </si>
  <si>
    <t>Will Renew post diwali -- sate of 25th Oct is only for reminder (22/09) Skip 1 week (02/02) After Holi now (22/02) Skip 2 week (22/03) Skip 1 week (10/04) Send this week on Sunday (28/04) Hold today n send tom (16/05) Skip 1 week (02/06) Skip 1 week (12/07)</t>
  </si>
  <si>
    <t>Farah Singh</t>
  </si>
  <si>
    <t>H. No. 4528, Hibiscus Lane, DLF City Phase 4</t>
  </si>
  <si>
    <t>Juhee Gandhi</t>
  </si>
  <si>
    <t>T-2/15 D, 4th Floor, DLF Phase 3</t>
  </si>
  <si>
    <t>Ref  By Disha Roy (12/06) Send 1 del tom (25/08) Send one Del Tom (08/09) Next delivery on Tuesday (14/09)</t>
  </si>
  <si>
    <t>2  del of this cycle   -  1-cycles pmnt   Pending - Collect 2750</t>
  </si>
  <si>
    <t>Karan Kumar</t>
  </si>
  <si>
    <t>T-9/008, Heritage City</t>
  </si>
  <si>
    <t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 HDTNP (18/07)</t>
  </si>
  <si>
    <t>Madhura Kumar</t>
  </si>
  <si>
    <t>Y-72, Regency Park-2</t>
  </si>
  <si>
    <t>Upgraded to 750 and aways mix of 2 flowers(06/04) Upgrade to Bliss n Send Glad Tom(04/05)  NO ORCHIDS(02/11) Skip 1 week (06/11) Skip 1 week (10/03) Return today (23/03) Hold today (29/03) Skip 2 week (25/05) Today Returned and send on tuesday (09/08)</t>
  </si>
  <si>
    <t>Mandeep - Vrinda Sehgal</t>
  </si>
  <si>
    <t>B-13/1, 1st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</si>
  <si>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t>
  </si>
  <si>
    <t>Mansi Tyagi</t>
  </si>
  <si>
    <t>C-923, 4th Floor, Sushant Lok-1</t>
  </si>
  <si>
    <t>Monika Arora</t>
  </si>
  <si>
    <t>Tostem Studio, Plot No. 564, Basement, Sec 39, Near Bakhtawar Chwok</t>
  </si>
  <si>
    <t>Medanta</t>
  </si>
  <si>
    <t>Ref From Anupma Rastogi // Today Returned (09/08) Hold today (16/08) Today office was closed (21/10)</t>
  </si>
  <si>
    <t>Change in Address (31/12)</t>
  </si>
  <si>
    <t>Ms. Payel</t>
  </si>
  <si>
    <t xml:space="preserve">  I-1001, Mapple Heights, Sushant lok-1</t>
  </si>
  <si>
    <t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t>
  </si>
  <si>
    <t>Namita Chaudhary -- 11:30 to 1:30 Pm</t>
  </si>
  <si>
    <t>18 Bodhi Marg, Ground Floor, Near Shopping Mall, Arjun Marg, DLF Phase 1</t>
  </si>
  <si>
    <t>11:30 to 1:30 PM</t>
  </si>
  <si>
    <t>Skip 1 week (13/08) Start from or after 13th Oct (30/09) Skip 2 week (09/12) Todays Delivery returned due to address change (07/03) Hold till 03rd Apr (27/03) No Yel n White (06/04) Hold today (11/07)</t>
  </si>
  <si>
    <t xml:space="preserve"> No Yel n White (06/04)</t>
  </si>
  <si>
    <t>2  del of this cycle   -  0-cycles pmnt   In Process - Collect 0</t>
  </si>
  <si>
    <t>Pragya Ojha</t>
  </si>
  <si>
    <t>C-1403, Heritage One, Sec 62</t>
  </si>
  <si>
    <t>Skip 1 week (25/05) // Day Chnged to Saturday (10/06)</t>
  </si>
  <si>
    <t>Rajni Mehra</t>
  </si>
  <si>
    <t xml:space="preserve"> H-1201, Pilot Court, Essel Towers M.G.ROAD GURGAON </t>
  </si>
  <si>
    <t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t>
  </si>
  <si>
    <t>Statice next</t>
  </si>
  <si>
    <t xml:space="preserve">Richa Sawhney </t>
  </si>
  <si>
    <t>T-2/902, Unitech palms, South City 1</t>
  </si>
  <si>
    <t>Hold n start from 10th (22/09) Skip 1 week (24/12) HDTNP (06/06)</t>
  </si>
  <si>
    <t>Saniya Anand</t>
  </si>
  <si>
    <t>D-1102, Caritriona Ambience Island</t>
  </si>
  <si>
    <t>Paytm from Anmol Anand (03/07) HDTNP (01/08)</t>
  </si>
  <si>
    <t>1  del of this cycle   -  0-cycles pmnt   Completed - Collect 0</t>
  </si>
  <si>
    <t>Sarat Chandra</t>
  </si>
  <si>
    <t>Villa 1,Raheja Atlantis, Sector 31</t>
  </si>
  <si>
    <t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t>
  </si>
  <si>
    <t>RAJNI</t>
  </si>
  <si>
    <t>Sarika Bhattacharya</t>
  </si>
  <si>
    <t>T2/1404, The Palms</t>
  </si>
  <si>
    <t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t>
  </si>
  <si>
    <t>Sba Garg</t>
  </si>
  <si>
    <t>H. No. 5833, Aster Avenue, DLF Phase 4</t>
  </si>
  <si>
    <t>Four Plus 1 Pack // No Sunflower and Ladylace // Skip 1 wek (28/06)</t>
  </si>
  <si>
    <t>Sunflower n Lady Lace</t>
  </si>
  <si>
    <t>Swati Khandelwal-- Evening Only</t>
  </si>
  <si>
    <t>414-A, Hamilton Court</t>
  </si>
  <si>
    <t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t>
  </si>
  <si>
    <t>ROSE n RAJNI</t>
  </si>
  <si>
    <t>Tenzing Y Bhutia</t>
  </si>
  <si>
    <t>A-1701. 17th Floor, Heritage One</t>
  </si>
  <si>
    <t>Send tom del in evening // No Glad // Replacement Tom (04/05) Rs. 125 added as referal scheme against Noree tung Subscription (30/07)</t>
  </si>
  <si>
    <t>Glad</t>
  </si>
  <si>
    <t>2  del of this cycle   -  1-cycles pmnt   Pending - Collect 1805</t>
  </si>
  <si>
    <t>Anjana Soneja -- Before 1:30 OM</t>
  </si>
  <si>
    <t>G-18/10, 3rd Floor, DLF Phase 1</t>
  </si>
  <si>
    <t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t>
  </si>
  <si>
    <t>Car n Spray Daisy</t>
  </si>
  <si>
    <t>Radhika Singh</t>
  </si>
  <si>
    <t>A-12, Oakwood Estate, Akashmeen Marg</t>
  </si>
  <si>
    <r>
      <t xml:space="preserve">Do not ring bell, always call or knock door(29/12) Remaining Del pls send -- Rajni // Asiatic Lily // Gladioli(06/01) Wk1-- Rajni// Wk2--Guldawari//Wk3-- Asiatic// Wk4-- Glad(23/01) Now-- Orchid//Rajni//Asiatic(26/02) Change to Friday again(15/07) Hold after 10th Sep(02/09) This cycle-- Rajni// Glad//Asiatic//Guldawari or Rose(28/10) Send Replacememt tom(12/02) </t>
    </r>
    <r>
      <rPr>
        <b/>
        <sz val="14"/>
        <color theme="1"/>
        <rFont val="Calibri"/>
        <family val="2"/>
        <scheme val="minor"/>
      </rPr>
      <t>Don't send after 15th April(13/03)</t>
    </r>
    <r>
      <rPr>
        <sz val="11"/>
        <color theme="1"/>
        <rFont val="Calibri"/>
        <family val="2"/>
        <scheme val="minor"/>
      </rPr>
      <t xml:space="preserve"> Received another transfer of subscription today (15/03) Return today (10/12) Returned  today (09/02) Hold after till Cycle till 15th July (15/03) Today Returned (10/08) Skip 4 Weeks (13/10) Hold till 10th July (14/04) Start from Tom (30/04) Hold till 27th Aug (09/08) Hold from 12th Oct to 15th Nov (03/10) Hold till 1st Feb (22/12) SEnd tom (09/02) Paytm from Beena H Singh (06/04)</t>
    </r>
  </si>
  <si>
    <t>1  del of this cycle   -  1-cycles pmnt   Pending - Collect 950</t>
  </si>
  <si>
    <t>Reeya Naahar</t>
  </si>
  <si>
    <t>B-316-B, Sushant Lok-1</t>
  </si>
  <si>
    <t>9:30 AM to 2PM</t>
  </si>
  <si>
    <t>Saturday n Tuesday// No Yel Spray Daisy // Do not count last del (06/07) No Gerbera (12/04)</t>
  </si>
  <si>
    <t>1  del of this cycle   -  0-cycles pmnt   In Process - Collect 0</t>
  </si>
  <si>
    <t>Rupa Raje Gupta</t>
  </si>
  <si>
    <t>H-33/30, DLF Phase 1</t>
  </si>
  <si>
    <t>Paytm From Rishi Nath Dubey (13/060</t>
  </si>
  <si>
    <t>1  del of this cycle   -  1-cycles pmnt   Pending - Collect 1450</t>
  </si>
  <si>
    <t>Alka Das gupta</t>
  </si>
  <si>
    <t>Tower-C/2004, Mahindra Luminare</t>
  </si>
  <si>
    <t>4 PM to 7Pm</t>
  </si>
  <si>
    <t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t>
  </si>
  <si>
    <t>Ritu Sacheti</t>
  </si>
  <si>
    <t>B1/1401, World Spa, Sector 30</t>
  </si>
  <si>
    <t>Grace</t>
  </si>
  <si>
    <t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t>
  </si>
  <si>
    <t>GERBERA n SUNFLOWER</t>
  </si>
  <si>
    <t>Sandhya Nagesh</t>
  </si>
  <si>
    <t>89, Ground Floor, Woodstock Floors, Sec 50</t>
  </si>
  <si>
    <t>Saturday n Tueaday(02/09) No Del From 10th to 19th (09/09) Today returned(19/08) hold today send tom (07/10) Skip 20th Del (14/01) Hold 6th n 10th Sug (03/08) Return tiday (07/02) Today Returned (24/02)</t>
  </si>
  <si>
    <t>Shilpa Kohli</t>
  </si>
  <si>
    <t>B2/102, Sahara Grace</t>
  </si>
  <si>
    <t>Only Seasonlas</t>
  </si>
  <si>
    <t>Tanuka Neogi</t>
  </si>
  <si>
    <t>T-A/1201 A, Pioneer Presidia</t>
  </si>
  <si>
    <t>Vidya Raja</t>
  </si>
  <si>
    <t>C-122, Belvedere Tower, DLF -2</t>
  </si>
  <si>
    <t>Sunday</t>
  </si>
  <si>
    <t>B56660</t>
  </si>
  <si>
    <t>T-11/1102, Emaar PTS</t>
  </si>
  <si>
    <t>By 10 AM</t>
  </si>
  <si>
    <t>Bouquet</t>
  </si>
  <si>
    <t>From Boss Order// Pink Rose for 1500 (05/08)</t>
  </si>
  <si>
    <t>B56658</t>
  </si>
  <si>
    <t>Ruchi Mathure</t>
  </si>
  <si>
    <t>D-013, Westend height, DLF-5</t>
  </si>
  <si>
    <t>By 9:30 AM</t>
  </si>
  <si>
    <t>1 Arrangement of 8 Colored Carnations in Sponge + Othe bunch with 8 Rajni nad Glad + Lats bunch with 4 Pink n Yel Alstroemeria (05/08)</t>
  </si>
  <si>
    <t>Divya Dwivedi</t>
  </si>
  <si>
    <t>T-83/402, Emaar palm Hills, Sec 77</t>
  </si>
  <si>
    <t>Friday</t>
  </si>
  <si>
    <t>1st Del Tom and then every Friday (14/09) Skip 1 week (02/10) today hold (30/01) Skip 1 week (10/02) Four Plus 1 Pack (13/04)</t>
  </si>
  <si>
    <t>Oriental once in 1 cycle (13/04)</t>
  </si>
  <si>
    <t>B56675</t>
  </si>
  <si>
    <t>A-16, 2nd Floor, Ashok Estate, Anant Raj Estate, Sec 63 A</t>
  </si>
  <si>
    <t>Monday</t>
  </si>
  <si>
    <t>By 11 AM</t>
  </si>
  <si>
    <t>Rose Mala</t>
  </si>
  <si>
    <t>A K Jain</t>
  </si>
  <si>
    <t>B-785, Sushant Lok-1, Near Police Chowki</t>
  </si>
  <si>
    <t>Saturdya n Tuesday (16/05) Hold from 10th to 14th June (07/06) Paytm From Akhil Jain (21/06) Skip sat del and send them on Sunday (30/07) Do not count last delivery (22/09) Hold 25th and 28th (19/10) Today Returned (04/11) Skip sat delivery (18/03) Do not count last Del (15/06) No Sunflowers (04/08)</t>
  </si>
  <si>
    <t>Sunflower s</t>
  </si>
  <si>
    <t>Asraj Singh</t>
  </si>
  <si>
    <t>7519, 2nd Floor, Bougainvillea Street, Near Supermart-2</t>
  </si>
  <si>
    <t>Paytm frim Sidak Singh // Return today (02/05) HDTNP (06/06) HDTNP (13/06) HDTNP (20/06) HDTNP (27/06) HDTNP (04/07)</t>
  </si>
  <si>
    <t>Atikant</t>
  </si>
  <si>
    <t>W-4/8, Unit C, 2 &amp; 3 Moulsari Avenue</t>
  </si>
  <si>
    <t>Change day to Saturday (20/08) Today Returned (20/09) Hold till 30th (20/09) Hold today -- send on tuesday(08/11) Today Returned (15/11) Hold till 5th Jan (21/12) Skip 1 week (21/01) HDTNP (14/03) Skip 1 week (25/04) Today Returned (16/05) Skip 1 week (02/07)</t>
  </si>
  <si>
    <t>Deep Bajaj</t>
  </si>
  <si>
    <t>B-2002, Pioneer Presidia,Sec-62, Near Pioneer Square</t>
  </si>
  <si>
    <t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t>
  </si>
  <si>
    <t>Disha Roy</t>
  </si>
  <si>
    <t>U-26-A/8,1st Floor</t>
  </si>
  <si>
    <t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t>
  </si>
  <si>
    <t>Indira Bishnoi</t>
  </si>
  <si>
    <t>B-13/1, 2nd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</si>
  <si>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t>
  </si>
  <si>
    <t>Itika Sharma--Before 11:30 AM</t>
  </si>
  <si>
    <t>T-10/503, The Close South</t>
  </si>
  <si>
    <t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t>
  </si>
  <si>
    <t>No flowers on sat snd sned on Sunday (02/07)</t>
  </si>
  <si>
    <t>Kirti Singhal</t>
  </si>
  <si>
    <t>57, Mohyal Colony, Sec 40</t>
  </si>
  <si>
    <t>4 PM to 7 PM</t>
  </si>
  <si>
    <t>From 7060315977 // Paytm from Tanmay Gupta (23/05) Skip 1 week (26/05) Hold today (27/06) Hold todau (25/07)</t>
  </si>
  <si>
    <t>Mayank</t>
  </si>
  <si>
    <t>9661713694 // 8851453130</t>
  </si>
  <si>
    <t>W-5/32, 4th Floor, Room No. 24, Near Tulsa Tea Stall, Pink Town House Road, U-25 Marg</t>
  </si>
  <si>
    <t>Flr Drop U23/20  3rd Flr Room No 5 (02/08) Hod due to non payment (17/01) Send tom after 7PM (19/01) Hold due to non payment (07/02) HDTNP (07/03) HDTNP (13/03) HDTNP (02/05)</t>
  </si>
  <si>
    <t>1  del of this cycle   -  1-cycles pmnt   Pending - Collect 1350</t>
  </si>
  <si>
    <t>Mohini Jain</t>
  </si>
  <si>
    <t>B1/204, PWO Appartment, Sec 43</t>
  </si>
  <si>
    <t>Huda</t>
  </si>
  <si>
    <t>10% Discount for 12 Del (02/08) Paytm from V Mohini (21/03)</t>
  </si>
  <si>
    <t>Nidhee pathak</t>
  </si>
  <si>
    <t>98734 25980</t>
  </si>
  <si>
    <t>1602, Tower-3,The Palms
South City-1</t>
  </si>
  <si>
    <t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t>
  </si>
  <si>
    <t>ROSE</t>
  </si>
  <si>
    <t>1  del of this cycle   -  1-cycles pmnt   Pending - Collect 1950</t>
  </si>
  <si>
    <t>Nishtha</t>
  </si>
  <si>
    <t>580, Upper Ground Floor, Sec 30, Jharsa -- Adjacent Veerji Motor World</t>
  </si>
  <si>
    <t>B56674</t>
  </si>
  <si>
    <t xml:space="preserve">Parul Sharma </t>
  </si>
  <si>
    <t>D-20, 2nd Floor, South City 2</t>
  </si>
  <si>
    <t>15 Rajni in Single Wrap</t>
  </si>
  <si>
    <t>1  del of this cycle   -  1-cycles pmnt   Pending - Collect 600</t>
  </si>
  <si>
    <t>Richa Sood</t>
  </si>
  <si>
    <t>B-2104, Elevate Appartments, Sec 59</t>
  </si>
  <si>
    <t>Hold for 2 weeks (22/12) Skip 1 wek (17/03) No Sunflower (26/03) Skip 2 week (13/07) Skip 1 week (20/08) Hold today (27/12) Skip 1 week (19/01) Skip 1 week (26/02) Skip 1 week (31/03) Skip 1 week (21/06) Pink Car next and before 12 PM (20/07)</t>
  </si>
  <si>
    <t>Sunflower</t>
  </si>
  <si>
    <t>Pink Car next and before 12 PM (20/07)</t>
  </si>
  <si>
    <t>Risha</t>
  </si>
  <si>
    <t>S-16 A, Windsor Court, DLF Phase 4</t>
  </si>
  <si>
    <t>15% Discount (26/07) Today hold (18/10) Skip 1 week (29/10) Hold till 15th Jan (29/12) Return not at home (31/01) Today Returned (04/04) HDTNP (06/06) HDTNP (13/06) HDTNP (20/06)</t>
  </si>
  <si>
    <t>SANGEETA BATRA</t>
  </si>
  <si>
    <t>7A, Building 1, Hibiscus Society  Sector-50, Near Hotel Hilton Garden Inn Baani Square  Other Gurgoan  122002</t>
  </si>
  <si>
    <t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t>
  </si>
  <si>
    <t>BLUE ORCHID</t>
  </si>
  <si>
    <t>Tom before 12 Pm (17/04)</t>
  </si>
  <si>
    <t>Sanwali</t>
  </si>
  <si>
    <t>B-1901, Heritage One,Sec-62</t>
  </si>
  <si>
    <r>
      <t xml:space="preserve">Rajni Only(17/11) Car n Chrysanthemum for next 2 weeks and then Rajni(20/12) Skip 1 week(09/01) </t>
    </r>
    <r>
      <rPr>
        <b/>
        <sz val="14"/>
        <color theme="1"/>
        <rFont val="Calibri"/>
        <family val="2"/>
        <scheme val="minor"/>
      </rPr>
      <t>Send half bunch of Gypsy with 5th NOV DEL</t>
    </r>
    <r>
      <rPr>
        <sz val="11"/>
        <color theme="1"/>
        <rFont val="Calibri"/>
        <family val="2"/>
        <scheme val="minor"/>
      </rPr>
      <t>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 Skip 2 weeks (11/07)</t>
    </r>
  </si>
  <si>
    <t>Mixed Flowers //  1 Seasonal Extra next (21/04)</t>
  </si>
  <si>
    <t>Yasha Jain</t>
  </si>
  <si>
    <t>Tower -E/1801 , Pioneer Presidia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</si>
  <si>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</si>
  <si>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</si>
  <si>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</si>
  <si>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</si>
  <si>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</si>
  <si>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</si>
  <si>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</si>
  <si>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</si>
  <si>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</si>
  <si>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</si>
  <si>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</si>
  <si>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</si>
  <si>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</si>
  <si>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</si>
  <si>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6  del of this cycle   -  0-cycles pmnt   Completed - Collect 0</t>
  </si>
  <si>
    <t>8  del of this cycle   -  0-cycles pmnt   Completed - Collect 0</t>
  </si>
  <si>
    <t>3  del of this cycle   -  1-cycles pmnt   Pending - Collect 1600</t>
  </si>
  <si>
    <t>Mix Alstroemeria ( 12 Inch )</t>
  </si>
  <si>
    <t>W Asiatic ( 14 Inch )</t>
  </si>
  <si>
    <t>Mix Glad ( 14 Inch )</t>
  </si>
  <si>
    <t>O Asiatic ( 14 Inch )</t>
  </si>
  <si>
    <t>Sunflower ( 12 Inch )</t>
  </si>
  <si>
    <t xml:space="preserve">B Orchid </t>
  </si>
  <si>
    <t>Rajni ( 14 Inch )</t>
  </si>
  <si>
    <t>G n P n W Spray Daisy ( 14 Inch )</t>
  </si>
  <si>
    <t>FF Sachet + Grass</t>
  </si>
  <si>
    <t>Grass</t>
  </si>
  <si>
    <t xml:space="preserve">P Rose </t>
  </si>
  <si>
    <t>Walkin Tissue Wrap</t>
  </si>
  <si>
    <t xml:space="preserve">( P n Pur n Y nR Car ) + ( Rajni n Gkad ) + ( P n Y Alstroemeria ) </t>
  </si>
  <si>
    <t xml:space="preserve">( 8 in Sponge ) + ( 8 in Single Wrap) + ( 4 in Single Wrap) </t>
  </si>
  <si>
    <t>Single Wrap</t>
  </si>
  <si>
    <t>2  del of this cycle   -   0 -cycles pmnt   Completed - Collect 0</t>
  </si>
  <si>
    <t>2  del of this cycle   -   0 -cycles pmnt  Completed - Collect 0</t>
  </si>
  <si>
    <t>3  del of this cycle   -   0 -cycles pmnt   Completed - Collect 0</t>
  </si>
  <si>
    <t>3  del of this cycle   -   0-cycles pmnt   Completed - Collect 0</t>
  </si>
  <si>
    <t>4  del of this cycle   -   0-cycles pmnt   Completed - Collect 0</t>
  </si>
  <si>
    <t>P n Y Sptay daisy ( 14 Inch )</t>
  </si>
  <si>
    <t>R n W Car ( 14 Inch )</t>
  </si>
  <si>
    <t>P n W Spray Daisy ( 14 Inch )</t>
  </si>
  <si>
    <t>Y Spray Daisy ( 14 Inch )</t>
  </si>
  <si>
    <t>BOP</t>
  </si>
  <si>
    <t>W Oriental + BOP</t>
  </si>
  <si>
    <t>3 + 3</t>
  </si>
  <si>
    <t xml:space="preserve">B Daisy + P n W Car </t>
  </si>
  <si>
    <t>12 + 12</t>
  </si>
  <si>
    <t>B Orchid</t>
  </si>
  <si>
    <t>5 Areca Palm + 3 Gypsola + 3 Limonium</t>
  </si>
  <si>
    <t>3 Areca Palm + 3 Gypsola</t>
  </si>
  <si>
    <t>O n W Asiatic ( 14 Inch )</t>
  </si>
  <si>
    <t>2 Limonium</t>
  </si>
  <si>
    <t xml:space="preserve">2 Limonium  </t>
  </si>
  <si>
    <t>Alstroemeria</t>
  </si>
  <si>
    <t>Blue Daisy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</si>
  <si>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</si>
  <si>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</si>
  <si>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</si>
  <si>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</si>
  <si>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</si>
  <si>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</si>
  <si>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</si>
  <si>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</si>
  <si>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</si>
  <si>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</si>
  <si>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</si>
  <si>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</si>
  <si>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</si>
  <si>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</si>
  <si>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</si>
  <si>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</si>
  <si>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</si>
  <si>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</si>
  <si>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</si>
  <si>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</si>
  <si>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</si>
  <si>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</si>
  <si>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</si>
  <si>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</si>
  <si>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</si>
  <si>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</si>
  <si>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</si>
  <si>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</si>
  <si>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</si>
  <si>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</si>
  <si>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</si>
  <si>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</si>
  <si>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</si>
  <si>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</si>
  <si>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</si>
  <si>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</si>
  <si>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</si>
  <si>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</si>
  <si>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</si>
  <si>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</si>
  <si>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</si>
  <si>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</si>
  <si>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</si>
  <si>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</si>
  <si>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</si>
  <si>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B56676</t>
  </si>
  <si>
    <t>Sonal Agarwal</t>
  </si>
  <si>
    <t xml:space="preserve">B5/1002, Suncity's 76 Avenue, Main Brach Road  </t>
  </si>
  <si>
    <t>C-1101, Hines Elevate, Sec 59</t>
  </si>
  <si>
    <t>P Car n Rajni</t>
  </si>
  <si>
    <t xml:space="preserve">P Car + Rajni </t>
  </si>
  <si>
    <t>Areca Palm + Grass</t>
  </si>
  <si>
    <t>P n W Car  ( 14 Inch )</t>
  </si>
  <si>
    <t>P n Y Spray daisy ( 14 Inch )</t>
  </si>
  <si>
    <t>P n Pur Eustoma ( 12 Inch )</t>
  </si>
  <si>
    <t>P Eustoma ( 12 Inch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</si>
</sst>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1" fontId="4" fillId="2" borderId="1" xfId="1" applyNumberFormat="1" applyFont="1" applyFill="1" applyBorder="1" applyAlignment="1">
      <alignment horizontal="center" vertical="center" wrapText="1" shrinkToFit="1"/>
    </xf>
    <xf numFmtId="0" fontId="5" fillId="2" borderId="1" xfId="1" applyFont="1" applyFill="1" applyBorder="1" applyAlignment="1">
      <alignment horizontal="center" vertical="center" wrapText="1" shrinkToFit="1"/>
    </xf>
    <xf numFmtId="164" fontId="4" fillId="2" borderId="1" xfId="1" applyNumberFormat="1" applyFont="1" applyFill="1" applyBorder="1" applyAlignment="1">
      <alignment horizontal="center" vertical="center" wrapText="1" shrinkToFit="1"/>
    </xf>
    <xf numFmtId="165" fontId="5" fillId="2" borderId="1" xfId="1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 shrinkToFit="1"/>
    </xf>
    <xf numFmtId="0" fontId="8" fillId="5" borderId="1" xfId="1" applyFon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 shrinkToFit="1"/>
    </xf>
    <xf numFmtId="0" fontId="9" fillId="8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 shrinkToFit="1"/>
    </xf>
    <xf numFmtId="0" fontId="0" fillId="2" borderId="3" xfId="0" applyFill="1" applyBorder="1" applyAlignment="1">
      <alignment horizontal="center" vertical="center" wrapText="1" shrinkToFit="1"/>
    </xf>
    <xf numFmtId="16" fontId="0" fillId="2" borderId="1" xfId="0" applyNumberFormat="1" applyFill="1" applyBorder="1" applyAlignment="1">
      <alignment horizontal="center" vertical="center" wrapText="1" shrinkToFit="1"/>
    </xf>
    <xf numFmtId="0" fontId="13" fillId="0" borderId="1" xfId="0" applyFont="1" applyBorder="1" applyAlignment="1">
      <alignment wrapText="1" shrinkToFit="1"/>
    </xf>
    <xf numFmtId="0" fontId="14" fillId="0" borderId="1" xfId="0" applyFont="1" applyBorder="1" applyAlignment="1">
      <alignment wrapText="1" shrinkToFit="1"/>
    </xf>
    <xf numFmtId="0" fontId="15" fillId="0" borderId="4" xfId="1" applyFont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17" fillId="0" borderId="1" xfId="1" applyNumberFormat="1" applyFont="1" applyBorder="1" applyAlignment="1">
      <alignment horizontal="center" vertical="center" wrapText="1"/>
    </xf>
    <xf numFmtId="1" fontId="17" fillId="0" borderId="0" xfId="1" applyNumberFormat="1" applyFont="1" applyAlignment="1">
      <alignment horizontal="center" vertical="center" wrapText="1"/>
    </xf>
    <xf numFmtId="1" fontId="18" fillId="0" borderId="1" xfId="1" applyNumberFormat="1" applyFont="1" applyBorder="1" applyAlignment="1">
      <alignment horizontal="center" vertical="center" wrapText="1"/>
    </xf>
    <xf numFmtId="0" fontId="17" fillId="5" borderId="4" xfId="1" applyFont="1" applyFill="1" applyBorder="1" applyAlignment="1">
      <alignment horizontal="center" vertical="center" wrapText="1"/>
    </xf>
    <xf numFmtId="0" fontId="17" fillId="10" borderId="1" xfId="1" applyFont="1" applyFill="1" applyBorder="1" applyAlignment="1">
      <alignment horizontal="center" vertical="center" wrapText="1"/>
    </xf>
    <xf numFmtId="0" fontId="15" fillId="10" borderId="4" xfId="1" applyFont="1" applyFill="1" applyBorder="1" applyAlignment="1">
      <alignment horizontal="center" vertical="center" wrapText="1"/>
    </xf>
    <xf numFmtId="0" fontId="19" fillId="5" borderId="4" xfId="1" applyFont="1" applyFill="1" applyBorder="1" applyAlignment="1">
      <alignment horizontal="center" vertical="center" wrapText="1"/>
    </xf>
    <xf numFmtId="0" fontId="17" fillId="11" borderId="1" xfId="1" applyFont="1" applyFill="1" applyBorder="1" applyAlignment="1">
      <alignment horizontal="center" vertical="center" wrapText="1"/>
    </xf>
    <xf numFmtId="1" fontId="13" fillId="0" borderId="0" xfId="3" applyNumberFormat="1" applyFont="1" applyAlignment="1">
      <alignment horizontal="center" vertical="center" wrapText="1"/>
    </xf>
    <xf numFmtId="0" fontId="19" fillId="2" borderId="4" xfId="1" applyFont="1" applyFill="1" applyBorder="1" applyAlignment="1">
      <alignment horizontal="center" vertical="center" wrapText="1"/>
    </xf>
    <xf numFmtId="0" fontId="15" fillId="9" borderId="4" xfId="1" applyFont="1" applyFill="1" applyBorder="1" applyAlignment="1">
      <alignment horizontal="center" vertical="center" wrapText="1"/>
    </xf>
    <xf numFmtId="0" fontId="15" fillId="9" borderId="1" xfId="1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 wrapText="1"/>
    </xf>
    <xf numFmtId="1" fontId="15" fillId="0" borderId="1" xfId="1" applyNumberFormat="1" applyFont="1" applyBorder="1" applyAlignment="1">
      <alignment horizontal="center" vertical="center" wrapText="1"/>
    </xf>
    <xf numFmtId="9" fontId="17" fillId="0" borderId="1" xfId="1" applyNumberFormat="1" applyFont="1" applyBorder="1" applyAlignment="1">
      <alignment horizontal="center" vertical="center" wrapText="1"/>
    </xf>
    <xf numFmtId="1" fontId="17" fillId="0" borderId="1" xfId="1" applyNumberFormat="1" applyFont="1" applyBorder="1" applyAlignment="1">
      <alignment horizontal="center" vertical="center" wrapText="1"/>
    </xf>
    <xf numFmtId="166" fontId="17" fillId="0" borderId="1" xfId="1" applyNumberFormat="1" applyFont="1" applyBorder="1" applyAlignment="1">
      <alignment horizontal="center" vertical="center" wrapText="1"/>
    </xf>
    <xf numFmtId="0" fontId="15" fillId="6" borderId="4" xfId="1" applyFont="1" applyFill="1" applyBorder="1" applyAlignment="1">
      <alignment horizontal="center" vertical="center" wrapText="1"/>
    </xf>
    <xf numFmtId="0" fontId="17" fillId="6" borderId="1" xfId="1" applyFont="1" applyFill="1" applyBorder="1" applyAlignment="1">
      <alignment horizontal="center" vertical="center" wrapText="1"/>
    </xf>
    <xf numFmtId="0" fontId="20" fillId="12" borderId="4" xfId="1" applyFont="1" applyFill="1" applyBorder="1" applyAlignment="1">
      <alignment horizontal="center" vertical="center" wrapText="1"/>
    </xf>
    <xf numFmtId="0" fontId="18" fillId="1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5" borderId="1" xfId="1" applyFont="1" applyFill="1" applyBorder="1" applyAlignment="1">
      <alignment horizontal="center" vertical="center" wrapText="1"/>
    </xf>
    <xf numFmtId="0" fontId="15" fillId="13" borderId="4" xfId="1" applyFont="1" applyFill="1" applyBorder="1" applyAlignment="1">
      <alignment horizontal="center" vertical="center" wrapText="1"/>
    </xf>
    <xf numFmtId="0" fontId="17" fillId="13" borderId="1" xfId="1" applyFont="1" applyFill="1" applyBorder="1" applyAlignment="1">
      <alignment horizontal="center" vertical="center" wrapText="1"/>
    </xf>
    <xf numFmtId="0" fontId="21" fillId="14" borderId="4" xfId="1" applyFont="1" applyFill="1" applyBorder="1" applyAlignment="1">
      <alignment horizontal="center" vertical="center" wrapText="1"/>
    </xf>
    <xf numFmtId="0" fontId="22" fillId="14" borderId="1" xfId="1" applyFont="1" applyFill="1" applyBorder="1" applyAlignment="1">
      <alignment horizontal="center" vertical="center" wrapText="1"/>
    </xf>
    <xf numFmtId="0" fontId="15" fillId="15" borderId="4" xfId="1" applyFont="1" applyFill="1" applyBorder="1" applyAlignment="1">
      <alignment horizontal="center" vertical="center" wrapText="1"/>
    </xf>
    <xf numFmtId="0" fontId="23" fillId="15" borderId="1" xfId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9" fontId="13" fillId="0" borderId="0" xfId="4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</cellXfs>
  <cellStyles count="5">
    <cellStyle name="Hyperlink 2" xfId="2" xr:uid="{72F9BBC3-1CFA-4AE2-BCC0-6CC343B2BE24}"/>
    <cellStyle name="Normal" xfId="0" builtinId="0"/>
    <cellStyle name="Normal 2" xfId="1" xr:uid="{D0421F11-60B0-425D-BBAD-C2ED81F1297C}"/>
    <cellStyle name="Percent" xfId="3" builtinId="5"/>
    <cellStyle name="Percent 2" xfId="4" xr:uid="{7BA9ADF1-716F-4747-8CC5-7545E7309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ly%2026%20(33).xlsx" TargetMode="External"/><Relationship Id="rId1" Type="http://schemas.openxmlformats.org/officeDocument/2006/relationships/externalLinkPath" Target="Final%20Feedback%20July%2026%20(33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Aug%2026%20(6).xlsx" TargetMode="External"/><Relationship Id="rId1" Type="http://schemas.openxmlformats.org/officeDocument/2006/relationships/externalLinkPath" Target="file:///C:\Users\Amit%20Tripathi\Downloads\Feedback%20Aug%2026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  <sheetName val="23-07-26"/>
      <sheetName val="24-07-26"/>
      <sheetName val="25-07-26"/>
      <sheetName val="26-07-26"/>
      <sheetName val="27-07-26"/>
      <sheetName val="28-07-26"/>
      <sheetName val="29-07-26"/>
      <sheetName val="30-07-26"/>
      <sheetName val="31-07-26"/>
      <sheetName val="Sheet2"/>
    </sheetNames>
    <sheetDataSet>
      <sheetData sheetId="0"/>
      <sheetData sheetId="1"/>
      <sheetData sheetId="2"/>
      <sheetData sheetId="3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2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>P Asiatic ( 14 Inch ) 3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1  del of this cycle   -  0-cycles pmnt   Completed - Collect 0</v>
          </cell>
          <cell r="O3" t="e">
            <v>#N/A</v>
          </cell>
          <cell r="P3" t="e">
            <v>#N/A</v>
          </cell>
          <cell r="Q3" t="str">
            <v>P n W Carnation  ( 14 Inch ) 16     Grass</v>
          </cell>
          <cell r="R3" t="str">
            <v>P Eustoma ( 12 Inch ) 3     Grass</v>
          </cell>
          <cell r="S3" t="str">
            <v>Asiatic 3     Grass</v>
          </cell>
          <cell r="T3" t="str">
            <v>P n W Glad ( 14 Inch ) 16     Grass</v>
          </cell>
        </row>
        <row r="4">
          <cell r="A4">
            <v>2324</v>
          </cell>
          <cell r="B4" t="str">
            <v>Reena Singh</v>
          </cell>
          <cell r="C4">
            <v>9810094023</v>
          </cell>
          <cell r="D4" t="str">
            <v>A1/304, Uniworld City</v>
          </cell>
          <cell r="E4" t="str">
            <v>South City 1</v>
          </cell>
          <cell r="F4" t="str">
            <v>Saturday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4" t="str">
            <v>2  del of this cycle   -  1-cycles pmnt   Pending - Collect 1446</v>
          </cell>
          <cell r="O4" t="str">
            <v>P n W Car ( 14  inch ) 9     FF Sachet + Grass</v>
          </cell>
          <cell r="P4" t="str">
            <v>Mix Glad 9     FF Sachet + Grass</v>
          </cell>
          <cell r="Q4" t="str">
            <v>Y Asiatic ( 14 inch ) 2     Grass</v>
          </cell>
          <cell r="R4" t="str">
            <v>B Daisy ( 12 Inch ) 9     Grass</v>
          </cell>
          <cell r="S4" t="str">
            <v>Pur n P car ( 14 Inch ) 16     FF Sachet + Grass</v>
          </cell>
          <cell r="T4" t="str">
            <v>Sunflower ( 12 Inch ) 4     Grass</v>
          </cell>
        </row>
        <row r="5">
          <cell r="A5">
            <v>2257</v>
          </cell>
          <cell r="B5" t="str">
            <v>Akanksha Bhatia -- After 4 PM</v>
          </cell>
          <cell r="C5">
            <v>9987861735</v>
          </cell>
          <cell r="D5" t="str">
            <v>H. No. 149, 3rd Floor, A Block, South City 1</v>
          </cell>
          <cell r="E5" t="str">
            <v>South City 1</v>
          </cell>
          <cell r="F5" t="str">
            <v>Saturday</v>
          </cell>
          <cell r="G5" t="str">
            <v>After 4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5" t="str">
            <v>4  del of this cycle   -  0-cycles pmnt   Completed - Collect 0</v>
          </cell>
          <cell r="O5" t="str">
            <v>Asiatic 3     FF Sachet + Grass</v>
          </cell>
          <cell r="P5" t="str">
            <v>P n W Glad ( 14 Inch ) 16     Grass</v>
          </cell>
          <cell r="Q5" t="str">
            <v>P Eustoma ( 12 Inch ) 3     FF Sachet + Grass</v>
          </cell>
          <cell r="R5" t="e">
            <v>#N/A</v>
          </cell>
          <cell r="S5" t="str">
            <v>Pur n P car ( 14 Inch ) 16     FF Sachet + Grass</v>
          </cell>
          <cell r="T5" t="str">
            <v>O Asiatic ( 14 Inch )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4  del of this cycle   -  0-cycles pmnt   Completed - Collect 0</v>
          </cell>
          <cell r="O6" t="str">
            <v>P n W Car ( 14  inch ) 9     FF Sachet + Grass</v>
          </cell>
          <cell r="P6" t="str">
            <v>Sunflower ( 12 Inch ) 2     FF Sachet + Grass</v>
          </cell>
          <cell r="Q6" t="str">
            <v>P Spray Daisy ( 14 Inch ) 3     FF Sachet + Grass</v>
          </cell>
          <cell r="R6" t="e">
            <v>#N/A</v>
          </cell>
          <cell r="S6" t="e">
            <v>#N/A</v>
          </cell>
          <cell r="T6" t="str">
            <v>P n W Glad ( 14 Inch ) 7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1  del of this cycle   -  1-cycles pmnt   Pending - Collect 1450</v>
          </cell>
          <cell r="O7" t="str">
            <v>Eustoma 2     FF Sachet + Grass</v>
          </cell>
          <cell r="P7" t="str">
            <v>Sunflower ( 12 Inch ) 2     FF Sachet + Grass</v>
          </cell>
          <cell r="Q7" t="str">
            <v>P n W Glad ( 14 Inch ) 9     Grass</v>
          </cell>
          <cell r="R7" t="str">
            <v>B Daisy ( 12 Inch ) 9     Grass</v>
          </cell>
          <cell r="S7" t="e">
            <v>#N/A</v>
          </cell>
          <cell r="T7" t="str">
            <v>P Asiatic ( 14 Inch ) 3     Grass</v>
          </cell>
        </row>
        <row r="8">
          <cell r="B8" t="str">
            <v>Mukesh Jain</v>
          </cell>
          <cell r="C8">
            <v>9876110939</v>
          </cell>
          <cell r="D8" t="str">
            <v>599 A, Sushant Lok B Block, Phase 1, gurgaon</v>
          </cell>
          <cell r="G8" t="str">
            <v>Before 5:30</v>
          </cell>
          <cell r="H8">
            <v>1400</v>
          </cell>
          <cell r="J8" t="str">
            <v>Bouquet</v>
          </cell>
          <cell r="K8" t="str">
            <v>From ‪+91 98761 41936‬
Today before 5:30
5 sunflower and 5 spray daisies in tissue wrap for 1400 - received via Paytm
To
To: Mukesh Jain
Address - 599 A, Sushant Lok B Block, Phase 1, gurgaon
9876110939
Message on the card - 
Happy Birthday Mukesh ji! 
Wishing you good health and happiness! 
With best wishes, 
Nitin, Preeti, Saksham, Shreya &amp; Prabhav</v>
          </cell>
          <cell r="T8" t="str">
            <v xml:space="preserve">Sunflower+ Spray Daisy 5+5 Tissue Wrap Message   </v>
          </cell>
        </row>
        <row r="9">
          <cell r="A9">
            <v>2743</v>
          </cell>
          <cell r="B9" t="str">
            <v>Juhee Gandhi</v>
          </cell>
          <cell r="C9">
            <v>9999767374</v>
          </cell>
          <cell r="D9" t="str">
            <v>T-2/15 D, 4th Floor, DLF Phase 3</v>
          </cell>
          <cell r="E9" t="str">
            <v>DLF Phase 3</v>
          </cell>
          <cell r="F9" t="str">
            <v>Saturday</v>
          </cell>
          <cell r="G9" t="str">
            <v>4 Pm to 7 PM</v>
          </cell>
          <cell r="H9">
            <v>2750</v>
          </cell>
          <cell r="I9">
            <v>687.5</v>
          </cell>
          <cell r="J9" t="str">
            <v>Elation</v>
          </cell>
          <cell r="K9" t="str">
            <v>Ref  By Disha Roy (12/06) Send 1 del tom (25/08) Send one Del Tom (08/09) Next delivery on Tuesday (14/09)</v>
          </cell>
          <cell r="N9" t="str">
            <v>1  del of this cycle   -  1-cycles pmnt   Pending - Collect 2750</v>
          </cell>
          <cell r="O9" t="str">
            <v>O Asiatic ( 15 Inch ) 3 Spray Car 16   2 Limonium</v>
          </cell>
          <cell r="P9" t="str">
            <v>Pur n P Eustoma ( 12 Inch ) 4 Rajni 16   2 Gypsola + FF Sachet</v>
          </cell>
          <cell r="Q9" t="str">
            <v>Sunflower ( 12 Inch ) 4 P n W Glad ( 14 Inch ) 16   2 Limonium + FF Sachet</v>
          </cell>
          <cell r="R9" t="str">
            <v>BOP 3 B Daisy ( 12 Inch ) 16   2 Gypsola + FF sachet</v>
          </cell>
          <cell r="S9" t="str">
            <v>P Asiatic ( 14 Inch ) 3 Pur n P Car ( 14 Inch ) 16   2 Limonium</v>
          </cell>
          <cell r="T9" t="str">
            <v xml:space="preserve">P n Y Spray daisy ( 14 inch ) 5 Rajni ( 14 Inch ) 16   2 Gypsola + FF Sachet </v>
          </cell>
        </row>
        <row r="10">
          <cell r="A10">
            <v>3375</v>
          </cell>
          <cell r="B10" t="str">
            <v>Saniya Anand</v>
          </cell>
          <cell r="C10">
            <v>9810955188</v>
          </cell>
          <cell r="D10" t="str">
            <v>D-1102, Caritriona Ambience Island</v>
          </cell>
          <cell r="E10" t="str">
            <v>M G Road</v>
          </cell>
          <cell r="F10" t="str">
            <v>Saturday</v>
          </cell>
          <cell r="G10" t="str">
            <v>4 Pm to 7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Paytm from Anmol Anand (03/07)</v>
          </cell>
          <cell r="N10" t="str">
            <v>1  del of this cycle   -  0-cycles pmnt   Completed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>B Orchid  7     FF Sachet + Grass</v>
          </cell>
        </row>
        <row r="11">
          <cell r="A11">
            <v>3397</v>
          </cell>
          <cell r="B11" t="str">
            <v>Sunita Dogra</v>
          </cell>
          <cell r="C11">
            <v>9810520716</v>
          </cell>
          <cell r="D11" t="str">
            <v>K-1431, K Block, Palam Vihar</v>
          </cell>
          <cell r="E11" t="str">
            <v>Old Gurgaon</v>
          </cell>
          <cell r="F11" t="str">
            <v>Friday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Today Returned (03/07)</v>
          </cell>
          <cell r="N11" t="str">
            <v>1  del of this cycle   -  1-cycles pmnt   Pending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str">
            <v>Pur n P Car ( 14 Inch ) 16     FF Sachet +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 Skip 1 week (21/06)</v>
          </cell>
          <cell r="L12" t="str">
            <v>Sunflower</v>
          </cell>
          <cell r="N12" t="str">
            <v>4  del of this cycle   -  0-cycles pmnt   Completed - Collect 0</v>
          </cell>
          <cell r="O12" t="str">
            <v>R n W Car ( 14 Inch ) 16     FF Sachet + Grass</v>
          </cell>
          <cell r="P12" t="str">
            <v>Mix Glad 9     FF Sachet + Grass</v>
          </cell>
          <cell r="Q12" t="str">
            <v>P n W Glad ( 14 Inch ) 9     Grass</v>
          </cell>
          <cell r="R12" t="str">
            <v>B Daisy ( 12 Inch ) 9     Grass</v>
          </cell>
          <cell r="S12" t="e">
            <v>#N/A</v>
          </cell>
          <cell r="T12" t="str">
            <v>O Asiatic ( 14 Inch ) 2     Grass</v>
          </cell>
        </row>
        <row r="13">
          <cell r="A13">
            <v>386</v>
          </cell>
          <cell r="B13" t="str">
            <v>Alka Das gupta</v>
          </cell>
          <cell r="C13">
            <v>8860075639</v>
          </cell>
          <cell r="D13" t="str">
            <v>Tower-C/2004, Mahindra Luminare</v>
          </cell>
          <cell r="E13" t="str">
            <v>Ghata</v>
          </cell>
          <cell r="F13" t="str">
            <v>Saturday</v>
          </cell>
          <cell r="G13" t="str">
            <v>4 PM to 7Pm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3" t="str">
            <v>4  del of this cycle   -  0-cycles pmnt   Completed - Collect 0</v>
          </cell>
          <cell r="O13" t="str">
            <v>R n W Car ( 14 Inch ) 16     FF Sachet + Grass</v>
          </cell>
          <cell r="P13" t="e">
            <v>#N/A</v>
          </cell>
          <cell r="Q13" t="str">
            <v>Y Asiatic ( 14 inch ) 3     Grass</v>
          </cell>
          <cell r="R13" t="str">
            <v>P n W Glad ( 14 Inch ) 16   Collect Payment Collect Payment Grass</v>
          </cell>
          <cell r="S13" t="str">
            <v>Sunflower ( 14 Inch ) 4     FF Sachet + Grass</v>
          </cell>
          <cell r="T13" t="str">
            <v>Pur n P Car ( 14 Inch ) 16     FF Sachet +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2  del of this cycle   -  1-cycles pmnt   Pending - Collect 1450</v>
          </cell>
          <cell r="O14" t="str">
            <v>P Asiatic 2 P n W glad ( 14 Inch ) 7   Grass</v>
          </cell>
          <cell r="P14" t="str">
            <v>Sunflower ( 12 Inch ) 2 P n W Car 7   FF Sachet + Grass</v>
          </cell>
          <cell r="Q14" t="str">
            <v>P Spray Daisy ( 14 Inch ) 3 Mix Alstroemeria ( 12 Inch ) 7   FF Sachet + Grass</v>
          </cell>
          <cell r="R14" t="str">
            <v>Pur Eustoma ( 12 Inch ) 2 P n W Glad ( 14 Inch ) 7   Grass</v>
          </cell>
          <cell r="S14" t="str">
            <v>O Asiatic ( 14 Inch ) 2 Rajni ( 14 Inch ) 7   Grass</v>
          </cell>
          <cell r="T14" t="str">
            <v>Sunflower ( 12 Inch ) 2 Pur n P Car ( 14 Inch ) 7   FF Sachet + Grass</v>
          </cell>
        </row>
        <row r="15">
          <cell r="A15">
            <v>1334</v>
          </cell>
          <cell r="B15" t="str">
            <v>Rumika</v>
          </cell>
          <cell r="C15">
            <v>8750280078</v>
          </cell>
          <cell r="D15" t="str">
            <v>M-77, 1st Floor,Adani Samsara, Sector 60</v>
          </cell>
          <cell r="E15" t="str">
            <v>Ghata</v>
          </cell>
          <cell r="F15" t="str">
            <v>Saturday</v>
          </cell>
          <cell r="G15" t="str">
            <v>Post 5 PM</v>
          </cell>
          <cell r="H15">
            <v>2300</v>
          </cell>
          <cell r="I15">
            <v>287.5</v>
          </cell>
          <cell r="J15" t="str">
            <v>Felicity</v>
          </cell>
          <cell r="K15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5" t="str">
            <v>Heliconia n Spray Daisy n Rajni</v>
          </cell>
          <cell r="M15" t="str">
            <v>Send 1 Extra Premiun next (08/02)</v>
          </cell>
          <cell r="N15" t="str">
            <v>4  del of this cycle   -  0-cycles pmnt   Completed - Collect 0</v>
          </cell>
          <cell r="O15" t="str">
            <v>Mix Car 11     FF Sachet + Grass</v>
          </cell>
          <cell r="P15" t="str">
            <v>P Asiatic ( 14 Inch ) 2     Grass</v>
          </cell>
          <cell r="Q15" t="str">
            <v>R n P Car ( 14 Inch ) 11     FF Sachet + Grass</v>
          </cell>
          <cell r="R15" t="str">
            <v>B Daisy ( 12 Inch ) 11     Grass</v>
          </cell>
          <cell r="S15" t="str">
            <v>P n W car ( 14 Inch ) 11   Ensure Collection Ensure Collection Grass</v>
          </cell>
          <cell r="T15" t="str">
            <v>Sunflower ( 12 Inch ) 3     FF Sachet + Grass</v>
          </cell>
        </row>
        <row r="16">
          <cell r="A16">
            <v>2769</v>
          </cell>
          <cell r="B16" t="str">
            <v>Anita Sachdev</v>
          </cell>
          <cell r="C16">
            <v>9873184808</v>
          </cell>
          <cell r="D16" t="str">
            <v>431-A, Sec 45</v>
          </cell>
          <cell r="E16" t="str">
            <v>Artemis</v>
          </cell>
          <cell r="F16" t="str">
            <v>Saturday</v>
          </cell>
          <cell r="G16" t="str">
            <v>10 AM to 2:30 PM</v>
          </cell>
          <cell r="H16">
            <v>999</v>
          </cell>
          <cell r="I16">
            <v>249.75</v>
          </cell>
          <cell r="J16" t="str">
            <v>Delight</v>
          </cell>
          <cell r="K16" t="str">
            <v>1 Broken Rose always // Seasonal Only (26/06) 1 stem extra (06/07) Skip 1 week (29/01) Paytm from Arunima Sachdev (11/04)</v>
          </cell>
          <cell r="M16" t="str">
            <v>Seasonal and 2 Broken Rose always // 1 stem extra (06/07)</v>
          </cell>
          <cell r="N16" t="str">
            <v>4  del of this cycle   -  0-cycles pmnt   Completed - Collect 0</v>
          </cell>
          <cell r="O16" t="str">
            <v>Glad 16 2 Broken Rose for Urli    FF Sachet + Grass</v>
          </cell>
          <cell r="P16" t="str">
            <v>R n W Car ( 14 Inch ) 9 2 Broken Rose for Urli    FF Sachet + Grass</v>
          </cell>
          <cell r="Q16" t="str">
            <v>Rajni ( 14 Inch ) 9 2 Broken Rose for Urli Pls    Grass</v>
          </cell>
          <cell r="R16" t="str">
            <v>B Daisy ( 12 Inch ) 9 2 Broken Rose for Urli    Grass</v>
          </cell>
          <cell r="S16" t="str">
            <v>P n W car ( 14 Inch ) 9     FF Sachet + Grass</v>
          </cell>
          <cell r="T16" t="str">
            <v>P n W Glad ( 14 Inch ) 9 2 Broken Flowers for Urli    Grass</v>
          </cell>
        </row>
        <row r="17">
          <cell r="A17">
            <v>18</v>
          </cell>
          <cell r="B17" t="str">
            <v>Ms. Shweta Ghosh</v>
          </cell>
          <cell r="C17">
            <v>9643200607</v>
          </cell>
          <cell r="D17" t="str">
            <v>T-7/1702, The Close South , Sector 50</v>
          </cell>
          <cell r="E17" t="str">
            <v>Nirvana Country</v>
          </cell>
          <cell r="F17" t="str">
            <v>Saturday</v>
          </cell>
          <cell r="G17" t="str">
            <v>4 Pm to 7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7" t="str">
            <v>GLDA n RAJNI</v>
          </cell>
          <cell r="M17" t="str">
            <v>Skip 6th n send on 8th this week (03/06)</v>
          </cell>
          <cell r="N17" t="str">
            <v>4  del of this cycle   -  0-cycles pmnt   Completed - Collect 0</v>
          </cell>
          <cell r="O17" t="str">
            <v>P n W Car ( 14  inch ) 16     FF Sachet + Grass</v>
          </cell>
          <cell r="P17" t="e">
            <v>#N/A</v>
          </cell>
          <cell r="Q17" t="str">
            <v>P n Y Spray Daisy ( 14 Inch ) 5     FF Sachet + Grass</v>
          </cell>
          <cell r="R17" t="str">
            <v>Mix Car 16   Collect Payment Collect Payment Grass</v>
          </cell>
          <cell r="S17" t="str">
            <v>P Asiatic ( 14 Inch ) 3   Ensure Collection Ensure Collection Grass</v>
          </cell>
          <cell r="T17" t="str">
            <v>Sunflower ( 12 Inch ) 4     FF Sachet + Grass</v>
          </cell>
        </row>
        <row r="18">
          <cell r="A18" t="str">
            <v>B56355</v>
          </cell>
          <cell r="B18" t="str">
            <v>Sukhdeep Singh</v>
          </cell>
          <cell r="C18">
            <v>9999572221</v>
          </cell>
          <cell r="D18" t="str">
            <v>T-14/104, Heritage City</v>
          </cell>
          <cell r="E18" t="str">
            <v>M G Road</v>
          </cell>
          <cell r="F18" t="str">
            <v>Saturday</v>
          </cell>
          <cell r="G18" t="str">
            <v>By 5:30 PM</v>
          </cell>
          <cell r="H18">
            <v>890</v>
          </cell>
          <cell r="I18">
            <v>890</v>
          </cell>
          <cell r="J18" t="str">
            <v>Bouquet</v>
          </cell>
          <cell r="K18" t="str">
            <v>3 Sunflower and 4 B Daisy in Tissue Wrap // Congrats Dr Director SS!!! (03/07)</v>
          </cell>
          <cell r="N18" t="str">
            <v>1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 xml:space="preserve">Sunflower + B Daisy  3 + 4 Tissue Wrap Message   </v>
          </cell>
        </row>
        <row r="19">
          <cell r="A19">
            <v>3390</v>
          </cell>
          <cell r="B19" t="str">
            <v>Rajpal Singh</v>
          </cell>
          <cell r="C19">
            <v>8800344225</v>
          </cell>
          <cell r="D19" t="str">
            <v>F-2, Greenwood City, Sec 46</v>
          </cell>
          <cell r="E19" t="str">
            <v>Sector 46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str">
            <v>Pur n P car ( 14 Inch ) 16     FF Sachet + Grass</v>
          </cell>
          <cell r="T19" t="str">
            <v>P Asiatic ( 14 Inch ) 3     Grass</v>
          </cell>
        </row>
        <row r="20">
          <cell r="A20">
            <v>3138</v>
          </cell>
          <cell r="B20" t="str">
            <v>Alpna Verma</v>
          </cell>
          <cell r="C20">
            <v>9811996368</v>
          </cell>
          <cell r="D20" t="str">
            <v>B-70, Sushant Lok Phase 1, Next to Vipul Square, Enter gaye no. 4</v>
          </cell>
          <cell r="E20" t="str">
            <v>M G Road</v>
          </cell>
          <cell r="F20" t="str">
            <v>Tuesday</v>
          </cell>
          <cell r="G20" t="str">
            <v>9 AM - 12 PM</v>
          </cell>
          <cell r="H20">
            <v>2300</v>
          </cell>
          <cell r="I20">
            <v>287.5</v>
          </cell>
          <cell r="J20" t="str">
            <v>Felicity</v>
          </cell>
          <cell r="K20" t="str">
            <v>Day Changed ro Tuesday and Saturday (22/03)Single Color Flowers (01/12)</v>
          </cell>
          <cell r="M20" t="str">
            <v>Single Color Flowers</v>
          </cell>
          <cell r="N20" t="str">
            <v>5  del of this cycle   -  0-cycles pmnt   Completed - Collect 0</v>
          </cell>
          <cell r="O20" t="str">
            <v>P n W Car ( 14  inch ) 11     FF Sachet + Grass</v>
          </cell>
          <cell r="P20" t="e">
            <v>#N/A</v>
          </cell>
          <cell r="Q20" t="e">
            <v>#N/A</v>
          </cell>
          <cell r="R20" t="str">
            <v>B Daisy ( 12 Inch ) 11     Grass</v>
          </cell>
          <cell r="S20" t="str">
            <v>P Asiatic ( 14 Inch ) 2     Grass</v>
          </cell>
          <cell r="T20" t="str">
            <v>P Glad ( 14 Inch )  11 One Color Flower    FF Sachet + Grass</v>
          </cell>
        </row>
        <row r="21">
          <cell r="A21">
            <v>846</v>
          </cell>
          <cell r="B21" t="str">
            <v>Deep Bajaj</v>
          </cell>
          <cell r="C21">
            <v>9899059999</v>
          </cell>
          <cell r="D21" t="str">
            <v>B-2002, Pioneer Presidia,Sec-62, Near Pioneer Square</v>
          </cell>
          <cell r="E21" t="str">
            <v>Ghata</v>
          </cell>
          <cell r="F21" t="str">
            <v>Saturday</v>
          </cell>
          <cell r="G21" t="str">
            <v>9 AM - 12 PM</v>
          </cell>
          <cell r="H21">
            <v>4750</v>
          </cell>
          <cell r="I21">
            <v>1187.5</v>
          </cell>
          <cell r="J21" t="str">
            <v>Enchantment</v>
          </cell>
          <cell r="K2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21" t="str">
            <v>4  del of this cycle   -  0-cycles pmnt   In Process - Collect 0</v>
          </cell>
          <cell r="O21" t="str">
            <v>O Asiatic ( 15 Inch ) + Mix Alstroeemeria 3 + 10 P n W Glad + R n W Car 12 + 12 Y Orchid 5 5 Areca Palm + 3 Gypsola + 3 Limonium</v>
          </cell>
          <cell r="P21" t="e">
            <v>#N/A</v>
          </cell>
          <cell r="Q21" t="str">
            <v>Y Asiatic + P n Pur Eustoma 3 + 4 Mix Alstroemeria + P n W Glad 12 + 12 P Orchid +  Fish Tail 5 + 5 5 Areca palm + 3 Gypsola + 3 Limonum</v>
          </cell>
          <cell r="R21" t="str">
            <v>P Asiatiic + BOP 3 + 4 Rajni + P n W Glad 12 + 12 B Daisy 10 5 Areca Palm + 3 Gypsola + 3 Limonium</v>
          </cell>
          <cell r="S21" t="str">
            <v>P Asiatic + Eustoma 3 + 3 Rajni + P n W Glad 12 + 12 B daisy  8 5 Areca palm + 3 Gypsola + 3 + 3 Limonium</v>
          </cell>
          <cell r="T21" t="str">
            <v>W Asiatic + Mix Anthurium  3 + 4 Pur n P Car + Mix Alstroemeria 12 + 12 BOP 3 5 Areca palm + 3 Gypsola + 3 Limonium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2  del of this cycle   -  1-cycles pmnt   Pending - Collect 1950</v>
          </cell>
          <cell r="O22" t="str">
            <v>O Asiatic ( 15 Inch ) 4     Grass</v>
          </cell>
          <cell r="P22" t="str">
            <v>P n Y Spray Daisy ( 14 Inch ) 7     FF Sachet + Grass</v>
          </cell>
          <cell r="Q22" t="str">
            <v>P n W Glad ( 14 Inch ) 22     Grass</v>
          </cell>
          <cell r="R22" t="str">
            <v>P n Pur Eustoma ( 12 Inch ) 4     FF Sachet + Grass</v>
          </cell>
          <cell r="S22" t="str">
            <v>Pur n P car ( 14 Inch ) 22     FF Sachet + Grass</v>
          </cell>
          <cell r="T22" t="str">
            <v>W Asiatic ( 14 Inch ) 4     Grass</v>
          </cell>
        </row>
        <row r="23">
          <cell r="A23">
            <v>2567</v>
          </cell>
          <cell r="B23" t="str">
            <v>Madhulika</v>
          </cell>
          <cell r="C23">
            <v>9899664229</v>
          </cell>
          <cell r="D23" t="str">
            <v>C-2101, Pioneer Araya, Sec 62</v>
          </cell>
          <cell r="E23" t="str">
            <v>Ghata</v>
          </cell>
          <cell r="F23" t="str">
            <v>Saturday</v>
          </cell>
          <cell r="G23" t="str">
            <v>9 AM - 12 PM</v>
          </cell>
          <cell r="H23">
            <v>999</v>
          </cell>
          <cell r="I23">
            <v>249.75</v>
          </cell>
          <cell r="J23" t="str">
            <v>Delight</v>
          </cell>
          <cell r="K23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23" t="str">
            <v>Eustoma n Rajni</v>
          </cell>
          <cell r="M23" t="str">
            <v>Collect cash</v>
          </cell>
          <cell r="N23" t="str">
            <v>4  del of this cycle   -  0-cycles pmnt   Completed - Collect 0</v>
          </cell>
          <cell r="O23" t="str">
            <v>R n W Car ( 14 Inch ) 9     FF Sachet + Grass</v>
          </cell>
          <cell r="P23" t="str">
            <v>P n W Glad ( 14 Inch ) 9     Grass</v>
          </cell>
          <cell r="Q23" t="str">
            <v>Sunflower ( 12 Inch ) 2     FF Sachet + Grass</v>
          </cell>
          <cell r="R23" t="str">
            <v>P Asiatic ( 14 Inch ) 2     Grass</v>
          </cell>
          <cell r="S23" t="str">
            <v>Pur n P car ( 14 Inch ) 9     FF Sachet + Grass</v>
          </cell>
          <cell r="T23" t="str">
            <v>P n W Glad ( 14 Inch ) 9     Grass</v>
          </cell>
        </row>
        <row r="24">
          <cell r="A24">
            <v>2247</v>
          </cell>
          <cell r="B24" t="str">
            <v>Reeya Naahar</v>
          </cell>
          <cell r="C24">
            <v>9818862169</v>
          </cell>
          <cell r="D24" t="str">
            <v>B-316-B, Sushant Lok-1</v>
          </cell>
          <cell r="E24" t="str">
            <v>M G Road</v>
          </cell>
          <cell r="F24" t="str">
            <v>Saturday</v>
          </cell>
          <cell r="G24" t="str">
            <v>9:30 AM to 2PM</v>
          </cell>
          <cell r="H24">
            <v>2300</v>
          </cell>
          <cell r="I24">
            <v>287.5</v>
          </cell>
          <cell r="J24" t="str">
            <v>Felicity</v>
          </cell>
          <cell r="K24" t="str">
            <v>Saturday n Tuesday// No Yel Spray Daisy // Do not count last del (06/07) No Gerbera (12/04)</v>
          </cell>
          <cell r="L24" t="str">
            <v>GERBERA</v>
          </cell>
          <cell r="N24" t="str">
            <v>5  del of this cycle   -  0-cycles pmnt   In Process - Collect 0</v>
          </cell>
          <cell r="O24" t="str">
            <v>P n W Glad ( 14 Inch ) 11     Grass</v>
          </cell>
          <cell r="P24" t="str">
            <v>Mix Car 11     FF Sachet + Grass</v>
          </cell>
          <cell r="Q24" t="str">
            <v>Mix Alstroemeria ( 12 Inch ) 11     FF Sachet + Grass</v>
          </cell>
          <cell r="R24" t="str">
            <v>B Daisy ( 12 Inch ) 11     Grass</v>
          </cell>
          <cell r="S24" t="str">
            <v>O Asiatic ( 14 Inch ) 2     Grass</v>
          </cell>
          <cell r="T24" t="str">
            <v>Sunflower ( 12 Inch ) 3     FF Sachet + Grass</v>
          </cell>
        </row>
        <row r="25">
          <cell r="A25">
            <v>2232</v>
          </cell>
          <cell r="B25" t="str">
            <v xml:space="preserve">Smita Halder </v>
          </cell>
          <cell r="C25">
            <v>9687638449</v>
          </cell>
          <cell r="D25" t="str">
            <v>1st floor, plot 65
Opposite ardee school 
Ardee city gate 3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5" t="str">
            <v>3  del of this cycle   -  0-cycles pmnt   Completed - Collect 0</v>
          </cell>
          <cell r="O25" t="str">
            <v>R n W Car ( 14 Inch ) 16     FF Sachet + Grass</v>
          </cell>
          <cell r="P25" t="e">
            <v>#N/A</v>
          </cell>
          <cell r="Q25" t="str">
            <v>P n W Glad ( 14 Inch ) 16     Grass</v>
          </cell>
          <cell r="R25" t="str">
            <v>P Eustoma ( 12 Inch ) 3     Grass</v>
          </cell>
          <cell r="S25" t="str">
            <v>Pur n P car ( 14 Inch ) 16     FF Sachet + Grass</v>
          </cell>
          <cell r="T25" t="str">
            <v>O Asiatic ( 14 Inch ) 3     Grass</v>
          </cell>
        </row>
        <row r="26">
          <cell r="A26">
            <v>169</v>
          </cell>
          <cell r="B26" t="str">
            <v>Suniti Banga -- Before 11 AM</v>
          </cell>
          <cell r="C26">
            <v>9810282649</v>
          </cell>
          <cell r="D26" t="str">
            <v>A-3/1102, Uniworld City Sector 30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3750</v>
          </cell>
          <cell r="I26">
            <v>937.5</v>
          </cell>
          <cell r="J26" t="str">
            <v>Savor</v>
          </cell>
          <cell r="K26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6" t="str">
            <v>2  del of this cycle   -  0-cycles pmnt   Completed - Collect 0</v>
          </cell>
          <cell r="O26" t="str">
            <v>P n W Spray Daisy ( 15 Inch) 8 P n W  Glad ( 14 Inch )  22   2 Gypsola</v>
          </cell>
          <cell r="P26" t="str">
            <v>Pur n P Eustoma ( 12 Inch ) 4 Rajni 15   2 Limonium + FF Sachet</v>
          </cell>
          <cell r="Q26" t="str">
            <v>Y Asiatic ( 14 inch ) 4 Pur n p Car ( 14 inch ) 21   2 Gypsola + FF Sachet</v>
          </cell>
          <cell r="R26" t="e">
            <v>#N/A</v>
          </cell>
          <cell r="S26" t="e">
            <v>#N/A</v>
          </cell>
          <cell r="T26" t="str">
            <v xml:space="preserve">W Oriental ( 15 Inch ) 3 P n W Glad ( 14 Inch ) 15   2 Limonium </v>
          </cell>
        </row>
        <row r="27">
          <cell r="A27">
            <v>2937</v>
          </cell>
          <cell r="B27" t="str">
            <v>Vani Kalra</v>
          </cell>
          <cell r="C27">
            <v>9810121070</v>
          </cell>
          <cell r="D27" t="str">
            <v>B-644, Sushant Lok-1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Day Changed to Tuesday and shared Location</v>
          </cell>
          <cell r="M27" t="str">
            <v>Location</v>
          </cell>
          <cell r="N27" t="str">
            <v>1  del of this cycle   -  0-cycles pmnt   Completed - Collect 0</v>
          </cell>
          <cell r="O27" t="str">
            <v>O Asiatic ( 15 Inch ) 2 Rajni ( 15 Inch ) 11   Grass</v>
          </cell>
          <cell r="P27" t="str">
            <v>Pur Eustoma ( 12 Inch ) 2 Rajni 11   FF Sachet + Grass</v>
          </cell>
          <cell r="Q27" t="str">
            <v>P n Y Spray Daisy ( 14 Inch ) 4 P n W Glad ( 14 Inch ) 11   FF Sachet + Grass</v>
          </cell>
          <cell r="R27" t="str">
            <v>P Asiatic ( 14 Inch ) 2 B Daisy ( 12 Inch ) 11   Grass</v>
          </cell>
          <cell r="S27" t="str">
            <v>Sunflower ( 14 Inch ) 3 Pur n P Car ( 14 Inch ) 11   FF Sachet + Grass</v>
          </cell>
          <cell r="T27" t="str">
            <v>BOP 2 Rajni ( 14 Inch ) 11   Grass</v>
          </cell>
        </row>
        <row r="28">
          <cell r="A28">
            <v>1965</v>
          </cell>
          <cell r="B28" t="str">
            <v>Karan Kumar</v>
          </cell>
          <cell r="C28">
            <v>7769040473</v>
          </cell>
          <cell r="D28" t="str">
            <v>T-9/008, Heritage City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2750</v>
          </cell>
          <cell r="I28">
            <v>687.5</v>
          </cell>
          <cell r="J28" t="str">
            <v>Elation</v>
          </cell>
          <cell r="K28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8" t="str">
            <v>2  del of this cycle   -  1-cycles pmnt   Pending - Collect 2750</v>
          </cell>
          <cell r="O28" t="str">
            <v>O Asiatic ( 15 Inch ) 3 Spray Car 15   2 Limonium</v>
          </cell>
          <cell r="P28" t="str">
            <v>P n Y Spray Daisy ( 14 Inch ) 5 Rajni 16   2 Gypsola + FF Sachet</v>
          </cell>
          <cell r="Q28" t="e">
            <v>#N/A</v>
          </cell>
          <cell r="R28" t="e">
            <v>#N/A</v>
          </cell>
          <cell r="S28" t="str">
            <v>Sunflower ( 14 Inch ) 4 Pur n P Car ( 14 Inch ) 16   2 Limonium + FF sachet</v>
          </cell>
          <cell r="T28" t="str">
            <v xml:space="preserve">W Asiatic ( 14 Inch ) 3 P n W Glad ( 14 Inch ) 16   2 Gypsola </v>
          </cell>
        </row>
        <row r="29">
          <cell r="A29">
            <v>3327</v>
          </cell>
          <cell r="B29" t="str">
            <v>Yasha Jain</v>
          </cell>
          <cell r="C29">
            <v>9731958033</v>
          </cell>
          <cell r="D29" t="str">
            <v>Tower -E/1801 , Pioneer Presidia</v>
          </cell>
          <cell r="E29" t="str">
            <v>Ghata</v>
          </cell>
          <cell r="F29" t="str">
            <v>Saturday</v>
          </cell>
          <cell r="G29" t="str">
            <v>9 AM to 2 PM</v>
          </cell>
          <cell r="H29">
            <v>1450</v>
          </cell>
          <cell r="I29">
            <v>362.5</v>
          </cell>
          <cell r="J29" t="str">
            <v>Bliss</v>
          </cell>
          <cell r="N29" t="str">
            <v>4  del of this cycle   -  0-cycles pmnt   Completed - Collect 0</v>
          </cell>
          <cell r="O29" t="str">
            <v>O Asiatic ( 15 Inch ) 3     Grass</v>
          </cell>
          <cell r="P29" t="str">
            <v>P n W Glad ( 14 Inch ) 16     Grass</v>
          </cell>
          <cell r="Q29" t="str">
            <v>P Eustoma ( 12 Inch ) 3     FF Sachet + Grass</v>
          </cell>
          <cell r="R29" t="str">
            <v>P n Y Spray Daisy ( 14 Inch ) 5     FF Sachet + Grass</v>
          </cell>
          <cell r="S29" t="str">
            <v>Pur n P car ( 14 Inch ) 16     FF Sachet + Grass</v>
          </cell>
          <cell r="T29" t="str">
            <v>W Asiatic ( 14 Inch ) 3     Grass</v>
          </cell>
        </row>
        <row r="30">
          <cell r="A30">
            <v>3083</v>
          </cell>
          <cell r="B30" t="str">
            <v>Meha Mittal</v>
          </cell>
          <cell r="C30">
            <v>8209473021</v>
          </cell>
          <cell r="D30" t="str">
            <v>B-2301, Emaar Digihomes, Sec 62</v>
          </cell>
          <cell r="E30" t="str">
            <v>Ghata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Skip 1 week (30/10) Skip 2 week (06/11) Skip 3 week (06/12) Skip 1 week (11/01) Skip 1 week (21/06) Don’t skip (26/06) 2 Asiatic extra next week (02/07)</v>
          </cell>
          <cell r="M30" t="str">
            <v>2 Asiatic extra next week (02/07)</v>
          </cell>
          <cell r="N30" t="str">
            <v>3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str">
            <v>P n W Glad ( 14 Inch ) 16     Grass</v>
          </cell>
          <cell r="S30" t="str">
            <v>O Asiatic ( 14 Inch ) 3     Grass</v>
          </cell>
          <cell r="T30" t="str">
            <v>W Asiatic ( 14 Inch ) 2 Pur n P Car ( 14 Inch ) 16   Grass</v>
          </cell>
        </row>
        <row r="31">
          <cell r="A31">
            <v>212</v>
          </cell>
          <cell r="B31" t="str">
            <v>Shalini Sinha</v>
          </cell>
          <cell r="C31">
            <v>9810453173</v>
          </cell>
          <cell r="D31" t="str">
            <v>A4/602, World Spa East</v>
          </cell>
          <cell r="E31" t="str">
            <v>South City 1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1" t="str">
            <v xml:space="preserve">ORCHID n GLAD </v>
          </cell>
          <cell r="N31" t="str">
            <v>3  del of this cycle   -  0-cycles pmnt   Completed - Collect 0</v>
          </cell>
          <cell r="O31" t="str">
            <v>P n W Car ( 14  inch ) 9     FF Sachet + Grass</v>
          </cell>
          <cell r="P31" t="str">
            <v>Sunflower ( 12 Inch ) 2     FF Sachet + Grass</v>
          </cell>
          <cell r="Q31" t="str">
            <v>P Spray Daisy ( 14 Inch ) 3     FF Sachet + Grass</v>
          </cell>
          <cell r="R31" t="e">
            <v>#N/A</v>
          </cell>
          <cell r="S31" t="str">
            <v>Pur n P car ( 14 Inch ) 16     FF Sachet + Grass</v>
          </cell>
          <cell r="T31" t="str">
            <v>W Asiatic ( 14 Inch ) 3     Grass</v>
          </cell>
        </row>
        <row r="32">
          <cell r="A32">
            <v>2060</v>
          </cell>
          <cell r="B32" t="str">
            <v>Shweta World Spa</v>
          </cell>
          <cell r="C32">
            <v>9971186475</v>
          </cell>
          <cell r="D32" t="str">
            <v>B4/602, World Spa West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2" t="str">
            <v>3  del of this cycle   -  0-cycles pmnt   Completed - Collect 0</v>
          </cell>
          <cell r="O32" t="str">
            <v>O Asiatic ( 15 Inch ) 3     Grass</v>
          </cell>
          <cell r="P32" t="str">
            <v>P n W Spray Daisy ( 14 Inch ) 5     FF Sachet + Grass</v>
          </cell>
          <cell r="Q32" t="e">
            <v>#N/A</v>
          </cell>
          <cell r="R32" t="e">
            <v>#N/A</v>
          </cell>
          <cell r="S32" t="str">
            <v>P n W car ( 14 Inch ) 16     FF Sachet + Grass</v>
          </cell>
          <cell r="T32" t="str">
            <v>W Asiatic ( 14 Inch ) 3     Grass</v>
          </cell>
        </row>
        <row r="33">
          <cell r="A33">
            <v>2692</v>
          </cell>
          <cell r="B33" t="str">
            <v>A K Jain</v>
          </cell>
          <cell r="C33">
            <v>9910309930</v>
          </cell>
          <cell r="D33" t="str">
            <v>B-785, Sushant Lok-1, Near Police Chowki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33" t="str">
            <v>7  del of this cycle   -  0-cycles pmnt   Completed - Collect 0</v>
          </cell>
          <cell r="O33" t="str">
            <v>P n W Car ( 14  inch ) 11     FF Sachet + Grass</v>
          </cell>
          <cell r="P33" t="str">
            <v>P n W Glad ( 14 Inch ) 11     Grass</v>
          </cell>
          <cell r="Q33" t="str">
            <v>Sunflower ( 12 Inch ) 3     FF Sachet + Grass</v>
          </cell>
          <cell r="R33" t="str">
            <v>B Daisy ( 12 Inch ) 11     Grass</v>
          </cell>
          <cell r="S33" t="str">
            <v>O Asiatic ( 14 Inch ) 2     Grass</v>
          </cell>
          <cell r="T33" t="str">
            <v>BOP ( 15 Inch ) 2     FF Sachet + Grass</v>
          </cell>
        </row>
        <row r="34">
          <cell r="A34">
            <v>975</v>
          </cell>
          <cell r="B34" t="str">
            <v>Ritu Sacheti</v>
          </cell>
          <cell r="C34">
            <v>9910007371</v>
          </cell>
          <cell r="D34" t="str">
            <v>B1/1401, World Spa,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3750</v>
          </cell>
          <cell r="I34">
            <v>468.75</v>
          </cell>
          <cell r="J34" t="str">
            <v>Grace</v>
          </cell>
          <cell r="K34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4" t="str">
            <v>GERBERA n SUNFLOWER</v>
          </cell>
          <cell r="N34" t="str">
            <v>8  del of this cycle   -  0-cycles pmnt   Completed - Collect 0</v>
          </cell>
          <cell r="O34" t="str">
            <v>O Asiatic ( 15 Inch ) 2 Rajni ( 15 Inch ) 12   Grass</v>
          </cell>
          <cell r="P34" t="str">
            <v>Y Spray Daisy ( 14 Inch ) 3 P n W Glad ( 14 Inch ) 10   FF Sachet + Grass</v>
          </cell>
          <cell r="Q34" t="str">
            <v>Pur Eustoma ( 12 Inch ) 3 Rajni ( 14 Inch ) 10   FF Sachet + Grass</v>
          </cell>
          <cell r="R34" t="str">
            <v>P Asiatic ( 14 Inch ) 2 B Daisy ( 12 Inch ) 10   Grass</v>
          </cell>
          <cell r="S34" t="str">
            <v>Y Spray Daisy ( 14 Inch ) 3 P n W Glad ( 14 Inch ) 10   FF Sachet + Grass</v>
          </cell>
          <cell r="T34" t="str">
            <v>W Asiatic ( 14 Inch ) 2 Rajni ( 14 Inch ) 10   Grass</v>
          </cell>
        </row>
        <row r="35">
          <cell r="A35">
            <v>1536</v>
          </cell>
          <cell r="B35" t="str">
            <v>Farah</v>
          </cell>
          <cell r="C35">
            <v>9871518449</v>
          </cell>
          <cell r="D35" t="str">
            <v>D-12/3, Ground Floor, Gate no.4, aardee City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35" t="str">
            <v>Spray Daisy n Rajni</v>
          </cell>
          <cell r="N35" t="str">
            <v>4  del of this cycle   -  0-cycles pmnt   Completed - Collect 0</v>
          </cell>
          <cell r="O35" t="str">
            <v>Sunflower ( 12 Inch ) 2     FF Sachet + Grass</v>
          </cell>
          <cell r="P35" t="str">
            <v>Mix Alstroemeria ( 12 Inch ) 9     FF Sachet + Grass</v>
          </cell>
          <cell r="Q35" t="e">
            <v>#N/A</v>
          </cell>
          <cell r="R35" t="e">
            <v>#N/A</v>
          </cell>
          <cell r="S35" t="str">
            <v>Pur n P car ( 14 Inch ) 9     FF Sachet + Grass</v>
          </cell>
          <cell r="T35" t="str">
            <v>O Asiatic ( 14 Inch ) 2     Grass</v>
          </cell>
        </row>
        <row r="36">
          <cell r="A36">
            <v>1481</v>
          </cell>
          <cell r="B36" t="str">
            <v>Nidhi Kapoor</v>
          </cell>
          <cell r="C36">
            <v>9810998981</v>
          </cell>
          <cell r="D36" t="str">
            <v>B1/1602, World  Spa West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Sat n Tuesday//Shift to Joy(17/09) Flower F Next(13/05) Skip 1 week (30/08) Skip 2 week (08/06) Skip 2 weeks (17/08_)</v>
          </cell>
          <cell r="N36" t="str">
            <v>1  del of this cycle   -  1-cycles pmnt   Pending - Collect 1950</v>
          </cell>
          <cell r="O36" t="str">
            <v>P n W Glad ( 14 Inch ) 22     Grass</v>
          </cell>
          <cell r="P36" t="str">
            <v>Mix Car 22     FF Sachet + Grass</v>
          </cell>
          <cell r="Q36" t="str">
            <v>P n Pur Eustoma ( 12 Inch ) 4     FF Sachet + Grass</v>
          </cell>
          <cell r="R36" t="str">
            <v>B Daisy ( 12 Inch ) 22     Grass</v>
          </cell>
          <cell r="S36" t="str">
            <v>P Asiatic ( 14 Inch ) 4     Grass</v>
          </cell>
          <cell r="T36" t="str">
            <v>Rajni ( 14 Inch ) 22     Grass</v>
          </cell>
        </row>
        <row r="37">
          <cell r="A37">
            <v>318</v>
          </cell>
          <cell r="B37" t="str">
            <v>Kalyani Rajan</v>
          </cell>
          <cell r="C37">
            <v>9811021884</v>
          </cell>
          <cell r="D37" t="str">
            <v>9/106, Heritage City, M G Road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7" t="str">
            <v>GERBERA</v>
          </cell>
          <cell r="M37" t="str">
            <v>Vase Tom (22/05)</v>
          </cell>
          <cell r="N37" t="str">
            <v>3  del of this cycle   -  0-cycles pmnt   Completed - Collect 0</v>
          </cell>
          <cell r="O37" t="str">
            <v>O Asiatic ( 15 Inch ) 2     Grass</v>
          </cell>
          <cell r="P37" t="str">
            <v>Pur n P Car ( 14 Inch ) 9     FF Sachet + Grass</v>
          </cell>
          <cell r="Q37" t="str">
            <v>Sunflower ( 12 Inch ) 2     FF Sachet + Grass</v>
          </cell>
          <cell r="R37" t="str">
            <v>P n W Glad ( 14 Inch ) 9     Grass</v>
          </cell>
          <cell r="S37" t="str">
            <v>Rajni ( 12 Inch ) 9     Grass</v>
          </cell>
          <cell r="T37" t="str">
            <v>P Asiatic ( 14 Inch ) 2    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2  del of this cycle   -  0-cycles pmnt   Completed - Collect 0</v>
          </cell>
          <cell r="O38" t="str">
            <v>P n Y Spray daisy ( 15 Inch ) 7     FF sachet + grass</v>
          </cell>
          <cell r="P38" t="str">
            <v>Pur n P Car ( 14 Inch ) 22     FF Sachet + Grass</v>
          </cell>
          <cell r="Q38" t="str">
            <v>P n Pur Eustoma ( 12 Inch ) 4     FF Sachet + Grass</v>
          </cell>
          <cell r="R38" t="str">
            <v>P n W Glad ( 14 Inch ) 22     Grass</v>
          </cell>
          <cell r="S38" t="str">
            <v>Sunflower ( 14 Inch ) 5     FF Sachet + Grass</v>
          </cell>
          <cell r="T38" t="str">
            <v>W Asiatic ( 14 Inch ) 4     Grass</v>
          </cell>
        </row>
        <row r="39">
          <cell r="A39">
            <v>1281</v>
          </cell>
          <cell r="B39" t="str">
            <v>Shawlinee</v>
          </cell>
          <cell r="C39">
            <v>9818993372</v>
          </cell>
          <cell r="D39" t="str">
            <v>17/501, Heritage City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Rajni Next (07/11) Replacement tom (12/07) 5 Pur Orchid (30/09) Skip 1 week (20/11) 1000 received as cash on 05th Aug (09/08) Change to bliss now (03/10) Shift to Delight now (15/10)</v>
          </cell>
          <cell r="M39" t="str">
            <v>Shift to Delight now (15/10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str">
            <v>Pur n P car ( 14 Inch ) 16     FF Sachet + Grass</v>
          </cell>
          <cell r="T39" t="str">
            <v>O Asiatic ( 14 Inch ) 3    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2  del of this cycle   -  0-cycles pmnt   CompletedNO COLLECTION-we have extra money - Collect -50</v>
          </cell>
          <cell r="O40" t="str">
            <v>O Asiatic ( 15 Inch ) 3     Grass</v>
          </cell>
          <cell r="P40" t="str">
            <v>Mix Car 9     FF Sachet + Grass</v>
          </cell>
          <cell r="Q40" t="e">
            <v>#N/A</v>
          </cell>
          <cell r="R40" t="e">
            <v>#N/A</v>
          </cell>
          <cell r="S40" t="str">
            <v>Mix Car 16     FF Sachet + Grass</v>
          </cell>
          <cell r="T40" t="str">
            <v>Rajni 16     FF Sachet + Grass</v>
          </cell>
        </row>
        <row r="41">
          <cell r="A41">
            <v>2980</v>
          </cell>
          <cell r="B41" t="str">
            <v>Shilpa Kohli</v>
          </cell>
          <cell r="C41">
            <v>9717255116</v>
          </cell>
          <cell r="D41" t="str">
            <v>B2/102, Sahara Grace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999</v>
          </cell>
          <cell r="I41">
            <v>249.75</v>
          </cell>
          <cell r="J41" t="str">
            <v>Delight</v>
          </cell>
          <cell r="K41" t="str">
            <v>Only Seasonlas</v>
          </cell>
          <cell r="N41" t="str">
            <v>4  del of this cycle   -  0-cycles pmnt   Completed - Collect 0</v>
          </cell>
          <cell r="O41" t="str">
            <v>O Asiatic ( 15 Inch ) 2     Grass</v>
          </cell>
          <cell r="P41" t="str">
            <v>P n W Glad ( 14 Inch ) 9     Grass</v>
          </cell>
          <cell r="Q41" t="str">
            <v>P Spray Daisy ( 14 Inch ) 3     FF Sachet + Grass</v>
          </cell>
          <cell r="R41" t="str">
            <v>B Daisy ( 12 Inch ) 9     Grass</v>
          </cell>
          <cell r="S41" t="str">
            <v>Pur n P car ( 14 Inch ) 9     FF Sachet + Grass</v>
          </cell>
          <cell r="T41" t="str">
            <v>P Asiatic ( 14 Inch ) 2     Grass</v>
          </cell>
        </row>
        <row r="42">
          <cell r="A42">
            <v>3372</v>
          </cell>
          <cell r="B42" t="str">
            <v>Anabhra Mishra</v>
          </cell>
          <cell r="C42">
            <v>9519954064</v>
          </cell>
          <cell r="D42" t="str">
            <v>E-504, Sujjan Vihar</v>
          </cell>
          <cell r="E42" t="str">
            <v>DLF Phase 5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Eustoma next (12/06)</v>
          </cell>
          <cell r="M42" t="str">
            <v>Eustoma next (12/06)</v>
          </cell>
          <cell r="N42" t="str">
            <v>2  del of this cycle   -  0-cycles pmnt   Completed - Collect 0</v>
          </cell>
          <cell r="O42" t="str">
            <v>O Asiatic ( 15 Inch ) 3     Grass</v>
          </cell>
          <cell r="P42" t="str">
            <v>P n W Glad ( 14 Inch ) 16     Grass</v>
          </cell>
          <cell r="Q42" t="str">
            <v>Pur Eustoma ( 12 Inch ) 3     FF Sachet + Grass</v>
          </cell>
          <cell r="R42" t="str">
            <v>P n Y Spray Daisy ( 14 Inch ) 5     FF Sachet + Grass</v>
          </cell>
          <cell r="S42" t="e">
            <v>#N/A</v>
          </cell>
          <cell r="T42" t="str">
            <v>Pur n P Car ( 14 Inch ) 16     FF Sachet + Grass</v>
          </cell>
        </row>
        <row r="43">
          <cell r="A43">
            <v>940</v>
          </cell>
          <cell r="B43" t="str">
            <v>Jyotsna Ghoshal</v>
          </cell>
          <cell r="C43">
            <v>9810194171</v>
          </cell>
          <cell r="D43" t="str">
            <v xml:space="preserve">1701, tower 4, the palms, south city 1    South City 1 Gurgaon  122001 </v>
          </cell>
          <cell r="E43" t="str">
            <v>South City 1</v>
          </cell>
          <cell r="F43" t="str">
            <v>Saturday</v>
          </cell>
          <cell r="G43" t="str">
            <v>9 AM - 12 PM</v>
          </cell>
          <cell r="H43">
            <v>2750</v>
          </cell>
          <cell r="I43">
            <v>687.5</v>
          </cell>
          <cell r="J43" t="str">
            <v>Elation</v>
          </cell>
          <cell r="K43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43" t="str">
            <v>4  del of this cycle   -  0-cycles pmnt   Completed - Collect 0</v>
          </cell>
          <cell r="O43" t="str">
            <v>R n W Car ( 14 Inch ) 32     FF Sachet + 2 limonium</v>
          </cell>
          <cell r="P43" t="str">
            <v>P n Y Spray Daisy ( 14 Inch ) 10     2 Gypsola + FF Sachet</v>
          </cell>
          <cell r="Q43" t="str">
            <v>P n Pur Eustoma ( 12 Inch ) 6     2 Limonium + FF Sachet</v>
          </cell>
          <cell r="R43" t="str">
            <v>P n W Glad ( 14 Inch ) 32     2 Gypsola</v>
          </cell>
          <cell r="S43" t="str">
            <v>O Asiatic ( 14 Inch ) 6     2 Limonium</v>
          </cell>
          <cell r="T43" t="str">
            <v xml:space="preserve">Pur n P Car ( 14 Inch ) 32     2 Gypsola + FF Sachet </v>
          </cell>
        </row>
        <row r="44">
          <cell r="A44">
            <v>1542</v>
          </cell>
          <cell r="B44" t="str">
            <v>Anisha Sethi</v>
          </cell>
          <cell r="C44">
            <v>9811004396</v>
          </cell>
          <cell r="D44" t="str">
            <v>Q-1/25, DLF Phase 2</v>
          </cell>
          <cell r="E44" t="str">
            <v>M G Road</v>
          </cell>
          <cell r="F44" t="str">
            <v>Saturday</v>
          </cell>
          <cell r="G44" t="str">
            <v>9 AM to 2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44" t="str">
            <v>HELICONIA n BOP</v>
          </cell>
          <cell r="M44" t="str">
            <v>No Sunflowers for some time (15/04) Change of Rs. 50 Next (28/04)</v>
          </cell>
          <cell r="N44" t="str">
            <v>6  del of this cycle   -  0-cycles pmnt   Completed - Collect 0</v>
          </cell>
          <cell r="O44" t="e">
            <v>#N/A</v>
          </cell>
          <cell r="P44" t="e">
            <v>#N/A</v>
          </cell>
          <cell r="Q44" t="str">
            <v>Y Asiatic ( 14 inch ) 2 Pur n p Car ( 14 inch ) 7   Grass</v>
          </cell>
          <cell r="R44" t="str">
            <v>Sunflower ( 12 Inch ) 2 B Daisy ( 12 Inch ) 7 Collect Cash Collect Cash Grass</v>
          </cell>
          <cell r="S44" t="str">
            <v>P Asiatic ( 14 Inch ) 2 P n W Glad ( 14 Inch ) 7   Grass</v>
          </cell>
          <cell r="T44" t="str">
            <v>O Asiatic ( 14 Inch ) 2 Rajni ( 14 Inch ) 7   Grass</v>
          </cell>
        </row>
        <row r="45">
          <cell r="A45">
            <v>3356</v>
          </cell>
          <cell r="B45" t="str">
            <v>Neha Gupta</v>
          </cell>
          <cell r="C45">
            <v>9999598424</v>
          </cell>
          <cell r="D45" t="str">
            <v>C-106, DLF Oakwood Estate, DLF Phase 2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N45" t="str">
            <v>1  del of this cycle   -  0-cycles pmnt   Completed - Collect 0</v>
          </cell>
          <cell r="O45" t="str">
            <v>O Asiatic ( 15 Inch ) 3     Grass</v>
          </cell>
          <cell r="P45" t="str">
            <v>Mix Car 16     FF Sachet + Grass</v>
          </cell>
          <cell r="Q45" t="str">
            <v>P Eustoma ( 12 Inch ) 3     FF Sachet + Grass</v>
          </cell>
          <cell r="R45" t="str">
            <v>P n W Glad ( 14 Inch ) 16     Grass</v>
          </cell>
          <cell r="S45" t="str">
            <v>Sunflower ( 14 Inch ) 4     FF Sachet + Grass</v>
          </cell>
          <cell r="T45" t="str">
            <v>P Asiatic ( 14 Inch ) 3     FF Sachet + Grass</v>
          </cell>
        </row>
        <row r="46">
          <cell r="A46">
            <v>3287</v>
          </cell>
          <cell r="B46" t="str">
            <v>Tenzing Y Bhutia</v>
          </cell>
          <cell r="C46">
            <v>8527399445</v>
          </cell>
          <cell r="D46" t="str">
            <v>A-1701. 17th Floor, Heritage One</v>
          </cell>
          <cell r="E46" t="str">
            <v>Ghata</v>
          </cell>
          <cell r="F46" t="str">
            <v>Saturday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Send tom del in evening // No Glad // Replacement Tom (04/05)</v>
          </cell>
          <cell r="L46" t="str">
            <v>Glad</v>
          </cell>
          <cell r="N46" t="str">
            <v>1  del of this cycle   -  1-cycles pmnt   Pending - Collect 1950</v>
          </cell>
          <cell r="O46" t="str">
            <v>P n Y Spray daisy ( 15 Inch ) 7     FF Sachet + Grass</v>
          </cell>
          <cell r="P46" t="str">
            <v>Pur n P Eustoma ( 12 Inch ) 4     FF Sachet + Grass</v>
          </cell>
          <cell r="Q46" t="str">
            <v>Y Asiatic ( 14 inch ) 4     Grass</v>
          </cell>
          <cell r="R46" t="str">
            <v>B Daisy ( 12 Inch ) 22     Grass</v>
          </cell>
          <cell r="S46" t="str">
            <v>Pur n P car ( 14 Inch ) 22     FF Sachet + Grass</v>
          </cell>
          <cell r="T46" t="str">
            <v>B Orchid  7     FF Sachet + Grass</v>
          </cell>
        </row>
        <row r="47">
          <cell r="A47">
            <v>2853</v>
          </cell>
          <cell r="B47" t="str">
            <v>Mohini Jain</v>
          </cell>
          <cell r="C47">
            <v>9810905651</v>
          </cell>
          <cell r="D47" t="str">
            <v>B1/204, PWO Appartment, Sec 43</v>
          </cell>
          <cell r="E47" t="str">
            <v>Huda</v>
          </cell>
          <cell r="F47" t="str">
            <v>Saturday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10% Discount for 12 Del (02/08) Paytm from V Mohini (21/03)</v>
          </cell>
          <cell r="N47" t="str">
            <v>4  del of this cycle   -  0-cycles pmnt   Completed - Collect 0</v>
          </cell>
          <cell r="O47" t="str">
            <v>Y Spray Daisy ( 15 Inch) 3 Mix Car 7   FF Sachet + Grass</v>
          </cell>
          <cell r="P47" t="str">
            <v>Sunflower ( 12 Inch ) 2 Rajni 7   FF Sachet + Grass</v>
          </cell>
          <cell r="Q47" t="str">
            <v>Y Asiatic ( 14 inch ) 2 P n W Glad ( 14 Inch ) 7   Grass</v>
          </cell>
          <cell r="R47" t="str">
            <v>Pur Eustoma ( 12 Inch ) 2 B Daisy ( 12 Inch ) 7 Collect Payment Collect Payment Grass</v>
          </cell>
          <cell r="S47" t="str">
            <v>P Spray Daisy ( 14 Inch ) 3 Pur n P Car ( 14 Inch ) 7 Ensure Collection Ensure Collection FF Sachet + Grass</v>
          </cell>
          <cell r="T47" t="str">
            <v>Sunflower ( 12 Inch ) 2 P n W Glad ( 14 Inch ) 7   FF Sachet + Grass</v>
          </cell>
        </row>
        <row r="48">
          <cell r="A48">
            <v>1975</v>
          </cell>
          <cell r="B48" t="str">
            <v>Nidhee pathak</v>
          </cell>
          <cell r="C48" t="str">
            <v>98734 25980</v>
          </cell>
          <cell r="D48" t="str">
            <v>1602, Tower-3,The Palms
South City-1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48" t="str">
            <v>ROSE</v>
          </cell>
          <cell r="N48" t="str">
            <v>4  del of this cycle   -  0-cycles pmnt   Completed - Collect 0</v>
          </cell>
          <cell r="O48" t="str">
            <v>O Asiatic ( 15 Inch ) 4     Grass</v>
          </cell>
          <cell r="P48" t="str">
            <v>Mix Car 22     FF Sachet + Grass</v>
          </cell>
          <cell r="Q48" t="str">
            <v>P n Pur Eustoma ( 12 Inch ) 4     FF Sachet + Grass</v>
          </cell>
          <cell r="R48" t="str">
            <v>B Daisy ( 12 Inch ) 22     Grass</v>
          </cell>
          <cell r="S48" t="str">
            <v>P n W Glad ( 14 Inch ) 22     Grass</v>
          </cell>
          <cell r="T48" t="str">
            <v>W Asiatic ( 14 Inch ) 4     Grass</v>
          </cell>
        </row>
        <row r="49">
          <cell r="A49">
            <v>3349</v>
          </cell>
          <cell r="B49" t="str">
            <v>Rahul Vatts</v>
          </cell>
          <cell r="C49">
            <v>9540795407</v>
          </cell>
          <cell r="D49" t="str">
            <v>N-6/14 B, 2nd Floor, Last House in Lane N6, DLF Phase 2, Sec 25</v>
          </cell>
          <cell r="E49" t="str">
            <v>M G Road</v>
          </cell>
          <cell r="F49" t="str">
            <v>Saturday</v>
          </cell>
          <cell r="G49" t="str">
            <v>9 AM to 2 PM</v>
          </cell>
          <cell r="H49">
            <v>2750</v>
          </cell>
          <cell r="I49">
            <v>687.5</v>
          </cell>
          <cell r="J49" t="str">
            <v>Elation</v>
          </cell>
          <cell r="N49" t="str">
            <v>2  del of this cycle   -  0-cycles pmnt   Completed - Collect 0</v>
          </cell>
          <cell r="O49" t="str">
            <v>Eustoma 6     FF Sachet + 2 limonium</v>
          </cell>
          <cell r="P49" t="str">
            <v>Pur n P Eustoma ( 12 Inch ) 6     2 Gypsola + FF Sachet</v>
          </cell>
          <cell r="Q49" t="str">
            <v>Pur n P Car ( 14 inch ) 32     2 Limonium + FF Sachet</v>
          </cell>
          <cell r="R49" t="str">
            <v>BOP 6     2 Gypsola + FF sachet</v>
          </cell>
          <cell r="S49" t="str">
            <v>P n W Glad ( 14 Inch ) 32     2 Limonium</v>
          </cell>
          <cell r="T49" t="str">
            <v xml:space="preserve">P Asiatic ( 14 Inch ) 6     2 Gypsola </v>
          </cell>
        </row>
        <row r="50">
          <cell r="A50">
            <v>3132</v>
          </cell>
          <cell r="B50" t="str">
            <v>Ramesh Kapoor</v>
          </cell>
          <cell r="C50">
            <v>9717416100</v>
          </cell>
          <cell r="D50" t="str">
            <v>T-6/1404, The Palms, South City 1</v>
          </cell>
          <cell r="E50" t="str">
            <v>South City 1</v>
          </cell>
          <cell r="F50" t="str">
            <v>Tuesday</v>
          </cell>
          <cell r="G50" t="str">
            <v>9 AM - 12 PM</v>
          </cell>
          <cell r="H50">
            <v>2300</v>
          </cell>
          <cell r="I50">
            <v>287.5</v>
          </cell>
          <cell r="J50" t="str">
            <v>Felicity</v>
          </cell>
          <cell r="K50" t="str">
            <v>Paytm From Anuradha Kapoor - Anu Kapoor (04/11) Premium tom (13/11) Replacement tom (21/04) 10 % Discint given (15/06) Today hold n sned tom (20/06) Today returned and skip Tuesday also (27/06)</v>
          </cell>
          <cell r="M50" t="str">
            <v>Premium Next (13/11)</v>
          </cell>
          <cell r="N50" t="str">
            <v>4  del of this cycle   -  0-cycles pmnt   Completed - Collect 40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B Daisy ( 12 Inch ) 7     Grass</v>
          </cell>
          <cell r="S50" t="str">
            <v>Pur n P car ( 14 Inch ) 11     FF Sachet + Grass</v>
          </cell>
          <cell r="T50" t="str">
            <v>Pur n P Car ( 14 Inch ) 11     FF Sachet + Grass</v>
          </cell>
        </row>
        <row r="51">
          <cell r="A51">
            <v>3345</v>
          </cell>
          <cell r="B51" t="str">
            <v>Pragya Ojha</v>
          </cell>
          <cell r="C51">
            <v>8879005210</v>
          </cell>
          <cell r="D51" t="str">
            <v>C-1403, Heritage One, Sec 62</v>
          </cell>
          <cell r="E51" t="str">
            <v>Ghata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Skip 1 week (25/05) // Day Chnged to Saturday (10/06)</v>
          </cell>
          <cell r="N51" t="str">
            <v>1  del of this cycle   -  1-cycles pmnt   Pending - Collect 2750</v>
          </cell>
          <cell r="O51" t="e">
            <v>#N/A</v>
          </cell>
          <cell r="P51" t="e">
            <v>#N/A</v>
          </cell>
          <cell r="Q51" t="e">
            <v>#N/A</v>
          </cell>
          <cell r="R51" t="str">
            <v>P n Pur Eustoma ( 12 Inch ) 6     2 Gypsola + FF sachet</v>
          </cell>
          <cell r="S51" t="str">
            <v>Sunflower ( 14 Inch ) 7     2 Limonium + FF sachet</v>
          </cell>
          <cell r="T51" t="str">
            <v xml:space="preserve">Mix Alstroemeria ( 12 Inch ) 32     2 Gypsola + FF Sachet </v>
          </cell>
        </row>
        <row r="52">
          <cell r="A52">
            <v>59</v>
          </cell>
          <cell r="B52" t="str">
            <v>Ms. Payel</v>
          </cell>
          <cell r="C52">
            <v>9871370096</v>
          </cell>
          <cell r="D52" t="str">
            <v xml:space="preserve">  I-1001, Mapple Heights, Sushant lok-1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52" t="str">
            <v>1  del of this cycle   -  1-cycles pmnt   Pending - Collect 1450</v>
          </cell>
          <cell r="O52" t="str">
            <v>O Asiatic ( 15 Inch ) 3     Grass</v>
          </cell>
          <cell r="P52" t="str">
            <v>Mix Glad 16     FF Sachet + Grass</v>
          </cell>
          <cell r="Q52" t="str">
            <v>Pur Eustoma ( 12 Inch ) 3     FF Sachet + Grass</v>
          </cell>
          <cell r="R52" t="str">
            <v>B Daisy ( 12 Inch ) 16     Grass</v>
          </cell>
          <cell r="S52" t="str">
            <v>Pur n P car ( 14 Inch ) 16     FF Sachet + Grass</v>
          </cell>
          <cell r="T52" t="str">
            <v>Sunflower ( 12 Inch ) 4     FF Sachet + Grass</v>
          </cell>
        </row>
        <row r="53">
          <cell r="A53">
            <v>3026</v>
          </cell>
          <cell r="B53" t="str">
            <v>Richa Jindal</v>
          </cell>
          <cell r="C53">
            <v>9818372485</v>
          </cell>
          <cell r="D53" t="str">
            <v>E-1001, The Vilas, Akashmeen Marg, DLF Phase 2</v>
          </cell>
          <cell r="E53" t="str">
            <v>M G Road</v>
          </cell>
          <cell r="F53" t="str">
            <v>Saturday</v>
          </cell>
          <cell r="G53" t="str">
            <v>9:30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Seasonal Only</v>
          </cell>
          <cell r="M53" t="str">
            <v>Seasnola Only // Rajni Next (24/10)</v>
          </cell>
          <cell r="N53" t="str">
            <v>2  del of this cycle   -  1-cycles pmnt   Pending - Collect 1450</v>
          </cell>
          <cell r="O53" t="str">
            <v>P n W Car ( 14  inch ) 9     FF Sachet + Grass</v>
          </cell>
          <cell r="P53" t="str">
            <v>Mix Alstroemeria ( 12 Inch ) 9     FF Sachet + Grass</v>
          </cell>
          <cell r="Q53" t="str">
            <v>Rajni ( 14 Inch ) 9     Grass</v>
          </cell>
          <cell r="R53" t="str">
            <v>P n W Glad ( 14 Inch ) 9     Grass</v>
          </cell>
          <cell r="S53" t="str">
            <v>Pur n P car ( 14 Inch ) 16     FF Sachet + Grass</v>
          </cell>
          <cell r="T53" t="str">
            <v>B Daisy ( 12 Inch ) 16     Grass</v>
          </cell>
        </row>
        <row r="54">
          <cell r="A54">
            <v>2390</v>
          </cell>
          <cell r="B54" t="str">
            <v>Richa Sawhney -- 1450</v>
          </cell>
          <cell r="C54">
            <v>9801727902</v>
          </cell>
          <cell r="D54" t="str">
            <v>T-2/902, Unitech palms, South City 1</v>
          </cell>
          <cell r="E54" t="str">
            <v>South City 1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Hold n start from 10th (22/09) Skip 1 week (24/12) HDTNP (06/06)</v>
          </cell>
          <cell r="N54" t="str">
            <v>1  del of this cycle   -  1-cycles pmnt   Pending - Collect 1450</v>
          </cell>
          <cell r="O54" t="str">
            <v>Y Spray Daisy ( 15 Inch) 3     FF Sachet + Grass</v>
          </cell>
          <cell r="P54" t="str">
            <v>P n W Glad ( 14 Inch ) 9     Grass</v>
          </cell>
          <cell r="Q54" t="str">
            <v>R n P Car ( 14 Inch ) 9     FF Sachet + Grass</v>
          </cell>
          <cell r="R54" t="str">
            <v>B Daisy ( 12 Inch ) 9     Grass</v>
          </cell>
          <cell r="S54" t="str">
            <v>P Asiatic ( 14 Inch ) 2     Grass</v>
          </cell>
          <cell r="T54" t="str">
            <v>P n W Glad ( 14 Inch ) 16     Grass</v>
          </cell>
        </row>
        <row r="55">
          <cell r="A55">
            <v>3211</v>
          </cell>
          <cell r="B55" t="str">
            <v>Shreya -- Smartworld</v>
          </cell>
          <cell r="C55">
            <v>8800782128</v>
          </cell>
          <cell r="D55" t="str">
            <v>E-2D, Smartworld Orchard, Sec 61</v>
          </cell>
          <cell r="E55" t="str">
            <v>Ghata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From Shreya Pandey // Skip and send on Tuesday (09/01) HDTNP (21/02) HDTNP --send tom (28/02)</v>
          </cell>
          <cell r="N55" t="str">
            <v>2  del of this cycle   -  0-cycles pmnt   CompletedNO COLLECTION-we have extra money - Collect -2</v>
          </cell>
          <cell r="O55" t="str">
            <v>O Asiatic ( 15 Inch ) 2     Grass</v>
          </cell>
          <cell r="P55" t="str">
            <v>Pur n P Car ( 14 Inch ) 9     FF Sachet + Grass</v>
          </cell>
          <cell r="Q55" t="str">
            <v>Sunflower ( 12 Inch ) 2     FF Sachet + Grass</v>
          </cell>
          <cell r="R55" t="str">
            <v>P n W Glad ( 14 Inch ) 9     Grass</v>
          </cell>
          <cell r="S55" t="str">
            <v>P Spray Daisy ( 14 Inch ) 3     FF Sachet + Grass</v>
          </cell>
          <cell r="T55" t="str">
            <v>P Asiatic ( 14 Inch ) 2     FF Sachet + Grass</v>
          </cell>
        </row>
        <row r="56">
          <cell r="A56">
            <v>1925</v>
          </cell>
          <cell r="B56" t="str">
            <v>Chandni Ahuja</v>
          </cell>
          <cell r="C56">
            <v>9999061820</v>
          </cell>
          <cell r="D56" t="str">
            <v>B-102, Regency Park-1</v>
          </cell>
          <cell r="E56" t="str">
            <v>DLF Phase 4</v>
          </cell>
          <cell r="F56" t="str">
            <v>Saturday</v>
          </cell>
          <cell r="G56" t="str">
            <v>9 AM to 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</v>
          </cell>
          <cell r="L56" t="str">
            <v>ORCHID n GLAD n GERBERA</v>
          </cell>
          <cell r="M56" t="str">
            <v xml:space="preserve">Mixed Flowers </v>
          </cell>
          <cell r="N56" t="str">
            <v>3  del of this cycle   -  0-cycles pmnt   Completed - Collect 0</v>
          </cell>
          <cell r="O56" t="str">
            <v>R n W Car ( 14 Inch ) 16     FF Sachet + Grass</v>
          </cell>
          <cell r="P56" t="str">
            <v>P n Y Spray Daisy ( 14 Inch ) 5     FF Sachet + Grass</v>
          </cell>
          <cell r="Q56" t="str">
            <v>Sunflower ( 12 Inch ) 2 P n W Glad ( 14 Inch ) 7   FF Sachet + Grass</v>
          </cell>
          <cell r="R56" t="str">
            <v>B Daisy ( 12 Inch ) 16     Grass</v>
          </cell>
          <cell r="S56" t="str">
            <v>P Asiatic ( 14 Inch ) 3     Grass</v>
          </cell>
          <cell r="T56" t="str">
            <v>W Asiatic ( 14 Inch ) 3     Grass</v>
          </cell>
        </row>
        <row r="57">
          <cell r="A57">
            <v>993</v>
          </cell>
          <cell r="B57" t="str">
            <v>Swati Khandelwal-- Evening Only</v>
          </cell>
          <cell r="C57">
            <v>8527962021</v>
          </cell>
          <cell r="D57" t="str">
            <v>414-A, Hamilton Court</v>
          </cell>
          <cell r="E57" t="str">
            <v>DLF Phase 4</v>
          </cell>
          <cell r="F57" t="str">
            <v>Tuesday</v>
          </cell>
          <cell r="G57" t="str">
            <v>9 AM to 2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57" t="str">
            <v>ROSE n RAJNI</v>
          </cell>
          <cell r="N57" t="str">
            <v>1  del of this cycle   -  0-cycles pmnt   Completed - Collect 0</v>
          </cell>
          <cell r="O57" t="str">
            <v>Y Spray Daisy ( 15 Inch) 3     FF Sachet + Grass</v>
          </cell>
          <cell r="P57" t="str">
            <v>Mix Car 11     FF Sachet + Grass</v>
          </cell>
          <cell r="Q57" t="str">
            <v>Mix Alstroemeria ( 12 Inch ) 11     FF Sachet + Grass</v>
          </cell>
          <cell r="R57" t="str">
            <v>B Daisy ( 12 Inch ) 11     Grass</v>
          </cell>
          <cell r="S57" t="str">
            <v>Pur n P car ( 14 Inch ) 11     FF Sachet + Grass</v>
          </cell>
          <cell r="T57" t="str">
            <v>O Asiatic ( 14 Inch ) 2     Grass</v>
          </cell>
        </row>
        <row r="58">
          <cell r="A58">
            <v>3100</v>
          </cell>
          <cell r="B58" t="str">
            <v>Mansi Tyagi</v>
          </cell>
          <cell r="C58">
            <v>9971455549</v>
          </cell>
          <cell r="D58" t="str">
            <v>C-923, 4th Floor, Sushant Lok-1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1  del of this cycle   -  1-cycles pmnt   Pending - Collect 1450</v>
          </cell>
          <cell r="O58" t="str">
            <v>P n W Car ( 14  inch ) 9     FF Sachet + Grass</v>
          </cell>
          <cell r="P58" t="str">
            <v>Mix Glad 9     FF Sachet + Grass</v>
          </cell>
          <cell r="Q58" t="str">
            <v>Y Spray Daisy ( 14 Inch ) 3     FF Sachet + Grass</v>
          </cell>
          <cell r="R58" t="str">
            <v>B Daisy ( 12 Inch ) 9   Collect Payment Collect Payment Grass</v>
          </cell>
          <cell r="S58" t="str">
            <v>P Asiatic ( 14 Inch ) 2     Grass</v>
          </cell>
          <cell r="T58" t="str">
            <v>Pur n P Car ( 14 Inch ) 16     Grass</v>
          </cell>
        </row>
        <row r="59">
          <cell r="A59">
            <v>1063</v>
          </cell>
          <cell r="B59" t="str">
            <v>Sarika Bhattacharya</v>
          </cell>
          <cell r="C59">
            <v>9899457726</v>
          </cell>
          <cell r="D59" t="str">
            <v>T2/1404, The Palms</v>
          </cell>
          <cell r="E59" t="str">
            <v>South City 1</v>
          </cell>
          <cell r="F59" t="str">
            <v>Saturday</v>
          </cell>
          <cell r="G59" t="str">
            <v>9 AM to 2 PM</v>
          </cell>
          <cell r="H59">
            <v>1600</v>
          </cell>
          <cell r="I59">
            <v>200</v>
          </cell>
          <cell r="J59" t="str">
            <v>Bloom</v>
          </cell>
          <cell r="K59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59" t="str">
            <v>1  del of this cycle   -  1-cycles pmnt   Pending - Collect 1600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>Pur n P Car ( 14 Inch ) 7     FF Sachet + Grass</v>
          </cell>
        </row>
        <row r="60">
          <cell r="A60">
            <v>1226</v>
          </cell>
          <cell r="B60" t="str">
            <v>Archana Trikha</v>
          </cell>
          <cell r="C60">
            <v>9910006945</v>
          </cell>
          <cell r="D60" t="str">
            <v>C-2003, Times Residency, Sec 63</v>
          </cell>
          <cell r="E60" t="str">
            <v>Ghata</v>
          </cell>
          <cell r="F60" t="str">
            <v>Saturday</v>
          </cell>
          <cell r="G60" t="str">
            <v>9 AM - 12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0" t="str">
            <v>Lily n Sunflower</v>
          </cell>
          <cell r="N60" t="str">
            <v>4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str">
            <v>Pur n P car ( 14 Inch ) 9     FF Sachet + Grass</v>
          </cell>
          <cell r="T60" t="str">
            <v>Y Spray Daosy ( 14 Inch )  3     FF Sachet + Grass</v>
          </cell>
        </row>
        <row r="61">
          <cell r="A61">
            <v>1631</v>
          </cell>
          <cell r="B61" t="str">
            <v>Paridhi Joshi</v>
          </cell>
          <cell r="C61">
            <v>8970999005</v>
          </cell>
          <cell r="D61" t="str">
            <v>A-124, Belvedere Towers, Cyber City</v>
          </cell>
          <cell r="E61" t="str">
            <v>DLF Phase 3</v>
          </cell>
          <cell r="F61" t="str">
            <v>Saturday</v>
          </cell>
          <cell r="G61" t="str">
            <v>9:30 Am to 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1" t="str">
            <v>ROSE n GLAD</v>
          </cell>
          <cell r="N61" t="str">
            <v>4  del of this cycle   -  0-cycles pmnt   Completed - Collect 0</v>
          </cell>
          <cell r="O61" t="str">
            <v>P n W Car ( 14  inch ) 16     FF Sachet + Grass</v>
          </cell>
          <cell r="P61" t="str">
            <v>Mix Glad 16     FF Sachet + Grass</v>
          </cell>
          <cell r="Q61" t="str">
            <v>P Eustoma ( 12 Inch ) 3     FF Sachet + Grass</v>
          </cell>
          <cell r="R61" t="str">
            <v>P Asiatic ( 14 Inch ) 3     Grass</v>
          </cell>
          <cell r="S61" t="str">
            <v>Pur n P car ( 14 Inch ) 16     FF Sachet + Grass</v>
          </cell>
          <cell r="T61" t="str">
            <v>Sunflower ( 12 Inch ) 4     FF Sachet + Grass</v>
          </cell>
        </row>
        <row r="62">
          <cell r="A62">
            <v>3361</v>
          </cell>
          <cell r="B62" t="str">
            <v>Navneet Kaur</v>
          </cell>
          <cell r="C62">
            <v>8527893377</v>
          </cell>
          <cell r="D62" t="str">
            <v>C-601, Time Residency, Sec 63</v>
          </cell>
          <cell r="E62" t="str">
            <v>Ghata</v>
          </cell>
          <cell r="F62" t="str">
            <v>Saturday</v>
          </cell>
          <cell r="G62" t="str">
            <v>10 AM to 2:30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Skip 1 week (16/05) Skip 1 week (04/06)</v>
          </cell>
          <cell r="N62" t="str">
            <v>2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str">
            <v>P n W car ( 14 Inch ) 16     FF Sachet + Grass</v>
          </cell>
          <cell r="T62" t="str">
            <v>Sunflower ( 12 Inch ) 4     FF Sachet + Grass</v>
          </cell>
        </row>
        <row r="63">
          <cell r="A63">
            <v>1936</v>
          </cell>
          <cell r="B63" t="str">
            <v>Pranta Dutta</v>
          </cell>
          <cell r="C63" t="str">
            <v>99535 59491</v>
          </cell>
          <cell r="D63" t="str">
            <v>C 1 flat 501 Ireo skyon golf course extension sector 60 gurgaon ( behind lemon tree hotel)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1600</v>
          </cell>
          <cell r="I63">
            <v>200</v>
          </cell>
          <cell r="J63" t="str">
            <v>Bloom</v>
          </cell>
          <cell r="K63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63" t="str">
            <v>RAJNI n GERBERA</v>
          </cell>
          <cell r="N63" t="str">
            <v>4  del of this cycle   -  0-cycles pmnt   Completed - Collect 0</v>
          </cell>
          <cell r="O63" t="str">
            <v>P Spray Daisy ( 15 Inch ) 2     FF Sachet + Grass</v>
          </cell>
          <cell r="P63" t="e">
            <v>#N/A</v>
          </cell>
          <cell r="Q63" t="e">
            <v>#N/A</v>
          </cell>
          <cell r="R63" t="e">
            <v>#N/A</v>
          </cell>
          <cell r="S63" t="str">
            <v xml:space="preserve">Collect Rs 600      </v>
          </cell>
          <cell r="T63" t="str">
            <v>Pur n P Car ( 14 Inch ) 7     FF Sachet + Grass</v>
          </cell>
        </row>
        <row r="64">
          <cell r="A64">
            <v>189</v>
          </cell>
          <cell r="B64" t="str">
            <v xml:space="preserve">Monisha Sharma-- Before 10AM
</v>
          </cell>
          <cell r="C64">
            <v>9811152770</v>
          </cell>
          <cell r="D64" t="str">
            <v xml:space="preserve">
609A Hamilton Court    DLF Phase 4 Gurgaon  122002 
</v>
          </cell>
          <cell r="E64" t="str">
            <v>DLF Phase 4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64" t="str">
            <v>2  del of this cycle   -  0-cycles pmnt   Completed - Collect 0</v>
          </cell>
          <cell r="O64" t="str">
            <v>O Asiatic ( 15 Inch ) 3     Grass</v>
          </cell>
          <cell r="P64" t="str">
            <v>Pur n P Car ( 14 Inch ) 16     FF Sachet + Grass</v>
          </cell>
          <cell r="Q64" t="str">
            <v>Pur Eustoma ( 12 Inch ) 3     FF Sachet + Grass</v>
          </cell>
          <cell r="R64" t="str">
            <v>P n W Glad ( 14 Inch ) 16     Grass</v>
          </cell>
          <cell r="S64" t="str">
            <v>P Asiatic 3     Grass</v>
          </cell>
          <cell r="T64" t="str">
            <v>R n W Car ( 14 Inch ) 16     FF Sachet + Grass</v>
          </cell>
        </row>
        <row r="65">
          <cell r="A65" t="str">
            <v>G-00062</v>
          </cell>
          <cell r="B65" t="str">
            <v>Simran Minhas</v>
          </cell>
          <cell r="C65">
            <v>8469572508</v>
          </cell>
          <cell r="D65" t="str">
            <v>H. No. 738 - B, 1st Floor, Flat no. 104, Block C, Near Morpankh Park, Sushant Lok -1</v>
          </cell>
          <cell r="E65" t="str">
            <v>M G Road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65" t="str">
            <v>3  del of this cycle   -  0-cycles pmnt   Completed - Collect 0</v>
          </cell>
          <cell r="O65" t="e">
            <v>#N/A</v>
          </cell>
          <cell r="P65" t="e">
            <v>#N/A</v>
          </cell>
          <cell r="Q65" t="e">
            <v>#N/A</v>
          </cell>
          <cell r="R65" t="str">
            <v>R n G Car ( 14 Inch ) 16 Message    FF Sachet + Grass</v>
          </cell>
          <cell r="S65" t="str">
            <v>O Asiatic ( 14 Inch ) 3     Grass</v>
          </cell>
          <cell r="T65" t="str">
            <v>P n W Glad ( 14 Inch ) 16     Grass</v>
          </cell>
        </row>
        <row r="66">
          <cell r="A66">
            <v>2955</v>
          </cell>
          <cell r="B66" t="str">
            <v>Sangeeta-South City 1</v>
          </cell>
          <cell r="C66">
            <v>8569991672</v>
          </cell>
          <cell r="D66" t="str">
            <v>A-299, 1st Floor, South City 1</v>
          </cell>
          <cell r="E66" t="str">
            <v>South City 1</v>
          </cell>
          <cell r="F66" t="str">
            <v>Saturday</v>
          </cell>
          <cell r="G66" t="str">
            <v>9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Upgrade to Blis // Today Returned (06/12) Skip tom as payment not received (11/12) Paytm From Sangeeta yadav (03/02) Returned today (21/02) HDTNP (13/03) HDTNP (20/06)</v>
          </cell>
          <cell r="N66" t="str">
            <v>4  del of this cycle   -  0-cycles pmnt   Completed - Collect 0</v>
          </cell>
          <cell r="O66" t="str">
            <v>O Asiatic ( 15 Inch ) 2 R n W car ( 14 inch ) 7   Grass</v>
          </cell>
          <cell r="P66" t="str">
            <v>Sunflower ( 12 Inch ) 2 Rajni 7   FF Sachet + Grass</v>
          </cell>
          <cell r="Q66" t="str">
            <v>P Spray Daisy ( 14 Inch ) 3 Mix Alstroemeria ( 12 Inch ) 7   FF Sachet + Grass</v>
          </cell>
          <cell r="R66" t="e">
            <v>#N/A</v>
          </cell>
          <cell r="S66" t="str">
            <v>Pur Eustoma ( 12 Inch ) 2 P n W Glad ( 14 Inch ) 7   FF Sachet + Grass</v>
          </cell>
          <cell r="T66" t="str">
            <v>Sunflower ( 12 Inch ) 2 Pur n P Car ( 14 Inch ) 7   FF Sachet + Grass</v>
          </cell>
        </row>
        <row r="67">
          <cell r="A67">
            <v>1932</v>
          </cell>
          <cell r="B67" t="str">
            <v>Nandita Singh</v>
          </cell>
          <cell r="C67">
            <v>9811045835</v>
          </cell>
          <cell r="D67" t="str">
            <v>325-B, Hamilton Court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3750</v>
          </cell>
          <cell r="I67">
            <v>937.5</v>
          </cell>
          <cell r="J67" t="str">
            <v>Savor</v>
          </cell>
          <cell r="K67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67" t="str">
            <v>3  del of this cycle   -  1-cycles pmnt   Pending - Collect 3750</v>
          </cell>
          <cell r="O67" t="str">
            <v>P n Y Spray daisy ( 15 Inch ) 14     2 Gypsola</v>
          </cell>
          <cell r="P67" t="e">
            <v>#N/A</v>
          </cell>
          <cell r="Q67" t="e">
            <v>#N/A</v>
          </cell>
          <cell r="R67" t="str">
            <v>P n W Glad ( 14 Inch ) 42     2 Limonium</v>
          </cell>
          <cell r="S67" t="str">
            <v>Pur n P car ( 14 Inch ) 42   Ensure Collection Ensure Collection 2 Gypsola + FF Sachet</v>
          </cell>
          <cell r="T67" t="str">
            <v>O n W Asiatic ( 14 Inch ) 8     2 Limonium</v>
          </cell>
        </row>
        <row r="68">
          <cell r="A68">
            <v>3096</v>
          </cell>
          <cell r="B68" t="str">
            <v>Arti Kaul</v>
          </cell>
          <cell r="C68">
            <v>9560517831</v>
          </cell>
          <cell r="D68" t="str">
            <v>T-2B, Windsor Court, DLF Phase 4</v>
          </cell>
          <cell r="E68" t="str">
            <v>DLF Phase 4</v>
          </cell>
          <cell r="F68" t="str">
            <v>Saturday</v>
          </cell>
          <cell r="G68" t="str">
            <v>9:30 Am to 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One Kind of Flower (13/01)</v>
          </cell>
          <cell r="M68" t="str">
            <v>One Kind</v>
          </cell>
          <cell r="N68" t="str">
            <v>3  del of this cycle   -  0-cycles pmnt   Completed - Collect 0</v>
          </cell>
          <cell r="O68" t="e">
            <v>#N/A</v>
          </cell>
          <cell r="P68" t="e">
            <v>#N/A</v>
          </cell>
          <cell r="Q68" t="e">
            <v>#N/A</v>
          </cell>
          <cell r="R68" t="str">
            <v>R n G Car ( 14 Inch ) 16     FF Sachet + Grass</v>
          </cell>
          <cell r="S68" t="str">
            <v>P Asiatic ( 14 Inch ) 3     Grass</v>
          </cell>
          <cell r="T68" t="str">
            <v>P n W Glad ( 14 Inch ) 16     Grass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2  del of this cycle   -  0-cycles pmnt   Completed - Collect 0</v>
          </cell>
          <cell r="O69" t="str">
            <v>P n W Glad ( 14 Inch ) 16     Grass</v>
          </cell>
          <cell r="P69" t="str">
            <v>P n Y Spray Daisy ( 14 Inch ) 5     FF Sachet + Grass</v>
          </cell>
          <cell r="Q69" t="str">
            <v>O n P Car ( 14 Inch ) 16     FF Sachet + Grass</v>
          </cell>
          <cell r="R69" t="str">
            <v>P Eustoma ( 12 Inch ) 3     Grass</v>
          </cell>
          <cell r="S69" t="str">
            <v>Sunflower ( 14 Inch ) 4     FF Sachet + Grass</v>
          </cell>
          <cell r="T69" t="str">
            <v>P n W Glad ( 14 Inch ) 16     Grass</v>
          </cell>
        </row>
        <row r="70">
          <cell r="A70" t="str">
            <v>B56354</v>
          </cell>
          <cell r="B70">
            <v>9818863378</v>
          </cell>
          <cell r="C70">
            <v>9818863378</v>
          </cell>
          <cell r="D70" t="str">
            <v>T-14/1101, The Close South</v>
          </cell>
          <cell r="E70" t="str">
            <v>Nirvana Country</v>
          </cell>
          <cell r="F70" t="str">
            <v>Saturday</v>
          </cell>
          <cell r="G70" t="str">
            <v>By 10 AM</v>
          </cell>
          <cell r="H70">
            <v>750</v>
          </cell>
          <cell r="I70">
            <v>750</v>
          </cell>
          <cell r="J70" t="str">
            <v>Bouquet</v>
          </cell>
          <cell r="K70" t="str">
            <v>10 Shd P Rose in Fron Tissue Wrap</v>
          </cell>
          <cell r="N70" t="str">
            <v>1  del of this cycle   -  1-cycles pmnt   Pending - Collect 750</v>
          </cell>
          <cell r="O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 xml:space="preserve">Shd P Rose 10 Front Tissue Wrap    </v>
          </cell>
        </row>
        <row r="71">
          <cell r="A71">
            <v>2941</v>
          </cell>
          <cell r="B71" t="str">
            <v>Bhagyashri Khandelwal</v>
          </cell>
          <cell r="C71">
            <v>8884773030</v>
          </cell>
          <cell r="D71" t="str">
            <v>C-1983, Flat 401, Sushant Lok Phase 1</v>
          </cell>
          <cell r="E71" t="str">
            <v>M G Road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71" t="str">
            <v>2  del of this cycle   -  0-cycles pmnt   Completed - Collect 0</v>
          </cell>
          <cell r="O71" t="str">
            <v>O Asiatic ( 15 Inch ) 2     Grass</v>
          </cell>
          <cell r="P71" t="e">
            <v>#N/A</v>
          </cell>
          <cell r="Q71" t="str">
            <v>P n W Glad ( 14 Inch ) 9     Grass</v>
          </cell>
          <cell r="R71" t="str">
            <v>B Daisy ( 12 Inch ) 9     Grass</v>
          </cell>
          <cell r="S71" t="str">
            <v>Pur n P car ( 14 Inch ) 16     FF Sachet + Grass</v>
          </cell>
          <cell r="T71" t="str">
            <v>Sunflower ( 12 Inch ) 4     FF Sachet + Grass</v>
          </cell>
        </row>
        <row r="72">
          <cell r="A72">
            <v>2054</v>
          </cell>
          <cell r="B72" t="str">
            <v>Dr. Khushboo Singh</v>
          </cell>
          <cell r="C72">
            <v>9560747141</v>
          </cell>
          <cell r="D72" t="str">
            <v>Aks Clinic, Ground Floor, C-1070, Sushant Lok 1</v>
          </cell>
          <cell r="E72" t="str">
            <v>M G Road</v>
          </cell>
          <cell r="F72" t="str">
            <v>Saturday</v>
          </cell>
          <cell r="G72" t="str">
            <v>10 AM to 3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72" t="str">
            <v>Gerbera</v>
          </cell>
          <cell r="M72" t="str">
            <v>Skip 23rd May Flowers (07/04)</v>
          </cell>
          <cell r="N72" t="str">
            <v>2  del of this cycle   -  1-cycles pmnt   Pending - Collect 1400</v>
          </cell>
          <cell r="O72" t="str">
            <v>P n Y Spray daisy ( 15 Inch ) 5     FF Sachet + Grass</v>
          </cell>
          <cell r="P72" t="str">
            <v>Mix Glad 16     FF Sachet + Grass</v>
          </cell>
          <cell r="Q72" t="str">
            <v>P Eustoma ( 12 Inch ) 3     FF Sachet + Grass</v>
          </cell>
          <cell r="R72" t="str">
            <v>O Asiatic ( 14 Inch ) 3     Grass</v>
          </cell>
          <cell r="S72" t="str">
            <v>Pur n P car ( 14 Inch ) 16     FF Sachet + Grass</v>
          </cell>
          <cell r="T72" t="str">
            <v>Sunflower ( 12 Inch ) 4     FF Sachet + Grass</v>
          </cell>
        </row>
        <row r="73">
          <cell r="A73">
            <v>2849</v>
          </cell>
          <cell r="B73" t="str">
            <v>Namita Chaudhary -- 11:30 to 1:30 Pm</v>
          </cell>
          <cell r="C73">
            <v>9810002910</v>
          </cell>
          <cell r="D73" t="str">
            <v>18 Bodhi Marg, Ground Floor, Near Shopping Mall, Arjun Marg, DLF Phase 1</v>
          </cell>
          <cell r="E73" t="str">
            <v>DLF Phase 1</v>
          </cell>
          <cell r="F73" t="str">
            <v>Saturday</v>
          </cell>
          <cell r="G73" t="str">
            <v>11:30 to 1:30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Skip 1 week (13/08) Start from or after 13th Oct (30/09) Skip 2 week (09/12) Todays Delivery returned due to address change (07/03) Hold till 03rd Apr (27/03) No Yel n White (06/04)</v>
          </cell>
          <cell r="L73" t="str">
            <v xml:space="preserve"> No Yel n White (06/04)</v>
          </cell>
          <cell r="N73" t="str">
            <v>2  del of this cycle   -  0-cycles pmnt   In Process - Collect 0</v>
          </cell>
          <cell r="O73" t="str">
            <v>R n W Car ( 14 Inch ) 16     FF Sachet + Grass</v>
          </cell>
          <cell r="P73" t="str">
            <v>P n W Glad ( 14 Inch ) 16     Grass</v>
          </cell>
          <cell r="Q73" t="str">
            <v>P Eustoma ( 12 Inch ) 3     FF Sachet + Grass</v>
          </cell>
          <cell r="R73" t="str">
            <v>B Daisy ( 12 Inch ) 16     Grass</v>
          </cell>
          <cell r="S73" t="str">
            <v>Pur n P car ( 14 Inch ) 16     FF Sachet + Grass</v>
          </cell>
          <cell r="T73" t="str">
            <v>O Asiatic ( 14 Inch ) 3     Grass</v>
          </cell>
        </row>
        <row r="74">
          <cell r="A74">
            <v>84</v>
          </cell>
          <cell r="B74" t="str">
            <v>Atul Gupta</v>
          </cell>
          <cell r="C74">
            <v>9810060986</v>
          </cell>
          <cell r="D74" t="str">
            <v>Audio Visual Aids, LG-53 DLF Mega Mall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2750</v>
          </cell>
          <cell r="I74">
            <v>687.5</v>
          </cell>
          <cell r="J74" t="str">
            <v>Elation</v>
          </cell>
          <cell r="K74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4" t="str">
            <v>BOP n Glad</v>
          </cell>
          <cell r="N74" t="str">
            <v>2  del of this cycle   -  0-cycles pmnt   Completed - Collect 0</v>
          </cell>
          <cell r="O74" t="str">
            <v>Spray Daisy 10     FF Sachet + 2 limonium</v>
          </cell>
          <cell r="P74" t="str">
            <v>P n W Oriental ( 15 Inch ) 3     2 Gypsola</v>
          </cell>
          <cell r="Q74" t="str">
            <v>Pur n P Car ( Long Stem) 32     2 Limonium + FF Sachet</v>
          </cell>
          <cell r="R74" t="str">
            <v>P Asiatic ( 14 Inch ) 6     2 Gypsola</v>
          </cell>
          <cell r="S74" t="str">
            <v>P n W Oriental ( 15 Inch ) 3     2 Limonium</v>
          </cell>
          <cell r="T74" t="str">
            <v xml:space="preserve">P n Y Spray daisy ( 14 inch ) 10     2 Gypsola + FF Sachet </v>
          </cell>
        </row>
        <row r="75">
          <cell r="A75">
            <v>2618</v>
          </cell>
          <cell r="B75" t="str">
            <v>Tanvi Gauri</v>
          </cell>
          <cell r="C75">
            <v>9717699622</v>
          </cell>
          <cell r="D75" t="str">
            <v>A-27/38, DLF Phase 1, Behind DT Mega Mall</v>
          </cell>
          <cell r="E75" t="str">
            <v>DLF Phase 1</v>
          </cell>
          <cell r="F75" t="str">
            <v>Saturday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Paytm From Tavi Gauri //  HDTNP (21/02) HDTNP (28/02) HDTNP (07/03) For Collection today (28/03) Collection today )4/04) HDTNP (02/05) HDTNP (09/5) HDTNP (16.05) White Flowers This week (30/06)</v>
          </cell>
          <cell r="M75" t="str">
            <v>Only Advance Payment (02/06) White Flowers This week (30/06)</v>
          </cell>
          <cell r="N75" t="str">
            <v>1  del of this cycle   -  0-cycles pmnt   Completed - Collect 0</v>
          </cell>
          <cell r="O75" t="e">
            <v>#N/A</v>
          </cell>
          <cell r="P75" t="str">
            <v>Pur n P Car ( 14 Inch ) 16     FF Sachet + Grass</v>
          </cell>
          <cell r="Q75" t="str">
            <v>Y Asiatic ( 14 inch ) 3     Grass</v>
          </cell>
          <cell r="R75" t="str">
            <v>P n W Glad ( 14 Inch ) 16     Grass</v>
          </cell>
          <cell r="S75" t="str">
            <v>Sunflower ( 14 Inch ) 4     FF Sachet + Grass</v>
          </cell>
          <cell r="T75" t="str">
            <v>Pur n P Car ( 14 Inch ) 16 Upgraded to Next Pack Pls Inform to Customer Sanjeet  Pls Ensure to Inform  FF Sachet + Grass</v>
          </cell>
        </row>
        <row r="76">
          <cell r="A76">
            <v>3302</v>
          </cell>
          <cell r="B76" t="str">
            <v>Anuvrata</v>
          </cell>
          <cell r="C76">
            <v>8800292901</v>
          </cell>
          <cell r="D76" t="str">
            <v>H. No. 82, 1st Floor, Sec 41, South City 1</v>
          </cell>
          <cell r="E76" t="str">
            <v>South City 1</v>
          </cell>
          <cell r="F76" t="str">
            <v>Saturday</v>
          </cell>
          <cell r="G76" t="str">
            <v>10 AM to 2:30 PM</v>
          </cell>
          <cell r="H76">
            <v>1450</v>
          </cell>
          <cell r="I76">
            <v>362.5</v>
          </cell>
          <cell r="J76" t="str">
            <v>Bliss</v>
          </cell>
          <cell r="N76" t="str">
            <v>3  del of this cycle   -  0-cycles pmnt   Completed - Collect 0</v>
          </cell>
          <cell r="O76" t="e">
            <v>#N/A</v>
          </cell>
          <cell r="P76" t="e">
            <v>#N/A</v>
          </cell>
          <cell r="Q76" t="e">
            <v>#N/A</v>
          </cell>
          <cell r="R76" t="str">
            <v>P n W Glad ( 14 Inch ) 16     Grass</v>
          </cell>
          <cell r="S76" t="str">
            <v>Pur n P car ( 14 Inch ) 16     FF Sachet + Grass</v>
          </cell>
          <cell r="T76" t="str">
            <v>P n W Glad ( 14 Inch ) 16     Grass</v>
          </cell>
        </row>
        <row r="77">
          <cell r="A77">
            <v>2411</v>
          </cell>
          <cell r="B77" t="str">
            <v>Risha</v>
          </cell>
          <cell r="C77">
            <v>9873670489</v>
          </cell>
          <cell r="D77" t="str">
            <v>S-16 A, Windsor Court, DLF Phase 4</v>
          </cell>
          <cell r="E77" t="str">
            <v>DLF Phase 4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15% Discount (26/07) Today hold (18/10) Skip 1 week (29/10) Hold till 15th Jan (29/12) Return not at home (31/01) Today Returned (04/04) HDTNP (06/06) HDTNP (13/06) HDTNP (20/06)</v>
          </cell>
          <cell r="N77" t="str">
            <v>3  del of this cycle   -  0-cycles pmnt   Completed - Collect 0</v>
          </cell>
          <cell r="O77" t="str">
            <v>O Asiatic ( 15 Inch ) 2 P n W glad ( 14 Inch ) 7   Grass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 xml:space="preserve">Sunflower 2 Mix Car 7   </v>
          </cell>
          <cell r="T77" t="str">
            <v>W Asiatic ( 14 Inch ) 2 Mix Alstroemeria ( 12 Inch ) 7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4  del of this cycle   -  0-cycles pmnt   Completed - Collect 0</v>
          </cell>
          <cell r="O78" t="str">
            <v>P n W Glad ( 14 Inch ) 16     Grass</v>
          </cell>
          <cell r="P78" t="str">
            <v>P n Y Spray Daisy ( 14 Inch ) 5     FF Sachet + Grass</v>
          </cell>
          <cell r="Q78" t="str">
            <v>Pur Eustoma ( 12 Inch ) 3     FF Sachet + Grass</v>
          </cell>
          <cell r="R78" t="str">
            <v>P Asiatic ( 14 Inch ) 3   Collect Payment Collect Payment Grass</v>
          </cell>
          <cell r="S78" t="str">
            <v>Sunflower ( 14 Inch ) 4     FF Sachet + Grass</v>
          </cell>
          <cell r="T78" t="str">
            <v>P n W Glad ( 14 Inch ) 16     Grass</v>
          </cell>
        </row>
        <row r="79">
          <cell r="A79">
            <v>3371</v>
          </cell>
          <cell r="B79" t="str">
            <v>Supriya Bijlwan</v>
          </cell>
          <cell r="C79">
            <v>9560012831</v>
          </cell>
          <cell r="D79" t="str">
            <v>C-201, Mahindra Luminaire</v>
          </cell>
          <cell r="E79" t="str">
            <v>Ghata</v>
          </cell>
          <cell r="F79" t="str">
            <v>Saturday</v>
          </cell>
          <cell r="G79" t="str">
            <v>10 AM to 2:30 PM</v>
          </cell>
          <cell r="H79">
            <v>2300</v>
          </cell>
          <cell r="I79">
            <v>287.5</v>
          </cell>
          <cell r="J79" t="str">
            <v>Felicity</v>
          </cell>
          <cell r="K79" t="str">
            <v>1 Seasonal Extra next (20/05)</v>
          </cell>
          <cell r="M79" t="str">
            <v>Premium in next 2 Del (23/05)</v>
          </cell>
          <cell r="N79" t="str">
            <v>6  del of this cycle   -  0-cycles pmnt   Completed - Collect 0</v>
          </cell>
          <cell r="O79" t="str">
            <v>Pur Eustoma ( 14 Inch ) 2     FF Sachet + Grass</v>
          </cell>
          <cell r="P79" t="str">
            <v>R n W Car ( 14 Inch ) 11     FF Sachet + Grass</v>
          </cell>
          <cell r="Q79" t="str">
            <v>P n W Glad ( 14 Inch ) 11     Grass</v>
          </cell>
          <cell r="R79" t="str">
            <v>B Daisy ( 12 Inch ) 11     Grass</v>
          </cell>
          <cell r="S79" t="str">
            <v>Pur n P car ( 14 Inch ) 11     FF Sachet + Grass</v>
          </cell>
          <cell r="T79" t="str">
            <v>P n W Glad ( 14 Inch ) 11     Grass</v>
          </cell>
        </row>
        <row r="80">
          <cell r="A80">
            <v>328</v>
          </cell>
          <cell r="B80" t="str">
            <v>Sarat Chandra</v>
          </cell>
          <cell r="C80">
            <v>9013605782</v>
          </cell>
          <cell r="D80" t="str">
            <v>Villa 1,Raheja Atlantis, Sector 31</v>
          </cell>
          <cell r="E80" t="str">
            <v>South City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80" t="str">
            <v>RAJNI</v>
          </cell>
          <cell r="N80" t="str">
            <v>1  del of this cycle   -  0-cycles pmnt   Completed - Collect 0</v>
          </cell>
          <cell r="O80" t="str">
            <v>O Asiatic ( 15 Inch ) 3     Grass</v>
          </cell>
          <cell r="P80" t="str">
            <v>Pur n P Car ( 14 Inch ) 16     FF Sachet + Grass</v>
          </cell>
          <cell r="Q80" t="str">
            <v>P Eustoma ( 12 Inch ) 3     FF Sachet + Grass</v>
          </cell>
          <cell r="R80" t="str">
            <v>P n W Glad ( 14 Inch ) 16     Grass</v>
          </cell>
          <cell r="S80" t="str">
            <v>Sunflower ( 14 Inch ) 4     FF Sachet + Grass</v>
          </cell>
          <cell r="T80" t="str">
            <v>P Asiatic ( 14 Inch ) 3     FF Sachet + Grass</v>
          </cell>
        </row>
        <row r="81">
          <cell r="A81">
            <v>3314</v>
          </cell>
          <cell r="B81" t="str">
            <v>Kanika Sawhney</v>
          </cell>
          <cell r="C81">
            <v>9650537837</v>
          </cell>
          <cell r="D81" t="str">
            <v>Block U-75/30 , DLF Phase 3</v>
          </cell>
          <cell r="E81" t="str">
            <v>DLF Phase 3</v>
          </cell>
          <cell r="F81" t="str">
            <v>Saturday</v>
          </cell>
          <cell r="G81" t="str">
            <v>9 AM - 12 PM</v>
          </cell>
          <cell r="H81">
            <v>1680</v>
          </cell>
          <cell r="I81">
            <v>420</v>
          </cell>
          <cell r="J81" t="str">
            <v>Customized</v>
          </cell>
          <cell r="K81" t="str">
            <v>3 Asiatic // 4 Sunflower // 5 Orchid // 3 Asiatic // Day Changed to Saturday (26/04) Add Spray Daisy Also (03/05) Tiday Hold (30/05) Skip 1 week (19/06)</v>
          </cell>
          <cell r="M81" t="str">
            <v>Add Spray Daisy Also (03/05)</v>
          </cell>
          <cell r="N81" t="str">
            <v>3  del of this cycle   -  0-cycles pmnt   Completed - Collect 0</v>
          </cell>
          <cell r="O81" t="str">
            <v>O Asiatic ( 15 Inch ) 3     2 Gypsola</v>
          </cell>
          <cell r="P81" t="str">
            <v>G n W Spray Daisy ( 14 Inch ) 5     2 Limonium + FF Sachet</v>
          </cell>
          <cell r="Q81" t="str">
            <v>Sunflower ( 12 Inch ) 4     2 Gypsola + FF Savhet</v>
          </cell>
          <cell r="R81" t="e">
            <v>#N/A</v>
          </cell>
          <cell r="S81" t="str">
            <v>B Orchid  5     1 Limonoum</v>
          </cell>
          <cell r="T81" t="str">
            <v>W Asiatic ( 14 Inch ) 3     1 Gypsola</v>
          </cell>
        </row>
        <row r="82">
          <cell r="A82">
            <v>814</v>
          </cell>
          <cell r="B82" t="str">
            <v>Madhura Kumar</v>
          </cell>
          <cell r="C82">
            <v>9971005348</v>
          </cell>
          <cell r="D82" t="str">
            <v>Y-72, Regency Park-2</v>
          </cell>
          <cell r="E82" t="str">
            <v>DLF Phase 4</v>
          </cell>
          <cell r="F82" t="str">
            <v>Saturday</v>
          </cell>
          <cell r="G82" t="str">
            <v>4 PM to 7PM</v>
          </cell>
          <cell r="H82">
            <v>1950</v>
          </cell>
          <cell r="I82">
            <v>487.5</v>
          </cell>
          <cell r="J82" t="str">
            <v>Joy</v>
          </cell>
          <cell r="K8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2" t="str">
            <v>1  del of this cycle   -  1-cycles pmnt   Pending - Collect 1950</v>
          </cell>
          <cell r="O82" t="str">
            <v>P n W Spray Daisy ( 15 Inch) 7     FF Sachet + Grass</v>
          </cell>
          <cell r="P82" t="str">
            <v>P Asiatic ( 14 Inch ) 4     Grass</v>
          </cell>
          <cell r="Q82" t="str">
            <v>P n W Glad ( 14 Inch ) 22     Grass</v>
          </cell>
          <cell r="R82" t="str">
            <v>P n Pur Eustoma ( 12 Inch ) 4     FF Sachet + Grass</v>
          </cell>
          <cell r="S82" t="str">
            <v>Pur n P car ( 14 Inch ) 22     FF Sachet + Grass</v>
          </cell>
          <cell r="T82" t="str">
            <v>B Orchid  7     FF Sachet + Grass</v>
          </cell>
        </row>
        <row r="83">
          <cell r="A83">
            <v>1089</v>
          </cell>
          <cell r="B83" t="str">
            <v>Disha Roy</v>
          </cell>
          <cell r="C83">
            <v>9999024774</v>
          </cell>
          <cell r="D83" t="str">
            <v>U-26-A/8,1st Floor</v>
          </cell>
          <cell r="E83" t="str">
            <v>DLF Phase 3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3" t="str">
            <v>4  del of this cycle   -  0-cycles pmnt   Completed - Collect 0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str">
            <v>Pur n P car ( 14 Inch ) 16     FF Sachet + Grass</v>
          </cell>
          <cell r="T83" t="str">
            <v>O Asiatic ( 14 Inch ) 3     Grass</v>
          </cell>
        </row>
        <row r="84">
          <cell r="A84">
            <v>3360</v>
          </cell>
          <cell r="B84" t="str">
            <v>Ekta Mohanani</v>
          </cell>
          <cell r="C84">
            <v>9205828807</v>
          </cell>
          <cell r="D84" t="str">
            <v>U-77/45, Sector 24, DLF Phase 3</v>
          </cell>
          <cell r="E84" t="str">
            <v>DLF Phase 3</v>
          </cell>
          <cell r="F84" t="str">
            <v>Saturday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N84" t="str">
            <v>4  del of this cycle   -  0-cycles pmnt   Completed - Collect 0</v>
          </cell>
          <cell r="O84" t="str">
            <v>P n W Glad ( 14 Inch ) 16     Grass</v>
          </cell>
          <cell r="P84" t="str">
            <v>P n Y Spray Daisy ( 14 Inch ) 5     FF Sachet + Grass</v>
          </cell>
          <cell r="Q84" t="str">
            <v>Mix Alstroemeria ( 12 Inch ) 16     FF Sachet + Grass</v>
          </cell>
          <cell r="R84" t="str">
            <v>B Daisy ( 12 Inch ) 16     Grass</v>
          </cell>
          <cell r="S84" t="str">
            <v>Pur n P car ( 14 Inch ) 16     FF Sachet + Grass</v>
          </cell>
          <cell r="T84" t="str">
            <v>O Asiatic ( 14 Inch ) 3     Grass</v>
          </cell>
        </row>
        <row r="85">
          <cell r="A85">
            <v>194</v>
          </cell>
          <cell r="B85" t="str">
            <v>Rashmi Chandra</v>
          </cell>
          <cell r="C85">
            <v>9811201254</v>
          </cell>
          <cell r="D85" t="str">
            <v>6826, DLF Phase-4</v>
          </cell>
          <cell r="E85" t="str">
            <v>DLF Phase 4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5" t="str">
            <v>2  del of this cycle   -  0-cycles pmnt   Completed - Collect 0</v>
          </cell>
          <cell r="O85" t="str">
            <v>P n W Glad ( 14 Inch ) 16     FF Sachet + Grass</v>
          </cell>
          <cell r="P85" t="str">
            <v>P n Y Spray Daisy ( 14 Inch ) 5     FF Sachet + Grass</v>
          </cell>
          <cell r="Q85" t="str">
            <v>O n P Car ( 14 Inch ) 16     FF Sachet + Grass</v>
          </cell>
          <cell r="R85" t="str">
            <v>P Eustoma ( 12 Inch ) 3     Grass</v>
          </cell>
          <cell r="S85" t="str">
            <v>Sunflower ( 14 Inch ) 4     FF Sachet + Grass</v>
          </cell>
          <cell r="T85" t="str">
            <v>P n W Glad ( 14 Inch ) 16     Grass</v>
          </cell>
        </row>
        <row r="86">
          <cell r="A86">
            <v>3188</v>
          </cell>
          <cell r="B86" t="str">
            <v>Pallavi Jha</v>
          </cell>
          <cell r="C86">
            <v>9599927793</v>
          </cell>
          <cell r="D86" t="str">
            <v>E-1903, Mapsko Mountville, Sec 79</v>
          </cell>
          <cell r="E86" t="str">
            <v>Badshahpur</v>
          </cell>
          <cell r="F86" t="str">
            <v>Friday</v>
          </cell>
          <cell r="G86" t="str">
            <v>4 Pm to 7 PM</v>
          </cell>
          <cell r="H86">
            <v>999</v>
          </cell>
          <cell r="I86">
            <v>249.75</v>
          </cell>
          <cell r="J86" t="str">
            <v>Delight</v>
          </cell>
          <cell r="K86" t="str">
            <v>From Pallavee Rajbongshi (16/01) Hold after 3rd Del (20/05)</v>
          </cell>
          <cell r="N86" t="str">
            <v>4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9     FF Sachet + Grass</v>
          </cell>
        </row>
        <row r="87">
          <cell r="A87">
            <v>2274</v>
          </cell>
          <cell r="B87" t="str">
            <v>Megha Saraogi</v>
          </cell>
          <cell r="C87">
            <v>8879492701</v>
          </cell>
          <cell r="D87" t="str">
            <v>A-161, 16th Floor, Raheja Atlantis</v>
          </cell>
          <cell r="E87" t="str">
            <v>South City 1</v>
          </cell>
          <cell r="F87" t="str">
            <v>Saturday</v>
          </cell>
          <cell r="G87" t="str">
            <v>10 AM to 2:30 PM</v>
          </cell>
          <cell r="H87">
            <v>2000</v>
          </cell>
          <cell r="I87">
            <v>500</v>
          </cell>
          <cell r="J87" t="str">
            <v>Customized</v>
          </cell>
          <cell r="K87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87" t="str">
            <v>BOP n GLAD N NO GULDAWARI</v>
          </cell>
          <cell r="M87" t="str">
            <v>17 Flowers only/ Send if Payment Received (06/06)</v>
          </cell>
          <cell r="N87" t="str">
            <v>2  del of this cycle   -  1-cycles pmnt   Pending - Collect 2000</v>
          </cell>
          <cell r="O87" t="str">
            <v>P n W Car ( 14  inch ) 17     1 Gypsola</v>
          </cell>
          <cell r="P87" t="e">
            <v>#N/A</v>
          </cell>
          <cell r="Q87" t="e">
            <v>#N/A</v>
          </cell>
          <cell r="R87" t="str">
            <v>Rajni ( 14 Inch ) 17     1 Limonium</v>
          </cell>
          <cell r="S87" t="str">
            <v>Pur n P car ( 14 Inch ) 17     1 Gypsola + FF sachet</v>
          </cell>
          <cell r="T87" t="str">
            <v>Mix Alstroemeria ( 12 Inch ) 17     1 Limonium + FF Sachet</v>
          </cell>
        </row>
        <row r="88">
          <cell r="A88">
            <v>2508</v>
          </cell>
          <cell r="B88" t="str">
            <v>Chandrima Budakoti</v>
          </cell>
          <cell r="C88">
            <v>9310519349</v>
          </cell>
          <cell r="D88" t="str">
            <v>C=2901, Mahindar Luminaire</v>
          </cell>
          <cell r="E88" t="str">
            <v>Ghata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Mixed Always / Skip today (14/06) Skip 1 week (04/07) Send replacement tom (29/09) HDTNP (23/05)</v>
          </cell>
          <cell r="M88" t="str">
            <v>Mixed</v>
          </cell>
          <cell r="N88" t="str">
            <v>3  del of this cycle   -  0-cycles pmnt   Completed - Collect 0</v>
          </cell>
          <cell r="O88" t="str">
            <v>P n W Glad ( 14 Inch ) 16     Grass</v>
          </cell>
          <cell r="P88" t="str">
            <v>Pur n P Car ( 14 Inch ) 16     FF Sachet + Grass</v>
          </cell>
          <cell r="Q88" t="str">
            <v>Pur Eustoma ( 12 Inch ) 3     FF Sachet + Grass</v>
          </cell>
          <cell r="R88" t="str">
            <v>P Asiatic ( 14 Inch ) 3     Grass</v>
          </cell>
          <cell r="S88" t="str">
            <v>P n W car ( 14 Inch ) 16     FF Sachet + Grass</v>
          </cell>
          <cell r="T88" t="str">
            <v>Sunflower ( 12 Inch ) 4     FF Sachet +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2  del of this cycle   -  0-cycles pmnt   Completed - Collect 0</v>
          </cell>
          <cell r="O89" t="str">
            <v>Eustoma 3     Grass</v>
          </cell>
          <cell r="P89" t="str">
            <v>P n Y Spray Daisy ( 14 Inch ) 5     FF Sachet + Grass</v>
          </cell>
          <cell r="Q89" t="str">
            <v>P n W Glad ( 14 Inch ) 16     Grass</v>
          </cell>
          <cell r="R89" t="str">
            <v>O Asiatic ( 14 Inch ) 3     Grass</v>
          </cell>
          <cell r="S89" t="str">
            <v>Sunflower ( 14 Inch ) 4     FF Sachet + Grass</v>
          </cell>
          <cell r="T89" t="str">
            <v>Mix Alstroemeria ( 12 Inch ) 16     FF Sachet + Grass</v>
          </cell>
        </row>
        <row r="90">
          <cell r="A90">
            <v>3336</v>
          </cell>
          <cell r="B90" t="str">
            <v>Ruchika Rattan</v>
          </cell>
          <cell r="C90">
            <v>8448331611</v>
          </cell>
          <cell r="D90" t="str">
            <v>E-0004, Richmond Park, DLF Phase 4</v>
          </cell>
          <cell r="E90" t="str">
            <v>DLF Phase 4</v>
          </cell>
          <cell r="F90" t="str">
            <v>Saturday</v>
          </cell>
          <cell r="G90" t="str">
            <v>10 AM to 2:30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Today Returned (16/05)</v>
          </cell>
          <cell r="N90" t="str">
            <v>2  del of this cycle   -  1-cycles pmnt   Pending - Collect 1950</v>
          </cell>
          <cell r="O90" t="str">
            <v>R n W Car ( 14 Inch ) 22     FF sachet + grass</v>
          </cell>
          <cell r="P90" t="str">
            <v>Mix Glad 22     FF Sachet + Grass</v>
          </cell>
          <cell r="Q90" t="str">
            <v>P n Pur Eustoma ( 12 Inch ) 4     FF Sachet + Grass</v>
          </cell>
          <cell r="R90" t="str">
            <v>P n Y Spray Daisy ( 14 Inch ) 7     FF Sachet + Grass</v>
          </cell>
          <cell r="S90" t="str">
            <v>Sunflower ( 14 Inch ) 5     FF Sachet + Grass</v>
          </cell>
          <cell r="T90" t="str">
            <v>W Asiatic ( 14 Inch ) 4     Grass</v>
          </cell>
        </row>
        <row r="91">
          <cell r="A91">
            <v>2626</v>
          </cell>
          <cell r="B91" t="str">
            <v>Mayank</v>
          </cell>
          <cell r="C91" t="str">
            <v>9661713694 // 8851453130</v>
          </cell>
          <cell r="D91" t="str">
            <v>W-5/32, 4th Floor, Room No. 24, Near Tulsa Tea Stall, Pink Town House Road, U-25 Marg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Flr Drop U23/20  3rd Flr Room No 5 (02/08) Hod due to non payment (17/01) Send tom after 7PM (19/01) Hold due to non payment (07/02) HDTNP (07/03) HDTNP (13/03) HDTNP (02/05)</v>
          </cell>
          <cell r="N91" t="str">
            <v>4  del of this cycle   -  0-cycles pmnt   CompletedNO COLLECTION-we have extra money - Collect -50</v>
          </cell>
          <cell r="O91" t="str">
            <v>Sunflower ( 12 Inch ) 2 Spray Car 7   FF Sachet + Grass</v>
          </cell>
          <cell r="P91" t="str">
            <v>W Spray Daisy ( 14 Inch ) 3 Rajni 7   FF Sachet + Grass</v>
          </cell>
          <cell r="Q91" t="str">
            <v>Pur Eustoma ( 12 Inch ) 2 Mix Alstroemeria ( 12 Inch ) 7   FF Sachet + Grass</v>
          </cell>
          <cell r="R91" t="str">
            <v>P Asiatic ( 14 Inch ) 2 P n W Glad ( 14 Inch ) 7   Grass</v>
          </cell>
          <cell r="S91" t="str">
            <v>Sunflower ( 14 Inch ) 2 Pur n P Car ( 14 Inch ) 7   FF Sachet + Grass</v>
          </cell>
          <cell r="T91" t="str">
            <v>W Asiatic ( 14 Inch ) 2 Mix Alstroemeria ( 12 Inch ) 7   Grass</v>
          </cell>
        </row>
        <row r="92">
          <cell r="A92">
            <v>1013</v>
          </cell>
          <cell r="B92" t="str">
            <v>Riti Malhotra-- Before 1 PM</v>
          </cell>
          <cell r="C92">
            <v>8879032832</v>
          </cell>
          <cell r="D92" t="str">
            <v>C-701, Elevate, Sec 59</v>
          </cell>
          <cell r="E92" t="str">
            <v>Ghata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2" t="str">
            <v>3  del of this cycle   -  0-cycles pmnt   Completed - Collect 0</v>
          </cell>
          <cell r="O92" t="str">
            <v>P n W Glad ( 14 Inch ) 16     Grass</v>
          </cell>
          <cell r="P92" t="e">
            <v>#N/A</v>
          </cell>
          <cell r="Q92" t="e">
            <v>#N/A</v>
          </cell>
          <cell r="R92" t="str">
            <v>P n Y Spray Daisy ( 14 Inch ) 5     FF Sachet + Grass</v>
          </cell>
          <cell r="S92" t="str">
            <v>Pur n P car ( 14 Inch ) 16     FF Sachet + Grass</v>
          </cell>
          <cell r="T92" t="str">
            <v>O Asiatic ( 14 Inch ) 3     Grass</v>
          </cell>
        </row>
        <row r="93">
          <cell r="A93">
            <v>138</v>
          </cell>
          <cell r="B93" t="str">
            <v>Nidhi Duggal</v>
          </cell>
          <cell r="C93">
            <v>9811721912</v>
          </cell>
          <cell r="D93" t="str">
            <v>B-2803, Ireo Grand Arch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1950</v>
          </cell>
          <cell r="I93">
            <v>487.5</v>
          </cell>
          <cell r="J93" t="str">
            <v>Joy</v>
          </cell>
          <cell r="K93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3" t="str">
            <v>Hold 21st and 28th June (05/05)</v>
          </cell>
          <cell r="N93" t="str">
            <v>3  del of this cycle   -  0-cycles pmnt   Completed - Collect 0</v>
          </cell>
          <cell r="O93" t="str">
            <v>P n W Spray Daisy ( 15 Inch) 4 Mix Alstroemeria 11   FF Sachet + Grass</v>
          </cell>
          <cell r="P93" t="str">
            <v>W Asiatic ( 14 Inch ) 2 P n W Glad ( 14 Inch ) 11   Grass</v>
          </cell>
          <cell r="Q93" t="str">
            <v>Sunflower ( 12 Inch ) 3 Pur n p Car ( 14 inch ) 11   FF Sachet + Grass</v>
          </cell>
          <cell r="R93" t="str">
            <v>Pur Eustoma ( 12 Inch ) 2 Rajni ( 14 Inch ) 11   FF Sachet + Grass</v>
          </cell>
          <cell r="S93" t="str">
            <v>P Asiatic ( 14 Inch ) 2 P n W Glad ( 14 Inch ) 11   Grass</v>
          </cell>
          <cell r="T93" t="str">
            <v>Sunflower ( 12 Inch ) 3 Mix Alstroemeria ( 12 Inch ) 11   FF Sachet + Grass</v>
          </cell>
        </row>
        <row r="94">
          <cell r="A94">
            <v>1148</v>
          </cell>
          <cell r="B94" t="str">
            <v>Bindiya Rawat</v>
          </cell>
          <cell r="C94">
            <v>9910118957</v>
          </cell>
          <cell r="D94" t="str">
            <v>V-12/3, 1st Floor, DLF Phase 3, Sec 24</v>
          </cell>
          <cell r="E94" t="str">
            <v>DLF Phase 3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4" t="str">
            <v>GERBERA n HELICONIA</v>
          </cell>
          <cell r="N94" t="str">
            <v>2  del of this cycle   -  0-cycles pmnt   Completed - Collect 0</v>
          </cell>
          <cell r="O94" t="str">
            <v>P n W Glad ( 14 Inch ) 16     Grass</v>
          </cell>
          <cell r="P94" t="str">
            <v>P n Y Spray Daisy ( 14 Inch ) 5     FF Sachet + Grass</v>
          </cell>
          <cell r="Q94" t="str">
            <v>Pur Eustoma ( 12 Inch ) 3     FF Sachet + Grass</v>
          </cell>
          <cell r="R94" t="e">
            <v>#N/A</v>
          </cell>
          <cell r="S94" t="e">
            <v>#N/A</v>
          </cell>
          <cell r="T94" t="str">
            <v>Pur n P Car ( 14 Inch ) 16     FF Sachet + Grass</v>
          </cell>
        </row>
        <row r="95">
          <cell r="A95">
            <v>2706</v>
          </cell>
          <cell r="B95" t="str">
            <v>Monika Arora</v>
          </cell>
          <cell r="C95">
            <v>9990121666</v>
          </cell>
          <cell r="D95" t="str">
            <v>Tostem Studio, Plot No. 564, Basement, Sec 39, Near Bakhtawar Chwok</v>
          </cell>
          <cell r="E95" t="str">
            <v>Medanta</v>
          </cell>
          <cell r="F95" t="str">
            <v>Saturday</v>
          </cell>
          <cell r="G95" t="str">
            <v>9 AM - 12 PM</v>
          </cell>
          <cell r="H95">
            <v>1600</v>
          </cell>
          <cell r="I95">
            <v>200</v>
          </cell>
          <cell r="J95" t="str">
            <v>Bloom</v>
          </cell>
          <cell r="K95" t="str">
            <v>Ref From Anupma Rastogi // Today Returned (09/08) Hold today (16/08) Today office was closed (21/10)</v>
          </cell>
          <cell r="N95" t="str">
            <v>1  del of this cycle   -  1-cycles pmnt   Pending - Collect 1600</v>
          </cell>
          <cell r="O95" t="str">
            <v>Rajni ( 15 Inch) 7     Grass</v>
          </cell>
          <cell r="P95" t="str">
            <v>P Spray Daisy ( 14 Inch ) 2     FF Sachet + Grass</v>
          </cell>
          <cell r="Q95" t="str">
            <v>R n P Car ( 14 Inch ) 7     FF Sachet + Grass</v>
          </cell>
          <cell r="R95" t="str">
            <v>B Daisy ( 12 Inch ) 7     Grass</v>
          </cell>
          <cell r="S95" t="str">
            <v>P n W car ( 14 Inch ) 7     FF Sachet + Grass</v>
          </cell>
          <cell r="T95" t="str">
            <v>Mix Alstroemeria ( 12 Inch ) 7     FF Sachet + Grass</v>
          </cell>
        </row>
        <row r="96">
          <cell r="A96">
            <v>3387</v>
          </cell>
          <cell r="B96" t="str">
            <v>Farah Singh</v>
          </cell>
          <cell r="C96">
            <v>9810713138</v>
          </cell>
          <cell r="D96" t="str">
            <v>H. No. 4528, Hibiscus Lane, DLF City Phase 4</v>
          </cell>
          <cell r="E96" t="str">
            <v>DLF Phase 4</v>
          </cell>
          <cell r="F96" t="str">
            <v>Saturday</v>
          </cell>
          <cell r="G96" t="str">
            <v>9 AM to 2 PM</v>
          </cell>
          <cell r="H96">
            <v>1950</v>
          </cell>
          <cell r="I96">
            <v>487.5</v>
          </cell>
          <cell r="J96" t="str">
            <v>Joy</v>
          </cell>
          <cell r="N96" t="str">
            <v>1  del of this cycle   -  1-cycles pmnt   Pending - Collect 1950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str">
            <v>P n Pur Eustoma ( 12 Inch ) 4     FF Sachet + Grass</v>
          </cell>
          <cell r="T96" t="str">
            <v>P n W Glad ( 14 Inch ) 22     Grass</v>
          </cell>
        </row>
        <row r="97">
          <cell r="A97" t="str">
            <v>B56342</v>
          </cell>
          <cell r="B97" t="str">
            <v>Roma Dutta Chobey</v>
          </cell>
          <cell r="C97">
            <v>9599789199</v>
          </cell>
          <cell r="D97" t="str">
            <v>B12, First floor, Tower B Pinnacle, DLF phase 5, Gurgaon</v>
          </cell>
          <cell r="E97" t="str">
            <v>DLF Phase 5</v>
          </cell>
          <cell r="F97" t="str">
            <v>Saturday</v>
          </cell>
          <cell r="G97" t="str">
            <v>By 9 AM</v>
          </cell>
          <cell r="H97">
            <v>1440</v>
          </cell>
          <cell r="I97">
            <v>1440</v>
          </cell>
          <cell r="J97" t="str">
            <v>Bouquet</v>
          </cell>
          <cell r="K97" t="str">
            <v>From Google Dannielle// 2 BOP + 5 Yel Car and 2 Orchid// Dear Roma,      Wishing you a very happy birthday! Thank you for your leadreship and guidance through all the back-to-back meetings and the constant travel.      I hope you have a wonderful day and a great year ahead.    Best Regards,  CCC (02/07)</v>
          </cell>
          <cell r="N97" t="str">
            <v>1  del of this cycle   -  0-cycles pmnt   In Process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 xml:space="preserve">BOP + Yel Car + B Daisy 2 + 5 + 3 Small Fish Bowl Arrangement Message   </v>
          </cell>
        </row>
        <row r="98">
          <cell r="A98" t="str">
            <v>B56290</v>
          </cell>
          <cell r="B98">
            <v>9971105361</v>
          </cell>
          <cell r="C98">
            <v>9971105361</v>
          </cell>
          <cell r="D98" t="str">
            <v>A-16, 2nd Floor, Ashok Estate, Anant Raj Estate, Sec 63 A</v>
          </cell>
          <cell r="E98" t="str">
            <v>Ghata</v>
          </cell>
          <cell r="F98" t="str">
            <v>Friday</v>
          </cell>
          <cell r="G98" t="str">
            <v>By 11:30 aM</v>
          </cell>
          <cell r="H98">
            <v>1050</v>
          </cell>
          <cell r="I98">
            <v>1050</v>
          </cell>
          <cell r="J98" t="str">
            <v>Bouquet</v>
          </cell>
          <cell r="K98" t="str">
            <v>Rose Mala</v>
          </cell>
          <cell r="N98" t="str">
            <v>2  del of this cycle   -  1-cycles pmnt   Pending - Collect 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str">
            <v xml:space="preserve">Rose Mala 21     </v>
          </cell>
          <cell r="T98" t="str">
            <v xml:space="preserve">Rose Mala 21     </v>
          </cell>
        </row>
        <row r="99">
          <cell r="A99">
            <v>339</v>
          </cell>
          <cell r="B99" t="str">
            <v>Vrinda Sehgal</v>
          </cell>
          <cell r="C99">
            <v>9899580634</v>
          </cell>
          <cell r="D99" t="str">
            <v>B-13/1, 1st Floor, DLF Phase 1</v>
          </cell>
          <cell r="E99" t="str">
            <v>DLF Phase 1</v>
          </cell>
          <cell r="F99" t="str">
            <v>Saturday</v>
          </cell>
          <cell r="G99" t="str">
            <v>4 PM to 7PM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9" t="str">
            <v>1  del of this cycle   -  1-cycles pmnt   Pending - Collect 1450</v>
          </cell>
          <cell r="O99" t="str">
            <v>P n Y Spray daisy ( 15 Inch ) 5     FF Sachet + Grass</v>
          </cell>
          <cell r="P99" t="str">
            <v>P n W Glad ( 14 Inch ) 16     Grass</v>
          </cell>
          <cell r="Q99" t="str">
            <v>P Eustoma ( 12 Inch ) 3     FF Sachet + Grass</v>
          </cell>
          <cell r="R99" t="str">
            <v>P Asiatic ( 14 Inch ) 3     Grass</v>
          </cell>
          <cell r="S99" t="str">
            <v>Sunflower ( 14 Inch ) 4     FF Sachet + Grass</v>
          </cell>
          <cell r="T99" t="str">
            <v>P n W Glad ( 14 Inch ) 16     Grass</v>
          </cell>
        </row>
        <row r="100">
          <cell r="A100" t="str">
            <v>B56352</v>
          </cell>
          <cell r="B100" t="str">
            <v>Deepali Singhal</v>
          </cell>
          <cell r="C100">
            <v>9871066626</v>
          </cell>
          <cell r="D100" t="str">
            <v>C2/6, 3rd Floor, DLF Alameda Sec 73</v>
          </cell>
          <cell r="E100" t="str">
            <v>Badshahpur</v>
          </cell>
          <cell r="F100" t="str">
            <v>Saturday</v>
          </cell>
          <cell r="G100" t="str">
            <v>By 10 AM</v>
          </cell>
          <cell r="H100">
            <v>5000</v>
          </cell>
          <cell r="I100">
            <v>5000</v>
          </cell>
          <cell r="J100" t="str">
            <v>Bouquet</v>
          </cell>
          <cell r="N100" t="str">
            <v>1  del of this cycle   -  1-cycles pmnt   Pending - Collect 2000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str">
            <v xml:space="preserve">Arrangements      </v>
          </cell>
        </row>
        <row r="101">
          <cell r="A101" t="str">
            <v>B56351</v>
          </cell>
          <cell r="B101" t="str">
            <v>DR. D K Saxena &amp; Manju Saxena</v>
          </cell>
          <cell r="C101">
            <v>9650431291</v>
          </cell>
          <cell r="D101" t="str">
            <v>B-506, Aravali Homes, Sec 54</v>
          </cell>
          <cell r="E101" t="str">
            <v>DLF Phase 5</v>
          </cell>
          <cell r="F101" t="str">
            <v>Saturday</v>
          </cell>
          <cell r="G101" t="str">
            <v>By 10 AM</v>
          </cell>
          <cell r="H101">
            <v>600</v>
          </cell>
          <cell r="I101">
            <v>600</v>
          </cell>
          <cell r="J101" t="str">
            <v>Bouquet</v>
          </cell>
          <cell r="K101" t="str">
            <v>From Rotary Club // Wish you a very Happy Anniversary.      From       RCGQE (03/07)</v>
          </cell>
          <cell r="N101" t="str">
            <v>1  del of this cycle   -  0-cycles pmnt   In Process - Collect 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P n W Car  16 Walkin Tissue Wrap Message   </v>
          </cell>
        </row>
        <row r="102">
          <cell r="A102" t="str">
            <v>G-00063</v>
          </cell>
          <cell r="B102" t="str">
            <v>Tanvi</v>
          </cell>
          <cell r="C102">
            <v>9643816721</v>
          </cell>
          <cell r="D102" t="str">
            <v>G-91, Regent House, Near Richmond Park</v>
          </cell>
          <cell r="E102" t="str">
            <v>DLF Phase 4</v>
          </cell>
          <cell r="F102" t="str">
            <v>Saturday</v>
          </cell>
          <cell r="G102" t="str">
            <v>9 AM - 12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From Dr. Khushboo Singh // Happy Anniversary to amazing people.         AKS (20/06)</v>
          </cell>
          <cell r="N102" t="str">
            <v>3  del of this cycle   -  0-cycles pmnt   Completed - Collect 0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str">
            <v>P Asiatic ( 14 Inch ) 3     Grass</v>
          </cell>
          <cell r="T102" t="str">
            <v>Rajni ( 14 Inch ) 16     Grass</v>
          </cell>
        </row>
        <row r="103">
          <cell r="A103">
            <v>3014</v>
          </cell>
          <cell r="B103" t="str">
            <v>Monika Arora</v>
          </cell>
          <cell r="C103">
            <v>9990121666</v>
          </cell>
          <cell r="D103" t="str">
            <v>Tostem Studio, Plot No. 564, Basement, Sec 39, Near Bakhtawar Chwok</v>
          </cell>
          <cell r="E103" t="str">
            <v>Medanta</v>
          </cell>
          <cell r="F103" t="str">
            <v>Saturday</v>
          </cell>
          <cell r="G103" t="str">
            <v>9 AM - 12 PM</v>
          </cell>
          <cell r="H103">
            <v>1600</v>
          </cell>
          <cell r="I103">
            <v>200</v>
          </cell>
          <cell r="J103" t="str">
            <v>Bloom</v>
          </cell>
          <cell r="K103" t="str">
            <v>Change in Address (31/12)</v>
          </cell>
          <cell r="N103" t="str">
            <v>1  del of this cycle   -  1-cycles pmnt   Pending - Collect 1600</v>
          </cell>
          <cell r="O103" t="str">
            <v>Y Spray Daisy ( 15 Inch) 2     FF Sachet + Grass</v>
          </cell>
          <cell r="P103" t="str">
            <v>Rajni ( 14 Inch ) 7     Grass</v>
          </cell>
          <cell r="Q103" t="str">
            <v>Rajni ( 14 Inch ) 7     Grass</v>
          </cell>
          <cell r="R103" t="str">
            <v>P Spray Daisy ( 14 inch ) 2     FF Sachet + Grass</v>
          </cell>
          <cell r="S103" t="str">
            <v>Y Spray Daisy ( 14 Inch ) 2     FF Sachet + Grass</v>
          </cell>
          <cell r="T103" t="str">
            <v>P Spray Daisy ( 14 Inch ) 2     FF Sachet + Grass</v>
          </cell>
        </row>
        <row r="104">
          <cell r="A104">
            <v>3362</v>
          </cell>
          <cell r="B104" t="str">
            <v>Rupa Raje Gupta</v>
          </cell>
          <cell r="C104">
            <v>9811170495</v>
          </cell>
          <cell r="D104" t="str">
            <v>H-33/30, DLF Phase 1</v>
          </cell>
          <cell r="E104" t="str">
            <v>DLF Phase 1</v>
          </cell>
          <cell r="F104" t="str">
            <v>Saturday</v>
          </cell>
          <cell r="G104" t="str">
            <v>9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Paytm From Rishi Nath Dubey (13/060</v>
          </cell>
          <cell r="N104" t="str">
            <v>4  del of this cycle   -  0-cycles pmnt   Completed - Collect 0</v>
          </cell>
          <cell r="O104" t="str">
            <v>P n W Glad ( 14 Inch ) 16     Grass</v>
          </cell>
          <cell r="P104" t="str">
            <v>P n Y Spray Daisy ( 14 Inch ) 5     FF Sachet + Grass</v>
          </cell>
          <cell r="Q104" t="str">
            <v>Pur Eustoma ( 12 Inch ) 3     FF Sachet + Grass</v>
          </cell>
          <cell r="R104" t="str">
            <v>P Asiatic ( 14 Inch ) 3     Grass</v>
          </cell>
          <cell r="S104" t="str">
            <v>Pur n P car ( 14 Inch ) 16     FF Sachet + Grass</v>
          </cell>
          <cell r="T104" t="str">
            <v>P n W Glad ( 14 Inch ) 16     Grass</v>
          </cell>
        </row>
        <row r="105">
          <cell r="A105">
            <v>2273</v>
          </cell>
          <cell r="B105" t="str">
            <v xml:space="preserve">Prashant </v>
          </cell>
          <cell r="C105">
            <v>9216746911</v>
          </cell>
          <cell r="D105" t="str">
            <v>Flat 3B, Building 1, The Hibiscus</v>
          </cell>
          <cell r="E105" t="str">
            <v>Nirvana Country</v>
          </cell>
          <cell r="F105" t="str">
            <v>Saturday</v>
          </cell>
          <cell r="G105" t="str">
            <v>9:30 Am to 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No Orchid (21/05)</v>
          </cell>
          <cell r="L105" t="str">
            <v>ORCHID</v>
          </cell>
          <cell r="N105" t="str">
            <v>2  del of this cycle   -  0-cycles pmnt   Completed - Collect 0</v>
          </cell>
          <cell r="O105" t="str">
            <v>P n W  Car ( 14 Inch ) 22     FF sachet + grass</v>
          </cell>
          <cell r="P105" t="str">
            <v>P Asiatic ( 14 Inch ) 4     Grass</v>
          </cell>
          <cell r="Q105" t="str">
            <v>P n Pur Eustoma ( 12 Inch ) 4     FF Sachet + Grass</v>
          </cell>
          <cell r="R105" t="str">
            <v>P n W Glad ( 14 Inch ) 22     Grass</v>
          </cell>
          <cell r="S105" t="str">
            <v>Sunflower ( 14 Inch ) 5     FF Sachet + Grass</v>
          </cell>
          <cell r="T105" t="str">
            <v>Pur n P Car ( 14 Inch ) 22     FF Sachet + Grass</v>
          </cell>
        </row>
        <row r="106">
          <cell r="A106">
            <v>2506</v>
          </cell>
          <cell r="B106" t="str">
            <v>Manya Jha</v>
          </cell>
          <cell r="C106">
            <v>9810502834</v>
          </cell>
          <cell r="D106" t="str">
            <v>H-33/1, Ground Floor, DLF Phase 1</v>
          </cell>
          <cell r="E106" t="str">
            <v>DLF Phase 1</v>
          </cell>
          <cell r="F106" t="str">
            <v>Saturday</v>
          </cell>
          <cell r="G106" t="str">
            <v>9:30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Send 1 Bottle Flower Food tom // No Orchids (09/04) Skip 1 week (29/09)</v>
          </cell>
          <cell r="L106" t="str">
            <v>ORCHID</v>
          </cell>
          <cell r="N106" t="str">
            <v>3  del of this cycle   -  0-cycles pmnt   Completed - Collect 0</v>
          </cell>
          <cell r="O106" t="str">
            <v>Y Spray Daisy ( 15 Inch) 3 Mix Car 7   FF Sachet + Grass</v>
          </cell>
          <cell r="P106" t="str">
            <v>W Asiatic ( 14 Inch ) 2 Rajni 7   Grass</v>
          </cell>
          <cell r="Q106" t="str">
            <v>Sunflower ( 12 Inch ) 2 Mix Alstroemeria ( 12 Inch ) 7   FF Sachet + Grass</v>
          </cell>
          <cell r="R106" t="str">
            <v>Pur Eustoma ( 12 Inch ) 2 P n W Glad ( 14 Inch ) 7   FF Sachet + Grass</v>
          </cell>
          <cell r="S106" t="str">
            <v>P Spray Daisy ( 14 Inch ) 3 Pur n P Car ( 14 Inch ) 7   FF Sachet + Grass</v>
          </cell>
          <cell r="T106" t="str">
            <v>O Asiatic ( 14 Inch ) 2 Mix Alstroemeria ( 12 Inch ) 7   Grass</v>
          </cell>
        </row>
        <row r="107">
          <cell r="A107">
            <v>1953</v>
          </cell>
          <cell r="B107" t="str">
            <v>Sandhya Nagesh</v>
          </cell>
          <cell r="C107">
            <v>8800649797</v>
          </cell>
          <cell r="D107" t="str">
            <v>89, Ground Floor, Woodstock Floors, Sec 50</v>
          </cell>
          <cell r="E107" t="str">
            <v>Nirvana Country</v>
          </cell>
          <cell r="F107" t="str">
            <v>Saturday</v>
          </cell>
          <cell r="G107" t="str">
            <v>9 AM - 12 PM</v>
          </cell>
          <cell r="H107">
            <v>3000</v>
          </cell>
          <cell r="I107">
            <v>375</v>
          </cell>
          <cell r="J107" t="str">
            <v>Charm</v>
          </cell>
          <cell r="K107" t="str">
            <v>Saturday n Tueaday(02/09) No Del From 10th to 19th (09/09) Today returned(19/08) hold today send tom (07/10) Skip 20th Del (14/01) Hold 6th n 10th Sug (03/08) Return tiday (07/02) Today Returned (24/02)</v>
          </cell>
          <cell r="N107" t="str">
            <v>8  del of this cycle   -  0-cycles pmnt   Completed - Collect 0</v>
          </cell>
          <cell r="O107" t="str">
            <v>Sunflower 4     FF Sachet + Grass</v>
          </cell>
          <cell r="P107" t="str">
            <v>P n Y Spray Daisy ( 14 Inch ) 4     FF Sachet + Grass</v>
          </cell>
          <cell r="Q107" t="str">
            <v>R n P Car ( 14 Inch ) 15     FF Sachet + Grass</v>
          </cell>
          <cell r="R107" t="str">
            <v>P n W Glad ( 14 Inch ) 15     Grass</v>
          </cell>
          <cell r="S107" t="str">
            <v>Sunflower ( 14 Inch ) 4     FF Sachet + Grass</v>
          </cell>
          <cell r="T107" t="str">
            <v>B Orchid  4     FF Sachet + Grass</v>
          </cell>
        </row>
        <row r="108">
          <cell r="A108">
            <v>3222</v>
          </cell>
          <cell r="B108" t="str">
            <v>Bibhuti Vikram Singh</v>
          </cell>
          <cell r="C108">
            <v>9811912776</v>
          </cell>
          <cell r="D108" t="str">
            <v>T-6A/104, Valley View Estate, Gwal pahari</v>
          </cell>
          <cell r="E108" t="str">
            <v>Ghata</v>
          </cell>
          <cell r="F108" t="str">
            <v>Sunday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One Kind</v>
          </cell>
          <cell r="M108" t="str">
            <v>One Kind</v>
          </cell>
          <cell r="N108" t="str">
            <v>2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>W Asiatic ( 14 Inch ) 3     Grass</v>
          </cell>
        </row>
        <row r="109">
          <cell r="A109">
            <v>3058</v>
          </cell>
          <cell r="B109" t="str">
            <v>Ritu Gupta</v>
          </cell>
          <cell r="C109">
            <v>9811321755</v>
          </cell>
          <cell r="D109" t="str">
            <v>T-3/1201, The Close North</v>
          </cell>
          <cell r="E109" t="str">
            <v>Nirvana Country</v>
          </cell>
          <cell r="F109" t="str">
            <v>Saturday</v>
          </cell>
          <cell r="G109" t="str">
            <v>9 AM to 2 PM</v>
          </cell>
          <cell r="H109">
            <v>1560</v>
          </cell>
          <cell r="I109">
            <v>390</v>
          </cell>
          <cell r="J109" t="str">
            <v>Customized</v>
          </cell>
          <cell r="K10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9" t="str">
            <v>3 Asiatic</v>
          </cell>
          <cell r="N109" t="str">
            <v>4  del of this cycle   -  0-cycles pmnt   Completed - Collect 0</v>
          </cell>
          <cell r="O109" t="str">
            <v>P Asiatic 3     1 Gypsola</v>
          </cell>
          <cell r="P109" t="e">
            <v>#N/A</v>
          </cell>
          <cell r="Q109" t="str">
            <v>Y Asiatic ( 14 inch ) 3     1 Limonium</v>
          </cell>
          <cell r="R109" t="str">
            <v>O Asiatic ( 14 Inch ) 3     1 Gypsola</v>
          </cell>
          <cell r="S109" t="str">
            <v>P Asiatic ( 14 Inch ) 3     1 Limonium</v>
          </cell>
          <cell r="T109" t="str">
            <v>W Asiatic ( 14 Inch ) 3     1 Gypsola</v>
          </cell>
        </row>
        <row r="110">
          <cell r="A110">
            <v>3335</v>
          </cell>
          <cell r="B110" t="str">
            <v>Aman Batra</v>
          </cell>
          <cell r="C110">
            <v>8826778738</v>
          </cell>
          <cell r="D110" t="str">
            <v>Tower-F/702, The Ivy, Block A, Sushant Lok-1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4750</v>
          </cell>
          <cell r="I110">
            <v>1187.5</v>
          </cell>
          <cell r="J110" t="str">
            <v>Enchantment</v>
          </cell>
          <cell r="K110" t="str">
            <v>Hold n start from 30th May // Sen this week on Friday (25/06) No Glad (25/06)</v>
          </cell>
          <cell r="L110" t="str">
            <v>Glad</v>
          </cell>
          <cell r="N110" t="str">
            <v>2  del of this cycle   -  0-cycles pmnt   Completed - Collect 0</v>
          </cell>
          <cell r="O110" t="str">
            <v xml:space="preserve">BOP 6 Mix Car 30   </v>
          </cell>
          <cell r="P110" t="str">
            <v>Pur n P Eustoma ( 12 Inch ) 6 Rajni 30   3 Areca Palm + 3 Gypsola + FF sachet</v>
          </cell>
          <cell r="Q110" t="str">
            <v>P n Y Asiatic ( 14 Inch ) 6 P n W Glad ( 14 Inch ) 30   3 Areca Palm + 3 Limonium</v>
          </cell>
          <cell r="R110" t="str">
            <v>P Oriental ( 15 Inch ) 4 B Daisy ( 12 Inch ) 30   3 Areca Palm + 3 Gypsola</v>
          </cell>
          <cell r="S110" t="e">
            <v>#N/A</v>
          </cell>
          <cell r="T110" t="str">
            <v>O Asiatic ( 14 Inch ) 6 Rajni ( 14 Inch ) 30   3 Areca palm + 3 Limonium</v>
          </cell>
        </row>
        <row r="111">
          <cell r="A111">
            <v>2523</v>
          </cell>
          <cell r="B111" t="str">
            <v>Kaamini Singhal</v>
          </cell>
          <cell r="C111">
            <v>8383964831</v>
          </cell>
          <cell r="D111" t="str">
            <v>H-40/9, DLF Phase 1</v>
          </cell>
          <cell r="E111" t="str">
            <v>DLF Phase 1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111" t="str">
            <v>2  del of this cycle   -  0-cycles pmnt   Completed - Collect 0</v>
          </cell>
          <cell r="O111" t="str">
            <v>P n W Car ( 14  inch ) 9     FF Sachet + Grass</v>
          </cell>
          <cell r="P111" t="str">
            <v>Y Spray Daisy ( 14 Inch ) 3     FF Sachet + Grass</v>
          </cell>
          <cell r="Q111" t="str">
            <v>P n W Glad ( 14 Inch ) 9     Grass</v>
          </cell>
          <cell r="R111" t="str">
            <v>B Daisy ( 12 Inch ) 9     Grass</v>
          </cell>
          <cell r="S111" t="str">
            <v>Pur n P car ( 14 Inch ) 16     FF Sachet + Grass</v>
          </cell>
          <cell r="T111" t="str">
            <v>Sunflower ( 12 Inch ) 4     FF Sachet + Grass</v>
          </cell>
        </row>
        <row r="112">
          <cell r="A112">
            <v>2240</v>
          </cell>
          <cell r="B112" t="str">
            <v>Somyasmita Juneja</v>
          </cell>
          <cell r="C112">
            <v>9650213304</v>
          </cell>
          <cell r="D112" t="str">
            <v xml:space="preserve">DX-136, Kendriya Vihar
</v>
          </cell>
          <cell r="E112" t="str">
            <v>Sector 56</v>
          </cell>
          <cell r="F112" t="str">
            <v>Saturday</v>
          </cell>
          <cell r="G112" t="str">
            <v>9 AM - 12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112" t="str">
            <v>2  del of this cycle   -  1-cycles pmnt   Pending - Collect 1450</v>
          </cell>
          <cell r="O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str">
            <v>Pur n P car ( 14 Inch ) 16     FF Sachet + Grass</v>
          </cell>
          <cell r="T112" t="str">
            <v>O Asiatic ( 14 Inch ) 3     Grass</v>
          </cell>
        </row>
        <row r="113">
          <cell r="A113">
            <v>2629</v>
          </cell>
          <cell r="B113" t="str">
            <v>Arpita Das</v>
          </cell>
          <cell r="C113">
            <v>9810996113</v>
          </cell>
          <cell r="D113" t="str">
            <v>120/63, Silver Oaks Appartment, G Block, Sec 26</v>
          </cell>
          <cell r="E113" t="str">
            <v>DLF Phase 1</v>
          </cell>
          <cell r="F113" t="str">
            <v>Saturday</v>
          </cell>
          <cell r="G113" t="str">
            <v>9 AM - 12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113" t="str">
            <v>Rajni next</v>
          </cell>
          <cell r="N113" t="str">
            <v>1  del of this cycle   -  1-cycles pmnt   Pending - Collect 1450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Pur n P Car ( 14 Inch ) 16     FF Sachet + Grass</v>
          </cell>
        </row>
        <row r="114">
          <cell r="B114" t="str">
            <v>Ridhi Heritage</v>
          </cell>
          <cell r="C114" t="str">
            <v>98730 38855</v>
          </cell>
          <cell r="D114" t="str">
            <v xml:space="preserve"> Flat-704 tower -C  Heritage One sector 62</v>
          </cell>
          <cell r="H114">
            <v>600</v>
          </cell>
          <cell r="J114" t="str">
            <v>Bouquet</v>
          </cell>
          <cell r="K114" t="str">
            <v>Send today 
2 pink oriental lilies with greens to Riddhi 
+91 98730 38855
Put sponge in base 
Collect 600</v>
          </cell>
          <cell r="N114" t="str">
            <v>Collect 600</v>
          </cell>
          <cell r="T114" t="str">
            <v xml:space="preserve">P Oriental 2 Grass+Arica    </v>
          </cell>
        </row>
        <row r="115">
          <cell r="B115">
            <v>9599697063</v>
          </cell>
          <cell r="C115">
            <v>9599697063</v>
          </cell>
          <cell r="D115" t="str">
            <v>M23B Adani samsara</v>
          </cell>
          <cell r="G115" t="str">
            <v>Only Payment</v>
          </cell>
          <cell r="H115" t="str">
            <v>Only Payment</v>
          </cell>
          <cell r="I115" t="str">
            <v>Only Payment</v>
          </cell>
          <cell r="J115" t="str">
            <v>Only Payment</v>
          </cell>
          <cell r="K115" t="str">
            <v>Only Payment</v>
          </cell>
          <cell r="L115" t="str">
            <v>Only Payment</v>
          </cell>
          <cell r="M115" t="str">
            <v>Only Payment</v>
          </cell>
          <cell r="N115" t="str">
            <v>Only Payment</v>
          </cell>
          <cell r="O115" t="str">
            <v>Only Payment</v>
          </cell>
          <cell r="P115" t="str">
            <v>Only Payment</v>
          </cell>
          <cell r="Q115" t="str">
            <v>Only Payment</v>
          </cell>
          <cell r="R115" t="str">
            <v>Only Payment</v>
          </cell>
          <cell r="S115" t="str">
            <v>Only Payment</v>
          </cell>
          <cell r="T115" t="str">
            <v>Only Payment Only Payment Only Payment Only Payment Only Payment Only Payment Only Payment</v>
          </cell>
        </row>
        <row r="116">
          <cell r="B116" t="str">
            <v xml:space="preserve">Geet </v>
          </cell>
          <cell r="C116" t="str">
            <v>84479 34634‬</v>
          </cell>
          <cell r="D116" t="str">
            <v>A-1802  Bestech Altura 
Sector 79 Gurgaon</v>
          </cell>
          <cell r="G116" t="str">
            <v>1 to 3 Pm</v>
          </cell>
          <cell r="H116">
            <v>720</v>
          </cell>
          <cell r="J116" t="str">
            <v>Bouquet</v>
          </cell>
          <cell r="T116" t="str">
            <v xml:space="preserve">Oriental+ B Daisy+Rajni 1+6+3 Greens
Areca palm    </v>
          </cell>
        </row>
        <row r="117">
          <cell r="B117" t="str">
            <v>Vaanya Kaushal</v>
          </cell>
          <cell r="C117">
            <v>9717616636</v>
          </cell>
          <cell r="D117" t="str">
            <v>C-1197, 1st floor, Ansal esencia, sector 67 Gurugram</v>
          </cell>
          <cell r="G117" t="str">
            <v>Before 3 Pm</v>
          </cell>
          <cell r="H117">
            <v>1300</v>
          </cell>
          <cell r="J117" t="str">
            <v>Bouquet</v>
          </cell>
          <cell r="K117" t="str">
            <v>Today before 3 from 
‪+91 79820 70662‬
1300 received 
To 
Pls share the delivery details: 
Recipient's Name: Vaanya Kaushal
Number: 9717616636
Address:
C-1197, 1st floor, Ansal esencia, sector 67 Gurugram
Near Hyde Park
Pin- 122102
Message- 
Happy 21st birthday Vaani! I wish you nothing but the best!
Love,
Viraat</v>
          </cell>
          <cell r="T117" t="str">
            <v xml:space="preserve">Mix Car 20 Single Wrap Message   </v>
          </cell>
        </row>
        <row r="118">
          <cell r="B118" t="str">
            <v>Priyanka Saikia</v>
          </cell>
          <cell r="C118" t="str">
            <v xml:space="preserve"> 99719 97033</v>
          </cell>
          <cell r="D118" t="str">
            <v>The Close south 17/1203</v>
          </cell>
          <cell r="H118">
            <v>840</v>
          </cell>
          <cell r="J118" t="str">
            <v>Bouquet</v>
          </cell>
          <cell r="K118" t="str">
            <v>Send today 
21 Rajnigandha to Priyanka Saikia
+91 99719 97033</v>
          </cell>
          <cell r="T118" t="str">
            <v xml:space="preserve">Rajni 21 Grass+Arica    </v>
          </cell>
        </row>
        <row r="119">
          <cell r="A119">
            <v>3169</v>
          </cell>
          <cell r="B119" t="str">
            <v>Lara Dhawan</v>
          </cell>
          <cell r="C119">
            <v>9810002191</v>
          </cell>
          <cell r="D119" t="str">
            <v>Building-9/406, Heritage City</v>
          </cell>
          <cell r="E119" t="str">
            <v>M G Road</v>
          </cell>
          <cell r="F119" t="str">
            <v>Saturday</v>
          </cell>
          <cell r="G119" t="str">
            <v>4 Pm to 7 PM</v>
          </cell>
          <cell r="H119">
            <v>1950</v>
          </cell>
          <cell r="I119">
            <v>487.5</v>
          </cell>
          <cell r="J119" t="str">
            <v>Joy</v>
          </cell>
          <cell r="K119" t="str">
            <v>Today Missed (15/11)</v>
          </cell>
          <cell r="N119" t="str">
            <v>3  del of this cycle   -  0-cycles pmnt   Completed - Collect 0</v>
          </cell>
          <cell r="O119" t="str">
            <v>P Asiatic 2 R n W car ( 14 inch ) 11   Grass</v>
          </cell>
          <cell r="P119" t="str">
            <v>P n W Spray Daisy ( 14 Inch ) 4 P n W Glad ( 14 Inch ) 11   FF Sachet + Grass</v>
          </cell>
          <cell r="Q119" t="str">
            <v>Sunflower ( 12 Inch ) 3 Mix Alstroemeria ( 12 Inch ) 11   FF Sachet + Grass</v>
          </cell>
          <cell r="R119" t="str">
            <v>P Eustoma ( 12 Inch ) 2 B Daisy ( 12 Inch ) 11   FF Sachet + Grass</v>
          </cell>
          <cell r="S119" t="str">
            <v>O Asiatic ( 14 Inch ) 2 Pur n P Car ( 14 Inch ) 11   Grass</v>
          </cell>
          <cell r="T119" t="str">
            <v>B Orchid  4 Rajni ( 14 Inch ) 11   Grass</v>
          </cell>
        </row>
        <row r="120">
          <cell r="B120" t="str">
            <v xml:space="preserve">Shivani Yadav </v>
          </cell>
          <cell r="C120" t="str">
            <v>95606 80875</v>
          </cell>
          <cell r="D120" t="str">
            <v>E1702 emaar palm drive sec66</v>
          </cell>
          <cell r="G120" t="str">
            <v>By 6 Pm</v>
          </cell>
          <cell r="H120">
            <v>600</v>
          </cell>
          <cell r="J120" t="str">
            <v>Bouquet</v>
          </cell>
          <cell r="K120" t="str">
            <v>Send today by 6 
2 orange and one white semi bloomed asiatic lilies with greens to 
Shivani Yadav 
E1702 emaar palm drive sec66
+91 95606 80875
Collect 600</v>
          </cell>
          <cell r="N120" t="str">
            <v>No Collection</v>
          </cell>
          <cell r="T120" t="str">
            <v xml:space="preserve">O n Y Semi Bloom Asiatic 2+1 Grass+Arica    </v>
          </cell>
        </row>
        <row r="121">
          <cell r="B121" t="str">
            <v>99580 77344‬</v>
          </cell>
          <cell r="C121" t="str">
            <v>99580 77344‬</v>
          </cell>
          <cell r="D121" t="str">
            <v>M 1406, Emaar Palm Drive, Golf course extension road, Badshahpur, Sector 66 
122102</v>
          </cell>
          <cell r="G121" t="str">
            <v>BY 8 PM</v>
          </cell>
          <cell r="H121">
            <v>1650</v>
          </cell>
          <cell r="J121" t="str">
            <v>Bouquet</v>
          </cell>
          <cell r="K121" t="str">
            <v>Pls send this today and change few pink carnations with blue daisy 
M 1406, Emaar Palm Drive, Golf course extension road, Badshahpur, Sector 66 
122102
‪+91 99580 77344‬
Pls collect 1650</v>
          </cell>
          <cell r="N121" t="str">
            <v>Pls collect 1650</v>
          </cell>
          <cell r="T121" t="str">
            <v xml:space="preserve">vase arrangements      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3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str">
            <v>P Asiatic ( 14 Inch ) 3     Grass</v>
          </cell>
          <cell r="T2" t="str">
            <v>P n W Glad ( 14 Inch ) 16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2  del of this cycle   -  0-cycles pmnt   Completed - Collect 0</v>
          </cell>
          <cell r="O3" t="e">
            <v>#N/A</v>
          </cell>
          <cell r="P3" t="str">
            <v>P n W Carnation  ( 14 Inch ) 16     Grass</v>
          </cell>
          <cell r="Q3" t="str">
            <v>P Eustoma ( 12 Inch ) 3     Grass</v>
          </cell>
          <cell r="R3" t="str">
            <v>Asiatic 3     Grass</v>
          </cell>
          <cell r="S3" t="str">
            <v>P n W Glad ( 14 Inch ) 16     Grass</v>
          </cell>
          <cell r="T3" t="str">
            <v>Rajni ( 14 Inch ) 16     Grass</v>
          </cell>
        </row>
        <row r="4">
          <cell r="A4">
            <v>2274</v>
          </cell>
          <cell r="B4" t="str">
            <v>Megha Saraogi</v>
          </cell>
          <cell r="C4">
            <v>8879492701</v>
          </cell>
          <cell r="D4" t="str">
            <v>A-161, 16th Floor, Raheja Atlantis</v>
          </cell>
          <cell r="H4">
            <v>2000</v>
          </cell>
          <cell r="J4" t="str">
            <v>Customized</v>
          </cell>
          <cell r="T4" t="str">
            <v>Rajni 17     1 Limonium + FF Sachet</v>
          </cell>
        </row>
        <row r="5">
          <cell r="A5">
            <v>2324</v>
          </cell>
          <cell r="B5" t="str">
            <v>Reena Singh</v>
          </cell>
          <cell r="C5">
            <v>9810094023</v>
          </cell>
          <cell r="D5" t="str">
            <v>A1/304, Uniworld City</v>
          </cell>
          <cell r="H5">
            <v>1450</v>
          </cell>
          <cell r="J5" t="str">
            <v>Bliss</v>
          </cell>
          <cell r="T5" t="str">
            <v>O Asiatic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1  del of this cycle   -  0-cycles pmnt   Completed - Collect 0</v>
          </cell>
          <cell r="O6" t="str">
            <v>Sunflower ( 12 Inch ) 2     FF Sachet + Grass</v>
          </cell>
          <cell r="P6" t="str">
            <v>P Spray Daisy ( 14 Inch ) 3     FF Sachet + Grass</v>
          </cell>
          <cell r="Q6" t="e">
            <v>#N/A</v>
          </cell>
          <cell r="R6" t="e">
            <v>#N/A</v>
          </cell>
          <cell r="S6" t="str">
            <v>P n W Glad ( 14 Inch ) 7     Grass</v>
          </cell>
          <cell r="T6" t="str">
            <v>O Asiatic ( 14 Inch ) 3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2  del of this cycle   -  0-cycles pmnt   Completed - Collect 0</v>
          </cell>
          <cell r="O7" t="str">
            <v>Sunflower ( 12 Inch ) 2     FF Sachet + Grass</v>
          </cell>
          <cell r="P7" t="str">
            <v>P n W Glad ( 14 Inch ) 9     Grass</v>
          </cell>
          <cell r="Q7" t="str">
            <v>B Daisy ( 12 Inch ) 9     Grass</v>
          </cell>
          <cell r="R7" t="e">
            <v>#N/A</v>
          </cell>
          <cell r="S7" t="str">
            <v>P Asiatic ( 14 Inch ) 3     Grass</v>
          </cell>
          <cell r="T7" t="str">
            <v>R n W Car ( 14 Inch ) 16     FF sachet + Car</v>
          </cell>
        </row>
        <row r="8">
          <cell r="A8" t="str">
            <v>B56416</v>
          </cell>
          <cell r="B8" t="str">
            <v>Radhika Surana</v>
          </cell>
          <cell r="C8">
            <v>9871132800</v>
          </cell>
          <cell r="D8" t="str">
            <v>1204, The Magnolias</v>
          </cell>
          <cell r="E8" t="str">
            <v>Golf Course Road</v>
          </cell>
          <cell r="F8" t="str">
            <v>Saturday</v>
          </cell>
          <cell r="G8" t="str">
            <v>9 AM - 12 PM</v>
          </cell>
          <cell r="H8">
            <v>3050</v>
          </cell>
          <cell r="I8">
            <v>3050</v>
          </cell>
          <cell r="J8" t="str">
            <v>Bouquet</v>
          </cell>
          <cell r="K8" t="str">
            <v>3 W Oriental + 3 W Orchid + 10 P Car + 6 P Daisy in Thali Vase // One Small with 1 Oriental + 2 Orchid + 6 P Car + 3 P Daisy in Small Thali Vase</v>
          </cell>
          <cell r="N8" t="str">
            <v>1  del of this cycle   -  1-cycles pmnt   Pending - Collect 3050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( W Oriental + W Orchid + P Car + P Spray Daisy in Medium Thali) + ( W Oriental + W Orchid + P Car + P Spray Daisy in Small Thali ) ( 3 + 3 + 10 + 6 ) + ( 1 + 2 + 6 + 4)     </v>
          </cell>
        </row>
        <row r="9">
          <cell r="A9">
            <v>3169</v>
          </cell>
          <cell r="B9" t="str">
            <v>Lara Dhawan</v>
          </cell>
          <cell r="C9">
            <v>9810002191</v>
          </cell>
          <cell r="D9" t="str">
            <v>Building-9/406, Heritage City</v>
          </cell>
          <cell r="E9" t="str">
            <v>M G Road</v>
          </cell>
          <cell r="F9" t="str">
            <v>Saturday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K9" t="str">
            <v>Today Missed (15/11)</v>
          </cell>
          <cell r="N9" t="str">
            <v>4  del of this cycle   -  0-cycles pmnt   Completed - Collect 0</v>
          </cell>
          <cell r="O9" t="str">
            <v>P n W Spray Daisy ( 14 Inch ) 4 P n W Glad ( 14 Inch ) 11   FF Sachet + Grass</v>
          </cell>
          <cell r="P9" t="str">
            <v>Sunflower ( 12 Inch ) 3 Mix Alstroemeria ( 12 Inch ) 11   FF Sachet + Grass</v>
          </cell>
          <cell r="Q9" t="str">
            <v>P Eustoma ( 12 Inch ) 2 B Daisy ( 12 Inch ) 11   FF Sachet + Grass</v>
          </cell>
          <cell r="R9" t="str">
            <v>O Asiatic ( 14 Inch ) 2 Pur n P Car ( 14 Inch ) 11   Grass</v>
          </cell>
          <cell r="S9" t="str">
            <v>B Orchid  4 Rajni ( 14 Inch ) 11   Grass</v>
          </cell>
          <cell r="T9" t="str">
            <v>P n Y Spray Daisy ( 14 Inch ) 4 B Daisy 11   FF sachet + Car</v>
          </cell>
        </row>
        <row r="10">
          <cell r="A10">
            <v>2743</v>
          </cell>
          <cell r="B10" t="str">
            <v>Juhee Gandhi</v>
          </cell>
          <cell r="C10">
            <v>9999767374</v>
          </cell>
          <cell r="D10" t="str">
            <v>T-2/15 D, 4th Floor, DLF Phase 3</v>
          </cell>
          <cell r="E10" t="str">
            <v>DLF Phase 3</v>
          </cell>
          <cell r="F10" t="str">
            <v>Saturday</v>
          </cell>
          <cell r="G10" t="str">
            <v>4 Pm to 7 PM</v>
          </cell>
          <cell r="H10">
            <v>2750</v>
          </cell>
          <cell r="I10">
            <v>687.5</v>
          </cell>
          <cell r="J10" t="str">
            <v>Elation</v>
          </cell>
          <cell r="K10" t="str">
            <v>Ref  By Disha Roy (12/06) Send 1 del tom (25/08) Send one Del Tom (08/09) Next delivery on Tuesday (14/09)</v>
          </cell>
          <cell r="N10" t="str">
            <v>2  del of this cycle   -  1-cycles pmnt   Pending - Collect 2750</v>
          </cell>
          <cell r="O10" t="str">
            <v>Pur n P Eustoma ( 12 Inch ) 4 Rajni 16   2 Gypsola + FF Sachet</v>
          </cell>
          <cell r="P10" t="str">
            <v>Sunflower ( 12 Inch ) 4 P n W Glad ( 14 Inch ) 16   2 Limonium + FF Sachet</v>
          </cell>
          <cell r="Q10" t="str">
            <v>BOP 3 B Daisy ( 12 Inch ) 16   2 Gypsola + FF sachet</v>
          </cell>
          <cell r="R10" t="str">
            <v>P Asiatic ( 14 Inch ) 3 Pur n P Car ( 14 Inch ) 16   2 Limonium</v>
          </cell>
          <cell r="S10" t="str">
            <v xml:space="preserve">P n Y Spray daisy ( 14 inch ) 5 Rajni ( 14 Inch ) 16   2 Gypsola + FF Sachet </v>
          </cell>
          <cell r="T10" t="str">
            <v xml:space="preserve">Sunflower ( 12 Inch ) 4 Mix Alstroemeria ( 12  Inch ) 16  Ensure Collection 2 Gypsola + FF sachet </v>
          </cell>
        </row>
        <row r="11">
          <cell r="A11">
            <v>3375</v>
          </cell>
          <cell r="B11" t="str">
            <v>Saniya Anand</v>
          </cell>
          <cell r="C11">
            <v>9810955188</v>
          </cell>
          <cell r="D11" t="str">
            <v>D-1102, Caritriona Ambience Island</v>
          </cell>
          <cell r="E11" t="str">
            <v>M G Road</v>
          </cell>
          <cell r="F11" t="str">
            <v>Saturday</v>
          </cell>
          <cell r="G11" t="str">
            <v>4 Pm to 7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Paytm from Anmol Anand (03/07)</v>
          </cell>
          <cell r="N11" t="str">
            <v>2  del of this cycle   -  0-cycles pmnt   Completed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str">
            <v>B Orchid  7     FF Sachet + Grass</v>
          </cell>
          <cell r="T11" t="str">
            <v>Rajni ( 14 Inch ) 22     Grass</v>
          </cell>
        </row>
        <row r="12">
          <cell r="A12">
            <v>2240</v>
          </cell>
          <cell r="B12" t="str">
            <v>Somyasmita Juneja</v>
          </cell>
          <cell r="C12">
            <v>9650213304</v>
          </cell>
          <cell r="D12" t="str">
            <v xml:space="preserve">DX-136, Kendriya Vihar
</v>
          </cell>
          <cell r="H12">
            <v>1450</v>
          </cell>
          <cell r="J12" t="str">
            <v>Bliss</v>
          </cell>
          <cell r="T12" t="str">
            <v>Mix Spray Daisy 5     Grass</v>
          </cell>
        </row>
        <row r="13">
          <cell r="A13">
            <v>2373</v>
          </cell>
          <cell r="B13" t="str">
            <v>Richa Sood</v>
          </cell>
          <cell r="C13">
            <v>9599318190</v>
          </cell>
          <cell r="D13" t="str">
            <v>B-2104, Elevate Appartments, Sec 59</v>
          </cell>
          <cell r="E13" t="str">
            <v>Ghata</v>
          </cell>
          <cell r="F13" t="str">
            <v>Saturday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Hold for 2 weeks (22/12) Skip 1 wek (17/03) No Sunflower (26/03) Skip 2 week (13/07) Skip 1 week (20/08) Hold today (27/12) Skip 1 week (19/01) Skip 1 week (26/02) Skip 1 week (31/03) Skip 1 week (21/06)</v>
          </cell>
          <cell r="L13" t="str">
            <v>Sunflower</v>
          </cell>
          <cell r="N13" t="str">
            <v>1  del of this cycle   -   0 -cycles pmnt   Completed - Collect 0</v>
          </cell>
          <cell r="O13" t="str">
            <v>Mix Glad 9     FF Sachet + Grass</v>
          </cell>
          <cell r="P13" t="str">
            <v>P n W Glad ( 14 Inch ) 9     Grass</v>
          </cell>
          <cell r="Q13" t="str">
            <v>B Daisy ( 12 Inch ) 9     Grass</v>
          </cell>
          <cell r="R13" t="e">
            <v>#N/A</v>
          </cell>
          <cell r="S13" t="str">
            <v>O Asiatic ( 14 Inch ) 2     Grass</v>
          </cell>
          <cell r="T13" t="str">
            <v>R n W Car ( 14 Inch ) 16     FF sachet + Car</v>
          </cell>
        </row>
        <row r="14">
          <cell r="A14">
            <v>3390</v>
          </cell>
          <cell r="B14" t="str">
            <v>Rajpal Singh</v>
          </cell>
          <cell r="C14">
            <v>8800344225</v>
          </cell>
          <cell r="D14" t="str">
            <v>F-2, Greenwood City, Sec 46</v>
          </cell>
          <cell r="E14" t="str">
            <v>Sector 46</v>
          </cell>
          <cell r="F14" t="str">
            <v>Saturday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N14" t="str">
            <v>3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str">
            <v>Pur n P car ( 14 Inch ) 16     FF Sachet + Grass</v>
          </cell>
          <cell r="S14" t="str">
            <v>P Asiatic ( 14 Inch ) 3     Grass</v>
          </cell>
          <cell r="T14" t="str">
            <v>Rajni ( 14 Inch ) 16     Grass</v>
          </cell>
        </row>
        <row r="15">
          <cell r="A15">
            <v>2853</v>
          </cell>
          <cell r="B15" t="str">
            <v>Mohini Jain</v>
          </cell>
          <cell r="C15">
            <v>9810905651</v>
          </cell>
          <cell r="D15" t="str">
            <v>B1/204, PWO Appartment, Sec 43</v>
          </cell>
          <cell r="E15" t="str">
            <v>Huda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10% Discount for 12 Del (02/08) Paytm from V Mohini (21/03)</v>
          </cell>
          <cell r="N15" t="str">
            <v>1  del of this cycle   -  1-cycles pmnt   Pending - Collect 1450</v>
          </cell>
          <cell r="O15" t="str">
            <v>Sunflower ( 12 Inch ) 2 Rajni 7   FF Sachet + Grass</v>
          </cell>
          <cell r="P15" t="str">
            <v>Y Asiatic ( 14 inch ) 2 P n W Glad ( 14 Inch ) 7   Grass</v>
          </cell>
          <cell r="Q15" t="str">
            <v>Pur Eustoma ( 12 Inch ) 2 B Daisy ( 12 Inch ) 7 Collect Payment Collect Payment Grass</v>
          </cell>
          <cell r="R15" t="str">
            <v>P Spray Daisy ( 14 Inch ) 3 Pur n P Car ( 14 Inch ) 7 Ensure Collection Ensure Collection FF Sachet + Grass</v>
          </cell>
          <cell r="S15" t="str">
            <v>Sunflower ( 12 Inch ) 2 P n W Glad ( 14 Inch ) 7   FF Sachet + Grass</v>
          </cell>
          <cell r="T15" t="str">
            <v>P Asiatic ( 14 Inch ) 2 Rajni ( 14 inch ) 7   Grass</v>
          </cell>
        </row>
        <row r="16">
          <cell r="A16">
            <v>2361</v>
          </cell>
          <cell r="B16" t="str">
            <v>Navjot Kaur</v>
          </cell>
          <cell r="C16">
            <v>9818661431</v>
          </cell>
          <cell r="D16" t="str">
            <v>T-1/106, Sushant Estate</v>
          </cell>
          <cell r="E16" t="str">
            <v>Sushant Estate</v>
          </cell>
          <cell r="F16" t="str">
            <v>Saturday</v>
          </cell>
          <cell r="G16" t="str">
            <v>9 AM - 12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v>
          </cell>
          <cell r="N16" t="str">
            <v>1  del of this cycle   -  1-cycles pmnt   Pending - Collect 1450</v>
          </cell>
          <cell r="O16" t="e">
            <v>#N/A</v>
          </cell>
          <cell r="P16" t="str">
            <v>O n P Car ( 14 Inch ) 9     FF Sachet + Grass</v>
          </cell>
          <cell r="Q16" t="str">
            <v>P n W Glad ( 14 Inch ) 9     Grass</v>
          </cell>
          <cell r="R16" t="str">
            <v>P Spray Daisy ( 14 Inch ) 3     FF Sachet + Grass</v>
          </cell>
          <cell r="S16" t="e">
            <v>#N/A</v>
          </cell>
          <cell r="T16" t="str">
            <v>O Asiatic ( 14 Inch ) 3     Grass</v>
          </cell>
        </row>
        <row r="17">
          <cell r="A17">
            <v>3138</v>
          </cell>
          <cell r="B17" t="str">
            <v>Alpna Verma</v>
          </cell>
          <cell r="C17">
            <v>9811996368</v>
          </cell>
          <cell r="D17" t="str">
            <v>B-70, Sushant Lok Phase 1, Next to Vipul Square, Enter gaye no. 4</v>
          </cell>
          <cell r="E17" t="str">
            <v>M G Road</v>
          </cell>
          <cell r="F17" t="str">
            <v>Tuesday</v>
          </cell>
          <cell r="G17" t="str">
            <v>9 AM - 12 PM</v>
          </cell>
          <cell r="H17">
            <v>2300</v>
          </cell>
          <cell r="I17">
            <v>287.5</v>
          </cell>
          <cell r="J17" t="str">
            <v>Felicity</v>
          </cell>
          <cell r="K17" t="str">
            <v>Day Changed ro Tuesday and Saturday (22/03)Single Color Flowers (01/12)</v>
          </cell>
          <cell r="M17" t="str">
            <v>Single Color Flowers</v>
          </cell>
          <cell r="N17" t="str">
            <v>7  del of this cycle   -  0-cycles pmnt   Completed - Collect 0</v>
          </cell>
          <cell r="O17" t="e">
            <v>#N/A</v>
          </cell>
          <cell r="P17" t="e">
            <v>#N/A</v>
          </cell>
          <cell r="Q17" t="str">
            <v>B Daisy ( 12 Inch ) 11     Grass</v>
          </cell>
          <cell r="R17" t="str">
            <v>P Asiatic ( 14 Inch ) 2     Grass</v>
          </cell>
          <cell r="S17" t="str">
            <v>P Glad ( 14 Inch )  11 One Color Flower    FF Sachet + Grass</v>
          </cell>
          <cell r="T17" t="str">
            <v>Shd Pur Car ( 14 Inch ) 11     FF Sachet + Grass</v>
          </cell>
        </row>
        <row r="18">
          <cell r="A18">
            <v>796</v>
          </cell>
          <cell r="B18" t="str">
            <v>Isha Tyagi</v>
          </cell>
          <cell r="C18">
            <v>9711508206</v>
          </cell>
          <cell r="D18" t="str">
            <v>C-22-A, 2nd Floor,Aardee City</v>
          </cell>
          <cell r="E18" t="str">
            <v>Sushant Estate</v>
          </cell>
          <cell r="F18" t="str">
            <v>Saturday</v>
          </cell>
          <cell r="G18" t="str">
            <v>9 AM - 12 PM</v>
          </cell>
          <cell r="H18">
            <v>1950</v>
          </cell>
          <cell r="I18">
            <v>487.5</v>
          </cell>
          <cell r="J18" t="str">
            <v>Joy</v>
          </cell>
          <cell r="K18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18" t="str">
            <v>3  del of this cycle   -  1-cycles pmnt   Pending - Collect 1950</v>
          </cell>
          <cell r="O18" t="str">
            <v>P n Y Spray Daisy ( 14 Inch ) 7     FF Sachet + Grass</v>
          </cell>
          <cell r="P18" t="str">
            <v>P n W Glad ( 14 Inch ) 22     Grass</v>
          </cell>
          <cell r="Q18" t="str">
            <v>P n Pur Eustoma ( 12 Inch ) 4     FF Sachet + Grass</v>
          </cell>
          <cell r="R18" t="str">
            <v>Pur n P car ( 14 Inch ) 22     FF Sachet + Grass</v>
          </cell>
          <cell r="S18" t="str">
            <v>W Asiatic ( 14 Inch ) 4     Grass</v>
          </cell>
          <cell r="T18" t="str">
            <v>Mix Alstroemeria ( 12 Inch ) 22    Ensure Collection FF sachet + Car</v>
          </cell>
        </row>
        <row r="19">
          <cell r="A19">
            <v>169</v>
          </cell>
          <cell r="B19" t="str">
            <v>Suniti Banga -- Before 11 AM</v>
          </cell>
          <cell r="C19">
            <v>9810282649</v>
          </cell>
          <cell r="D19" t="str">
            <v>A-3/1102, Uniworld City Sector 30</v>
          </cell>
          <cell r="E19" t="str">
            <v>South City 1</v>
          </cell>
          <cell r="F19" t="str">
            <v>Saturday</v>
          </cell>
          <cell r="G19" t="str">
            <v>9 AM - 12 PM</v>
          </cell>
          <cell r="H19">
            <v>3750</v>
          </cell>
          <cell r="I19">
            <v>937.5</v>
          </cell>
          <cell r="J19" t="str">
            <v>Savor</v>
          </cell>
          <cell r="K19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19" t="str">
            <v>3  del of this cycle   -  0-cycles pmnt   Completed - Collect 0</v>
          </cell>
          <cell r="O19" t="str">
            <v>Pur n P Eustoma ( 12 Inch ) 4 Rajni 15   2 Limonium + FF Sachet</v>
          </cell>
          <cell r="P19" t="str">
            <v>Y Asiatic ( 14 inch ) 4 Pur n p Car ( 14 inch ) 21   2 Gypsola + FF Sachet</v>
          </cell>
          <cell r="Q19" t="e">
            <v>#N/A</v>
          </cell>
          <cell r="R19" t="e">
            <v>#N/A</v>
          </cell>
          <cell r="S19" t="str">
            <v xml:space="preserve">W Oriental ( 15 Inch ) 3 P n W Glad ( 14 Inch ) 15   2 Limonium </v>
          </cell>
          <cell r="T19" t="str">
            <v>P Asiatic ( 14 Inch ) 4 Mix Alstroemeria ( 12  Inch ) 20   2 Gypsola</v>
          </cell>
        </row>
        <row r="20">
          <cell r="A20">
            <v>1063</v>
          </cell>
          <cell r="B20" t="str">
            <v>Sarika Bhattacharya</v>
          </cell>
          <cell r="C20">
            <v>9899457726</v>
          </cell>
          <cell r="D20" t="str">
            <v>T2/1404, The Palms</v>
          </cell>
          <cell r="E20" t="str">
            <v>South City 1</v>
          </cell>
          <cell r="F20" t="str">
            <v>Saturday</v>
          </cell>
          <cell r="G20" t="str">
            <v>9 AM to 2 PM</v>
          </cell>
          <cell r="H20">
            <v>1600</v>
          </cell>
          <cell r="I20">
            <v>200</v>
          </cell>
          <cell r="J20" t="str">
            <v>Bloom</v>
          </cell>
          <cell r="K20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str">
            <v>Pur n P Car ( 14 Inch ) 7     FF Sachet + Grass</v>
          </cell>
          <cell r="T20" t="str">
            <v>Rajni ( 14 Inch ) 7     Grass</v>
          </cell>
        </row>
        <row r="21">
          <cell r="A21">
            <v>2390</v>
          </cell>
          <cell r="B21" t="str">
            <v xml:space="preserve">Richa Sawhney </v>
          </cell>
          <cell r="C21">
            <v>9801727902</v>
          </cell>
          <cell r="D21" t="str">
            <v>T-2/902, Unitech palms, South City 1</v>
          </cell>
          <cell r="E21" t="str">
            <v>South City 1</v>
          </cell>
          <cell r="F21" t="str">
            <v>Saturday</v>
          </cell>
          <cell r="G21" t="str">
            <v>9 AM to 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Hold n start from 10th (22/09) Skip 1 week (24/12) HDTNP (06/06)</v>
          </cell>
          <cell r="N21" t="str">
            <v>2  del of this cycle   -  0-cycles pmnt   Completed - Collect 0</v>
          </cell>
          <cell r="O21" t="str">
            <v>P n W Glad ( 14 Inch ) 9     Grass</v>
          </cell>
          <cell r="P21" t="str">
            <v>R n P Car ( 14 Inch ) 9     FF Sachet + Grass</v>
          </cell>
          <cell r="Q21" t="str">
            <v>B Daisy ( 12 Inch ) 9     Grass</v>
          </cell>
          <cell r="R21" t="str">
            <v>P Asiatic ( 14 Inch ) 2     Grass</v>
          </cell>
          <cell r="S21" t="str">
            <v>P n W Glad ( 14 Inch ) 16     Grass</v>
          </cell>
          <cell r="T21" t="str">
            <v>P n Y Spray Daisy ( 14 Inch ) 5     FF sachet + Car</v>
          </cell>
        </row>
        <row r="22">
          <cell r="A22">
            <v>1975</v>
          </cell>
          <cell r="B22" t="str">
            <v>Nidhee pathak</v>
          </cell>
          <cell r="C22" t="str">
            <v>98734 25980</v>
          </cell>
          <cell r="D22" t="str">
            <v>1602, Tower-3,The Palms
South City-1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2" t="str">
            <v>ROSE</v>
          </cell>
          <cell r="N22" t="str">
            <v>1  del of this cycle   -  1-cycles pmnt   Pending - Collect 1950</v>
          </cell>
          <cell r="O22" t="str">
            <v>Mix Car 22     FF Sachet + Grass</v>
          </cell>
          <cell r="P22" t="str">
            <v>P n Pur Eustoma ( 12 Inch ) 4     FF Sachet + Grass</v>
          </cell>
          <cell r="Q22" t="str">
            <v>B Daisy ( 12 Inch ) 22     Grass</v>
          </cell>
          <cell r="R22" t="str">
            <v>P n W Glad ( 14 Inch ) 22     Grass</v>
          </cell>
          <cell r="S22" t="str">
            <v>W Asiatic ( 14 Inch ) 4     Grass</v>
          </cell>
          <cell r="T22" t="str">
            <v>Sunflower ( 12 Inch ) 5     FF sachet + Car</v>
          </cell>
        </row>
        <row r="23">
          <cell r="A23">
            <v>212</v>
          </cell>
          <cell r="B23" t="str">
            <v>Shalini Sinha</v>
          </cell>
          <cell r="C23">
            <v>9810453173</v>
          </cell>
          <cell r="D23" t="str">
            <v>A4/602, World Spa East</v>
          </cell>
          <cell r="E23" t="str">
            <v>South City 1</v>
          </cell>
          <cell r="F23" t="str">
            <v>Saturday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23" t="str">
            <v xml:space="preserve">ORCHID n GLAD </v>
          </cell>
          <cell r="N23" t="str">
            <v>4  del of this cycle   -  0-cycles pmnt   Completed - Collect 0</v>
          </cell>
          <cell r="O23" t="str">
            <v>Sunflower ( 12 Inch ) 2     FF Sachet + Grass</v>
          </cell>
          <cell r="P23" t="str">
            <v>P Spray Daisy ( 14 Inch ) 3     FF Sachet + Grass</v>
          </cell>
          <cell r="Q23" t="e">
            <v>#N/A</v>
          </cell>
          <cell r="R23" t="str">
            <v>Pur n P car ( 14 Inch ) 16     FF Sachet + Grass</v>
          </cell>
          <cell r="S23" t="str">
            <v>W Asiatic ( 14 Inch ) 3     Grass</v>
          </cell>
          <cell r="T23" t="str">
            <v>Mix Alstroemeria ( 12 Inch ) 16     FF sachet + Car</v>
          </cell>
        </row>
        <row r="24">
          <cell r="A24">
            <v>3372</v>
          </cell>
          <cell r="B24" t="str">
            <v>Anabhra Mishra</v>
          </cell>
          <cell r="C24">
            <v>9519954064</v>
          </cell>
          <cell r="D24" t="str">
            <v>E-504, Sujjan Vihar</v>
          </cell>
          <cell r="E24" t="str">
            <v>DLF Phase 5</v>
          </cell>
          <cell r="F24" t="str">
            <v>Saturday</v>
          </cell>
          <cell r="G24" t="str">
            <v>9 AM to 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Eustoma next (12/06)</v>
          </cell>
          <cell r="M24" t="str">
            <v>Eustoma next (12/06)</v>
          </cell>
          <cell r="N24" t="str">
            <v>3  del of this cycle   -  0-cycles pmnt   Completed - Collect 0</v>
          </cell>
          <cell r="O24" t="str">
            <v>P n W Glad ( 14 Inch ) 16     Grass</v>
          </cell>
          <cell r="P24" t="str">
            <v>Pur Eustoma ( 12 Inch ) 3     FF Sachet + Grass</v>
          </cell>
          <cell r="Q24" t="str">
            <v>P n Y Spray Daisy ( 14 Inch ) 5     FF Sachet + Grass</v>
          </cell>
          <cell r="R24" t="e">
            <v>#N/A</v>
          </cell>
          <cell r="S24" t="str">
            <v>Pur n P Car ( 14 Inch ) 16     FF Sachet + Grass</v>
          </cell>
          <cell r="T24" t="str">
            <v>P Asiatic ( 14 Inch ) 3     Grass</v>
          </cell>
        </row>
        <row r="25">
          <cell r="A25">
            <v>59</v>
          </cell>
          <cell r="B25" t="str">
            <v>Ms. Payel</v>
          </cell>
          <cell r="C25">
            <v>9871370096</v>
          </cell>
          <cell r="D25" t="str">
            <v xml:space="preserve">  I-1001, Mapple Heights, Sushant lok-1</v>
          </cell>
          <cell r="E25" t="str">
            <v>M G Road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25" t="str">
            <v>2  del of this cycle   -  1-cycles pmnt   Pending - Collect 1450</v>
          </cell>
          <cell r="O25" t="str">
            <v>Mix Glad 16     FF Sachet + Grass</v>
          </cell>
          <cell r="P25" t="str">
            <v>Pur Eustoma ( 12 Inch ) 3     FF Sachet + Grass</v>
          </cell>
          <cell r="Q25" t="str">
            <v>B Daisy ( 12 Inch ) 16     Grass</v>
          </cell>
          <cell r="R25" t="str">
            <v>Pur n P car ( 14 Inch ) 16     FF Sachet + Grass</v>
          </cell>
          <cell r="S25" t="str">
            <v>Sunflower ( 12 Inch ) 4     FF Sachet + Grass</v>
          </cell>
          <cell r="T25" t="str">
            <v>Rajni ( 14 Inch ) 16    Ensure Collection Grass</v>
          </cell>
        </row>
        <row r="26">
          <cell r="A26">
            <v>3132</v>
          </cell>
          <cell r="B26" t="str">
            <v>Ramesh Kapoor</v>
          </cell>
          <cell r="C26">
            <v>9717416100</v>
          </cell>
          <cell r="D26" t="str">
            <v>T-6/1404, The Palms, South City 1</v>
          </cell>
          <cell r="E26" t="str">
            <v>South City 1</v>
          </cell>
          <cell r="F26" t="str">
            <v>Tuesday</v>
          </cell>
          <cell r="G26" t="str">
            <v>9 AM - 12 PM</v>
          </cell>
          <cell r="H26">
            <v>2300</v>
          </cell>
          <cell r="I26">
            <v>287.5</v>
          </cell>
          <cell r="J26" t="str">
            <v>Felicity</v>
          </cell>
          <cell r="K26" t="str">
            <v>Paytm From Anuradha Kapoor - Anu Kapoor (04/11) Premium tom (13/11) Replacement tom (21/04) 10 % Discint given (15/06) Today hold n sned tom (20/06) Today returned and skip Tuesday also (27/06)</v>
          </cell>
          <cell r="M26" t="str">
            <v>Premium Next (13/11)</v>
          </cell>
          <cell r="N26" t="str">
            <v>6  del of this cycle   -  0-cycles pmnt   Completed - Collect 40</v>
          </cell>
          <cell r="O26" t="e">
            <v>#N/A</v>
          </cell>
          <cell r="P26" t="e">
            <v>#N/A</v>
          </cell>
          <cell r="Q26" t="str">
            <v>B Daisy ( 12 Inch ) 7     Grass</v>
          </cell>
          <cell r="R26" t="str">
            <v>Pur n P car ( 14 Inch ) 11     FF Sachet + Grass</v>
          </cell>
          <cell r="S26" t="str">
            <v>Pur n P Car ( 14 Inch ) 11     FF Sachet + Grass</v>
          </cell>
          <cell r="T26" t="str">
            <v>O Asiatic ( 14 Inch ) 2     Grass</v>
          </cell>
        </row>
        <row r="27">
          <cell r="A27">
            <v>1965</v>
          </cell>
          <cell r="B27" t="str">
            <v>Karan Kumar</v>
          </cell>
          <cell r="C27">
            <v>7769040473</v>
          </cell>
          <cell r="D27" t="str">
            <v>T-9/008, Heritage City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7" t="str">
            <v>3  del of this cycle   -  1-cycles pmnt   Pending - Collect 2750</v>
          </cell>
          <cell r="O27" t="str">
            <v>P n Y Spray Daisy ( 14 Inch ) 5 Rajni 16   2 Gypsola + FF Sachet</v>
          </cell>
          <cell r="P27" t="e">
            <v>#N/A</v>
          </cell>
          <cell r="Q27" t="e">
            <v>#N/A</v>
          </cell>
          <cell r="R27" t="str">
            <v>Sunflower ( 14 Inch ) 4 Pur n P Car ( 14 Inch ) 16   2 Limonium + FF sachet</v>
          </cell>
          <cell r="S27" t="str">
            <v xml:space="preserve">W Asiatic ( 14 Inch ) 3 P n W Glad ( 14 Inch ) 16   2 Gypsola </v>
          </cell>
          <cell r="T27" t="str">
            <v xml:space="preserve">P n Y Spray Daisy ( 14 Inch ) 5 Rajni ( 14 inch ) 16  Ensure Collection 2 Gypsola + FF sachet </v>
          </cell>
        </row>
        <row r="28">
          <cell r="A28">
            <v>2232</v>
          </cell>
          <cell r="B28" t="str">
            <v xml:space="preserve">Smita Halder </v>
          </cell>
          <cell r="C28">
            <v>9687638449</v>
          </cell>
          <cell r="D28" t="str">
            <v>1st floor, plot 65
Opposite ardee school 
Ardee city gate 3</v>
          </cell>
          <cell r="E28" t="str">
            <v>Sushant Estate</v>
          </cell>
          <cell r="F28" t="str">
            <v>Saturday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8" t="str">
            <v>4  del of this cycle   -  0-cycles pmnt   Completed - Collect 0</v>
          </cell>
          <cell r="O28" t="e">
            <v>#N/A</v>
          </cell>
          <cell r="P28" t="str">
            <v>P n W Glad ( 14 Inch ) 16     Grass</v>
          </cell>
          <cell r="Q28" t="str">
            <v>P Eustoma ( 12 Inch ) 3     Grass</v>
          </cell>
          <cell r="R28" t="str">
            <v>Pur n P car ( 14 Inch ) 16     FF Sachet + Grass</v>
          </cell>
          <cell r="S28" t="str">
            <v>O Asiatic ( 14 Inch ) 3     Grass</v>
          </cell>
          <cell r="T28" t="str">
            <v>Mix Car 16     Grass</v>
          </cell>
        </row>
        <row r="29">
          <cell r="A29">
            <v>2247</v>
          </cell>
          <cell r="B29" t="str">
            <v>Reeya Naahar</v>
          </cell>
          <cell r="C29">
            <v>9818862169</v>
          </cell>
          <cell r="D29" t="str">
            <v>B-316-B, Sushant Lok-1</v>
          </cell>
          <cell r="E29" t="str">
            <v>M G Road</v>
          </cell>
          <cell r="F29" t="str">
            <v>Saturday</v>
          </cell>
          <cell r="G29" t="str">
            <v>9:30 AM to 2PM</v>
          </cell>
          <cell r="H29">
            <v>2300</v>
          </cell>
          <cell r="I29">
            <v>287.5</v>
          </cell>
          <cell r="J29" t="str">
            <v>Felicity</v>
          </cell>
          <cell r="K29" t="str">
            <v>Saturday n Tuesday// No Yel Spray Daisy // Do not count last del (06/07) No Gerbera (12/04)</v>
          </cell>
          <cell r="L29" t="str">
            <v>GERBERA</v>
          </cell>
          <cell r="N29" t="str">
            <v>7  del of this cycle   -  0-cycles pmnt   In Process - Collect 0</v>
          </cell>
          <cell r="O29" t="str">
            <v>Mix Car 11     FF Sachet + Grass</v>
          </cell>
          <cell r="P29" t="str">
            <v>Mix Alstroemeria ( 12 Inch ) 11     FF Sachet + Grass</v>
          </cell>
          <cell r="Q29" t="str">
            <v>B Daisy ( 12 Inch ) 11     Grass</v>
          </cell>
          <cell r="R29" t="str">
            <v>O Asiatic ( 14 Inch ) 2     Grass</v>
          </cell>
          <cell r="S29" t="str">
            <v>Sunflower ( 12 Inch ) 3     FF Sachet + Grass</v>
          </cell>
          <cell r="T29" t="str">
            <v>Rajni ( 14 Inch ) 11     Grass</v>
          </cell>
        </row>
        <row r="30">
          <cell r="A30">
            <v>2937</v>
          </cell>
          <cell r="B30" t="str">
            <v>Vani Kalra</v>
          </cell>
          <cell r="C30">
            <v>9810121070</v>
          </cell>
          <cell r="D30" t="str">
            <v>B-644, Sushant Lok-1</v>
          </cell>
          <cell r="E30" t="str">
            <v>M G Road</v>
          </cell>
          <cell r="F30" t="str">
            <v>Saturday</v>
          </cell>
          <cell r="G30" t="str">
            <v>9 AM - 12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Day Changed to Tuesday and shared Location</v>
          </cell>
          <cell r="M30" t="str">
            <v>Location</v>
          </cell>
          <cell r="N30" t="str">
            <v>2  del of this cycle   -  0-cycles pmnt   Completed - Collect 0</v>
          </cell>
          <cell r="O30" t="str">
            <v>Pur Eustoma ( 12 Inch ) 2 Rajni 11   FF Sachet + Grass</v>
          </cell>
          <cell r="P30" t="str">
            <v>P n Y Spray Daisy ( 14 Inch ) 4 P n W Glad ( 14 Inch ) 11   FF Sachet + Grass</v>
          </cell>
          <cell r="Q30" t="str">
            <v>P Asiatic ( 14 Inch ) 2 B Daisy ( 12 Inch ) 11   Grass</v>
          </cell>
          <cell r="R30" t="str">
            <v>Sunflower ( 14 Inch ) 3 Pur n P Car ( 14 Inch ) 11   FF Sachet + Grass</v>
          </cell>
          <cell r="S30" t="str">
            <v>BOP 2 Rajni ( 14 Inch ) 11   Grass</v>
          </cell>
          <cell r="T30" t="str">
            <v>P n W Spray Daisy ( 14 Inch ) 4 P n W Glad ( 14 Inch ) 11   FF sachet + Car</v>
          </cell>
        </row>
        <row r="31">
          <cell r="A31">
            <v>3089</v>
          </cell>
          <cell r="B31" t="str">
            <v>Anshu Sonkar</v>
          </cell>
          <cell r="C31">
            <v>9319410163</v>
          </cell>
          <cell r="D31" t="str">
            <v>C-561, 4th Floor, Sushant Lok Phase 1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31" t="str">
            <v>Car</v>
          </cell>
          <cell r="N31" t="str">
            <v>2  del of this cycle   -  0-cycles pmnt   Completed - Collect 0</v>
          </cell>
          <cell r="O31" t="e">
            <v>#N/A</v>
          </cell>
          <cell r="P31" t="e">
            <v>#N/A</v>
          </cell>
          <cell r="Q31" t="str">
            <v>R n G Car ( 14 Inch ) 16     FF Sachet + Grass</v>
          </cell>
          <cell r="R31" t="e">
            <v>#N/A</v>
          </cell>
          <cell r="S31" t="e">
            <v>#N/A</v>
          </cell>
          <cell r="T31" t="str">
            <v>O Asiatic ( 14 Inch ) 2     Grass</v>
          </cell>
        </row>
        <row r="32">
          <cell r="A32">
            <v>318</v>
          </cell>
          <cell r="B32" t="str">
            <v>Kalyani Rajan</v>
          </cell>
          <cell r="C32">
            <v>9811021884</v>
          </cell>
          <cell r="D32" t="str">
            <v>9/106, Heritage City, M G Road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999</v>
          </cell>
          <cell r="I32">
            <v>249.75</v>
          </cell>
          <cell r="J32" t="str">
            <v>Delight</v>
          </cell>
          <cell r="K32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2" t="str">
            <v>GERBERA</v>
          </cell>
          <cell r="M32" t="str">
            <v>Vase Tom (22/05)</v>
          </cell>
          <cell r="N32" t="str">
            <v>4  del of this cycle   -  0-cycles pmnt   Completed - Collect 0</v>
          </cell>
          <cell r="O32" t="str">
            <v>Pur n P Car ( 14 Inch ) 9     FF Sachet + Grass</v>
          </cell>
          <cell r="P32" t="str">
            <v>Sunflower ( 12 Inch ) 2     FF Sachet + Grass</v>
          </cell>
          <cell r="Q32" t="str">
            <v>P n W Glad ( 14 Inch ) 9     Grass</v>
          </cell>
          <cell r="R32" t="str">
            <v>Rajni ( 12 Inch ) 9     Grass</v>
          </cell>
          <cell r="S32" t="str">
            <v>P Asiatic ( 14 Inch ) 2     Grass</v>
          </cell>
          <cell r="T32" t="str">
            <v xml:space="preserve">R n W Car ( 14 Inch ) 9     </v>
          </cell>
        </row>
        <row r="33">
          <cell r="A33">
            <v>846</v>
          </cell>
          <cell r="B33" t="str">
            <v>Deep Bajaj</v>
          </cell>
          <cell r="C33">
            <v>9899059999</v>
          </cell>
          <cell r="D33" t="str">
            <v>B-2002, Pioneer Presidia,Sec-62, Near Pioneer Square</v>
          </cell>
          <cell r="E33" t="str">
            <v>Ghata</v>
          </cell>
          <cell r="F33" t="str">
            <v>Saturday</v>
          </cell>
          <cell r="G33" t="str">
            <v>9 AM - 12 PM</v>
          </cell>
          <cell r="H33">
            <v>4750</v>
          </cell>
          <cell r="I33">
            <v>1187.5</v>
          </cell>
          <cell r="J33" t="str">
            <v>Enchantment</v>
          </cell>
          <cell r="K33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33" t="str">
            <v>1  del of this cycle   -  0-cycles pmnt   In Process - Collect 0</v>
          </cell>
          <cell r="O33" t="e">
            <v>#N/A</v>
          </cell>
          <cell r="P33" t="str">
            <v>Y Asiatic + P n Pur Eustoma 3 + 4 Mix Alstroemeria + P n W Glad 12 + 12 P Orchid +  Fish Tail 5 + 5 5 Areca palm + 3 Gypsola + 3 Limonum</v>
          </cell>
          <cell r="Q33" t="str">
            <v>P Asiatiic + BOP 3 + 4 Rajni + P n W Glad 12 + 12 B Daisy 10 5 Areca Palm + 3 Gypsola + 3 Limonium</v>
          </cell>
          <cell r="R33" t="str">
            <v>P Asiatic + Eustoma 3 + 3 Rajni + P n W Glad 12 + 12 B daisy  8 5 Areca palm + 3 Gypsola + 3 + 3 Limonium</v>
          </cell>
          <cell r="S33" t="str">
            <v>W Asiatic + Mix Anthurium  3 + 4 Pur n P Car + Mix Alstroemeria 12 + 12 BOP 3 5 Areca palm + 3 Gypsola + 3 Limonium</v>
          </cell>
          <cell r="T33" t="str">
            <v>O Asiatic + G n W Spray Daisy 3 + 4 Rajni + B Daisy  12 + 12 W Orchid  5 5 Areca Palm + 3 Gypsola + 3 Limonium</v>
          </cell>
        </row>
        <row r="34">
          <cell r="A34">
            <v>1281</v>
          </cell>
          <cell r="B34" t="str">
            <v>Shawlinee</v>
          </cell>
          <cell r="C34">
            <v>9818993372</v>
          </cell>
          <cell r="D34" t="str">
            <v>17/501, Heritage City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Rajni Next (07/11) Replacement tom (12/07) 5 Pur Orchid (30/09) Skip 1 week (20/11) 1000 received as cash on 05th Aug (09/08) Change to bliss now (03/10) Shift to Delight now (15/10)</v>
          </cell>
          <cell r="M34" t="str">
            <v>Shift to Delight now (15/10</v>
          </cell>
          <cell r="N34" t="str">
            <v>3  del of this cycle   -  0-cycles pmnt   Completed - Collect 0</v>
          </cell>
          <cell r="O34" t="e">
            <v>#N/A</v>
          </cell>
          <cell r="P34" t="e">
            <v>#N/A</v>
          </cell>
          <cell r="Q34" t="e">
            <v>#N/A</v>
          </cell>
          <cell r="R34" t="str">
            <v>Pur n P car ( 14 Inch ) 16     FF Sachet + Grass</v>
          </cell>
          <cell r="S34" t="str">
            <v>O Asiatic ( 14 Inch ) 3     Grass</v>
          </cell>
          <cell r="T34" t="str">
            <v>Rajni ( 14 Inch ) 16     Grass</v>
          </cell>
        </row>
        <row r="35">
          <cell r="A35">
            <v>3403</v>
          </cell>
          <cell r="B35" t="str">
            <v>Tanuka Neogi</v>
          </cell>
          <cell r="C35">
            <v>9599908305</v>
          </cell>
          <cell r="D35" t="str">
            <v>T-A/1201 A, Pioneer Presidia</v>
          </cell>
          <cell r="E35" t="str">
            <v>Ghata</v>
          </cell>
          <cell r="F35" t="str">
            <v>Saturday</v>
          </cell>
          <cell r="G35" t="str">
            <v>9:30 Am to 2 PM</v>
          </cell>
          <cell r="H35">
            <v>1450</v>
          </cell>
          <cell r="I35">
            <v>362.5</v>
          </cell>
          <cell r="J35" t="str">
            <v>Bliss</v>
          </cell>
          <cell r="N35" t="str">
            <v>1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str">
            <v>Pur n P Car ( 14 Inch ) 16     FF sachet + Car</v>
          </cell>
        </row>
        <row r="36">
          <cell r="A36">
            <v>3327</v>
          </cell>
          <cell r="B36" t="str">
            <v>Yasha Jain</v>
          </cell>
          <cell r="C36">
            <v>9731958033</v>
          </cell>
          <cell r="D36" t="str">
            <v>Tower -E/1801 , Pioneer Presidia</v>
          </cell>
          <cell r="E36" t="str">
            <v>Ghata</v>
          </cell>
          <cell r="F36" t="str">
            <v>Saturday</v>
          </cell>
          <cell r="G36" t="str">
            <v>9 AM to 2 PM</v>
          </cell>
          <cell r="H36">
            <v>1450</v>
          </cell>
          <cell r="I36">
            <v>362.5</v>
          </cell>
          <cell r="J36" t="str">
            <v>Bliss</v>
          </cell>
          <cell r="N36" t="str">
            <v>1  del of this cycle   -  0-cycles pmnt   Completed - Collect 0</v>
          </cell>
          <cell r="O36" t="str">
            <v>P n W Glad ( 14 Inch ) 16     Grass</v>
          </cell>
          <cell r="P36" t="str">
            <v>P Eustoma ( 12 Inch ) 3     FF Sachet + Grass</v>
          </cell>
          <cell r="Q36" t="str">
            <v>P n Y Spray Daisy ( 14 Inch ) 5     FF Sachet + Grass</v>
          </cell>
          <cell r="R36" t="str">
            <v>Pur n P car ( 14 Inch ) 16     FF Sachet + Grass</v>
          </cell>
          <cell r="S36" t="str">
            <v>W Asiatic ( 14 Inch ) 3     Grass</v>
          </cell>
          <cell r="T36" t="str">
            <v>Rajni ( 14 Inch ) 16     Grass</v>
          </cell>
        </row>
        <row r="37">
          <cell r="A37">
            <v>2542</v>
          </cell>
          <cell r="B37" t="str">
            <v>Ankita Jain</v>
          </cell>
          <cell r="C37">
            <v>9899133443</v>
          </cell>
          <cell r="D37" t="str">
            <v>B-778, 2nd Floor, Sushant Lok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37" t="str">
            <v>3  del of this cycle   -  0-cycles pmnt   CompletedNO COLLECTION-we have extra money - Collect -50</v>
          </cell>
          <cell r="O37" t="str">
            <v>Mix Car 9     FF Sachet + Grass</v>
          </cell>
          <cell r="P37" t="e">
            <v>#N/A</v>
          </cell>
          <cell r="Q37" t="e">
            <v>#N/A</v>
          </cell>
          <cell r="R37" t="str">
            <v>Mix Car 16     FF Sachet + Grass</v>
          </cell>
          <cell r="S37" t="str">
            <v>Rajni 16     FF Sachet + Grass</v>
          </cell>
          <cell r="T37" t="str">
            <v>O Asiatic ( 14 Inch ) 3     Grass</v>
          </cell>
        </row>
        <row r="38">
          <cell r="A38">
            <v>3083</v>
          </cell>
          <cell r="B38" t="str">
            <v>Meha Mittal</v>
          </cell>
          <cell r="C38">
            <v>8209473021</v>
          </cell>
          <cell r="D38" t="str">
            <v>B-2301, Emaar Digihomes, Sec 62</v>
          </cell>
          <cell r="E38" t="str">
            <v>Ghata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Skip 1 week (30/10) Skip 2 week (06/11) Skip 3 week (06/12) Skip 1 week (11/01) Skip 1 week (21/06) Don’t skip (26/06) 2 Asiatic extra next week (02/07)</v>
          </cell>
          <cell r="M38" t="str">
            <v>2 Asiatic extra next week (02/07)</v>
          </cell>
          <cell r="N38" t="str">
            <v>4  del of this cycle   -  0-cycles pmnt   Completed - Collect 0</v>
          </cell>
          <cell r="O38" t="e">
            <v>#N/A</v>
          </cell>
          <cell r="P38" t="e">
            <v>#N/A</v>
          </cell>
          <cell r="Q38" t="str">
            <v>P n W Glad ( 14 Inch ) 16     Grass</v>
          </cell>
          <cell r="R38" t="str">
            <v>O Asiatic ( 14 Inch ) 3     Grass</v>
          </cell>
          <cell r="S38" t="str">
            <v>W Asiatic ( 14 Inch ) 2 Pur n P Car ( 14 Inch ) 16   Grass</v>
          </cell>
          <cell r="T38" t="str">
            <v>P n Y Spray Daisy ( 14 Inch ) 5     FF sachet + Car</v>
          </cell>
        </row>
        <row r="39">
          <cell r="A39">
            <v>2060</v>
          </cell>
          <cell r="B39" t="str">
            <v>Shweta World Spa</v>
          </cell>
          <cell r="C39">
            <v>9971186475</v>
          </cell>
          <cell r="D39" t="str">
            <v>B4/602, World Spa West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9" t="str">
            <v>4  del of this cycle   -  0-cycles pmnt   Completed - Collect 0</v>
          </cell>
          <cell r="O39" t="str">
            <v>P n W Spray Daisy ( 14 Inch ) 5     FF Sachet + Grass</v>
          </cell>
          <cell r="P39" t="e">
            <v>#N/A</v>
          </cell>
          <cell r="Q39" t="e">
            <v>#N/A</v>
          </cell>
          <cell r="R39" t="str">
            <v>P n W car ( 14 Inch ) 16     FF Sachet + Grass</v>
          </cell>
          <cell r="S39" t="str">
            <v>W Asiatic ( 14 Inch ) 3     Grass</v>
          </cell>
          <cell r="T39" t="str">
            <v>Mix Alstroemeria ( 12 Inch ) 16     FF sachet + Car</v>
          </cell>
        </row>
        <row r="40">
          <cell r="A40">
            <v>2692</v>
          </cell>
          <cell r="B40" t="str">
            <v>A K Jain</v>
          </cell>
          <cell r="C40">
            <v>9910309930</v>
          </cell>
          <cell r="D40" t="str">
            <v>B-785, Sushant Lok-1, Near Police Chowki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2300</v>
          </cell>
          <cell r="I40">
            <v>287.5</v>
          </cell>
          <cell r="J40" t="str">
            <v>Felicity</v>
          </cell>
          <cell r="K40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40" t="str">
            <v>1  del of this cycle   -  0-cycles pmnt   Completed - Collect 0</v>
          </cell>
          <cell r="O40" t="str">
            <v>P n W Glad ( 14 Inch ) 11     Grass</v>
          </cell>
          <cell r="P40" t="str">
            <v>Sunflower ( 12 Inch ) 3     FF Sachet + Grass</v>
          </cell>
          <cell r="Q40" t="str">
            <v>B Daisy ( 12 Inch ) 11     Grass</v>
          </cell>
          <cell r="R40" t="str">
            <v>O Asiatic ( 14 Inch ) 2     Grass</v>
          </cell>
          <cell r="S40" t="str">
            <v>BOP ( 15 Inch ) 2     FF Sachet + Grass</v>
          </cell>
          <cell r="T40" t="str">
            <v>Sunflower ( 12 Inch ) 3     FF Sachet + Grass</v>
          </cell>
        </row>
        <row r="41">
          <cell r="A41">
            <v>3067</v>
          </cell>
          <cell r="B41" t="str">
            <v>Anna Thakran</v>
          </cell>
          <cell r="C41">
            <v>8137891064</v>
          </cell>
          <cell r="D41" t="str">
            <v>B1/83, Regency Park-1, DLF Phase 4</v>
          </cell>
          <cell r="E41" t="str">
            <v>DLF Phase 4</v>
          </cell>
          <cell r="F41" t="str">
            <v>Saturday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Day Changed to Saturday (22/03)Paytm Anna Tresa Jose Tharakan (08/11) Skip 1 week (21/11) Returned today (29/11) Skip 1 week (14/02) Skip 1 week (17/04) Today Hold (02/05)</v>
          </cell>
          <cell r="N41" t="str">
            <v>1  del of this cycle   -  1-cycles pmnt   Pending - Collect 1450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Pur n P Car ( 14 Inch ) 16     FF sachet + Car</v>
          </cell>
        </row>
        <row r="42">
          <cell r="A42">
            <v>975</v>
          </cell>
          <cell r="B42" t="str">
            <v>Ritu Sacheti</v>
          </cell>
          <cell r="C42">
            <v>9910007371</v>
          </cell>
          <cell r="D42" t="str">
            <v>B1/1401, World Spa, Sector 30</v>
          </cell>
          <cell r="E42" t="str">
            <v>South City 1</v>
          </cell>
          <cell r="F42" t="str">
            <v>Saturday</v>
          </cell>
          <cell r="G42" t="str">
            <v>9 AM - 12 PM</v>
          </cell>
          <cell r="H42">
            <v>3750</v>
          </cell>
          <cell r="I42">
            <v>468.75</v>
          </cell>
          <cell r="J42" t="str">
            <v>Grace</v>
          </cell>
          <cell r="K4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42" t="str">
            <v>GERBERA n SUNFLOWER</v>
          </cell>
          <cell r="N42" t="str">
            <v>2  del of this cycle   -  0-cycles pmnt   Completed - Collect 0</v>
          </cell>
          <cell r="O42" t="str">
            <v>Y Spray Daisy ( 14 Inch ) 3 P n W Glad ( 14 Inch ) 10   FF Sachet + Grass</v>
          </cell>
          <cell r="P42" t="str">
            <v>Pur Eustoma ( 12 Inch ) 3 Rajni ( 14 Inch ) 10   FF Sachet + Grass</v>
          </cell>
          <cell r="Q42" t="str">
            <v>P Asiatic ( 14 Inch ) 2 B Daisy ( 12 Inch ) 10   Grass</v>
          </cell>
          <cell r="R42" t="str">
            <v>Y Spray Daisy ( 14 Inch ) 3 P n W Glad ( 14 Inch ) 10   FF Sachet + Grass</v>
          </cell>
          <cell r="S42" t="str">
            <v>W Asiatic ( 14 Inch ) 2 Rajni ( 14 Inch ) 10   Grass</v>
          </cell>
          <cell r="T42" t="str">
            <v>P Sprya Daisy ( 14 Inch ) 3 P n W Glad ( 14 Inch ) 10   FF Sachet + Grass</v>
          </cell>
        </row>
        <row r="43">
          <cell r="A43" t="str">
            <v>G-00062</v>
          </cell>
          <cell r="B43" t="str">
            <v>Simran Minhas</v>
          </cell>
          <cell r="C43">
            <v>8469572508</v>
          </cell>
          <cell r="D43" t="str">
            <v>H. No. 738 - B, 1st Floor, Flat no. 104, Block C, Near Morpankh Park, Sushant Lok -1</v>
          </cell>
          <cell r="E43" t="str">
            <v>M G Road</v>
          </cell>
          <cell r="F43" t="str">
            <v>Saturday</v>
          </cell>
          <cell r="G43" t="str">
            <v>9:30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43" t="str">
            <v>4  del of this cycle   -  0-cycles pmnt   Completed - Collect 0</v>
          </cell>
          <cell r="O43" t="e">
            <v>#N/A</v>
          </cell>
          <cell r="P43" t="e">
            <v>#N/A</v>
          </cell>
          <cell r="Q43" t="str">
            <v>R n G Car ( 14 Inch ) 16 Message    FF Sachet + Grass</v>
          </cell>
          <cell r="R43" t="str">
            <v>O Asiatic ( 14 Inch ) 3     Grass</v>
          </cell>
          <cell r="S43" t="str">
            <v>P n W Glad ( 14 Inch ) 16     Grass</v>
          </cell>
          <cell r="T43" t="str">
            <v>Sunflower ( 12 Inch ) 4     FF sachet + Car</v>
          </cell>
        </row>
        <row r="44">
          <cell r="A44">
            <v>3100</v>
          </cell>
          <cell r="B44" t="str">
            <v>Mansi Tyagi</v>
          </cell>
          <cell r="C44">
            <v>9971455549</v>
          </cell>
          <cell r="D44" t="str">
            <v>C-923, 4th Floor, Sushant Lok-1</v>
          </cell>
          <cell r="E44" t="str">
            <v>M G Road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N44" t="str">
            <v>2  del of this cycle   -  1-cycles pmnt   Pending - Collect 1450</v>
          </cell>
          <cell r="O44" t="str">
            <v>Mix Glad 9     FF Sachet + Grass</v>
          </cell>
          <cell r="P44" t="str">
            <v>Y Spray Daisy ( 14 Inch ) 3     FF Sachet + Grass</v>
          </cell>
          <cell r="Q44" t="str">
            <v>B Daisy ( 12 Inch ) 9   Collect Payment Collect Payment Grass</v>
          </cell>
          <cell r="R44" t="str">
            <v>P Asiatic ( 14 Inch ) 2     Grass</v>
          </cell>
          <cell r="S44" t="str">
            <v>Pur n P Car ( 14 Inch ) 16     Grass</v>
          </cell>
          <cell r="T44" t="str">
            <v>Sunflower ( 12 Inch ) 4    Ensure Collection FF sachet + Car</v>
          </cell>
        </row>
        <row r="45">
          <cell r="A45">
            <v>2941</v>
          </cell>
          <cell r="B45" t="str">
            <v>Bhagyashri Khandelwal</v>
          </cell>
          <cell r="C45">
            <v>8884773030</v>
          </cell>
          <cell r="D45" t="str">
            <v>C-1983, Flat 401, Sushant Lok Phase 1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45" t="str">
            <v>3  del of this cycle   -  0-cycles pmnt   Completed - Collect 0</v>
          </cell>
          <cell r="O45" t="e">
            <v>#N/A</v>
          </cell>
          <cell r="P45" t="str">
            <v>P n W Glad ( 14 Inch ) 9     Grass</v>
          </cell>
          <cell r="Q45" t="str">
            <v>B Daisy ( 12 Inch ) 9     Grass</v>
          </cell>
          <cell r="R45" t="str">
            <v>Pur n P car ( 14 Inch ) 16     FF Sachet + Grass</v>
          </cell>
          <cell r="S45" t="str">
            <v>Sunflower ( 12 Inch ) 4     FF Sachet + Grass</v>
          </cell>
          <cell r="T45" t="str">
            <v>P Asiatic ( 14 Inch ) 3     Grass</v>
          </cell>
        </row>
        <row r="46">
          <cell r="A46">
            <v>3211</v>
          </cell>
          <cell r="B46" t="str">
            <v>Shreya -- Smartworld</v>
          </cell>
          <cell r="C46">
            <v>8800782128</v>
          </cell>
          <cell r="D46" t="str">
            <v>E-2D, Smartworld Orchard, Sec 61</v>
          </cell>
          <cell r="E46" t="str">
            <v>Ghata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From Shreya Pandey // Skip and send on Tuesday (09/01) HDTNP (21/02) HDTNP --send tom (28/02)</v>
          </cell>
          <cell r="N46" t="str">
            <v>3  del of this cycle   -  0-cycles pmnt   CompletedNO COLLECTION-we have extra money - Collect -2</v>
          </cell>
          <cell r="O46" t="str">
            <v>Pur n P Car ( 14 Inch ) 9     FF Sachet + Grass</v>
          </cell>
          <cell r="P46" t="str">
            <v>Sunflower ( 12 Inch ) 2     FF Sachet + Grass</v>
          </cell>
          <cell r="Q46" t="str">
            <v>P n W Glad ( 14 Inch ) 9     Grass</v>
          </cell>
          <cell r="R46" t="str">
            <v>P Spray Daisy ( 14 Inch ) 3     FF Sachet + Grass</v>
          </cell>
          <cell r="S46" t="str">
            <v>P Asiatic ( 14 Inch ) 2     FF Sachet + Grass</v>
          </cell>
          <cell r="T46" t="str">
            <v xml:space="preserve">R n W Car ( 14 Inch ) 9     </v>
          </cell>
        </row>
        <row r="47">
          <cell r="A47">
            <v>993</v>
          </cell>
          <cell r="B47" t="str">
            <v>Swati Khandelwal-- Evening Only</v>
          </cell>
          <cell r="C47">
            <v>8527962021</v>
          </cell>
          <cell r="D47" t="str">
            <v>414-A, Hamilton Court</v>
          </cell>
          <cell r="E47" t="str">
            <v>DLF Phase 4</v>
          </cell>
          <cell r="F47" t="str">
            <v>Tuesday</v>
          </cell>
          <cell r="G47" t="str">
            <v>9 AM to 2 PM</v>
          </cell>
          <cell r="H47">
            <v>2300</v>
          </cell>
          <cell r="I47">
            <v>287.5</v>
          </cell>
          <cell r="J47" t="str">
            <v>Felicity</v>
          </cell>
          <cell r="K4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7" t="str">
            <v>ROSE n RAJNI</v>
          </cell>
          <cell r="N47" t="str">
            <v>3  del of this cycle   -  0-cycles pmnt   Completed - Collect 0</v>
          </cell>
          <cell r="O47" t="str">
            <v>Mix Car 11     FF Sachet + Grass</v>
          </cell>
          <cell r="P47" t="str">
            <v>Mix Alstroemeria ( 12 Inch ) 11     FF Sachet + Grass</v>
          </cell>
          <cell r="Q47" t="str">
            <v>B Daisy ( 12 Inch ) 11     Grass</v>
          </cell>
          <cell r="R47" t="str">
            <v>Pur n P car ( 14 Inch ) 11     FF Sachet + Grass</v>
          </cell>
          <cell r="S47" t="str">
            <v>O Asiatic ( 14 Inch ) 2     Grass</v>
          </cell>
          <cell r="T47" t="str">
            <v>P n W Glad ( 14 Inch ) 11     Grass</v>
          </cell>
        </row>
        <row r="48">
          <cell r="A48">
            <v>2054</v>
          </cell>
          <cell r="B48" t="str">
            <v>Dr. Khushboo Singh</v>
          </cell>
          <cell r="C48">
            <v>9560747141</v>
          </cell>
          <cell r="D48" t="str">
            <v>Aks Clinic, Ground Floor, C-1070, Sushant Lok 1</v>
          </cell>
          <cell r="E48" t="str">
            <v>M G Road</v>
          </cell>
          <cell r="F48" t="str">
            <v>Saturday</v>
          </cell>
          <cell r="G48" t="str">
            <v>10 AM to 3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8" t="str">
            <v>Gerbera</v>
          </cell>
          <cell r="M48" t="str">
            <v>Skip 23rd May Flowers (07/04)</v>
          </cell>
          <cell r="N48" t="str">
            <v>3  del of this cycle   -  0-cycles pmnt   Completed - Collect 0</v>
          </cell>
          <cell r="O48" t="str">
            <v>Mix Glad 16     FF Sachet + Grass</v>
          </cell>
          <cell r="P48" t="str">
            <v>P Eustoma ( 12 Inch ) 3     FF Sachet + Grass</v>
          </cell>
          <cell r="Q48" t="str">
            <v>O Asiatic ( 14 Inch ) 3     Grass</v>
          </cell>
          <cell r="R48" t="str">
            <v>Pur n P car ( 14 Inch ) 16     FF Sachet + Grass</v>
          </cell>
          <cell r="S48" t="str">
            <v>Sunflower ( 12 Inch ) 4     FF Sachet + Grass</v>
          </cell>
          <cell r="T48" t="str">
            <v>Rajni ( 14 Inch ) 16     Grass</v>
          </cell>
        </row>
        <row r="49">
          <cell r="A49">
            <v>1882</v>
          </cell>
          <cell r="B49" t="str">
            <v xml:space="preserve">Shilpa Gupta </v>
          </cell>
          <cell r="C49">
            <v>9899285336</v>
          </cell>
          <cell r="D49" t="str">
            <v>H . No. 83, 1st Floor, Sector 30</v>
          </cell>
          <cell r="E49" t="str">
            <v>South City 1</v>
          </cell>
          <cell r="F49" t="str">
            <v>Saturday</v>
          </cell>
          <cell r="G49" t="str">
            <v>9 AM - 12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Skip 1 week(11/04) Skip this week to Tuesday (08/03) Skip 2 week (19/07) Skip and send on 31st Mar (28/03) Skip n send on Monday (10/07) Skip tom n send on Monday (14/08)</v>
          </cell>
          <cell r="M49" t="str">
            <v xml:space="preserve">Skip 29th </v>
          </cell>
          <cell r="N49" t="str">
            <v>3  del of this cycle   -  0-cycles pmnt   Completed - Collect 0</v>
          </cell>
          <cell r="O49" t="str">
            <v>Pur n P Car ( 14 Inch ) 22     FF Sachet + Grass</v>
          </cell>
          <cell r="P49" t="str">
            <v>P n Pur Eustoma ( 12 Inch ) 4     FF Sachet + Grass</v>
          </cell>
          <cell r="Q49" t="str">
            <v>P n W Glad ( 14 Inch ) 22     Grass</v>
          </cell>
          <cell r="R49" t="str">
            <v>Sunflower ( 14 Inch ) 5     FF Sachet + Grass</v>
          </cell>
          <cell r="S49" t="str">
            <v>W Asiatic ( 14 Inch ) 4     Grass</v>
          </cell>
          <cell r="T49" t="str">
            <v>R n W Car ( 14 Inch ) 22     FF sachet + Car</v>
          </cell>
        </row>
        <row r="50">
          <cell r="A50">
            <v>2980</v>
          </cell>
          <cell r="B50" t="str">
            <v>Shilpa Kohli</v>
          </cell>
          <cell r="C50">
            <v>9717255116</v>
          </cell>
          <cell r="D50" t="str">
            <v>B2/102, Sahara Grace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Only Seasonlas</v>
          </cell>
          <cell r="N50" t="str">
            <v>1  del of this cycle   -  0-cycles pmnt   Completed - Collect 0</v>
          </cell>
          <cell r="O50" t="str">
            <v>P n W Glad ( 14 Inch ) 9     Grass</v>
          </cell>
          <cell r="P50" t="str">
            <v>P Spray Daisy ( 14 Inch ) 3     FF Sachet + Grass</v>
          </cell>
          <cell r="Q50" t="str">
            <v>B Daisy ( 12 Inch ) 9     Grass</v>
          </cell>
          <cell r="R50" t="str">
            <v>Pur n P car ( 14 Inch ) 9     FF Sachet + Grass</v>
          </cell>
          <cell r="S50" t="str">
            <v>P Asiatic ( 14 Inch ) 2     Grass</v>
          </cell>
          <cell r="T50" t="str">
            <v>Rajni ( 14 Inch ) 16     Grass</v>
          </cell>
        </row>
        <row r="51">
          <cell r="A51">
            <v>1932</v>
          </cell>
          <cell r="B51" t="str">
            <v>Nandita Singh</v>
          </cell>
          <cell r="C51">
            <v>9811045835</v>
          </cell>
          <cell r="D51" t="str">
            <v>325-B, Hamilton Court</v>
          </cell>
          <cell r="E51" t="str">
            <v>DLF Phase 4</v>
          </cell>
          <cell r="F51" t="str">
            <v>Saturday</v>
          </cell>
          <cell r="G51" t="str">
            <v>9 AM - 12 PM</v>
          </cell>
          <cell r="H51">
            <v>3750</v>
          </cell>
          <cell r="I51">
            <v>937.5</v>
          </cell>
          <cell r="J51" t="str">
            <v>Savor</v>
          </cell>
          <cell r="K51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51" t="str">
            <v>4  del of this cycle   -  1-cycles pmnt   Pending - Collect 3750</v>
          </cell>
          <cell r="O51" t="e">
            <v>#N/A</v>
          </cell>
          <cell r="P51" t="e">
            <v>#N/A</v>
          </cell>
          <cell r="Q51" t="str">
            <v>P n W Glad ( 14 Inch ) 42     2 Limonium</v>
          </cell>
          <cell r="R51" t="str">
            <v>Pur n P car ( 14 Inch ) 42   Ensure Collection Ensure Collection 2 Gypsola + FF Sachet</v>
          </cell>
          <cell r="S51" t="str">
            <v>O n W Asiatic ( 14 Inch ) 8     2 Limonium</v>
          </cell>
          <cell r="T51" t="str">
            <v>Rajni ( 14 Inch ) 42    Ensure Collection 2 Gypsola</v>
          </cell>
        </row>
        <row r="52">
          <cell r="A52">
            <v>1542</v>
          </cell>
          <cell r="B52" t="str">
            <v>Anisha Sethi</v>
          </cell>
          <cell r="C52">
            <v>9811004396</v>
          </cell>
          <cell r="D52" t="str">
            <v>Q-1/25, DLF Phase 2</v>
          </cell>
          <cell r="E52" t="str">
            <v>M G Road</v>
          </cell>
          <cell r="F52" t="str">
            <v>Saturday</v>
          </cell>
          <cell r="G52" t="str">
            <v>9 AM to 2 PM</v>
          </cell>
          <cell r="H52">
            <v>3000</v>
          </cell>
          <cell r="I52">
            <v>375</v>
          </cell>
          <cell r="J52" t="str">
            <v>Charm</v>
          </cell>
          <cell r="K52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2" t="str">
            <v>HELICONIA n BOP</v>
          </cell>
          <cell r="M52" t="str">
            <v>No Sunflowers for some time (15/04) Change of Rs. 50 Next (28/04)</v>
          </cell>
          <cell r="N52" t="str">
            <v>8  del of this cycle   -  0-cycles pmnt   Completed - Collect 0</v>
          </cell>
          <cell r="O52" t="e">
            <v>#N/A</v>
          </cell>
          <cell r="P52" t="str">
            <v>Y Asiatic ( 14 inch ) 2 Pur n p Car ( 14 inch ) 7   Grass</v>
          </cell>
          <cell r="Q52" t="str">
            <v>Sunflower ( 12 Inch ) 2 B Daisy ( 12 Inch ) 7 Collect Cash Collect Cash Grass</v>
          </cell>
          <cell r="R52" t="str">
            <v>P Asiatic ( 14 Inch ) 2 P n W Glad ( 14 Inch ) 7   Grass</v>
          </cell>
          <cell r="S52" t="str">
            <v>O Asiatic ( 14 Inch ) 2 Rajni ( 14 Inch ) 7   Grass</v>
          </cell>
          <cell r="T52" t="str">
            <v>O Asiatic ( 14 Inch ) 2 Rajni ( 14 inch ) 7   Grass</v>
          </cell>
        </row>
        <row r="53">
          <cell r="A53">
            <v>790</v>
          </cell>
          <cell r="B53" t="str">
            <v>Sanwali</v>
          </cell>
          <cell r="C53">
            <v>8800604888</v>
          </cell>
          <cell r="D53" t="str">
            <v>B-1901, Heritage One,Sec-62</v>
          </cell>
          <cell r="E53" t="str">
            <v>Ghata</v>
          </cell>
          <cell r="F53" t="str">
            <v>Saturday</v>
          </cell>
          <cell r="G53" t="str">
            <v>4 Pm to 7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53" t="str">
            <v>Mixed Flowers //  1 Seasonal Extra next (21/04)</v>
          </cell>
          <cell r="N53" t="str">
            <v>3  del of this cycle   -  0-cycles pmnt   Completed - Collect 0</v>
          </cell>
          <cell r="O53" t="str">
            <v>Sunflower ( 12 Inch ) 2 P n W Car 7   FF Sachet + Grass</v>
          </cell>
          <cell r="P53" t="str">
            <v>P Spray Daisy ( 14 Inch ) 3 Mix Alstroemeria ( 12 Inch ) 7   FF Sachet + Grass</v>
          </cell>
          <cell r="Q53" t="str">
            <v>Pur Eustoma ( 12 Inch ) 2 P n W Glad ( 14 Inch ) 7   Grass</v>
          </cell>
          <cell r="R53" t="str">
            <v>O Asiatic ( 14 Inch ) 2 Rajni ( 14 Inch ) 7   Grass</v>
          </cell>
          <cell r="S53" t="str">
            <v>Sunflower ( 12 Inch ) 2 Pur n P Car ( 14 Inch ) 7   FF Sachet + Grass</v>
          </cell>
          <cell r="T53" t="str">
            <v>P Spray Daisy ( 14 Inch ) 3 Mix Alstroemeria ( 12  Inch ) 7   FF sachet + Car</v>
          </cell>
        </row>
        <row r="54">
          <cell r="A54">
            <v>189</v>
          </cell>
          <cell r="B54" t="str">
            <v xml:space="preserve">Monisha Sharma-- Before 10AM
</v>
          </cell>
          <cell r="C54">
            <v>9811152770</v>
          </cell>
          <cell r="D54" t="str">
            <v xml:space="preserve">609A Hamilton Court    DLF Phase 4 Gurgaon  122002 
</v>
          </cell>
          <cell r="E54" t="str">
            <v>DLF Phase 4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54" t="str">
            <v>3  del of this cycle   -  0-cycles pmnt   Completed - Collect 0</v>
          </cell>
          <cell r="O54" t="str">
            <v>Pur n P Car ( 14 Inch ) 16     FF Sachet + Grass</v>
          </cell>
          <cell r="P54" t="str">
            <v>Pur Eustoma ( 12 Inch ) 3     FF Sachet + Grass</v>
          </cell>
          <cell r="Q54" t="str">
            <v>P n W Glad ( 14 Inch ) 16     Grass</v>
          </cell>
          <cell r="R54" t="str">
            <v>P Asiatic 3     Grass</v>
          </cell>
          <cell r="S54" t="str">
            <v>R n W Car ( 14 Inch ) 16     FF Sachet + Grass</v>
          </cell>
          <cell r="T54" t="str">
            <v>Sunflower ( 12 Inch ) 4     FF sachet + Car</v>
          </cell>
        </row>
        <row r="55">
          <cell r="A55">
            <v>3302</v>
          </cell>
          <cell r="B55" t="str">
            <v>Anuvrata</v>
          </cell>
          <cell r="C55">
            <v>8800292901</v>
          </cell>
          <cell r="D55" t="str">
            <v>H. No. 82, 1st Floor, Sec 41, South City 1</v>
          </cell>
          <cell r="E55" t="str">
            <v>South City 1</v>
          </cell>
          <cell r="F55" t="str">
            <v>Saturday</v>
          </cell>
          <cell r="G55" t="str">
            <v>10 AM to 2:30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One Bouquet of 600 Missed, Pls add in her account (09/07)</v>
          </cell>
          <cell r="N55" t="str">
            <v>4  del of this cycle   -  0-cycles pmnt   CompletedNO COLLECTION-we have extra money - Collect -600</v>
          </cell>
          <cell r="O55" t="e">
            <v>#N/A</v>
          </cell>
          <cell r="P55" t="e">
            <v>#N/A</v>
          </cell>
          <cell r="Q55" t="str">
            <v>P n W Glad ( 14 Inch ) 16     Grass</v>
          </cell>
          <cell r="R55" t="str">
            <v>Pur n P car ( 14 Inch ) 16     FF Sachet + Grass</v>
          </cell>
          <cell r="S55" t="str">
            <v>P n W Glad ( 14 Inch ) 16     Grass</v>
          </cell>
          <cell r="T55" t="str">
            <v>P Asiatic ( 14 Inch ) 3     Grass</v>
          </cell>
        </row>
        <row r="56">
          <cell r="A56">
            <v>1936</v>
          </cell>
          <cell r="B56" t="str">
            <v>Pranta Dutta</v>
          </cell>
          <cell r="C56" t="str">
            <v>99535 59491</v>
          </cell>
          <cell r="D56" t="str">
            <v>C 1 flat 501 Ireo skyon golf course extension sector 60 gurgaon ( behind lemon tree hotel)</v>
          </cell>
          <cell r="E56" t="str">
            <v>Ghata</v>
          </cell>
          <cell r="F56" t="str">
            <v>Saturday</v>
          </cell>
          <cell r="G56" t="str">
            <v>9 AM - 12 PM</v>
          </cell>
          <cell r="H56">
            <v>1600</v>
          </cell>
          <cell r="I56">
            <v>200</v>
          </cell>
          <cell r="J56" t="str">
            <v>Bloom</v>
          </cell>
          <cell r="K56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56" t="str">
            <v>RAJNI n GERBERA</v>
          </cell>
          <cell r="N56" t="str">
            <v>6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str">
            <v xml:space="preserve">Collect Rs 600      </v>
          </cell>
          <cell r="S56" t="str">
            <v>Pur n P Car ( 14 Inch ) 7     FF Sachet + Grass</v>
          </cell>
          <cell r="T56" t="str">
            <v>Mix Alstroemeria ( 12 Inch ) 7     FF Sachet + Grass</v>
          </cell>
        </row>
        <row r="57">
          <cell r="A57">
            <v>84</v>
          </cell>
          <cell r="B57" t="str">
            <v>Atul Gupta</v>
          </cell>
          <cell r="C57">
            <v>9810060986</v>
          </cell>
          <cell r="D57" t="str">
            <v>Audio Visual Aids, LG-53 DLF Mega Mall</v>
          </cell>
          <cell r="E57" t="str">
            <v>DLF Phase 4</v>
          </cell>
          <cell r="F57" t="str">
            <v>Saturday</v>
          </cell>
          <cell r="G57" t="str">
            <v>10 AM to 2:30 PM</v>
          </cell>
          <cell r="H57">
            <v>2750</v>
          </cell>
          <cell r="I57">
            <v>687.5</v>
          </cell>
          <cell r="J57" t="str">
            <v>Elation</v>
          </cell>
          <cell r="K57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57" t="str">
            <v>BOP n Glad</v>
          </cell>
          <cell r="N57" t="str">
            <v>3  del of this cycle   -  0-cycles pmnt   Completed - Collect 0</v>
          </cell>
          <cell r="O57" t="str">
            <v>P n W Oriental ( 15 Inch ) 3     2 Gypsola</v>
          </cell>
          <cell r="P57" t="str">
            <v>Pur n P Car ( Long Stem) 32     2 Limonium + FF Sachet</v>
          </cell>
          <cell r="Q57" t="str">
            <v>P Asiatic ( 14 Inch ) 6     2 Gypsola</v>
          </cell>
          <cell r="R57" t="str">
            <v>P n W Oriental ( 15 Inch ) 3     2 Limonium</v>
          </cell>
          <cell r="S57" t="str">
            <v xml:space="preserve">P n Y Spray daisy ( 14 inch ) 10     2 Gypsola + FF Sachet </v>
          </cell>
          <cell r="T57" t="str">
            <v xml:space="preserve">P n W Car ( Long Stem ) 32     2 Gypsola + FF sachet </v>
          </cell>
        </row>
        <row r="58">
          <cell r="A58">
            <v>3096</v>
          </cell>
          <cell r="B58" t="str">
            <v>Arti Kaul</v>
          </cell>
          <cell r="C58">
            <v>9560517831</v>
          </cell>
          <cell r="D58" t="str">
            <v>T-2B, Windsor Court, DLF Phase 4</v>
          </cell>
          <cell r="E58" t="str">
            <v>DLF Phase 4</v>
          </cell>
          <cell r="F58" t="str">
            <v>Saturday</v>
          </cell>
          <cell r="G58" t="str">
            <v>9:30 Am to 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One Kind of Flower (13/01)</v>
          </cell>
          <cell r="M58" t="str">
            <v>One Kind</v>
          </cell>
          <cell r="N58" t="str">
            <v>4  del of this cycle   -  0-cycles pmnt   Completed - Collect 0</v>
          </cell>
          <cell r="O58" t="e">
            <v>#N/A</v>
          </cell>
          <cell r="P58" t="e">
            <v>#N/A</v>
          </cell>
          <cell r="Q58" t="str">
            <v>R n G Car ( 14 Inch ) 16     FF Sachet + Grass</v>
          </cell>
          <cell r="R58" t="str">
            <v>P Asiatic ( 14 Inch ) 3     Grass</v>
          </cell>
          <cell r="S58" t="str">
            <v>P n W Glad ( 14 Inch ) 16     Grass</v>
          </cell>
          <cell r="T58" t="str">
            <v>P n Y Spray Daisy ( 14 Inch ) 5     FF sachet + Car</v>
          </cell>
        </row>
        <row r="59">
          <cell r="A59">
            <v>386</v>
          </cell>
          <cell r="B59" t="str">
            <v>Alka Das gupta</v>
          </cell>
          <cell r="C59">
            <v>8860075639</v>
          </cell>
          <cell r="D59" t="str">
            <v>Tower-C/2004, Mahindra Luminare</v>
          </cell>
          <cell r="E59" t="str">
            <v>Ghata</v>
          </cell>
          <cell r="F59" t="str">
            <v>Saturday</v>
          </cell>
          <cell r="G59" t="str">
            <v>4 PM to 7Pm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59" t="str">
            <v>1  del of this cycle   -  1-cycles pmnt   Pending - Collect 1450</v>
          </cell>
          <cell r="O59" t="e">
            <v>#N/A</v>
          </cell>
          <cell r="P59" t="str">
            <v>Y Asiatic ( 14 inch ) 3     Grass</v>
          </cell>
          <cell r="Q59" t="str">
            <v>P n W Glad ( 14 Inch ) 16   Collect Payment Collect Payment Grass</v>
          </cell>
          <cell r="R59" t="str">
            <v>Sunflower ( 14 Inch ) 4     FF Sachet + Grass</v>
          </cell>
          <cell r="S59" t="str">
            <v>Pur n P Car ( 14 Inch ) 16     FF Sachet + Grass</v>
          </cell>
          <cell r="T59" t="str">
            <v>Rajni ( 14 Inch ) 16     Grass</v>
          </cell>
        </row>
        <row r="60">
          <cell r="A60">
            <v>3349</v>
          </cell>
          <cell r="B60" t="str">
            <v>Rahul Vatts</v>
          </cell>
          <cell r="C60">
            <v>9540795407</v>
          </cell>
          <cell r="D60" t="str">
            <v>N-6/14 B, 2nd Floor, Last House in Lane N6, DLF Phase 2, Sec 25</v>
          </cell>
          <cell r="E60" t="str">
            <v>M G Road</v>
          </cell>
          <cell r="F60" t="str">
            <v>Saturday</v>
          </cell>
          <cell r="G60" t="str">
            <v>9 AM to 2 PM</v>
          </cell>
          <cell r="H60">
            <v>2750</v>
          </cell>
          <cell r="I60">
            <v>687.5</v>
          </cell>
          <cell r="J60" t="str">
            <v>Elation</v>
          </cell>
          <cell r="N60" t="str">
            <v>3  del of this cycle   -  0-cycles pmnt   Completed - Collect 0</v>
          </cell>
          <cell r="O60" t="str">
            <v>Pur n P Eustoma ( 12 Inch ) 6     2 Gypsola + FF Sachet</v>
          </cell>
          <cell r="P60" t="str">
            <v>Pur n P Car ( 14 inch ) 32     2 Limonium + FF Sachet</v>
          </cell>
          <cell r="Q60" t="str">
            <v>BOP 6     2 Gypsola + FF sachet</v>
          </cell>
          <cell r="R60" t="str">
            <v>P n W Glad ( 14 Inch ) 32     2 Limonium</v>
          </cell>
          <cell r="S60" t="str">
            <v xml:space="preserve">P Asiatic ( 14 Inch ) 6     2 Gypsola </v>
          </cell>
          <cell r="T60" t="str">
            <v xml:space="preserve">Sunflower ( 12 Inch ) 7     2 Gypsola + FF sachet </v>
          </cell>
        </row>
        <row r="61">
          <cell r="A61">
            <v>1226</v>
          </cell>
          <cell r="B61" t="str">
            <v>Archana Trikha</v>
          </cell>
          <cell r="C61">
            <v>9910006945</v>
          </cell>
          <cell r="D61" t="str">
            <v>C-2003, Times Residency, Sec 63</v>
          </cell>
          <cell r="E61" t="str">
            <v>Ghata</v>
          </cell>
          <cell r="F61" t="str">
            <v>Saturday</v>
          </cell>
          <cell r="G61" t="str">
            <v>9 AM - 12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1" t="str">
            <v>Lily n Sunflower</v>
          </cell>
          <cell r="N61" t="str">
            <v>1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Pur n P car ( 14 Inch ) 9     FF Sachet + Grass</v>
          </cell>
          <cell r="S61" t="str">
            <v>Y Spray Daosy ( 14 Inch )  3     FF Sachet + Grass</v>
          </cell>
          <cell r="T61" t="str">
            <v>P n W Glad ( 14 Inch ) 16     Grass</v>
          </cell>
        </row>
        <row r="62">
          <cell r="A62">
            <v>3356</v>
          </cell>
          <cell r="B62" t="str">
            <v>Neha Gupta</v>
          </cell>
          <cell r="C62">
            <v>9999598424</v>
          </cell>
          <cell r="D62" t="str">
            <v>C-106, DLF Oakwood Estate, DLF Phase 2</v>
          </cell>
          <cell r="E62" t="str">
            <v>M G Road</v>
          </cell>
          <cell r="F62" t="str">
            <v>Saturday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N62" t="str">
            <v>2  del of this cycle   -  0-cycles pmnt   Completed - Collect 0</v>
          </cell>
          <cell r="O62" t="str">
            <v>Mix Car 16     FF Sachet + Grass</v>
          </cell>
          <cell r="P62" t="str">
            <v>P Eustoma ( 12 Inch ) 3     FF Sachet + Grass</v>
          </cell>
          <cell r="Q62" t="str">
            <v>P n W Glad ( 14 Inch ) 16     Grass</v>
          </cell>
          <cell r="R62" t="str">
            <v>Sunflower ( 14 Inch ) 4     FF Sachet + Grass</v>
          </cell>
          <cell r="S62" t="str">
            <v>P Asiatic ( 14 Inch ) 3     FF Sachet + Grass</v>
          </cell>
          <cell r="T62" t="str">
            <v>R n W Car ( 14 Inch ) 16     FF sachet + Car</v>
          </cell>
        </row>
        <row r="63">
          <cell r="A63">
            <v>2955</v>
          </cell>
          <cell r="B63" t="str">
            <v>Sangeeta-South City 1</v>
          </cell>
          <cell r="C63">
            <v>8569991672</v>
          </cell>
          <cell r="D63" t="str">
            <v>A-299, 1st Floor, South City 1</v>
          </cell>
          <cell r="E63" t="str">
            <v>South City 1</v>
          </cell>
          <cell r="F63" t="str">
            <v>Saturday</v>
          </cell>
          <cell r="G63" t="str">
            <v>9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Upgrade to Blis // Today Returned (06/12) Skip tom as payment not received (11/12) Paytm From Sangeeta yadav (03/02) Returned today (21/02) HDTNP (13/03) HDTNP (20/06)</v>
          </cell>
          <cell r="N63" t="str">
            <v>1  del of this cycle   -  1-cycles pmnt   Pending - Collect 1450</v>
          </cell>
          <cell r="O63" t="str">
            <v>Sunflower ( 12 Inch ) 2 Rajni 7   FF Sachet + Grass</v>
          </cell>
          <cell r="P63" t="str">
            <v>P Spray Daisy ( 14 Inch ) 3 Mix Alstroemeria ( 12 Inch ) 7   FF Sachet + Grass</v>
          </cell>
          <cell r="Q63" t="e">
            <v>#N/A</v>
          </cell>
          <cell r="R63" t="str">
            <v>Pur Eustoma ( 12 Inch ) 2 P n W Glad ( 14 Inch ) 7   FF Sachet + Grass</v>
          </cell>
          <cell r="S63" t="str">
            <v>Sunflower ( 12 Inch ) 2 Pur n P Car ( 14 Inch ) 7   FF Sachet + Grass</v>
          </cell>
          <cell r="T63" t="str">
            <v>P Asiatic ( 14 Inch ) 2 Rajni ( 14 inch ) 7   Grass</v>
          </cell>
        </row>
        <row r="64">
          <cell r="A64">
            <v>814</v>
          </cell>
          <cell r="B64" t="str">
            <v>Madhura Kumar</v>
          </cell>
          <cell r="C64">
            <v>9971005348</v>
          </cell>
          <cell r="D64" t="str">
            <v>Y-72, Regency Park-2</v>
          </cell>
          <cell r="E64" t="str">
            <v>DLF Phase 4</v>
          </cell>
          <cell r="F64" t="str">
            <v>Saturday</v>
          </cell>
          <cell r="G64" t="str">
            <v>4 PM to 7PM</v>
          </cell>
          <cell r="H64">
            <v>1950</v>
          </cell>
          <cell r="I64">
            <v>487.5</v>
          </cell>
          <cell r="J64" t="str">
            <v>Joy</v>
          </cell>
          <cell r="K6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64" t="str">
            <v>2  del of this cycle   -  1-cycles pmnt   Pending - Collect 1950</v>
          </cell>
          <cell r="O64" t="str">
            <v>P Asiatic ( 14 Inch ) 4     Grass</v>
          </cell>
          <cell r="P64" t="str">
            <v>P n W Glad ( 14 Inch ) 22     Grass</v>
          </cell>
          <cell r="Q64" t="str">
            <v>P n Pur Eustoma ( 12 Inch ) 4     FF Sachet + Grass</v>
          </cell>
          <cell r="R64" t="str">
            <v>Pur n P car ( 14 Inch ) 22     FF Sachet + Grass</v>
          </cell>
          <cell r="S64" t="str">
            <v>B Orchid  7     FF Sachet + Grass</v>
          </cell>
          <cell r="T64" t="str">
            <v>O Asiatic ( 14 Inch ) 4    Ensure Collection Grass</v>
          </cell>
        </row>
        <row r="65">
          <cell r="A65">
            <v>1631</v>
          </cell>
          <cell r="B65" t="str">
            <v>Paridhi Joshi</v>
          </cell>
          <cell r="C65">
            <v>8970999005</v>
          </cell>
          <cell r="D65" t="str">
            <v>A-124, Belvedere Towers, Cyber City</v>
          </cell>
          <cell r="E65" t="str">
            <v>DLF Phase 3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5" t="str">
            <v>ROSE n GLAD</v>
          </cell>
          <cell r="N65" t="str">
            <v>1  del of this cycle   -  1-cycles pmnt   Pending - Collect 1450</v>
          </cell>
          <cell r="O65" t="str">
            <v>Mix Glad 16     FF Sachet + Grass</v>
          </cell>
          <cell r="P65" t="str">
            <v>P Eustoma ( 12 Inch ) 3     FF Sachet + Grass</v>
          </cell>
          <cell r="Q65" t="str">
            <v>P Asiatic ( 14 Inch ) 3     Grass</v>
          </cell>
          <cell r="R65" t="str">
            <v>Pur n P car ( 14 Inch ) 16     FF Sachet + Grass</v>
          </cell>
          <cell r="S65" t="str">
            <v>Sunflower ( 12 Inch ) 4     FF Sachet + Grass</v>
          </cell>
          <cell r="T65" t="str">
            <v>P n W Spray Daisy ( 14 Inch ) 5     FF sachet + Car</v>
          </cell>
        </row>
        <row r="66">
          <cell r="A66">
            <v>2618</v>
          </cell>
          <cell r="B66" t="str">
            <v>Tanvi Gauri</v>
          </cell>
          <cell r="C66">
            <v>9717699622</v>
          </cell>
          <cell r="D66" t="str">
            <v>A-27/38, DLF Phase 1, Behind DT Mega Mall</v>
          </cell>
          <cell r="E66" t="str">
            <v>DLF Phase 1</v>
          </cell>
          <cell r="F66" t="str">
            <v>Saturday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Paytm From Tavi Gauri //  HDTNP (21/02) HDTNP (28/02) HDTNP (07/03) For Collection today (28/03) Collection today )4/04) HDTNP (02/05) HDTNP (09/5) HDTNP (16.05) White Flowers This week (30/06)</v>
          </cell>
          <cell r="M66" t="str">
            <v>Only Advance Payment (02/06) White Flowers This week (30/06)</v>
          </cell>
          <cell r="N66" t="str">
            <v>2  del of this cycle   -  0-cycles pmnt   Completed - Collect 0</v>
          </cell>
          <cell r="O66" t="str">
            <v>Pur n P Car ( 14 Inch ) 16     FF Sachet + Grass</v>
          </cell>
          <cell r="P66" t="str">
            <v>Y Asiatic ( 14 inch ) 3     Grass</v>
          </cell>
          <cell r="Q66" t="str">
            <v>P n W Glad ( 14 Inch ) 16     Grass</v>
          </cell>
          <cell r="R66" t="str">
            <v>Sunflower ( 14 Inch ) 4     FF Sachet + Grass</v>
          </cell>
          <cell r="S66" t="str">
            <v>Pur n P Car ( 14 Inch ) 16 Upgraded to Next Pack Pls Inform to Customer Sanjeet  Pls Ensure to Inform  FF Sachet + Grass</v>
          </cell>
          <cell r="T66" t="str">
            <v>Rajni ( 14 Inch ) 16     Grass</v>
          </cell>
        </row>
        <row r="67">
          <cell r="A67">
            <v>2411</v>
          </cell>
          <cell r="B67" t="str">
            <v>Risha</v>
          </cell>
          <cell r="C67">
            <v>9873670489</v>
          </cell>
          <cell r="D67" t="str">
            <v>S-16 A, Windsor Court, DLF Phase 4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15% Discount (26/07) Today hold (18/10) Skip 1 week (29/10) Hold till 15th Jan (29/12) Return not at home (31/01) Today Returned (04/04) HDTNP (06/06) HDTNP (13/06) HDTNP (20/06)</v>
          </cell>
          <cell r="N67" t="str">
            <v>1  del of this cycle   -  1-cycles pmnt   Pending - Collect 1450</v>
          </cell>
          <cell r="O67" t="e">
            <v>#N/A</v>
          </cell>
          <cell r="P67" t="e">
            <v>#N/A</v>
          </cell>
          <cell r="Q67" t="e">
            <v>#N/A</v>
          </cell>
          <cell r="R67" t="str">
            <v xml:space="preserve">Sunflower 2 Mix Car 7   </v>
          </cell>
          <cell r="S67" t="str">
            <v>W Asiatic ( 14 Inch ) 2 Mix Alstroemeria ( 12 Inch ) 7   Grass</v>
          </cell>
          <cell r="T67" t="str">
            <v>P Spray Daisy ( 14 Inch ) 3 Rajni ( 14 inch ) 7   FF sachet + Car</v>
          </cell>
        </row>
        <row r="68">
          <cell r="A68">
            <v>194</v>
          </cell>
          <cell r="B68" t="str">
            <v>Rashmi Chandra</v>
          </cell>
          <cell r="C68">
            <v>9811201254</v>
          </cell>
          <cell r="D68" t="str">
            <v>6826, DLF Phase-4</v>
          </cell>
          <cell r="E68" t="str">
            <v>DLF Phase 4</v>
          </cell>
          <cell r="F68" t="str">
            <v>Saturday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68" t="str">
            <v>3  del of this cycle   -  0-cycles pmnt   Completed - Collect 0</v>
          </cell>
          <cell r="O68" t="str">
            <v>P n Y Spray Daisy ( 14 Inch ) 5     FF Sachet + Grass</v>
          </cell>
          <cell r="P68" t="str">
            <v>O n P Car ( 14 Inch ) 16     FF Sachet + Grass</v>
          </cell>
          <cell r="Q68" t="str">
            <v>P Eustoma ( 12 Inch ) 3     Grass</v>
          </cell>
          <cell r="R68" t="str">
            <v>Sunflower ( 14 Inch ) 4     FF Sachet + Grass</v>
          </cell>
          <cell r="S68" t="str">
            <v>P n W Glad ( 14 Inch ) 16     Grass</v>
          </cell>
          <cell r="T68" t="str">
            <v>O Asiatic ( 14 Inch ) 3     Grass</v>
          </cell>
        </row>
        <row r="69">
          <cell r="A69">
            <v>2849</v>
          </cell>
          <cell r="B69" t="str">
            <v>Namita Chaudhary -- 11:30 to 1:30 Pm</v>
          </cell>
          <cell r="C69">
            <v>9810002910</v>
          </cell>
          <cell r="D69" t="str">
            <v>18 Bodhi Marg, Ground Floor, Near Shopping Mall, Arjun Marg, DLF Phase 1</v>
          </cell>
          <cell r="E69" t="str">
            <v>DLF Phase 1</v>
          </cell>
          <cell r="F69" t="str">
            <v>Saturday</v>
          </cell>
          <cell r="G69" t="str">
            <v>11:30 to 1:30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Skip 1 week (13/08) Start from or after 13th Oct (30/09) Skip 2 week (09/12) Todays Delivery returned due to address change (07/03) Hold till 03rd Apr (27/03) No Yel n White (06/04)</v>
          </cell>
          <cell r="L69" t="str">
            <v xml:space="preserve"> No Yel n White (06/04)</v>
          </cell>
          <cell r="N69" t="str">
            <v>3  del of this cycle   -  0-cycles pmnt   In Process - Collect 0</v>
          </cell>
          <cell r="O69" t="str">
            <v>P n W Glad ( 14 Inch ) 16     Grass</v>
          </cell>
          <cell r="P69" t="str">
            <v>P Eustoma ( 12 Inch ) 3     FF Sachet + Grass</v>
          </cell>
          <cell r="Q69" t="str">
            <v>B Daisy ( 12 Inch ) 16     Grass</v>
          </cell>
          <cell r="R69" t="str">
            <v>Pur n P car ( 14 Inch ) 16     FF Sachet + Grass</v>
          </cell>
          <cell r="S69" t="str">
            <v>O Asiatic ( 14 Inch ) 3     Grass</v>
          </cell>
          <cell r="T69" t="str">
            <v>Mix Alstroemeria ( 12 Inch ) 16     FF sachet + Car</v>
          </cell>
        </row>
        <row r="70">
          <cell r="A70">
            <v>328</v>
          </cell>
          <cell r="B70" t="str">
            <v>Sarat Chandra</v>
          </cell>
          <cell r="C70">
            <v>9013605782</v>
          </cell>
          <cell r="D70" t="str">
            <v>Villa 1,Raheja Atlantis, Sector 31</v>
          </cell>
          <cell r="E70" t="str">
            <v>South City 1</v>
          </cell>
          <cell r="F70" t="str">
            <v>Saturday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70" t="str">
            <v>RAJNI</v>
          </cell>
          <cell r="N70" t="str">
            <v>2  del of this cycle   -  0-cycles pmnt   Completed - Collect 0</v>
          </cell>
          <cell r="O70" t="str">
            <v>Pur n P Car ( 14 Inch ) 16     FF Sachet + Grass</v>
          </cell>
          <cell r="P70" t="str">
            <v>P Eustoma ( 12 Inch ) 3     FF Sachet + Grass</v>
          </cell>
          <cell r="Q70" t="str">
            <v>P n W Glad ( 14 Inch ) 16     Grass</v>
          </cell>
          <cell r="R70" t="str">
            <v>Sunflower ( 14 Inch ) 4     FF Sachet + Grass</v>
          </cell>
          <cell r="S70" t="str">
            <v>P Asiatic ( 14 Inch ) 3     FF Sachet + Grass</v>
          </cell>
          <cell r="T70" t="str">
            <v>R n W Car ( 14 Inch ) 16     FF sachet + Car</v>
          </cell>
        </row>
        <row r="71">
          <cell r="A71">
            <v>1921</v>
          </cell>
          <cell r="B71" t="str">
            <v>Vrinda Sehgal 1</v>
          </cell>
          <cell r="C71">
            <v>9871094919</v>
          </cell>
          <cell r="D71" t="str">
            <v>B-13/1, 3rd Floor, DLF Phase 1</v>
          </cell>
          <cell r="E71" t="str">
            <v>DLF Phase 1</v>
          </cell>
          <cell r="F71" t="str">
            <v>Saturday</v>
          </cell>
          <cell r="G71" t="str">
            <v>4 PM to 7PM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71" t="str">
            <v>3  del of this cycle   -  0-cycles pmnt   Completed - Collect 0</v>
          </cell>
          <cell r="O71" t="str">
            <v>P n Y Spray Daisy ( 14 Inch ) 5     FF Sachet + Grass</v>
          </cell>
          <cell r="P71" t="str">
            <v>P n W Glad ( 14 Inch ) 16     Grass</v>
          </cell>
          <cell r="Q71" t="str">
            <v>O Asiatic ( 14 Inch ) 3     Grass</v>
          </cell>
          <cell r="R71" t="str">
            <v>Sunflower ( 14 Inch ) 4     FF Sachet + Grass</v>
          </cell>
          <cell r="S71" t="str">
            <v>Mix Alstroemeria ( 12 Inch ) 16     FF Sachet + Grass</v>
          </cell>
          <cell r="T71" t="str">
            <v>B Daisy ( 12 Inch ) 16     Grass</v>
          </cell>
        </row>
        <row r="72">
          <cell r="A72">
            <v>3287</v>
          </cell>
          <cell r="B72" t="str">
            <v>Tenzing Y Bhutia</v>
          </cell>
          <cell r="C72">
            <v>8527399445</v>
          </cell>
          <cell r="D72" t="str">
            <v>A-1701. 17th Floor, Heritage One</v>
          </cell>
          <cell r="E72" t="str">
            <v>Ghata</v>
          </cell>
          <cell r="F72" t="str">
            <v>Saturday</v>
          </cell>
          <cell r="G72" t="str">
            <v>10 AM to 2:30 PM</v>
          </cell>
          <cell r="H72">
            <v>1950</v>
          </cell>
          <cell r="I72">
            <v>487.5</v>
          </cell>
          <cell r="J72" t="str">
            <v>Joy</v>
          </cell>
          <cell r="K72" t="str">
            <v>Send tom del in evening // No Glad // Replacement Tom (04/05)</v>
          </cell>
          <cell r="L72" t="str">
            <v>Glad</v>
          </cell>
          <cell r="N72" t="str">
            <v>2  del of this cycle   -  0-cycles pmnt   Completed - Collect 0</v>
          </cell>
          <cell r="O72" t="str">
            <v>Pur n P Eustoma ( 12 Inch ) 4     FF Sachet + Grass</v>
          </cell>
          <cell r="P72" t="str">
            <v>Y Asiatic ( 14 inch ) 4     Grass</v>
          </cell>
          <cell r="Q72" t="str">
            <v>B Daisy ( 12 Inch ) 22     Grass</v>
          </cell>
          <cell r="R72" t="str">
            <v>Pur n P car ( 14 Inch ) 22     FF Sachet + Grass</v>
          </cell>
          <cell r="S72" t="str">
            <v>B Orchid  7     FF Sachet + Grass</v>
          </cell>
          <cell r="T72" t="str">
            <v>Rajni ( 14 Inch ) 22     Grass</v>
          </cell>
        </row>
        <row r="73">
          <cell r="A73">
            <v>3345</v>
          </cell>
          <cell r="B73" t="str">
            <v>Pragya Ojha</v>
          </cell>
          <cell r="C73">
            <v>8879005210</v>
          </cell>
          <cell r="D73" t="str">
            <v>C-1403, Heritage One, Sec 62</v>
          </cell>
          <cell r="E73" t="str">
            <v>Ghata</v>
          </cell>
          <cell r="F73" t="str">
            <v>Saturday</v>
          </cell>
          <cell r="G73" t="str">
            <v>9 AM - 12 PM</v>
          </cell>
          <cell r="H73">
            <v>2750</v>
          </cell>
          <cell r="I73">
            <v>687.5</v>
          </cell>
          <cell r="J73" t="str">
            <v>Elation</v>
          </cell>
          <cell r="K73" t="str">
            <v>Skip 1 week (25/05) // Day Chnged to Saturday (10/06)</v>
          </cell>
          <cell r="N73" t="str">
            <v>2  del of this cycle   -  1-cycles pmnt   Pending - Collect 2750</v>
          </cell>
          <cell r="O73" t="e">
            <v>#N/A</v>
          </cell>
          <cell r="P73" t="e">
            <v>#N/A</v>
          </cell>
          <cell r="Q73" t="str">
            <v>P n Pur Eustoma ( 12 Inch ) 6     2 Gypsola + FF sachet</v>
          </cell>
          <cell r="R73" t="str">
            <v>Sunflower ( 14 Inch ) 7     2 Limonium + FF sachet</v>
          </cell>
          <cell r="S73" t="str">
            <v xml:space="preserve">Mix Alstroemeria ( 12 Inch ) 32     2 Gypsola + FF Sachet </v>
          </cell>
          <cell r="T73" t="str">
            <v>Rajni ( 14 Inch ) 32    Ensure Collection 2 Gypsola</v>
          </cell>
        </row>
        <row r="74">
          <cell r="A74">
            <v>193</v>
          </cell>
          <cell r="B74" t="str">
            <v>Rekha Krishnan</v>
          </cell>
          <cell r="C74">
            <v>9811201254</v>
          </cell>
          <cell r="D74" t="str">
            <v>S9/23, DLF Phase3</v>
          </cell>
          <cell r="E74" t="str">
            <v>DLF Phase 3</v>
          </cell>
          <cell r="F74" t="str">
            <v>Saturday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Cash to be collected from Manoj Pandey(10/06) 2 Stick extra next week(28/12) Send 2 stick extra on next del(25/05/2020) Sending Del tom due to Diwali(11/11) Pls return 1050 tom(26/11)</v>
          </cell>
          <cell r="N74" t="str">
            <v>3  del of this cycle   -  0-cycles pmnt   Completed - Collect 0</v>
          </cell>
          <cell r="O74" t="str">
            <v>P n Y Spray Daisy ( 14 Inch ) 5     FF Sachet + Grass</v>
          </cell>
          <cell r="P74" t="str">
            <v>O n P Car ( 14 Inch ) 16     FF Sachet + Grass</v>
          </cell>
          <cell r="Q74" t="str">
            <v>P Eustoma ( 12 Inch ) 3     Grass</v>
          </cell>
          <cell r="R74" t="str">
            <v>Sunflower ( 14 Inch ) 4     FF Sachet + Grass</v>
          </cell>
          <cell r="S74" t="str">
            <v>P n W Glad ( 14 Inch ) 16     Grass</v>
          </cell>
          <cell r="T74" t="str">
            <v>O Asiatic ( 14 Inch ) 3     Grass</v>
          </cell>
        </row>
        <row r="75">
          <cell r="A75">
            <v>3387</v>
          </cell>
          <cell r="B75" t="str">
            <v>Farah Singh</v>
          </cell>
          <cell r="C75">
            <v>9810713138</v>
          </cell>
          <cell r="D75" t="str">
            <v>H. No. 4528, Hibiscus Lane, DLF City Phase 4</v>
          </cell>
          <cell r="E75" t="str">
            <v>DLF Phase 4</v>
          </cell>
          <cell r="F75" t="str">
            <v>Saturday</v>
          </cell>
          <cell r="G75" t="str">
            <v>9 AM to 2 PM</v>
          </cell>
          <cell r="H75">
            <v>1950</v>
          </cell>
          <cell r="I75">
            <v>487.5</v>
          </cell>
          <cell r="J75" t="str">
            <v>Joy</v>
          </cell>
          <cell r="N75" t="str">
            <v>2  del of this cycle   -  1-cycles pmnt   Pending - Collect 1950</v>
          </cell>
          <cell r="O75" t="e">
            <v>#N/A</v>
          </cell>
          <cell r="P75" t="e">
            <v>#N/A</v>
          </cell>
          <cell r="Q75" t="e">
            <v>#N/A</v>
          </cell>
          <cell r="R75" t="str">
            <v>P n Pur Eustoma ( 12 Inch ) 4     FF Sachet + Grass</v>
          </cell>
          <cell r="S75" t="str">
            <v>P n W Glad ( 14 Inch ) 22     Grass</v>
          </cell>
          <cell r="T75" t="str">
            <v>R n W Car ( 14 Inch ) 22    Ensure Collection FF sachet + Car</v>
          </cell>
        </row>
        <row r="76">
          <cell r="A76">
            <v>339</v>
          </cell>
          <cell r="B76" t="str">
            <v>Vrinda Sehgal</v>
          </cell>
          <cell r="C76">
            <v>9899580634</v>
          </cell>
          <cell r="D76" t="str">
            <v>B-13/1, 1st Floor, DLF Phase 1</v>
          </cell>
          <cell r="E76" t="str">
            <v>DLF Phase 1</v>
          </cell>
          <cell r="F76" t="str">
            <v>Saturday</v>
          </cell>
          <cell r="G76" t="str">
            <v>4 PM to 7PM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76" t="str">
            <v>2  del of this cycle   -  1-cycles pmnt   Pending - Collect 1450</v>
          </cell>
          <cell r="O76" t="str">
            <v>P n W Glad ( 14 Inch ) 16     Grass</v>
          </cell>
          <cell r="P76" t="str">
            <v>P Eustoma ( 12 Inch ) 3     FF Sachet + Grass</v>
          </cell>
          <cell r="Q76" t="str">
            <v>P Asiatic ( 14 Inch ) 3     Grass</v>
          </cell>
          <cell r="R76" t="str">
            <v>Sunflower ( 14 Inch ) 4     FF Sachet + Grass</v>
          </cell>
          <cell r="S76" t="str">
            <v>P n W Glad ( 14 Inch ) 16     Grass</v>
          </cell>
          <cell r="T76" t="str">
            <v>B Daisy ( 12 Inch ) 16    Ensure Collection Grass</v>
          </cell>
        </row>
        <row r="77">
          <cell r="A77">
            <v>3371</v>
          </cell>
          <cell r="B77" t="str">
            <v>Supriya Bijlwan</v>
          </cell>
          <cell r="C77">
            <v>9560012831</v>
          </cell>
          <cell r="D77" t="str">
            <v>C-201, Mahindra Luminaire</v>
          </cell>
          <cell r="E77" t="str">
            <v>Ghata</v>
          </cell>
          <cell r="F77" t="str">
            <v>Saturday</v>
          </cell>
          <cell r="G77" t="str">
            <v>10 AM to 2:30 PM</v>
          </cell>
          <cell r="H77">
            <v>2300</v>
          </cell>
          <cell r="I77">
            <v>287.5</v>
          </cell>
          <cell r="J77" t="str">
            <v>Felicity</v>
          </cell>
          <cell r="K77" t="str">
            <v>1 Seasonal Extra next (20/05)</v>
          </cell>
          <cell r="M77" t="str">
            <v>Premium in next 2 Del (23/05)</v>
          </cell>
          <cell r="N77" t="str">
            <v>8  del of this cycle   -  0-cycles pmnt   Completed - Collect 0</v>
          </cell>
          <cell r="O77" t="str">
            <v>R n W Car ( 14 Inch ) 11     FF Sachet + Grass</v>
          </cell>
          <cell r="P77" t="str">
            <v>P n W Glad ( 14 Inch ) 11     Grass</v>
          </cell>
          <cell r="Q77" t="str">
            <v>B Daisy ( 12 Inch ) 11     Grass</v>
          </cell>
          <cell r="R77" t="str">
            <v>Pur n P car ( 14 Inch ) 11     FF Sachet + Grass</v>
          </cell>
          <cell r="S77" t="str">
            <v>P n W Glad ( 14 Inch ) 11     Grass</v>
          </cell>
          <cell r="T77" t="str">
            <v>Rajni ( 14 Inch ) 11  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1  del of this cycle   -  1-cycles pmnt   Pending - Collect 1450</v>
          </cell>
          <cell r="O78" t="str">
            <v>P n Y Spray Daisy ( 14 Inch ) 5     FF Sachet + Grass</v>
          </cell>
          <cell r="P78" t="str">
            <v>Pur Eustoma ( 12 Inch ) 3     FF Sachet + Grass</v>
          </cell>
          <cell r="Q78" t="str">
            <v>P Asiatic ( 14 Inch ) 3   Collect Payment Collect Payment Grass</v>
          </cell>
          <cell r="R78" t="str">
            <v>Sunflower ( 14 Inch ) 4     FF Sachet + Grass</v>
          </cell>
          <cell r="S78" t="str">
            <v>P n W Glad ( 14 Inch ) 16     Grass</v>
          </cell>
          <cell r="T78" t="str">
            <v>B Daisy ( 12 Inch ) 16    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4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str">
            <v>P Asiatic ( 14 Inch ) 3     Grass</v>
          </cell>
          <cell r="S79" t="str">
            <v>Rajni ( 14 Inch ) 16     Grass</v>
          </cell>
          <cell r="T79" t="str">
            <v>Sunflower ( 12 Inch ) 4     FF sachet + Car</v>
          </cell>
        </row>
        <row r="80">
          <cell r="A80">
            <v>2508</v>
          </cell>
          <cell r="B80" t="str">
            <v>Chandrima Budakoti</v>
          </cell>
          <cell r="C80">
            <v>9310519349</v>
          </cell>
          <cell r="D80" t="str">
            <v>C=2901, Mahindar Luminaire</v>
          </cell>
          <cell r="E80" t="str">
            <v>Ghata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Mixed Always / Skip today (14/06) Skip 1 week (04/07) Send replacement tom (29/09) HDTNP (23/05)</v>
          </cell>
          <cell r="M80" t="str">
            <v>Mixed</v>
          </cell>
          <cell r="N80" t="str">
            <v>4  del of this cycle   -  0-cycles pmnt   Completed - Collect 0</v>
          </cell>
          <cell r="O80" t="str">
            <v>Pur n P Car ( 14 Inch ) 16     FF Sachet + Grass</v>
          </cell>
          <cell r="P80" t="str">
            <v>Pur Eustoma ( 12 Inch ) 3     FF Sachet + Grass</v>
          </cell>
          <cell r="Q80" t="str">
            <v>P Asiatic ( 14 Inch ) 3     Grass</v>
          </cell>
          <cell r="R80" t="str">
            <v>P n W car ( 14 Inch ) 16     FF Sachet + Grass</v>
          </cell>
          <cell r="S80" t="str">
            <v>Sunflower ( 12 Inch ) 4     FF Sachet + Grass</v>
          </cell>
          <cell r="T80" t="str">
            <v>Asiatic 3     FF sachet + Car</v>
          </cell>
        </row>
        <row r="81">
          <cell r="A81">
            <v>1013</v>
          </cell>
          <cell r="B81" t="str">
            <v>Riti Malhotra-- Before 1 PM</v>
          </cell>
          <cell r="C81">
            <v>8879032832</v>
          </cell>
          <cell r="D81" t="str">
            <v>C-701, Elevate, Sec 59</v>
          </cell>
          <cell r="E81" t="str">
            <v>Ghata</v>
          </cell>
          <cell r="F81" t="str">
            <v>Saturday</v>
          </cell>
          <cell r="G81" t="str">
            <v>9 AM to 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81" t="str">
            <v>4  del of this cycle   -  0-cycles pmnt   Completed - Collect 0</v>
          </cell>
          <cell r="O81" t="e">
            <v>#N/A</v>
          </cell>
          <cell r="P81" t="e">
            <v>#N/A</v>
          </cell>
          <cell r="Q81" t="str">
            <v>P n Y Spray Daisy ( 14 Inch ) 5     FF Sachet + Grass</v>
          </cell>
          <cell r="R81" t="str">
            <v>Pur n P car ( 14 Inch ) 16     FF Sachet + Grass</v>
          </cell>
          <cell r="S81" t="str">
            <v>O Asiatic ( 14 Inch ) 3     Grass</v>
          </cell>
          <cell r="T81" t="str">
            <v>Mix Alstroemeria ( 12 Inch ) 16     FF sachet + Car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3  del of this cycle   -  0-cycles pmnt   Completed - Collect 0</v>
          </cell>
          <cell r="O82" t="str">
            <v>Rajni ( 14 Inch ) 7     Grass</v>
          </cell>
          <cell r="P82" t="str">
            <v>Rajni ( 14 Inch ) 7     Grass</v>
          </cell>
          <cell r="Q82" t="str">
            <v>P Spray Daisy ( 14 inch ) 2     FF Sachet + Grass</v>
          </cell>
          <cell r="R82" t="str">
            <v>Y Spray Daisy ( 14 Inch ) 2     FF Sachet + Grass</v>
          </cell>
          <cell r="S82" t="str">
            <v>P Spray Daisy ( 14 Inch ) 2     FF Sachet + Grass</v>
          </cell>
          <cell r="T82" t="str">
            <v>Pur n P Car ( 14 Inch ) 7     FF Sachet + Grass</v>
          </cell>
        </row>
        <row r="83">
          <cell r="A83">
            <v>3362</v>
          </cell>
          <cell r="B83" t="str">
            <v>Rupa Raje Gupta</v>
          </cell>
          <cell r="C83">
            <v>9811170495</v>
          </cell>
          <cell r="D83" t="str">
            <v>H-33/30, DLF Phase 1</v>
          </cell>
          <cell r="E83" t="str">
            <v>DLF Phase 1</v>
          </cell>
          <cell r="F83" t="str">
            <v>Saturday</v>
          </cell>
          <cell r="G83" t="str">
            <v>9 AM to 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Paytm From Rishi Nath Dubey (13/060</v>
          </cell>
          <cell r="N83" t="str">
            <v>1  del of this cycle   -  1-cycles pmnt   Pending - Collect 1450</v>
          </cell>
          <cell r="O83" t="str">
            <v>P n Y Spray Daisy ( 14 Inch ) 5     FF Sachet + Grass</v>
          </cell>
          <cell r="P83" t="str">
            <v>Pur Eustoma ( 12 Inch ) 3     FF Sachet + Grass</v>
          </cell>
          <cell r="Q83" t="str">
            <v>P Asiatic ( 14 Inch ) 3     Grass</v>
          </cell>
          <cell r="R83" t="str">
            <v>Pur n P car ( 14 Inch ) 16     FF Sachet + Grass</v>
          </cell>
          <cell r="S83" t="str">
            <v>P n W Glad ( 14 Inch ) 16     Grass</v>
          </cell>
          <cell r="T83" t="str">
            <v>Sunflower ( 12 Inch ) 4     FF sachet + Car</v>
          </cell>
        </row>
        <row r="84">
          <cell r="A84">
            <v>2706</v>
          </cell>
          <cell r="B84" t="str">
            <v>Monika Arora</v>
          </cell>
          <cell r="C84">
            <v>9990121666</v>
          </cell>
          <cell r="D84" t="str">
            <v>Tostem Studio, Plot No. 564, Basement, Sec 39, Near Bakhtawar Chwok</v>
          </cell>
          <cell r="E84" t="str">
            <v>Medanta</v>
          </cell>
          <cell r="F84" t="str">
            <v>Saturday</v>
          </cell>
          <cell r="G84" t="str">
            <v>9 AM - 12 PM</v>
          </cell>
          <cell r="H84">
            <v>1600</v>
          </cell>
          <cell r="I84">
            <v>200</v>
          </cell>
          <cell r="J84" t="str">
            <v>Bloom</v>
          </cell>
          <cell r="K84" t="str">
            <v>Ref From Anupma Rastogi // Today Returned (09/08) Hold today (16/08) Today office was closed (21/10)</v>
          </cell>
          <cell r="N84" t="str">
            <v>3  del of this cycle   -  0-cycles pmnt   Completed - Collect 0</v>
          </cell>
          <cell r="O84" t="str">
            <v>P Spray Daisy ( 14 Inch ) 2     FF Sachet + Grass</v>
          </cell>
          <cell r="P84" t="str">
            <v>R n P Car ( 14 Inch ) 7     FF Sachet + Grass</v>
          </cell>
          <cell r="Q84" t="str">
            <v>B Daisy ( 12 Inch ) 7     Grass</v>
          </cell>
          <cell r="R84" t="str">
            <v>P n W car ( 14 Inch ) 7     FF Sachet + Grass</v>
          </cell>
          <cell r="S84" t="str">
            <v>Mix Alstroemeria ( 12 Inch ) 7     FF Sachet + Grass</v>
          </cell>
          <cell r="T84" t="str">
            <v>Rajni ( 14 Inch ) 7     Grass</v>
          </cell>
        </row>
        <row r="85">
          <cell r="B85" t="str">
            <v>Arvinder</v>
          </cell>
          <cell r="C85">
            <v>9717121144</v>
          </cell>
          <cell r="D85" t="str">
            <v>T-15/1202, Close South</v>
          </cell>
          <cell r="G85" t="str">
            <v>Before 5 Pm</v>
          </cell>
          <cell r="H85">
            <v>2100</v>
          </cell>
          <cell r="J85" t="str">
            <v>Bouquet</v>
          </cell>
          <cell r="K85" t="str">
            <v>Pls send a bouquet with 4 pink and white mix oriental lilies, 6 blue daisies, 10 pink and white mixed carnations and 4 green button daisies in Korean wrap 
Baby’s breath me twigs lagenge silver aur gold color ke 
Korean wrap mein blue kam rakhna- pink se karna 
Send today before 5 with blank card to Arvinder Kaur 
+91 97171 21144</v>
          </cell>
          <cell r="T85" t="str">
            <v xml:space="preserve">Mix Oriental+B Daisy+P n W Car+ G Button Daisy 4+6+10+4 Korean wrap 
Baby’s breath me twigs lagenge silver aur gold color ke 
Korean wrap mein blue kam rakhna- pink se karna   Blank card  </v>
          </cell>
        </row>
        <row r="86">
          <cell r="A86" t="str">
            <v>B56414</v>
          </cell>
          <cell r="B86" t="str">
            <v>Jitendra</v>
          </cell>
          <cell r="C86">
            <v>8800156951</v>
          </cell>
          <cell r="D86" t="str">
            <v>Trehan Luxury Floors</v>
          </cell>
          <cell r="E86" t="str">
            <v>Badshahpur</v>
          </cell>
          <cell r="F86" t="str">
            <v>Saturday</v>
          </cell>
          <cell r="G86" t="str">
            <v>By 9:30 AM</v>
          </cell>
          <cell r="H86">
            <v>1196</v>
          </cell>
          <cell r="I86">
            <v>1196</v>
          </cell>
          <cell r="J86" t="str">
            <v>Bouquet</v>
          </cell>
          <cell r="N86" t="str">
            <v>1  del of this cycle   -  0-cycles pmnt   In Process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 xml:space="preserve">Trehan Set  1     </v>
          </cell>
        </row>
        <row r="87">
          <cell r="A87">
            <v>3336</v>
          </cell>
          <cell r="B87" t="str">
            <v>Ruchika Rattan</v>
          </cell>
          <cell r="C87">
            <v>8448331611</v>
          </cell>
          <cell r="D87" t="str">
            <v>E-0004, Richmond Park, DLF Phase 4</v>
          </cell>
          <cell r="E87" t="str">
            <v>DLF Phase 4</v>
          </cell>
          <cell r="F87" t="str">
            <v>Saturday</v>
          </cell>
          <cell r="G87" t="str">
            <v>10 AM to 2:30 PM</v>
          </cell>
          <cell r="H87">
            <v>1950</v>
          </cell>
          <cell r="I87">
            <v>487.5</v>
          </cell>
          <cell r="J87" t="str">
            <v>Joy</v>
          </cell>
          <cell r="K87" t="str">
            <v>Today Returned (16/05)</v>
          </cell>
          <cell r="N87" t="str">
            <v>3  del of this cycle   -  0-cycles pmnt   Completed - Collect 0</v>
          </cell>
          <cell r="O87" t="str">
            <v>Mix Glad 22     FF Sachet + Grass</v>
          </cell>
          <cell r="P87" t="str">
            <v>P n Pur Eustoma ( 12 Inch ) 4     FF Sachet + Grass</v>
          </cell>
          <cell r="Q87" t="str">
            <v>P n Y Spray Daisy ( 14 Inch ) 7     FF Sachet + Grass</v>
          </cell>
          <cell r="R87" t="str">
            <v>Sunflower ( 14 Inch ) 5     FF Sachet + Grass</v>
          </cell>
          <cell r="S87" t="str">
            <v>W Asiatic ( 14 Inch ) 4     Grass</v>
          </cell>
          <cell r="T87" t="str">
            <v>R n W Car ( 14 Inch ) 22     FF sachet + Car</v>
          </cell>
        </row>
        <row r="88">
          <cell r="A88">
            <v>2506</v>
          </cell>
          <cell r="B88" t="str">
            <v>Manya Jha</v>
          </cell>
          <cell r="C88">
            <v>9810502834</v>
          </cell>
          <cell r="D88" t="str">
            <v>H-33/1, Ground Floor, DLF Phase 1</v>
          </cell>
          <cell r="E88" t="str">
            <v>DLF Phase 1</v>
          </cell>
          <cell r="F88" t="str">
            <v>Saturday</v>
          </cell>
          <cell r="G88" t="str">
            <v>9:30 Am to 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Send 1 Bottle Flower Food tom // No Orchids (09/04) Skip 1 week (29/09)</v>
          </cell>
          <cell r="L88" t="str">
            <v>ORCHID</v>
          </cell>
          <cell r="N88" t="str">
            <v>4  del of this cycle   -  0-cycles pmnt   Completed - Collect 0</v>
          </cell>
          <cell r="O88" t="str">
            <v>W Asiatic ( 14 Inch ) 2 Rajni 7   Grass</v>
          </cell>
          <cell r="P88" t="str">
            <v>Sunflower ( 12 Inch ) 2 Mix Alstroemeria ( 12 Inch ) 7   FF Sachet + Grass</v>
          </cell>
          <cell r="Q88" t="str">
            <v>Pur Eustoma ( 12 Inch ) 2 P n W Glad ( 14 Inch ) 7   FF Sachet + Grass</v>
          </cell>
          <cell r="R88" t="str">
            <v>P Spray Daisy ( 14 Inch ) 3 Pur n P Car ( 14 Inch ) 7   FF Sachet + Grass</v>
          </cell>
          <cell r="S88" t="str">
            <v>O Asiatic ( 14 Inch ) 2 Mix Alstroemeria ( 12 Inch ) 7   Grass</v>
          </cell>
          <cell r="T88" t="str">
            <v>P Asiatic ( 14 Inch ) 2 Rajni ( 14 inch ) 7   Grass</v>
          </cell>
        </row>
        <row r="89">
          <cell r="A89">
            <v>2273</v>
          </cell>
          <cell r="B89" t="str">
            <v xml:space="preserve">Prashant </v>
          </cell>
          <cell r="C89">
            <v>9216746911</v>
          </cell>
          <cell r="D89" t="str">
            <v>Flat 3B, Building 1, The Hibiscus</v>
          </cell>
          <cell r="E89" t="str">
            <v>Nirvana Country</v>
          </cell>
          <cell r="F89" t="str">
            <v>Saturday</v>
          </cell>
          <cell r="G89" t="str">
            <v>9:30 Am to 2 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No Orchid (21/05)</v>
          </cell>
          <cell r="L89" t="str">
            <v>ORCHID</v>
          </cell>
          <cell r="N89" t="str">
            <v>3  del of this cycle   -  0-cycles pmnt   Completed - Collect 0</v>
          </cell>
          <cell r="O89" t="str">
            <v>P Asiatic ( 14 Inch ) 4     Grass</v>
          </cell>
          <cell r="P89" t="str">
            <v>P n Pur Eustoma ( 12 Inch ) 4     FF Sachet + Grass</v>
          </cell>
          <cell r="Q89" t="str">
            <v>P n W Glad ( 14 Inch ) 22     Grass</v>
          </cell>
          <cell r="R89" t="str">
            <v>Sunflower ( 14 Inch ) 5     FF Sachet + Grass</v>
          </cell>
          <cell r="S89" t="str">
            <v>Pur n P Car ( 14 Inch ) 22     FF Sachet + Grass</v>
          </cell>
          <cell r="T89" t="str">
            <v>O Asiatic ( 14 Inch ) 4     Grass</v>
          </cell>
        </row>
        <row r="90">
          <cell r="A90" t="str">
            <v>B56415</v>
          </cell>
          <cell r="B90">
            <v>9818517519</v>
          </cell>
          <cell r="C90">
            <v>9818517519</v>
          </cell>
          <cell r="D90" t="str">
            <v>T-15/703, Fresco</v>
          </cell>
          <cell r="E90" t="str">
            <v>Nirvana Country</v>
          </cell>
          <cell r="F90" t="str">
            <v>Saturday</v>
          </cell>
          <cell r="G90" t="str">
            <v>By 12 PM</v>
          </cell>
          <cell r="H90">
            <v>750</v>
          </cell>
          <cell r="I90">
            <v>750</v>
          </cell>
          <cell r="J90" t="str">
            <v>Bouquet</v>
          </cell>
          <cell r="K90" t="str">
            <v>4 Yel Daisy + 2 Green Daisy + 4 Mix Alstroemeria</v>
          </cell>
          <cell r="N90" t="str">
            <v>1  del of this cycle   -  0-cycles pmnt   Completed - Collect 0</v>
          </cell>
          <cell r="O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str">
            <v xml:space="preserve">Y Spray Daisy + G Button Daisy + Mix Alstroemeria 4 + 2 + 4 Thali  Ye Ready Hai Shop Pe   </v>
          </cell>
        </row>
        <row r="91">
          <cell r="A91" t="str">
            <v>B56413</v>
          </cell>
          <cell r="B91">
            <v>9958008787</v>
          </cell>
          <cell r="C91">
            <v>9958008787</v>
          </cell>
          <cell r="D91" t="str">
            <v>Pickup</v>
          </cell>
          <cell r="E91" t="str">
            <v>Pick up</v>
          </cell>
          <cell r="F91" t="str">
            <v>Saturday</v>
          </cell>
          <cell r="G91" t="str">
            <v>By 8 AM</v>
          </cell>
          <cell r="H91">
            <v>1760</v>
          </cell>
          <cell r="I91">
            <v>1760</v>
          </cell>
          <cell r="J91" t="str">
            <v>Bouquet</v>
          </cell>
          <cell r="K91" t="str">
            <v>4 B Orchid + 4 Yel Dausy + 6 Red Rose + 6 W Car + 6 R Car + 4 Shd Pur Car</v>
          </cell>
          <cell r="N91" t="str">
            <v>1  del of this cycle   -  1-cycles pmnt   Pending - Collect 1260</v>
          </cell>
          <cell r="O91" t="e">
            <v>#N/A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str">
            <v>B Orchid + Y Spray Daisy + R Rose + W Car + R Car + Shd Pur Car 4 + 4 + 6 + 6 + 6 + 4     Areca palm + Grass + FF Sachet</v>
          </cell>
        </row>
        <row r="92">
          <cell r="A92">
            <v>138</v>
          </cell>
          <cell r="B92" t="str">
            <v>Nidhi Duggal</v>
          </cell>
          <cell r="C92">
            <v>9811721912</v>
          </cell>
          <cell r="D92" t="str">
            <v>B-2803, Ireo Grand Arch</v>
          </cell>
          <cell r="E92" t="str">
            <v>Ghata</v>
          </cell>
          <cell r="F92" t="str">
            <v>Saturday</v>
          </cell>
          <cell r="G92" t="str">
            <v>9 AM - 12 PM</v>
          </cell>
          <cell r="H92">
            <v>1950</v>
          </cell>
          <cell r="I92">
            <v>487.5</v>
          </cell>
          <cell r="J92" t="str">
            <v>Joy</v>
          </cell>
          <cell r="K92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2" t="str">
            <v>Hold 21st and 28th June (05/05)</v>
          </cell>
          <cell r="N92" t="str">
            <v>4  del of this cycle   -  0-cycles pmnt   Completed - Collect 0</v>
          </cell>
          <cell r="O92" t="str">
            <v>W Asiatic ( 14 Inch ) 2 P n W Glad ( 14 Inch ) 11   Grass</v>
          </cell>
          <cell r="P92" t="str">
            <v>Sunflower ( 12 Inch ) 3 Pur n p Car ( 14 inch ) 11   FF Sachet + Grass</v>
          </cell>
          <cell r="Q92" t="str">
            <v>Pur Eustoma ( 12 Inch ) 2 Rajni ( 14 Inch ) 11   FF Sachet + Grass</v>
          </cell>
          <cell r="R92" t="str">
            <v>P Asiatic ( 14 Inch ) 2 P n W Glad ( 14 Inch ) 11   Grass</v>
          </cell>
          <cell r="S92" t="str">
            <v>Sunflower ( 12 Inch ) 3 Mix Alstroemeria ( 12 Inch ) 11   FF Sachet + Grass</v>
          </cell>
          <cell r="T92" t="str">
            <v>P n W Spray Daisy ( 14 Inch ) 4 P n W Car ( 14 Inch ) 11   FF sachet + Car</v>
          </cell>
        </row>
        <row r="93">
          <cell r="A93">
            <v>3314</v>
          </cell>
          <cell r="B93" t="str">
            <v>Kanika Sawhney</v>
          </cell>
          <cell r="C93">
            <v>9650537837</v>
          </cell>
          <cell r="D93" t="str">
            <v>Block U-75/30 , DLF Phase 3</v>
          </cell>
          <cell r="E93" t="str">
            <v>DLF Phase 3</v>
          </cell>
          <cell r="F93" t="str">
            <v>Saturday</v>
          </cell>
          <cell r="G93" t="str">
            <v>9 AM - 12 PM</v>
          </cell>
          <cell r="H93">
            <v>1680</v>
          </cell>
          <cell r="I93">
            <v>420</v>
          </cell>
          <cell r="J93" t="str">
            <v>Customized</v>
          </cell>
          <cell r="K93" t="str">
            <v>3 Asiatic // 4 Sunflower // 5 Orchid // 3 Asiatic // Day Changed to Saturday (26/04) Add Spray Daisy Also (03/05) Tiday Hold (30/05) Skip 1 week (19/06)</v>
          </cell>
          <cell r="M93" t="str">
            <v>Add Spray Daisy Also (03/05)</v>
          </cell>
          <cell r="N93" t="str">
            <v>4  del of this cycle   -  0-cycles pmnt   Completed - Collect 0</v>
          </cell>
          <cell r="O93" t="str">
            <v>G n W Spray Daisy ( 14 Inch ) 5     2 Limonium + FF Sachet</v>
          </cell>
          <cell r="P93" t="str">
            <v>Sunflower ( 12 Inch ) 4     2 Gypsola + FF Savhet</v>
          </cell>
          <cell r="Q93" t="e">
            <v>#N/A</v>
          </cell>
          <cell r="R93" t="str">
            <v>B Orchid  5     1 Limonoum</v>
          </cell>
          <cell r="S93" t="str">
            <v>W Asiatic ( 14 Inch ) 3     1 Gypsola</v>
          </cell>
          <cell r="T93" t="str">
            <v>P n Y Spray Daisy ( 14 Inch ) 5     FF sachet + Grass</v>
          </cell>
        </row>
        <row r="94">
          <cell r="A94">
            <v>3406</v>
          </cell>
          <cell r="B94" t="str">
            <v>Bhavisha Darji</v>
          </cell>
          <cell r="C94">
            <v>9742112297</v>
          </cell>
          <cell r="D94" t="str">
            <v>E-7/12, 3rd Floor, Sec 26 A, Near Arjun Marg</v>
          </cell>
          <cell r="E94" t="str">
            <v>DLF Phase 1</v>
          </cell>
          <cell r="F94" t="str">
            <v>Saturday</v>
          </cell>
          <cell r="G94" t="str">
            <v>9 AM to 2 PM</v>
          </cell>
          <cell r="H94">
            <v>1450</v>
          </cell>
          <cell r="I94">
            <v>362.5</v>
          </cell>
          <cell r="J94" t="str">
            <v>Bliss</v>
          </cell>
          <cell r="N94" t="str">
            <v>1  del of this cycle   -  0-cycles pmnt   Completed - Collect 0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str">
            <v>Pur n P Car ( 14 Inch ) 16     FF sachet + Car</v>
          </cell>
        </row>
        <row r="95">
          <cell r="A95" t="str">
            <v>B56417</v>
          </cell>
          <cell r="B95" t="str">
            <v>Raina Priyadarshini</v>
          </cell>
          <cell r="C95">
            <v>7838288720</v>
          </cell>
          <cell r="D95" t="str">
            <v>C-101, Spaze Privy, Sec 72</v>
          </cell>
          <cell r="E95" t="str">
            <v>Badshahpur</v>
          </cell>
          <cell r="F95" t="str">
            <v>Saturday</v>
          </cell>
          <cell r="G95" t="str">
            <v>By 11 AM</v>
          </cell>
          <cell r="H95">
            <v>600</v>
          </cell>
          <cell r="I95">
            <v>600</v>
          </cell>
          <cell r="J95" t="str">
            <v>Bouquet</v>
          </cell>
          <cell r="K95" t="str">
            <v>1 Pink Oriental + 2 Sunflower</v>
          </cell>
          <cell r="N95" t="str">
            <v>1  del of this cycle   -  0-cycles pmnt   Completed - Collect 0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str">
            <v>P Oriental + Sunflower  1 + 2     Areca Palm + Grass</v>
          </cell>
        </row>
        <row r="96">
          <cell r="A96">
            <v>1089</v>
          </cell>
          <cell r="B96" t="str">
            <v>Disha Roy</v>
          </cell>
          <cell r="C96">
            <v>9999024774</v>
          </cell>
          <cell r="D96" t="str">
            <v>U-26-A/8,1st Floor</v>
          </cell>
          <cell r="E96" t="str">
            <v>DLF Phase 3</v>
          </cell>
          <cell r="F96" t="str">
            <v>Saturday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96" t="str">
            <v>1  del of this cycle   -  1-cycles pmnt   Pending - Collect 1450</v>
          </cell>
          <cell r="O96" t="e">
            <v>#N/A</v>
          </cell>
          <cell r="P96" t="e">
            <v>#N/A</v>
          </cell>
          <cell r="Q96" t="e">
            <v>#N/A</v>
          </cell>
          <cell r="R96" t="str">
            <v>Pur n P car ( 14 Inch ) 16     FF Sachet + Grass</v>
          </cell>
          <cell r="S96" t="str">
            <v>O Asiatic ( 14 Inch ) 3     Grass</v>
          </cell>
          <cell r="T96" t="str">
            <v>Rajni ( 14 Inch ) 16     Grass</v>
          </cell>
        </row>
        <row r="97">
          <cell r="A97">
            <v>2629</v>
          </cell>
          <cell r="B97" t="str">
            <v>Arpita Das</v>
          </cell>
          <cell r="C97">
            <v>9810996113</v>
          </cell>
          <cell r="D97" t="str">
            <v>120/63, Silver Oaks Appartment, G Block, Sec 26</v>
          </cell>
          <cell r="E97" t="str">
            <v>DLF Phase 1</v>
          </cell>
          <cell r="F97" t="str">
            <v>Saturday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97" t="str">
            <v>Rajni next</v>
          </cell>
          <cell r="N97" t="str">
            <v>2  del of this cycle   -  0-cycles pmnt   Completed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str">
            <v>Pur n P Car ( 14 Inch ) 16     FF Sachet + Grass</v>
          </cell>
          <cell r="T97" t="str">
            <v>O Asiatic ( 14 Inch ) 3     Grass</v>
          </cell>
        </row>
        <row r="98">
          <cell r="A98">
            <v>1148</v>
          </cell>
          <cell r="B98" t="str">
            <v>Bindiya Rawat</v>
          </cell>
          <cell r="C98">
            <v>9910118957</v>
          </cell>
          <cell r="D98" t="str">
            <v>V-12/3, 1st Floor, DLF Phase 3, Sec 24</v>
          </cell>
          <cell r="E98" t="str">
            <v>DLF Phase 3</v>
          </cell>
          <cell r="F98" t="str">
            <v>Saturday</v>
          </cell>
          <cell r="G98" t="str">
            <v>9:30 Am to 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8" t="str">
            <v>GERBERA n HELICONIA</v>
          </cell>
          <cell r="N98" t="str">
            <v>3  del of this cycle   -  0-cycles pmnt   Completed - Collect 0</v>
          </cell>
          <cell r="O98" t="str">
            <v>P n Y Spray Daisy ( 14 Inch ) 5     FF Sachet + Grass</v>
          </cell>
          <cell r="P98" t="str">
            <v>Pur Eustoma ( 12 Inch ) 3     FF Sachet + Grass</v>
          </cell>
          <cell r="Q98" t="e">
            <v>#N/A</v>
          </cell>
          <cell r="R98" t="e">
            <v>#N/A</v>
          </cell>
          <cell r="S98" t="str">
            <v>Pur n P Car ( 14 Inch ) 16     FF Sachet + Grass</v>
          </cell>
          <cell r="T98" t="str">
            <v>O Asiatic ( 14 Inch ) 3     Grass</v>
          </cell>
        </row>
        <row r="99">
          <cell r="A99">
            <v>2626</v>
          </cell>
          <cell r="B99" t="str">
            <v>Mayank</v>
          </cell>
          <cell r="C99" t="str">
            <v>9661713694 // 8851453130</v>
          </cell>
          <cell r="D99" t="str">
            <v>W-5/32, 4th Floor, Room No. 24, Near Tulsa Tea Stall, Pink Town House Road, U-25 Marg</v>
          </cell>
          <cell r="E99" t="str">
            <v>DLF Phase 3</v>
          </cell>
          <cell r="F99" t="str">
            <v>Saturday</v>
          </cell>
          <cell r="G99" t="str">
            <v>9 AM - 12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Flr Drop U23/20  3rd Flr Room No 5 (02/08) Hod due to non payment (17/01) Send tom after 7PM (19/01) Hold due to non payment (07/02) HDTNP (07/03) HDTNP (13/03) HDTNP (02/05)</v>
          </cell>
          <cell r="N99" t="str">
            <v>1  del of this cycle   -   0 -cycles pmnt   Completed - Collect 0</v>
          </cell>
          <cell r="O99" t="str">
            <v>W Spray Daisy ( 14 Inch ) 3 Rajni 7   FF Sachet + Grass</v>
          </cell>
          <cell r="P99" t="str">
            <v>Pur Eustoma ( 12 Inch ) 2 Mix Alstroemeria ( 12 Inch ) 7   FF Sachet + Grass</v>
          </cell>
          <cell r="Q99" t="str">
            <v>P Asiatic ( 14 Inch ) 2 P n W Glad ( 14 Inch ) 7   Grass</v>
          </cell>
          <cell r="R99" t="str">
            <v>Sunflower ( 14 Inch ) 2 Pur n P Car ( 14 Inch ) 7   FF Sachet + Grass</v>
          </cell>
          <cell r="S99" t="str">
            <v>W Asiatic ( 14 Inch ) 2 Mix Alstroemeria ( 12 Inch ) 7   Grass</v>
          </cell>
          <cell r="T99" t="str">
            <v>P Spray Daisy ( 14 Inch ) 3 Rajni ( 14 inch ) 7   FF sachet + Car</v>
          </cell>
        </row>
        <row r="100">
          <cell r="A100">
            <v>1953</v>
          </cell>
          <cell r="B100" t="str">
            <v>Sandhya Nagesh</v>
          </cell>
          <cell r="C100">
            <v>8800649797</v>
          </cell>
          <cell r="D100" t="str">
            <v>89, Ground Floor, Woodstock Floors, Sec 50</v>
          </cell>
          <cell r="E100" t="str">
            <v>Nirvana Country</v>
          </cell>
          <cell r="F100" t="str">
            <v>Saturday</v>
          </cell>
          <cell r="G100" t="str">
            <v>9 AM - 12 PM</v>
          </cell>
          <cell r="H100">
            <v>3000</v>
          </cell>
          <cell r="I100">
            <v>375</v>
          </cell>
          <cell r="J100" t="str">
            <v>Charm</v>
          </cell>
          <cell r="K100" t="str">
            <v>Saturday n Tueaday(02/09) No Del From 10th to 19th (09/09) Today returned(19/08) hold today send tom (07/10) Skip 20th Del (14/01) Hold 6th n 10th Sug (03/08) Return tiday (07/02) Today Returned (24/02)</v>
          </cell>
          <cell r="N100" t="str">
            <v>2  del of this cycle   -  0-cycles pmnt   Completed - Collect 0</v>
          </cell>
          <cell r="O100" t="str">
            <v>P n Y Spray Daisy ( 14 Inch ) 4     FF Sachet + Grass</v>
          </cell>
          <cell r="P100" t="str">
            <v>R n P Car ( 14 Inch ) 15     FF Sachet + Grass</v>
          </cell>
          <cell r="Q100" t="str">
            <v>P n W Glad ( 14 Inch ) 15     Grass</v>
          </cell>
          <cell r="R100" t="str">
            <v>Sunflower ( 14 Inch ) 4     FF Sachet + Grass</v>
          </cell>
          <cell r="S100" t="str">
            <v>B Orchid  4     FF Sachet + Grass</v>
          </cell>
          <cell r="T100" t="str">
            <v>Rajni ( 14 Inch ) 15     Grass</v>
          </cell>
        </row>
        <row r="101">
          <cell r="A101" t="str">
            <v>B56392</v>
          </cell>
          <cell r="B101" t="str">
            <v>Tarushi--Skyon</v>
          </cell>
          <cell r="C101">
            <v>9873968830</v>
          </cell>
          <cell r="D101" t="str">
            <v>B-2004, Ireo Skyon, Sec 60</v>
          </cell>
          <cell r="E101" t="str">
            <v>Ghata</v>
          </cell>
          <cell r="F101" t="str">
            <v>Sunday</v>
          </cell>
          <cell r="G101" t="str">
            <v>By 11 AM</v>
          </cell>
          <cell r="H101">
            <v>6800</v>
          </cell>
          <cell r="I101">
            <v>6800</v>
          </cell>
          <cell r="J101" t="str">
            <v>Bouquet</v>
          </cell>
          <cell r="K101" t="str">
            <v xml:space="preserve">8 Set of Light Mix color Gypsola ( Light Pink + Light B + W + Light Yell in 6" Vase Size -- Don’t Need Vases (07/07) </v>
          </cell>
          <cell r="N101" t="str">
            <v>1  del of this cycle   -  1-cycles pmnt   Pending - Collect 6800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( Light P + Light B + W + Light Yel Colored Gypsola)  with 8 Stem Each bunch 8 Bunch without wrap    </v>
          </cell>
        </row>
        <row r="102">
          <cell r="A102">
            <v>3318</v>
          </cell>
          <cell r="B102" t="str">
            <v>Sba Garg</v>
          </cell>
          <cell r="C102">
            <v>9654607568</v>
          </cell>
          <cell r="D102" t="str">
            <v>H. No. 5833, Aster Avenue, DLF Phase 4</v>
          </cell>
          <cell r="E102" t="str">
            <v>DLF Phase 4</v>
          </cell>
          <cell r="F102" t="str">
            <v>Saturday</v>
          </cell>
          <cell r="G102" t="str">
            <v>9:30 Am to 2 PM</v>
          </cell>
          <cell r="H102">
            <v>1950</v>
          </cell>
          <cell r="I102">
            <v>487.5</v>
          </cell>
          <cell r="J102" t="str">
            <v>Joy</v>
          </cell>
          <cell r="K102" t="str">
            <v>Four Plus 1 Pack // No Sunflower and Ladylace // Skip 1 wek (28/06)</v>
          </cell>
          <cell r="L102" t="str">
            <v>Sunflower n Lady Lace</v>
          </cell>
          <cell r="N102" t="str">
            <v>2  del of this cycle   -  0-cycles pmnt   Completed - Collect 0</v>
          </cell>
          <cell r="O102" t="str">
            <v>Pur n P Car ( 14 Inch ) 22     FF Sachet + Grass</v>
          </cell>
          <cell r="P102" t="str">
            <v>P n Pur Eustoma ( 12 Inch ) 4     FF Sachet + Grass</v>
          </cell>
          <cell r="Q102" t="str">
            <v>P n Y Spray Daisy ( 14 Inch ) 7     FF Sachet + Grass</v>
          </cell>
          <cell r="R102" t="str">
            <v>P Asiatic ( 14 Inch ) 4     Grass</v>
          </cell>
          <cell r="S102" t="e">
            <v>#N/A</v>
          </cell>
          <cell r="T102" t="str">
            <v>P n W Glad ( 14 Inch ) 22     Grass</v>
          </cell>
        </row>
        <row r="103">
          <cell r="A103">
            <v>1396</v>
          </cell>
          <cell r="B103" t="str">
            <v>Shalini Malhotra</v>
          </cell>
          <cell r="C103">
            <v>9899897993</v>
          </cell>
          <cell r="D103" t="str">
            <v>31-Espace</v>
          </cell>
          <cell r="E103" t="str">
            <v>Nirvana Country</v>
          </cell>
          <cell r="F103" t="str">
            <v>Saturday</v>
          </cell>
          <cell r="G103" t="str">
            <v>9 AM - 12 PM</v>
          </cell>
          <cell r="H103">
            <v>2750</v>
          </cell>
          <cell r="I103">
            <v>687.5</v>
          </cell>
          <cell r="J103" t="str">
            <v>Elation</v>
          </cell>
          <cell r="K103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3" t="str">
            <v>Orchid n GLAD</v>
          </cell>
          <cell r="N103" t="str">
            <v>1  del of this cycle   -  0-cycles pmnt   Completed - Collect 0</v>
          </cell>
          <cell r="O103" t="str">
            <v>Pur n P Car ( 14 Inch ) 32     2 Limonium + FF Sachet</v>
          </cell>
          <cell r="P103" t="str">
            <v>P n Pur Eustoma ( 12 Inch ) 6     2 Gypsola + FF sachet</v>
          </cell>
          <cell r="Q103" t="str">
            <v>P n Y Spray Daisy ( 14 Inch ) 10   Collect Payment Collect Payment 2 Gypsola + FF sachet</v>
          </cell>
          <cell r="R103" t="str">
            <v>P Asiatic ( 14 Inch ) 6     2 Limonium</v>
          </cell>
          <cell r="S103" t="e">
            <v>#N/A</v>
          </cell>
          <cell r="T103" t="str">
            <v xml:space="preserve">R n W Car ( 14 Inch ) 32     2 Gypsola + FF sachet </v>
          </cell>
        </row>
        <row r="104">
          <cell r="A104">
            <v>2837</v>
          </cell>
          <cell r="B104" t="str">
            <v>Atikant</v>
          </cell>
          <cell r="C104">
            <v>9953210341</v>
          </cell>
          <cell r="D104" t="str">
            <v>W-4/8, Unit C, 2 &amp; 3 Moulsari Avenue</v>
          </cell>
          <cell r="E104" t="str">
            <v>DLF Phase 3</v>
          </cell>
          <cell r="F104" t="str">
            <v>Saturday</v>
          </cell>
          <cell r="G104" t="str">
            <v>9:30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104" t="str">
            <v>1  del of this cycle   -  1-cycles pmnt   Pending - Collect 1450</v>
          </cell>
          <cell r="O104" t="str">
            <v>P n W Glad ( 14 Inch ) 9     Grass</v>
          </cell>
          <cell r="P104" t="str">
            <v>R n P Car ( 14 Inch ) 9     FF Sachet + Grass</v>
          </cell>
          <cell r="Q104" t="str">
            <v>P Asiatic ( 14 Inch ) 2     Grass</v>
          </cell>
          <cell r="R104" t="str">
            <v>Sunflower ( 14 Inch ) 2     Grass</v>
          </cell>
          <cell r="S104" t="e">
            <v>#N/A</v>
          </cell>
          <cell r="T104" t="str">
            <v>Rajni ( 14 Inch ) 16     Grass</v>
          </cell>
        </row>
        <row r="105">
          <cell r="A105">
            <v>3222</v>
          </cell>
          <cell r="B105" t="str">
            <v>Bibhuti Vikram Singh</v>
          </cell>
          <cell r="C105">
            <v>9811912776</v>
          </cell>
          <cell r="D105" t="str">
            <v>T-6A/104, Valley View Estate, Gwal pahari</v>
          </cell>
          <cell r="E105" t="str">
            <v>Ghata</v>
          </cell>
          <cell r="F105" t="str">
            <v>Sunday</v>
          </cell>
          <cell r="G105" t="str">
            <v>9 AM - 12 PM</v>
          </cell>
          <cell r="H105">
            <v>1450</v>
          </cell>
          <cell r="I105">
            <v>362.5</v>
          </cell>
          <cell r="J105" t="str">
            <v>Bliss</v>
          </cell>
          <cell r="K105" t="str">
            <v>One Kind</v>
          </cell>
          <cell r="M105" t="str">
            <v>One Kind</v>
          </cell>
          <cell r="N105" t="str">
            <v>3  del of this cycle   -  0-cycles pmnt   Completed - Collect 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str">
            <v>W Asiatic ( 14 Inch ) 3     Grass</v>
          </cell>
          <cell r="T105" t="str">
            <v>Rajni ( 14 Inch ) 16     Grass</v>
          </cell>
        </row>
        <row r="106">
          <cell r="A106">
            <v>3052</v>
          </cell>
          <cell r="B106" t="str">
            <v>Surabhi Singh - Orchid Petals</v>
          </cell>
          <cell r="C106">
            <v>9990327545</v>
          </cell>
          <cell r="D106" t="str">
            <v>T-9/501, Orchid Petals</v>
          </cell>
          <cell r="E106" t="str">
            <v>Sohna Road 1</v>
          </cell>
          <cell r="F106" t="str">
            <v>Friday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Skip 1 week (16/10) Skip 1 week (11/11) Today Hold (20/02) HDTNP (27/02) HDTNP (06/03)</v>
          </cell>
          <cell r="N106" t="str">
            <v>2  del of this cycle   -  1-cycles pmnt   Pending - Collect 1450</v>
          </cell>
          <cell r="O106" t="str">
            <v>Sunflower ( 12 Inch ) 1     FF Sachet + Grass</v>
          </cell>
          <cell r="P106" t="e">
            <v>#N/A</v>
          </cell>
          <cell r="Q106" t="e">
            <v>#N/A</v>
          </cell>
          <cell r="R106" t="e">
            <v>#N/A</v>
          </cell>
          <cell r="S106" t="e">
            <v>#N/A</v>
          </cell>
          <cell r="T106" t="str">
            <v>O Asiatic ( 14 Inch ) 3    Ensure Collection Grass</v>
          </cell>
        </row>
        <row r="107">
          <cell r="A107" t="str">
            <v>B56410</v>
          </cell>
          <cell r="B107">
            <v>98991171429</v>
          </cell>
          <cell r="C107">
            <v>98991171429</v>
          </cell>
          <cell r="D107" t="str">
            <v>54/3, Acacia, Vatika City</v>
          </cell>
          <cell r="E107" t="str">
            <v>Sohna Road 1</v>
          </cell>
          <cell r="F107" t="str">
            <v>Saturday</v>
          </cell>
          <cell r="G107" t="str">
            <v>By 1 PM</v>
          </cell>
          <cell r="H107">
            <v>1850</v>
          </cell>
          <cell r="I107">
            <v>1850</v>
          </cell>
          <cell r="J107" t="str">
            <v>Bouquet</v>
          </cell>
          <cell r="K107" t="str">
            <v>8 Red n W Asiatic in Single Wrap</v>
          </cell>
          <cell r="N107" t="str">
            <v>1  del of this cycle   -  0-cycles pmnt   Completed - Collect 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str">
            <v xml:space="preserve">R n W Asiatic  8 Single Wrap    </v>
          </cell>
        </row>
        <row r="108">
          <cell r="A108" t="str">
            <v>B56411</v>
          </cell>
          <cell r="B108">
            <v>98991171429</v>
          </cell>
          <cell r="C108">
            <v>98991171429</v>
          </cell>
          <cell r="D108" t="str">
            <v>54/3, Acacia, Vatika City</v>
          </cell>
          <cell r="E108" t="str">
            <v>Sohna Road 1</v>
          </cell>
          <cell r="F108" t="str">
            <v>Saturday</v>
          </cell>
          <cell r="G108" t="str">
            <v>By 1 PM</v>
          </cell>
          <cell r="H108">
            <v>950</v>
          </cell>
          <cell r="I108">
            <v>950</v>
          </cell>
          <cell r="J108" t="str">
            <v>Bouquet</v>
          </cell>
          <cell r="K108" t="str">
            <v>15 Rajni in Pink n W Tissue Wrap</v>
          </cell>
          <cell r="N108" t="str">
            <v>1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 xml:space="preserve">Rajni 15 Full Oink n W Tissue Wrap    </v>
          </cell>
        </row>
        <row r="109">
          <cell r="A109" t="str">
            <v>B56412</v>
          </cell>
          <cell r="B109">
            <v>98991171429</v>
          </cell>
          <cell r="C109">
            <v>98991171429</v>
          </cell>
          <cell r="D109" t="str">
            <v>54/3, Acacia, Vatika City</v>
          </cell>
          <cell r="E109" t="str">
            <v>Sohna Road 1</v>
          </cell>
          <cell r="F109" t="str">
            <v>Saturday</v>
          </cell>
          <cell r="G109" t="str">
            <v>By 1 PM</v>
          </cell>
          <cell r="H109">
            <v>750</v>
          </cell>
          <cell r="I109">
            <v>750</v>
          </cell>
          <cell r="J109" t="str">
            <v>Bouquet</v>
          </cell>
          <cell r="K109" t="str">
            <v>10 Shaded P Rose in front Tissue Wrap</v>
          </cell>
          <cell r="N109" t="str">
            <v>1  del of this cycle   -  0-cycles pmnt   Completed - Collect 0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str">
            <v xml:space="preserve">Shd P Rose  10 Fron Tissue Wrap    </v>
          </cell>
        </row>
        <row r="110">
          <cell r="A110">
            <v>3110</v>
          </cell>
          <cell r="B110" t="str">
            <v>Asraj Singh</v>
          </cell>
          <cell r="C110">
            <v>9837880008</v>
          </cell>
          <cell r="D110" t="str">
            <v>7519, 2nd Floor, Bougainvillea Street, Near Supermart-2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1450</v>
          </cell>
          <cell r="I110">
            <v>362.5</v>
          </cell>
          <cell r="J110" t="str">
            <v>Bliss</v>
          </cell>
          <cell r="K110" t="str">
            <v>Paytm frim Sidak Singh // Return today (02/05) HDTNP (06/06) HDTNP (13/06) HDTNP (20/06) HDTNP (27/06) HDTNP (04/07)</v>
          </cell>
          <cell r="N110" t="str">
            <v>1  del of this cycle   -  0-cycles pmnt   Completed - Collect 0</v>
          </cell>
          <cell r="O110" t="e">
            <v>#N/A</v>
          </cell>
          <cell r="P110" t="e">
            <v>#N/A</v>
          </cell>
          <cell r="Q110" t="e">
            <v>#N/A</v>
          </cell>
          <cell r="R110" t="str">
            <v>Collect 500      Grass</v>
          </cell>
          <cell r="S110" t="e">
            <v>#N/A</v>
          </cell>
          <cell r="T110" t="str">
            <v>R n W Car ( 14 Inch ) 16     FF sachet + Car</v>
          </cell>
        </row>
        <row r="111">
          <cell r="A111">
            <v>3335</v>
          </cell>
          <cell r="B111" t="str">
            <v>Aman Batra</v>
          </cell>
          <cell r="C111">
            <v>8826778738</v>
          </cell>
          <cell r="D111" t="str">
            <v>Tower-F/702, The Ivy, Block A, Sushant Lok-1</v>
          </cell>
          <cell r="E111" t="str">
            <v>DLF Phase 4</v>
          </cell>
          <cell r="F111" t="str">
            <v>Saturday</v>
          </cell>
          <cell r="G111" t="str">
            <v>10 AM to 2:30 PM</v>
          </cell>
          <cell r="H111">
            <v>4750</v>
          </cell>
          <cell r="I111">
            <v>1187.5</v>
          </cell>
          <cell r="J111" t="str">
            <v>Enchantment</v>
          </cell>
          <cell r="K111" t="str">
            <v>Hold n start from 30th May // Sen this week on Friday (25/06) No Glad (25/06) No rajni ( 07/07)</v>
          </cell>
          <cell r="L111" t="str">
            <v xml:space="preserve">Glad n Rajni </v>
          </cell>
          <cell r="N111" t="str">
            <v>3  del of this cycle   -  0-cycles pmnt   Completed - Collect 0</v>
          </cell>
          <cell r="O111" t="str">
            <v>Pur n P Eustoma ( 12 Inch ) 6 Rajni 30   3 Areca Palm + 3 Gypsola + FF sachet</v>
          </cell>
          <cell r="P111" t="str">
            <v>P n Y Asiatic ( 14 Inch ) 6 P n W Glad ( 14 Inch ) 30   3 Areca Palm + 3 Limonium</v>
          </cell>
          <cell r="Q111" t="str">
            <v>P Oriental ( 15 Inch ) 4 B Daisy ( 12 Inch ) 30   3 Areca Palm + 3 Gypsola</v>
          </cell>
          <cell r="R111" t="e">
            <v>#N/A</v>
          </cell>
          <cell r="S111" t="str">
            <v>O Asiatic ( 14 Inch ) 6 Rajni ( 14 Inch ) 30   3 Areca palm + 3 Limonium</v>
          </cell>
          <cell r="T111" t="str">
            <v>W Oriental ( 15 Inch ) 4 R n W Car ( 14 Inch ) 30   3 Areca Palm + 3 Gypsola</v>
          </cell>
        </row>
        <row r="112">
          <cell r="B112" t="str">
            <v xml:space="preserve">LAHIRI </v>
          </cell>
          <cell r="C112">
            <v>9289097779</v>
          </cell>
          <cell r="D112" t="str">
            <v xml:space="preserve">AG 81, Nirvana country sector 50 </v>
          </cell>
          <cell r="H112">
            <v>900</v>
          </cell>
          <cell r="J112" t="str">
            <v>Bouquet</v>
          </cell>
          <cell r="K112" t="str">
            <v>Today 
AG 81, Nirvana country sector 50 
9289097779
Name- LAHIRI 
Please collect 900</v>
          </cell>
          <cell r="N112" t="str">
            <v>No Collection</v>
          </cell>
          <cell r="T112" t="str">
            <v xml:space="preserve">W Spray Daisy+ B Daisy  Tissue Wrap    </v>
          </cell>
        </row>
        <row r="113">
          <cell r="A113">
            <v>1334</v>
          </cell>
          <cell r="B113" t="str">
            <v>Rumika</v>
          </cell>
          <cell r="C113">
            <v>8750280078</v>
          </cell>
          <cell r="D113" t="str">
            <v>M-77, 1st Floor,Adani Samsara, Sector 60</v>
          </cell>
          <cell r="E113" t="str">
            <v>Ghata</v>
          </cell>
          <cell r="F113" t="str">
            <v>Saturday</v>
          </cell>
          <cell r="G113" t="str">
            <v>Post 5 PM</v>
          </cell>
          <cell r="H113">
            <v>2300</v>
          </cell>
          <cell r="I113">
            <v>287.5</v>
          </cell>
          <cell r="J113" t="str">
            <v>Felicity</v>
          </cell>
          <cell r="K113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13" t="str">
            <v>Heliconia n Spray Daisy n Rajni</v>
          </cell>
          <cell r="M113" t="str">
            <v>Send 1 Extra Premiun next (08/02)</v>
          </cell>
          <cell r="N113" t="str">
            <v>6  del of this cycle   -  0-cycles pmnt   Completed - Collect 0</v>
          </cell>
          <cell r="O113" t="str">
            <v>P Asiatic ( 14 Inch ) 2     Grass</v>
          </cell>
          <cell r="P113" t="str">
            <v>R n P Car ( 14 Inch ) 11     FF Sachet + Grass</v>
          </cell>
          <cell r="Q113" t="str">
            <v>B Daisy ( 12 Inch ) 11     Grass</v>
          </cell>
          <cell r="R113" t="str">
            <v>P n W car ( 14 Inch ) 11   Ensure Collection Ensure Collection Grass</v>
          </cell>
          <cell r="S113" t="str">
            <v>Sunflower ( 12 Inch ) 3     FF Sachet + Grass</v>
          </cell>
          <cell r="T113" t="str">
            <v>Mix Alstroemeria ( 12 Inch ) 11     FF Sachet + Grass</v>
          </cell>
        </row>
        <row r="114">
          <cell r="A114">
            <v>3026</v>
          </cell>
          <cell r="B114" t="str">
            <v>Richa Jindal</v>
          </cell>
          <cell r="C114">
            <v>9818372485</v>
          </cell>
          <cell r="D114" t="str">
            <v>E-1001, The Vilas, Akashmeen Marg, DLF Phase 2</v>
          </cell>
          <cell r="H114">
            <v>1450</v>
          </cell>
          <cell r="J114" t="str">
            <v>Bliss</v>
          </cell>
          <cell r="T114" t="str">
            <v>Rajni 16     Grass</v>
          </cell>
        </row>
        <row r="115">
          <cell r="B115" t="str">
            <v>97113 00256‬</v>
          </cell>
          <cell r="C115" t="str">
            <v>97113 00256‬</v>
          </cell>
          <cell r="D115" t="str">
            <v>702, Tower 3, The Close North, Sector 50, Gurgaon</v>
          </cell>
          <cell r="H115">
            <v>1560</v>
          </cell>
          <cell r="J115" t="str">
            <v>Bouquet</v>
          </cell>
          <cell r="T115" t="str">
            <v xml:space="preserve">Shd Pur Car+P Car+Y Button Daisy+W Button Daisy+ Rajni 3+3+5+5+8 Areca palm and greens    </v>
          </cell>
        </row>
        <row r="116">
          <cell r="A116">
            <v>18</v>
          </cell>
          <cell r="B116" t="str">
            <v>Ms. Shweta Ghosh</v>
          </cell>
          <cell r="C116">
            <v>9643200607</v>
          </cell>
          <cell r="D116" t="str">
            <v>T-7/1702, The Close South , Sector 50</v>
          </cell>
          <cell r="E116" t="str">
            <v>Nirvana Country</v>
          </cell>
          <cell r="F116" t="str">
            <v>Saturday</v>
          </cell>
          <cell r="G116" t="str">
            <v>4 Pm to 7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16" t="str">
            <v>GLDA n RAJNI</v>
          </cell>
          <cell r="M116" t="str">
            <v>Skip 6th n send on 8th this week (03/06)</v>
          </cell>
          <cell r="N116" t="str">
            <v>1  del of this cycle   -  1-cycles pmnt   Pending - Collect 1450</v>
          </cell>
          <cell r="O116" t="e">
            <v>#N/A</v>
          </cell>
          <cell r="P116" t="str">
            <v>P n Y Spray Daisy ( 14 Inch ) 5     FF Sachet + Grass</v>
          </cell>
          <cell r="Q116" t="str">
            <v>Mix Car 16   Collect Payment Collect Payment Grass</v>
          </cell>
          <cell r="R116" t="str">
            <v>P Asiatic ( 14 Inch ) 3   Ensure Collection Ensure Collection Grass</v>
          </cell>
          <cell r="S116" t="str">
            <v>Sunflower ( 12 Inch ) 4     FF Sachet + Grass</v>
          </cell>
          <cell r="T116" t="str">
            <v>B Daisy ( 12 Inch ) 16     Grass</v>
          </cell>
        </row>
        <row r="117">
          <cell r="A117">
            <v>3050</v>
          </cell>
          <cell r="B117" t="str">
            <v>Unnati Jain</v>
          </cell>
          <cell r="C117">
            <v>8999727355</v>
          </cell>
          <cell r="D117" t="str">
            <v>T-16/1003, Orchid Petals</v>
          </cell>
          <cell r="G117" t="str">
            <v>Replacment</v>
          </cell>
          <cell r="H117" t="str">
            <v>Replacment</v>
          </cell>
          <cell r="I117" t="str">
            <v>Replacment</v>
          </cell>
          <cell r="J117" t="str">
            <v>Replacment</v>
          </cell>
          <cell r="K117" t="str">
            <v>Replacment</v>
          </cell>
          <cell r="L117" t="str">
            <v>Replacment</v>
          </cell>
          <cell r="M117" t="str">
            <v>Replacment</v>
          </cell>
          <cell r="N117" t="str">
            <v>Replacment</v>
          </cell>
          <cell r="O117" t="str">
            <v>Replacment</v>
          </cell>
          <cell r="P117" t="str">
            <v>Replacment</v>
          </cell>
          <cell r="Q117" t="str">
            <v>Replacment</v>
          </cell>
          <cell r="R117" t="str">
            <v>Replacment</v>
          </cell>
          <cell r="S117" t="str">
            <v>Replacment</v>
          </cell>
          <cell r="T117" t="str">
            <v>B Daisy ( 12 Inch ) 7     Grass</v>
          </cell>
        </row>
        <row r="118">
          <cell r="B118" t="str">
            <v>Tanushree</v>
          </cell>
          <cell r="C118">
            <v>7506186861</v>
          </cell>
          <cell r="D118" t="str">
            <v xml:space="preserve">1701 Tower 15, The close North, </v>
          </cell>
          <cell r="H118">
            <v>1500</v>
          </cell>
          <cell r="J118" t="str">
            <v>Bouquet</v>
          </cell>
          <cell r="K118" t="str">
            <v>Tanushree 7506186861 1701 Tower 15 Gurgaon - Empty message card
3 white and 2 pink oriental lilies in single brown wrap 
Today 
1500 received</v>
          </cell>
          <cell r="T118" t="str">
            <v xml:space="preserve">P n W Oriental 3+2 Single Wrap Blank Card    </v>
          </cell>
        </row>
        <row r="119">
          <cell r="B119" t="str">
            <v xml:space="preserve">Pooja </v>
          </cell>
          <cell r="C119" t="str">
            <v>95605 49333</v>
          </cell>
          <cell r="D119" t="str">
            <v xml:space="preserve">B block 105  Sujaan Vihar </v>
          </cell>
          <cell r="G119" t="str">
            <v>between 5-6</v>
          </cell>
          <cell r="H119">
            <v>600</v>
          </cell>
          <cell r="J119" t="str">
            <v>Bouquet</v>
          </cell>
          <cell r="K119" t="str">
            <v>Today between 4:30-5:30
2 stem yellow asiatic slightly bloomed and 5 white carnations with greens 
To 
Pooja 
+91 95605 49333</v>
          </cell>
          <cell r="T119" t="str">
            <v xml:space="preserve">yellow asiatic slightly bloomed  2 W Car 5   </v>
          </cell>
        </row>
        <row r="120">
          <cell r="A120">
            <v>3185</v>
          </cell>
          <cell r="B120" t="str">
            <v>Kamla Anand</v>
          </cell>
          <cell r="C120">
            <v>9711216660</v>
          </cell>
          <cell r="D120" t="str">
            <v>83  Jasminium 1,Vatika city 
Sec 49</v>
          </cell>
          <cell r="G120" t="str">
            <v>Replacment</v>
          </cell>
          <cell r="H120" t="str">
            <v>Replacment</v>
          </cell>
          <cell r="I120" t="str">
            <v>Replacment</v>
          </cell>
          <cell r="J120" t="str">
            <v>Replacment</v>
          </cell>
          <cell r="K120" t="str">
            <v>Replacment</v>
          </cell>
          <cell r="L120" t="str">
            <v>Replacment</v>
          </cell>
          <cell r="M120" t="str">
            <v>Replacment</v>
          </cell>
          <cell r="N120" t="str">
            <v>Replacment</v>
          </cell>
          <cell r="T120" t="str">
            <v xml:space="preserve">Mix Spray Daisy 5     </v>
          </cell>
        </row>
        <row r="121">
          <cell r="B121" t="str">
            <v xml:space="preserve">Mr C Buhdiraja </v>
          </cell>
          <cell r="C121" t="str">
            <v> 97171 46706‬</v>
          </cell>
          <cell r="D121" t="str">
            <v xml:space="preserve">B 73 ICON  DLF 5 
Gurugram </v>
          </cell>
          <cell r="G121" t="str">
            <v>between 6:30 to 7:30 pm</v>
          </cell>
          <cell r="H121">
            <v>600</v>
          </cell>
          <cell r="J121" t="str">
            <v>Bouquet</v>
          </cell>
          <cell r="T121" t="str">
            <v xml:space="preserve">Mix Car 10 Brown Wrap  Message  </v>
          </cell>
        </row>
        <row r="122">
          <cell r="A122">
            <v>3188</v>
          </cell>
          <cell r="B122" t="str">
            <v>Pallavi Jha</v>
          </cell>
          <cell r="C122">
            <v>9599927793</v>
          </cell>
          <cell r="D122" t="str">
            <v>E-1903, Mapsko Mountville, Sec 79</v>
          </cell>
          <cell r="E122" t="str">
            <v>Badshahpur</v>
          </cell>
          <cell r="F122" t="str">
            <v>Friday</v>
          </cell>
          <cell r="G122" t="str">
            <v>4 Pm to 7 PM</v>
          </cell>
          <cell r="H122">
            <v>1450</v>
          </cell>
          <cell r="I122">
            <v>362.5</v>
          </cell>
          <cell r="J122" t="str">
            <v>Bliss</v>
          </cell>
          <cell r="K122" t="str">
            <v>From Pallavee Rajbongshi (16/01) Hold after 3rd Del (20/05)</v>
          </cell>
          <cell r="N122" t="str">
            <v>1  del of this cycle   -  1-cycles pmnt   Pending - Collect 1450</v>
          </cell>
          <cell r="O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str">
            <v>Pur n P Car ( 14 Inch ) 9     FF Sachet + Grass</v>
          </cell>
          <cell r="T122" t="str">
            <v>O Asiatic ( 14 Inch ) 3     Grass</v>
          </cell>
        </row>
        <row r="123">
          <cell r="A123" t="str">
            <v>B56393</v>
          </cell>
          <cell r="B123" t="str">
            <v>Sangeeta Sharma</v>
          </cell>
          <cell r="C123">
            <v>9845660589</v>
          </cell>
          <cell r="D123" t="str">
            <v>T-7/1702, M3M Merlin, Sec 67</v>
          </cell>
          <cell r="E123" t="str">
            <v>Badshahpur</v>
          </cell>
          <cell r="F123" t="str">
            <v>Saturday</v>
          </cell>
          <cell r="G123" t="str">
            <v>By 5 PM</v>
          </cell>
          <cell r="H123">
            <v>2500</v>
          </cell>
          <cell r="I123">
            <v>2500</v>
          </cell>
          <cell r="J123" t="str">
            <v>Bouquet</v>
          </cell>
          <cell r="K123" t="str">
            <v>40 Red n P Rose in Full Tissue Wrap</v>
          </cell>
          <cell r="N123" t="str">
            <v>1  del of this cycle   -  1-cycles pmnt   Pending - Collect 2500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e">
            <v>#N/A</v>
          </cell>
          <cell r="T123" t="str">
            <v xml:space="preserve">Red n Shd P Rose  40 Full Tissue Wrap    </v>
          </cell>
        </row>
        <row r="124">
          <cell r="B124" t="str">
            <v>Ratna Golaknath</v>
          </cell>
          <cell r="C124">
            <v>9810424682</v>
          </cell>
          <cell r="D124" t="str">
            <v>EG-1/41, Garden Estate</v>
          </cell>
          <cell r="H124">
            <v>900</v>
          </cell>
          <cell r="J124" t="str">
            <v>Bouquet</v>
          </cell>
          <cell r="T124" t="str">
            <v xml:space="preserve">P Oriental 6 Grass+arica    </v>
          </cell>
        </row>
        <row r="125">
          <cell r="B125" t="str">
            <v>Manisha Dilawari</v>
          </cell>
          <cell r="C125">
            <v>9810653326</v>
          </cell>
          <cell r="D125" t="str">
            <v>Building-6/5B, The Hibiscus</v>
          </cell>
          <cell r="G125" t="str">
            <v>around 7</v>
          </cell>
          <cell r="H125">
            <v>1210</v>
          </cell>
          <cell r="J125" t="str">
            <v>Bouquet</v>
          </cell>
          <cell r="K125" t="str">
            <v>Pls send this to manisha Dilawari today around 7pm and send one peach Rose separate</v>
          </cell>
          <cell r="T125" t="str">
            <v xml:space="preserve">Gerbera+ B Daisy Vase Arrangement one peach Rose seperate    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1063</v>
          </cell>
          <cell r="B2" t="str">
            <v>Sarika Bhattacharya</v>
          </cell>
          <cell r="C2">
            <v>9899457726</v>
          </cell>
          <cell r="D2" t="str">
            <v>T2/1404, The Palms</v>
          </cell>
          <cell r="E2" t="str">
            <v>South City 1</v>
          </cell>
          <cell r="F2" t="str">
            <v>Saturday</v>
          </cell>
          <cell r="G2" t="str">
            <v>9 AM to 2 PM</v>
          </cell>
          <cell r="H2">
            <v>1600</v>
          </cell>
          <cell r="I2">
            <v>200</v>
          </cell>
          <cell r="J2" t="str">
            <v>Bloom</v>
          </cell>
          <cell r="K2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" t="str">
            <v>5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str">
            <v>Pur n P Car ( 14 Inch ) 7     FF Sachet + Grass</v>
          </cell>
          <cell r="S2" t="str">
            <v>Rajni ( 14 Inch ) 7     Grass</v>
          </cell>
          <cell r="T2" t="str">
            <v>Mix Glad ( 14 Inch ) 7     Grass</v>
          </cell>
        </row>
        <row r="3">
          <cell r="B3" t="str">
            <v xml:space="preserve">Dr Richa </v>
          </cell>
          <cell r="C3" t="str">
            <v>98182 36276‬</v>
          </cell>
          <cell r="D3" t="str">
            <v>1204 Tower 6 Karnak Omaxe The Nile 
Sector 49
Sohna Road</v>
          </cell>
          <cell r="G3" t="str">
            <v>Before 2 Pm</v>
          </cell>
          <cell r="H3">
            <v>800</v>
          </cell>
          <cell r="J3" t="str">
            <v>Bouquet</v>
          </cell>
          <cell r="K3" t="str">
            <v>From 
+91 98182 37329
Today before 2:30 
20 shaded pink roses in single brown wrap to 
Dr Richa 
1204 Tower 6 Karnak 
Omaxe The Nile 
Sector 49
Sohna Road
Gurgaon 
122018
‪+91 98182 36276‬
Message 
Happy Birthday Dear Richa…!!!!
From: Arora’s</v>
          </cell>
          <cell r="T3" t="str">
            <v xml:space="preserve">Shd P Rose 20 Single Wrap Message   </v>
          </cell>
        </row>
        <row r="4">
          <cell r="A4">
            <v>2232</v>
          </cell>
          <cell r="B4" t="str">
            <v xml:space="preserve">Smita Halder </v>
          </cell>
          <cell r="C4">
            <v>9687638449</v>
          </cell>
          <cell r="D4" t="str">
            <v>1st floor, plot 65
Opposite ardee school 
Ardee city gate 3</v>
          </cell>
          <cell r="E4" t="str">
            <v>Sushant Estate</v>
          </cell>
          <cell r="F4" t="str">
            <v>Saturday</v>
          </cell>
          <cell r="G4" t="str">
            <v>9 AM - 12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4" t="str">
            <v>1  del of this cycle   -  1-cycles pmnt   Pending - Collect 1610</v>
          </cell>
          <cell r="O4" t="str">
            <v>P n W Glad ( 14 Inch ) 16     Grass</v>
          </cell>
          <cell r="P4" t="str">
            <v>P Eustoma ( 12 Inch ) 3     Grass</v>
          </cell>
          <cell r="Q4" t="str">
            <v>Pur n P car ( 14 Inch ) 16     FF Sachet + Grass</v>
          </cell>
          <cell r="R4" t="str">
            <v>O Asiatic ( 14 Inch ) 3     Grass</v>
          </cell>
          <cell r="S4" t="str">
            <v>Mix Car 16     Grass</v>
          </cell>
          <cell r="T4" t="str">
            <v>P n Y Spray Daisy ( 14 Inch ) 5     FF Sachet + Grass</v>
          </cell>
        </row>
        <row r="5">
          <cell r="A5">
            <v>3132</v>
          </cell>
          <cell r="B5" t="str">
            <v>Ramesh Kapoor</v>
          </cell>
          <cell r="C5">
            <v>9717416100</v>
          </cell>
          <cell r="D5" t="str">
            <v>T-6/1404, The Palms, South City 1</v>
          </cell>
          <cell r="E5" t="str">
            <v>South City 1</v>
          </cell>
          <cell r="F5" t="str">
            <v>Tuesday</v>
          </cell>
          <cell r="G5" t="str">
            <v>9 AM - 12 PM</v>
          </cell>
          <cell r="H5">
            <v>2300</v>
          </cell>
          <cell r="I5">
            <v>287.5</v>
          </cell>
          <cell r="J5" t="str">
            <v>Felicity</v>
          </cell>
          <cell r="K5" t="str">
            <v>Paytm From Anuradha Kapoor - Anu Kapoor (04/11) Premium tom (13/11) Replacement tom (21/04) 10 % Discint given (15/06) Today hold n sned tom (20/06) Today returned and skip Tuesday also (27/06)</v>
          </cell>
          <cell r="M5" t="str">
            <v>Premium Next (13/11)</v>
          </cell>
          <cell r="N5" t="str">
            <v>8  del of this cycle   -  0-cycles pmnt   Completed - Collect 40</v>
          </cell>
          <cell r="O5" t="e">
            <v>#N/A</v>
          </cell>
          <cell r="P5" t="str">
            <v>B Daisy ( 12 Inch ) 7     Grass</v>
          </cell>
          <cell r="Q5" t="str">
            <v>Pur n P car ( 14 Inch ) 11     FF Sachet + Grass</v>
          </cell>
          <cell r="R5" t="str">
            <v>Pur n P Car ( 14 Inch ) 11     FF Sachet + Grass</v>
          </cell>
          <cell r="S5" t="str">
            <v>O Asiatic ( 14 Inch ) 2     Grass</v>
          </cell>
          <cell r="T5" t="str">
            <v>P Spray Daisy ( 14 Inch ) 2     FF sachet + Grass</v>
          </cell>
        </row>
        <row r="6">
          <cell r="A6">
            <v>59</v>
          </cell>
          <cell r="B6" t="str">
            <v>Ms. Payel</v>
          </cell>
          <cell r="C6">
            <v>9871370096</v>
          </cell>
          <cell r="D6" t="str">
            <v xml:space="preserve">  I-1001, Mapple Heights, Sushant lok-1</v>
          </cell>
          <cell r="E6" t="str">
            <v>M G Road</v>
          </cell>
          <cell r="F6" t="str">
            <v>Saturday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6" t="str">
            <v>3  del of this cycle   -  0-cycles pmnt   Completed - Collect 0</v>
          </cell>
          <cell r="O6" t="str">
            <v>Pur Eustoma ( 12 Inch ) 3     FF Sachet + Grass</v>
          </cell>
          <cell r="P6" t="str">
            <v>B Daisy ( 12 Inch ) 16     Grass</v>
          </cell>
          <cell r="Q6" t="str">
            <v>Pur n P car ( 14 Inch ) 16     FF Sachet + Grass</v>
          </cell>
          <cell r="R6" t="str">
            <v>Sunflower ( 12 Inch ) 4     FF Sachet + Grass</v>
          </cell>
          <cell r="S6" t="str">
            <v>Rajni ( 14 Inch ) 16    Ensure Collection Grass</v>
          </cell>
          <cell r="T6" t="str">
            <v>O Asiatic ( 14 Inch ) 3     Grass</v>
          </cell>
        </row>
        <row r="7">
          <cell r="A7">
            <v>3390</v>
          </cell>
          <cell r="B7" t="str">
            <v>Rajpal Singh</v>
          </cell>
          <cell r="C7">
            <v>8800344225</v>
          </cell>
          <cell r="D7" t="str">
            <v>F-2, Greenwood City, Sec 46</v>
          </cell>
          <cell r="E7" t="str">
            <v>Sector 46</v>
          </cell>
          <cell r="F7" t="str">
            <v>Saturday</v>
          </cell>
          <cell r="G7" t="str">
            <v>9 AM - 12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No Rajni (11/07)</v>
          </cell>
          <cell r="L7" t="str">
            <v>Rajni</v>
          </cell>
          <cell r="N7" t="str">
            <v>4  del of this cycle   -  0-cycles pmnt   Completed - Collect 0</v>
          </cell>
          <cell r="O7" t="e">
            <v>#N/A</v>
          </cell>
          <cell r="P7" t="e">
            <v>#N/A</v>
          </cell>
          <cell r="Q7" t="str">
            <v>Pur n P car ( 14 Inch ) 16     FF Sachet + Grass</v>
          </cell>
          <cell r="R7" t="str">
            <v>P Asiatic ( 14 Inch ) 3     Grass</v>
          </cell>
          <cell r="S7" t="str">
            <v>Rajni ( 14 Inch ) 16     Grass</v>
          </cell>
          <cell r="T7" t="str">
            <v>P n Y Spray Daisy ( 14 Inch ) 5     FF Sachet + Grass</v>
          </cell>
        </row>
        <row r="8">
          <cell r="B8" t="str">
            <v>Garima</v>
          </cell>
          <cell r="C8" t="str">
            <v xml:space="preserve"> 98119 83856</v>
          </cell>
          <cell r="D8" t="str">
            <v>Malibu Town Tower2/603</v>
          </cell>
          <cell r="H8">
            <v>2000</v>
          </cell>
          <cell r="J8" t="str">
            <v>Bouquet</v>
          </cell>
          <cell r="K8" t="str">
            <v>Pls send today  for 2000 and send today to Garima ma’am — +91 98119 83856 and collect cash</v>
          </cell>
          <cell r="N8" t="str">
            <v>collect cash 2000</v>
          </cell>
          <cell r="T8" t="str">
            <v xml:space="preserve">Mix Flower   Korean Wrap    </v>
          </cell>
        </row>
        <row r="9">
          <cell r="A9">
            <v>2390</v>
          </cell>
          <cell r="B9" t="str">
            <v xml:space="preserve">Richa Sawhney </v>
          </cell>
          <cell r="C9">
            <v>9801727902</v>
          </cell>
          <cell r="D9" t="str">
            <v>T-2/902, Unitech palms, South City 1</v>
          </cell>
          <cell r="E9" t="str">
            <v>South City 1</v>
          </cell>
          <cell r="F9" t="str">
            <v>Saturday</v>
          </cell>
          <cell r="G9" t="str">
            <v>9 AM to 2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Hold n start from 10th (22/09) Skip 1 week (24/12) HDTNP (06/06)</v>
          </cell>
          <cell r="N9" t="str">
            <v>3  del of this cycle   -  0-cycles pmnt   Completed - Collect 0</v>
          </cell>
          <cell r="O9" t="str">
            <v>R n P Car ( 14 Inch ) 9     FF Sachet + Grass</v>
          </cell>
          <cell r="P9" t="str">
            <v>B Daisy ( 12 Inch ) 9     Grass</v>
          </cell>
          <cell r="Q9" t="str">
            <v>P Asiatic ( 14 Inch ) 2     Grass</v>
          </cell>
          <cell r="R9" t="str">
            <v>P n W Glad ( 14 Inch ) 16     Grass</v>
          </cell>
          <cell r="S9" t="str">
            <v>P n Y Spray Daisy ( 14 Inch ) 5     FF sachet + Car</v>
          </cell>
          <cell r="T9" t="str">
            <v>G n W Car ( 14 Inch ) 16     FF Sachet + Grass</v>
          </cell>
        </row>
        <row r="10">
          <cell r="B10" t="str">
            <v>ANKIT KATHPAL</v>
          </cell>
          <cell r="C10">
            <v>7042110288</v>
          </cell>
          <cell r="D10" t="str">
            <v>H No. - 806
M3M one Key Resiments
Gurugram - 122001</v>
          </cell>
          <cell r="G10" t="str">
            <v>Before 5 Pm</v>
          </cell>
          <cell r="H10">
            <v>2000</v>
          </cell>
          <cell r="J10" t="str">
            <v>Bouquet</v>
          </cell>
          <cell r="K10" t="str">
            <v>ANKIT KATHPAL
Call : +917042110288
Email : *ankitkathpal7@gmail.com
H No. - 806
M3M one Key Resiments
Gurugram - 122001
Location : https://maps.app.goo.gl/6oJnvtUm57BRZZv1A?g_st=com.google.maps.preview.copy</v>
          </cell>
          <cell r="T10" t="str">
            <v>Rajni 30 Make In Sponge  Rajni 20 Areca apalm + Grass</v>
          </cell>
        </row>
        <row r="11">
          <cell r="A11">
            <v>169</v>
          </cell>
          <cell r="B11" t="str">
            <v>Suniti Banga -- Before 11 AM</v>
          </cell>
          <cell r="C11">
            <v>9810282649</v>
          </cell>
          <cell r="D11" t="str">
            <v>A-3/1102, Uniworld City Sector 30</v>
          </cell>
          <cell r="E11" t="str">
            <v>South City 1</v>
          </cell>
          <cell r="F11" t="str">
            <v>Saturday</v>
          </cell>
          <cell r="G11" t="str">
            <v>9 AM - 12 PM</v>
          </cell>
          <cell r="H11">
            <v>3750</v>
          </cell>
          <cell r="I11">
            <v>937.5</v>
          </cell>
          <cell r="J11" t="str">
            <v>Savor</v>
          </cell>
          <cell r="K11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11" t="str">
            <v>4  del of this cycle   -  0-cycles pmnt   Completed - Collect 0</v>
          </cell>
          <cell r="O11" t="str">
            <v>Y Asiatic ( 14 inch ) 4 Pur n p Car ( 14 inch ) 21   2 Gypsola + FF Sachet</v>
          </cell>
          <cell r="P11" t="e">
            <v>#N/A</v>
          </cell>
          <cell r="Q11" t="e">
            <v>#N/A</v>
          </cell>
          <cell r="R11" t="str">
            <v xml:space="preserve">W Oriental ( 15 Inch ) 3 P n W Glad ( 14 Inch ) 15   2 Limonium </v>
          </cell>
          <cell r="S11" t="str">
            <v>P Asiatic ( 14 Inch ) 4 Mix Alstroemeria ( 12  Inch ) 20   2 Gypsola</v>
          </cell>
          <cell r="T11" t="str">
            <v xml:space="preserve">O Asiatic ( 14 Inch ) 4 G n W Car ( 14 Inch ) 21   2 Limonium </v>
          </cell>
        </row>
        <row r="12">
          <cell r="A12">
            <v>3283</v>
          </cell>
          <cell r="B12" t="str">
            <v>Samia Sharma</v>
          </cell>
          <cell r="C12">
            <v>9910022591</v>
          </cell>
          <cell r="D12" t="str">
            <v>C-65, 1st Floor, South City 1</v>
          </cell>
          <cell r="E12" t="str">
            <v>South City 1</v>
          </cell>
          <cell r="F12" t="str">
            <v>Saturday</v>
          </cell>
          <cell r="G12" t="str">
            <v>4 PM to 7 PM</v>
          </cell>
          <cell r="H12">
            <v>1950</v>
          </cell>
          <cell r="I12">
            <v>487.5</v>
          </cell>
          <cell r="J12" t="str">
            <v>Joy</v>
          </cell>
          <cell r="K12" t="str">
            <v>Mix Color and one kind (07/03)</v>
          </cell>
          <cell r="M12" t="str">
            <v>Mix Color and one kind (07/03)</v>
          </cell>
          <cell r="N12" t="str">
            <v>1  del of this cycle   -  0-cycles pmnt   Completed - Collect 0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str">
            <v>G n W Car ( 14 Inch ) 22     FF Sachet + Grass</v>
          </cell>
        </row>
        <row r="13">
          <cell r="A13">
            <v>2257</v>
          </cell>
          <cell r="B13" t="str">
            <v>Akanksha Bhatia -- After 4 PM</v>
          </cell>
          <cell r="C13">
            <v>9987861735</v>
          </cell>
          <cell r="D13" t="str">
            <v>H. No. 149, 3rd Floor, A Block, South City 1</v>
          </cell>
          <cell r="E13" t="str">
            <v>South City 1</v>
          </cell>
          <cell r="F13" t="str">
            <v>Saturday</v>
          </cell>
          <cell r="G13" t="str">
            <v>After 4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v>
          </cell>
          <cell r="N13" t="str">
            <v>1  del of this cycle   -  0-cycles pmnt   Completed - Collect 0</v>
          </cell>
          <cell r="O13" t="str">
            <v>P Eustoma ( 12 Inch ) 3     FF Sachet + Grass</v>
          </cell>
          <cell r="P13" t="e">
            <v>#N/A</v>
          </cell>
          <cell r="Q13" t="str">
            <v>Pur n P car ( 14 Inch ) 16     FF Sachet + Grass</v>
          </cell>
          <cell r="R13" t="str">
            <v>O Asiatic ( 14 Inch ) 3     Grass</v>
          </cell>
          <cell r="S13" t="e">
            <v>#N/A</v>
          </cell>
          <cell r="T13" t="str">
            <v>Mix Glad ( 14 Inch ) 16     Grass</v>
          </cell>
        </row>
        <row r="14">
          <cell r="A14">
            <v>3100</v>
          </cell>
          <cell r="B14" t="str">
            <v>Mansi Tyagi</v>
          </cell>
          <cell r="C14">
            <v>9971455549</v>
          </cell>
          <cell r="D14" t="str">
            <v>C-923, 4th Floor, Sushant Lok-1</v>
          </cell>
          <cell r="E14" t="str">
            <v>M G Road</v>
          </cell>
          <cell r="F14" t="str">
            <v>Saturday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N14" t="str">
            <v>3  del of this cycle   -  0-cycles pmnt   Completed - Collect 0</v>
          </cell>
          <cell r="O14" t="str">
            <v>Y Spray Daisy ( 14 Inch ) 3     FF Sachet + Grass</v>
          </cell>
          <cell r="P14" t="str">
            <v>B Daisy ( 12 Inch ) 9   Collect Payment Collect Payment Grass</v>
          </cell>
          <cell r="Q14" t="str">
            <v>P Asiatic ( 14 Inch ) 2     Grass</v>
          </cell>
          <cell r="R14" t="str">
            <v>Pur n P Car ( 14 Inch ) 16     Grass</v>
          </cell>
          <cell r="S14" t="str">
            <v>Sunflower ( 12 Inch ) 4    Ensure Collection FF sachet + Car</v>
          </cell>
          <cell r="T14" t="str">
            <v>Mix Glad ( 14 Inch ) 16     Grass</v>
          </cell>
        </row>
        <row r="15">
          <cell r="A15">
            <v>3412</v>
          </cell>
          <cell r="B15" t="str">
            <v>Sharmistha Dutta</v>
          </cell>
          <cell r="C15">
            <v>9811101764</v>
          </cell>
          <cell r="D15" t="str">
            <v>T-A/501, Uniwrold City Sec 30</v>
          </cell>
          <cell r="E15" t="str">
            <v>South City 1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N15" t="str">
            <v>1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G n W Car ( 14 Inch ) 16     FF Sachet + Grass</v>
          </cell>
        </row>
        <row r="16">
          <cell r="A16" t="str">
            <v>B16484</v>
          </cell>
          <cell r="B16" t="str">
            <v>Inyi Lyizoba</v>
          </cell>
          <cell r="C16">
            <v>8130186985</v>
          </cell>
          <cell r="D16" t="str">
            <v>F-143, Park Place Heights, Sec 54</v>
          </cell>
          <cell r="E16" t="str">
            <v>DLF Phase 5</v>
          </cell>
          <cell r="F16" t="str">
            <v>Saturday</v>
          </cell>
          <cell r="G16" t="str">
            <v>By 10 AM</v>
          </cell>
          <cell r="H16">
            <v>1100</v>
          </cell>
          <cell r="I16">
            <v>1100</v>
          </cell>
          <cell r="J16" t="str">
            <v>Bouquet</v>
          </cell>
          <cell r="K16" t="str">
            <v>From Seema Subscription // 10 Peach Rose and 3 Oramge Asiatic in brown wrap// Wishing you a super speedy recovery!    Lots of love,     Seema (17/07)</v>
          </cell>
          <cell r="N16" t="str">
            <v>1  del of this cycle   -  0-cycles pmnt   In Process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str">
            <v xml:space="preserve">Peach Rose + O Asiatic  10 + 3 Single Wrap Message   </v>
          </cell>
        </row>
        <row r="17">
          <cell r="A17" t="str">
            <v>B16481</v>
          </cell>
          <cell r="B17" t="str">
            <v>Rachna Rathee</v>
          </cell>
          <cell r="C17">
            <v>9811779661</v>
          </cell>
          <cell r="D17" t="str">
            <v xml:space="preserve">DX-106 flat no,Kendriya vihar Sector 56
</v>
          </cell>
          <cell r="E17" t="str">
            <v>Sector 56</v>
          </cell>
          <cell r="F17" t="str">
            <v>Saturday</v>
          </cell>
          <cell r="G17" t="str">
            <v>By 10 AM</v>
          </cell>
          <cell r="H17">
            <v>600</v>
          </cell>
          <cell r="I17">
            <v>600</v>
          </cell>
          <cell r="J17" t="str">
            <v>Bouquet</v>
          </cell>
          <cell r="K17" t="str">
            <v>15 Car in Single Wrap</v>
          </cell>
          <cell r="N17" t="str">
            <v>1  del of this cycle   -  1-cycles pmnt   Pending - Collect 600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P n W Car  15 Single Wrap     </v>
          </cell>
        </row>
        <row r="18">
          <cell r="A18">
            <v>3372</v>
          </cell>
          <cell r="B18" t="str">
            <v>Anabhra Mishra</v>
          </cell>
          <cell r="C18">
            <v>9519954064</v>
          </cell>
          <cell r="D18" t="str">
            <v>E-504, Sujjan Vihar</v>
          </cell>
          <cell r="E18" t="str">
            <v>DLF Phase 5</v>
          </cell>
          <cell r="F18" t="str">
            <v>Saturday</v>
          </cell>
          <cell r="G18" t="str">
            <v>9 AM to 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Eustoma next (12/06)</v>
          </cell>
          <cell r="M18" t="str">
            <v>Eustoma next (12/06)</v>
          </cell>
          <cell r="N18" t="str">
            <v>4  del of this cycle   -  0-cycles pmnt   Completed - Collect 0</v>
          </cell>
          <cell r="O18" t="str">
            <v>Pur Eustoma ( 12 Inch ) 3     FF Sachet + Grass</v>
          </cell>
          <cell r="P18" t="str">
            <v>P n Y Spray Daisy ( 14 Inch ) 5     FF Sachet + Grass</v>
          </cell>
          <cell r="Q18" t="e">
            <v>#N/A</v>
          </cell>
          <cell r="R18" t="str">
            <v>Pur n P Car ( 14 Inch ) 16     FF Sachet + Grass</v>
          </cell>
          <cell r="S18" t="str">
            <v>P Asiatic ( 14 Inch ) 3     Grass</v>
          </cell>
          <cell r="T18" t="str">
            <v>Mix Alstroemeria ( 12 Inch ) 16     Grass</v>
          </cell>
        </row>
        <row r="19">
          <cell r="A19">
            <v>1536</v>
          </cell>
          <cell r="B19" t="str">
            <v>Farah</v>
          </cell>
          <cell r="C19">
            <v>9871518449</v>
          </cell>
          <cell r="D19" t="str">
            <v>D-12/3, Ground Floor, Gate no.4, aardee City</v>
          </cell>
          <cell r="E19" t="str">
            <v>Sushant Estate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v>
          </cell>
          <cell r="L19" t="str">
            <v>Spray Daisy n Rajni</v>
          </cell>
          <cell r="N19" t="str">
            <v>1  del of this cycle   -  1-cycles pmnt   Pending - Collect 1450</v>
          </cell>
          <cell r="O19" t="e">
            <v>#N/A</v>
          </cell>
          <cell r="P19" t="e">
            <v>#N/A</v>
          </cell>
          <cell r="Q19" t="str">
            <v>Pur n P car ( 14 Inch ) 9     FF Sachet + Grass</v>
          </cell>
          <cell r="R19" t="str">
            <v>O Asiatic ( 14 Inch ) 2     Grass</v>
          </cell>
          <cell r="S19" t="e">
            <v>#N/A</v>
          </cell>
          <cell r="T19" t="str">
            <v>Mix Alstroemeria ( 12 Inch ) 16     Grass</v>
          </cell>
        </row>
        <row r="20">
          <cell r="A20">
            <v>2290</v>
          </cell>
          <cell r="B20" t="str">
            <v>Anjana Soneja -- Before 1:30 OM</v>
          </cell>
          <cell r="C20">
            <v>9910049708</v>
          </cell>
          <cell r="D20" t="str">
            <v>G-18/10, 3rd Floor, DLF Phase 1</v>
          </cell>
          <cell r="H20">
            <v>2300</v>
          </cell>
          <cell r="J20" t="str">
            <v>Felicity</v>
          </cell>
          <cell r="K20" t="str">
            <v>Start Anjana Soneja from today</v>
          </cell>
          <cell r="T20" t="str">
            <v>G n W Car ( 14 Inch ) 11     FF sachet + Grass</v>
          </cell>
        </row>
        <row r="21">
          <cell r="A21">
            <v>2324</v>
          </cell>
          <cell r="B21" t="str">
            <v>Reena Singh</v>
          </cell>
          <cell r="C21">
            <v>9810094023</v>
          </cell>
          <cell r="D21" t="str">
            <v>A1/304, Uniworld City</v>
          </cell>
          <cell r="E21" t="str">
            <v>South City 1</v>
          </cell>
          <cell r="F21" t="str">
            <v>Saturday</v>
          </cell>
          <cell r="G21" t="str">
            <v>4 Pm to 7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21" t="str">
            <v>4  del of this cycle   -  0-cycles pmnt   CompletedNO COLLECTION-we have extra money - Collect -4</v>
          </cell>
          <cell r="O21" t="str">
            <v>Y Asiatic ( 14 inch ) 2     Grass</v>
          </cell>
          <cell r="P21" t="str">
            <v>B Daisy ( 12 Inch ) 9     Grass</v>
          </cell>
          <cell r="Q21" t="str">
            <v>Pur n P car ( 14 Inch ) 16     FF Sachet + Grass</v>
          </cell>
          <cell r="R21" t="str">
            <v>Sunflower ( 12 Inch ) 4     Grass</v>
          </cell>
          <cell r="S21" t="str">
            <v>O Asiatic 3     Grass</v>
          </cell>
          <cell r="T21" t="str">
            <v>Mix Alstroemeria ( 12 Inch ) 16     FF Sachet + Grass</v>
          </cell>
        </row>
        <row r="22">
          <cell r="A22">
            <v>975</v>
          </cell>
          <cell r="B22" t="str">
            <v>Ritu Sacheti</v>
          </cell>
          <cell r="C22">
            <v>9910007371</v>
          </cell>
          <cell r="D22" t="str">
            <v>B1/1401, World Spa, Sector 30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3750</v>
          </cell>
          <cell r="I22">
            <v>468.75</v>
          </cell>
          <cell r="J22" t="str">
            <v>Grace</v>
          </cell>
          <cell r="K2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22" t="str">
            <v>GERBERA n SUNFLOWER</v>
          </cell>
          <cell r="N22" t="str">
            <v>4  del of this cycle   -  0-cycles pmnt   Completed - Collect 0</v>
          </cell>
          <cell r="O22" t="str">
            <v>Pur Eustoma ( 12 Inch ) 3 Rajni ( 14 Inch ) 10   FF Sachet + Grass</v>
          </cell>
          <cell r="P22" t="str">
            <v>P Asiatic ( 14 Inch ) 2 B Daisy ( 12 Inch ) 10   Grass</v>
          </cell>
          <cell r="Q22" t="str">
            <v>Y Spray Daisy ( 14 Inch ) 3 P n W Glad ( 14 Inch ) 10   FF Sachet + Grass</v>
          </cell>
          <cell r="R22" t="str">
            <v>W Asiatic ( 14 Inch ) 2 Rajni ( 14 Inch ) 10   Grass</v>
          </cell>
          <cell r="S22" t="str">
            <v>P Sprya Daisy ( 14 Inch ) 3 P n W Glad ( 14 Inch ) 10   FF Sachet + Grass</v>
          </cell>
          <cell r="T22" t="str">
            <v>Y Spray Daosy ( 14 Inch ) 3 Rajni ( 14 Inch ) 10   FF sachet + Grass</v>
          </cell>
        </row>
        <row r="23">
          <cell r="A23">
            <v>2542</v>
          </cell>
          <cell r="B23" t="str">
            <v>Ankita Jain</v>
          </cell>
          <cell r="C23">
            <v>9899133443</v>
          </cell>
          <cell r="D23" t="str">
            <v>B-778, 2nd Floor, Sushant Lok</v>
          </cell>
          <cell r="E23" t="str">
            <v>M G Road</v>
          </cell>
          <cell r="F23" t="str">
            <v>Saturday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23" t="str">
            <v>4  del of this cycle   -  0-cycles pmnt   CompletedNO COLLECTION-we have extra money - Collect -50</v>
          </cell>
          <cell r="O23" t="e">
            <v>#N/A</v>
          </cell>
          <cell r="P23" t="e">
            <v>#N/A</v>
          </cell>
          <cell r="Q23" t="str">
            <v>Mix Car 16     FF Sachet + Grass</v>
          </cell>
          <cell r="R23" t="str">
            <v>Rajni 16     FF Sachet + Grass</v>
          </cell>
          <cell r="S23" t="str">
            <v>O Asiatic ( 14 Inch ) 3     Grass</v>
          </cell>
          <cell r="T23" t="str">
            <v>Mix Alstroemeria ( 12 Inch ) 16     Grass</v>
          </cell>
        </row>
        <row r="24">
          <cell r="A24">
            <v>3089</v>
          </cell>
          <cell r="B24" t="str">
            <v>Anshu Sonkar</v>
          </cell>
          <cell r="C24">
            <v>9319410163</v>
          </cell>
          <cell r="D24" t="str">
            <v>C-561, 4th Floor, Sushant Lok Phase 1</v>
          </cell>
          <cell r="E24" t="str">
            <v>M G Road</v>
          </cell>
          <cell r="F24" t="str">
            <v>Saturday</v>
          </cell>
          <cell r="G24" t="str">
            <v>9 AM - 12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24" t="str">
            <v>Car</v>
          </cell>
          <cell r="N24" t="str">
            <v>3  del of this cycle   -  0-cycles pmnt   Completed - Collect 0</v>
          </cell>
          <cell r="O24" t="e">
            <v>#N/A</v>
          </cell>
          <cell r="P24" t="str">
            <v>R n G Car ( 14 Inch ) 16     FF Sachet + Grass</v>
          </cell>
          <cell r="Q24" t="e">
            <v>#N/A</v>
          </cell>
          <cell r="R24" t="e">
            <v>#N/A</v>
          </cell>
          <cell r="S24" t="str">
            <v>O Asiatic ( 14 Inch ) 2     Grass</v>
          </cell>
          <cell r="T24" t="str">
            <v>Mix Alstroemeria ( 12 Inch ) 16     Grass</v>
          </cell>
        </row>
        <row r="25">
          <cell r="A25">
            <v>796</v>
          </cell>
          <cell r="B25" t="str">
            <v>Isha Tyagi</v>
          </cell>
          <cell r="C25">
            <v>9711508206</v>
          </cell>
          <cell r="D25" t="str">
            <v>C-22-A, 2nd Floor,Aardee City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1950</v>
          </cell>
          <cell r="I25">
            <v>487.5</v>
          </cell>
          <cell r="J25" t="str">
            <v>Joy</v>
          </cell>
          <cell r="K25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5" t="str">
            <v>4  del of this cycle   -  0-cycles pmnt   Completed - Collect 0</v>
          </cell>
          <cell r="O25" t="str">
            <v>P n W Glad ( 14 Inch ) 22     Grass</v>
          </cell>
          <cell r="P25" t="str">
            <v>P n Pur Eustoma ( 12 Inch ) 4     FF Sachet + Grass</v>
          </cell>
          <cell r="Q25" t="str">
            <v>Pur n P car ( 14 Inch ) 22     FF Sachet + Grass</v>
          </cell>
          <cell r="R25" t="str">
            <v>W Asiatic ( 14 Inch ) 4     Grass</v>
          </cell>
          <cell r="S25" t="str">
            <v>Mix Alstroemeria ( 12 Inch ) 22    Ensure Collection FF sachet + Car</v>
          </cell>
          <cell r="T25" t="str">
            <v>P n W Spray Daisy ( 14 Inch ) 7     FF Sachet + Grass</v>
          </cell>
        </row>
        <row r="26">
          <cell r="A26">
            <v>212</v>
          </cell>
          <cell r="B26" t="str">
            <v>Shalini Sinha</v>
          </cell>
          <cell r="C26">
            <v>9810453173</v>
          </cell>
          <cell r="D26" t="str">
            <v>A4/602, World Spa East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26" t="str">
            <v xml:space="preserve">ORCHID n GLAD </v>
          </cell>
          <cell r="N26" t="str">
            <v>1  del of this cycle   -  1-cycles pmnt   Pending - Collect 1450</v>
          </cell>
          <cell r="O26" t="str">
            <v>P Spray Daisy ( 14 Inch ) 3     FF Sachet + Grass</v>
          </cell>
          <cell r="P26" t="e">
            <v>#N/A</v>
          </cell>
          <cell r="Q26" t="str">
            <v>Pur n P car ( 14 Inch ) 16     FF Sachet + Grass</v>
          </cell>
          <cell r="R26" t="str">
            <v>W Asiatic ( 14 Inch ) 3     Grass</v>
          </cell>
          <cell r="S26" t="str">
            <v>Mix Alstroemeria ( 12 Inch ) 16     FF sachet + Car</v>
          </cell>
          <cell r="T26" t="str">
            <v>P n W Spray Daisy ( 14 Inch ) 5     FF Sachet + Grass</v>
          </cell>
        </row>
        <row r="27">
          <cell r="A27">
            <v>1975</v>
          </cell>
          <cell r="B27" t="str">
            <v>Nidhee pathak</v>
          </cell>
          <cell r="C27" t="str">
            <v>98734 25980</v>
          </cell>
          <cell r="D27" t="str">
            <v>1602, Tower-3,The Palms
South City-1</v>
          </cell>
          <cell r="E27" t="str">
            <v>South City 1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7" t="str">
            <v>ROSE</v>
          </cell>
          <cell r="N27" t="str">
            <v>2  del of this cycle   -  1-cycles pmnt   Pending - Collect 1950</v>
          </cell>
          <cell r="O27" t="str">
            <v>P n Pur Eustoma ( 12 Inch ) 4     FF Sachet + Grass</v>
          </cell>
          <cell r="P27" t="str">
            <v>B Daisy ( 12 Inch ) 22     Grass</v>
          </cell>
          <cell r="Q27" t="str">
            <v>P n W Glad ( 14 Inch ) 22     Grass</v>
          </cell>
          <cell r="R27" t="str">
            <v>W Asiatic ( 14 Inch ) 4     Grass</v>
          </cell>
          <cell r="S27" t="str">
            <v>Sunflower ( 12 Inch ) 5     FF sachet + Car</v>
          </cell>
          <cell r="T27" t="str">
            <v>G n W Car ( 14 Inch ) 22   Collect payment Collect payment FF Sachet + Grass</v>
          </cell>
        </row>
        <row r="28">
          <cell r="A28">
            <v>2692</v>
          </cell>
          <cell r="B28" t="str">
            <v>A K Jain</v>
          </cell>
          <cell r="C28">
            <v>9910309930</v>
          </cell>
          <cell r="D28" t="str">
            <v>B-785, Sushant Lok-1, Near Police Chowki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2300</v>
          </cell>
          <cell r="I28">
            <v>287.5</v>
          </cell>
          <cell r="J28" t="str">
            <v>Felicity</v>
          </cell>
          <cell r="K2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28" t="str">
            <v>3  del of this cycle   -  0-cycles pmnt   Completed - Collect 0</v>
          </cell>
          <cell r="O28" t="str">
            <v>Sunflower ( 12 Inch ) 3     FF Sachet + Grass</v>
          </cell>
          <cell r="P28" t="str">
            <v>B Daisy ( 12 Inch ) 11     Grass</v>
          </cell>
          <cell r="Q28" t="str">
            <v>O Asiatic ( 14 Inch ) 2     Grass</v>
          </cell>
          <cell r="R28" t="str">
            <v>BOP ( 15 Inch ) 2     FF Sachet + Grass</v>
          </cell>
          <cell r="S28" t="str">
            <v>Sunflower ( 12 Inch ) 3     FF Sachet + Grass</v>
          </cell>
          <cell r="T28" t="str">
            <v>Pur Eustoma ( 12 Inch ) 3     FF sachet + Grass</v>
          </cell>
        </row>
        <row r="29">
          <cell r="A29">
            <v>3373</v>
          </cell>
          <cell r="B29" t="str">
            <v>Kirti Singhal</v>
          </cell>
          <cell r="C29">
            <v>9045453716</v>
          </cell>
          <cell r="D29" t="str">
            <v>57, Mohyal Colony, Sec 40</v>
          </cell>
          <cell r="E29" t="str">
            <v>Sushant Estate</v>
          </cell>
          <cell r="F29" t="str">
            <v>Saturday</v>
          </cell>
          <cell r="G29" t="str">
            <v>4 PM to 7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From 7060315977 // Paytm from Tanmay Gupta (23/05) Skip 1 week (26/05) Hold today (27/06)</v>
          </cell>
          <cell r="N29" t="str">
            <v>3  del of this cycle   -  0-cycles pmnt   Completed - Collect 0</v>
          </cell>
          <cell r="O29" t="str">
            <v>P n W Carnation  ( 14 Inch ) 16     Grass</v>
          </cell>
          <cell r="P29" t="str">
            <v>P Eustoma ( 12 Inch ) 3     Grass</v>
          </cell>
          <cell r="Q29" t="str">
            <v>Asiatic 3     Grass</v>
          </cell>
          <cell r="R29" t="str">
            <v>P n W Glad ( 14 Inch ) 16     Grass</v>
          </cell>
          <cell r="S29" t="str">
            <v>Rajni ( 14 Inch ) 16     Grass</v>
          </cell>
          <cell r="T29" t="str">
            <v>G n W Car ( 14 Inch ) 16     FF Sachet + Grass</v>
          </cell>
        </row>
        <row r="30">
          <cell r="A30">
            <v>1281</v>
          </cell>
          <cell r="B30" t="str">
            <v>Shawlinee</v>
          </cell>
          <cell r="C30">
            <v>9818993372</v>
          </cell>
          <cell r="D30" t="str">
            <v>17/501, Heritage City</v>
          </cell>
          <cell r="E30" t="str">
            <v>M G Road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Rajni Next (07/11) Replacement tom (12/07) 5 Pur Orchid (30/09) Skip 1 week (20/11) 1000 received as cash on 05th Aug (09/08) Change to bliss now (03/10) Shift to Delight now (15/10)</v>
          </cell>
          <cell r="M30" t="str">
            <v>Shift to Delight now (15/10</v>
          </cell>
          <cell r="N30" t="str">
            <v>4  del of this cycle   -  0-cycles pmnt   Completed - Collect 0</v>
          </cell>
          <cell r="O30" t="e">
            <v>#N/A</v>
          </cell>
          <cell r="P30" t="e">
            <v>#N/A</v>
          </cell>
          <cell r="Q30" t="str">
            <v>Pur n P car ( 14 Inch ) 16     FF Sachet + Grass</v>
          </cell>
          <cell r="R30" t="str">
            <v>O Asiatic ( 14 Inch ) 3     Grass</v>
          </cell>
          <cell r="S30" t="str">
            <v>Rajni ( 14 Inch ) 16     Grass</v>
          </cell>
          <cell r="T30" t="str">
            <v>P n Y Spray Daisy ( 14 Inch ) 5     FF Sachet + Grass</v>
          </cell>
        </row>
        <row r="31">
          <cell r="A31">
            <v>318</v>
          </cell>
          <cell r="B31" t="str">
            <v>Kalyani Rajan</v>
          </cell>
          <cell r="C31">
            <v>9811021884</v>
          </cell>
          <cell r="D31" t="str">
            <v>9/106, Heritage City, M G Road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1" t="str">
            <v>GERBERA</v>
          </cell>
          <cell r="M31" t="str">
            <v>Vase Tom (22/05)</v>
          </cell>
          <cell r="N31" t="str">
            <v>1  del of this cycle   -  0-cycles pmnt   Completed - Collect 0</v>
          </cell>
          <cell r="O31" t="str">
            <v>Sunflower ( 12 Inch ) 2     FF Sachet + Grass</v>
          </cell>
          <cell r="P31" t="str">
            <v>P n W Glad ( 14 Inch ) 9     Grass</v>
          </cell>
          <cell r="Q31" t="str">
            <v>Rajni ( 12 Inch ) 9     Grass</v>
          </cell>
          <cell r="R31" t="str">
            <v>P Asiatic ( 14 Inch ) 2     Grass</v>
          </cell>
          <cell r="S31" t="str">
            <v xml:space="preserve">R n W Car ( 14 Inch ) 9     </v>
          </cell>
          <cell r="T31" t="str">
            <v>P n W Spray Daisy ( 14 Inch ) 5     FF Sachet + Grass</v>
          </cell>
        </row>
        <row r="32">
          <cell r="A32">
            <v>2937</v>
          </cell>
          <cell r="B32" t="str">
            <v>Vani Kalra</v>
          </cell>
          <cell r="C32">
            <v>9810121070</v>
          </cell>
          <cell r="D32" t="str">
            <v>B-644, Sushant Lok-1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Day Changed to Tuesday and shared Location</v>
          </cell>
          <cell r="M32" t="str">
            <v>Location</v>
          </cell>
          <cell r="N32" t="str">
            <v>3  del of this cycle   -  0-cycles pmnt   Completed - Collect 0</v>
          </cell>
          <cell r="O32" t="str">
            <v>P n Y Spray Daisy ( 14 Inch ) 4 P n W Glad ( 14 Inch ) 11   FF Sachet + Grass</v>
          </cell>
          <cell r="P32" t="str">
            <v>P Asiatic ( 14 Inch ) 2 B Daisy ( 12 Inch ) 11   Grass</v>
          </cell>
          <cell r="Q32" t="str">
            <v>Sunflower ( 14 Inch ) 3 Pur n P Car ( 14 Inch ) 11   FF Sachet + Grass</v>
          </cell>
          <cell r="R32" t="str">
            <v>BOP 2 Rajni ( 14 Inch ) 11   Grass</v>
          </cell>
          <cell r="S32" t="str">
            <v>P n W Spray Daisy ( 14 Inch ) 4 P n W Glad ( 14 Inch ) 11   FF sachet + Car</v>
          </cell>
          <cell r="T32" t="str">
            <v>W Asiatic ( 14 Inch ) 2 Mix Alstroemeria ( 12 Inch ) 11   Grass</v>
          </cell>
        </row>
        <row r="33">
          <cell r="A33">
            <v>3138</v>
          </cell>
          <cell r="B33" t="str">
            <v>Alpna Verma</v>
          </cell>
          <cell r="C33">
            <v>9811996368</v>
          </cell>
          <cell r="D33" t="str">
            <v>B-70, Sushant Lok Phase 1, Next to Vipul Square, Enter gaye no. 4</v>
          </cell>
          <cell r="E33" t="str">
            <v>M G Road</v>
          </cell>
          <cell r="F33" t="str">
            <v>Tuesday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Day Changed ro Tuesday and Saturday (22/03)Single Color Flowers (01/12)</v>
          </cell>
          <cell r="M33" t="str">
            <v>Single Color Flowers</v>
          </cell>
          <cell r="N33" t="str">
            <v>1  del of this cycle   -  1-cycles pmnt   Pending - Collect 2300</v>
          </cell>
          <cell r="O33" t="e">
            <v>#N/A</v>
          </cell>
          <cell r="P33" t="str">
            <v>B Daisy ( 12 Inch ) 11     Grass</v>
          </cell>
          <cell r="Q33" t="str">
            <v>P Asiatic ( 14 Inch ) 2     Grass</v>
          </cell>
          <cell r="R33" t="str">
            <v>P Glad ( 14 Inch )  11 One Color Flower    FF Sachet + Grass</v>
          </cell>
          <cell r="S33" t="str">
            <v>Shd Pur Car ( 14 Inch ) 11     FF Sachet + Grass</v>
          </cell>
          <cell r="T33" t="str">
            <v>Sunflower ( 12 Inch ) 3     FF sachet + Grass</v>
          </cell>
        </row>
        <row r="34">
          <cell r="A34">
            <v>1882</v>
          </cell>
          <cell r="B34" t="str">
            <v xml:space="preserve">Shilpa Gupta </v>
          </cell>
          <cell r="C34">
            <v>9899285336</v>
          </cell>
          <cell r="D34" t="str">
            <v>H . No. 83, 1st Floor,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Skip 1 week(11/04) Skip this week to Tuesday (08/03) Skip 2 week (19/07) Skip and send on 31st Mar (28/03) Skip n send on Monday (10/07) Skip tom n send on Monday (14/08)</v>
          </cell>
          <cell r="M34" t="str">
            <v xml:space="preserve">Skip 29th </v>
          </cell>
          <cell r="N34" t="str">
            <v>4  del of this cycle   -  0-cycles pmnt   Completed - Collect 0</v>
          </cell>
          <cell r="O34" t="str">
            <v>P n Pur Eustoma ( 12 Inch ) 4     FF Sachet + Grass</v>
          </cell>
          <cell r="P34" t="str">
            <v>P n W Glad ( 14 Inch ) 22     Grass</v>
          </cell>
          <cell r="Q34" t="str">
            <v>Sunflower ( 14 Inch ) 5     FF Sachet + Grass</v>
          </cell>
          <cell r="R34" t="str">
            <v>W Asiatic ( 14 Inch ) 4     Grass</v>
          </cell>
          <cell r="S34" t="str">
            <v>R n W Car ( 14 Inch ) 22     FF sachet + Car</v>
          </cell>
          <cell r="T34" t="str">
            <v>P n Y Spray Daisy ( 14 Inch ) 7     FF Sachet + Grass</v>
          </cell>
        </row>
        <row r="35">
          <cell r="A35">
            <v>2361</v>
          </cell>
          <cell r="B35" t="str">
            <v>Navjot Kaur</v>
          </cell>
          <cell r="C35">
            <v>9818661431</v>
          </cell>
          <cell r="D35" t="str">
            <v>T-1/106, Sushant Estate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v>
          </cell>
          <cell r="N35" t="str">
            <v>2  del of this cycle   -  1-cycles pmnt   Pending - Collect 1450</v>
          </cell>
          <cell r="O35" t="str">
            <v>O n P Car ( 14 Inch ) 9     FF Sachet + Grass</v>
          </cell>
          <cell r="P35" t="str">
            <v>P n W Glad ( 14 Inch ) 9     Grass</v>
          </cell>
          <cell r="Q35" t="str">
            <v>P Spray Daisy ( 14 Inch ) 3     FF Sachet + Grass</v>
          </cell>
          <cell r="R35" t="e">
            <v>#N/A</v>
          </cell>
          <cell r="S35" t="str">
            <v>O Asiatic ( 14 Inch ) 3     Grass</v>
          </cell>
          <cell r="T35" t="str">
            <v>G n W Car ( 14 Inch ) 16   Collect payment Collect payment FF Sachet + Grass</v>
          </cell>
        </row>
        <row r="36">
          <cell r="A36">
            <v>2941</v>
          </cell>
          <cell r="B36" t="str">
            <v>Bhagyashri Khandelwal</v>
          </cell>
          <cell r="C36">
            <v>8884773030</v>
          </cell>
          <cell r="D36" t="str">
            <v>C-1983, Flat 401, Sushant Lok Phase 1</v>
          </cell>
          <cell r="E36" t="str">
            <v>M G Road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36" t="str">
            <v>4  del of this cycle   -  0-cycles pmnt   Completed - Collect 0</v>
          </cell>
          <cell r="O36" t="str">
            <v>P n W Glad ( 14 Inch ) 9     Grass</v>
          </cell>
          <cell r="P36" t="str">
            <v>B Daisy ( 12 Inch ) 9     Grass</v>
          </cell>
          <cell r="Q36" t="str">
            <v>Pur n P car ( 14 Inch ) 16     FF Sachet + Grass</v>
          </cell>
          <cell r="R36" t="str">
            <v>Sunflower ( 12 Inch ) 4     FF Sachet + Grass</v>
          </cell>
          <cell r="S36" t="str">
            <v>P Asiatic ( 14 Inch ) 3     Grass</v>
          </cell>
          <cell r="T36" t="str">
            <v>Mix Alstroemeria ( 12 Inch ) 16     FF Sachet + Grass</v>
          </cell>
        </row>
        <row r="37">
          <cell r="A37">
            <v>2247</v>
          </cell>
          <cell r="B37" t="str">
            <v>Reeya Naahar</v>
          </cell>
          <cell r="C37">
            <v>9818862169</v>
          </cell>
          <cell r="D37" t="str">
            <v>B-316-B, Sushant Lok-1</v>
          </cell>
          <cell r="E37" t="str">
            <v>M G Road</v>
          </cell>
          <cell r="F37" t="str">
            <v>Saturday</v>
          </cell>
          <cell r="G37" t="str">
            <v>9:30 AM to 2PM</v>
          </cell>
          <cell r="H37">
            <v>2300</v>
          </cell>
          <cell r="I37">
            <v>287.5</v>
          </cell>
          <cell r="J37" t="str">
            <v>Felicity</v>
          </cell>
          <cell r="K37" t="str">
            <v>Saturday n Tuesday// No Yel Spray Daisy // Do not count last del (06/07) No Gerbera (12/04)</v>
          </cell>
          <cell r="L37" t="str">
            <v>GERBERA</v>
          </cell>
          <cell r="N37" t="str">
            <v>1  del of this cycle   -  1-cycles pmnt   Pending - Collect 2300</v>
          </cell>
          <cell r="O37" t="str">
            <v>Mix Alstroemeria ( 12 Inch ) 11     FF Sachet + Grass</v>
          </cell>
          <cell r="P37" t="str">
            <v>B Daisy ( 12 Inch ) 11     Grass</v>
          </cell>
          <cell r="Q37" t="str">
            <v>O Asiatic ( 14 Inch ) 2     Grass</v>
          </cell>
          <cell r="R37" t="str">
            <v>Sunflower ( 12 Inch ) 3     FF Sachet + Grass</v>
          </cell>
          <cell r="S37" t="str">
            <v>Rajni ( 14 Inch ) 11     Grass</v>
          </cell>
          <cell r="T37" t="str">
            <v>P Spray Daisy ( 14 Inch ) 3     FF sachet + Grass</v>
          </cell>
        </row>
        <row r="38">
          <cell r="A38">
            <v>2371</v>
          </cell>
          <cell r="B38" t="str">
            <v>Namrata Das Adhikary -- 1450 Pack</v>
          </cell>
          <cell r="C38" t="str">
            <v xml:space="preserve"> 8587955990 // 9910285192</v>
          </cell>
          <cell r="D38" t="str">
            <v>C-922-A, 1st floor, Sushant Lok Phase-1, Gurgaon, Haryana-122002</v>
          </cell>
          <cell r="E38" t="str">
            <v>M G Road</v>
          </cell>
          <cell r="F38" t="str">
            <v>Saturday</v>
          </cell>
          <cell r="G38" t="str">
            <v>4 Pm to 7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38" t="str">
            <v>2  del of this cycle   -  0-cycles pmnt   Completed - Collect 0</v>
          </cell>
          <cell r="O38" t="str">
            <v>P Spray Daisy ( 14 Inch ) 3     FF Sachet + Grass</v>
          </cell>
          <cell r="P38" t="e">
            <v>#N/A</v>
          </cell>
          <cell r="Q38" t="e">
            <v>#N/A</v>
          </cell>
          <cell r="R38" t="str">
            <v>P n W Glad ( 14 Inch ) 7     Grass</v>
          </cell>
          <cell r="S38" t="str">
            <v>O Asiatic ( 14 Inch ) 3     Grass</v>
          </cell>
          <cell r="T38" t="str">
            <v>Mix  Spray daisy 5     FF Sachet + Grass</v>
          </cell>
        </row>
        <row r="39">
          <cell r="A39">
            <v>2980</v>
          </cell>
          <cell r="B39" t="str">
            <v>Shilpa Kohli</v>
          </cell>
          <cell r="C39">
            <v>9717255116</v>
          </cell>
          <cell r="D39" t="str">
            <v>B2/102, Sahara Grace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Only Seasonlas</v>
          </cell>
          <cell r="N39" t="str">
            <v>2  del of this cycle   -  0-cycles pmnt   Completed - Collect 0</v>
          </cell>
          <cell r="O39" t="str">
            <v>P Spray Daisy ( 14 Inch ) 3     FF Sachet + Grass</v>
          </cell>
          <cell r="P39" t="str">
            <v>B Daisy ( 12 Inch ) 9     Grass</v>
          </cell>
          <cell r="Q39" t="str">
            <v>Pur n P car ( 14 Inch ) 9     FF Sachet + Grass</v>
          </cell>
          <cell r="R39" t="str">
            <v>P Asiatic ( 14 Inch ) 2     Grass</v>
          </cell>
          <cell r="S39" t="str">
            <v>Rajni ( 14 Inch ) 16     Grass</v>
          </cell>
          <cell r="T39" t="str">
            <v>Mix Glad ( 14 Inch ) 16     Grass</v>
          </cell>
        </row>
        <row r="40">
          <cell r="A40">
            <v>2240</v>
          </cell>
          <cell r="B40" t="str">
            <v>Somyasmita Juneja</v>
          </cell>
          <cell r="C40">
            <v>9650213304</v>
          </cell>
          <cell r="D40" t="str">
            <v xml:space="preserve">DX-136, Kendriya Vihar
</v>
          </cell>
          <cell r="E40" t="str">
            <v>Sector 56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40" t="str">
            <v>4  del of this cycle   -  0-cycles pmnt   Completed - Collect 0</v>
          </cell>
          <cell r="O40" t="e">
            <v>#N/A</v>
          </cell>
          <cell r="P40" t="e">
            <v>#N/A</v>
          </cell>
          <cell r="Q40" t="str">
            <v>Pur n P car ( 14 Inch ) 16     FF Sachet + Grass</v>
          </cell>
          <cell r="R40" t="str">
            <v>O Asiatic ( 14 Inch ) 3     Grass</v>
          </cell>
          <cell r="S40" t="str">
            <v>Mix Spray Daisy 5     Grass</v>
          </cell>
          <cell r="T40" t="str">
            <v>Mix Glad ( 14 Inch ) 16     Grass</v>
          </cell>
        </row>
        <row r="41">
          <cell r="A41">
            <v>846</v>
          </cell>
          <cell r="B41" t="str">
            <v>Deep Bajaj</v>
          </cell>
          <cell r="C41">
            <v>9899059999</v>
          </cell>
          <cell r="D41" t="str">
            <v>B-2002, Pioneer Presidia,Sec-62, Near Pioneer Square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4750</v>
          </cell>
          <cell r="I41">
            <v>1187.5</v>
          </cell>
          <cell r="J41" t="str">
            <v>Enchantment</v>
          </cell>
          <cell r="K4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41" t="str">
            <v>2  del of this cycle   -  0-cycles pmnt   In Process - Collect 0</v>
          </cell>
          <cell r="O41" t="str">
            <v>Y Asiatic + P n Pur Eustoma 3 + 4 Mix Alstroemeria + P n W Glad 12 + 12 P Orchid +  Fish Tail 5 + 5 5 Areca palm + 3 Gypsola + 3 Limonum</v>
          </cell>
          <cell r="P41" t="str">
            <v>P Asiatiic + BOP 3 + 4 Rajni + P n W Glad 12 + 12 B Daisy 10 5 Areca Palm + 3 Gypsola + 3 Limonium</v>
          </cell>
          <cell r="Q41" t="str">
            <v>P Asiatic + Eustoma 3 + 3 Rajni + P n W Glad 12 + 12 B daisy  8 5 Areca palm + 3 Gypsola + 3 + 3 Limonium</v>
          </cell>
          <cell r="R41" t="str">
            <v>W Asiatic + Mix Anthurium  3 + 4 Pur n P Car + Mix Alstroemeria 12 + 12 BOP 3 5 Areca palm + 3 Gypsola + 3 Limonium</v>
          </cell>
          <cell r="S41" t="str">
            <v>O Asiatic + G n W Spray Daisy 3 + 4 Rajni + B Daisy  12 + 12 W Orchid  5 5 Areca Palm + 3 Gypsola + 3 Limonium</v>
          </cell>
          <cell r="T41" t="str">
            <v>Y Asiatic + BOP 3 + 3 G n W Car + Mix Glad 12 + 12 Mix Alstroemeria ( 12 Inch ) 10 5 Areca palm + 3 Gypsola</v>
          </cell>
        </row>
        <row r="42">
          <cell r="A42">
            <v>3026</v>
          </cell>
          <cell r="B42" t="str">
            <v>Richa Jindal</v>
          </cell>
          <cell r="C42">
            <v>9818372485</v>
          </cell>
          <cell r="D42" t="str">
            <v>E-1001, The Vilas, Akashmeen Marg, DLF Phase 2</v>
          </cell>
          <cell r="E42" t="str">
            <v>M G Road</v>
          </cell>
          <cell r="F42" t="str">
            <v>Saturday</v>
          </cell>
          <cell r="G42" t="str">
            <v>9:30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Seasonal Only</v>
          </cell>
          <cell r="M42" t="str">
            <v>Seasnola Only // Rajni Next (24/10)</v>
          </cell>
          <cell r="N42" t="str">
            <v>4  del of this cycle   -  0-cycles pmnt   Completed - Collect 0</v>
          </cell>
          <cell r="O42" t="str">
            <v>Rajni ( 14 Inch ) 9     Grass</v>
          </cell>
          <cell r="P42" t="str">
            <v>P n W Glad ( 14 Inch ) 9     Grass</v>
          </cell>
          <cell r="Q42" t="str">
            <v>Pur n P car ( 14 Inch ) 16     FF Sachet + Grass</v>
          </cell>
          <cell r="R42" t="str">
            <v>B Daisy ( 12 Inch ) 16     Grass</v>
          </cell>
          <cell r="S42" t="str">
            <v>Rajni 16     Grass</v>
          </cell>
          <cell r="T42" t="str">
            <v>Mix Alstroemeria ( 12 Inch ) 16     Grass</v>
          </cell>
        </row>
        <row r="43">
          <cell r="A43">
            <v>249</v>
          </cell>
          <cell r="B43" t="str">
            <v>Rajni Mehra</v>
          </cell>
          <cell r="C43">
            <v>9810655365</v>
          </cell>
          <cell r="D43" t="str">
            <v xml:space="preserve"> H-1201, Pilot Court, Essel Towers M.G.ROAD GURGAON </v>
          </cell>
          <cell r="E43" t="str">
            <v>M G Road</v>
          </cell>
          <cell r="F43" t="str">
            <v>Saturday</v>
          </cell>
          <cell r="G43" t="str">
            <v>4 Pm to 7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43" t="str">
            <v>Statice next</v>
          </cell>
          <cell r="N43" t="str">
            <v>3  del of this cycle   -  0-cycles pmnt   Completed - Collect 0</v>
          </cell>
          <cell r="O43" t="str">
            <v>P n W Glad ( 14 Inch ) 9     Grass</v>
          </cell>
          <cell r="P43" t="str">
            <v>B Daisy ( 12 Inch ) 9     Grass</v>
          </cell>
          <cell r="Q43" t="e">
            <v>#N/A</v>
          </cell>
          <cell r="R43" t="str">
            <v>P Asiatic ( 14 Inch ) 3     Grass</v>
          </cell>
          <cell r="S43" t="str">
            <v>R n W Car ( 14 Inch ) 16     FF sachet + Car</v>
          </cell>
          <cell r="T43" t="str">
            <v>P n Y Spray Daisy ( 14 Inch ) 5     FF Sachet + Grass</v>
          </cell>
        </row>
        <row r="44">
          <cell r="A44">
            <v>3302</v>
          </cell>
          <cell r="B44" t="str">
            <v>Anuvrata</v>
          </cell>
          <cell r="C44">
            <v>8800292901</v>
          </cell>
          <cell r="D44" t="str">
            <v>H. No. 82, 1st Floor, Sec 41, South City 1</v>
          </cell>
          <cell r="E44" t="str">
            <v>South City 1</v>
          </cell>
          <cell r="F44" t="str">
            <v>Saturday</v>
          </cell>
          <cell r="G44" t="str">
            <v>10 AM to 2:30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One Bouquet of 600 Missed, Pls add in her account (09/07)</v>
          </cell>
          <cell r="N44" t="str">
            <v>1  del of this cycle   -  1-cycles pmnt   Pending - Collect 850</v>
          </cell>
          <cell r="O44" t="e">
            <v>#N/A</v>
          </cell>
          <cell r="P44" t="str">
            <v>P n W Glad ( 14 Inch ) 16     Grass</v>
          </cell>
          <cell r="Q44" t="str">
            <v>Pur n P car ( 14 Inch ) 16     FF Sachet + Grass</v>
          </cell>
          <cell r="R44" t="str">
            <v>P n W Glad ( 14 Inch ) 16     Grass</v>
          </cell>
          <cell r="S44" t="str">
            <v>P Asiatic ( 14 Inch ) 3     Grass</v>
          </cell>
          <cell r="T44" t="str">
            <v>Mix Alstroemeria ( 12 Inch ) 16     FF Sachet + Grass</v>
          </cell>
        </row>
        <row r="45">
          <cell r="A45">
            <v>3110</v>
          </cell>
          <cell r="B45" t="str">
            <v>Asraj Singh</v>
          </cell>
          <cell r="C45">
            <v>9837880008</v>
          </cell>
          <cell r="D45" t="str">
            <v>7519, 2nd Floor, Bougainvillea Street, Near Supermart-2</v>
          </cell>
          <cell r="E45" t="str">
            <v>DLF Phase 4</v>
          </cell>
          <cell r="F45" t="str">
            <v>Saturday</v>
          </cell>
          <cell r="G45" t="str">
            <v>10 AM to 2:30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frim Sidak Singh // Return today (02/05) HDTNP (06/06) HDTNP (13/06) HDTNP (20/06) HDTNP (27/06) HDTNP (04/07)</v>
          </cell>
          <cell r="N45" t="str">
            <v>2  del of this cycle   -  0-cycles pmnt   Completed - Collect 0</v>
          </cell>
          <cell r="O45" t="e">
            <v>#N/A</v>
          </cell>
          <cell r="P45" t="e">
            <v>#N/A</v>
          </cell>
          <cell r="Q45" t="str">
            <v>Collect 500      Grass</v>
          </cell>
          <cell r="R45" t="e">
            <v>#N/A</v>
          </cell>
          <cell r="S45" t="str">
            <v>R n W Car ( 14 Inch ) 16     FF sachet + Car</v>
          </cell>
          <cell r="T45" t="str">
            <v>W Asiatic ( 14 Inch ) 3     Grass</v>
          </cell>
        </row>
        <row r="46">
          <cell r="A46">
            <v>2054</v>
          </cell>
          <cell r="B46" t="str">
            <v>Dr. Khushboo Singh</v>
          </cell>
          <cell r="C46">
            <v>9560747141</v>
          </cell>
          <cell r="D46" t="str">
            <v>Aks Clinic, Ground Floor, C-1070, Sushant Lok 1</v>
          </cell>
          <cell r="E46" t="str">
            <v>M G Road</v>
          </cell>
          <cell r="F46" t="str">
            <v>Saturday</v>
          </cell>
          <cell r="G46" t="str">
            <v>10 AM to 3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6" t="str">
            <v>Gerbera</v>
          </cell>
          <cell r="M46" t="str">
            <v>Skip 23rd May Flowers (07/04)</v>
          </cell>
          <cell r="N46" t="str">
            <v>4  del of this cycle   -  0-cycles pmnt   Completed - Collect 0</v>
          </cell>
          <cell r="O46" t="str">
            <v>P Eustoma ( 12 Inch ) 3     FF Sachet + Grass</v>
          </cell>
          <cell r="P46" t="str">
            <v>O Asiatic ( 14 Inch ) 3     Grass</v>
          </cell>
          <cell r="Q46" t="str">
            <v>Pur n P car ( 14 Inch ) 16     FF Sachet + Grass</v>
          </cell>
          <cell r="R46" t="str">
            <v>Sunflower ( 12 Inch ) 4     FF Sachet + Grass</v>
          </cell>
          <cell r="S46" t="str">
            <v>Rajni ( 14 Inch ) 16     Grass</v>
          </cell>
          <cell r="T46" t="str">
            <v>P n Y Spray Daisy ( 14 Inch ) 5     FF Sachet + Grass</v>
          </cell>
        </row>
        <row r="47">
          <cell r="A47">
            <v>3349</v>
          </cell>
          <cell r="B47" t="str">
            <v>Rahul Vatts</v>
          </cell>
          <cell r="C47">
            <v>9540795407</v>
          </cell>
          <cell r="D47" t="str">
            <v>N-6/14 B, 2nd Floor, Last House in Lane N6, DLF Phase 2, Sec 25</v>
          </cell>
          <cell r="E47" t="str">
            <v>M G Road</v>
          </cell>
          <cell r="F47" t="str">
            <v>Saturday</v>
          </cell>
          <cell r="G47" t="str">
            <v>9 AM to 2 PM</v>
          </cell>
          <cell r="H47">
            <v>2750</v>
          </cell>
          <cell r="I47">
            <v>687.5</v>
          </cell>
          <cell r="J47" t="str">
            <v>Elation</v>
          </cell>
          <cell r="N47" t="str">
            <v>4  del of this cycle   -  0-cycles pmnt   Completed - Collect 0</v>
          </cell>
          <cell r="O47" t="str">
            <v>Pur n P Car ( 14 inch ) 32     2 Limonium + FF Sachet</v>
          </cell>
          <cell r="P47" t="str">
            <v>BOP 6     2 Gypsola + FF sachet</v>
          </cell>
          <cell r="Q47" t="str">
            <v>P n W Glad ( 14 Inch ) 32     2 Limonium</v>
          </cell>
          <cell r="R47" t="str">
            <v xml:space="preserve">P Asiatic ( 14 Inch ) 6     2 Gypsola </v>
          </cell>
          <cell r="S47" t="str">
            <v xml:space="preserve">Sunflower ( 12 Inch ) 7     2 Gypsola + FF sachet </v>
          </cell>
          <cell r="T47" t="str">
            <v>G n W Car ( 14 Inch ) 32     FF Sachet + Grass</v>
          </cell>
        </row>
        <row r="48">
          <cell r="A48">
            <v>3074</v>
          </cell>
          <cell r="B48" t="str">
            <v>Tanvir Mallik</v>
          </cell>
          <cell r="C48">
            <v>9958309739</v>
          </cell>
          <cell r="D48" t="str">
            <v>D-39, South City 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2 weeks (01/06) Skip 2 week (03/07)</v>
          </cell>
          <cell r="N48" t="str">
            <v>1  del of this cycle   -  1-cycles pmnt   Pending - Collect 1450</v>
          </cell>
          <cell r="O48" t="e">
            <v>#N/A</v>
          </cell>
          <cell r="P48" t="str">
            <v>Pur Eustoma ( 12 Inch ) 2 R n G Car ( 14 Inch ) 7   Grass</v>
          </cell>
          <cell r="Q48" t="str">
            <v>Sunflower ( 14 Inch ) 2 P n W Glad ( 14 Inch ) 7   FF Sachet + Grass</v>
          </cell>
          <cell r="R48" t="e">
            <v>#N/A</v>
          </cell>
          <cell r="S48" t="e">
            <v>#N/A</v>
          </cell>
          <cell r="T48" t="str">
            <v>O Asiatic ( 14 Inch ) 2 G n W Car ( 14 Inch ) 7   Grass</v>
          </cell>
        </row>
        <row r="49">
          <cell r="A49">
            <v>3318</v>
          </cell>
          <cell r="B49" t="str">
            <v>Sba Garg</v>
          </cell>
          <cell r="C49">
            <v>9654607568</v>
          </cell>
          <cell r="D49" t="str">
            <v>H. No. 5833, Aster Avenue, DLF Phase 4</v>
          </cell>
          <cell r="E49" t="str">
            <v>DLF Phase 4</v>
          </cell>
          <cell r="F49" t="str">
            <v>Saturday</v>
          </cell>
          <cell r="G49" t="str">
            <v>9:30 Am to 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Four Plus 1 Pack // No Sunflower and Ladylace // Skip 1 wek (28/06)</v>
          </cell>
          <cell r="L49" t="str">
            <v>Sunflower n Lady Lace</v>
          </cell>
          <cell r="N49" t="str">
            <v>3  del of this cycle   -  0-cycles pmnt   Completed - Collect 0</v>
          </cell>
          <cell r="O49" t="str">
            <v>P n Pur Eustoma ( 12 Inch ) 4     FF Sachet + Grass</v>
          </cell>
          <cell r="P49" t="str">
            <v>P n Y Spray Daisy ( 14 Inch ) 7     FF Sachet + Grass</v>
          </cell>
          <cell r="Q49" t="str">
            <v>P Asiatic ( 14 Inch ) 4     Grass</v>
          </cell>
          <cell r="R49" t="e">
            <v>#N/A</v>
          </cell>
          <cell r="S49" t="str">
            <v>P n W Glad ( 14 Inch ) 22     Grass</v>
          </cell>
          <cell r="T49" t="str">
            <v>G n W Car ( 14 Inch ) 22     FF Sachet + Grass</v>
          </cell>
        </row>
        <row r="50">
          <cell r="A50">
            <v>2743</v>
          </cell>
          <cell r="B50" t="str">
            <v>Juhee Gandhi</v>
          </cell>
          <cell r="C50">
            <v>9999767374</v>
          </cell>
          <cell r="D50" t="str">
            <v>T-2/15 D, 4th Floor, DLF Phase 3</v>
          </cell>
          <cell r="E50" t="str">
            <v>DLF Phase 3</v>
          </cell>
          <cell r="F50" t="str">
            <v>Saturday</v>
          </cell>
          <cell r="G50" t="str">
            <v>4 Pm to 7 PM</v>
          </cell>
          <cell r="H50">
            <v>2750</v>
          </cell>
          <cell r="I50">
            <v>687.5</v>
          </cell>
          <cell r="J50" t="str">
            <v>Elation</v>
          </cell>
          <cell r="K50" t="str">
            <v>Ref  By Disha Roy (12/06) Send 1 del tom (25/08) Send one Del Tom (08/09) Next delivery on Tuesday (14/09)</v>
          </cell>
          <cell r="N50" t="str">
            <v>3  del of this cycle   -  1-cycles pmnt   Pending - Collect 2750</v>
          </cell>
          <cell r="O50" t="str">
            <v>Sunflower ( 12 Inch ) 4 P n W Glad ( 14 Inch ) 16   2 Limonium + FF Sachet</v>
          </cell>
          <cell r="P50" t="str">
            <v>BOP 3 B Daisy ( 12 Inch ) 16   2 Gypsola + FF sachet</v>
          </cell>
          <cell r="Q50" t="str">
            <v>P Asiatic ( 14 Inch ) 3 Pur n P Car ( 14 Inch ) 16   2 Limonium</v>
          </cell>
          <cell r="R50" t="str">
            <v xml:space="preserve">P n Y Spray daisy ( 14 inch ) 5 Rajni ( 14 Inch ) 16   2 Gypsola + FF Sachet </v>
          </cell>
          <cell r="S50" t="str">
            <v xml:space="preserve">Sunflower ( 12 Inch ) 4 Mix Alstroemeria ( 12  Inch ) 16  Ensure Collection 2 Gypsola + FF sachet </v>
          </cell>
          <cell r="T50" t="str">
            <v>W Asiatic ( 14 Inch ) 2 Mix Glad ( 14 Inch ) 16 Collect payment Collect payment Grass</v>
          </cell>
        </row>
        <row r="51">
          <cell r="A51">
            <v>3336</v>
          </cell>
          <cell r="B51" t="str">
            <v>Ruchika Rattan</v>
          </cell>
          <cell r="C51">
            <v>8448331611</v>
          </cell>
          <cell r="D51" t="str">
            <v>E-0004, Richmond Park, DLF Phase 4</v>
          </cell>
          <cell r="E51" t="str">
            <v>DLF Phase 4</v>
          </cell>
          <cell r="F51" t="str">
            <v>Saturday</v>
          </cell>
          <cell r="G51" t="str">
            <v>10 AM to 2:30 PM</v>
          </cell>
          <cell r="H51">
            <v>1950</v>
          </cell>
          <cell r="I51">
            <v>487.5</v>
          </cell>
          <cell r="J51" t="str">
            <v>Joy</v>
          </cell>
          <cell r="K51" t="str">
            <v>Today Returned (16/05)</v>
          </cell>
          <cell r="N51" t="str">
            <v>4  del of this cycle   -  0-cycles pmnt   Completed - Collect 0</v>
          </cell>
          <cell r="O51" t="str">
            <v>P n Pur Eustoma ( 12 Inch ) 4     FF Sachet + Grass</v>
          </cell>
          <cell r="P51" t="str">
            <v>P n Y Spray Daisy ( 14 Inch ) 7     FF Sachet + Grass</v>
          </cell>
          <cell r="Q51" t="str">
            <v>Sunflower ( 14 Inch ) 5     FF Sachet + Grass</v>
          </cell>
          <cell r="R51" t="str">
            <v>W Asiatic ( 14 Inch ) 4     Grass</v>
          </cell>
          <cell r="S51" t="str">
            <v>R n W Car ( 14 Inch ) 22     FF sachet + Car</v>
          </cell>
          <cell r="T51" t="str">
            <v>Mix Glad ( 14 Inch ) 22     Grass</v>
          </cell>
        </row>
        <row r="52">
          <cell r="A52">
            <v>1925</v>
          </cell>
          <cell r="B52" t="str">
            <v>Chandni Ahuja</v>
          </cell>
          <cell r="C52">
            <v>9999061820</v>
          </cell>
          <cell r="D52" t="str">
            <v>B-102, Regency Park-1</v>
          </cell>
          <cell r="E52" t="str">
            <v>DLF Phase 4</v>
          </cell>
          <cell r="F52" t="str">
            <v>Saturday</v>
          </cell>
          <cell r="G52" t="str">
            <v>9 AM to 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v>
          </cell>
          <cell r="L52" t="str">
            <v>ORCHID n GLAD n GERBERA</v>
          </cell>
          <cell r="M52" t="str">
            <v xml:space="preserve">Mixed Flowers </v>
          </cell>
          <cell r="N52" t="str">
            <v>4  del of this cycle   -  0-cycles pmnt   Completed - Collect 0</v>
          </cell>
          <cell r="O52" t="str">
            <v>Sunflower ( 12 Inch ) 2 P n W Glad ( 14 Inch ) 7   FF Sachet + Grass</v>
          </cell>
          <cell r="P52" t="str">
            <v>B Daisy ( 12 Inch ) 16     Grass</v>
          </cell>
          <cell r="Q52" t="str">
            <v>P Asiatic ( 14 Inch ) 3     Grass</v>
          </cell>
          <cell r="R52" t="str">
            <v>W Asiatic ( 14 Inch ) 3     Grass</v>
          </cell>
          <cell r="S52" t="e">
            <v>#N/A</v>
          </cell>
          <cell r="T52" t="str">
            <v>Y Spray Daosy ( 14 Inch ) 3 G n W Car ( 14 Inch ) 7   FF Sachet + Grass</v>
          </cell>
        </row>
        <row r="53">
          <cell r="A53">
            <v>328</v>
          </cell>
          <cell r="B53" t="str">
            <v>Sarat Chandra</v>
          </cell>
          <cell r="C53">
            <v>9013605782</v>
          </cell>
          <cell r="D53" t="str">
            <v>Villa 1,Raheja Atlantis, Sector 31</v>
          </cell>
          <cell r="E53" t="str">
            <v>South City 1</v>
          </cell>
          <cell r="F53" t="str">
            <v>Saturday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53" t="str">
            <v>RAJNI</v>
          </cell>
          <cell r="N53" t="str">
            <v>3  del of this cycle   -  0-cycles pmnt   Completed - Collect 0</v>
          </cell>
          <cell r="O53" t="str">
            <v>P Eustoma ( 12 Inch ) 3     FF Sachet + Grass</v>
          </cell>
          <cell r="P53" t="str">
            <v>P n W Glad ( 14 Inch ) 16     Grass</v>
          </cell>
          <cell r="Q53" t="str">
            <v>Sunflower ( 14 Inch ) 4     FF Sachet + Grass</v>
          </cell>
          <cell r="R53" t="str">
            <v>P Asiatic ( 14 Inch ) 3     FF Sachet + Grass</v>
          </cell>
          <cell r="S53" t="str">
            <v>R n W Car ( 14 Inch ) 16     FF sachet + Car</v>
          </cell>
          <cell r="T53" t="str">
            <v>P n Y Spray Daisy ( 14 Inch ) 5     FF Sachet + Grass</v>
          </cell>
        </row>
        <row r="54">
          <cell r="A54">
            <v>2274</v>
          </cell>
          <cell r="B54" t="str">
            <v>Megha Saraogi</v>
          </cell>
          <cell r="C54">
            <v>8879492701</v>
          </cell>
          <cell r="D54" t="str">
            <v>A-161, 16th Floor, Raheja Atlantis</v>
          </cell>
          <cell r="E54" t="str">
            <v>South City 1</v>
          </cell>
          <cell r="F54" t="str">
            <v>Saturday</v>
          </cell>
          <cell r="G54" t="str">
            <v>10 AM to 2:30 PM</v>
          </cell>
          <cell r="H54">
            <v>2000</v>
          </cell>
          <cell r="I54">
            <v>500</v>
          </cell>
          <cell r="J54" t="str">
            <v>Customized</v>
          </cell>
          <cell r="K54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54" t="str">
            <v>BOP n GLAD N NO GULDAWARI</v>
          </cell>
          <cell r="M54" t="str">
            <v>17 Flowers only/ Send if Payment Received (06/06)</v>
          </cell>
          <cell r="N54" t="str">
            <v>4  del of this cycle   -  0-cycles pmnt   Completed - Collect 0</v>
          </cell>
          <cell r="O54" t="e">
            <v>#N/A</v>
          </cell>
          <cell r="P54" t="str">
            <v>Rajni ( 14 Inch ) 17     1 Limonium</v>
          </cell>
          <cell r="Q54" t="str">
            <v>Pur n P car ( 14 Inch ) 17     1 Gypsola + FF sachet</v>
          </cell>
          <cell r="R54" t="str">
            <v>Mix Alstroemeria ( 12 Inch ) 17     1 Limonium + FF Sachet</v>
          </cell>
          <cell r="S54" t="str">
            <v>Rajni 17     1 Limonium + FF Sachet</v>
          </cell>
          <cell r="T54" t="str">
            <v>G n W Car ( 14 Inch ) 17     1 Gypsola + FF sachet</v>
          </cell>
        </row>
        <row r="55">
          <cell r="A55">
            <v>3067</v>
          </cell>
          <cell r="B55" t="str">
            <v>Anna Thakran</v>
          </cell>
          <cell r="C55">
            <v>8137891064</v>
          </cell>
          <cell r="D55" t="str">
            <v>B1/83, Regency Park-1, DLF Phase 4</v>
          </cell>
          <cell r="E55" t="str">
            <v>DLF Phase 4</v>
          </cell>
          <cell r="F55" t="str">
            <v>Saturday</v>
          </cell>
          <cell r="G55" t="str">
            <v>9 AM - 12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Day Changed to Saturday (22/03)Paytm Anna Tresa Jose Tharakan (08/11) Skip 1 week (21/11) Returned today (29/11) Skip 1 week (14/02) Skip 1 week (17/04) Today Hold (02/05)</v>
          </cell>
          <cell r="N55" t="str">
            <v>2  del of this cycle   -  1-cycles pmnt   Pending - Collect 1450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Pur n P Car ( 14 Inch ) 16     FF sachet + Car</v>
          </cell>
          <cell r="T55" t="str">
            <v>O Asiatic ( 14 Inch ) 3   Collect payment Collect payment Grass</v>
          </cell>
        </row>
        <row r="56">
          <cell r="A56">
            <v>3403</v>
          </cell>
          <cell r="B56" t="str">
            <v>Tanuka Neogi</v>
          </cell>
          <cell r="C56">
            <v>9599908305</v>
          </cell>
          <cell r="D56" t="str">
            <v>T-A/1201 A, Pioneer Presidia</v>
          </cell>
          <cell r="E56" t="str">
            <v>Ghata</v>
          </cell>
          <cell r="F56" t="str">
            <v>Saturday</v>
          </cell>
          <cell r="G56" t="str">
            <v>9:30 Am to 2 PM</v>
          </cell>
          <cell r="H56">
            <v>1450</v>
          </cell>
          <cell r="I56">
            <v>362.5</v>
          </cell>
          <cell r="J56" t="str">
            <v>Bliss</v>
          </cell>
          <cell r="N56" t="str">
            <v>2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str">
            <v>Pur n P Car ( 14 Inch ) 16     FF sachet + Car</v>
          </cell>
          <cell r="T56" t="str">
            <v>O Asiatic ( 14 Inch ) 3     Grass</v>
          </cell>
        </row>
        <row r="57">
          <cell r="A57">
            <v>3327</v>
          </cell>
          <cell r="B57" t="str">
            <v>Yasha Jain</v>
          </cell>
          <cell r="C57">
            <v>9731958033</v>
          </cell>
          <cell r="D57" t="str">
            <v>Tower -E/1801 , Pioneer Presidia</v>
          </cell>
          <cell r="E57" t="str">
            <v>Ghata</v>
          </cell>
          <cell r="F57" t="str">
            <v>Saturday</v>
          </cell>
          <cell r="G57" t="str">
            <v>9 AM to 2 PM</v>
          </cell>
          <cell r="H57">
            <v>1450</v>
          </cell>
          <cell r="I57">
            <v>362.5</v>
          </cell>
          <cell r="J57" t="str">
            <v>Bliss</v>
          </cell>
          <cell r="N57" t="str">
            <v>2  del of this cycle   -  0-cycles pmnt   Completed - Collect 0</v>
          </cell>
          <cell r="O57" t="str">
            <v>P Eustoma ( 12 Inch ) 3     FF Sachet + Grass</v>
          </cell>
          <cell r="P57" t="str">
            <v>P n Y Spray Daisy ( 14 Inch ) 5     FF Sachet + Grass</v>
          </cell>
          <cell r="Q57" t="str">
            <v>Pur n P car ( 14 Inch ) 16     FF Sachet + Grass</v>
          </cell>
          <cell r="R57" t="str">
            <v>W Asiatic ( 14 Inch ) 3     Grass</v>
          </cell>
          <cell r="S57" t="str">
            <v>Rajni ( 14 Inch ) 16     Grass</v>
          </cell>
          <cell r="T57" t="str">
            <v>Mix Alstroemeria ( 12 Inch ) 16     Grass</v>
          </cell>
        </row>
        <row r="58">
          <cell r="A58">
            <v>3356</v>
          </cell>
          <cell r="B58" t="str">
            <v>Neha Gupta</v>
          </cell>
          <cell r="C58">
            <v>9999598424</v>
          </cell>
          <cell r="D58" t="str">
            <v>C-106, DLF Oakwood Estate, DLF Phase 2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3  del of this cycle   -  0-cycles pmnt   Completed - Collect 0</v>
          </cell>
          <cell r="O58" t="str">
            <v>P Eustoma ( 12 Inch ) 3     FF Sachet + Grass</v>
          </cell>
          <cell r="P58" t="str">
            <v>P n W Glad ( 14 Inch ) 16     Grass</v>
          </cell>
          <cell r="Q58" t="str">
            <v>Sunflower ( 14 Inch ) 4     FF Sachet + Grass</v>
          </cell>
          <cell r="R58" t="str">
            <v>P Asiatic ( 14 Inch ) 3     FF Sachet + Grass</v>
          </cell>
          <cell r="S58" t="str">
            <v>R n W Car ( 14 Inch ) 16     FF sachet + Car</v>
          </cell>
          <cell r="T58" t="str">
            <v>P n Y Spray Daisy ( 14 Inch ) 5     FF Sachet + Grass</v>
          </cell>
        </row>
        <row r="59">
          <cell r="A59">
            <v>3387</v>
          </cell>
          <cell r="B59" t="str">
            <v>Farah Singh</v>
          </cell>
          <cell r="C59">
            <v>9810713138</v>
          </cell>
          <cell r="D59" t="str">
            <v>H. No. 4528, Hibiscus Lane, DLF City Phase 4</v>
          </cell>
          <cell r="E59" t="str">
            <v>DLF Phase 4</v>
          </cell>
          <cell r="F59" t="str">
            <v>Saturday</v>
          </cell>
          <cell r="G59" t="str">
            <v>9 AM to 2 PM</v>
          </cell>
          <cell r="H59">
            <v>1950</v>
          </cell>
          <cell r="I59">
            <v>487.5</v>
          </cell>
          <cell r="J59" t="str">
            <v>Joy</v>
          </cell>
          <cell r="N59" t="str">
            <v>3  del of this cycle   -  0-cycles pmnt   Completed - Collect 0</v>
          </cell>
          <cell r="O59" t="e">
            <v>#N/A</v>
          </cell>
          <cell r="P59" t="e">
            <v>#N/A</v>
          </cell>
          <cell r="Q59" t="str">
            <v>P n Pur Eustoma ( 12 Inch ) 4     FF Sachet + Grass</v>
          </cell>
          <cell r="R59" t="str">
            <v>P n W Glad ( 14 Inch ) 22     Grass</v>
          </cell>
          <cell r="S59" t="str">
            <v>R n W Car ( 14 Inch ) 22    Ensure Collection FF sachet + Car</v>
          </cell>
          <cell r="T59" t="str">
            <v>W Asiatic ( 14 Inch ) 4     Grass</v>
          </cell>
        </row>
        <row r="60">
          <cell r="A60">
            <v>3395</v>
          </cell>
          <cell r="B60" t="str">
            <v>Chhavi Sharma</v>
          </cell>
          <cell r="C60">
            <v>9773834450</v>
          </cell>
          <cell r="D60" t="str">
            <v>403, Plot No. 74, Sec 28, Near Golf Course Road</v>
          </cell>
          <cell r="E60" t="str">
            <v>DLF Phase 4</v>
          </cell>
          <cell r="F60" t="str">
            <v>Tuesday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Prefer Pink Lilies (29/06) Skip 1 week (13/07) Send one del tom (17/07)</v>
          </cell>
          <cell r="N60" t="str">
            <v>3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e">
            <v>#N/A</v>
          </cell>
          <cell r="T60" t="str">
            <v>Mix Glad ( 14 Inch ) 16     Grass</v>
          </cell>
        </row>
        <row r="61">
          <cell r="A61">
            <v>2706</v>
          </cell>
          <cell r="B61" t="str">
            <v>Monika Arora</v>
          </cell>
          <cell r="C61">
            <v>9990121666</v>
          </cell>
          <cell r="D61" t="str">
            <v>Tostem Studio, Plot No. 564, Basement, Sec 39, Near Bakhtawar Chwok</v>
          </cell>
          <cell r="E61" t="str">
            <v>Medanta</v>
          </cell>
          <cell r="F61" t="str">
            <v>Saturday</v>
          </cell>
          <cell r="G61" t="str">
            <v>9 AM - 12 PM</v>
          </cell>
          <cell r="H61">
            <v>1600</v>
          </cell>
          <cell r="I61">
            <v>200</v>
          </cell>
          <cell r="J61" t="str">
            <v>Bloom</v>
          </cell>
          <cell r="K61" t="str">
            <v>Ref From Anupma Rastogi // Today Returned (09/08) Hold today (16/08) Today office was closed (21/10)</v>
          </cell>
          <cell r="N61" t="str">
            <v>5  del of this cycle   -  0-cycles pmnt   Completed - Collect 0</v>
          </cell>
          <cell r="O61" t="str">
            <v>R n P Car ( 14 Inch ) 7     FF Sachet + Grass</v>
          </cell>
          <cell r="P61" t="str">
            <v>B Daisy ( 12 Inch ) 7     Grass</v>
          </cell>
          <cell r="Q61" t="str">
            <v>P n W car ( 14 Inch ) 7     FF Sachet + Grass</v>
          </cell>
          <cell r="R61" t="str">
            <v>Mix Alstroemeria ( 12 Inch ) 7     FF Sachet + Grass</v>
          </cell>
          <cell r="S61" t="str">
            <v>Rajni ( 14 Inch ) 7     Grass</v>
          </cell>
          <cell r="T61" t="str">
            <v>Mix Glad ( 14 Inch ) 7     Grass</v>
          </cell>
        </row>
        <row r="62">
          <cell r="A62">
            <v>2567</v>
          </cell>
          <cell r="B62" t="str">
            <v>Madhulika</v>
          </cell>
          <cell r="C62">
            <v>9899664229</v>
          </cell>
          <cell r="D62" t="str">
            <v>C-2101, Pioneer Araya, Sec 62</v>
          </cell>
          <cell r="E62" t="str">
            <v>Ghata</v>
          </cell>
          <cell r="F62" t="str">
            <v>Saturday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</v>
          </cell>
          <cell r="L62" t="str">
            <v>Eustoma n Rajni</v>
          </cell>
          <cell r="M62" t="str">
            <v>Collect cash</v>
          </cell>
          <cell r="N62" t="str">
            <v>1  del of this cycle   -  1-cycles pmnt   Pending - Collect 1450</v>
          </cell>
          <cell r="O62" t="str">
            <v>Sunflower ( 12 Inch ) 2     FF Sachet + Grass</v>
          </cell>
          <cell r="P62" t="str">
            <v>P Asiatic ( 14 Inch ) 2     Grass</v>
          </cell>
          <cell r="Q62" t="str">
            <v>Pur n P car ( 14 Inch ) 9     FF Sachet + Grass</v>
          </cell>
          <cell r="R62" t="str">
            <v>P n W Glad ( 14 Inch ) 9     Grass</v>
          </cell>
          <cell r="S62" t="e">
            <v>#N/A</v>
          </cell>
          <cell r="T62" t="str">
            <v>P n Y Spray Daisy ( 14 Inch ) 5     FF Sachet + Grass</v>
          </cell>
        </row>
        <row r="63">
          <cell r="A63">
            <v>84</v>
          </cell>
          <cell r="B63" t="str">
            <v>Atul Gupta</v>
          </cell>
          <cell r="C63">
            <v>9810060986</v>
          </cell>
          <cell r="D63" t="str">
            <v>Audio Visual Aids, LG-53 DLF Mega Mall</v>
          </cell>
          <cell r="E63" t="str">
            <v>DLF Phase 4</v>
          </cell>
          <cell r="F63" t="str">
            <v>Saturday</v>
          </cell>
          <cell r="G63" t="str">
            <v>10 AM to 2:30 PM</v>
          </cell>
          <cell r="H63">
            <v>2750</v>
          </cell>
          <cell r="I63">
            <v>687.5</v>
          </cell>
          <cell r="J63" t="str">
            <v>Elation</v>
          </cell>
          <cell r="K63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63" t="str">
            <v>BOP n Glad</v>
          </cell>
          <cell r="N63" t="str">
            <v>4  del of this cycle   -  0-cycles pmnt   Completed - Collect 0</v>
          </cell>
          <cell r="O63" t="str">
            <v>Pur n P Car ( Long Stem) 32     2 Limonium + FF Sachet</v>
          </cell>
          <cell r="P63" t="str">
            <v>P Asiatic ( 14 Inch ) 6     2 Gypsola</v>
          </cell>
          <cell r="Q63" t="str">
            <v>P n W Oriental ( 15 Inch ) 3     2 Limonium</v>
          </cell>
          <cell r="R63" t="str">
            <v xml:space="preserve">P n Y Spray daisy ( 14 inch ) 10     2 Gypsola + FF Sachet </v>
          </cell>
          <cell r="S63" t="str">
            <v xml:space="preserve">P n W Car ( Long Stem ) 32     2 Gypsola + FF sachet </v>
          </cell>
          <cell r="T63" t="str">
            <v>W Asiatic ( 14 Inch ) 6     Grass</v>
          </cell>
        </row>
        <row r="64">
          <cell r="A64">
            <v>3014</v>
          </cell>
          <cell r="B64" t="str">
            <v>Monika Arora</v>
          </cell>
          <cell r="C64">
            <v>9990121666</v>
          </cell>
          <cell r="D64" t="str">
            <v>Tostem Studio, Plot No. 564, Basement, Sec 39, Near Bakhtawar Chwok</v>
          </cell>
          <cell r="E64" t="str">
            <v>Medanta</v>
          </cell>
          <cell r="F64" t="str">
            <v>Saturday</v>
          </cell>
          <cell r="G64" t="str">
            <v>9 AM - 12 PM</v>
          </cell>
          <cell r="H64">
            <v>1600</v>
          </cell>
          <cell r="I64">
            <v>200</v>
          </cell>
          <cell r="J64" t="str">
            <v>Bloom</v>
          </cell>
          <cell r="K64" t="str">
            <v>Change in Address (31/12)</v>
          </cell>
          <cell r="N64" t="str">
            <v>5  del of this cycle   -  0-cycles pmnt   Completed - Collect 0</v>
          </cell>
          <cell r="O64" t="str">
            <v>Rajni ( 14 Inch ) 7     Grass</v>
          </cell>
          <cell r="P64" t="str">
            <v>P Spray Daisy ( 14 inch ) 2     FF Sachet + Grass</v>
          </cell>
          <cell r="Q64" t="str">
            <v>Y Spray Daisy ( 14 Inch ) 2     FF Sachet + Grass</v>
          </cell>
          <cell r="R64" t="str">
            <v>P Spray Daisy ( 14 Inch ) 2     FF Sachet + Grass</v>
          </cell>
          <cell r="S64" t="str">
            <v>Pur n P Car ( 14 Inch ) 7     FF Sachet + Grass</v>
          </cell>
          <cell r="T64" t="str">
            <v>Sunflower ( 12 Inch ) 2     FF sachet + Grass</v>
          </cell>
        </row>
        <row r="65">
          <cell r="A65">
            <v>3096</v>
          </cell>
          <cell r="B65" t="str">
            <v>Arti Kaul</v>
          </cell>
          <cell r="C65">
            <v>9560517831</v>
          </cell>
          <cell r="D65" t="str">
            <v>T-2B, Windsor Court, DLF Phase 4</v>
          </cell>
          <cell r="E65" t="str">
            <v>DLF Phase 4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One Kind of Flower (13/01)</v>
          </cell>
          <cell r="M65" t="str">
            <v>One Kind</v>
          </cell>
          <cell r="N65" t="str">
            <v>1  del of this cycle   -  0-cycles pmnt   Completed - Collect 0</v>
          </cell>
          <cell r="O65" t="e">
            <v>#N/A</v>
          </cell>
          <cell r="P65" t="str">
            <v>R n G Car ( 14 Inch ) 16     FF Sachet + Grass</v>
          </cell>
          <cell r="Q65" t="str">
            <v>P Asiatic ( 14 Inch ) 3     Grass</v>
          </cell>
          <cell r="R65" t="str">
            <v>P n W Glad ( 14 Inch ) 16     Grass</v>
          </cell>
          <cell r="S65" t="str">
            <v>P n Y Spray Daisy ( 14 Inch ) 5     FF sachet + Car</v>
          </cell>
          <cell r="T65" t="str">
            <v>Mix Alstroemeria ( 12 Inch ) 16     FF Sachet + Grass</v>
          </cell>
        </row>
        <row r="66">
          <cell r="A66">
            <v>3211</v>
          </cell>
          <cell r="B66" t="str">
            <v>Shreya -- Smartworld</v>
          </cell>
          <cell r="C66">
            <v>8800782128</v>
          </cell>
          <cell r="D66" t="str">
            <v>E-2D, Smartworld Orchard, Sec 61</v>
          </cell>
          <cell r="E66" t="str">
            <v>Ghata</v>
          </cell>
          <cell r="F66" t="str">
            <v>Saturday</v>
          </cell>
          <cell r="G66" t="str">
            <v>9 AM - 12 PM</v>
          </cell>
          <cell r="H66">
            <v>999</v>
          </cell>
          <cell r="I66">
            <v>249.75</v>
          </cell>
          <cell r="J66" t="str">
            <v>Delight</v>
          </cell>
          <cell r="K66" t="str">
            <v>From Shreya Pandey // Skip and send on Tuesday (09/01) HDTNP (21/02) HDTNP --send tom (28/02)</v>
          </cell>
          <cell r="N66" t="str">
            <v>4  del of this cycle   -  0-cycles pmnt   CompletedNO COLLECTION-we have extra money - Collect -2</v>
          </cell>
          <cell r="O66" t="str">
            <v>Sunflower ( 12 Inch ) 2     FF Sachet + Grass</v>
          </cell>
          <cell r="P66" t="str">
            <v>P n W Glad ( 14 Inch ) 9     Grass</v>
          </cell>
          <cell r="Q66" t="str">
            <v>P Spray Daisy ( 14 Inch ) 3     FF Sachet + Grass</v>
          </cell>
          <cell r="R66" t="str">
            <v>P Asiatic ( 14 Inch ) 2     FF Sachet + Grass</v>
          </cell>
          <cell r="S66" t="str">
            <v xml:space="preserve">R n W Car ( 14 Inch ) 9     </v>
          </cell>
          <cell r="T66" t="str">
            <v>Mix Glad ( 14 Inch ) 9     Grass</v>
          </cell>
        </row>
        <row r="67">
          <cell r="A67">
            <v>3287</v>
          </cell>
          <cell r="B67" t="str">
            <v>Tenzing Y Bhutia</v>
          </cell>
          <cell r="C67">
            <v>8527399445</v>
          </cell>
          <cell r="D67" t="str">
            <v>A-1701. 17th Floor, Heritage One</v>
          </cell>
          <cell r="E67" t="str">
            <v>Ghata</v>
          </cell>
          <cell r="F67" t="str">
            <v>Saturday</v>
          </cell>
          <cell r="G67" t="str">
            <v>10 AM to 2:30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Send tom del in evening // No Glad // Replacement Tom (04/05)</v>
          </cell>
          <cell r="L67" t="str">
            <v>Glad</v>
          </cell>
          <cell r="N67" t="str">
            <v>3  del of this cycle   -  0-cycles pmnt   Completed - Collect 0</v>
          </cell>
          <cell r="O67" t="str">
            <v>Y Asiatic ( 14 inch ) 4     Grass</v>
          </cell>
          <cell r="P67" t="str">
            <v>B Daisy ( 12 Inch ) 22     Grass</v>
          </cell>
          <cell r="Q67" t="str">
            <v>Pur n P car ( 14 Inch ) 22     FF Sachet + Grass</v>
          </cell>
          <cell r="R67" t="str">
            <v>B Orchid  7     FF Sachet + Grass</v>
          </cell>
          <cell r="S67" t="str">
            <v>Rajni ( 14 Inch ) 22     Grass</v>
          </cell>
          <cell r="T67" t="str">
            <v>P n Y Spray Daisy ( 14 Inch ) 7     FF Sachet + Grass</v>
          </cell>
        </row>
        <row r="68">
          <cell r="A68">
            <v>2273</v>
          </cell>
          <cell r="B68" t="str">
            <v xml:space="preserve">Prashant </v>
          </cell>
          <cell r="C68">
            <v>9216746911</v>
          </cell>
          <cell r="D68" t="str">
            <v>Flat 3B, Building 1, The Hibiscus</v>
          </cell>
          <cell r="E68" t="str">
            <v>Nirvana Country</v>
          </cell>
          <cell r="F68" t="str">
            <v>Saturday</v>
          </cell>
          <cell r="G68" t="str">
            <v>9:30 Am to 2 PM</v>
          </cell>
          <cell r="H68">
            <v>1950</v>
          </cell>
          <cell r="I68">
            <v>487.5</v>
          </cell>
          <cell r="J68" t="str">
            <v>Joy</v>
          </cell>
          <cell r="K68" t="str">
            <v>No Orchid (21/05)</v>
          </cell>
          <cell r="L68" t="str">
            <v>ORCHID</v>
          </cell>
          <cell r="N68" t="str">
            <v>4  del of this cycle   -  0-cycles pmnt   Completed - Collect 0</v>
          </cell>
          <cell r="O68" t="str">
            <v>P n Pur Eustoma ( 12 Inch ) 4     FF Sachet + Grass</v>
          </cell>
          <cell r="P68" t="str">
            <v>P n W Glad ( 14 Inch ) 22     Grass</v>
          </cell>
          <cell r="Q68" t="str">
            <v>Sunflower ( 14 Inch ) 5     FF Sachet + Grass</v>
          </cell>
          <cell r="R68" t="str">
            <v>Pur n P Car ( 14 Inch ) 22     FF Sachet + Grass</v>
          </cell>
          <cell r="S68" t="str">
            <v>O Asiatic ( 14 Inch ) 4     Grass</v>
          </cell>
          <cell r="T68" t="str">
            <v>Mix Alstroemeria ( 12 Inch ) 22     FF Sachet + Grass</v>
          </cell>
        </row>
        <row r="69">
          <cell r="A69">
            <v>2618</v>
          </cell>
          <cell r="B69" t="str">
            <v>Tanvi Gauri</v>
          </cell>
          <cell r="C69">
            <v>9717699622</v>
          </cell>
          <cell r="D69" t="str">
            <v>A-27/38, DLF Phase 1, Behind DT Mega Mall</v>
          </cell>
          <cell r="E69" t="str">
            <v>DLF Phase 1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Paytm From Tavi Gauri //  HDTNP (21/02) HDTNP (28/02) HDTNP (07/03) For Collection today (28/03) Collection today )4/04) HDTNP (02/05) HDTNP (09/5) HDTNP (16.05) White Flowers This week (30/06)</v>
          </cell>
          <cell r="M69" t="str">
            <v>Only Advance Payment (02/06) White Flowers This week (30/06)</v>
          </cell>
          <cell r="N69" t="str">
            <v>3  del of this cycle   -  0-cycles pmnt   Completed - Collect 0</v>
          </cell>
          <cell r="O69" t="str">
            <v>Y Asiatic ( 14 inch ) 3     Grass</v>
          </cell>
          <cell r="P69" t="str">
            <v>P n W Glad ( 14 Inch ) 16     Grass</v>
          </cell>
          <cell r="Q69" t="str">
            <v>Sunflower ( 14 Inch ) 4     FF Sachet + Grass</v>
          </cell>
          <cell r="R69" t="str">
            <v>Pur n P Car ( 14 Inch ) 16 Upgraded to Next Pack Pls Inform to Customer Sanjeet  Pls Ensure to Inform  FF Sachet + Grass</v>
          </cell>
          <cell r="S69" t="str">
            <v>Rajni ( 14 Inch ) 16     Grass</v>
          </cell>
          <cell r="T69" t="str">
            <v>O Asiatic ( 14 Inch ) 3     Grass</v>
          </cell>
        </row>
        <row r="70">
          <cell r="A70">
            <v>146</v>
          </cell>
          <cell r="B70" t="str">
            <v>SANGEETA BATRA</v>
          </cell>
          <cell r="C70">
            <v>9312666392</v>
          </cell>
          <cell r="D70" t="str">
            <v>7A, Building 1, Hibiscus Society  Sector-50, Near Hotel Hilton Garden Inn Baani Square  Other Gurgoan  122002</v>
          </cell>
          <cell r="E70" t="str">
            <v>Nirvana Country</v>
          </cell>
          <cell r="F70" t="str">
            <v>Saturday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v>
          </cell>
          <cell r="L70" t="str">
            <v>BLUE ORCHID</v>
          </cell>
          <cell r="M70" t="str">
            <v>Tom before 12 Pm (17/04)</v>
          </cell>
          <cell r="N70" t="str">
            <v>2  del of this cycle   -  0-cycles pmnt   Completed - Collect 0</v>
          </cell>
          <cell r="O70" t="str">
            <v>Pur Eustoma ( 12 Inch ) 3     FF Sachet + Grass</v>
          </cell>
          <cell r="P70" t="str">
            <v>O Asiatic ( 14 Inch ) 3     Grass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>G n W Car ( 14 Inch ) 16     FF Sachet + Grass</v>
          </cell>
        </row>
        <row r="71">
          <cell r="A71">
            <v>2411</v>
          </cell>
          <cell r="B71" t="str">
            <v>Risha</v>
          </cell>
          <cell r="C71">
            <v>9873670489</v>
          </cell>
          <cell r="D71" t="str">
            <v>S-16 A, Windsor Court, DLF Phase 4</v>
          </cell>
          <cell r="E71" t="str">
            <v>DLF Phase 4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15% Discount (26/07) Today hold (18/10) Skip 1 week (29/10) Hold till 15th Jan (29/12) Return not at home (31/01) Today Returned (04/04) HDTNP (06/06) HDTNP (13/06) HDTNP (20/06)</v>
          </cell>
          <cell r="N71" t="str">
            <v>2  del of this cycle   -  1-cycles pmnt   Pending - Collect 1450</v>
          </cell>
          <cell r="O71" t="e">
            <v>#N/A</v>
          </cell>
          <cell r="P71" t="e">
            <v>#N/A</v>
          </cell>
          <cell r="Q71" t="str">
            <v xml:space="preserve">Sunflower 2 Mix Car 7   </v>
          </cell>
          <cell r="R71" t="str">
            <v>W Asiatic ( 14 Inch ) 2 Mix Alstroemeria ( 12 Inch ) 7   Grass</v>
          </cell>
          <cell r="S71" t="str">
            <v>P Spray Daisy ( 14 Inch ) 3 Rajni ( 14 inch ) 7   FF sachet + Car</v>
          </cell>
          <cell r="T71" t="str">
            <v>Pur Eustoma ( 12 Inch ) 2 Mix Glad ( 14 Inch ) 7 Collect payment Collect payment FF Sachet + Grass</v>
          </cell>
        </row>
        <row r="72">
          <cell r="A72">
            <v>3375</v>
          </cell>
          <cell r="B72" t="str">
            <v>Saniya Anand</v>
          </cell>
          <cell r="C72">
            <v>9810955188</v>
          </cell>
          <cell r="D72" t="str">
            <v>D-1102, Caritriona Ambience Island</v>
          </cell>
          <cell r="E72" t="str">
            <v>M G Road</v>
          </cell>
          <cell r="F72" t="str">
            <v>Saturday</v>
          </cell>
          <cell r="G72" t="str">
            <v>4 Pm to 7 PM</v>
          </cell>
          <cell r="H72">
            <v>1950</v>
          </cell>
          <cell r="I72">
            <v>487.5</v>
          </cell>
          <cell r="J72" t="str">
            <v>Joy</v>
          </cell>
          <cell r="K72" t="str">
            <v>Paytm from Anmol Anand (03/07)</v>
          </cell>
          <cell r="N72" t="str">
            <v>3  del of this cycle   -  0-cycles pmnt   Completed - Collect 0</v>
          </cell>
          <cell r="O72" t="e">
            <v>#N/A</v>
          </cell>
          <cell r="P72" t="e">
            <v>#N/A</v>
          </cell>
          <cell r="Q72" t="e">
            <v>#N/A</v>
          </cell>
          <cell r="R72" t="str">
            <v>B Orchid  7     FF Sachet + Grass</v>
          </cell>
          <cell r="S72" t="str">
            <v>Rajni ( 14 Inch ) 22     Grass</v>
          </cell>
          <cell r="T72" t="str">
            <v>O Asiatic ( 14 Inch ) 4     Grass</v>
          </cell>
        </row>
        <row r="73">
          <cell r="A73">
            <v>317</v>
          </cell>
          <cell r="B73" t="str">
            <v>Geetanjali Nanda</v>
          </cell>
          <cell r="C73" t="str">
            <v xml:space="preserve">9811821841
</v>
          </cell>
          <cell r="D73" t="str">
            <v>A51/14 ...dlf 1 ..1st floor ...behind dt mega mall</v>
          </cell>
          <cell r="E73" t="str">
            <v>DLF Phase 1</v>
          </cell>
          <cell r="F73" t="str">
            <v>Saturday</v>
          </cell>
          <cell r="G73" t="str">
            <v>9 AM to 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Pls send Rajni in next del(15/07)Send either rajni or y glad tom(08/09)  NO GULDAWARI n BOP  Skip Monday (29/07) Hold for 2 weeks (16/09) Today returned (23/12)  Skip Saturday and send on Monday (07/03) Hold n start from 2nd week of July and inform before sending (27/05) Do not count last delivery (04/11) Do Not count last Del (10/12) Return today (18/01) Hold today (29/03) Do not count last delivery (30/05) Hold today (10/01) Hold due to non payment (31/01) Hold n connect after 15th July (19/06)</v>
          </cell>
          <cell r="L73" t="str">
            <v>GULDAWARI n BOP n SPRAY DAISY</v>
          </cell>
          <cell r="M73" t="str">
            <v>Hold n connect after 15th July (19/06)</v>
          </cell>
          <cell r="N73" t="str">
            <v>1  del of this cycle   -  1-cycles pmnt   Pending - Collect 1449</v>
          </cell>
          <cell r="O73" t="str">
            <v>Sunflower ( 12 Inch ) 2     FF Sachet + Grass</v>
          </cell>
          <cell r="P73" t="e">
            <v>#N/A</v>
          </cell>
          <cell r="Q73" t="e">
            <v>#N/A</v>
          </cell>
          <cell r="R73" t="e">
            <v>#N/A</v>
          </cell>
          <cell r="S73" t="e">
            <v>#N/A</v>
          </cell>
          <cell r="T73" t="str">
            <v>G n W Car ( 14 Inch ) 16     FF Sachet + Grass</v>
          </cell>
        </row>
        <row r="74">
          <cell r="A74">
            <v>2849</v>
          </cell>
          <cell r="B74" t="str">
            <v>Namita Chaudhary -- 11:30 to 1:30 Pm</v>
          </cell>
          <cell r="C74">
            <v>9810002910</v>
          </cell>
          <cell r="D74" t="str">
            <v>18 Bodhi Marg, Ground Floor, Near Shopping Mall, Arjun Marg, DLF Phase 1</v>
          </cell>
          <cell r="E74" t="str">
            <v>DLF Phase 1</v>
          </cell>
          <cell r="F74" t="str">
            <v>Saturday</v>
          </cell>
          <cell r="G74" t="str">
            <v>11:30 to 1:30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Skip 1 week (13/08) Start from or after 13th Oct (30/09) Skip 2 week (09/12) Todays Delivery returned due to address change (07/03) Hold till 03rd Apr (27/03) No Yel n White (06/04) Hold today (11/07)</v>
          </cell>
          <cell r="L74" t="str">
            <v xml:space="preserve"> No Yel n White (06/04)</v>
          </cell>
          <cell r="N74" t="str">
            <v>3  del of this cycle   -  0-cycles pmnt   In Process - Collect 0</v>
          </cell>
          <cell r="O74" t="str">
            <v>P Eustoma ( 12 Inch ) 3     FF Sachet + Grass</v>
          </cell>
          <cell r="P74" t="str">
            <v>B Daisy ( 12 Inch ) 16     Grass</v>
          </cell>
          <cell r="Q74" t="str">
            <v>Pur n P car ( 14 Inch ) 16     FF Sachet + Grass</v>
          </cell>
          <cell r="R74" t="str">
            <v>O Asiatic ( 14 Inch ) 3     Grass</v>
          </cell>
          <cell r="S74" t="str">
            <v>Mix Alstroemeria ( 12 Inch ) 16     FF sachet + Car</v>
          </cell>
          <cell r="T74" t="str">
            <v>Mix Glad ( 14 Inch ) 16     Grass</v>
          </cell>
        </row>
        <row r="75">
          <cell r="A75">
            <v>3345</v>
          </cell>
          <cell r="B75" t="str">
            <v>Pragya Ojha</v>
          </cell>
          <cell r="C75">
            <v>8879005210</v>
          </cell>
          <cell r="D75" t="str">
            <v>C-1403, Heritage One, Sec 62</v>
          </cell>
          <cell r="E75" t="str">
            <v>Ghata</v>
          </cell>
          <cell r="F75" t="str">
            <v>Saturday</v>
          </cell>
          <cell r="G75" t="str">
            <v>9 AM - 12 PM</v>
          </cell>
          <cell r="H75">
            <v>2750</v>
          </cell>
          <cell r="I75">
            <v>687.5</v>
          </cell>
          <cell r="J75" t="str">
            <v>Elation</v>
          </cell>
          <cell r="K75" t="str">
            <v>Skip 1 week (25/05) // Day Chnged to Saturday (10/06)</v>
          </cell>
          <cell r="N75" t="str">
            <v>3  del of this cycle   -  0-cycles pmnt   Completed - Collect 0</v>
          </cell>
          <cell r="O75" t="e">
            <v>#N/A</v>
          </cell>
          <cell r="P75" t="str">
            <v>P n Pur Eustoma ( 12 Inch ) 6     2 Gypsola + FF sachet</v>
          </cell>
          <cell r="Q75" t="str">
            <v>Sunflower ( 14 Inch ) 7     2 Limonium + FF sachet</v>
          </cell>
          <cell r="R75" t="str">
            <v xml:space="preserve">Mix Alstroemeria ( 12 Inch ) 32     2 Gypsola + FF Sachet </v>
          </cell>
          <cell r="S75" t="str">
            <v>Rajni ( 14 Inch ) 32    Ensure Collection 2 Gypsola</v>
          </cell>
          <cell r="T75" t="str">
            <v>O Asiatic ( 14 Inch ) 6     Grass</v>
          </cell>
        </row>
        <row r="76">
          <cell r="A76">
            <v>1953</v>
          </cell>
          <cell r="B76" t="str">
            <v>Sandhya Nagesh</v>
          </cell>
          <cell r="C76">
            <v>8800649797</v>
          </cell>
          <cell r="D76" t="str">
            <v>89, Ground Floor, Woodstock Floors, Sec 50</v>
          </cell>
          <cell r="E76" t="str">
            <v>Nirvana Country</v>
          </cell>
          <cell r="F76" t="str">
            <v>Saturday</v>
          </cell>
          <cell r="G76" t="str">
            <v>9 AM - 12 PM</v>
          </cell>
          <cell r="H76">
            <v>3000</v>
          </cell>
          <cell r="I76">
            <v>375</v>
          </cell>
          <cell r="J76" t="str">
            <v>Charm</v>
          </cell>
          <cell r="K76" t="str">
            <v>Saturday n Tueaday(02/09) No Del From 10th to 19th (09/09) Today returned(19/08) hold today send tom (07/10) Skip 20th Del (14/01) Hold 6th n 10th Sug (03/08) Return tiday (07/02) Today Returned (24/02)</v>
          </cell>
          <cell r="N76" t="str">
            <v>4  del of this cycle   -  0-cycles pmnt   Completed - Collect 0</v>
          </cell>
          <cell r="O76" t="str">
            <v>R n P Car ( 14 Inch ) 15     FF Sachet + Grass</v>
          </cell>
          <cell r="P76" t="str">
            <v>P n W Glad ( 14 Inch ) 15     Grass</v>
          </cell>
          <cell r="Q76" t="str">
            <v>Sunflower ( 14 Inch ) 4     FF Sachet + Grass</v>
          </cell>
          <cell r="R76" t="str">
            <v>B Orchid  4     FF Sachet + Grass</v>
          </cell>
          <cell r="S76" t="str">
            <v>Rajni ( 14 Inch ) 15     Grass</v>
          </cell>
          <cell r="T76" t="str">
            <v>Mix Alstroemeria ( 12 Inch ) 15     FF sachet + Grass</v>
          </cell>
        </row>
        <row r="77">
          <cell r="A77">
            <v>3392</v>
          </cell>
          <cell r="B77" t="str">
            <v>Dr. Shreya Scout</v>
          </cell>
          <cell r="C77">
            <v>9456035888</v>
          </cell>
          <cell r="D77" t="str">
            <v>H. No. 1314, 1st Floor, Sector 46</v>
          </cell>
          <cell r="E77" t="str">
            <v>Sec 46</v>
          </cell>
          <cell r="F77" t="str">
            <v>Saturday</v>
          </cell>
          <cell r="G77" t="str">
            <v>4 Pm to 7 PM</v>
          </cell>
          <cell r="H77">
            <v>1450</v>
          </cell>
          <cell r="I77">
            <v>362.5</v>
          </cell>
          <cell r="J77" t="str">
            <v>Bliss</v>
          </cell>
          <cell r="N77" t="str">
            <v>4  del of this cycle   -  0-cycles pmnt   Completed - Collect 0</v>
          </cell>
          <cell r="O77" t="e">
            <v>#N/A</v>
          </cell>
          <cell r="P77" t="e">
            <v>#N/A</v>
          </cell>
          <cell r="Q77" t="e">
            <v>#N/A</v>
          </cell>
          <cell r="R77" t="str">
            <v>P Asiatic ( 14 Inch ) 3     Grass</v>
          </cell>
          <cell r="S77" t="str">
            <v>P n W Glad ( 14 Inch ) 16     Grass</v>
          </cell>
          <cell r="T77" t="str">
            <v>P n Y Spray Daisy ( 14 Inch ) 5     FF Sachet + Grass</v>
          </cell>
        </row>
        <row r="78">
          <cell r="A78">
            <v>3361</v>
          </cell>
          <cell r="B78" t="str">
            <v>Navneet Kaur</v>
          </cell>
          <cell r="C78">
            <v>8527893377</v>
          </cell>
          <cell r="D78" t="str">
            <v>C-601, Time Residency, Sec 63</v>
          </cell>
          <cell r="E78" t="str">
            <v>Ghata</v>
          </cell>
          <cell r="F78" t="str">
            <v>Saturday</v>
          </cell>
          <cell r="G78" t="str">
            <v>10 AM to 2:30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Skip 1 week (16/05) Skip 1 week (04/06) Skip 1 week (09/07)</v>
          </cell>
          <cell r="N78" t="str">
            <v>3  del of this cycle   -  0-cycles pmnt   Completed - Collect 0</v>
          </cell>
          <cell r="O78" t="e">
            <v>#N/A</v>
          </cell>
          <cell r="P78" t="e">
            <v>#N/A</v>
          </cell>
          <cell r="Q78" t="str">
            <v>P n W car ( 14 Inch ) 16     FF Sachet + Grass</v>
          </cell>
          <cell r="R78" t="str">
            <v>Sunflower ( 12 Inch ) 4     FF Sachet + Grass</v>
          </cell>
          <cell r="S78" t="e">
            <v>#N/A</v>
          </cell>
          <cell r="T78" t="str">
            <v>Mix Glad ( 14 Inch ) 16     Grass</v>
          </cell>
        </row>
        <row r="79">
          <cell r="A79">
            <v>1542</v>
          </cell>
          <cell r="B79" t="str">
            <v>Anisha Sethi</v>
          </cell>
          <cell r="C79">
            <v>9811004396</v>
          </cell>
          <cell r="D79" t="str">
            <v>Q-1/25, DLF Phase 2</v>
          </cell>
          <cell r="E79" t="str">
            <v>M G Road</v>
          </cell>
          <cell r="F79" t="str">
            <v>Saturday</v>
          </cell>
          <cell r="G79" t="str">
            <v>9 AM to 2 PM</v>
          </cell>
          <cell r="H79">
            <v>3000</v>
          </cell>
          <cell r="I79">
            <v>375</v>
          </cell>
          <cell r="J79" t="str">
            <v>Charm</v>
          </cell>
          <cell r="K79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79" t="str">
            <v>HELICONIA n BOP</v>
          </cell>
          <cell r="M79" t="str">
            <v>No Sunflowers for some time (15/04) Change of Rs. 50 Next (28/04)</v>
          </cell>
          <cell r="N79" t="str">
            <v>2  del of this cycle   -  1-cycles pmnt   Pending - Collect 3000</v>
          </cell>
          <cell r="O79" t="str">
            <v>Y Asiatic ( 14 inch ) 2 Pur n p Car ( 14 inch ) 7   Grass</v>
          </cell>
          <cell r="P79" t="str">
            <v>Sunflower ( 12 Inch ) 2 B Daisy ( 12 Inch ) 7 Collect Cash Collect Cash Grass</v>
          </cell>
          <cell r="Q79" t="str">
            <v>P Asiatic ( 14 Inch ) 2 P n W Glad ( 14 Inch ) 7   Grass</v>
          </cell>
          <cell r="R79" t="str">
            <v>O Asiatic ( 14 Inch ) 2 Rajni ( 14 Inch ) 7   Grass</v>
          </cell>
          <cell r="S79" t="str">
            <v>O Asiatic ( 14 Inch ) 2 Rajni ( 14 inch ) 7   Grass</v>
          </cell>
          <cell r="T79" t="str">
            <v>W Asiatic ( 14 Inch ) 2 Mix Glad ( 14 Inch ) 7 Collect payment Collect payment Grass</v>
          </cell>
        </row>
        <row r="80">
          <cell r="A80">
            <v>194</v>
          </cell>
          <cell r="B80" t="str">
            <v>Rashmi Chandra</v>
          </cell>
          <cell r="C80">
            <v>9811201254</v>
          </cell>
          <cell r="D80" t="str">
            <v>6826, DLF Phase-4</v>
          </cell>
          <cell r="E80" t="str">
            <v>DLF Phase 4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0" t="str">
            <v>4  del of this cycle   -  0-cycles pmnt   Completed - Collect 0</v>
          </cell>
          <cell r="O80" t="str">
            <v>O n P Car ( 14 Inch ) 16     FF Sachet + Grass</v>
          </cell>
          <cell r="P80" t="str">
            <v>P Eustoma ( 12 Inch ) 3     Grass</v>
          </cell>
          <cell r="Q80" t="str">
            <v>Sunflower ( 14 Inch ) 4     FF Sachet + Grass</v>
          </cell>
          <cell r="R80" t="str">
            <v>P n W Glad ( 14 Inch ) 16     Grass</v>
          </cell>
          <cell r="S80" t="str">
            <v>O Asiatic ( 14 Inch ) 3     Grass</v>
          </cell>
          <cell r="T80" t="str">
            <v>G n W Car ( 14 Inch ) 16     FF Sachet + Grass</v>
          </cell>
        </row>
        <row r="81">
          <cell r="A81">
            <v>1921</v>
          </cell>
          <cell r="B81" t="str">
            <v>Vrinda Sehgal 1</v>
          </cell>
          <cell r="C81">
            <v>9871094919</v>
          </cell>
          <cell r="D81" t="str">
            <v>B-13/1, 3rd Floor, DLF Phase 1</v>
          </cell>
          <cell r="E81" t="str">
            <v>DLF Phase 1</v>
          </cell>
          <cell r="F81" t="str">
            <v>Saturday</v>
          </cell>
          <cell r="G81" t="str">
            <v>4 PM to 7PM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1" t="str">
            <v>4  del of this cycle   -  0-cycles pmnt   Completed - Collect 0</v>
          </cell>
          <cell r="O81" t="str">
            <v>P n W Glad ( 14 Inch ) 16     Grass</v>
          </cell>
          <cell r="P81" t="str">
            <v>O Asiatic ( 14 Inch ) 3     Grass</v>
          </cell>
          <cell r="Q81" t="str">
            <v>Sunflower ( 14 Inch ) 4     FF Sachet + Grass</v>
          </cell>
          <cell r="R81" t="str">
            <v>Mix Alstroemeria ( 12 Inch ) 16     FF Sachet + Grass</v>
          </cell>
          <cell r="S81" t="str">
            <v>B Daisy ( 12 Inch ) 16     Grass</v>
          </cell>
          <cell r="T81" t="str">
            <v>P n Y Spray Daisy ( 14 Inch ) 5     FF Sachet + Grass</v>
          </cell>
        </row>
        <row r="82">
          <cell r="A82">
            <v>1631</v>
          </cell>
          <cell r="B82" t="str">
            <v>Paridhi Joshi</v>
          </cell>
          <cell r="C82">
            <v>8970999005</v>
          </cell>
          <cell r="D82" t="str">
            <v>A-124, Belvedere Towers, Cyber City</v>
          </cell>
          <cell r="E82" t="str">
            <v>DLF Phase 3</v>
          </cell>
          <cell r="F82" t="str">
            <v>Saturday</v>
          </cell>
          <cell r="G82" t="str">
            <v>9:30 Am to 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82" t="str">
            <v>ROSE n GLAD</v>
          </cell>
          <cell r="N82" t="str">
            <v>2  del of this cycle   -  1-cycles pmnt   Pending - Collect 1450</v>
          </cell>
          <cell r="O82" t="str">
            <v>P Eustoma ( 12 Inch ) 3     FF Sachet + Grass</v>
          </cell>
          <cell r="P82" t="str">
            <v>P Asiatic ( 14 Inch ) 3     Grass</v>
          </cell>
          <cell r="Q82" t="str">
            <v>Pur n P car ( 14 Inch ) 16     FF Sachet + Grass</v>
          </cell>
          <cell r="R82" t="str">
            <v>Sunflower ( 12 Inch ) 4     FF Sachet + Grass</v>
          </cell>
          <cell r="S82" t="str">
            <v>P n W Spray Daisy ( 14 Inch ) 5     FF sachet + Car</v>
          </cell>
          <cell r="T82" t="str">
            <v>W Asiatic ( 14 Inch ) 3   Collect payment Collect payment Grass</v>
          </cell>
        </row>
        <row r="83">
          <cell r="A83">
            <v>1226</v>
          </cell>
          <cell r="B83" t="str">
            <v>Archana Trikha</v>
          </cell>
          <cell r="C83">
            <v>9910006945</v>
          </cell>
          <cell r="D83" t="str">
            <v>C-2003, Times Residency, Sec 63</v>
          </cell>
          <cell r="E83" t="str">
            <v>Ghata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83" t="str">
            <v>Lily n Sunflower</v>
          </cell>
          <cell r="N83" t="str">
            <v>2  del of this cycle   -  0-cycles pmnt   Completed - Collect 0</v>
          </cell>
          <cell r="O83" t="e">
            <v>#N/A</v>
          </cell>
          <cell r="P83" t="e">
            <v>#N/A</v>
          </cell>
          <cell r="Q83" t="str">
            <v>Pur n P car ( 14 Inch ) 9     FF Sachet + Grass</v>
          </cell>
          <cell r="R83" t="str">
            <v>Y Spray Daosy ( 14 Inch )  3     FF Sachet + Grass</v>
          </cell>
          <cell r="S83" t="str">
            <v>P n W Glad ( 14 Inch ) 16     Grass</v>
          </cell>
          <cell r="T83" t="str">
            <v>Mix Alstroemeria ( 12 Inch ) 16     FF Sachet + Grass</v>
          </cell>
        </row>
        <row r="84">
          <cell r="A84">
            <v>3058</v>
          </cell>
          <cell r="B84" t="str">
            <v>Ritu Gupta</v>
          </cell>
          <cell r="C84">
            <v>9811321755</v>
          </cell>
          <cell r="D84" t="str">
            <v>T-3/1201, The Close North</v>
          </cell>
          <cell r="H84">
            <v>1780</v>
          </cell>
          <cell r="J84" t="str">
            <v>Customized</v>
          </cell>
          <cell r="K84" t="str">
            <v>Send one delivery of 3 Asiatic lilies with greens today to Ritu gupta —  +91 98113 21755 in evening slot , 4 delivery cost 1780…</v>
          </cell>
          <cell r="T84" t="str">
            <v>Asiatic 3     Areca apalm + Grass</v>
          </cell>
        </row>
        <row r="85">
          <cell r="A85">
            <v>18</v>
          </cell>
          <cell r="B85" t="str">
            <v>Ms. Shweta Ghosh</v>
          </cell>
          <cell r="C85">
            <v>9643200607</v>
          </cell>
          <cell r="D85" t="str">
            <v>T-7/1702, The Close South , Sector 50</v>
          </cell>
          <cell r="E85" t="str">
            <v>Nirvana Country</v>
          </cell>
          <cell r="F85" t="str">
            <v>Saturday</v>
          </cell>
          <cell r="G85" t="str">
            <v>4 Pm to 7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85" t="str">
            <v>GLDA n RAJNI</v>
          </cell>
          <cell r="M85" t="str">
            <v>Skip 6th n send on 8th this week (03/06)</v>
          </cell>
          <cell r="N85" t="str">
            <v>2  del of this cycle   -  1-cycles pmnt   Pending - Collect 1450</v>
          </cell>
          <cell r="O85" t="str">
            <v>P n Y Spray Daisy ( 14 Inch ) 5     FF Sachet + Grass</v>
          </cell>
          <cell r="P85" t="str">
            <v>Mix Car 16   Collect Payment Collect Payment Grass</v>
          </cell>
          <cell r="Q85" t="str">
            <v>P Asiatic ( 14 Inch ) 3   Ensure Collection Ensure Collection Grass</v>
          </cell>
          <cell r="R85" t="str">
            <v>Sunflower ( 12 Inch ) 4     FF Sachet + Grass</v>
          </cell>
          <cell r="S85" t="str">
            <v>B Daisy ( 12 Inch ) 16     Grass</v>
          </cell>
          <cell r="T85" t="str">
            <v>P n W Spray Daisy ( 14 Inch ) 5   Collect payment Collect payment FF Sachet + Grass</v>
          </cell>
        </row>
        <row r="86">
          <cell r="A86">
            <v>193</v>
          </cell>
          <cell r="B86" t="str">
            <v>Rekha Krishnan</v>
          </cell>
          <cell r="C86">
            <v>9811201254</v>
          </cell>
          <cell r="D86" t="str">
            <v>S9/23, DLF Phase3</v>
          </cell>
          <cell r="E86" t="str">
            <v>DLF Phase 3</v>
          </cell>
          <cell r="F86" t="str">
            <v>Saturday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Cash to be collected from Manoj Pandey(10/06) 2 Stick extra next week(28/12) Send 2 stick extra on next del(25/05/2020) Sending Del tom due to Diwali(11/11) Pls return 1050 tom(26/11)</v>
          </cell>
          <cell r="N86" t="str">
            <v>4  del of this cycle   -  0-cycles pmnt   Completed - Collect 0</v>
          </cell>
          <cell r="O86" t="str">
            <v>O n P Car ( 14 Inch ) 16     FF Sachet + Grass</v>
          </cell>
          <cell r="P86" t="str">
            <v>P Eustoma ( 12 Inch ) 3     Grass</v>
          </cell>
          <cell r="Q86" t="str">
            <v>Sunflower ( 14 Inch ) 4     FF Sachet + Grass</v>
          </cell>
          <cell r="R86" t="str">
            <v>P n W Glad ( 14 Inch ) 16     Grass</v>
          </cell>
          <cell r="S86" t="str">
            <v>O Asiatic ( 14 Inch ) 3     Grass</v>
          </cell>
          <cell r="T86" t="str">
            <v>G n W Car ( 14 Inch ) 16     FF Sachet + Grass</v>
          </cell>
        </row>
        <row r="87">
          <cell r="A87">
            <v>1089</v>
          </cell>
          <cell r="B87" t="str">
            <v>Disha Roy</v>
          </cell>
          <cell r="C87">
            <v>9999024774</v>
          </cell>
          <cell r="D87" t="str">
            <v>U-26-A/8,1st Floor</v>
          </cell>
          <cell r="E87" t="str">
            <v>DLF Phase 3</v>
          </cell>
          <cell r="F87" t="str">
            <v>Saturday</v>
          </cell>
          <cell r="G87" t="str">
            <v>9 AM - 12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7" t="str">
            <v>2  del of this cycle   -  0-cycles pmnt   Completed - Collect 0</v>
          </cell>
          <cell r="O87" t="e">
            <v>#N/A</v>
          </cell>
          <cell r="P87" t="e">
            <v>#N/A</v>
          </cell>
          <cell r="Q87" t="str">
            <v>Pur n P car ( 14 Inch ) 16     FF Sachet + Grass</v>
          </cell>
          <cell r="R87" t="str">
            <v>O Asiatic ( 14 Inch ) 3     Grass</v>
          </cell>
          <cell r="S87" t="str">
            <v>Rajni ( 14 Inch ) 16     Grass</v>
          </cell>
          <cell r="T87" t="str">
            <v>P n Y Spray Daisy ( 14 Inch ) 5     FF Sachet + Grass</v>
          </cell>
        </row>
        <row r="88">
          <cell r="A88">
            <v>3383</v>
          </cell>
          <cell r="B88" t="str">
            <v>Jaya Todi</v>
          </cell>
          <cell r="C88">
            <v>8084159730</v>
          </cell>
          <cell r="D88" t="str">
            <v>T-6/1001, M3M Heights, Sec 65</v>
          </cell>
          <cell r="E88" t="str">
            <v>Badshahpur</v>
          </cell>
          <cell r="F88" t="str">
            <v>Saturday</v>
          </cell>
          <cell r="G88" t="str">
            <v>4 PM to 7PM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No Spray Daisy ( 15/07)</v>
          </cell>
          <cell r="L88" t="str">
            <v>Spray Daisy</v>
          </cell>
          <cell r="N88" t="str">
            <v>1  del of this cycle   -  1-cycles pmnt   Pending - Collect 1450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str">
            <v>G n W Car ( 14 Inch ) 16     FF Sachet + Grass</v>
          </cell>
        </row>
        <row r="89">
          <cell r="A89">
            <v>814</v>
          </cell>
          <cell r="B89" t="str">
            <v>Madhura Kumar</v>
          </cell>
          <cell r="C89">
            <v>9971005348</v>
          </cell>
          <cell r="D89" t="str">
            <v>Y-72, Regency Park-2</v>
          </cell>
          <cell r="E89" t="str">
            <v>DLF Phase 4</v>
          </cell>
          <cell r="F89" t="str">
            <v>Saturday</v>
          </cell>
          <cell r="G89" t="str">
            <v>4 PM to 7PM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9" t="str">
            <v>3  del of this cycle   -  1-cycles pmnt   Pending - Collect 1950</v>
          </cell>
          <cell r="O89" t="str">
            <v>P n W Glad ( 14 Inch ) 22     Grass</v>
          </cell>
          <cell r="P89" t="str">
            <v>P n Pur Eustoma ( 12 Inch ) 4     FF Sachet + Grass</v>
          </cell>
          <cell r="Q89" t="str">
            <v>Pur n P car ( 14 Inch ) 22     FF Sachet + Grass</v>
          </cell>
          <cell r="R89" t="str">
            <v>B Orchid  7     FF Sachet + Grass</v>
          </cell>
          <cell r="S89" t="str">
            <v>O Asiatic ( 14 Inch ) 4    Ensure Collection Grass</v>
          </cell>
          <cell r="T89" t="str">
            <v>Mix Alstroemeria ( 12 Inch ) 20   Collect payment Collect payment FF Sachet + Grass</v>
          </cell>
        </row>
        <row r="90">
          <cell r="A90">
            <v>1148</v>
          </cell>
          <cell r="B90" t="str">
            <v>Bindiya Rawat</v>
          </cell>
          <cell r="C90">
            <v>9910118957</v>
          </cell>
          <cell r="D90" t="str">
            <v>V-12/3, 1st Floor, DLF Phase 3, Sec 24</v>
          </cell>
          <cell r="E90" t="str">
            <v>DLF Phase 3</v>
          </cell>
          <cell r="F90" t="str">
            <v>Saturday</v>
          </cell>
          <cell r="G90" t="str">
            <v>9:30 Am to 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0" t="str">
            <v>GERBERA n HELICONIA</v>
          </cell>
          <cell r="N90" t="str">
            <v>4  del of this cycle   -  0-cycles pmnt   Completed - Collect 0</v>
          </cell>
          <cell r="O90" t="str">
            <v>Pur Eustoma ( 12 Inch ) 3     FF Sachet + Grass</v>
          </cell>
          <cell r="P90" t="e">
            <v>#N/A</v>
          </cell>
          <cell r="Q90" t="e">
            <v>#N/A</v>
          </cell>
          <cell r="R90" t="str">
            <v>Pur n P Car ( 14 Inch ) 16     FF Sachet + Grass</v>
          </cell>
          <cell r="S90" t="str">
            <v>O Asiatic ( 14 Inch ) 3     Grass</v>
          </cell>
          <cell r="T90" t="str">
            <v>Mix Alstroemeria ( 12 Inch ) 16     Grass</v>
          </cell>
        </row>
        <row r="91">
          <cell r="A91">
            <v>1936</v>
          </cell>
          <cell r="B91" t="str">
            <v>Pranta Dutta</v>
          </cell>
          <cell r="C91" t="str">
            <v>99535 59491</v>
          </cell>
          <cell r="D91" t="str">
            <v>C 1 flat 501 Ireo skyon golf course extension sector 60 gurgaon ( behind lemon tree hotel)</v>
          </cell>
          <cell r="E91" t="str">
            <v>Ghata</v>
          </cell>
          <cell r="F91" t="str">
            <v>Saturday</v>
          </cell>
          <cell r="G91" t="str">
            <v>9 AM - 12 PM</v>
          </cell>
          <cell r="H91">
            <v>1600</v>
          </cell>
          <cell r="I91">
            <v>200</v>
          </cell>
          <cell r="J91" t="str">
            <v>Bloom</v>
          </cell>
          <cell r="K91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91" t="str">
            <v>RAJNI n GERBERA</v>
          </cell>
          <cell r="N91" t="str">
            <v>8  del of this cycle   -  0-cycles pmnt   Completed - Collect 0</v>
          </cell>
          <cell r="O91" t="e">
            <v>#N/A</v>
          </cell>
          <cell r="P91" t="e">
            <v>#N/A</v>
          </cell>
          <cell r="Q91" t="str">
            <v xml:space="preserve">Collect Rs 600      </v>
          </cell>
          <cell r="R91" t="str">
            <v>Pur n P Car ( 14 Inch ) 7     FF Sachet + Grass</v>
          </cell>
          <cell r="S91" t="str">
            <v>Mix Alstroemeria ( 12 Inch ) 7     FF Sachet + Grass</v>
          </cell>
          <cell r="T91" t="str">
            <v>Mix Glad ( 14 Inch ) 7     Grass</v>
          </cell>
        </row>
        <row r="92">
          <cell r="B92" t="str">
            <v xml:space="preserve">Shampa </v>
          </cell>
          <cell r="C92" t="str">
            <v xml:space="preserve">88009 48318 </v>
          </cell>
          <cell r="D92" t="str">
            <v xml:space="preserve">710 Ivory  The Reatet </v>
          </cell>
          <cell r="G92" t="str">
            <v>Before 1.30 Pm</v>
          </cell>
          <cell r="H92">
            <v>600</v>
          </cell>
          <cell r="J92" t="str">
            <v>Bouquet</v>
          </cell>
          <cell r="K92" t="str">
            <v>Dear Shampa and respected Aunty ji
I am so proud of the work you are doing !
Its already 2 years and definitely so heartening to see your stories of love, dedication and quality !
Wishing you a great success and lots of love ! ❤️
Best wishes
Dr Vandana Thakran
Mint Leaf Dental
+91 88009 48318 
Pls connect with her for address
Pls send a bouquet of 13 shaded pink rose in tissue wrap today before 1:30 pm from vandana Thakran and send flower food also</v>
          </cell>
          <cell r="T92" t="str">
            <v xml:space="preserve">Shd P Rose 12 Tissue Wrap Message flower food also  </v>
          </cell>
        </row>
        <row r="93">
          <cell r="A93">
            <v>339</v>
          </cell>
          <cell r="B93" t="str">
            <v>Vrinda Sehgal</v>
          </cell>
          <cell r="C93">
            <v>9899580634</v>
          </cell>
          <cell r="D93" t="str">
            <v>B-13/1, 1st Floor, DLF Phase 1</v>
          </cell>
          <cell r="E93" t="str">
            <v>DLF Phase 1</v>
          </cell>
          <cell r="F93" t="str">
            <v>Saturday</v>
          </cell>
          <cell r="G93" t="str">
            <v>4 PM to 7PM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3" t="str">
            <v>3  del of this cycle   -  1-cycles pmnt   Pending - Collect 1450</v>
          </cell>
          <cell r="O93" t="str">
            <v>P Eustoma ( 12 Inch ) 3     FF Sachet + Grass</v>
          </cell>
          <cell r="P93" t="str">
            <v>P Asiatic ( 14 Inch ) 3     Grass</v>
          </cell>
          <cell r="Q93" t="str">
            <v>Sunflower ( 14 Inch ) 4     FF Sachet + Grass</v>
          </cell>
          <cell r="R93" t="str">
            <v>P n W Glad ( 14 Inch ) 16     Grass</v>
          </cell>
          <cell r="S93" t="str">
            <v>B Daisy ( 12 Inch ) 16    Ensure Collection Grass</v>
          </cell>
          <cell r="T93" t="str">
            <v>P n Y Spray Daisy ( 14 Inch ) 5   Collect payment Collect payment FF Sachet + Grass</v>
          </cell>
        </row>
        <row r="94">
          <cell r="A94">
            <v>2626</v>
          </cell>
          <cell r="B94" t="str">
            <v>Mayank</v>
          </cell>
          <cell r="C94" t="str">
            <v>9661713694 // 8851453130</v>
          </cell>
          <cell r="D94" t="str">
            <v>W-5/32, 4th Floor, Room No. 24, Near Tulsa Tea Stall, Pink Town House Road, U-25 Marg</v>
          </cell>
          <cell r="E94" t="str">
            <v>DLF Phase 3</v>
          </cell>
          <cell r="F94" t="str">
            <v>Saturday</v>
          </cell>
          <cell r="G94" t="str">
            <v>9 AM - 12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Flr Drop U23/20  3rd Flr Room No 5 (02/08) Hod due to non payment (17/01) Send tom after 7PM (19/01) Hold due to non payment (07/02) HDTNP (07/03) HDTNP (13/03) HDTNP (02/05)</v>
          </cell>
          <cell r="N94" t="str">
            <v>2  del of this cycle   -  0-cycles pmnt   CompletedNO COLLECTION-we have extra money - Collect -100</v>
          </cell>
          <cell r="O94" t="str">
            <v>Pur Eustoma ( 12 Inch ) 2 Mix Alstroemeria ( 12 Inch ) 7   FF Sachet + Grass</v>
          </cell>
          <cell r="P94" t="str">
            <v>P Asiatic ( 14 Inch ) 2 P n W Glad ( 14 Inch ) 7   Grass</v>
          </cell>
          <cell r="Q94" t="str">
            <v>Sunflower ( 14 Inch ) 2 Pur n P Car ( 14 Inch ) 7   FF Sachet + Grass</v>
          </cell>
          <cell r="R94" t="str">
            <v>W Asiatic ( 14 Inch ) 2 Mix Alstroemeria ( 12 Inch ) 7   Grass</v>
          </cell>
          <cell r="S94" t="str">
            <v>P Spray Daisy ( 14 Inch ) 3 Rajni ( 14 inch ) 7   FF sachet + Car</v>
          </cell>
          <cell r="T94" t="str">
            <v>P Eustoma ( 12 Inch ) 2 Mix Glad ( 14 Inch ) 7   FF Sachet + Grass</v>
          </cell>
        </row>
        <row r="95">
          <cell r="A95">
            <v>2837</v>
          </cell>
          <cell r="B95" t="str">
            <v>Atikant</v>
          </cell>
          <cell r="C95">
            <v>9953210341</v>
          </cell>
          <cell r="D95" t="str">
            <v>W-4/8, Unit C, 2 &amp; 3 Moulsari Avenue</v>
          </cell>
          <cell r="E95" t="str">
            <v>DLF Phase 3</v>
          </cell>
          <cell r="F95" t="str">
            <v>Saturday</v>
          </cell>
          <cell r="G95" t="str">
            <v>9:30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95" t="str">
            <v>2  del of this cycle   -  0-cycles pmnt   Completed - Collect 0</v>
          </cell>
          <cell r="O95" t="str">
            <v>R n P Car ( 14 Inch ) 9     FF Sachet + Grass</v>
          </cell>
          <cell r="P95" t="str">
            <v>P Asiatic ( 14 Inch ) 2     Grass</v>
          </cell>
          <cell r="Q95" t="str">
            <v>Sunflower ( 14 Inch ) 2     Grass</v>
          </cell>
          <cell r="R95" t="e">
            <v>#N/A</v>
          </cell>
          <cell r="S95" t="str">
            <v>Rajni ( 14 Inch ) 16     Grass</v>
          </cell>
          <cell r="T95" t="str">
            <v>Mix Alstroemeria ( 12 Inch ) 16     Grass</v>
          </cell>
        </row>
        <row r="96">
          <cell r="A96">
            <v>138</v>
          </cell>
          <cell r="B96" t="str">
            <v>Nidhi Duggal</v>
          </cell>
          <cell r="C96">
            <v>9811721912</v>
          </cell>
          <cell r="D96" t="str">
            <v>B-2803, Ireo Grand Arch</v>
          </cell>
          <cell r="E96" t="str">
            <v>Ghata</v>
          </cell>
          <cell r="F96" t="str">
            <v>Saturday</v>
          </cell>
          <cell r="G96" t="str">
            <v>9 AM - 12 PM</v>
          </cell>
          <cell r="H96">
            <v>1950</v>
          </cell>
          <cell r="I96">
            <v>487.5</v>
          </cell>
          <cell r="J96" t="str">
            <v>Joy</v>
          </cell>
          <cell r="K96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6" t="str">
            <v>Hold 21st and 28th June (05/05)</v>
          </cell>
          <cell r="N96" t="str">
            <v>1  del of this cycle   -  1-cycles pmnt   Pending - Collect 1950</v>
          </cell>
          <cell r="O96" t="str">
            <v>Sunflower ( 12 Inch ) 3 Pur n p Car ( 14 inch ) 11   FF Sachet + Grass</v>
          </cell>
          <cell r="P96" t="str">
            <v>Pur Eustoma ( 12 Inch ) 2 Rajni ( 14 Inch ) 11   FF Sachet + Grass</v>
          </cell>
          <cell r="Q96" t="str">
            <v>P Asiatic ( 14 Inch ) 2 P n W Glad ( 14 Inch ) 11   Grass</v>
          </cell>
          <cell r="R96" t="str">
            <v>Sunflower ( 12 Inch ) 3 Mix Alstroemeria ( 12 Inch ) 11   FF Sachet + Grass</v>
          </cell>
          <cell r="S96" t="str">
            <v>P n W Spray Daisy ( 14 Inch ) 4 P n W Car ( 14 Inch ) 11   FF sachet + Car</v>
          </cell>
          <cell r="T96" t="str">
            <v>W Asiatic ( 14 Inch ) 2 Mix Glad ( 14 Inch ) 11   Grass</v>
          </cell>
        </row>
        <row r="97">
          <cell r="A97">
            <v>3332</v>
          </cell>
          <cell r="B97" t="str">
            <v xml:space="preserve">Paroma </v>
          </cell>
          <cell r="C97">
            <v>9810076197</v>
          </cell>
          <cell r="D97" t="str">
            <v>123A Hamilton Court, DLF City Phase IV. Tower 1 23rd floor. Gurgaon</v>
          </cell>
          <cell r="E97" t="str">
            <v>DLF Phase 4</v>
          </cell>
          <cell r="F97" t="str">
            <v>Saturday</v>
          </cell>
          <cell r="G97" t="str">
            <v>10 AM to 2:30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Four Plus 1 Pack (18/04) Next del with Flower Food (15/05)</v>
          </cell>
          <cell r="M97" t="str">
            <v>Next Del with FF (15/05)</v>
          </cell>
          <cell r="N97" t="str">
            <v>1  del of this cycle   -  1-cycles pmnt   Pending - Collect 1450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>G n W Car ( 14 Inch ) 16     FF Sachet + Grass</v>
          </cell>
        </row>
        <row r="98">
          <cell r="A98">
            <v>1334</v>
          </cell>
          <cell r="B98" t="str">
            <v>Rumika</v>
          </cell>
          <cell r="C98">
            <v>8750280078</v>
          </cell>
          <cell r="D98" t="str">
            <v>M-77, 1st Floor,Adani Samsara, Sector 60</v>
          </cell>
          <cell r="E98" t="str">
            <v>Ghata</v>
          </cell>
          <cell r="F98" t="str">
            <v>Saturday</v>
          </cell>
          <cell r="G98" t="str">
            <v>Post 5 PM</v>
          </cell>
          <cell r="H98">
            <v>2300</v>
          </cell>
          <cell r="I98">
            <v>287.5</v>
          </cell>
          <cell r="J98" t="str">
            <v>Felicity</v>
          </cell>
          <cell r="K98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98" t="str">
            <v>Heliconia n Spray Daisy n Rajni</v>
          </cell>
          <cell r="M98" t="str">
            <v>Send 1 Extra Premiun next (08/02)</v>
          </cell>
          <cell r="N98" t="str">
            <v>8  del of this cycle   -  0-cycles pmnt   Completed - Collect 0</v>
          </cell>
          <cell r="O98" t="str">
            <v>R n P Car ( 14 Inch ) 11     FF Sachet + Grass</v>
          </cell>
          <cell r="P98" t="str">
            <v>B Daisy ( 12 Inch ) 11     Grass</v>
          </cell>
          <cell r="Q98" t="str">
            <v>P n W car ( 14 Inch ) 11   Ensure Collection Ensure Collection Grass</v>
          </cell>
          <cell r="R98" t="str">
            <v>Sunflower ( 12 Inch ) 3     FF Sachet + Grass</v>
          </cell>
          <cell r="S98" t="str">
            <v>Mix Alstroemeria ( 12 Inch ) 11     FF Sachet + Grass</v>
          </cell>
          <cell r="T98" t="str">
            <v>G n W Car ( 14 Inch ) 11     FF sachet + Grass</v>
          </cell>
        </row>
        <row r="99">
          <cell r="A99">
            <v>1932</v>
          </cell>
          <cell r="B99" t="str">
            <v>Nandita Singh</v>
          </cell>
          <cell r="C99">
            <v>9811045835</v>
          </cell>
          <cell r="D99" t="str">
            <v>325-B, Hamilton Court</v>
          </cell>
          <cell r="E99" t="str">
            <v>DLF Phase 4</v>
          </cell>
          <cell r="F99" t="str">
            <v>Saturday</v>
          </cell>
          <cell r="G99" t="str">
            <v>9 AM - 12 PM</v>
          </cell>
          <cell r="H99">
            <v>3750</v>
          </cell>
          <cell r="I99">
            <v>937.5</v>
          </cell>
          <cell r="J99" t="str">
            <v>Savor</v>
          </cell>
          <cell r="K99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99" t="str">
            <v>1  del of this cycle   -  2 -cycles pmnt   Pending - Collect 7500</v>
          </cell>
          <cell r="O99" t="e">
            <v>#N/A</v>
          </cell>
          <cell r="P99" t="str">
            <v>P n W Glad ( 14 Inch ) 42     2 Limonium</v>
          </cell>
          <cell r="Q99" t="str">
            <v>Pur n P car ( 14 Inch ) 42   Ensure Collection Ensure Collection 2 Gypsola + FF Sachet</v>
          </cell>
          <cell r="R99" t="str">
            <v>O n W Asiatic ( 14 Inch ) 8     2 Limonium</v>
          </cell>
          <cell r="S99" t="str">
            <v>Rajni ( 14 Inch ) 42    Ensure Collection 2 Gypsola</v>
          </cell>
          <cell r="T99" t="str">
            <v>P n Y Spray Daisy ( 14 Inch ) 14   Collect payment Collect payment 2 Limonium + FF sachet</v>
          </cell>
        </row>
        <row r="100">
          <cell r="A100">
            <v>386</v>
          </cell>
          <cell r="B100" t="str">
            <v>Alka Das gupta</v>
          </cell>
          <cell r="C100">
            <v>8860075639</v>
          </cell>
          <cell r="D100" t="str">
            <v>Tower-C/2004, Mahindra Luminare</v>
          </cell>
          <cell r="E100" t="str">
            <v>Ghata</v>
          </cell>
          <cell r="F100" t="str">
            <v>Saturday</v>
          </cell>
          <cell r="G100" t="str">
            <v>4 PM to 7Pm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0" t="str">
            <v>2  del of this cycle   -  0-cycles pmnt   Completed - Collect 0</v>
          </cell>
          <cell r="O100" t="str">
            <v>Y Asiatic ( 14 inch ) 3     Grass</v>
          </cell>
          <cell r="P100" t="str">
            <v>P n W Glad ( 14 Inch ) 16   Collect Payment Collect Payment Grass</v>
          </cell>
          <cell r="Q100" t="str">
            <v>Sunflower ( 14 Inch ) 4     FF Sachet + Grass</v>
          </cell>
          <cell r="R100" t="str">
            <v>Pur n P Car ( 14 Inch ) 16     FF Sachet + Grass</v>
          </cell>
          <cell r="S100" t="str">
            <v>Rajni ( 14 Inch ) 16     Grass</v>
          </cell>
          <cell r="T100" t="str">
            <v>O Asiatic ( 14 Inch ) 3     Grass</v>
          </cell>
        </row>
        <row r="101">
          <cell r="A101">
            <v>1920</v>
          </cell>
          <cell r="B101" t="str">
            <v>Indira Bishnoi</v>
          </cell>
          <cell r="C101">
            <v>9871094919</v>
          </cell>
          <cell r="D101" t="str">
            <v>B-13/1, 2nd Floor, DLF Phase 1</v>
          </cell>
          <cell r="E101" t="str">
            <v>DLF Phase 1</v>
          </cell>
          <cell r="F101" t="str">
            <v>Saturday</v>
          </cell>
          <cell r="G101" t="str">
            <v>4 PM to 7PM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101" t="str">
            <v>2  del of this cycle   -  0-cycles pmnt   Completed - Collect 0</v>
          </cell>
          <cell r="O101" t="str">
            <v>Pur Eustoma ( 12 Inch ) 3     FF Sachet + Grass</v>
          </cell>
          <cell r="P101" t="str">
            <v>P Asiatic ( 14 Inch ) 3   Collect Payment Collect Payment Grass</v>
          </cell>
          <cell r="Q101" t="str">
            <v>Sunflower ( 14 Inch ) 4     FF Sachet + Grass</v>
          </cell>
          <cell r="R101" t="str">
            <v>P n W Glad ( 14 Inch ) 16     Grass</v>
          </cell>
          <cell r="S101" t="str">
            <v>B Daisy ( 12 Inch ) 16     Grass</v>
          </cell>
          <cell r="T101" t="str">
            <v>P n Y Spray Daisy ( 14 Inch ) 5     FF Sachet + Grass</v>
          </cell>
        </row>
        <row r="102">
          <cell r="A102">
            <v>993</v>
          </cell>
          <cell r="B102" t="str">
            <v>Swati Khandelwal-- Evening Only</v>
          </cell>
          <cell r="C102">
            <v>8527962021</v>
          </cell>
          <cell r="D102" t="str">
            <v>414-A, Hamilton Court</v>
          </cell>
          <cell r="E102" t="str">
            <v>DLF Phase 4</v>
          </cell>
          <cell r="F102" t="str">
            <v>Tuesday</v>
          </cell>
          <cell r="G102" t="str">
            <v>9 AM to 2 PM</v>
          </cell>
          <cell r="H102">
            <v>2300</v>
          </cell>
          <cell r="I102">
            <v>287.5</v>
          </cell>
          <cell r="J102" t="str">
            <v>Felicity</v>
          </cell>
          <cell r="K102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02" t="str">
            <v>ROSE n RAJNI</v>
          </cell>
          <cell r="N102" t="str">
            <v>5  del of this cycle   -  0-cycles pmnt   Completed - Collect 0</v>
          </cell>
          <cell r="O102" t="str">
            <v>Mix Alstroemeria ( 12 Inch ) 11     FF Sachet + Grass</v>
          </cell>
          <cell r="P102" t="str">
            <v>B Daisy ( 12 Inch ) 11     Grass</v>
          </cell>
          <cell r="Q102" t="str">
            <v>Pur n P car ( 14 Inch ) 11     FF Sachet + Grass</v>
          </cell>
          <cell r="R102" t="str">
            <v>O Asiatic ( 14 Inch ) 2     Grass</v>
          </cell>
          <cell r="S102" t="str">
            <v>P n W Glad ( 14 Inch ) 11     Grass</v>
          </cell>
          <cell r="T102" t="str">
            <v>G n W Car ( 14 Inch ) 11     FF sachet + Grass</v>
          </cell>
        </row>
        <row r="103">
          <cell r="A103">
            <v>1396</v>
          </cell>
          <cell r="B103" t="str">
            <v>Shalini Malhotra</v>
          </cell>
          <cell r="C103">
            <v>9899897993</v>
          </cell>
          <cell r="D103" t="str">
            <v>31-Espace</v>
          </cell>
          <cell r="E103" t="str">
            <v>Nirvana Country</v>
          </cell>
          <cell r="F103" t="str">
            <v>Saturday</v>
          </cell>
          <cell r="G103" t="str">
            <v>9 AM - 12 PM</v>
          </cell>
          <cell r="H103">
            <v>2750</v>
          </cell>
          <cell r="I103">
            <v>687.5</v>
          </cell>
          <cell r="J103" t="str">
            <v>Elation</v>
          </cell>
          <cell r="K103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3" t="str">
            <v>Orchid n GLAD</v>
          </cell>
          <cell r="N103" t="str">
            <v>2  del of this cycle   -  0-cycles pmnt   Completed - Collect 0</v>
          </cell>
          <cell r="O103" t="str">
            <v>P n Pur Eustoma ( 12 Inch ) 6     2 Gypsola + FF sachet</v>
          </cell>
          <cell r="P103" t="str">
            <v>P n Y Spray Daisy ( 14 Inch ) 10   Collect Payment Collect Payment 2 Gypsola + FF sachet</v>
          </cell>
          <cell r="Q103" t="str">
            <v>P Asiatic ( 14 Inch ) 6     2 Limonium</v>
          </cell>
          <cell r="R103" t="e">
            <v>#N/A</v>
          </cell>
          <cell r="S103" t="str">
            <v xml:space="preserve">R n W Car ( 14 Inch ) 32     2 Gypsola + FF sachet </v>
          </cell>
          <cell r="T103" t="str">
            <v>Mix Alstroemeria ( 12 Inch ) 32     FF Sachet + Grass</v>
          </cell>
        </row>
        <row r="104">
          <cell r="A104">
            <v>2508</v>
          </cell>
          <cell r="B104" t="str">
            <v>Chandrima Budakoti</v>
          </cell>
          <cell r="C104">
            <v>9310519349</v>
          </cell>
          <cell r="D104" t="str">
            <v>C=2901, Mahindar Luminaire</v>
          </cell>
          <cell r="E104" t="str">
            <v>Ghata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Mixed Always / Skip today (14/06) Skip 1 week (04/07) Send replacement tom (29/09) HDTNP (23/05)</v>
          </cell>
          <cell r="M104" t="str">
            <v>Mixed</v>
          </cell>
          <cell r="N104" t="str">
            <v>1  del of this cycle   -  1-cycles pmnt   Pending - Collect 1450</v>
          </cell>
          <cell r="O104" t="str">
            <v>Pur Eustoma ( 12 Inch ) 3     FF Sachet + Grass</v>
          </cell>
          <cell r="P104" t="str">
            <v>P Asiatic ( 14 Inch ) 3     Grass</v>
          </cell>
          <cell r="Q104" t="str">
            <v>P n W car ( 14 Inch ) 16     FF Sachet + Grass</v>
          </cell>
          <cell r="R104" t="str">
            <v>Sunflower ( 12 Inch ) 4     FF Sachet + Grass</v>
          </cell>
          <cell r="S104" t="str">
            <v>Asiatic 3     FF sachet + Car</v>
          </cell>
          <cell r="T104" t="str">
            <v>Mix Alstroemeria ( 12 Inch ) 16     FF Sachet + Grass</v>
          </cell>
        </row>
        <row r="105">
          <cell r="A105" t="str">
            <v>B56433</v>
          </cell>
          <cell r="B105" t="str">
            <v>Reena Sawhney</v>
          </cell>
          <cell r="C105">
            <v>98102289150</v>
          </cell>
          <cell r="D105" t="str">
            <v>23/801, Heritage City Sec 49</v>
          </cell>
          <cell r="E105" t="str">
            <v>M G Road</v>
          </cell>
          <cell r="F105" t="str">
            <v>Sunday</v>
          </cell>
          <cell r="G105" t="str">
            <v>By 11 AM</v>
          </cell>
          <cell r="H105">
            <v>600</v>
          </cell>
          <cell r="I105">
            <v>600</v>
          </cell>
          <cell r="J105" t="str">
            <v>Bouquet</v>
          </cell>
          <cell r="K105" t="str">
            <v>From Rotary Club// Wish you a very Happy Birthday.  From RCGQE (11/07)</v>
          </cell>
          <cell r="N105" t="str">
            <v>1  del of this cycle   -  0-cycles pmnt   In Process - Collect 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str">
            <v xml:space="preserve">P n W Car  15 Walkin Tissue Wrap Message   </v>
          </cell>
        </row>
        <row r="106">
          <cell r="A106">
            <v>189</v>
          </cell>
          <cell r="B106" t="str">
            <v xml:space="preserve">Monisha Sharma-- Before 10AM
</v>
          </cell>
          <cell r="C106">
            <v>9811152770</v>
          </cell>
          <cell r="D106" t="str">
            <v xml:space="preserve">609A Hamilton Court    DLF Phase 4 Gurgaon  122002 
</v>
          </cell>
          <cell r="E106" t="str">
            <v>DLF Phase 4</v>
          </cell>
          <cell r="F106" t="str">
            <v>Saturday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106" t="str">
            <v>4  del of this cycle   -  0-cycles pmnt   Completed - Collect 0</v>
          </cell>
          <cell r="O106" t="str">
            <v>Pur Eustoma ( 12 Inch ) 3     FF Sachet + Grass</v>
          </cell>
          <cell r="P106" t="str">
            <v>P n W Glad ( 14 Inch ) 16     Grass</v>
          </cell>
          <cell r="Q106" t="str">
            <v>P Asiatic 3     Grass</v>
          </cell>
          <cell r="R106" t="str">
            <v>R n W Car ( 14 Inch ) 16     FF Sachet + Grass</v>
          </cell>
          <cell r="S106" t="str">
            <v>Sunflower ( 12 Inch ) 4     FF sachet + Car</v>
          </cell>
          <cell r="T106" t="str">
            <v>Mix Alstroemeria ( 12 Inch ) 16     FF Sachet + Grass</v>
          </cell>
        </row>
        <row r="107">
          <cell r="A107">
            <v>3371</v>
          </cell>
          <cell r="B107" t="str">
            <v>Supriya Bijlwan</v>
          </cell>
          <cell r="C107">
            <v>9560012831</v>
          </cell>
          <cell r="D107" t="str">
            <v>C-201, Mahindra Luminaire</v>
          </cell>
          <cell r="E107" t="str">
            <v>Ghata</v>
          </cell>
          <cell r="F107" t="str">
            <v>Saturday</v>
          </cell>
          <cell r="G107" t="str">
            <v>10 AM to 2:30 PM</v>
          </cell>
          <cell r="H107">
            <v>2300</v>
          </cell>
          <cell r="I107">
            <v>287.5</v>
          </cell>
          <cell r="J107" t="str">
            <v>Felicity</v>
          </cell>
          <cell r="K107" t="str">
            <v>1 Seasonal Extra next (20/05) No Rajni in Summer (12/07)</v>
          </cell>
          <cell r="L107" t="str">
            <v>Rajni in Summer</v>
          </cell>
          <cell r="M107" t="str">
            <v>Premium in next 2 Del (23/05)</v>
          </cell>
          <cell r="N107" t="str">
            <v>2  del of this cycle   -  0-cycles pmnt   Completed - Collect 0</v>
          </cell>
          <cell r="O107" t="str">
            <v>P n W Glad ( 14 Inch ) 11     Grass</v>
          </cell>
          <cell r="P107" t="str">
            <v>B Daisy ( 12 Inch ) 11     Grass</v>
          </cell>
          <cell r="Q107" t="str">
            <v>Pur n P car ( 14 Inch ) 11     FF Sachet + Grass</v>
          </cell>
          <cell r="R107" t="str">
            <v>P n W Glad ( 14 Inch ) 11     Grass</v>
          </cell>
          <cell r="S107" t="str">
            <v>Rajni ( 14 Inch ) 11     Grass</v>
          </cell>
          <cell r="T107" t="str">
            <v>G n W Car ( 14 Inch ) 11     FF sachet + Grass</v>
          </cell>
        </row>
        <row r="108">
          <cell r="A108">
            <v>3362</v>
          </cell>
          <cell r="B108" t="str">
            <v>Rupa Raje Gupta</v>
          </cell>
          <cell r="C108">
            <v>9811170495</v>
          </cell>
          <cell r="D108" t="str">
            <v>H-33/30, DLF Phase 1</v>
          </cell>
          <cell r="E108" t="str">
            <v>DLF Phase 1</v>
          </cell>
          <cell r="F108" t="str">
            <v>Saturday</v>
          </cell>
          <cell r="G108" t="str">
            <v>9 AM to 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Paytm From Rishi Nath Dubey (13/060</v>
          </cell>
          <cell r="N108" t="str">
            <v>2  del of this cycle   -  0-cycles pmnt   Completed - Collect 0</v>
          </cell>
          <cell r="O108" t="str">
            <v>Pur Eustoma ( 12 Inch ) 3     FF Sachet + Grass</v>
          </cell>
          <cell r="P108" t="str">
            <v>P Asiatic ( 14 Inch ) 3     Grass</v>
          </cell>
          <cell r="Q108" t="str">
            <v>Pur n P car ( 14 Inch ) 16     FF Sachet + Grass</v>
          </cell>
          <cell r="R108" t="str">
            <v>P n W Glad ( 14 Inch ) 16     Grass</v>
          </cell>
          <cell r="S108" t="str">
            <v>Sunflower ( 12 Inch ) 4     FF sachet + Car</v>
          </cell>
          <cell r="T108" t="str">
            <v>Mix Alstroemeria ( 12 Inch ) 16     FF Sachet + Grass</v>
          </cell>
        </row>
        <row r="109">
          <cell r="A109">
            <v>3335</v>
          </cell>
          <cell r="B109" t="str">
            <v>Aman Batra</v>
          </cell>
          <cell r="C109">
            <v>8826778738</v>
          </cell>
          <cell r="D109" t="str">
            <v>Tower-F/702, The Ivy, Block A, Sushant Lok-1</v>
          </cell>
          <cell r="E109" t="str">
            <v>DLF Phase 4</v>
          </cell>
          <cell r="F109" t="str">
            <v>Saturday</v>
          </cell>
          <cell r="G109" t="str">
            <v>10 AM to 2:30 PM</v>
          </cell>
          <cell r="H109">
            <v>4750</v>
          </cell>
          <cell r="I109">
            <v>1187.5</v>
          </cell>
          <cell r="J109" t="str">
            <v>Enchantment</v>
          </cell>
          <cell r="K109" t="str">
            <v>Hold n start from 30th May // Sen this week on Friday (25/06) No Glad (25/06) No rajni ( 07/07)</v>
          </cell>
          <cell r="L109" t="str">
            <v xml:space="preserve">Glad n Rajni </v>
          </cell>
          <cell r="N109" t="str">
            <v>4  del of this cycle   -  0-cycles pmnt   Completed - Collect 0</v>
          </cell>
          <cell r="O109" t="str">
            <v>P n Y Asiatic ( 14 Inch ) 6 P n W Glad ( 14 Inch ) 30   3 Areca Palm + 3 Limonium</v>
          </cell>
          <cell r="P109" t="str">
            <v>P Oriental ( 15 Inch ) 4 B Daisy ( 12 Inch ) 30   3 Areca Palm + 3 Gypsola</v>
          </cell>
          <cell r="Q109" t="e">
            <v>#N/A</v>
          </cell>
          <cell r="R109" t="str">
            <v>O Asiatic ( 14 Inch ) 6 Rajni ( 14 Inch ) 30   3 Areca palm + 3 Limonium</v>
          </cell>
          <cell r="S109" t="str">
            <v>W Oriental ( 15 Inch ) 4 R n W Car ( 14 Inch ) 30   3 Areca Palm + 3 Gypsola</v>
          </cell>
          <cell r="T109" t="str">
            <v>Y Asiatic ( 14 Inch ) 6 Mix Alstroemeria ( 12 Inch ) 30   3 Areca palm + 3 Limonium</v>
          </cell>
        </row>
        <row r="110">
          <cell r="A110" t="str">
            <v>B16482</v>
          </cell>
          <cell r="B110" t="str">
            <v>Reena Sawhney</v>
          </cell>
          <cell r="C110">
            <v>98102289150</v>
          </cell>
          <cell r="D110" t="str">
            <v>23/801, Heritage City Sec 49</v>
          </cell>
          <cell r="E110" t="str">
            <v>M G Road</v>
          </cell>
          <cell r="F110" t="str">
            <v>Sunday</v>
          </cell>
          <cell r="G110" t="str">
            <v>By 11 AM</v>
          </cell>
          <cell r="H110">
            <v>7800</v>
          </cell>
          <cell r="I110">
            <v>7800</v>
          </cell>
          <cell r="J110" t="str">
            <v>Bouquet</v>
          </cell>
          <cell r="K110" t="str">
            <v>From Kapil Pahuja// Wishin you a beautiful day filled with joy, love and happiness. May the year ahead bring you good health, wonder memoroes and endless smiles.    Warm wishes from -- Darshaa, Priyanka, Kapil and Rajat (17/07)</v>
          </cell>
          <cell r="N110" t="str">
            <v>1  del of this cycle   -  0-cycles pmnt   In Process - Collect 0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str">
            <v xml:space="preserve">Mix Semi Bloom Oriental +Pur n  P n W Eustoma + O n Y Alstroemeria + P n W Rose + B Orchid 8 + 8 + 15 + 10 + 8 Basket Arrangement Message   </v>
          </cell>
        </row>
        <row r="111">
          <cell r="A111">
            <v>2853</v>
          </cell>
          <cell r="B111" t="str">
            <v>Mohini Jain</v>
          </cell>
          <cell r="C111">
            <v>9810905651</v>
          </cell>
          <cell r="D111" t="str">
            <v>B1/204, PWO Appartment, Sec 43</v>
          </cell>
          <cell r="E111" t="str">
            <v>Huda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 for 12 Del (02/08) Paytm from V Mohini (21/03)</v>
          </cell>
          <cell r="N111" t="str">
            <v>2  del of this cycle   -  0-cycles pmnt   Completed - Collect 0</v>
          </cell>
          <cell r="O111" t="str">
            <v>Y Asiatic ( 14 inch ) 2 P n W Glad ( 14 Inch ) 7   Grass</v>
          </cell>
          <cell r="P111" t="str">
            <v>Pur Eustoma ( 12 Inch ) 2 B Daisy ( 12 Inch ) 7 Collect Payment Collect Payment Grass</v>
          </cell>
          <cell r="Q111" t="str">
            <v>P Spray Daisy ( 14 Inch ) 3 Pur n P Car ( 14 Inch ) 7 Ensure Collection Ensure Collection FF Sachet + Grass</v>
          </cell>
          <cell r="R111" t="str">
            <v>Sunflower ( 12 Inch ) 2 P n W Glad ( 14 Inch ) 7   FF Sachet + Grass</v>
          </cell>
          <cell r="S111" t="str">
            <v>P Asiatic ( 14 Inch ) 2 Rajni ( 14 inch ) 7   Grass</v>
          </cell>
          <cell r="T111" t="str">
            <v>P Eustoma ( 12 Inch ) 2 Mix Alstroemeria ( 12 Inch ) 7   FF Sachet + Grass</v>
          </cell>
        </row>
        <row r="112">
          <cell r="A112">
            <v>1013</v>
          </cell>
          <cell r="B112" t="str">
            <v>Riti Malhotra-- Before 1 PM</v>
          </cell>
          <cell r="C112">
            <v>8879032832</v>
          </cell>
          <cell r="D112" t="str">
            <v>C-701, Elevate, Sec 59</v>
          </cell>
          <cell r="E112" t="str">
            <v>Ghata</v>
          </cell>
          <cell r="F112" t="str">
            <v>Saturday</v>
          </cell>
          <cell r="G112" t="str">
            <v>9 AM to 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112" t="str">
            <v>1  del of this cycle   -  0-cycles pmnt   Completed - Collect 0</v>
          </cell>
          <cell r="O112" t="e">
            <v>#N/A</v>
          </cell>
          <cell r="P112" t="str">
            <v>P n Y Spray Daisy ( 14 Inch ) 5     FF Sachet + Grass</v>
          </cell>
          <cell r="Q112" t="str">
            <v>Pur n P car ( 14 Inch ) 16     FF Sachet + Grass</v>
          </cell>
          <cell r="R112" t="str">
            <v>O Asiatic ( 14 Inch ) 3     Grass</v>
          </cell>
          <cell r="S112" t="str">
            <v>Mix Alstroemeria ( 12 Inch ) 16     FF sachet + Car</v>
          </cell>
          <cell r="T112" t="str">
            <v>Mix Glad ( 14 Inch ) 16     Grass</v>
          </cell>
        </row>
        <row r="113">
          <cell r="A113">
            <v>3400</v>
          </cell>
          <cell r="B113" t="str">
            <v>Nishtha</v>
          </cell>
          <cell r="C113">
            <v>8527634071</v>
          </cell>
          <cell r="D113" t="str">
            <v>580, Upper Ground Floor, Sec 30, Jharsa -- Adjacent Veerji Motor World</v>
          </cell>
          <cell r="E113" t="str">
            <v>South City 1</v>
          </cell>
          <cell r="F113" t="str">
            <v>Saturday</v>
          </cell>
          <cell r="G113" t="str">
            <v>9 AM to 2 PM</v>
          </cell>
          <cell r="H113">
            <v>1950</v>
          </cell>
          <cell r="I113">
            <v>487.5</v>
          </cell>
          <cell r="J113" t="str">
            <v>Joy</v>
          </cell>
          <cell r="N113" t="str">
            <v>2  del of this cycle   -  0-cycles pmnt   Completed - Collect 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O Asiatic ( 14 Inch ) 4     Grass</v>
          </cell>
        </row>
        <row r="114">
          <cell r="A114">
            <v>190</v>
          </cell>
          <cell r="B114" t="str">
            <v>Itika Sharma--Before 11:30 AM</v>
          </cell>
          <cell r="C114">
            <v>9810045432</v>
          </cell>
          <cell r="D114" t="str">
            <v>T-10/503, The Close South</v>
          </cell>
          <cell r="E114" t="str">
            <v>Nirvana Country</v>
          </cell>
          <cell r="F114" t="str">
            <v>Saturday</v>
          </cell>
          <cell r="G114" t="str">
            <v>9 AM - 12 PM</v>
          </cell>
          <cell r="H114">
            <v>1450</v>
          </cell>
          <cell r="I114">
            <v>362.5</v>
          </cell>
          <cell r="J114" t="str">
            <v>Bliss</v>
          </cell>
          <cell r="K114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v>
          </cell>
          <cell r="M114" t="str">
            <v>No flowers on sat snd sned on Sunday (02/07)</v>
          </cell>
          <cell r="N114" t="str">
            <v>2  del of this cycle   -  0-cycles pmnt   Completed - Collect 0</v>
          </cell>
          <cell r="O114" t="str">
            <v>P Spray Daisy ( 14 Inch ) 3     FF Sachet + Grass</v>
          </cell>
          <cell r="P114" t="str">
            <v>P n W Glad ( 14 Inch ) 9     Grass</v>
          </cell>
          <cell r="Q114" t="str">
            <v>O Asiatic ( 14 Inch ) 2     Grass</v>
          </cell>
          <cell r="R114" t="e">
            <v>#N/A</v>
          </cell>
          <cell r="S114" t="e">
            <v>#N/A</v>
          </cell>
          <cell r="T114" t="str">
            <v>G n W Car ( 14 Inch ) 16     FF Sachet + Grass</v>
          </cell>
        </row>
        <row r="115">
          <cell r="A115">
            <v>2523</v>
          </cell>
          <cell r="B115" t="str">
            <v>Kaamini Singhal</v>
          </cell>
          <cell r="C115">
            <v>8383964831</v>
          </cell>
          <cell r="D115" t="str">
            <v>H-40/9, DLF Phase 1</v>
          </cell>
          <cell r="E115" t="str">
            <v>DLF Phase 1</v>
          </cell>
          <cell r="F115" t="str">
            <v>Saturday</v>
          </cell>
          <cell r="G115" t="str">
            <v>9 AM - 12 PM</v>
          </cell>
          <cell r="H115">
            <v>1450</v>
          </cell>
          <cell r="I115">
            <v>362.5</v>
          </cell>
          <cell r="J115" t="str">
            <v>Bliss</v>
          </cell>
          <cell r="K115" t="str">
            <v>10% Discount// Sent one deltodayu and then every Saturday (12/04) Skip Tom (08/08) Skip tom (22/08) Today returned (04/10) Hold tom (26/12) Today Hold (17/01) Skip 2 week (23/01) Day Changed to satirday (10/02) Skip 2 week (12/04) Skip 1 week (10/07)</v>
          </cell>
          <cell r="N115" t="str">
            <v>3  del of this cycle   -  0-cycles pmnt   Completed - Collect 0</v>
          </cell>
          <cell r="O115" t="str">
            <v>P n W Glad ( 14 Inch ) 9     Grass</v>
          </cell>
          <cell r="P115" t="str">
            <v>B Daisy ( 12 Inch ) 9     Grass</v>
          </cell>
          <cell r="Q115" t="str">
            <v>Pur n P car ( 14 Inch ) 16     FF Sachet + Grass</v>
          </cell>
          <cell r="R115" t="str">
            <v>Sunflower ( 12 Inch ) 4     FF Sachet + Grass</v>
          </cell>
          <cell r="S115" t="e">
            <v>#N/A</v>
          </cell>
          <cell r="T115" t="str">
            <v>W Asiatic ( 14 Inch ) 3     Grass</v>
          </cell>
        </row>
        <row r="116">
          <cell r="A116" t="str">
            <v>B16479</v>
          </cell>
          <cell r="B116" t="str">
            <v>Sulabh Jain</v>
          </cell>
          <cell r="C116">
            <v>9717070450</v>
          </cell>
          <cell r="D116" t="str">
            <v>D-23/201, Ireo Victory Valley, Sec 67</v>
          </cell>
          <cell r="E116" t="str">
            <v>Badshahpur</v>
          </cell>
          <cell r="F116" t="str">
            <v>Saturday</v>
          </cell>
          <cell r="G116" t="str">
            <v>By 10 AM</v>
          </cell>
          <cell r="H116">
            <v>1850</v>
          </cell>
          <cell r="I116">
            <v>1850</v>
          </cell>
          <cell r="J116" t="str">
            <v>Bouquet</v>
          </cell>
          <cell r="K116" t="str">
            <v>From 9899746655 //  Happiest Anniversay Lovebirds! 
May your life be full of joy and togetherness. Wishing you a lifetime of love! 
We love you a lot ! 
Love 
Mumma, Papa, Shagun, Gautam, Mishi &amp; Saavi</v>
          </cell>
          <cell r="N116" t="str">
            <v>1  del of this cycle   -  0-cycles pmnt   In Process - Collect 0</v>
          </cell>
          <cell r="O116" t="e">
            <v>#N/A</v>
          </cell>
          <cell r="P116" t="e">
            <v>#N/A</v>
          </cell>
          <cell r="Q116" t="e">
            <v>#N/A</v>
          </cell>
          <cell r="R116" t="e">
            <v>#N/A</v>
          </cell>
          <cell r="S116" t="e">
            <v>#N/A</v>
          </cell>
          <cell r="T116" t="str">
            <v xml:space="preserve">R n W Asiatic  8 Single Wrap  Message   </v>
          </cell>
        </row>
        <row r="117">
          <cell r="A117" t="str">
            <v>B56473</v>
          </cell>
          <cell r="B117" t="str">
            <v>Sneha Mehta</v>
          </cell>
          <cell r="C117">
            <v>9958569333</v>
          </cell>
          <cell r="D117" t="str">
            <v>T-C/503, Mahindra Luminaire, Sec 59</v>
          </cell>
          <cell r="E117" t="str">
            <v>Ghata</v>
          </cell>
          <cell r="F117" t="str">
            <v>Saturday</v>
          </cell>
          <cell r="G117" t="str">
            <v>By 11 AM</v>
          </cell>
          <cell r="H117">
            <v>1790</v>
          </cell>
          <cell r="I117">
            <v>1790</v>
          </cell>
          <cell r="J117" t="str">
            <v>Bouquet</v>
          </cell>
          <cell r="K117" t="str">
            <v>5 Sunflower and other Bouquet With 10 P n W Car and 6 B Daisy in fron wrapping -- Pink n white</v>
          </cell>
          <cell r="N117" t="str">
            <v>1  del of this cycle   -  0-cycles pmnt   Completed - Collect 0</v>
          </cell>
          <cell r="O117" t="e">
            <v>#N/A</v>
          </cell>
          <cell r="P117" t="e">
            <v>#N/A</v>
          </cell>
          <cell r="Q117" t="e">
            <v>#N/A</v>
          </cell>
          <cell r="R117" t="e">
            <v>#N/A</v>
          </cell>
          <cell r="S117" t="e">
            <v>#N/A</v>
          </cell>
          <cell r="T117" t="str">
            <v xml:space="preserve">( Sunflower stem only with grass )  + ( P n W Car + B Daisy in front tissue Wrap) ( 5 ) + ( 10 + 6)     </v>
          </cell>
        </row>
        <row r="118">
          <cell r="A118">
            <v>2506</v>
          </cell>
          <cell r="B118" t="str">
            <v>Manya Jha</v>
          </cell>
          <cell r="C118">
            <v>9810502834</v>
          </cell>
          <cell r="D118" t="str">
            <v>H-33/1, Ground Floor, DLF Phase 1</v>
          </cell>
          <cell r="E118" t="str">
            <v>DLF Phase 1</v>
          </cell>
          <cell r="F118" t="str">
            <v>Saturday</v>
          </cell>
          <cell r="G118" t="str">
            <v>9:30 Am to 2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Send 1 Bottle Flower Food tom // No Orchids (09/04) Skip 1 week (29/09)</v>
          </cell>
          <cell r="L118" t="str">
            <v>ORCHID</v>
          </cell>
          <cell r="N118" t="str">
            <v>1  del of this cycle   -  0-cycles pmnt   Completed - Collect 0</v>
          </cell>
          <cell r="O118" t="str">
            <v>Sunflower ( 12 Inch ) 2 Mix Alstroemeria ( 12 Inch ) 7   FF Sachet + Grass</v>
          </cell>
          <cell r="P118" t="str">
            <v>Pur Eustoma ( 12 Inch ) 2 P n W Glad ( 14 Inch ) 7   FF Sachet + Grass</v>
          </cell>
          <cell r="Q118" t="str">
            <v>P Spray Daisy ( 14 Inch ) 3 Pur n P Car ( 14 Inch ) 7   FF Sachet + Grass</v>
          </cell>
          <cell r="R118" t="str">
            <v>O Asiatic ( 14 Inch ) 2 Mix Alstroemeria ( 12 Inch ) 7   Grass</v>
          </cell>
          <cell r="S118" t="str">
            <v>P Asiatic ( 14 Inch ) 2 Rajni ( 14 inch ) 7   Grass</v>
          </cell>
          <cell r="T118" t="str">
            <v>P Eustoma ( 12 Inch ) 2 Mix Glad ( 14 Inch ) 7   FF Sachet + Grass</v>
          </cell>
        </row>
        <row r="119">
          <cell r="B119" t="str">
            <v>Simran</v>
          </cell>
          <cell r="C119" t="str">
            <v>95999 50475</v>
          </cell>
          <cell r="D119" t="str">
            <v>ART Fertility Clinic Gurgaon Ground Floor, SAS Tower, Tower B The, Medicity, Sector 38, Gurugram, Haryana 122001</v>
          </cell>
          <cell r="G119" t="str">
            <v>Before 2 Pm</v>
          </cell>
          <cell r="H119">
            <v>800</v>
          </cell>
          <cell r="J119" t="str">
            <v>Bouquet</v>
          </cell>
          <cell r="N119" t="str">
            <v>Pls Collect 800</v>
          </cell>
          <cell r="T119" t="str">
            <v xml:space="preserve">Semi Bloom Asiatc+ P n W Car 3+10 Walkin Tissue Wrap    </v>
          </cell>
        </row>
        <row r="120">
          <cell r="A120" t="str">
            <v>B16483</v>
          </cell>
          <cell r="B120" t="str">
            <v>Nishtha</v>
          </cell>
          <cell r="C120">
            <v>8527634071</v>
          </cell>
          <cell r="D120" t="str">
            <v>580, Upper Ground Floor, Sec 30, Jharsa -- Adjacent Veerji Motor World</v>
          </cell>
          <cell r="E120" t="str">
            <v>South City 1</v>
          </cell>
          <cell r="F120" t="str">
            <v>Saturday</v>
          </cell>
          <cell r="G120" t="str">
            <v>Before 3 PM</v>
          </cell>
          <cell r="H120">
            <v>1400</v>
          </cell>
          <cell r="I120">
            <v>1200</v>
          </cell>
          <cell r="J120" t="str">
            <v>Bouquet</v>
          </cell>
          <cell r="K120" t="str">
            <v>5 Bouqute of 200 each</v>
          </cell>
          <cell r="N120" t="str">
            <v>1  del of this cycle   -  1-cycles pmnt   Pending - Collect 1400</v>
          </cell>
          <cell r="O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str">
            <v>( P n W Car ) + ( P n W Rose ) + ( Mix Glad ) + ( Mix Alstroemera) + ( B Daisy ) + (Pur n G ) ( 5 ) + ( 4 ) + ( 5 ) + ( 5 ) + ( 4 )+(5) 6 Separate Bouquets in 2 sheet tissue wrap G n W Car ( 14 Inch -- Loose 5  Areca apalm + Grass</v>
          </cell>
        </row>
        <row r="121">
          <cell r="A121">
            <v>2373</v>
          </cell>
          <cell r="B121" t="str">
            <v>Richa Sood</v>
          </cell>
          <cell r="C121">
            <v>9599318190</v>
          </cell>
          <cell r="D121" t="str">
            <v>B-2104, Elevate Appartments, Sec 59</v>
          </cell>
          <cell r="E121" t="str">
            <v>Ghata</v>
          </cell>
          <cell r="F121" t="str">
            <v>Saturday</v>
          </cell>
          <cell r="G121" t="str">
            <v>4 Pm to 7 PM</v>
          </cell>
          <cell r="H121">
            <v>1450</v>
          </cell>
          <cell r="I121">
            <v>362.5</v>
          </cell>
          <cell r="J121" t="str">
            <v>Bliss</v>
          </cell>
          <cell r="K121" t="str">
            <v>Hold for 2 weeks (22/12) Skip 1 wek (17/03) No Sunflower (26/03) Skip 2 week (13/07) Skip 1 week (20/08) Hold today (27/12) Skip 1 week (19/01) Skip 1 week (26/02) Skip 1 week (31/03) Skip 1 week (21/06)</v>
          </cell>
          <cell r="L121" t="str">
            <v>Sunflower</v>
          </cell>
          <cell r="N121" t="str">
            <v>2  del of this cycle   -  0-cycles pmnt   Completed - Collect 0</v>
          </cell>
          <cell r="O121" t="str">
            <v>P n W Glad ( 14 Inch ) 9     Grass</v>
          </cell>
          <cell r="P121" t="str">
            <v>B Daisy ( 12 Inch ) 9     Grass</v>
          </cell>
          <cell r="Q121" t="e">
            <v>#N/A</v>
          </cell>
          <cell r="R121" t="str">
            <v>O Asiatic ( 14 Inch ) 2     Grass</v>
          </cell>
          <cell r="S121" t="str">
            <v>R n W Car ( 14 Inch ) 16     FF sachet + Car</v>
          </cell>
          <cell r="T121" t="str">
            <v>P n W Spray Daisy ( 14 Inch ) 5     FF Sachet + Grass</v>
          </cell>
        </row>
        <row r="122">
          <cell r="B122" t="str">
            <v>Akanksha Sethi</v>
          </cell>
          <cell r="C122">
            <v>9871553737</v>
          </cell>
          <cell r="D122" t="str">
            <v>B3/002, Uniworld City West</v>
          </cell>
          <cell r="G122" t="str">
            <v>Before 3 PM</v>
          </cell>
          <cell r="H122">
            <v>3200</v>
          </cell>
          <cell r="J122" t="str">
            <v>Bouquet</v>
          </cell>
          <cell r="K122" t="str">
            <v>Use yellow and white mix lilies in this 
Neeche ke carnations pink hi rahenge
Send before 3 to 
Akansha Sethi 
+91 98715 53737</v>
          </cell>
          <cell r="N122" t="str">
            <v xml:space="preserve">Pls Collect 3200 </v>
          </cell>
          <cell r="T122" t="str">
            <v xml:space="preserve">Y n W Asiatic+ P Car 10 Fish Bowl Message   </v>
          </cell>
        </row>
        <row r="123">
          <cell r="A123">
            <v>3406</v>
          </cell>
          <cell r="B123" t="str">
            <v>Bhavisha Darji</v>
          </cell>
          <cell r="C123">
            <v>9742112297</v>
          </cell>
          <cell r="D123" t="str">
            <v>E-7/12, 3rd Floor, Sec 26 A, Near Arjun Marg</v>
          </cell>
          <cell r="E123" t="str">
            <v>DLF Phase 1</v>
          </cell>
          <cell r="F123" t="str">
            <v>Saturday</v>
          </cell>
          <cell r="G123" t="str">
            <v>9 AM to 2 PM</v>
          </cell>
          <cell r="H123">
            <v>1450</v>
          </cell>
          <cell r="I123">
            <v>362.5</v>
          </cell>
          <cell r="J123" t="str">
            <v>Bliss</v>
          </cell>
          <cell r="N123" t="str">
            <v>2  del of this cycle   -  0-cycles pmnt   Completed - Collect 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str">
            <v>Pur n P Car ( 14 Inch ) 16     FF sachet + Car</v>
          </cell>
          <cell r="T123" t="str">
            <v>O Asiatic ( 14 Inch ) 3     Grass</v>
          </cell>
        </row>
        <row r="124">
          <cell r="B124" t="str">
            <v>Bhavna Mehra</v>
          </cell>
          <cell r="C124">
            <v>9810440637</v>
          </cell>
          <cell r="D124" t="str">
            <v>G 202 The Villas Dlf Fhase 2</v>
          </cell>
          <cell r="G124" t="str">
            <v>before 5:30 pm</v>
          </cell>
          <cell r="H124">
            <v>780</v>
          </cell>
          <cell r="J124" t="str">
            <v>Bouquet</v>
          </cell>
          <cell r="K124" t="str">
            <v>Please send this bouquet today before 5:30 pm 
Payment  received 780 Paytm</v>
          </cell>
          <cell r="T124" t="str">
            <v xml:space="preserve">Pink And White Car 10 In Vase Massage Card   </v>
          </cell>
        </row>
        <row r="125">
          <cell r="B125" t="str">
            <v>84477 98946‬</v>
          </cell>
          <cell r="C125" t="str">
            <v>84477 98946‬</v>
          </cell>
          <cell r="D125" t="str">
            <v>Flat 402, Tower 12, The Close North</v>
          </cell>
          <cell r="H125">
            <v>600</v>
          </cell>
          <cell r="J125" t="str">
            <v>Bouquet</v>
          </cell>
          <cell r="K125" t="str">
            <v>Flat 402, Tower 12, The Close North
‪+91 84477 98946‬
Pls send 5 Rajnigandha and 2 Asiatic lily today with greens and Areca palm and collect 600</v>
          </cell>
          <cell r="T125" t="str">
            <v xml:space="preserve">Yellow Asiatic+Rajni 2+5 Arica+Grass    </v>
          </cell>
        </row>
        <row r="126">
          <cell r="A126">
            <v>2629</v>
          </cell>
          <cell r="B126" t="str">
            <v>Arpita Das</v>
          </cell>
          <cell r="C126">
            <v>9810996113</v>
          </cell>
          <cell r="D126" t="str">
            <v>120/63, Silver Oaks Appartment, G Block, Sec 26</v>
          </cell>
          <cell r="E126" t="str">
            <v>DLF Phase 1</v>
          </cell>
          <cell r="F126" t="str">
            <v>Saturday</v>
          </cell>
          <cell r="G126" t="str">
            <v>9 AM - 12 PM</v>
          </cell>
          <cell r="H126">
            <v>1450</v>
          </cell>
          <cell r="I126">
            <v>362.5</v>
          </cell>
          <cell r="J126" t="str">
            <v>Bliss</v>
          </cell>
          <cell r="K126" t="str">
            <v>Rajni next (23/05) Skip 1 week (25/05) Skip 1 week (06/07) Skip 16th (12/08) Hold tom (28/11) Hold till 4th Jan (14/12) Start from 31st Jan (12/01) Skip tom (06/02) Skip tom (13/02) Hold 28th Mar (25/03) Hold till 20th June (11/05) Hold today (11/07)</v>
          </cell>
          <cell r="M126" t="str">
            <v>Rajni next</v>
          </cell>
          <cell r="N126" t="str">
            <v>2  del of this cycle   -  0-cycles pmnt   Completed - Collect 0</v>
          </cell>
          <cell r="O126" t="e">
            <v>#N/A</v>
          </cell>
          <cell r="P126" t="e">
            <v>#N/A</v>
          </cell>
          <cell r="Q126" t="e">
            <v>#N/A</v>
          </cell>
          <cell r="R126" t="str">
            <v>Pur n P Car ( 14 Inch ) 16     FF Sachet + Grass</v>
          </cell>
          <cell r="S126" t="str">
            <v>O Asiatic ( 14 Inch ) 3     Grass</v>
          </cell>
          <cell r="T126" t="str">
            <v>Mix Alstroemeria ( 12 Inch ) 16     Grass</v>
          </cell>
        </row>
        <row r="127">
          <cell r="A127">
            <v>3222</v>
          </cell>
          <cell r="B127" t="str">
            <v>Bibhuti Vikram Singh</v>
          </cell>
          <cell r="C127">
            <v>9811912776</v>
          </cell>
          <cell r="D127" t="str">
            <v>T-6A/104, Valley View Estate, Gwal pahari</v>
          </cell>
          <cell r="E127" t="str">
            <v>Ghata</v>
          </cell>
          <cell r="F127" t="str">
            <v>Sunday</v>
          </cell>
          <cell r="G127" t="str">
            <v>9 AM - 12 PM</v>
          </cell>
          <cell r="H127">
            <v>1450</v>
          </cell>
          <cell r="I127">
            <v>362.5</v>
          </cell>
          <cell r="J127" t="str">
            <v>Bliss</v>
          </cell>
          <cell r="K127" t="str">
            <v>One Kind</v>
          </cell>
          <cell r="M127" t="str">
            <v>One Kind</v>
          </cell>
          <cell r="N127" t="str">
            <v>4  del of this cycle   -  0-cycles pmnt   Completed - Collect 0</v>
          </cell>
          <cell r="O127" t="e">
            <v>#N/A</v>
          </cell>
          <cell r="P127" t="e">
            <v>#N/A</v>
          </cell>
          <cell r="Q127" t="e">
            <v>#N/A</v>
          </cell>
          <cell r="R127" t="str">
            <v>W Asiatic ( 14 Inch ) 3     Grass</v>
          </cell>
          <cell r="S127" t="str">
            <v>Rajni ( 14 Inch ) 16     Grass</v>
          </cell>
          <cell r="T127" t="str">
            <v>P n Y Spray Daisy ( 14 Inch ) 5     FF Sachet + Grass</v>
          </cell>
        </row>
        <row r="128">
          <cell r="B128" t="str">
            <v>Meghaa/ Dhruv Gupta</v>
          </cell>
          <cell r="C128" t="str">
            <v>7838039095/ 9650853112</v>
          </cell>
          <cell r="D128" t="str">
            <v>64, Cedar Crest
Nirvana Country 
Sec-50, Gurgaon 
Message-</v>
          </cell>
          <cell r="H128">
            <v>1100</v>
          </cell>
          <cell r="J128" t="str">
            <v>Bouquet</v>
          </cell>
          <cell r="K128" t="str">
            <v>Recipients name-
Meghaa/ Dhruv Gupta
7838039095/ 9650853112
Add-
64, Cedar Crest
Nirvana Country 
Sec-50, Gurgaon 
Message-
Dear Meghaa &amp; Dhruv!
Heartiest Congratulations!
So happy to hear the news!
Lots of love-
Baba, Maa, Dudu &amp; Anmol.
Pls send  3 semibloom pink Asiatic lily and 10 pink n white carnations in walkin tissue wrap today from ‪+91 98730 75887‬ for 1100 before 7:30 pm</v>
          </cell>
          <cell r="T128" t="str">
            <v xml:space="preserve">Asiatic+ Mix Car 3+10 Tissue Wrap    </v>
          </cell>
        </row>
        <row r="129">
          <cell r="B129" t="str">
            <v xml:space="preserve">smriti verma </v>
          </cell>
          <cell r="C129" t="str">
            <v>98710 00812</v>
          </cell>
          <cell r="D129" t="str">
            <v>C 2901, ireo victory valley, sector 67, Gurgaon</v>
          </cell>
          <cell r="H129">
            <v>2200</v>
          </cell>
          <cell r="J129" t="str">
            <v>Bouquet</v>
          </cell>
          <cell r="K129" t="str">
            <v>Send today to smriti verma — +91 98710 00812 , This is the address 
C 2901, ireo victory valley, sector 67, Gurgaon, today and collect 2200</v>
          </cell>
          <cell r="T129" t="str">
            <v xml:space="preserve">Flr Basket      </v>
          </cell>
        </row>
        <row r="130">
          <cell r="B130" t="str">
            <v>98840 30562 is sending her driver to collect bunch</v>
          </cell>
          <cell r="C130" t="str">
            <v>98840 30562 is sending her driver to collect bunch</v>
          </cell>
          <cell r="D130" t="str">
            <v>98840 30562 is sending her driver to collect bunch</v>
          </cell>
          <cell r="E130" t="str">
            <v>98840 30562 is sending her driver to collect bunch</v>
          </cell>
          <cell r="F130" t="str">
            <v>98840 30562 is sending her driver to collect bunch</v>
          </cell>
          <cell r="G130" t="str">
            <v>98840 30562 is sending her driver to collect bunch</v>
          </cell>
          <cell r="H130">
            <v>600</v>
          </cell>
          <cell r="J130" t="str">
            <v>Bouquet</v>
          </cell>
          <cell r="K130" t="str">
            <v>Pls make a bunch with 6 Rajnigandha, 3 blue daisy and 5 pink n white carnations in single wrap — Priyanka ma’am — +91 98840 30562 is sending her driver to collect bunch — amount 600</v>
          </cell>
          <cell r="T130" t="str">
            <v xml:space="preserve">6 Rajnigandha, 3 blue daisy and 5 pink n white carnations in single wrap      </v>
          </cell>
        </row>
        <row r="131">
          <cell r="B131" t="str">
            <v xml:space="preserve"> Preeti!!</v>
          </cell>
          <cell r="C131" t="str">
            <v>98737 98765‬</v>
          </cell>
          <cell r="D131" t="str">
            <v>Tower 4 1102 the Close north</v>
          </cell>
          <cell r="H131">
            <v>2000</v>
          </cell>
          <cell r="J131" t="str">
            <v>Bouquet</v>
          </cell>
          <cell r="T131" t="str">
            <v xml:space="preserve">Anthurium Basket   4stems of white carnations    </v>
          </cell>
        </row>
        <row r="132">
          <cell r="B132" t="str">
            <v>99100 49712‬</v>
          </cell>
          <cell r="C132" t="str">
            <v>99100 49712‬</v>
          </cell>
          <cell r="D132" t="str">
            <v>Keep ready will be picked from store in 5 mins 
Collect 1800</v>
          </cell>
          <cell r="E132" t="str">
            <v>Keep ready will be picked from store in 5 mins 
Collect 1801</v>
          </cell>
          <cell r="F132" t="str">
            <v>Keep ready will be picked from store in 5 mins 
Collect 1802</v>
          </cell>
          <cell r="G132" t="str">
            <v>Keep ready will be picked from store in 5 mins 
Collect 1803</v>
          </cell>
          <cell r="H132">
            <v>1800</v>
          </cell>
          <cell r="J132" t="str">
            <v>Bouquet</v>
          </cell>
          <cell r="T132" t="str">
            <v xml:space="preserve">5 white oriental lilies in pink and white tissue wrap       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2">
          <cell r="A2">
            <v>1063</v>
          </cell>
          <cell r="B2" t="str">
            <v>Sarika Bhattacharya</v>
          </cell>
          <cell r="C2">
            <v>9899457726</v>
          </cell>
          <cell r="D2" t="str">
            <v>T2/1404, The Palms</v>
          </cell>
          <cell r="E2" t="str">
            <v>South City 1</v>
          </cell>
          <cell r="F2" t="str">
            <v>Saturday</v>
          </cell>
          <cell r="G2" t="str">
            <v>9 AM to 2 PM</v>
          </cell>
          <cell r="H2">
            <v>1600</v>
          </cell>
          <cell r="I2">
            <v>200</v>
          </cell>
          <cell r="J2" t="str">
            <v>Bloom</v>
          </cell>
          <cell r="K2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" t="str">
            <v>7  del of this cycle   -  0-cycles pmnt   Completed - Collect 0</v>
          </cell>
          <cell r="O2" t="e">
            <v>#N/A</v>
          </cell>
          <cell r="P2" t="e">
            <v>#N/A</v>
          </cell>
          <cell r="Q2" t="str">
            <v>Pur n P Car ( 14 Inch ) 7     FF Sachet + Grass</v>
          </cell>
          <cell r="R2" t="str">
            <v>Rajni ( 14 Inch ) 7     Grass</v>
          </cell>
          <cell r="S2" t="str">
            <v>Mix Glad ( 14 Inch ) 7     Grass</v>
          </cell>
          <cell r="T2" t="str">
            <v>Sunflower ( 12 Inch ) 2     FF Sachet + Grass</v>
          </cell>
        </row>
        <row r="3">
          <cell r="A3">
            <v>796</v>
          </cell>
          <cell r="B3" t="str">
            <v>Isha Tyagi</v>
          </cell>
          <cell r="C3">
            <v>9711508206</v>
          </cell>
          <cell r="D3" t="str">
            <v>C-22-A, 2nd Floor,Aardee City</v>
          </cell>
          <cell r="E3" t="str">
            <v>Sushant Estate</v>
          </cell>
          <cell r="F3" t="str">
            <v>Saturday</v>
          </cell>
          <cell r="G3" t="str">
            <v>9 AM - 12 PM</v>
          </cell>
          <cell r="H3">
            <v>1950</v>
          </cell>
          <cell r="I3">
            <v>487.5</v>
          </cell>
          <cell r="J3" t="str">
            <v>Joy</v>
          </cell>
          <cell r="K3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3" t="str">
            <v>1  del of this cycle   -  1-cycles pmnt   Pending - Collect 1950</v>
          </cell>
          <cell r="O3" t="str">
            <v>P n Pur Eustoma ( 12 Inch ) 4     FF Sachet + Grass</v>
          </cell>
          <cell r="P3" t="str">
            <v>Pur n P car ( 14 Inch ) 22     FF Sachet + Grass</v>
          </cell>
          <cell r="Q3" t="str">
            <v>W Asiatic ( 14 Inch ) 4     Grass</v>
          </cell>
          <cell r="R3" t="str">
            <v>Mix Alstroemeria ( 12 Inch ) 22    Ensure Collection FF sachet + Car</v>
          </cell>
          <cell r="S3" t="str">
            <v>P n W Spray Daisy ( 14 Inch ) 7     FF Sachet + Grass</v>
          </cell>
          <cell r="T3" t="str">
            <v>O Glad ( 14 Inch ) 22     Grass</v>
          </cell>
        </row>
        <row r="4">
          <cell r="A4">
            <v>2232</v>
          </cell>
          <cell r="B4" t="str">
            <v xml:space="preserve">Smita Halder </v>
          </cell>
          <cell r="C4">
            <v>9687638449</v>
          </cell>
          <cell r="D4" t="str">
            <v>1st floor, plot 65
Opposite ardee school 
Ardee city gate 3</v>
          </cell>
          <cell r="E4" t="str">
            <v>Sushant Estate</v>
          </cell>
          <cell r="F4" t="str">
            <v>Saturday</v>
          </cell>
          <cell r="G4" t="str">
            <v>9 AM - 12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4" t="str">
            <v>2  del of this cycle   -  0-cycles pmnt   CompletedNO COLLECTION-we have extra money - Collect -340</v>
          </cell>
          <cell r="O4" t="str">
            <v>P Eustoma ( 12 Inch ) 3     Grass</v>
          </cell>
          <cell r="P4" t="str">
            <v>Pur n P car ( 14 Inch ) 16     FF Sachet + Grass</v>
          </cell>
          <cell r="Q4" t="str">
            <v>O Asiatic ( 14 Inch ) 3     Grass</v>
          </cell>
          <cell r="R4" t="str">
            <v>Mix Car 16     Grass</v>
          </cell>
          <cell r="S4" t="str">
            <v>P n Y Spray Daisy ( 14 Inch ) 5     FF Sachet + Grass</v>
          </cell>
          <cell r="T4" t="str">
            <v xml:space="preserve">O Glad ( 14 Inch ) 16     </v>
          </cell>
        </row>
        <row r="5">
          <cell r="A5">
            <v>1536</v>
          </cell>
          <cell r="B5" t="str">
            <v>Farah</v>
          </cell>
          <cell r="C5">
            <v>9871518449</v>
          </cell>
          <cell r="D5" t="str">
            <v>D-12/3, Ground Floor, Gate no.4, aardee City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v>
          </cell>
          <cell r="L5" t="str">
            <v>Spray Daisy n Rajni</v>
          </cell>
          <cell r="N5" t="str">
            <v>2  del of this cycle   -  1-cycles pmnt   Pending - Collect 1450</v>
          </cell>
          <cell r="O5" t="e">
            <v>#N/A</v>
          </cell>
          <cell r="P5" t="str">
            <v>Pur n P car ( 14 Inch ) 9     FF Sachet + Grass</v>
          </cell>
          <cell r="Q5" t="str">
            <v>O Asiatic ( 14 Inch ) 2     Grass</v>
          </cell>
          <cell r="R5" t="e">
            <v>#N/A</v>
          </cell>
          <cell r="S5" t="str">
            <v>Mix Alstroemeria ( 12 Inch ) 16     Grass</v>
          </cell>
          <cell r="T5" t="str">
            <v xml:space="preserve">O Glad ( 14 Inch ) 16     </v>
          </cell>
        </row>
        <row r="6">
          <cell r="A6">
            <v>2390</v>
          </cell>
          <cell r="B6" t="str">
            <v xml:space="preserve">Richa Sawhney </v>
          </cell>
          <cell r="C6">
            <v>9801727902</v>
          </cell>
          <cell r="D6" t="str">
            <v>T-2/902, Unitech palms, South City 1</v>
          </cell>
          <cell r="E6" t="str">
            <v>South City 1</v>
          </cell>
          <cell r="F6" t="str">
            <v>Saturday</v>
          </cell>
          <cell r="G6" t="str">
            <v>9 AM to 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Hold n start from 10th (22/09) Skip 1 week (24/12) HDTNP (06/06)</v>
          </cell>
          <cell r="N6" t="str">
            <v>4  del of this cycle   -  0-cycles pmnt   Completed - Collect 0</v>
          </cell>
          <cell r="O6" t="str">
            <v>B Daisy ( 12 Inch ) 9     Grass</v>
          </cell>
          <cell r="P6" t="str">
            <v>P Asiatic ( 14 Inch ) 2     Grass</v>
          </cell>
          <cell r="Q6" t="str">
            <v>P n W Glad ( 14 Inch ) 16     Grass</v>
          </cell>
          <cell r="R6" t="str">
            <v>P n Y Spray Daisy ( 14 Inch ) 5     FF sachet + Car</v>
          </cell>
          <cell r="S6" t="str">
            <v>G n W Car ( 14 Inch ) 16     FF Sachet + Grass</v>
          </cell>
          <cell r="T6" t="str">
            <v>Mix Alstroemeria ( 12 Inch ) 16     FF Sachet + Grass</v>
          </cell>
        </row>
        <row r="7">
          <cell r="A7">
            <v>2522</v>
          </cell>
          <cell r="B7" t="str">
            <v>Mansi Baranwal</v>
          </cell>
          <cell r="C7">
            <v>9930699425</v>
          </cell>
          <cell r="D7" t="str">
            <v>T-4/1504, Sushant Estate</v>
          </cell>
          <cell r="E7" t="str">
            <v>Sushant Estate</v>
          </cell>
          <cell r="F7" t="str">
            <v>Saturday</v>
          </cell>
          <cell r="G7" t="str">
            <v>9 AM - 12 PM</v>
          </cell>
          <cell r="H7">
            <v>1450</v>
          </cell>
          <cell r="I7">
            <v>362.5</v>
          </cell>
          <cell r="J7" t="str">
            <v>Collection Only</v>
          </cell>
          <cell r="K7" t="str">
            <v>Today Returned (28/06) Today Returned (05/07) Paytm From Aditya Mukherjee(10/01) Add changed (24/01) HDTNP (21/02) HDTNP (28/02) HDTNP (07/03) HDTNP (13/03) HDTNP (06/06) HDTNP (13/06) HDTNP (20/06) HDTNP (27/06) HDTNP (04/07) HDTNP (11/07) HDTNP (18/07)</v>
          </cell>
          <cell r="N7" t="str">
            <v>3  del of this cycle   -  1-cycles pmnt   Pending - Collect 1450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str">
            <v xml:space="preserve">Collect 725 Carry Change and Receipt   Ensure Collection Emnsure Collection </v>
          </cell>
        </row>
        <row r="8">
          <cell r="A8" t="str">
            <v>B56551</v>
          </cell>
          <cell r="B8">
            <v>8800393457</v>
          </cell>
          <cell r="C8">
            <v>8800393457</v>
          </cell>
          <cell r="D8" t="str">
            <v>H-1406, Emaar Palm Drive</v>
          </cell>
          <cell r="E8" t="str">
            <v>Badshahpur</v>
          </cell>
          <cell r="F8" t="str">
            <v>Saturday</v>
          </cell>
          <cell r="G8" t="str">
            <v>By 10 AM</v>
          </cell>
          <cell r="H8">
            <v>1850</v>
          </cell>
          <cell r="I8">
            <v>1850</v>
          </cell>
          <cell r="J8" t="str">
            <v>Bouquet</v>
          </cell>
          <cell r="K8" t="str">
            <v>8 W n Red Asiatic</v>
          </cell>
          <cell r="N8" t="str">
            <v>1  del of this cycle   -  0-cycles pmnt   Completed - Collect 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R n W Asiatic  8 Single Wrap    </v>
          </cell>
        </row>
        <row r="9">
          <cell r="A9">
            <v>2324</v>
          </cell>
          <cell r="B9" t="str">
            <v>Reena Singh</v>
          </cell>
          <cell r="C9">
            <v>9810094023</v>
          </cell>
          <cell r="D9" t="str">
            <v>A1/304, Uniworld City</v>
          </cell>
          <cell r="E9" t="str">
            <v>South City 1</v>
          </cell>
          <cell r="F9" t="str">
            <v>Saturday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9" t="str">
            <v>1  del of this cycle   -  1-cycles pmnt   Pending - Collect 1446</v>
          </cell>
          <cell r="O9" t="str">
            <v>B Daisy ( 12 Inch ) 9     Grass</v>
          </cell>
          <cell r="P9" t="str">
            <v>Pur n P car ( 14 Inch ) 16     FF Sachet + Grass</v>
          </cell>
          <cell r="Q9" t="str">
            <v>Sunflower ( 12 Inch ) 4     Grass</v>
          </cell>
          <cell r="R9" t="str">
            <v>O Asiatic 3     Grass</v>
          </cell>
          <cell r="S9" t="str">
            <v>Mix Alstroemeria ( 12 Inch ) 16     FF Sachet + Grass</v>
          </cell>
          <cell r="T9" t="str">
            <v>Pur Eustoma ( 12 Inch ) 3     FF Sachet + Grass</v>
          </cell>
        </row>
        <row r="10">
          <cell r="A10">
            <v>3372</v>
          </cell>
          <cell r="B10" t="str">
            <v>Anabhra Mishra</v>
          </cell>
          <cell r="C10">
            <v>9519954064</v>
          </cell>
          <cell r="D10" t="str">
            <v>E-504, Sujjan Vihar</v>
          </cell>
          <cell r="E10" t="str">
            <v>DLF Phase 5</v>
          </cell>
          <cell r="F10" t="str">
            <v>Saturday</v>
          </cell>
          <cell r="G10" t="str">
            <v>9 AM to 2 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Eustoma next (12/06)</v>
          </cell>
          <cell r="M10" t="str">
            <v>Eustoma next (12/06)</v>
          </cell>
          <cell r="N10" t="str">
            <v>1  del of this cycle   -  1-cycles pmnt   Pending - Collect 1450</v>
          </cell>
          <cell r="O10" t="str">
            <v>P n Y Spray Daisy ( 14 Inch ) 5     FF Sachet + Grass</v>
          </cell>
          <cell r="P10" t="e">
            <v>#N/A</v>
          </cell>
          <cell r="Q10" t="str">
            <v>Pur n P Car ( 14 Inch ) 16     FF Sachet + Grass</v>
          </cell>
          <cell r="R10" t="str">
            <v>P Asiatic ( 14 Inch ) 3     Grass</v>
          </cell>
          <cell r="S10" t="str">
            <v>Mix Alstroemeria ( 12 Inch ) 16     Grass</v>
          </cell>
          <cell r="T10" t="str">
            <v>P Eustoma ( 12 Inch ) 3     FF Sachet + Grass</v>
          </cell>
        </row>
        <row r="11">
          <cell r="A11">
            <v>3373</v>
          </cell>
          <cell r="B11" t="str">
            <v>Kirti Singhal</v>
          </cell>
          <cell r="C11">
            <v>9045453716</v>
          </cell>
          <cell r="D11" t="str">
            <v>57, Mohyal Colony, Sec 40</v>
          </cell>
          <cell r="E11" t="str">
            <v>Sushant Estate</v>
          </cell>
          <cell r="F11" t="str">
            <v>Saturday</v>
          </cell>
          <cell r="G11" t="str">
            <v>4 PM to 7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From 7060315977 // Paytm from Tanmay Gupta (23/05) Skip 1 week (26/05) Hold today (27/06)</v>
          </cell>
          <cell r="N11" t="str">
            <v>4  del of this cycle   -  0-cycles pmnt   Completed - Collect 0</v>
          </cell>
          <cell r="O11" t="str">
            <v>P Eustoma ( 12 Inch ) 3     Grass</v>
          </cell>
          <cell r="P11" t="str">
            <v>Asiatic 3     Grass</v>
          </cell>
          <cell r="Q11" t="str">
            <v>P n W Glad ( 14 Inch ) 16     Grass</v>
          </cell>
          <cell r="R11" t="str">
            <v>Rajni ( 14 Inch ) 16     Grass</v>
          </cell>
          <cell r="S11" t="str">
            <v>G n W Car ( 14 Inch ) 16     FF Sachet + Grass</v>
          </cell>
          <cell r="T11" t="str">
            <v>P n Y Spray Daisy ( 14 Inch ) 5     FF Sachet + Grass</v>
          </cell>
        </row>
        <row r="12">
          <cell r="A12">
            <v>59</v>
          </cell>
          <cell r="B12" t="str">
            <v>Ms. Payel</v>
          </cell>
          <cell r="C12">
            <v>9871370096</v>
          </cell>
          <cell r="D12" t="str">
            <v xml:space="preserve">  I-1001, Mapple Heights, Sushant lok-1</v>
          </cell>
          <cell r="E12" t="str">
            <v>M G Road</v>
          </cell>
          <cell r="F12" t="str">
            <v>Saturday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12" t="str">
            <v>4  del of this cycle   -  0-cycles pmnt   Completed - Collect 0</v>
          </cell>
          <cell r="O12" t="str">
            <v>B Daisy ( 12 Inch ) 16     Grass</v>
          </cell>
          <cell r="P12" t="str">
            <v>Pur n P car ( 14 Inch ) 16     FF Sachet + Grass</v>
          </cell>
          <cell r="Q12" t="str">
            <v>Sunflower ( 12 Inch ) 4     FF Sachet + Grass</v>
          </cell>
          <cell r="R12" t="str">
            <v>Rajni ( 14 Inch ) 16    Ensure Collection Grass</v>
          </cell>
          <cell r="S12" t="str">
            <v>O Asiatic ( 14 Inch ) 3     Grass</v>
          </cell>
          <cell r="T12" t="str">
            <v>Mix Alstroemeria ( 12 Inch ) 16     FF Sachet + Grass</v>
          </cell>
        </row>
        <row r="13">
          <cell r="A13">
            <v>2240</v>
          </cell>
          <cell r="B13" t="str">
            <v>Somyasmita Juneja</v>
          </cell>
          <cell r="C13">
            <v>9650213304</v>
          </cell>
          <cell r="D13" t="str">
            <v xml:space="preserve">DX-136, Kendriya Vihar
</v>
          </cell>
          <cell r="E13" t="str">
            <v>Sector 56</v>
          </cell>
          <cell r="F13" t="str">
            <v>Saturday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13" t="str">
            <v>1  del of this cycle   -  1-cycles pmnt   Pending - Collect 1450</v>
          </cell>
          <cell r="O13" t="e">
            <v>#N/A</v>
          </cell>
          <cell r="P13" t="str">
            <v>Pur n P car ( 14 Inch ) 16     FF Sachet + Grass</v>
          </cell>
          <cell r="Q13" t="str">
            <v>O Asiatic ( 14 Inch ) 3     Grass</v>
          </cell>
          <cell r="R13" t="str">
            <v>Mix Spray Daisy 5     Grass</v>
          </cell>
          <cell r="S13" t="str">
            <v>Mix Glad ( 14 Inch ) 16     Grass</v>
          </cell>
          <cell r="T13" t="str">
            <v>Mix Alstroemeria ( 12 Inch ) 16     FF Sachet + Grass</v>
          </cell>
        </row>
        <row r="14">
          <cell r="A14">
            <v>846</v>
          </cell>
          <cell r="B14" t="str">
            <v>Deep Bajaj</v>
          </cell>
          <cell r="C14">
            <v>9899059999</v>
          </cell>
          <cell r="D14" t="str">
            <v>B-2002, Pioneer Presidia,Sec-62, Near Pioneer Square</v>
          </cell>
          <cell r="E14" t="str">
            <v>Ghata</v>
          </cell>
          <cell r="F14" t="str">
            <v>Saturday</v>
          </cell>
          <cell r="G14" t="str">
            <v>9 AM - 12 PM</v>
          </cell>
          <cell r="H14">
            <v>4750</v>
          </cell>
          <cell r="I14">
            <v>1187.5</v>
          </cell>
          <cell r="J14" t="str">
            <v>Enchantment</v>
          </cell>
          <cell r="K14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14" t="str">
            <v>3  del of this cycle   -  0-cycles pmnt   In Process - Collect 0</v>
          </cell>
          <cell r="O14" t="str">
            <v>P Asiatiic + BOP 3 + 4 Rajni + P n W Glad 12 + 12 B Daisy 10 5 Areca Palm + 3 Gypsola + 3 Limonium</v>
          </cell>
          <cell r="P14" t="str">
            <v>P Asiatic + Eustoma 3 + 3 Rajni + P n W Glad 12 + 12 B daisy  8 5 Areca palm + 3 Gypsola + 3 + 3 Limonium</v>
          </cell>
          <cell r="Q14" t="str">
            <v>W Asiatic + Mix Anthurium  3 + 4 Pur n P Car + Mix Alstroemeria 12 + 12 BOP 3 5 Areca palm + 3 Gypsola + 3 Limonium</v>
          </cell>
          <cell r="R14" t="str">
            <v>O Asiatic + G n W Spray Daisy 3 + 4 Rajni + B Daisy  12 + 12 W Orchid  5 5 Areca Palm + 3 Gypsola + 3 Limonium</v>
          </cell>
          <cell r="S14" t="str">
            <v>Y Asiatic + BOP 3 + 3 G n W Car + Mix Glad 12 + 12 Mix Alstroemeria ( 12 Inch ) 10 5 Areca palm + 3 Gypsola</v>
          </cell>
          <cell r="T14" t="str">
            <v>W Asiatic + P Eustoma  3 + 3 R n W Car + Rajni 12 + 12 B Daisy  10 5 Areca palm + 3 Gypsola + 3 Limonium</v>
          </cell>
        </row>
        <row r="15">
          <cell r="A15">
            <v>2411</v>
          </cell>
          <cell r="B15" t="str">
            <v>Risha</v>
          </cell>
          <cell r="C15">
            <v>9873670489</v>
          </cell>
          <cell r="D15" t="str">
            <v>S-16 A, Windsor Court, DLF Phase 4</v>
          </cell>
          <cell r="E15" t="str">
            <v>DLF Phase 4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15% Discount (26/07) Today hold (18/10) Skip 1 week (29/10) Hold till 15th Jan (29/12) Return not at home (31/01) Today Returned (04/04) HDTNP (06/06) HDTNP (13/06) HDTNP (20/06)</v>
          </cell>
          <cell r="N15" t="str">
            <v>3  del of this cycle   -  0-cycles pmnt   Completed - Collect 0</v>
          </cell>
          <cell r="O15" t="e">
            <v>#N/A</v>
          </cell>
          <cell r="P15" t="str">
            <v xml:space="preserve">Sunflower 2 Mix Car 7   </v>
          </cell>
          <cell r="Q15" t="str">
            <v>W Asiatic ( 14 Inch ) 2 Mix Alstroemeria ( 12 Inch ) 7   Grass</v>
          </cell>
          <cell r="R15" t="str">
            <v>P Spray Daisy ( 14 Inch ) 3 Rajni ( 14 inch ) 7   FF sachet + Car</v>
          </cell>
          <cell r="S15" t="str">
            <v>Pur Eustoma ( 12 Inch ) 2 Mix Glad ( 14 Inch ) 7 Collect payment Collect payment FF Sachet + Grass</v>
          </cell>
          <cell r="T15" t="str">
            <v>Sunflower ( 12 Inch ) 2 P n W Car ( 14 Inch ) 7   FF Sachet + Grass</v>
          </cell>
        </row>
        <row r="16">
          <cell r="A16">
            <v>1975</v>
          </cell>
          <cell r="B16" t="str">
            <v>Nidhee pathak</v>
          </cell>
          <cell r="C16" t="str">
            <v>98734 25980</v>
          </cell>
          <cell r="D16" t="str">
            <v>1602, Tower-3,The Palms
South City-1</v>
          </cell>
          <cell r="E16" t="str">
            <v>South City 1</v>
          </cell>
          <cell r="F16" t="str">
            <v>Saturday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16" t="str">
            <v>ROSE</v>
          </cell>
          <cell r="N16" t="str">
            <v>3  del of this cycle   -  0-cycles pmnt   Completed - Collect 0</v>
          </cell>
          <cell r="O16" t="str">
            <v>B Daisy ( 12 Inch ) 22     Grass</v>
          </cell>
          <cell r="P16" t="str">
            <v>P n W Glad ( 14 Inch ) 22     Grass</v>
          </cell>
          <cell r="Q16" t="str">
            <v>W Asiatic ( 14 Inch ) 4     Grass</v>
          </cell>
          <cell r="R16" t="str">
            <v>Sunflower ( 12 Inch ) 5     FF sachet + Car</v>
          </cell>
          <cell r="S16" t="str">
            <v>G n W Car ( 14 Inch ) 22   Collect payment Collect payment FF Sachet + Grass</v>
          </cell>
          <cell r="T16" t="str">
            <v>Pur n P Eustoma ( 12 Inch ) 4     FF Sachet + Grass</v>
          </cell>
        </row>
        <row r="17">
          <cell r="A17">
            <v>2257</v>
          </cell>
          <cell r="B17" t="str">
            <v>Akanksha Bhatia -- After 4 PM</v>
          </cell>
          <cell r="C17">
            <v>9987861735</v>
          </cell>
          <cell r="D17" t="str">
            <v>H. No. 149, 3rd Floor, A Block, South City 1</v>
          </cell>
          <cell r="E17" t="str">
            <v>South City 1</v>
          </cell>
          <cell r="F17" t="str">
            <v>Saturday</v>
          </cell>
          <cell r="G17" t="str">
            <v>After 4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v>
          </cell>
          <cell r="N17" t="str">
            <v>2  del of this cycle   -  0-cycles pmnt   Completed - Collect 0</v>
          </cell>
          <cell r="O17" t="e">
            <v>#N/A</v>
          </cell>
          <cell r="P17" t="str">
            <v>Pur n P car ( 14 Inch ) 16     FF Sachet + Grass</v>
          </cell>
          <cell r="Q17" t="str">
            <v>O Asiatic ( 14 Inch ) 3     Grass</v>
          </cell>
          <cell r="R17" t="e">
            <v>#N/A</v>
          </cell>
          <cell r="S17" t="str">
            <v>Mix Glad ( 14 Inch ) 16     Grass</v>
          </cell>
          <cell r="T17" t="str">
            <v>P spray  n Y Button  Spray Daisy ( 14 Inch ) 5     FF Sachet + Grass</v>
          </cell>
        </row>
        <row r="18">
          <cell r="A18">
            <v>3400</v>
          </cell>
          <cell r="B18" t="str">
            <v>Nishtha</v>
          </cell>
          <cell r="C18">
            <v>8527634071</v>
          </cell>
          <cell r="D18" t="str">
            <v>580, Upper Ground Floor, Sec 30, Jharsa -- Adjacent Veerji Motor World</v>
          </cell>
          <cell r="E18" t="str">
            <v>South City 1</v>
          </cell>
          <cell r="F18" t="str">
            <v>Saturday</v>
          </cell>
          <cell r="G18" t="str">
            <v>9 AM to 2 PM</v>
          </cell>
          <cell r="H18">
            <v>1950</v>
          </cell>
          <cell r="I18">
            <v>487.5</v>
          </cell>
          <cell r="J18" t="str">
            <v>Joy</v>
          </cell>
          <cell r="N18" t="str">
            <v>3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str">
            <v>O Asiatic ( 14 Inch ) 4     Grass</v>
          </cell>
          <cell r="T18" t="str">
            <v>O Glad ( 14 Inch ) 22     Grass</v>
          </cell>
        </row>
        <row r="19">
          <cell r="A19">
            <v>3096</v>
          </cell>
          <cell r="B19" t="str">
            <v>Arti Kaul</v>
          </cell>
          <cell r="C19">
            <v>9560517831</v>
          </cell>
          <cell r="D19" t="str">
            <v>T-2B, Windsor Court, DLF Phase 4</v>
          </cell>
          <cell r="E19" t="str">
            <v>DLF Phase 4</v>
          </cell>
          <cell r="F19" t="str">
            <v>Saturday</v>
          </cell>
          <cell r="G19" t="str">
            <v>9:30 Am to 2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One Kind of Flower (13/01)</v>
          </cell>
          <cell r="M19" t="str">
            <v>One Kind</v>
          </cell>
          <cell r="N19" t="str">
            <v>2  del of this cycle   -  0-cycles pmnt   Completed - Collect 0</v>
          </cell>
          <cell r="O19" t="str">
            <v>R n G Car ( 14 Inch ) 16     FF Sachet + Grass</v>
          </cell>
          <cell r="P19" t="str">
            <v>P Asiatic ( 14 Inch ) 3     Grass</v>
          </cell>
          <cell r="Q19" t="str">
            <v>P n W Glad ( 14 Inch ) 16     Grass</v>
          </cell>
          <cell r="R19" t="str">
            <v>P n Y Spray Daisy ( 14 Inch ) 5     FF sachet + Car</v>
          </cell>
          <cell r="S19" t="str">
            <v>Mix Alstroemeria ( 12 Inch ) 16     FF Sachet + Grass</v>
          </cell>
          <cell r="T19" t="str">
            <v>P n W Car ( 14 Inch ) 16     FF Sachet + Grass</v>
          </cell>
        </row>
        <row r="20">
          <cell r="A20">
            <v>2371</v>
          </cell>
          <cell r="B20" t="str">
            <v>Namrata Das Adhikary -- 1450 Pack</v>
          </cell>
          <cell r="C20" t="str">
            <v xml:space="preserve"> 8587955990 // 9910285192</v>
          </cell>
          <cell r="D20" t="str">
            <v>C-922-A, 1st floor, Sushant Lok Phase-1, Gurgaon, Haryana-122002</v>
          </cell>
          <cell r="E20" t="str">
            <v>M G Road</v>
          </cell>
          <cell r="F20" t="str">
            <v>Saturday</v>
          </cell>
          <cell r="G20" t="str">
            <v>4 Pm to 7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str">
            <v>P n W Glad ( 14 Inch ) 7     Grass</v>
          </cell>
          <cell r="R20" t="str">
            <v>O Asiatic ( 14 Inch ) 3     Grass</v>
          </cell>
          <cell r="S20" t="str">
            <v>Mix  Spray daisy 5     FF Sachet + Grass</v>
          </cell>
          <cell r="T20" t="str">
            <v>P n W Car ( 14 Inch ) 16     FF Sachet + Grass</v>
          </cell>
        </row>
        <row r="21">
          <cell r="A21">
            <v>3132</v>
          </cell>
          <cell r="B21" t="str">
            <v>Ramesh Kapoor</v>
          </cell>
          <cell r="C21">
            <v>9717416100</v>
          </cell>
          <cell r="D21" t="str">
            <v>T-6/1404, The Palms, South City 1</v>
          </cell>
          <cell r="E21" t="str">
            <v>South City 1</v>
          </cell>
          <cell r="F21" t="str">
            <v>Tuesday</v>
          </cell>
          <cell r="G21" t="str">
            <v>9 AM - 12 PM</v>
          </cell>
          <cell r="H21">
            <v>2300</v>
          </cell>
          <cell r="I21">
            <v>287.5</v>
          </cell>
          <cell r="J21" t="str">
            <v>Felicity</v>
          </cell>
          <cell r="K21" t="str">
            <v>Paytm From Anuradha Kapoor - Anu Kapoor (04/11) Premium tom (13/11) Replacement tom (21/04) 10 % Discint given (15/06) Today hold n sned tom (20/06) Today returned and skip Tuesday also (27/06)</v>
          </cell>
          <cell r="M21" t="str">
            <v>Premium Next (13/11)</v>
          </cell>
          <cell r="N21" t="str">
            <v>2  del of this cycle   -  1-cycles pmnt   Pending - Collect 2340</v>
          </cell>
          <cell r="O21" t="str">
            <v>B Daisy ( 12 Inch ) 7     Grass</v>
          </cell>
          <cell r="P21" t="str">
            <v>Pur n P car ( 14 Inch ) 11     FF Sachet + Grass</v>
          </cell>
          <cell r="Q21" t="str">
            <v>Pur n P Car ( 14 Inch ) 11     FF Sachet + Grass</v>
          </cell>
          <cell r="R21" t="str">
            <v>O Asiatic ( 14 Inch ) 2     Grass</v>
          </cell>
          <cell r="S21" t="str">
            <v>P Spray Daisy ( 14 Inch ) 2     FF sachet + Grass</v>
          </cell>
          <cell r="T21" t="str">
            <v>Rajni ( 14 Inch ) 11   Ensure Collection Emnsure Collection Grass</v>
          </cell>
        </row>
        <row r="22">
          <cell r="A22">
            <v>194</v>
          </cell>
          <cell r="B22" t="str">
            <v>Rashmi Chandra</v>
          </cell>
          <cell r="C22">
            <v>9811201254</v>
          </cell>
          <cell r="D22" t="str">
            <v>6826, DLF Phase-4</v>
          </cell>
          <cell r="E22" t="str">
            <v>DLF Phase 4</v>
          </cell>
          <cell r="F22" t="str">
            <v>Saturday</v>
          </cell>
          <cell r="G22" t="str">
            <v>9 AM - 12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22" t="str">
            <v>1  del of this cycle   -  1-cycles pmnt   Pending - Collect 1450</v>
          </cell>
          <cell r="O22" t="str">
            <v>P Eustoma ( 12 Inch ) 3     Grass</v>
          </cell>
          <cell r="P22" t="str">
            <v>Sunflower ( 14 Inch ) 4     FF Sachet + Grass</v>
          </cell>
          <cell r="Q22" t="str">
            <v>P n W Glad ( 14 Inch ) 16     Grass</v>
          </cell>
          <cell r="R22" t="str">
            <v>O Asiatic ( 14 Inch ) 3     Grass</v>
          </cell>
          <cell r="S22" t="str">
            <v>G n W Car ( 14 Inch ) 16     FF Sachet + Grass</v>
          </cell>
          <cell r="T22" t="str">
            <v>Pur Eustoma ( 12 Inch ) 3     FF Sachet + Grass</v>
          </cell>
        </row>
        <row r="23">
          <cell r="A23">
            <v>249</v>
          </cell>
          <cell r="B23" t="str">
            <v>Rajni Mehra</v>
          </cell>
          <cell r="C23">
            <v>9810655365</v>
          </cell>
          <cell r="D23" t="str">
            <v xml:space="preserve"> H-1201, Pilot Court, Essel Towers M.G.ROAD GURGAON </v>
          </cell>
          <cell r="E23" t="str">
            <v>M G Road</v>
          </cell>
          <cell r="F23" t="str">
            <v>Saturday</v>
          </cell>
          <cell r="G23" t="str">
            <v>4 Pm to 7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23" t="str">
            <v>Statice next</v>
          </cell>
          <cell r="N23" t="str">
            <v>4  del of this cycle   -  0-cycles pmnt   Completed - Collect 0</v>
          </cell>
          <cell r="O23" t="str">
            <v>B Daisy ( 12 Inch ) 9     Grass</v>
          </cell>
          <cell r="P23" t="e">
            <v>#N/A</v>
          </cell>
          <cell r="Q23" t="str">
            <v>P Asiatic ( 14 Inch ) 3     Grass</v>
          </cell>
          <cell r="R23" t="str">
            <v>R n W Car ( 14 Inch ) 16     FF sachet + Car</v>
          </cell>
          <cell r="S23" t="str">
            <v>P n Y Spray Daisy ( 14 Inch ) 5     FF Sachet + Grass</v>
          </cell>
          <cell r="T23" t="str">
            <v>O Alstroemeria ( 12 Inch ) 16     FF Sachet + Grass</v>
          </cell>
        </row>
        <row r="24">
          <cell r="A24">
            <v>814</v>
          </cell>
          <cell r="B24" t="str">
            <v>Madhura Kumar</v>
          </cell>
          <cell r="C24">
            <v>9971005348</v>
          </cell>
          <cell r="D24" t="str">
            <v>Y-72, Regency Park-2</v>
          </cell>
          <cell r="E24" t="str">
            <v>DLF Phase 4</v>
          </cell>
          <cell r="F24" t="str">
            <v>Saturday</v>
          </cell>
          <cell r="G24" t="str">
            <v>4 PM to 7PM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24" t="str">
            <v>4  del of this cycle   -  0-cycles pmnt   Completed - Collect 0</v>
          </cell>
          <cell r="O24" t="str">
            <v>P n Pur Eustoma ( 12 Inch ) 4     FF Sachet + Grass</v>
          </cell>
          <cell r="P24" t="str">
            <v>Pur n P car ( 14 Inch ) 22     FF Sachet + Grass</v>
          </cell>
          <cell r="Q24" t="str">
            <v>B Orchid  7     FF Sachet + Grass</v>
          </cell>
          <cell r="R24" t="str">
            <v>O Asiatic ( 14 Inch ) 4    Ensure Collection Grass</v>
          </cell>
          <cell r="S24" t="str">
            <v>Mix Alstroemeria ( 12 Inch ) 20   Collect payment Collect payment FF Sachet + Grass</v>
          </cell>
          <cell r="T24" t="str">
            <v>Pur n P Eustoma ( 12 Inch ) 4     FF Sachet + Grass</v>
          </cell>
        </row>
        <row r="25">
          <cell r="A25">
            <v>3089</v>
          </cell>
          <cell r="B25" t="str">
            <v>Anshu Sonkar</v>
          </cell>
          <cell r="C25">
            <v>9319410163</v>
          </cell>
          <cell r="D25" t="str">
            <v>C-561, 4th Floor, Sushant Lok Phase 1</v>
          </cell>
          <cell r="E25" t="str">
            <v>M G Road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25" t="str">
            <v>Car</v>
          </cell>
          <cell r="N25" t="str">
            <v>4  del of this cycle   -  0-cycles pmnt   Completed - Collect 0</v>
          </cell>
          <cell r="O25" t="str">
            <v>R n G Car ( 14 Inch ) 16     FF Sachet + Grass</v>
          </cell>
          <cell r="P25" t="e">
            <v>#N/A</v>
          </cell>
          <cell r="Q25" t="e">
            <v>#N/A</v>
          </cell>
          <cell r="R25" t="str">
            <v>O Asiatic ( 14 Inch ) 2     Grass</v>
          </cell>
          <cell r="S25" t="str">
            <v>Mix Alstroemeria ( 12 Inch ) 16     Grass</v>
          </cell>
          <cell r="T25" t="str">
            <v xml:space="preserve">P Eustoma ( 12 Inch ) 3     </v>
          </cell>
        </row>
        <row r="26">
          <cell r="A26">
            <v>3100</v>
          </cell>
          <cell r="B26" t="str">
            <v>Mansi Tyagi</v>
          </cell>
          <cell r="C26">
            <v>9971455549</v>
          </cell>
          <cell r="D26" t="str">
            <v>C-923, 4th Floor, Sushant Lok-1</v>
          </cell>
          <cell r="E26" t="str">
            <v>M G Road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N26" t="str">
            <v>4  del of this cycle   -  0-cycles pmnt   Completed - Collect 0</v>
          </cell>
          <cell r="O26" t="str">
            <v>B Daisy ( 12 Inch ) 9   Collect Payment Collect Payment Grass</v>
          </cell>
          <cell r="P26" t="str">
            <v>P Asiatic ( 14 Inch ) 2     Grass</v>
          </cell>
          <cell r="Q26" t="str">
            <v>Pur n P Car ( 14 Inch ) 16     Grass</v>
          </cell>
          <cell r="R26" t="str">
            <v>Sunflower ( 12 Inch ) 4    Ensure Collection FF sachet + Car</v>
          </cell>
          <cell r="S26" t="str">
            <v>Mix Glad ( 14 Inch ) 16     Grass</v>
          </cell>
          <cell r="T26" t="str">
            <v>P Spray + Y Button Daisy ( 14 Inch ) 5     FF Sachet + Grass</v>
          </cell>
        </row>
        <row r="27">
          <cell r="A27">
            <v>169</v>
          </cell>
          <cell r="B27" t="str">
            <v>Suniti Banga -- Before 11 AM</v>
          </cell>
          <cell r="C27">
            <v>9810282649</v>
          </cell>
          <cell r="D27" t="str">
            <v>A-3/1102, Uniworld City Sector 30</v>
          </cell>
          <cell r="E27" t="str">
            <v>South City 1</v>
          </cell>
          <cell r="F27" t="str">
            <v>Saturday</v>
          </cell>
          <cell r="G27" t="str">
            <v>9 AM - 12 PM</v>
          </cell>
          <cell r="H27">
            <v>3750</v>
          </cell>
          <cell r="I27">
            <v>937.5</v>
          </cell>
          <cell r="J27" t="str">
            <v>Savor</v>
          </cell>
          <cell r="K27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7" t="str">
            <v>1  del of this cycle   -  1-cycles pmnt   Pending - Collect 3750</v>
          </cell>
          <cell r="O27" t="e">
            <v>#N/A</v>
          </cell>
          <cell r="P27" t="e">
            <v>#N/A</v>
          </cell>
          <cell r="Q27" t="str">
            <v xml:space="preserve">W Oriental ( 15 Inch ) 3 P n W Glad ( 14 Inch ) 15   2 Limonium </v>
          </cell>
          <cell r="R27" t="str">
            <v>P Asiatic ( 14 Inch ) 4 Mix Alstroemeria ( 12  Inch ) 20   2 Gypsola</v>
          </cell>
          <cell r="S27" t="str">
            <v xml:space="preserve">O Asiatic ( 14 Inch ) 4 G n W Car ( 14 Inch ) 21   2 Limonium </v>
          </cell>
          <cell r="T27" t="str">
            <v>Y Asiatic ( 14 Inch ) 4 O Glad ( 14 Inch ) 21   Grass</v>
          </cell>
        </row>
        <row r="28">
          <cell r="A28">
            <v>3412</v>
          </cell>
          <cell r="B28" t="str">
            <v>Sharmistha Dutta</v>
          </cell>
          <cell r="C28">
            <v>9811101764</v>
          </cell>
          <cell r="D28" t="str">
            <v>T-A/501, Uniwrold City Sec 30</v>
          </cell>
          <cell r="E28" t="str">
            <v>South City 1</v>
          </cell>
          <cell r="F28" t="str">
            <v>Saturday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N28" t="str">
            <v>2  del of this cycle   -  0-cycles pmnt   Completed - Collect 0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str">
            <v>G n W Car ( 14 Inch ) 16     FF Sachet + Grass</v>
          </cell>
          <cell r="T28" t="str">
            <v xml:space="preserve">O Asiatic ( 14 Inch ) 3     </v>
          </cell>
        </row>
        <row r="29">
          <cell r="A29">
            <v>2054</v>
          </cell>
          <cell r="B29" t="str">
            <v>Dr. Khushboo Singh</v>
          </cell>
          <cell r="C29">
            <v>9560747141</v>
          </cell>
          <cell r="D29" t="str">
            <v>Aks Clinic, Ground Floor, C-1070, Sushant Lok 1</v>
          </cell>
          <cell r="E29" t="str">
            <v>M G Road</v>
          </cell>
          <cell r="F29" t="str">
            <v>Saturday</v>
          </cell>
          <cell r="G29" t="str">
            <v>10 AM to 3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29" t="str">
            <v>Gerbera</v>
          </cell>
          <cell r="M29" t="str">
            <v>Skip 23rd May Flowers (07/04)</v>
          </cell>
          <cell r="N29" t="str">
            <v>1  del of this cycle   -  1-cycles pmnt   Pending - Collect 1450</v>
          </cell>
          <cell r="O29" t="str">
            <v>O Asiatic ( 14 Inch ) 3     Grass</v>
          </cell>
          <cell r="P29" t="str">
            <v>Pur n P car ( 14 Inch ) 16     FF Sachet + Grass</v>
          </cell>
          <cell r="Q29" t="str">
            <v>Sunflower ( 12 Inch ) 4     FF Sachet + Grass</v>
          </cell>
          <cell r="R29" t="str">
            <v>Rajni ( 14 Inch ) 16     Grass</v>
          </cell>
          <cell r="S29" t="str">
            <v>P n Y Spray Daisy ( 14 Inch ) 5     FF Sachet + Grass</v>
          </cell>
          <cell r="T29" t="str">
            <v>R n W Car ( 14 Inch ) 16     FF Sachet + Grass</v>
          </cell>
        </row>
        <row r="30">
          <cell r="A30">
            <v>3327</v>
          </cell>
          <cell r="B30" t="str">
            <v>Yasha Jain</v>
          </cell>
          <cell r="C30">
            <v>9731958033</v>
          </cell>
          <cell r="D30" t="str">
            <v>Tower -E/1801 , Pioneer Presidia</v>
          </cell>
          <cell r="E30" t="str">
            <v>Ghata</v>
          </cell>
          <cell r="F30" t="str">
            <v>Saturday</v>
          </cell>
          <cell r="G30" t="str">
            <v>9 AM to 2 PM</v>
          </cell>
          <cell r="H30">
            <v>1450</v>
          </cell>
          <cell r="I30">
            <v>362.5</v>
          </cell>
          <cell r="J30" t="str">
            <v>Bliss</v>
          </cell>
          <cell r="N30" t="str">
            <v>3  del of this cycle   -  0-cycles pmnt   Completed - Collect 0</v>
          </cell>
          <cell r="O30" t="str">
            <v>P n Y Spray Daisy ( 14 Inch ) 5     FF Sachet + Grass</v>
          </cell>
          <cell r="P30" t="str">
            <v>Pur n P car ( 14 Inch ) 16     FF Sachet + Grass</v>
          </cell>
          <cell r="Q30" t="str">
            <v>W Asiatic ( 14 Inch ) 3     Grass</v>
          </cell>
          <cell r="R30" t="str">
            <v>Rajni ( 14 Inch ) 16     Grass</v>
          </cell>
          <cell r="S30" t="str">
            <v>Mix Alstroemeria ( 12 Inch ) 16     Grass</v>
          </cell>
          <cell r="T30" t="str">
            <v>Sunflower ( 12 Inch ) 4     FF Sachet + Grass</v>
          </cell>
        </row>
        <row r="31">
          <cell r="A31">
            <v>1965</v>
          </cell>
          <cell r="B31" t="str">
            <v>Karan Kumar</v>
          </cell>
          <cell r="C31">
            <v>7769040473</v>
          </cell>
          <cell r="D31" t="str">
            <v>T-9/008, Heritage City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2750</v>
          </cell>
          <cell r="I31">
            <v>687.5</v>
          </cell>
          <cell r="J31" t="str">
            <v>Elation</v>
          </cell>
          <cell r="K31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 HDTNP (18/07)</v>
          </cell>
          <cell r="N31" t="str">
            <v>4  del of this cycle   -  1-cycles pmnt   Pending - Collect 2750</v>
          </cell>
          <cell r="O31" t="e">
            <v>#N/A</v>
          </cell>
          <cell r="P31" t="str">
            <v>Sunflower ( 14 Inch ) 4 Pur n P Car ( 14 Inch ) 16   2 Limonium + FF sachet</v>
          </cell>
          <cell r="Q31" t="str">
            <v xml:space="preserve">W Asiatic ( 14 Inch ) 3 P n W Glad ( 14 Inch ) 16   2 Gypsola </v>
          </cell>
          <cell r="R31" t="str">
            <v xml:space="preserve">P n Y Spray Daisy ( 14 Inch ) 5 Rajni ( 14 inch ) 16  Ensure Collection 2 Gypsola + FF sachet </v>
          </cell>
          <cell r="S31" t="e">
            <v>#N/A</v>
          </cell>
          <cell r="T31" t="str">
            <v>P Eustoma ( 12 Inch ) 3 P n W Car ( 14 Inch ) 16   FF Sachet + Grass</v>
          </cell>
        </row>
        <row r="32">
          <cell r="A32">
            <v>1932</v>
          </cell>
          <cell r="B32" t="str">
            <v>Nandita Singh</v>
          </cell>
          <cell r="C32">
            <v>9811045835</v>
          </cell>
          <cell r="D32" t="str">
            <v>325-B, Hamilton Court</v>
          </cell>
          <cell r="E32" t="str">
            <v>DLF Phase 4</v>
          </cell>
          <cell r="F32" t="str">
            <v>Saturday</v>
          </cell>
          <cell r="G32" t="str">
            <v>9 AM - 12 PM</v>
          </cell>
          <cell r="H32">
            <v>3750</v>
          </cell>
          <cell r="I32">
            <v>937.5</v>
          </cell>
          <cell r="J32" t="str">
            <v>Savor</v>
          </cell>
          <cell r="K32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32" t="str">
            <v>2  del of this cycle   -  0-cycles pmnt   Completed - Collect 0</v>
          </cell>
          <cell r="O32" t="str">
            <v>P n W Glad ( 14 Inch ) 42     2 Limonium</v>
          </cell>
          <cell r="P32" t="str">
            <v>Pur n P car ( 14 Inch ) 42   Ensure Collection Ensure Collection 2 Gypsola + FF Sachet</v>
          </cell>
          <cell r="Q32" t="str">
            <v>O n W Asiatic ( 14 Inch ) 8     2 Limonium</v>
          </cell>
          <cell r="R32" t="str">
            <v>Rajni ( 14 Inch ) 42    Ensure Collection 2 Gypsola</v>
          </cell>
          <cell r="S32" t="str">
            <v>P n Y Spray Daisy ( 14 Inch ) 14   Collect payment Collect payment 2 Limonium + FF sachet</v>
          </cell>
          <cell r="T32" t="str">
            <v>O Glad ( 14 Inch ) 42     2 Limonium</v>
          </cell>
        </row>
        <row r="33">
          <cell r="A33">
            <v>2941</v>
          </cell>
          <cell r="B33" t="str">
            <v>Bhagyashri Khandelwal</v>
          </cell>
          <cell r="C33">
            <v>8884773030</v>
          </cell>
          <cell r="D33" t="str">
            <v>C-1983, Flat 401, Sushant Lok Phase 1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Will Renew post diwali -- sate of 25th Oct is only for reminder (22/09) Skip 1 week (02/02) After Holi now (22/02) Skip 2 week (22/03) Skip 1 week (10/04) Send this week on Sunday (28/04) Hold today n send tom (16/05) Skip 1 week (02/06) Skip 1 week (12/07)</v>
          </cell>
          <cell r="N33" t="str">
            <v>4  del of this cycle   -  0-cycles pmnt   Completed - Collect 0</v>
          </cell>
          <cell r="O33" t="str">
            <v>B Daisy ( 12 Inch ) 9     Grass</v>
          </cell>
          <cell r="P33" t="str">
            <v>Pur n P car ( 14 Inch ) 16     FF Sachet + Grass</v>
          </cell>
          <cell r="Q33" t="str">
            <v>Sunflower ( 12 Inch ) 4     FF Sachet + Grass</v>
          </cell>
          <cell r="R33" t="str">
            <v>P Asiatic ( 14 Inch ) 3     Grass</v>
          </cell>
          <cell r="S33" t="str">
            <v>Mix Alstroemeria ( 12 Inch ) 16     FF Sachet + Grass</v>
          </cell>
          <cell r="T33" t="str">
            <v>P Spray + Y Button Daisy ( 14 Inch ) 5     FF Sachet + Grass</v>
          </cell>
        </row>
        <row r="34">
          <cell r="A34">
            <v>975</v>
          </cell>
          <cell r="B34" t="str">
            <v>Ritu Sacheti</v>
          </cell>
          <cell r="C34">
            <v>9910007371</v>
          </cell>
          <cell r="D34" t="str">
            <v>B1/1401, World Spa,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3750</v>
          </cell>
          <cell r="I34">
            <v>468.75</v>
          </cell>
          <cell r="J34" t="str">
            <v>Grace</v>
          </cell>
          <cell r="K34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4" t="str">
            <v>GERBERA n SUNFLOWER</v>
          </cell>
          <cell r="N34" t="str">
            <v>6  del of this cycle   -  0-cycles pmnt   Completed - Collect 0</v>
          </cell>
          <cell r="O34" t="str">
            <v>P Asiatic ( 14 Inch ) 2 B Daisy ( 12 Inch ) 10   Grass</v>
          </cell>
          <cell r="P34" t="str">
            <v>Y Spray Daisy ( 14 Inch ) 3 P n W Glad ( 14 Inch ) 10   FF Sachet + Grass</v>
          </cell>
          <cell r="Q34" t="str">
            <v>W Asiatic ( 14 Inch ) 2 Rajni ( 14 Inch ) 10   Grass</v>
          </cell>
          <cell r="R34" t="str">
            <v>P Sprya Daisy ( 14 Inch ) 3 P n W Glad ( 14 Inch ) 10   FF Sachet + Grass</v>
          </cell>
          <cell r="S34" t="str">
            <v>Y Spray Daosy ( 14 Inch ) 3 Rajni ( 14 Inch ) 10   FF sachet + Grass</v>
          </cell>
          <cell r="T34" t="str">
            <v>Y Asiatic ( 14 Inch ) 2 R n W Car ( 14 Inch ) 10   Grass</v>
          </cell>
        </row>
        <row r="35">
          <cell r="A35">
            <v>3403</v>
          </cell>
          <cell r="B35" t="str">
            <v>Tanuka Neogi</v>
          </cell>
          <cell r="C35">
            <v>9599908305</v>
          </cell>
          <cell r="D35" t="str">
            <v>T-A/1201 A, Pioneer Presidia</v>
          </cell>
          <cell r="E35" t="str">
            <v>Ghata</v>
          </cell>
          <cell r="F35" t="str">
            <v>Saturday</v>
          </cell>
          <cell r="G35" t="str">
            <v>9:30 Am to 2 PM</v>
          </cell>
          <cell r="H35">
            <v>1450</v>
          </cell>
          <cell r="I35">
            <v>362.5</v>
          </cell>
          <cell r="J35" t="str">
            <v>Bliss</v>
          </cell>
          <cell r="N35" t="str">
            <v>3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str">
            <v>Pur n P Car ( 14 Inch ) 16     FF sachet + Car</v>
          </cell>
          <cell r="S35" t="str">
            <v>O Asiatic ( 14 Inch ) 3     Grass</v>
          </cell>
          <cell r="T35" t="str">
            <v xml:space="preserve">O Glad ( 14 Inch ) 16     </v>
          </cell>
        </row>
        <row r="36">
          <cell r="A36">
            <v>212</v>
          </cell>
          <cell r="B36" t="str">
            <v>Shalini Sinha</v>
          </cell>
          <cell r="C36">
            <v>9810453173</v>
          </cell>
          <cell r="D36" t="str">
            <v>A4/602, World Spa East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6" t="str">
            <v xml:space="preserve">ORCHID n GLAD </v>
          </cell>
          <cell r="N36" t="str">
            <v>2  del of this cycle   -  0-cycles pmnt   Completed - Collect 0</v>
          </cell>
          <cell r="O36" t="e">
            <v>#N/A</v>
          </cell>
          <cell r="P36" t="str">
            <v>Pur n P car ( 14 Inch ) 16     FF Sachet + Grass</v>
          </cell>
          <cell r="Q36" t="str">
            <v>W Asiatic ( 14 Inch ) 3     Grass</v>
          </cell>
          <cell r="R36" t="str">
            <v>Mix Alstroemeria ( 12 Inch ) 16     FF sachet + Car</v>
          </cell>
          <cell r="S36" t="str">
            <v>P n W Spray Daisy ( 14 Inch ) 5     FF Sachet + Grass</v>
          </cell>
          <cell r="T36" t="str">
            <v>P Eustoma ( 12 Inch ) 3     FF Sachet + Grass</v>
          </cell>
        </row>
        <row r="37">
          <cell r="A37">
            <v>2567</v>
          </cell>
          <cell r="B37" t="str">
            <v>Madhulika</v>
          </cell>
          <cell r="C37">
            <v>9899664229</v>
          </cell>
          <cell r="D37" t="str">
            <v>C-2101, Pioneer Araya, Sec 62</v>
          </cell>
          <cell r="E37" t="str">
            <v>Ghata</v>
          </cell>
          <cell r="F37" t="str">
            <v>Saturday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</v>
          </cell>
          <cell r="L37" t="str">
            <v>Eustoma n Rajni</v>
          </cell>
          <cell r="M37" t="str">
            <v>Collect cash</v>
          </cell>
          <cell r="N37" t="str">
            <v>2  del of this cycle   -  0-cycles pmnt   Completed - Collect 0</v>
          </cell>
          <cell r="O37" t="str">
            <v>P Asiatic ( 14 Inch ) 2     Grass</v>
          </cell>
          <cell r="P37" t="str">
            <v>Pur n P car ( 14 Inch ) 9     FF Sachet + Grass</v>
          </cell>
          <cell r="Q37" t="str">
            <v>P n W Glad ( 14 Inch ) 9     Grass</v>
          </cell>
          <cell r="R37" t="e">
            <v>#N/A</v>
          </cell>
          <cell r="S37" t="str">
            <v>P n Y Spray Daisy ( 14 Inch ) 5     FF Sachet + Grass</v>
          </cell>
          <cell r="T37" t="str">
            <v xml:space="preserve">O Asiatic ( 14 Inch ) 3     </v>
          </cell>
        </row>
        <row r="38">
          <cell r="A38">
            <v>3287</v>
          </cell>
          <cell r="B38" t="str">
            <v>Tenzing Y Bhutia</v>
          </cell>
          <cell r="C38">
            <v>8527399445</v>
          </cell>
          <cell r="D38" t="str">
            <v>A-1701. 17th Floor, Heritage One</v>
          </cell>
          <cell r="E38" t="str">
            <v>Ghata</v>
          </cell>
          <cell r="F38" t="str">
            <v>Saturday</v>
          </cell>
          <cell r="G38" t="str">
            <v>10 AM to 2:30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Send tom del in evening // No Glad // Replacement Tom (04/05)</v>
          </cell>
          <cell r="L38" t="str">
            <v>Glad</v>
          </cell>
          <cell r="N38" t="str">
            <v>4  del of this cycle   -  0-cycles pmnt   Completed - Collect 0</v>
          </cell>
          <cell r="O38" t="str">
            <v>B Daisy ( 12 Inch ) 22     Grass</v>
          </cell>
          <cell r="P38" t="str">
            <v>Pur n P car ( 14 Inch ) 22     FF Sachet + Grass</v>
          </cell>
          <cell r="Q38" t="str">
            <v>B Orchid  7     FF Sachet + Grass</v>
          </cell>
          <cell r="R38" t="str">
            <v>Rajni ( 14 Inch ) 22     Grass</v>
          </cell>
          <cell r="S38" t="str">
            <v>P n Y Spray Daisy ( 14 Inch ) 7     FF Sachet + Grass</v>
          </cell>
          <cell r="T38" t="str">
            <v>O Asiatic ( 14 Inch ) 4     Grass</v>
          </cell>
        </row>
        <row r="39">
          <cell r="A39">
            <v>1882</v>
          </cell>
          <cell r="B39" t="str">
            <v xml:space="preserve">Shilpa Gupta </v>
          </cell>
          <cell r="C39">
            <v>9899285336</v>
          </cell>
          <cell r="D39" t="str">
            <v>H . No. 83, 1st Floor, Sector 30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1950</v>
          </cell>
          <cell r="I39">
            <v>487.5</v>
          </cell>
          <cell r="J39" t="str">
            <v>Joy</v>
          </cell>
          <cell r="K39" t="str">
            <v>Skip 1 week(11/04) Skip this week to Tuesday (08/03) Skip 2 week (19/07) Skip and send on 31st Mar (28/03) Skip n send on Monday (10/07) Skip tom n send on Monday (14/08)</v>
          </cell>
          <cell r="M39" t="str">
            <v xml:space="preserve">Skip 29th </v>
          </cell>
          <cell r="N39" t="str">
            <v>1  del of this cycle   -  0-cycles pmnt   Completed - Collect 0</v>
          </cell>
          <cell r="O39" t="str">
            <v>P n W Glad ( 14 Inch ) 22     Grass</v>
          </cell>
          <cell r="P39" t="str">
            <v>Sunflower ( 14 Inch ) 5     FF Sachet + Grass</v>
          </cell>
          <cell r="Q39" t="str">
            <v>W Asiatic ( 14 Inch ) 4     Grass</v>
          </cell>
          <cell r="R39" t="str">
            <v>R n W Car ( 14 Inch ) 22     FF sachet + Car</v>
          </cell>
          <cell r="S39" t="str">
            <v>P n Y Spray Daisy ( 14 Inch ) 7     FF Sachet + Grass</v>
          </cell>
          <cell r="T39" t="str">
            <v>Pur n P Eustoma ( 12 Inch ) 4     FF Sachet + Grass</v>
          </cell>
        </row>
        <row r="40">
          <cell r="A40">
            <v>84</v>
          </cell>
          <cell r="B40" t="str">
            <v>Atul Gupta</v>
          </cell>
          <cell r="C40">
            <v>9810060986</v>
          </cell>
          <cell r="D40" t="str">
            <v>Audio Visual Aids, LG-53 DLF Mega Mall</v>
          </cell>
          <cell r="E40" t="str">
            <v>DLF Phase 4</v>
          </cell>
          <cell r="F40" t="str">
            <v>Saturday</v>
          </cell>
          <cell r="G40" t="str">
            <v>10 AM to 2:30 PM</v>
          </cell>
          <cell r="H40">
            <v>2750</v>
          </cell>
          <cell r="I40">
            <v>687.5</v>
          </cell>
          <cell r="J40" t="str">
            <v>Elation</v>
          </cell>
          <cell r="K40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40" t="str">
            <v>BOP n Glad</v>
          </cell>
          <cell r="N40" t="str">
            <v>1  del of this cycle   -  1-cycles pmnt   Pending - Collect 2750</v>
          </cell>
          <cell r="O40" t="str">
            <v>P Asiatic ( 14 Inch ) 6     2 Gypsola</v>
          </cell>
          <cell r="P40" t="str">
            <v>P n W Oriental ( 15 Inch ) 3     2 Limonium</v>
          </cell>
          <cell r="Q40" t="str">
            <v xml:space="preserve">P n Y Spray daisy ( 14 inch ) 10     2 Gypsola + FF Sachet </v>
          </cell>
          <cell r="R40" t="str">
            <v xml:space="preserve">P n W Car ( Long Stem ) 32     2 Gypsola + FF sachet </v>
          </cell>
          <cell r="S40" t="str">
            <v>W Asiatic ( 14 Inch ) 6     Grass</v>
          </cell>
          <cell r="T40" t="str">
            <v>W Oriental  3     2 Limonium</v>
          </cell>
        </row>
        <row r="41">
          <cell r="A41">
            <v>3302</v>
          </cell>
          <cell r="B41" t="str">
            <v>Anuvrata</v>
          </cell>
          <cell r="C41">
            <v>8800292901</v>
          </cell>
          <cell r="D41" t="str">
            <v>H. No. 82, 1st Floor, Sec 41, South City 1</v>
          </cell>
          <cell r="E41" t="str">
            <v>South City 1</v>
          </cell>
          <cell r="F41" t="str">
            <v>Saturday</v>
          </cell>
          <cell r="G41" t="str">
            <v>10 AM to 2:30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One Bouquet of 600 Missed, Pls add in her account (09/07)</v>
          </cell>
          <cell r="N41" t="str">
            <v>2  del of this cycle   -  0-cycles pmnt   Completed - Collect 0</v>
          </cell>
          <cell r="O41" t="str">
            <v>P n W Glad ( 14 Inch ) 16     Grass</v>
          </cell>
          <cell r="P41" t="str">
            <v>Pur n P car ( 14 Inch ) 16     FF Sachet + Grass</v>
          </cell>
          <cell r="Q41" t="str">
            <v>P n W Glad ( 14 Inch ) 16     Grass</v>
          </cell>
          <cell r="R41" t="str">
            <v>P Asiatic ( 14 Inch ) 3     Grass</v>
          </cell>
          <cell r="S41" t="str">
            <v>Mix Alstroemeria ( 12 Inch ) 16     FF Sachet + Grass</v>
          </cell>
          <cell r="T41" t="str">
            <v>P n W Spray Daisy ( 14 Inch ) 5     FF Sachet + Grass</v>
          </cell>
        </row>
        <row r="42">
          <cell r="A42">
            <v>993</v>
          </cell>
          <cell r="B42" t="str">
            <v>Swati Khandelwal-- Evening Only</v>
          </cell>
          <cell r="C42">
            <v>8527962021</v>
          </cell>
          <cell r="D42" t="str">
            <v>414-A, Hamilton Court</v>
          </cell>
          <cell r="E42" t="str">
            <v>DLF Phase 4</v>
          </cell>
          <cell r="F42" t="str">
            <v>Tuesday</v>
          </cell>
          <cell r="G42" t="str">
            <v>9 AM to 2 PM</v>
          </cell>
          <cell r="H42">
            <v>2300</v>
          </cell>
          <cell r="I42">
            <v>287.5</v>
          </cell>
          <cell r="J42" t="str">
            <v>Felicity</v>
          </cell>
          <cell r="K42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2" t="str">
            <v>ROSE n RAJNI</v>
          </cell>
          <cell r="N42" t="str">
            <v>7  del of this cycle   -  0-cycles pmnt   Completed - Collect 0</v>
          </cell>
          <cell r="O42" t="str">
            <v>B Daisy ( 12 Inch ) 11     Grass</v>
          </cell>
          <cell r="P42" t="str">
            <v>Pur n P car ( 14 Inch ) 11     FF Sachet + Grass</v>
          </cell>
          <cell r="Q42" t="str">
            <v>O Asiatic ( 14 Inch ) 2     Grass</v>
          </cell>
          <cell r="R42" t="str">
            <v>P n W Glad ( 14 Inch ) 11     Grass</v>
          </cell>
          <cell r="S42" t="str">
            <v>G n W Car ( 14 Inch ) 11     FF sachet + Grass</v>
          </cell>
          <cell r="T42" t="str">
            <v>Sunflower ( 12 Inch ) 3     FF Sachet + Grass</v>
          </cell>
        </row>
        <row r="43">
          <cell r="A43">
            <v>2325</v>
          </cell>
          <cell r="B43" t="str">
            <v>Aman</v>
          </cell>
          <cell r="C43">
            <v>9818655913</v>
          </cell>
          <cell r="D43" t="str">
            <v>S-1/12, 1st Floor, DLF Phase 3</v>
          </cell>
          <cell r="E43" t="str">
            <v>DLF Phase 3</v>
          </cell>
          <cell r="F43" t="str">
            <v>Saturday</v>
          </cell>
          <cell r="G43" t="str">
            <v>4 Pm to 7 PM</v>
          </cell>
          <cell r="H43">
            <v>3000</v>
          </cell>
          <cell r="I43">
            <v>375</v>
          </cell>
          <cell r="J43" t="str">
            <v>Charm</v>
          </cell>
          <cell r="K43" t="str">
            <v>Sat n Tuesday//NO Car n Lilies(07/09) Skip coming del n send on 4th Jan (25/12) Skip tom (10/01) Hold n start from 5th Mar-25(09/02) Hold due to non payment (14/10) Hold due to non payment (17/01)</v>
          </cell>
          <cell r="L43" t="str">
            <v>Car n Lilies</v>
          </cell>
          <cell r="N43" t="str">
            <v>2  del of this cycle   -  1-cycles pmnt   Pending - Collect 3000</v>
          </cell>
          <cell r="O43" t="str">
            <v>B Daisy ( 12 Inch ) 15     Grass</v>
          </cell>
          <cell r="P43" t="str">
            <v>Pur n P car ( 14 Inch ) 15     FF Sachet + Grass</v>
          </cell>
          <cell r="Q43" t="e">
            <v>#N/A</v>
          </cell>
          <cell r="R43" t="e">
            <v>#N/A</v>
          </cell>
          <cell r="S43" t="e">
            <v>#N/A</v>
          </cell>
          <cell r="T43" t="str">
            <v>O Asiatic ( 14 Inch ) 3   Ensure Collection Emnsure Collection Grass</v>
          </cell>
        </row>
        <row r="44">
          <cell r="A44">
            <v>2955</v>
          </cell>
          <cell r="B44" t="str">
            <v>Sangeeta-South City 1</v>
          </cell>
          <cell r="C44">
            <v>8569991672</v>
          </cell>
          <cell r="D44" t="str">
            <v>A-299, 1st Floor, South City 1</v>
          </cell>
          <cell r="E44" t="str">
            <v>South City 1</v>
          </cell>
          <cell r="F44" t="str">
            <v>Saturday</v>
          </cell>
          <cell r="G44" t="str">
            <v>9 AM to 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Upgrade to Blis // Today Returned (06/12) Skip tom as payment not received (11/12) Paytm From Sangeeta yadav (03/02) Returned today (21/02) HDTNP (13/03) HDTNP (20/06) HDTNP (18/07)</v>
          </cell>
          <cell r="N44" t="str">
            <v>2  del of this cycle   -  0-cycles pmnt   Completed - Collect 0</v>
          </cell>
          <cell r="O44" t="e">
            <v>#N/A</v>
          </cell>
          <cell r="P44" t="str">
            <v>Pur Eustoma ( 12 Inch ) 2 P n W Glad ( 14 Inch ) 7   FF Sachet + Grass</v>
          </cell>
          <cell r="Q44" t="str">
            <v>Sunflower ( 12 Inch ) 2 Pur n P Car ( 14 Inch ) 7   FF Sachet + Grass</v>
          </cell>
          <cell r="R44" t="str">
            <v>P Asiatic ( 14 Inch ) 2 Rajni ( 14 inch ) 7   Grass</v>
          </cell>
          <cell r="S44" t="e">
            <v>#N/A</v>
          </cell>
          <cell r="T44" t="str">
            <v>Y Button  Daisy ( 14 Inch ) 3 O Glad ( 14 Inch ) 7   FF Sachet + Grass</v>
          </cell>
        </row>
        <row r="45">
          <cell r="A45">
            <v>790</v>
          </cell>
          <cell r="B45" t="str">
            <v>Sanwali</v>
          </cell>
          <cell r="C45">
            <v>8800604888</v>
          </cell>
          <cell r="D45" t="str">
            <v>B-1901, Heritage One,Sec-62</v>
          </cell>
          <cell r="E45" t="str">
            <v>Ghata</v>
          </cell>
          <cell r="F45" t="str">
            <v>Saturday</v>
          </cell>
          <cell r="G45" t="str">
            <v>4 Pm to 7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 Skip 2 weeks (11/07)</v>
          </cell>
          <cell r="M45" t="str">
            <v>Mixed Flowers //  1 Seasonal Extra next (21/04)</v>
          </cell>
          <cell r="N45" t="str">
            <v>3  del of this cycle   -  0-cycles pmnt   Completed - Collect 0</v>
          </cell>
          <cell r="O45" t="str">
            <v>Pur Eustoma ( 12 Inch ) 2 P n W Glad ( 14 Inch ) 7   Grass</v>
          </cell>
          <cell r="P45" t="str">
            <v>O Asiatic ( 14 Inch ) 2 Rajni ( 14 Inch ) 7   Grass</v>
          </cell>
          <cell r="Q45" t="str">
            <v>Sunflower ( 12 Inch ) 2 Pur n P Car ( 14 Inch ) 7   FF Sachet + Grass</v>
          </cell>
          <cell r="R45" t="str">
            <v>P Spray Daisy ( 14 Inch ) 3 Mix Alstroemeria ( 12  Inch ) 7   FF sachet + Car</v>
          </cell>
          <cell r="S45" t="e">
            <v>#N/A</v>
          </cell>
          <cell r="T45" t="str">
            <v xml:space="preserve">W Asiatic ( 14 Inch ) 2 O Glad ( 14 Inch ) 7   </v>
          </cell>
        </row>
        <row r="46">
          <cell r="A46">
            <v>3283</v>
          </cell>
          <cell r="B46" t="str">
            <v>Samia Sharma</v>
          </cell>
          <cell r="C46">
            <v>9910022591</v>
          </cell>
          <cell r="D46" t="str">
            <v>C-65, 1st Floor, South City 1</v>
          </cell>
          <cell r="E46" t="str">
            <v>South City 1</v>
          </cell>
          <cell r="F46" t="str">
            <v>Saturday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Mix Color and one kind (07/03)</v>
          </cell>
          <cell r="M46" t="str">
            <v>Mix Color and one kind (07/03)</v>
          </cell>
          <cell r="N46" t="str">
            <v>2  del of this cycle   -  0-cycles pmnt   Completed - Collect 0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str">
            <v>G n W Car ( 14 Inch ) 22     FF Sachet + Grass</v>
          </cell>
          <cell r="T46" t="str">
            <v>O n W Asiatic ( 14 Inch ) 4     Grass</v>
          </cell>
        </row>
        <row r="47">
          <cell r="A47">
            <v>2743</v>
          </cell>
          <cell r="B47" t="str">
            <v>Juhee Gandhi</v>
          </cell>
          <cell r="C47">
            <v>9999767374</v>
          </cell>
          <cell r="D47" t="str">
            <v>T-2/15 D, 4th Floor, DLF Phase 3</v>
          </cell>
          <cell r="E47" t="str">
            <v>DLF Phase 3</v>
          </cell>
          <cell r="F47" t="str">
            <v>Saturday</v>
          </cell>
          <cell r="G47" t="str">
            <v>4 Pm to 7 PM</v>
          </cell>
          <cell r="H47">
            <v>2750</v>
          </cell>
          <cell r="I47">
            <v>687.5</v>
          </cell>
          <cell r="J47" t="str">
            <v>Elation</v>
          </cell>
          <cell r="K47" t="str">
            <v>Ref  By Disha Roy (12/06) Send 1 del tom (25/08) Send one Del Tom (08/09) Next delivery on Tuesday (14/09)</v>
          </cell>
          <cell r="N47" t="str">
            <v>4  del of this cycle   -  0-cycles pmnt   Completed - Collect 0</v>
          </cell>
          <cell r="O47" t="str">
            <v>BOP 3 B Daisy ( 12 Inch ) 16   2 Gypsola + FF sachet</v>
          </cell>
          <cell r="P47" t="str">
            <v>P Asiatic ( 14 Inch ) 3 Pur n P Car ( 14 Inch ) 16   2 Limonium</v>
          </cell>
          <cell r="Q47" t="str">
            <v xml:space="preserve">P n Y Spray daisy ( 14 inch ) 5 Rajni ( 14 Inch ) 16   2 Gypsola + FF Sachet </v>
          </cell>
          <cell r="R47" t="str">
            <v xml:space="preserve">Sunflower ( 12 Inch ) 4 Mix Alstroemeria ( 12  Inch ) 16  Ensure Collection 2 Gypsola + FF sachet </v>
          </cell>
          <cell r="S47" t="str">
            <v>W Asiatic ( 14 Inch ) 2 Mix Glad ( 14 Inch ) 16 Collect payment Collect payment Grass</v>
          </cell>
          <cell r="T47" t="str">
            <v>P Eustoma ( 12 Inch ) 3 P n W Car ( 14 Inch ) 16   FF Sachet + Grass</v>
          </cell>
        </row>
        <row r="48">
          <cell r="A48">
            <v>3345</v>
          </cell>
          <cell r="B48" t="str">
            <v>Pragya Ojha</v>
          </cell>
          <cell r="C48">
            <v>8879005210</v>
          </cell>
          <cell r="D48" t="str">
            <v>C-1403, Heritage One, Sec 62</v>
          </cell>
          <cell r="E48" t="str">
            <v>Ghata</v>
          </cell>
          <cell r="F48" t="str">
            <v>Saturday</v>
          </cell>
          <cell r="G48" t="str">
            <v>9 AM - 12 PM</v>
          </cell>
          <cell r="H48">
            <v>2750</v>
          </cell>
          <cell r="I48">
            <v>687.5</v>
          </cell>
          <cell r="J48" t="str">
            <v>Elation</v>
          </cell>
          <cell r="K48" t="str">
            <v>Skip 1 week (25/05) // Day Chnged to Saturday (10/06)</v>
          </cell>
          <cell r="N48" t="str">
            <v>4  del of this cycle   -  0-cycles pmnt   Completed - Collect 0</v>
          </cell>
          <cell r="O48" t="str">
            <v>P n Pur Eustoma ( 12 Inch ) 6     2 Gypsola + FF sachet</v>
          </cell>
          <cell r="P48" t="str">
            <v>Sunflower ( 14 Inch ) 7     2 Limonium + FF sachet</v>
          </cell>
          <cell r="Q48" t="str">
            <v xml:space="preserve">Mix Alstroemeria ( 12 Inch ) 32     2 Gypsola + FF Sachet </v>
          </cell>
          <cell r="R48" t="str">
            <v>Rajni ( 14 Inch ) 32    Ensure Collection 2 Gypsola</v>
          </cell>
          <cell r="S48" t="str">
            <v>O Asiatic ( 14 Inch ) 6     Grass</v>
          </cell>
          <cell r="T48" t="str">
            <v>R n W Car ( 14 Inch ) 32     FF Sachet + Grass</v>
          </cell>
        </row>
        <row r="49">
          <cell r="A49">
            <v>1281</v>
          </cell>
          <cell r="B49" t="str">
            <v>Shawlinee</v>
          </cell>
          <cell r="C49">
            <v>9818993372</v>
          </cell>
          <cell r="D49" t="str">
            <v>17/501, Heritage City</v>
          </cell>
          <cell r="E49" t="str">
            <v>M G Road</v>
          </cell>
          <cell r="F49" t="str">
            <v>Saturday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Rajni Next (07/11) Replacement tom (12/07) 5 Pur Orchid (30/09) Skip 1 week (20/11) 1000 received as cash on 05th Aug (09/08) Change to bliss now (03/10) Shift to Delight now (15/10) Mixed Flowers Only (22/07)</v>
          </cell>
          <cell r="M49" t="str">
            <v>Mixed Flowers only (22/07)</v>
          </cell>
          <cell r="N49" t="str">
            <v>1  del of this cycle   -  1-cycles pmnt   Pending - Collect 1450</v>
          </cell>
          <cell r="O49" t="e">
            <v>#N/A</v>
          </cell>
          <cell r="P49" t="str">
            <v>Pur n P car ( 14 Inch ) 16     FF Sachet + Grass</v>
          </cell>
          <cell r="Q49" t="str">
            <v>O Asiatic ( 14 Inch ) 3     Grass</v>
          </cell>
          <cell r="R49" t="str">
            <v>Rajni ( 14 Inch ) 16     Grass</v>
          </cell>
          <cell r="S49" t="str">
            <v>P n Y Spray Daisy ( 14 Inch ) 5     FF Sachet + Grass</v>
          </cell>
          <cell r="T49" t="str">
            <v xml:space="preserve">W Asiatic ( 14 Inch ) 2 Pur n W Car ( 14 Inch ) 7   </v>
          </cell>
        </row>
        <row r="50">
          <cell r="A50">
            <v>2618</v>
          </cell>
          <cell r="B50" t="str">
            <v>Tanvi Gauri</v>
          </cell>
          <cell r="C50">
            <v>9717699622</v>
          </cell>
          <cell r="D50" t="str">
            <v>A-27/38, DLF Phase 1, Behind DT Mega Mall</v>
          </cell>
          <cell r="E50" t="str">
            <v>DLF Phase 1</v>
          </cell>
          <cell r="F50" t="str">
            <v>Saturday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Paytm From Tavi Gauri //  HDTNP (21/02) HDTNP (28/02) HDTNP (07/03) For Collection today (28/03) Collection today )4/04) HDTNP (02/05) HDTNP (09/5) HDTNP (16.05) White Flowers This week (30/06)</v>
          </cell>
          <cell r="M50" t="str">
            <v>Only Advance Payment (02/06) White Flowers This week (30/06)</v>
          </cell>
          <cell r="N50" t="str">
            <v>4  del of this cycle   -  0-cycles pmnt   Completed - Collect 0</v>
          </cell>
          <cell r="O50" t="str">
            <v>P n W Glad ( 14 Inch ) 16     Grass</v>
          </cell>
          <cell r="P50" t="str">
            <v>Sunflower ( 14 Inch ) 4     FF Sachet + Grass</v>
          </cell>
          <cell r="Q50" t="str">
            <v>Pur n P Car ( 14 Inch ) 16 Upgraded to Next Pack Pls Inform to Customer Sanjeet  Pls Ensure to Inform  FF Sachet + Grass</v>
          </cell>
          <cell r="R50" t="str">
            <v>Rajni ( 14 Inch ) 16     Grass</v>
          </cell>
          <cell r="S50" t="str">
            <v>O Asiatic ( 14 Inch ) 3     Grass</v>
          </cell>
          <cell r="T50" t="str">
            <v>P Spray + Y Button Daisy ( 14 Inch ) 5     FF Sachet + Grass</v>
          </cell>
        </row>
        <row r="51">
          <cell r="A51">
            <v>2849</v>
          </cell>
          <cell r="B51" t="str">
            <v>Namita Chaudhary -- 11:30 to 1:30 Pm</v>
          </cell>
          <cell r="C51">
            <v>9810002910</v>
          </cell>
          <cell r="D51" t="str">
            <v>18 Bodhi Marg, Ground Floor, Near Shopping Mall, Arjun Marg, DLF Phase 1</v>
          </cell>
          <cell r="E51" t="str">
            <v>DLF Phase 1</v>
          </cell>
          <cell r="F51" t="str">
            <v>Saturday</v>
          </cell>
          <cell r="G51" t="str">
            <v>11:30 to 1:30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Skip 1 week (13/08) Start from or after 13th Oct (30/09) Skip 2 week (09/12) Todays Delivery returned due to address change (07/03) Hold till 03rd Apr (27/03) No Yel n White (06/04) Hold today (11/07)</v>
          </cell>
          <cell r="L51" t="str">
            <v xml:space="preserve"> No Yel n White (06/04)</v>
          </cell>
          <cell r="N51" t="str">
            <v>4  del of this cycle   -  0-cycles pmnt   In Process - Collect 0</v>
          </cell>
          <cell r="O51" t="str">
            <v>B Daisy ( 12 Inch ) 16     Grass</v>
          </cell>
          <cell r="P51" t="str">
            <v>Pur n P car ( 14 Inch ) 16     FF Sachet + Grass</v>
          </cell>
          <cell r="Q51" t="str">
            <v>O Asiatic ( 14 Inch ) 3     Grass</v>
          </cell>
          <cell r="R51" t="str">
            <v>Mix Alstroemeria ( 12 Inch ) 16     FF sachet + Car</v>
          </cell>
          <cell r="S51" t="str">
            <v>Mix Glad ( 14 Inch ) 16     Grass</v>
          </cell>
          <cell r="T51" t="str">
            <v>P Eustoma ( 12 Inch ) 3     FF Sachet + Grass</v>
          </cell>
        </row>
        <row r="52">
          <cell r="A52">
            <v>318</v>
          </cell>
          <cell r="B52" t="str">
            <v>Kalyani Rajan</v>
          </cell>
          <cell r="C52">
            <v>9811021884</v>
          </cell>
          <cell r="D52" t="str">
            <v>9/106, Heritage City, M G Road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52" t="str">
            <v>GERBERA</v>
          </cell>
          <cell r="M52" t="str">
            <v>Vase Tom (22/05)</v>
          </cell>
          <cell r="N52" t="str">
            <v>2  del of this cycle   -  0-cycles pmnt   Completed - Collect 0</v>
          </cell>
          <cell r="O52" t="str">
            <v>P n W Glad ( 14 Inch ) 9     Grass</v>
          </cell>
          <cell r="P52" t="str">
            <v>Rajni ( 12 Inch ) 9     Grass</v>
          </cell>
          <cell r="Q52" t="str">
            <v>P Asiatic ( 14 Inch ) 2     Grass</v>
          </cell>
          <cell r="R52" t="str">
            <v xml:space="preserve">R n W Car ( 14 Inch ) 9     </v>
          </cell>
          <cell r="S52" t="str">
            <v>P n W Spray Daisy ( 14 Inch ) 5     FF Sachet + Grass</v>
          </cell>
          <cell r="T52" t="str">
            <v xml:space="preserve">O Glad ( 14 Inch ) 16     </v>
          </cell>
        </row>
        <row r="53">
          <cell r="A53">
            <v>189</v>
          </cell>
          <cell r="B53" t="str">
            <v xml:space="preserve">Monisha Sharma-- Before 10AM
</v>
          </cell>
          <cell r="C53">
            <v>9811152770</v>
          </cell>
          <cell r="D53" t="str">
            <v xml:space="preserve">
609A Hamilton Court    DLF Phase 4 Gurgaon  122002 
</v>
          </cell>
          <cell r="E53" t="str">
            <v>DLF Phase 4</v>
          </cell>
          <cell r="F53" t="str">
            <v>Saturday</v>
          </cell>
          <cell r="G53" t="str">
            <v>9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53" t="str">
            <v>1  del of this cycle   -  0-cycles pmnt   Completed - Collect 0</v>
          </cell>
          <cell r="O53" t="str">
            <v>P n W Glad ( 14 Inch ) 16     Grass</v>
          </cell>
          <cell r="P53" t="str">
            <v>P Asiatic 3     Grass</v>
          </cell>
          <cell r="Q53" t="str">
            <v>R n W Car ( 14 Inch ) 16     FF Sachet + Grass</v>
          </cell>
          <cell r="R53" t="str">
            <v>Sunflower ( 12 Inch ) 4     FF sachet + Car</v>
          </cell>
          <cell r="S53" t="str">
            <v>Mix Alstroemeria ( 12 Inch ) 16     FF Sachet + Grass</v>
          </cell>
          <cell r="T53" t="str">
            <v>Pur Eustoma ( 12 Inch ) 3     FF Sachet + Grass</v>
          </cell>
        </row>
        <row r="54">
          <cell r="A54">
            <v>3375</v>
          </cell>
          <cell r="B54" t="str">
            <v>Saniya Anand</v>
          </cell>
          <cell r="C54">
            <v>9810955188</v>
          </cell>
          <cell r="D54" t="str">
            <v>D-1102, Caritriona Ambience Island</v>
          </cell>
          <cell r="E54" t="str">
            <v>M G Road</v>
          </cell>
          <cell r="F54" t="str">
            <v>Saturday</v>
          </cell>
          <cell r="G54" t="str">
            <v>4 Pm to 7 PM</v>
          </cell>
          <cell r="H54">
            <v>1950</v>
          </cell>
          <cell r="I54">
            <v>487.5</v>
          </cell>
          <cell r="J54" t="str">
            <v>Joy</v>
          </cell>
          <cell r="K54" t="str">
            <v>Paytm from Anmol Anand (03/07)</v>
          </cell>
          <cell r="N54" t="str">
            <v>4  del of this cycle   -  0-cycles pmnt   Completed - Collect 0</v>
          </cell>
          <cell r="O54" t="e">
            <v>#N/A</v>
          </cell>
          <cell r="P54" t="e">
            <v>#N/A</v>
          </cell>
          <cell r="Q54" t="str">
            <v>B Orchid  7     FF Sachet + Grass</v>
          </cell>
          <cell r="R54" t="str">
            <v>Rajni ( 14 Inch ) 22     Grass</v>
          </cell>
          <cell r="S54" t="str">
            <v>O Asiatic ( 14 Inch ) 4     Grass</v>
          </cell>
          <cell r="T54" t="str">
            <v>P n W Car ( 14 Inch ) 22     FF Sachet + Grass</v>
          </cell>
        </row>
        <row r="55">
          <cell r="A55">
            <v>2980</v>
          </cell>
          <cell r="B55" t="str">
            <v>Shilpa Kohli</v>
          </cell>
          <cell r="C55">
            <v>9717255116</v>
          </cell>
          <cell r="D55" t="str">
            <v>B2/102, Sahara Grace</v>
          </cell>
          <cell r="E55" t="str">
            <v>M G Road</v>
          </cell>
          <cell r="F55" t="str">
            <v>Saturday</v>
          </cell>
          <cell r="G55" t="str">
            <v>9 AM - 12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Only Seasonlas</v>
          </cell>
          <cell r="N55" t="str">
            <v>3  del of this cycle   -  0-cycles pmnt   Completed - Collect 0</v>
          </cell>
          <cell r="O55" t="str">
            <v>B Daisy ( 12 Inch ) 9     Grass</v>
          </cell>
          <cell r="P55" t="str">
            <v>Pur n P car ( 14 Inch ) 9     FF Sachet + Grass</v>
          </cell>
          <cell r="Q55" t="str">
            <v>P Asiatic ( 14 Inch ) 2     Grass</v>
          </cell>
          <cell r="R55" t="str">
            <v>Rajni ( 14 Inch ) 16     Grass</v>
          </cell>
          <cell r="S55" t="str">
            <v>Mix Glad ( 14 Inch ) 16     Grass</v>
          </cell>
          <cell r="T55" t="str">
            <v>P n Y Spray Daisy ( 14 Inch ) 5     FF Sachet + Grass</v>
          </cell>
        </row>
        <row r="56">
          <cell r="A56">
            <v>3356</v>
          </cell>
          <cell r="B56" t="str">
            <v>Neha Gupta</v>
          </cell>
          <cell r="C56">
            <v>9999598424</v>
          </cell>
          <cell r="D56" t="str">
            <v>C-106, DLF Oakwood Estate, DLF Phase 2</v>
          </cell>
          <cell r="E56" t="str">
            <v>M G Road</v>
          </cell>
          <cell r="F56" t="str">
            <v>Saturday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N56" t="str">
            <v>4  del of this cycle   -  0-cycles pmnt   Completed - Collect 0</v>
          </cell>
          <cell r="O56" t="str">
            <v>P n W Glad ( 14 Inch ) 16     Grass</v>
          </cell>
          <cell r="P56" t="str">
            <v>Sunflower ( 14 Inch ) 4     FF Sachet + Grass</v>
          </cell>
          <cell r="Q56" t="str">
            <v>P Asiatic ( 14 Inch ) 3     FF Sachet + Grass</v>
          </cell>
          <cell r="R56" t="str">
            <v>R n W Car ( 14 Inch ) 16     FF sachet + Car</v>
          </cell>
          <cell r="S56" t="str">
            <v>P n Y Spray Daisy ( 14 Inch ) 5     FF Sachet + Grass</v>
          </cell>
          <cell r="T56" t="str">
            <v>Mix Alstroemeria ( 12 Inch ) 16     FF Sachet + Grass</v>
          </cell>
        </row>
        <row r="57">
          <cell r="A57">
            <v>2373</v>
          </cell>
          <cell r="B57" t="str">
            <v>Richa Sood</v>
          </cell>
          <cell r="C57">
            <v>9599318190</v>
          </cell>
          <cell r="D57" t="str">
            <v>B-2104, Elevate Appartments, Sec 59</v>
          </cell>
          <cell r="E57" t="str">
            <v>Ghata</v>
          </cell>
          <cell r="F57" t="str">
            <v>Saturday</v>
          </cell>
          <cell r="G57" t="str">
            <v>4 Pm to 7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Hold for 2 weeks (22/12) Skip 1 wek (17/03) No Sunflower (26/03) Skip 2 week (13/07) Skip 1 week (20/08) Hold today (27/12) Skip 1 week (19/01) Skip 1 week (26/02) Skip 1 week (31/03) Skip 1 week (21/06) Pink Car next and before 12 PM (20/07)</v>
          </cell>
          <cell r="L57" t="str">
            <v>Sunflower</v>
          </cell>
          <cell r="M57" t="str">
            <v>Pink Car next and before 12 PM (20/07)</v>
          </cell>
          <cell r="N57" t="str">
            <v>3  del of this cycle   -  0-cycles pmnt   Completed - Collect 0</v>
          </cell>
          <cell r="O57" t="str">
            <v>B Daisy ( 12 Inch ) 9     Grass</v>
          </cell>
          <cell r="P57" t="e">
            <v>#N/A</v>
          </cell>
          <cell r="Q57" t="str">
            <v>O Asiatic ( 14 Inch ) 2     Grass</v>
          </cell>
          <cell r="R57" t="str">
            <v>R n W Car ( 14 Inch ) 16     FF sachet + Car</v>
          </cell>
          <cell r="S57" t="str">
            <v>P n W Spray Daisy ( 14 Inch ) 5     FF Sachet + Grass</v>
          </cell>
          <cell r="T57" t="str">
            <v xml:space="preserve">P Car 16     </v>
          </cell>
        </row>
        <row r="58">
          <cell r="A58">
            <v>3387</v>
          </cell>
          <cell r="B58" t="str">
            <v>Farah Singh</v>
          </cell>
          <cell r="C58">
            <v>9810713138</v>
          </cell>
          <cell r="D58" t="str">
            <v>H. No. 4528, Hibiscus Lane, DLF City Phase 4</v>
          </cell>
          <cell r="E58" t="str">
            <v>DLF Phase 4</v>
          </cell>
          <cell r="F58" t="str">
            <v>Saturday</v>
          </cell>
          <cell r="G58" t="str">
            <v>9 AM to 2 PM</v>
          </cell>
          <cell r="H58">
            <v>1950</v>
          </cell>
          <cell r="I58">
            <v>487.5</v>
          </cell>
          <cell r="J58" t="str">
            <v>Joy</v>
          </cell>
          <cell r="N58" t="str">
            <v>4  del of this cycle   -  0-cycles pmnt   Completed - Collect 0</v>
          </cell>
          <cell r="O58" t="e">
            <v>#N/A</v>
          </cell>
          <cell r="P58" t="str">
            <v>P n Pur Eustoma ( 12 Inch ) 4     FF Sachet + Grass</v>
          </cell>
          <cell r="Q58" t="str">
            <v>P n W Glad ( 14 Inch ) 22     Grass</v>
          </cell>
          <cell r="R58" t="str">
            <v>R n W Car ( 14 Inch ) 22    Ensure Collection FF sachet + Car</v>
          </cell>
          <cell r="S58" t="str">
            <v>W Asiatic ( 14 Inch ) 4     Grass</v>
          </cell>
          <cell r="T58" t="str">
            <v>Pur n P Eustoma ( 12 Inch ) 4     FF Sachet + Grass</v>
          </cell>
        </row>
        <row r="59">
          <cell r="A59">
            <v>3074</v>
          </cell>
          <cell r="B59" t="str">
            <v>Tanvir Mallik</v>
          </cell>
          <cell r="C59">
            <v>9958309739</v>
          </cell>
          <cell r="D59" t="str">
            <v>D-39, South City 1</v>
          </cell>
          <cell r="E59" t="str">
            <v>South City 1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Skip 2 weeks (01/06) Skip 2 week (03/07)</v>
          </cell>
          <cell r="N59" t="str">
            <v>2  del of this cycle   -  1-cycles pmnt   Pending - Collect 1450</v>
          </cell>
          <cell r="O59" t="str">
            <v>Pur Eustoma ( 12 Inch ) 2 R n G Car ( 14 Inch ) 7   Grass</v>
          </cell>
          <cell r="P59" t="str">
            <v>Sunflower ( 14 Inch ) 2 P n W Glad ( 14 Inch ) 7   FF Sachet + Grass</v>
          </cell>
          <cell r="Q59" t="e">
            <v>#N/A</v>
          </cell>
          <cell r="R59" t="e">
            <v>#N/A</v>
          </cell>
          <cell r="S59" t="str">
            <v>O Asiatic ( 14 Inch ) 2 G n W Car ( 14 Inch ) 7   Grass</v>
          </cell>
          <cell r="T59" t="str">
            <v>Sunflower ( 12 Inch ) 2 O Glad ( 14 Inch ) 7 Ensure Collection Emnsure Collection FF Sachet + Grass</v>
          </cell>
        </row>
        <row r="60">
          <cell r="A60">
            <v>1542</v>
          </cell>
          <cell r="B60" t="str">
            <v>Anisha Sethi</v>
          </cell>
          <cell r="C60">
            <v>9811004396</v>
          </cell>
          <cell r="D60" t="str">
            <v>Q-1/25, DLF Phase 2</v>
          </cell>
          <cell r="E60" t="str">
            <v>M G Road</v>
          </cell>
          <cell r="F60" t="str">
            <v>Saturday</v>
          </cell>
          <cell r="G60" t="str">
            <v>9 AM to 2 PM</v>
          </cell>
          <cell r="H60">
            <v>3000</v>
          </cell>
          <cell r="I60">
            <v>375</v>
          </cell>
          <cell r="J60" t="str">
            <v>Charm</v>
          </cell>
          <cell r="K6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60" t="str">
            <v>HELICONIA n BOP</v>
          </cell>
          <cell r="M60" t="str">
            <v>No Sunflowers for some time (15/04) Change of Rs. 50 Next (28/04)</v>
          </cell>
          <cell r="N60" t="str">
            <v>4  del of this cycle   -  0-cycles pmnt   Completed - Collect 0</v>
          </cell>
          <cell r="O60" t="str">
            <v>Sunflower ( 12 Inch ) 2 B Daisy ( 12 Inch ) 7 Collect Cash Collect Cash Grass</v>
          </cell>
          <cell r="P60" t="str">
            <v>P Asiatic ( 14 Inch ) 2 P n W Glad ( 14 Inch ) 7   Grass</v>
          </cell>
          <cell r="Q60" t="str">
            <v>O Asiatic ( 14 Inch ) 2 Rajni ( 14 Inch ) 7   Grass</v>
          </cell>
          <cell r="R60" t="str">
            <v>O Asiatic ( 14 Inch ) 2 Rajni ( 14 inch ) 7   Grass</v>
          </cell>
          <cell r="S60" t="str">
            <v>W Asiatic ( 14 Inch ) 2 Mix Glad ( 14 Inch ) 7 Collect payment Collect payment Grass</v>
          </cell>
          <cell r="T60" t="str">
            <v>P Spray Daisy ( 14 Inch ) 2 Rajni ( 14 Inch ) 7   FF Sachet + Grass</v>
          </cell>
        </row>
        <row r="61">
          <cell r="A61">
            <v>2055</v>
          </cell>
          <cell r="B61" t="str">
            <v>Gitika Agarwal</v>
          </cell>
          <cell r="C61">
            <v>9871628499</v>
          </cell>
          <cell r="D61" t="str">
            <v>D11/502, Ireo Victory Valley, Sec 67</v>
          </cell>
          <cell r="E61" t="str">
            <v>Badshahpur</v>
          </cell>
          <cell r="F61" t="str">
            <v>Friday</v>
          </cell>
          <cell r="G61" t="str">
            <v>9 AM - 12 PM</v>
          </cell>
          <cell r="H61" t="str">
            <v>Replacment</v>
          </cell>
          <cell r="I61">
            <v>362.5</v>
          </cell>
          <cell r="J61" t="str">
            <v>Replacement</v>
          </cell>
          <cell r="K61" t="str">
            <v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 Send replacement of 1 sunflower tom (24/07)</v>
          </cell>
          <cell r="N61" t="str">
            <v>1  del of this cycle   -  1-cycles pmnt   Pending - Collect 1450</v>
          </cell>
          <cell r="O61" t="e">
            <v>#N/A</v>
          </cell>
          <cell r="P61" t="e">
            <v>#N/A</v>
          </cell>
          <cell r="Q61" t="e">
            <v>#N/A</v>
          </cell>
          <cell r="R61" t="e">
            <v>#N/A</v>
          </cell>
          <cell r="S61" t="e">
            <v>#N/A</v>
          </cell>
          <cell r="T61" t="str">
            <v>Sunflower ( 12 Inch ) 2     FF Sachet + Grass</v>
          </cell>
        </row>
        <row r="62">
          <cell r="A62">
            <v>2290</v>
          </cell>
          <cell r="B62" t="str">
            <v>Anjana Soneja -- Before 1:30 OM</v>
          </cell>
          <cell r="C62">
            <v>9910049708</v>
          </cell>
          <cell r="D62" t="str">
            <v>G-18/10, 3rd Floor, DLF Phase 1</v>
          </cell>
          <cell r="E62" t="str">
            <v>DLF Phase 1</v>
          </cell>
          <cell r="F62" t="str">
            <v>Saturday</v>
          </cell>
          <cell r="G62" t="str">
            <v>9 AM - 12 PM</v>
          </cell>
          <cell r="H62">
            <v>2300</v>
          </cell>
          <cell r="I62">
            <v>287.5</v>
          </cell>
          <cell r="J62" t="str">
            <v>Felicity</v>
          </cell>
          <cell r="K62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62" t="str">
            <v>Car n Spray Daisy</v>
          </cell>
          <cell r="N62" t="str">
            <v>7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str">
            <v>G n W Car ( 14 Inch ) 11     FF sachet + Grass</v>
          </cell>
          <cell r="T62" t="str">
            <v>O Asiatic ( 14 Inch ) 2     Grass</v>
          </cell>
        </row>
        <row r="63">
          <cell r="A63">
            <v>3026</v>
          </cell>
          <cell r="B63" t="str">
            <v>Richa Jindal</v>
          </cell>
          <cell r="C63">
            <v>9818372485</v>
          </cell>
          <cell r="D63" t="str">
            <v>E-1001, The Vilas, Akashmeen Marg, DLF Phase 2</v>
          </cell>
          <cell r="E63" t="str">
            <v>M G Road</v>
          </cell>
          <cell r="F63" t="str">
            <v>Saturday</v>
          </cell>
          <cell r="G63" t="str">
            <v>9:30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Seasonal Only</v>
          </cell>
          <cell r="M63" t="str">
            <v>Seasnola Only // Rajni Next (24/10)</v>
          </cell>
          <cell r="N63" t="str">
            <v>1  del of this cycle   -  1-cycles pmnt   Pending - Collect 1450</v>
          </cell>
          <cell r="O63" t="str">
            <v>P n W Glad ( 14 Inch ) 9     Grass</v>
          </cell>
          <cell r="P63" t="str">
            <v>Pur n P car ( 14 Inch ) 16     FF Sachet + Grass</v>
          </cell>
          <cell r="Q63" t="str">
            <v>B Daisy ( 12 Inch ) 16     Grass</v>
          </cell>
          <cell r="R63" t="str">
            <v>Rajni 16     Grass</v>
          </cell>
          <cell r="S63" t="str">
            <v>Mix Alstroemeria ( 12 Inch ) 16     Grass</v>
          </cell>
          <cell r="T63" t="str">
            <v>Pur n W Car ( 14 Inch ) 16     FF Sachet + Grass</v>
          </cell>
        </row>
        <row r="64">
          <cell r="A64">
            <v>3349</v>
          </cell>
          <cell r="B64" t="str">
            <v>Rahul Vatts</v>
          </cell>
          <cell r="C64">
            <v>9540795407</v>
          </cell>
          <cell r="D64" t="str">
            <v>N-6/14 B, 2nd Floor, Last House in Lane N6, DLF Phase 2, Sec 25</v>
          </cell>
          <cell r="E64" t="str">
            <v>M G Road</v>
          </cell>
          <cell r="F64" t="str">
            <v>Saturday</v>
          </cell>
          <cell r="G64" t="str">
            <v>9 AM to 2 PM</v>
          </cell>
          <cell r="H64">
            <v>2750</v>
          </cell>
          <cell r="I64">
            <v>687.5</v>
          </cell>
          <cell r="J64" t="str">
            <v>Elation</v>
          </cell>
          <cell r="N64" t="str">
            <v>1  del of this cycle   -   0-cycles pmnt   Completed - Collect 0</v>
          </cell>
          <cell r="O64" t="str">
            <v>BOP 6     2 Gypsola + FF sachet</v>
          </cell>
          <cell r="P64" t="str">
            <v>P n W Glad ( 14 Inch ) 32     2 Limonium</v>
          </cell>
          <cell r="Q64" t="str">
            <v xml:space="preserve">P Asiatic ( 14 Inch ) 6     2 Gypsola </v>
          </cell>
          <cell r="R64" t="str">
            <v xml:space="preserve">Sunflower ( 12 Inch ) 7     2 Gypsola + FF sachet </v>
          </cell>
          <cell r="S64" t="str">
            <v>G n W Car ( 14 Inch ) 32     FF Sachet + Grass</v>
          </cell>
          <cell r="T64" t="str">
            <v>Pur n P Eustoma ( 12 Inch ) 6     FF Sachet + Grass</v>
          </cell>
        </row>
        <row r="65">
          <cell r="A65">
            <v>3361</v>
          </cell>
          <cell r="B65" t="str">
            <v>Navneet Kaur</v>
          </cell>
          <cell r="C65">
            <v>8527893377</v>
          </cell>
          <cell r="D65" t="str">
            <v>C-601, Time Residency, Sec 63</v>
          </cell>
          <cell r="E65" t="str">
            <v>Ghata</v>
          </cell>
          <cell r="F65" t="str">
            <v>Saturday</v>
          </cell>
          <cell r="G65" t="str">
            <v>10 AM to 2:30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Skip 1 week (16/05) Skip 1 week (04/06) Skip 1 week (09/07)</v>
          </cell>
          <cell r="N65" t="str">
            <v>4  del of this cycle   -  0-cycles pmnt   Completed - Collect 0</v>
          </cell>
          <cell r="O65" t="e">
            <v>#N/A</v>
          </cell>
          <cell r="P65" t="str">
            <v>P n W car ( 14 Inch ) 16     FF Sachet + Grass</v>
          </cell>
          <cell r="Q65" t="str">
            <v>Sunflower ( 12 Inch ) 4     FF Sachet + Grass</v>
          </cell>
          <cell r="R65" t="e">
            <v>#N/A</v>
          </cell>
          <cell r="S65" t="str">
            <v>Mix Glad ( 14 Inch ) 16     Grass</v>
          </cell>
          <cell r="T65" t="str">
            <v>O Asiatic ( 14 Inch ) 3     FF Sachet + Grass</v>
          </cell>
        </row>
        <row r="66">
          <cell r="A66">
            <v>3318</v>
          </cell>
          <cell r="B66" t="str">
            <v>Sba Garg</v>
          </cell>
          <cell r="C66">
            <v>9654607568</v>
          </cell>
          <cell r="D66" t="str">
            <v>H. No. 5833, Aster Avenue, DLF Phase 4</v>
          </cell>
          <cell r="E66" t="str">
            <v>DLF Phase 4</v>
          </cell>
          <cell r="F66" t="str">
            <v>Saturday</v>
          </cell>
          <cell r="G66" t="str">
            <v>9:30 Am to 2 PM</v>
          </cell>
          <cell r="H66">
            <v>1950</v>
          </cell>
          <cell r="I66">
            <v>487.5</v>
          </cell>
          <cell r="J66" t="str">
            <v>Joy</v>
          </cell>
          <cell r="K66" t="str">
            <v>Four Plus 1 Pack // No Sunflower and Ladylace // Skip 1 wek (28/06)</v>
          </cell>
          <cell r="L66" t="str">
            <v>Sunflower n Lady Lace</v>
          </cell>
          <cell r="N66" t="str">
            <v>4  del of this cycle   -  0-cycles pmnt   Completed - Collect 0</v>
          </cell>
          <cell r="O66" t="str">
            <v>P n Y Spray Daisy ( 14 Inch ) 7     FF Sachet + Grass</v>
          </cell>
          <cell r="P66" t="str">
            <v>P Asiatic ( 14 Inch ) 4     Grass</v>
          </cell>
          <cell r="Q66" t="e">
            <v>#N/A</v>
          </cell>
          <cell r="R66" t="str">
            <v>P n W Glad ( 14 Inch ) 22     Grass</v>
          </cell>
          <cell r="S66" t="str">
            <v>G n W Car ( 14 Inch ) 22     FF Sachet + Grass</v>
          </cell>
          <cell r="T66" t="str">
            <v>Pur n P Eustoma ( 12 Inch ) 4     FF Sachet + Grass</v>
          </cell>
        </row>
        <row r="67">
          <cell r="A67">
            <v>328</v>
          </cell>
          <cell r="B67" t="str">
            <v>Sarat Chandra</v>
          </cell>
          <cell r="C67">
            <v>9013605782</v>
          </cell>
          <cell r="D67" t="str">
            <v>Villa 1,Raheja Atlantis, Sector 31</v>
          </cell>
          <cell r="E67" t="str">
            <v>South City 1</v>
          </cell>
          <cell r="F67" t="str">
            <v>Saturday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67" t="str">
            <v>RAJNI</v>
          </cell>
          <cell r="N67" t="str">
            <v>4  del of this cycle   -  0-cycles pmnt   Completed - Collect 0</v>
          </cell>
          <cell r="O67" t="str">
            <v>P n W Glad ( 14 Inch ) 16     Grass</v>
          </cell>
          <cell r="P67" t="str">
            <v>Sunflower ( 14 Inch ) 4     FF Sachet + Grass</v>
          </cell>
          <cell r="Q67" t="str">
            <v>P Asiatic ( 14 Inch ) 3     FF Sachet + Grass</v>
          </cell>
          <cell r="R67" t="str">
            <v>R n W Car ( 14 Inch ) 16     FF sachet + Car</v>
          </cell>
          <cell r="S67" t="str">
            <v>P n Y Spray Daisy ( 14 Inch ) 5     FF Sachet + Grass</v>
          </cell>
          <cell r="T67" t="str">
            <v xml:space="preserve">O Glad ( 14 Inch ) 16     </v>
          </cell>
        </row>
        <row r="68">
          <cell r="A68">
            <v>3110</v>
          </cell>
          <cell r="B68" t="str">
            <v>Asraj Singh</v>
          </cell>
          <cell r="C68">
            <v>9837880008</v>
          </cell>
          <cell r="D68" t="str">
            <v>7519, 2nd Floor, Bougainvillea Street, Near Supermart-2</v>
          </cell>
          <cell r="E68" t="str">
            <v>DLF Phase 4</v>
          </cell>
          <cell r="F68" t="str">
            <v>Saturday</v>
          </cell>
          <cell r="G68" t="str">
            <v>10 AM to 2:30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Paytm frim Sidak Singh // Return today (02/05) HDTNP (06/06) HDTNP (13/06) HDTNP (20/06) HDTNP (27/06) HDTNP (04/07)</v>
          </cell>
          <cell r="N68" t="str">
            <v>3  del of this cycle   -  0-cycles pmnt   Completed - Collect 0</v>
          </cell>
          <cell r="O68" t="e">
            <v>#N/A</v>
          </cell>
          <cell r="P68" t="str">
            <v>Collect 500      Grass</v>
          </cell>
          <cell r="Q68" t="e">
            <v>#N/A</v>
          </cell>
          <cell r="R68" t="str">
            <v>R n W Car ( 14 Inch ) 16     FF sachet + Car</v>
          </cell>
          <cell r="S68" t="str">
            <v>W Asiatic ( 14 Inch ) 3     Grass</v>
          </cell>
          <cell r="T68" t="str">
            <v>Mix Alstroemeria ( 12 Inch ) 16     FF Sachet + Grass</v>
          </cell>
        </row>
        <row r="69">
          <cell r="B69" t="str">
            <v>70425 44266</v>
          </cell>
          <cell r="C69" t="str">
            <v>70425 44266</v>
          </cell>
          <cell r="D69" t="str">
            <v>3/5 Hamelia Street
Vatika City</v>
          </cell>
          <cell r="G69" t="str">
            <v>After 4 PM</v>
          </cell>
          <cell r="H69">
            <v>1000</v>
          </cell>
          <cell r="J69" t="str">
            <v>Bouquet</v>
          </cell>
          <cell r="K69" t="str">
            <v>Today after 4 PM
25 stems- mix of Rajnigandha and pink carnations in brown wrap to 
3/5 Hamelia Street
Vatika City
+91 70425 44266
Amount 1000</v>
          </cell>
          <cell r="T69" t="str">
            <v xml:space="preserve">Rajni+P Car 25 Brown Wrap Message   </v>
          </cell>
        </row>
        <row r="70">
          <cell r="A70">
            <v>3390</v>
          </cell>
          <cell r="B70" t="str">
            <v>Rajpal Singh</v>
          </cell>
          <cell r="C70">
            <v>8800344225</v>
          </cell>
          <cell r="D70" t="str">
            <v>F-2, Greenwood City, Sec 46</v>
          </cell>
          <cell r="E70" t="str">
            <v>Sector 46</v>
          </cell>
          <cell r="F70" t="str">
            <v>Saturday</v>
          </cell>
          <cell r="G70" t="str">
            <v>9 AM - 12 PM</v>
          </cell>
          <cell r="H70">
            <v>1950</v>
          </cell>
          <cell r="I70">
            <v>487.5</v>
          </cell>
          <cell r="J70" t="str">
            <v>Joy</v>
          </cell>
          <cell r="K70" t="str">
            <v>No Rajni (11/07)</v>
          </cell>
          <cell r="L70" t="str">
            <v>Rajni</v>
          </cell>
          <cell r="N70" t="str">
            <v>1  del of this cycle   -  0-cycles pmnt   Completed - Collect 0</v>
          </cell>
          <cell r="O70" t="e">
            <v>#N/A</v>
          </cell>
          <cell r="P70" t="str">
            <v>Pur n P car ( 14 Inch ) 16     FF Sachet + Grass</v>
          </cell>
          <cell r="Q70" t="str">
            <v>P Asiatic ( 14 Inch ) 3     Grass</v>
          </cell>
          <cell r="R70" t="str">
            <v>Rajni ( 14 Inch ) 16     Grass</v>
          </cell>
          <cell r="S70" t="str">
            <v>P n Y Spray Daisy ( 14 Inch ) 5     FF Sachet + Grass</v>
          </cell>
          <cell r="T70" t="str">
            <v>O Glad ( 14 Inch ) 22     Grass</v>
          </cell>
        </row>
        <row r="71">
          <cell r="A71">
            <v>2706</v>
          </cell>
          <cell r="B71" t="str">
            <v>Monika Arora</v>
          </cell>
          <cell r="C71">
            <v>9990121666</v>
          </cell>
          <cell r="D71" t="str">
            <v>Tostem Studio, Plot No. 564, Basement, Sec 39, Near Bakhtawar Chwok</v>
          </cell>
          <cell r="E71" t="str">
            <v>Medanta</v>
          </cell>
          <cell r="F71" t="str">
            <v>Saturday</v>
          </cell>
          <cell r="G71" t="str">
            <v>9 AM - 12 PM</v>
          </cell>
          <cell r="H71">
            <v>1600</v>
          </cell>
          <cell r="I71">
            <v>200</v>
          </cell>
          <cell r="J71" t="str">
            <v>Bloom</v>
          </cell>
          <cell r="K71" t="str">
            <v>Ref From Anupma Rastogi // Today Returned (09/08) Hold today (16/08) Today office was closed (21/10)</v>
          </cell>
          <cell r="N71" t="str">
            <v>7  del of this cycle   -  0-cycles pmnt   Completed - Collect 0</v>
          </cell>
          <cell r="O71" t="str">
            <v>B Daisy ( 12 Inch ) 7     Grass</v>
          </cell>
          <cell r="P71" t="str">
            <v>P n W car ( 14 Inch ) 7     FF Sachet + Grass</v>
          </cell>
          <cell r="Q71" t="str">
            <v>Mix Alstroemeria ( 12 Inch ) 7     FF Sachet + Grass</v>
          </cell>
          <cell r="R71" t="str">
            <v>Rajni ( 14 Inch ) 7     Grass</v>
          </cell>
          <cell r="S71" t="str">
            <v>Mix Glad ( 14 Inch ) 7     Grass</v>
          </cell>
          <cell r="T71" t="str">
            <v>Rajni ( 14 Inch ) 7     Grass</v>
          </cell>
        </row>
        <row r="72">
          <cell r="A72">
            <v>2853</v>
          </cell>
          <cell r="B72" t="str">
            <v>Mohini Jain</v>
          </cell>
          <cell r="C72">
            <v>9810905651</v>
          </cell>
          <cell r="D72" t="str">
            <v>B1/204, PWO Appartment, Sec 43</v>
          </cell>
          <cell r="E72" t="str">
            <v>Huda</v>
          </cell>
          <cell r="F72" t="str">
            <v>Saturday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10% Discount for 12 Del (02/08) Paytm from V Mohini (21/03)</v>
          </cell>
          <cell r="N72" t="str">
            <v>3  del of this cycle   -  0-cycles pmnt   Completed - Collect 0</v>
          </cell>
          <cell r="O72" t="str">
            <v>Pur Eustoma ( 12 Inch ) 2 B Daisy ( 12 Inch ) 7 Collect Payment Collect Payment Grass</v>
          </cell>
          <cell r="P72" t="str">
            <v>P Spray Daisy ( 14 Inch ) 3 Pur n P Car ( 14 Inch ) 7 Ensure Collection Ensure Collection FF Sachet + Grass</v>
          </cell>
          <cell r="Q72" t="str">
            <v>Sunflower ( 12 Inch ) 2 P n W Glad ( 14 Inch ) 7   FF Sachet + Grass</v>
          </cell>
          <cell r="R72" t="str">
            <v>P Asiatic ( 14 Inch ) 2 Rajni ( 14 inch ) 7   Grass</v>
          </cell>
          <cell r="S72" t="str">
            <v>P Eustoma ( 12 Inch ) 2 Mix Alstroemeria ( 12 Inch ) 7   FF Sachet + Grass</v>
          </cell>
          <cell r="T72" t="str">
            <v>Y Button  Daisy ( 14 Inch ) 3 P n W Car ( 14 Inch ) 7   FF Sachet + Grass</v>
          </cell>
        </row>
        <row r="73">
          <cell r="A73">
            <v>1226</v>
          </cell>
          <cell r="B73" t="str">
            <v>Archana Trikha</v>
          </cell>
          <cell r="C73">
            <v>9910006945</v>
          </cell>
          <cell r="D73" t="str">
            <v>C-2003, Times Residency, Sec 63</v>
          </cell>
          <cell r="E73" t="str">
            <v>Ghata</v>
          </cell>
          <cell r="F73" t="str">
            <v>Saturday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73" t="str">
            <v>Lily n Sunflower</v>
          </cell>
          <cell r="N73" t="str">
            <v>3  del of this cycle   -  0-cycles pmnt   Completed - Collect 0</v>
          </cell>
          <cell r="O73" t="e">
            <v>#N/A</v>
          </cell>
          <cell r="P73" t="str">
            <v>Pur n P car ( 14 Inch ) 9     FF Sachet + Grass</v>
          </cell>
          <cell r="Q73" t="str">
            <v>Y Spray Daosy ( 14 Inch )  3     FF Sachet + Grass</v>
          </cell>
          <cell r="R73" t="str">
            <v>P n W Glad ( 14 Inch ) 16     Grass</v>
          </cell>
          <cell r="S73" t="str">
            <v>Mix Alstroemeria ( 12 Inch ) 16     FF Sachet + Grass</v>
          </cell>
          <cell r="T73" t="str">
            <v>R n W Car ( 14 Inch ) 16     FF Sachet + Grass</v>
          </cell>
        </row>
        <row r="74">
          <cell r="A74">
            <v>3336</v>
          </cell>
          <cell r="B74" t="str">
            <v>Ruchika Rattan</v>
          </cell>
          <cell r="C74">
            <v>8448331611</v>
          </cell>
          <cell r="D74" t="str">
            <v>E-0004, Richmond Park, DLF Phase 4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1950</v>
          </cell>
          <cell r="I74">
            <v>487.5</v>
          </cell>
          <cell r="J74" t="str">
            <v>Joy</v>
          </cell>
          <cell r="K74" t="str">
            <v>Today Returned (16/05)</v>
          </cell>
          <cell r="N74" t="str">
            <v>1  del of this cycle   -  0-cycles pmnt   Completed - Collect 0</v>
          </cell>
          <cell r="O74" t="str">
            <v>P n Y Spray Daisy ( 14 Inch ) 7     FF Sachet + Grass</v>
          </cell>
          <cell r="P74" t="str">
            <v>Sunflower ( 14 Inch ) 5     FF Sachet + Grass</v>
          </cell>
          <cell r="Q74" t="str">
            <v>W Asiatic ( 14 Inch ) 4     Grass</v>
          </cell>
          <cell r="R74" t="str">
            <v>R n W Car ( 14 Inch ) 22     FF sachet + Car</v>
          </cell>
          <cell r="S74" t="str">
            <v>Mix Glad ( 14 Inch ) 22     Grass</v>
          </cell>
          <cell r="T74" t="str">
            <v>Pur n P Eustoma ( 12 Inch ) 4     FF Sachet + Grass</v>
          </cell>
        </row>
        <row r="75">
          <cell r="A75">
            <v>1936</v>
          </cell>
          <cell r="B75" t="str">
            <v>Pranta Dutta</v>
          </cell>
          <cell r="C75" t="str">
            <v>99535 59491</v>
          </cell>
          <cell r="D75" t="str">
            <v>C 1 flat 501 Ireo skyon golf course extension sector 60 gurgaon ( behind lemon tree hotel)</v>
          </cell>
          <cell r="E75" t="str">
            <v>Ghata</v>
          </cell>
          <cell r="F75" t="str">
            <v>Saturday</v>
          </cell>
          <cell r="G75" t="str">
            <v>9 AM - 12 PM</v>
          </cell>
          <cell r="H75">
            <v>1600</v>
          </cell>
          <cell r="I75">
            <v>200</v>
          </cell>
          <cell r="J75" t="str">
            <v>Bloom</v>
          </cell>
          <cell r="K75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75" t="str">
            <v>RAJNI n GERBERA</v>
          </cell>
          <cell r="N75" t="str">
            <v>2  del of this cycle   -  0-cycles pmnt   Completed - Collect 0</v>
          </cell>
          <cell r="O75" t="e">
            <v>#N/A</v>
          </cell>
          <cell r="P75" t="str">
            <v xml:space="preserve">Collect Rs 600      </v>
          </cell>
          <cell r="Q75" t="str">
            <v>Pur n P Car ( 14 Inch ) 7     FF Sachet + Grass</v>
          </cell>
          <cell r="R75" t="str">
            <v>Mix Alstroemeria ( 12 Inch ) 7     FF Sachet + Grass</v>
          </cell>
          <cell r="S75" t="str">
            <v>Mix Glad ( 14 Inch ) 7     Grass</v>
          </cell>
          <cell r="T75" t="str">
            <v>P Spray Daisy ( 14 Inch ) 2     FF Sachet + Grass</v>
          </cell>
        </row>
        <row r="76">
          <cell r="A76">
            <v>3014</v>
          </cell>
          <cell r="B76" t="str">
            <v>Monika Arora</v>
          </cell>
          <cell r="C76">
            <v>9990121666</v>
          </cell>
          <cell r="D76" t="str">
            <v>Tostem Studio, Plot No. 564, Basement, Sec 39, Near Bakhtawar Chwok</v>
          </cell>
          <cell r="E76" t="str">
            <v>Medanta</v>
          </cell>
          <cell r="F76" t="str">
            <v>Saturday</v>
          </cell>
          <cell r="G76" t="str">
            <v>9 AM - 12 PM</v>
          </cell>
          <cell r="H76">
            <v>1600</v>
          </cell>
          <cell r="I76">
            <v>200</v>
          </cell>
          <cell r="J76" t="str">
            <v>Bloom</v>
          </cell>
          <cell r="K76" t="str">
            <v>Change in Address (31/12)</v>
          </cell>
          <cell r="N76" t="str">
            <v>7  del of this cycle   -  0-cycles pmnt   Completed - Collect 0</v>
          </cell>
          <cell r="O76" t="str">
            <v>P Spray Daisy ( 14 inch ) 2     FF Sachet + Grass</v>
          </cell>
          <cell r="P76" t="str">
            <v>Y Spray Daisy ( 14 Inch ) 2     FF Sachet + Grass</v>
          </cell>
          <cell r="Q76" t="str">
            <v>P Spray Daisy ( 14 Inch ) 2     FF Sachet + Grass</v>
          </cell>
          <cell r="R76" t="str">
            <v>Pur n P Car ( 14 Inch ) 7     FF Sachet + Grass</v>
          </cell>
          <cell r="S76" t="str">
            <v>Sunflower ( 12 Inch ) 2     FF sachet + Grass</v>
          </cell>
          <cell r="T76" t="str">
            <v>P Spray Daisy ( 14 Inch ) 2     FF Sachet + Grass</v>
          </cell>
        </row>
        <row r="77">
          <cell r="A77">
            <v>146</v>
          </cell>
          <cell r="B77" t="str">
            <v>SANGEETA BATRA</v>
          </cell>
          <cell r="C77">
            <v>9312666392</v>
          </cell>
          <cell r="D77" t="str">
            <v>7A, Building 1, Hibiscus Society  Sector-50, Near Hotel Hilton Garden Inn Baani Square  Other Gurgoan  122002</v>
          </cell>
          <cell r="E77" t="str">
            <v>Nirvana Country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v>
          </cell>
          <cell r="L77" t="str">
            <v>BLUE ORCHID</v>
          </cell>
          <cell r="M77" t="str">
            <v>Tom before 12 Pm (17/04)</v>
          </cell>
          <cell r="N77" t="str">
            <v>3  del of this cycle   -  0-cycles pmnt   Completed - Collect 0</v>
          </cell>
          <cell r="O77" t="str">
            <v>O Asiatic ( 14 Inch ) 3     Grass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>G n W Car ( 14 Inch ) 16     FF Sachet + Grass</v>
          </cell>
          <cell r="T77" t="str">
            <v>P Eustoma ( 12 Inch ) 3     FF Sachet + Grass</v>
          </cell>
        </row>
        <row r="78">
          <cell r="A78">
            <v>2506</v>
          </cell>
          <cell r="B78" t="str">
            <v>Manya Jha</v>
          </cell>
          <cell r="C78">
            <v>9810502834</v>
          </cell>
          <cell r="D78" t="str">
            <v>H-33/1, Ground Floor, DLF Phase 1</v>
          </cell>
          <cell r="E78" t="str">
            <v>DLF Phase 1</v>
          </cell>
          <cell r="F78" t="str">
            <v>Saturday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Send 1 Bottle Flower Food tom // No Orchids (09/04) Skip 1 week (29/09)</v>
          </cell>
          <cell r="L78" t="str">
            <v>ORCHID</v>
          </cell>
          <cell r="N78" t="str">
            <v>2  del of this cycle   -  0-cycles pmnt   Completed - Collect 0</v>
          </cell>
          <cell r="O78" t="str">
            <v>Pur Eustoma ( 12 Inch ) 2 P n W Glad ( 14 Inch ) 7   FF Sachet + Grass</v>
          </cell>
          <cell r="P78" t="str">
            <v>P Spray Daisy ( 14 Inch ) 3 Pur n P Car ( 14 Inch ) 7   FF Sachet + Grass</v>
          </cell>
          <cell r="Q78" t="str">
            <v>O Asiatic ( 14 Inch ) 2 Mix Alstroemeria ( 12 Inch ) 7   Grass</v>
          </cell>
          <cell r="R78" t="str">
            <v>P Asiatic ( 14 Inch ) 2 Rajni ( 14 inch ) 7   Grass</v>
          </cell>
          <cell r="S78" t="str">
            <v>P Eustoma ( 12 Inch ) 2 Mix Glad ( 14 Inch ) 7   FF Sachet + Grass</v>
          </cell>
          <cell r="T78" t="str">
            <v>Y button  Daisy ( 14 Inch ) 3 P n W Car ( 14 Inch ) 7   FF Sachet + Grass</v>
          </cell>
        </row>
        <row r="79">
          <cell r="A79">
            <v>2273</v>
          </cell>
          <cell r="B79" t="str">
            <v xml:space="preserve">Prashant </v>
          </cell>
          <cell r="C79">
            <v>9216746911</v>
          </cell>
          <cell r="D79" t="str">
            <v>Flat 3B, Building 1, The Hibiscus</v>
          </cell>
          <cell r="E79" t="str">
            <v>Nirvana Country</v>
          </cell>
          <cell r="F79" t="str">
            <v>Saturday</v>
          </cell>
          <cell r="G79" t="str">
            <v>9:30 Am to 2 PM</v>
          </cell>
          <cell r="H79">
            <v>1950</v>
          </cell>
          <cell r="I79">
            <v>487.5</v>
          </cell>
          <cell r="J79" t="str">
            <v>Joy</v>
          </cell>
          <cell r="K79" t="str">
            <v>No Orchid (21/05)</v>
          </cell>
          <cell r="L79" t="str">
            <v>ORCHID</v>
          </cell>
          <cell r="N79" t="str">
            <v>1  del of this cycle   -  0-cycles pmnt   Completed - Collect 0</v>
          </cell>
          <cell r="O79" t="str">
            <v>P n W Glad ( 14 Inch ) 22     Grass</v>
          </cell>
          <cell r="P79" t="str">
            <v>Sunflower ( 14 Inch ) 5     FF Sachet + Grass</v>
          </cell>
          <cell r="Q79" t="str">
            <v>Pur n P Car ( 14 Inch ) 22     FF Sachet + Grass</v>
          </cell>
          <cell r="R79" t="str">
            <v>O Asiatic ( 14 Inch ) 4     Grass</v>
          </cell>
          <cell r="S79" t="str">
            <v>Mix Alstroemeria ( 12 Inch ) 22     FF Sachet + Grass</v>
          </cell>
          <cell r="T79" t="str">
            <v>Pur n P Eustoma ( 12 Inch ) 4     FF Sachet + Grass</v>
          </cell>
        </row>
        <row r="80">
          <cell r="A80">
            <v>1925</v>
          </cell>
          <cell r="B80" t="str">
            <v>Chandni Ahuja</v>
          </cell>
          <cell r="C80">
            <v>9999061820</v>
          </cell>
          <cell r="D80" t="str">
            <v>B-102, Regency Park-1</v>
          </cell>
          <cell r="E80" t="str">
            <v>DLF Phase 4</v>
          </cell>
          <cell r="F80" t="str">
            <v>Saturday</v>
          </cell>
          <cell r="G80" t="str">
            <v>9 AM to 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v>
          </cell>
          <cell r="L80" t="str">
            <v>ORCHID n GLAD n GERBERA</v>
          </cell>
          <cell r="M80" t="str">
            <v xml:space="preserve">Mixed Flowers </v>
          </cell>
          <cell r="N80" t="str">
            <v>1  del of this cycle   -  0-cycles pmnt   Completed - Collect 0</v>
          </cell>
          <cell r="O80" t="str">
            <v>B Daisy ( 12 Inch ) 16     Grass</v>
          </cell>
          <cell r="P80" t="str">
            <v>P Asiatic ( 14 Inch ) 3     Grass</v>
          </cell>
          <cell r="Q80" t="str">
            <v>W Asiatic ( 14 Inch ) 3     Grass</v>
          </cell>
          <cell r="R80" t="e">
            <v>#N/A</v>
          </cell>
          <cell r="S80" t="str">
            <v>Y Spray Daosy ( 14 Inch ) 3 G n W Car ( 14 Inch ) 7   FF Sachet + Grass</v>
          </cell>
          <cell r="T80" t="str">
            <v>P Eustoma ( 12 Inch ) 2 Mix Alstroemerai ( 12 Inch ) 7   FF Sachet + Grass</v>
          </cell>
        </row>
        <row r="81">
          <cell r="A81">
            <v>3211</v>
          </cell>
          <cell r="B81" t="str">
            <v>Shreya -- Smartworld</v>
          </cell>
          <cell r="C81">
            <v>8800782128</v>
          </cell>
          <cell r="D81" t="str">
            <v>E-2D, Smartworld Orchard, Sec 61</v>
          </cell>
          <cell r="E81" t="str">
            <v>Ghata</v>
          </cell>
          <cell r="F81" t="str">
            <v>Saturday</v>
          </cell>
          <cell r="G81" t="str">
            <v>9 AM - 12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From Shreya Pandey // Skip and send on Tuesday (09/01) HDTNP (21/02) HDTNP --send tom (28/02)</v>
          </cell>
          <cell r="N81" t="str">
            <v>1  del of this cycle   -  1-cycles pmnt   Pending - Collect 1448</v>
          </cell>
          <cell r="O81" t="str">
            <v>P n W Glad ( 14 Inch ) 9     Grass</v>
          </cell>
          <cell r="P81" t="str">
            <v>P Spray Daisy ( 14 Inch ) 3     FF Sachet + Grass</v>
          </cell>
          <cell r="Q81" t="str">
            <v>P Asiatic ( 14 Inch ) 2     FF Sachet + Grass</v>
          </cell>
          <cell r="R81" t="str">
            <v xml:space="preserve">R n W Car ( 14 Inch ) 9     </v>
          </cell>
          <cell r="S81" t="str">
            <v>Mix Glad ( 14 Inch ) 9     Grass</v>
          </cell>
          <cell r="T81" t="str">
            <v>P Eustoma ( 12 Inch ) 3     FF Sachet + Grass</v>
          </cell>
        </row>
        <row r="82">
          <cell r="A82">
            <v>1631</v>
          </cell>
          <cell r="B82" t="str">
            <v>Paridhi Joshi</v>
          </cell>
          <cell r="C82">
            <v>8970999005</v>
          </cell>
          <cell r="D82" t="str">
            <v>A-124, Belvedere Towers, Cyber City</v>
          </cell>
          <cell r="E82" t="str">
            <v>DLF Phase 3</v>
          </cell>
          <cell r="F82" t="str">
            <v>Saturday</v>
          </cell>
          <cell r="G82" t="str">
            <v>9:30 Am to 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82" t="str">
            <v>ROSE n GLAD</v>
          </cell>
          <cell r="N82" t="str">
            <v>3  del of this cycle   -  0-cycles pmnt   Completed - Collect 0</v>
          </cell>
          <cell r="O82" t="str">
            <v>P Asiatic ( 14 Inch ) 3     Grass</v>
          </cell>
          <cell r="P82" t="str">
            <v>Pur n P car ( 14 Inch ) 16     FF Sachet + Grass</v>
          </cell>
          <cell r="Q82" t="str">
            <v>Sunflower ( 12 Inch ) 4     FF Sachet + Grass</v>
          </cell>
          <cell r="R82" t="str">
            <v>P n W Spray Daisy ( 14 Inch ) 5     FF sachet + Car</v>
          </cell>
          <cell r="S82" t="str">
            <v>W Asiatic ( 14 Inch ) 3   Collect payment Collect payment Grass</v>
          </cell>
          <cell r="T82" t="str">
            <v xml:space="preserve">Mix Alstroemeria ( 12 Inch ) 16     </v>
          </cell>
        </row>
        <row r="83">
          <cell r="A83">
            <v>138</v>
          </cell>
          <cell r="B83" t="str">
            <v>Nidhi Duggal</v>
          </cell>
          <cell r="C83">
            <v>9811721912</v>
          </cell>
          <cell r="D83" t="str">
            <v>B-2803, Ireo Grand Arch</v>
          </cell>
          <cell r="E83" t="str">
            <v>Ghata</v>
          </cell>
          <cell r="F83" t="str">
            <v>Saturday</v>
          </cell>
          <cell r="G83" t="str">
            <v>9 AM - 12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83" t="str">
            <v>Hold 21st and 28th June (05/05)</v>
          </cell>
          <cell r="N83" t="str">
            <v>2  del of this cycle   -  1-cycles pmnt   Pending - Collect 1950</v>
          </cell>
          <cell r="O83" t="str">
            <v>Pur Eustoma ( 12 Inch ) 2 Rajni ( 14 Inch ) 11   FF Sachet + Grass</v>
          </cell>
          <cell r="P83" t="str">
            <v>P Asiatic ( 14 Inch ) 2 P n W Glad ( 14 Inch ) 11   Grass</v>
          </cell>
          <cell r="Q83" t="str">
            <v>Sunflower ( 12 Inch ) 3 Mix Alstroemeria ( 12 Inch ) 11   FF Sachet + Grass</v>
          </cell>
          <cell r="R83" t="str">
            <v>P n W Spray Daisy ( 14 Inch ) 4 P n W Car ( 14 Inch ) 11   FF sachet + Car</v>
          </cell>
          <cell r="S83" t="str">
            <v>W Asiatic ( 14 Inch ) 2 Mix Glad ( 14 Inch ) 11   Grass</v>
          </cell>
          <cell r="T83" t="str">
            <v>P Eustoma ( 12 Inch ) 2 Mix Alstroemerai ( 12 Inch ) 11 Ensure Collection Emnsure Collection FF Sachet + Grass</v>
          </cell>
        </row>
        <row r="84">
          <cell r="A84">
            <v>1953</v>
          </cell>
          <cell r="B84" t="str">
            <v>Sandhya Nagesh</v>
          </cell>
          <cell r="C84">
            <v>8800649797</v>
          </cell>
          <cell r="D84" t="str">
            <v>89, Ground Floor, Woodstock Floors, Sec 50</v>
          </cell>
          <cell r="E84" t="str">
            <v>Nirvana Country</v>
          </cell>
          <cell r="F84" t="str">
            <v>Saturday</v>
          </cell>
          <cell r="G84" t="str">
            <v>9 AM - 12 PM</v>
          </cell>
          <cell r="H84">
            <v>3000</v>
          </cell>
          <cell r="I84">
            <v>375</v>
          </cell>
          <cell r="J84" t="str">
            <v>Charm</v>
          </cell>
          <cell r="K84" t="str">
            <v>Saturday n Tueaday(02/09) No Del From 10th to 19th (09/09) Today returned(19/08) hold today send tom (07/10) Skip 20th Del (14/01) Hold 6th n 10th Sug (03/08) Return tiday (07/02) Today Returned (24/02)</v>
          </cell>
          <cell r="N84" t="str">
            <v>6  del of this cycle   -  0-cycles pmnt   Completed - Collect 0</v>
          </cell>
          <cell r="O84" t="str">
            <v>P n W Glad ( 14 Inch ) 15     Grass</v>
          </cell>
          <cell r="P84" t="str">
            <v>Sunflower ( 14 Inch ) 4     FF Sachet + Grass</v>
          </cell>
          <cell r="Q84" t="str">
            <v>B Orchid  4     FF Sachet + Grass</v>
          </cell>
          <cell r="R84" t="str">
            <v>Rajni ( 14 Inch ) 15     Grass</v>
          </cell>
          <cell r="S84" t="str">
            <v>Mix Alstroemeria ( 12 Inch ) 15     FF sachet + Grass</v>
          </cell>
          <cell r="T84" t="str">
            <v>O Glad ( 14 Inch ) 15     Grass</v>
          </cell>
        </row>
        <row r="85">
          <cell r="A85">
            <v>2542</v>
          </cell>
          <cell r="B85" t="str">
            <v>Ankita Jain</v>
          </cell>
          <cell r="C85">
            <v>9899133443</v>
          </cell>
          <cell r="D85" t="str">
            <v>B-778, 2nd Floor, Sushant Lok</v>
          </cell>
          <cell r="E85" t="str">
            <v>M G Road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85" t="str">
            <v>1  del of this cycle   -  1-cycles pmnt   Pending - Collect 1400</v>
          </cell>
          <cell r="O85" t="e">
            <v>#N/A</v>
          </cell>
          <cell r="P85" t="str">
            <v>Mix Car 16     FF Sachet + Grass</v>
          </cell>
          <cell r="Q85" t="str">
            <v>Rajni 16     FF Sachet + Grass</v>
          </cell>
          <cell r="R85" t="str">
            <v>O Asiatic ( 14 Inch ) 3     Grass</v>
          </cell>
          <cell r="S85" t="str">
            <v>Mix Alstroemeria ( 12 Inch ) 16     Grass</v>
          </cell>
          <cell r="T85" t="str">
            <v>Pur Eustoma ( 12 Inch ) 3     FF Sachet + Grass</v>
          </cell>
        </row>
        <row r="86">
          <cell r="A86">
            <v>339</v>
          </cell>
          <cell r="B86" t="str">
            <v>Mandeep - Vrinda Sehgal</v>
          </cell>
          <cell r="C86">
            <v>9026947085</v>
          </cell>
          <cell r="D86" t="str">
            <v>B-13/1, 1st Floor, DLF Phase 1</v>
          </cell>
          <cell r="E86" t="str">
            <v>DLF Phase 1</v>
          </cell>
          <cell r="F86" t="str">
            <v>Saturday</v>
          </cell>
          <cell r="G86" t="str">
            <v>4 PM to 7PM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86" t="str">
            <v>4  del of this cycle   -  1-cycles pmnt   Pending - Collect 1450</v>
          </cell>
          <cell r="O86" t="str">
            <v>P Asiatic ( 14 Inch ) 3     Grass</v>
          </cell>
          <cell r="P86" t="str">
            <v>Sunflower ( 14 Inch ) 4     FF Sachet + Grass</v>
          </cell>
          <cell r="Q86" t="str">
            <v>P n W Glad ( 14 Inch ) 16     Grass</v>
          </cell>
          <cell r="R86" t="str">
            <v>B Daisy ( 12 Inch ) 16    Ensure Collection Grass</v>
          </cell>
          <cell r="S86" t="str">
            <v>P n Y Spray Daisy ( 14 Inch ) 5   Collect payment Collect payment FF Sachet + Grass</v>
          </cell>
          <cell r="T86" t="str">
            <v xml:space="preserve">O Asiatic ( 14 Inch ) 3   Ensure Collection Emnsure Collection </v>
          </cell>
        </row>
        <row r="87">
          <cell r="A87">
            <v>2692</v>
          </cell>
          <cell r="B87" t="str">
            <v>A K Jain</v>
          </cell>
          <cell r="C87">
            <v>9910309930</v>
          </cell>
          <cell r="D87" t="str">
            <v>B-785, Sushant Lok-1, Near Police Chowki</v>
          </cell>
          <cell r="E87" t="str">
            <v>M G Road</v>
          </cell>
          <cell r="F87" t="str">
            <v>Saturday</v>
          </cell>
          <cell r="G87" t="str">
            <v>9 AM - 12 PM</v>
          </cell>
          <cell r="H87">
            <v>2300</v>
          </cell>
          <cell r="I87">
            <v>287.5</v>
          </cell>
          <cell r="J87" t="str">
            <v>Felicity</v>
          </cell>
          <cell r="K87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87" t="str">
            <v>6  del of this cycle   -  0-cycles pmnt   Completed - Collect 0</v>
          </cell>
          <cell r="O87" t="str">
            <v>B Daisy ( 12 Inch ) 11     Grass</v>
          </cell>
          <cell r="P87" t="str">
            <v>O Asiatic ( 14 Inch ) 2     Grass</v>
          </cell>
          <cell r="Q87" t="str">
            <v>BOP ( 15 Inch ) 2     FF Sachet + Grass</v>
          </cell>
          <cell r="R87" t="str">
            <v>Sunflower ( 12 Inch ) 3     FF Sachet + Grass</v>
          </cell>
          <cell r="S87" t="str">
            <v>Pur Eustoma ( 12 Inch ) 3     FF sachet + Grass</v>
          </cell>
          <cell r="T87" t="str">
            <v>O Asiatic ( 14 Inch ) 2     Grass</v>
          </cell>
        </row>
        <row r="88">
          <cell r="A88">
            <v>1920</v>
          </cell>
          <cell r="B88" t="str">
            <v>Indira Bishnoi</v>
          </cell>
          <cell r="C88">
            <v>9871094919</v>
          </cell>
          <cell r="D88" t="str">
            <v>B-13/1, 2nd Floor, DLF Phase 1</v>
          </cell>
          <cell r="E88" t="str">
            <v>DLF Phase 1</v>
          </cell>
          <cell r="F88" t="str">
            <v>Saturday</v>
          </cell>
          <cell r="G88" t="str">
            <v>4 PM to 7PM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88" t="str">
            <v>3  del of this cycle   -  0-cycles pmnt   Completed - Collect 0</v>
          </cell>
          <cell r="O88" t="str">
            <v>P Asiatic ( 14 Inch ) 3   Collect Payment Collect Payment Grass</v>
          </cell>
          <cell r="P88" t="str">
            <v>Sunflower ( 14 Inch ) 4     FF Sachet + Grass</v>
          </cell>
          <cell r="Q88" t="str">
            <v>P n W Glad ( 14 Inch ) 16     Grass</v>
          </cell>
          <cell r="R88" t="str">
            <v>B Daisy ( 12 Inch ) 16     Grass</v>
          </cell>
          <cell r="S88" t="str">
            <v>P n Y Spray Daisy ( 14 Inch ) 5     FF Sachet + Grass</v>
          </cell>
          <cell r="T88" t="str">
            <v xml:space="preserve">O Asiatic ( 14 Inch ) 3     </v>
          </cell>
        </row>
        <row r="89">
          <cell r="A89">
            <v>1089</v>
          </cell>
          <cell r="B89" t="str">
            <v>Disha Roy</v>
          </cell>
          <cell r="C89">
            <v>9999024774</v>
          </cell>
          <cell r="D89" t="str">
            <v>U-26-A/8,1st Floor</v>
          </cell>
          <cell r="E89" t="str">
            <v>DLF Phase 3</v>
          </cell>
          <cell r="F89" t="str">
            <v>Saturday</v>
          </cell>
          <cell r="G89" t="str">
            <v>9 AM - 12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9" t="str">
            <v>3  del of this cycle   -  0-cycles pmnt   Completed - Collect 0</v>
          </cell>
          <cell r="O89" t="e">
            <v>#N/A</v>
          </cell>
          <cell r="P89" t="str">
            <v>Pur n P car ( 14 Inch ) 16     FF Sachet + Grass</v>
          </cell>
          <cell r="Q89" t="str">
            <v>O Asiatic ( 14 Inch ) 3     Grass</v>
          </cell>
          <cell r="R89" t="str">
            <v>Rajni ( 14 Inch ) 16     Grass</v>
          </cell>
          <cell r="S89" t="str">
            <v>P n Y Spray Daisy ( 14 Inch ) 5     FF Sachet + Grass</v>
          </cell>
          <cell r="T89" t="str">
            <v xml:space="preserve">O Glad ( 14 Inch ) 16     </v>
          </cell>
        </row>
        <row r="90">
          <cell r="A90">
            <v>2937</v>
          </cell>
          <cell r="B90" t="str">
            <v>Vani Kalra</v>
          </cell>
          <cell r="C90">
            <v>9810121070</v>
          </cell>
          <cell r="D90" t="str">
            <v>B-644, Sushant Lok-1</v>
          </cell>
          <cell r="E90" t="str">
            <v>M G Road</v>
          </cell>
          <cell r="F90" t="str">
            <v>Saturday</v>
          </cell>
          <cell r="G90" t="str">
            <v>9 AM - 12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Day Changed to Tuesday and shared Location</v>
          </cell>
          <cell r="M90" t="str">
            <v>Location</v>
          </cell>
          <cell r="N90" t="str">
            <v>4  del of this cycle   -  0-cycles pmnt   Completed - Collect 0</v>
          </cell>
          <cell r="O90" t="str">
            <v>P Asiatic ( 14 Inch ) 2 B Daisy ( 12 Inch ) 11   Grass</v>
          </cell>
          <cell r="P90" t="str">
            <v>Sunflower ( 14 Inch ) 3 Pur n P Car ( 14 Inch ) 11   FF Sachet + Grass</v>
          </cell>
          <cell r="Q90" t="str">
            <v>BOP 2 Rajni ( 14 Inch ) 11   Grass</v>
          </cell>
          <cell r="R90" t="str">
            <v>P n W Spray Daisy ( 14 Inch ) 4 P n W Glad ( 14 Inch ) 11   FF sachet + Car</v>
          </cell>
          <cell r="S90" t="str">
            <v>W Asiatic ( 14 Inch ) 2 Mix Alstroemeria ( 12 Inch ) 11   Grass</v>
          </cell>
          <cell r="T90" t="str">
            <v>P Eustoma ( 12 Inch ) 2 P n W Car ( 14 Inch ) 11   FF Sachet + Grass</v>
          </cell>
        </row>
        <row r="91">
          <cell r="A91">
            <v>3362</v>
          </cell>
          <cell r="B91" t="str">
            <v>Rupa Raje Gupta</v>
          </cell>
          <cell r="C91">
            <v>9811170495</v>
          </cell>
          <cell r="D91" t="str">
            <v>H-33/30, DLF Phase 1</v>
          </cell>
          <cell r="E91" t="str">
            <v>DLF Phase 1</v>
          </cell>
          <cell r="F91" t="str">
            <v>Saturday</v>
          </cell>
          <cell r="G91" t="str">
            <v>9 AM to 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Paytm From Rishi Nath Dubey (13/060</v>
          </cell>
          <cell r="N91" t="str">
            <v>3  del of this cycle   -  0-cycles pmnt   Completed - Collect 0</v>
          </cell>
          <cell r="O91" t="str">
            <v>P Asiatic ( 14 Inch ) 3     Grass</v>
          </cell>
          <cell r="P91" t="str">
            <v>Pur n P car ( 14 Inch ) 16     FF Sachet + Grass</v>
          </cell>
          <cell r="Q91" t="str">
            <v>P n W Glad ( 14 Inch ) 16     Grass</v>
          </cell>
          <cell r="R91" t="str">
            <v>Sunflower ( 12 Inch ) 4     FF sachet + Car</v>
          </cell>
          <cell r="S91" t="str">
            <v>Mix Alstroemeria ( 12 Inch ) 16     FF Sachet + Grass</v>
          </cell>
          <cell r="T91" t="str">
            <v>P n W Spray Daisy ( 14 Inch ) 5     FF Sachet + Grass</v>
          </cell>
        </row>
        <row r="92">
          <cell r="A92">
            <v>2247</v>
          </cell>
          <cell r="B92" t="str">
            <v>Reeya Naahar</v>
          </cell>
          <cell r="C92">
            <v>9818862169</v>
          </cell>
          <cell r="D92" t="str">
            <v>B-316-B, Sushant Lok-1</v>
          </cell>
          <cell r="E92" t="str">
            <v>M G Road</v>
          </cell>
          <cell r="F92" t="str">
            <v>Saturday</v>
          </cell>
          <cell r="G92" t="str">
            <v>9:30 AM to 2PM</v>
          </cell>
          <cell r="H92">
            <v>2300</v>
          </cell>
          <cell r="I92">
            <v>287.5</v>
          </cell>
          <cell r="J92" t="str">
            <v>Felicity</v>
          </cell>
          <cell r="K92" t="str">
            <v>Saturday n Tuesday// No Yel Spray Daisy // Do not count last del (06/07) No Gerbera (12/04)</v>
          </cell>
          <cell r="L92" t="str">
            <v>GERBERA</v>
          </cell>
          <cell r="N92" t="str">
            <v>3  del of this cycle   -  0-cycles pmnt   In Process - Collect 0</v>
          </cell>
          <cell r="O92" t="str">
            <v>B Daisy ( 12 Inch ) 11     Grass</v>
          </cell>
          <cell r="P92" t="str">
            <v>O Asiatic ( 14 Inch ) 2     Grass</v>
          </cell>
          <cell r="Q92" t="str">
            <v>Sunflower ( 12 Inch ) 3     FF Sachet + Grass</v>
          </cell>
          <cell r="R92" t="str">
            <v>Rajni ( 14 Inch ) 11     Grass</v>
          </cell>
          <cell r="S92" t="str">
            <v>P Spray Daisy ( 14 Inch ) 3     FF sachet + Grass</v>
          </cell>
          <cell r="T92" t="str">
            <v>O Glad ( 14 Inch ) 11     Grass</v>
          </cell>
        </row>
        <row r="93">
          <cell r="A93">
            <v>2629</v>
          </cell>
          <cell r="B93" t="str">
            <v>Arpita Das</v>
          </cell>
          <cell r="C93">
            <v>9810996113</v>
          </cell>
          <cell r="D93" t="str">
            <v>120/63, Silver Oaks Appartment, G Block, Sec 26</v>
          </cell>
          <cell r="E93" t="str">
            <v>DLF Phase 1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Rajni next (23/05) Skip 1 week (25/05) Skip 1 week (06/07) Skip 16th (12/08) Hold tom (28/11) Hold till 4th Jan (14/12) Start from 31st Jan (12/01) Skip tom (06/02) Skip tom (13/02) Hold 28th Mar (25/03) Hold till 20th June (11/05) Hold today (11/07)</v>
          </cell>
          <cell r="M93" t="str">
            <v>Rajni next</v>
          </cell>
          <cell r="N93" t="str">
            <v>3  del of this cycle   -  0-cycles pmnt   Completed - Collect 0</v>
          </cell>
          <cell r="O93" t="e">
            <v>#N/A</v>
          </cell>
          <cell r="P93" t="e">
            <v>#N/A</v>
          </cell>
          <cell r="Q93" t="str">
            <v>Pur n P Car ( 14 Inch ) 16     FF Sachet + Grass</v>
          </cell>
          <cell r="R93" t="str">
            <v>O Asiatic ( 14 Inch ) 3     Grass</v>
          </cell>
          <cell r="S93" t="str">
            <v>Mix Alstroemeria ( 12 Inch ) 16     Grass</v>
          </cell>
          <cell r="T93" t="str">
            <v>P Spray + Y Button Daisy ( 14 Inch ) 5     FF Sachet + Grass</v>
          </cell>
        </row>
        <row r="94">
          <cell r="A94" t="str">
            <v>B56550</v>
          </cell>
          <cell r="B94" t="str">
            <v>Jinisha Khandelwal</v>
          </cell>
          <cell r="C94">
            <v>9560660444</v>
          </cell>
          <cell r="D94" t="str">
            <v>F-2502, GPL Eden Heights</v>
          </cell>
          <cell r="E94" t="str">
            <v>Badshahpur</v>
          </cell>
          <cell r="F94" t="str">
            <v>Saturday</v>
          </cell>
          <cell r="G94" t="str">
            <v>By 5 PM</v>
          </cell>
          <cell r="H94">
            <v>500</v>
          </cell>
          <cell r="I94">
            <v>500</v>
          </cell>
          <cell r="J94" t="str">
            <v>Bouquet</v>
          </cell>
          <cell r="K94" t="str">
            <v>From Prashant Sudhakar// with message Card</v>
          </cell>
          <cell r="N94" t="str">
            <v>1  del of this cycle   -  0-cycles pmnt   In Process - Collect 0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str">
            <v xml:space="preserve">P n W Car + G n Y Spray Daisy + W Asiatic 8 + 4 + 2 Single Wrap with Sutlee Message Card+Gift   </v>
          </cell>
        </row>
        <row r="95">
          <cell r="A95">
            <v>3138</v>
          </cell>
          <cell r="B95" t="str">
            <v>Alpna Verma</v>
          </cell>
          <cell r="C95">
            <v>9811996368</v>
          </cell>
          <cell r="D95" t="str">
            <v>B-70, Sushant Lok Phase 1, Next to Vipul Square, Enter gaye no. 4</v>
          </cell>
          <cell r="E95" t="str">
            <v>M G Road</v>
          </cell>
          <cell r="F95" t="str">
            <v>Tuesday</v>
          </cell>
          <cell r="G95" t="str">
            <v>9 AM - 12 PM</v>
          </cell>
          <cell r="H95">
            <v>2300</v>
          </cell>
          <cell r="I95">
            <v>287.5</v>
          </cell>
          <cell r="J95" t="str">
            <v>Felicity</v>
          </cell>
          <cell r="K95" t="str">
            <v>Day Changed ro Tuesday and Saturday (22/03)Single Color Flowers (01/12)</v>
          </cell>
          <cell r="M95" t="str">
            <v>Single Color Flowers</v>
          </cell>
          <cell r="N95" t="str">
            <v>3  del of this cycle   -  1-cycles pmnt   Pending - Collect 2300</v>
          </cell>
          <cell r="O95" t="str">
            <v>B Daisy ( 12 Inch ) 11     Grass</v>
          </cell>
          <cell r="P95" t="str">
            <v>P Asiatic ( 14 Inch ) 2     Grass</v>
          </cell>
          <cell r="Q95" t="str">
            <v>P Glad ( 14 Inch )  11 One Color Flower    FF Sachet + Grass</v>
          </cell>
          <cell r="R95" t="str">
            <v>Shd Pur Car ( 14 Inch ) 11     FF Sachet + Grass</v>
          </cell>
          <cell r="S95" t="str">
            <v>Sunflower ( 12 Inch ) 3     FF sachet + Grass</v>
          </cell>
          <cell r="T95" t="str">
            <v>Rajni ( 14 Inch ) 11   Ensure Collection Emnsure Collection Grass</v>
          </cell>
        </row>
        <row r="96">
          <cell r="A96">
            <v>3058</v>
          </cell>
          <cell r="B96" t="str">
            <v>Ritu Gupta</v>
          </cell>
          <cell r="C96">
            <v>9811321755</v>
          </cell>
          <cell r="D96" t="str">
            <v>T-3/1201, The Close North</v>
          </cell>
          <cell r="E96" t="str">
            <v>Nirvana Country</v>
          </cell>
          <cell r="F96" t="str">
            <v>Saturday</v>
          </cell>
          <cell r="G96" t="str">
            <v>9 AM to 2 PM</v>
          </cell>
          <cell r="H96">
            <v>1780</v>
          </cell>
          <cell r="I96">
            <v>445</v>
          </cell>
          <cell r="J96" t="str">
            <v>Customized</v>
          </cell>
          <cell r="K96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96" t="str">
            <v>3 Asiatic</v>
          </cell>
          <cell r="N96" t="str">
            <v>2  del of this cycle   -  1-cycles pmnt   Pending - Collect 1780</v>
          </cell>
          <cell r="O96" t="str">
            <v>O Asiatic ( 14 Inch ) 3     1 Gypsola</v>
          </cell>
          <cell r="P96" t="str">
            <v>P Asiatic ( 14 Inch ) 3     1 Limonium</v>
          </cell>
          <cell r="Q96" t="str">
            <v>W Asiatic ( 14 Inch ) 3     1 Gypsola</v>
          </cell>
          <cell r="R96" t="e">
            <v>#N/A</v>
          </cell>
          <cell r="S96" t="str">
            <v>Asiatic 3     Areca apalm + Grass</v>
          </cell>
          <cell r="T96" t="str">
            <v>O Asiatic ( 14 Inch ) 3   Ensure Collection Emnsure Collection Grass</v>
          </cell>
        </row>
        <row r="97">
          <cell r="A97">
            <v>1148</v>
          </cell>
          <cell r="B97" t="str">
            <v>Bindiya Rawat</v>
          </cell>
          <cell r="C97">
            <v>9910118957</v>
          </cell>
          <cell r="D97" t="str">
            <v>V-12/3, 1st Floor, DLF Phase 3, Sec 24</v>
          </cell>
          <cell r="E97" t="str">
            <v>DLF Phase 3</v>
          </cell>
          <cell r="F97" t="str">
            <v>Saturday</v>
          </cell>
          <cell r="G97" t="str">
            <v>9:30 Am to 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7" t="str">
            <v>GERBERA n HELICONIA</v>
          </cell>
          <cell r="N97" t="str">
            <v>1  del of this cycle   -  1-cycles pmnt   Pending - Collect 1450</v>
          </cell>
          <cell r="O97" t="e">
            <v>#N/A</v>
          </cell>
          <cell r="P97" t="e">
            <v>#N/A</v>
          </cell>
          <cell r="Q97" t="str">
            <v>Pur n P Car ( 14 Inch ) 16     FF Sachet + Grass</v>
          </cell>
          <cell r="R97" t="str">
            <v>O Asiatic ( 14 Inch ) 3     Grass</v>
          </cell>
          <cell r="S97" t="str">
            <v>Mix Alstroemeria ( 12 Inch ) 16     Grass</v>
          </cell>
          <cell r="T97" t="str">
            <v>Pur Eustoma ( 12 Inch ) 3     FF Sachet + Grass</v>
          </cell>
        </row>
        <row r="98">
          <cell r="A98">
            <v>3335</v>
          </cell>
          <cell r="B98" t="str">
            <v>Aman Batra</v>
          </cell>
          <cell r="C98">
            <v>8826778738</v>
          </cell>
          <cell r="D98" t="str">
            <v>Tower-F/702, The Ivy, Block A, Sushant Lok-1</v>
          </cell>
          <cell r="E98" t="str">
            <v>DLF Phase 4</v>
          </cell>
          <cell r="F98" t="str">
            <v>Saturday</v>
          </cell>
          <cell r="G98" t="str">
            <v>10 AM to 2:30 PM</v>
          </cell>
          <cell r="H98">
            <v>4750</v>
          </cell>
          <cell r="I98">
            <v>1187.5</v>
          </cell>
          <cell r="J98" t="str">
            <v>Enchantment</v>
          </cell>
          <cell r="K98" t="str">
            <v>Hold n start from 30th May // Sen this week on Friday (25/06) No Glad (25/06) No rajni ( 07/07)</v>
          </cell>
          <cell r="L98" t="str">
            <v xml:space="preserve">Glad n Rajni </v>
          </cell>
          <cell r="N98" t="str">
            <v>1  del of this cycle   -  1-cycles pmnt   Pending - Collect 4750</v>
          </cell>
          <cell r="O98" t="str">
            <v>P Oriental ( 15 Inch ) 4 B Daisy ( 12 Inch ) 30   3 Areca Palm + 3 Gypsola</v>
          </cell>
          <cell r="P98" t="e">
            <v>#N/A</v>
          </cell>
          <cell r="Q98" t="str">
            <v>O Asiatic ( 14 Inch ) 6 Rajni ( 14 Inch ) 30   3 Areca palm + 3 Limonium</v>
          </cell>
          <cell r="R98" t="str">
            <v>W Oriental ( 15 Inch ) 4 R n W Car ( 14 Inch ) 30   3 Areca Palm + 3 Gypsola</v>
          </cell>
          <cell r="S98" t="str">
            <v>Y Asiatic ( 14 Inch ) 6 Mix Alstroemeria ( 12 Inch ) 30   3 Areca palm + 3 Limonium</v>
          </cell>
          <cell r="T98" t="str">
            <v>W Asiatic ( 14 Inch ) 6 P n W Car ( 14 Inch ) 30   3 Areca palm + 3 Gypsola</v>
          </cell>
        </row>
        <row r="99">
          <cell r="A99">
            <v>3371</v>
          </cell>
          <cell r="B99" t="str">
            <v>Supriya Bijlwan</v>
          </cell>
          <cell r="C99">
            <v>9560012831</v>
          </cell>
          <cell r="D99" t="str">
            <v>C-201, Mahindra Luminaire</v>
          </cell>
          <cell r="G99" t="str">
            <v>Replacment</v>
          </cell>
          <cell r="H99" t="str">
            <v>Replacment</v>
          </cell>
          <cell r="I99" t="str">
            <v>Replacment</v>
          </cell>
          <cell r="J99" t="str">
            <v>Replacment</v>
          </cell>
          <cell r="K99" t="str">
            <v>Replacment</v>
          </cell>
          <cell r="L99" t="str">
            <v>Replacment</v>
          </cell>
          <cell r="M99" t="str">
            <v>Replacment</v>
          </cell>
          <cell r="N99" t="str">
            <v>Replacment</v>
          </cell>
          <cell r="O99" t="str">
            <v>Replacment</v>
          </cell>
          <cell r="P99" t="str">
            <v>Replacment</v>
          </cell>
          <cell r="Q99" t="str">
            <v>Replacment</v>
          </cell>
          <cell r="R99" t="str">
            <v>Replacment</v>
          </cell>
          <cell r="S99" t="str">
            <v>Replacment</v>
          </cell>
          <cell r="T99" t="str">
            <v>Sunflower ( 12 Inch ) 1     Grass</v>
          </cell>
        </row>
        <row r="100">
          <cell r="A100">
            <v>2626</v>
          </cell>
          <cell r="B100" t="str">
            <v>Mayank</v>
          </cell>
          <cell r="C100" t="str">
            <v>9661713694 // 8851453130</v>
          </cell>
          <cell r="D100" t="str">
            <v>W-5/32, 4th Floor, Room No. 24, Near Tulsa Tea Stall, Pink Town House Road, U-25 Marg</v>
          </cell>
          <cell r="E100" t="str">
            <v>DLF Phase 3</v>
          </cell>
          <cell r="F100" t="str">
            <v>Saturday</v>
          </cell>
          <cell r="G100" t="str">
            <v>9 AM - 12 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Flr Drop U23/20  3rd Flr Room No 5 (02/08) Hod due to non payment (17/01) Send tom after 7PM (19/01) Hold due to non payment (07/02) HDTNP (07/03) HDTNP (13/03) HDTNP (02/05)</v>
          </cell>
          <cell r="N100" t="str">
            <v>3  del of this cycle   -  0-cycles pmnt   CompletedNO COLLECTION-we have extra money - Collect -100</v>
          </cell>
          <cell r="O100" t="str">
            <v>P Asiatic ( 14 Inch ) 2 P n W Glad ( 14 Inch ) 7   Grass</v>
          </cell>
          <cell r="P100" t="str">
            <v>Sunflower ( 14 Inch ) 2 Pur n P Car ( 14 Inch ) 7   FF Sachet + Grass</v>
          </cell>
          <cell r="Q100" t="str">
            <v>W Asiatic ( 14 Inch ) 2 Mix Alstroemeria ( 12 Inch ) 7   Grass</v>
          </cell>
          <cell r="R100" t="str">
            <v>P Spray Daisy ( 14 Inch ) 3 Rajni ( 14 inch ) 7   FF sachet + Car</v>
          </cell>
          <cell r="S100" t="str">
            <v>P Eustoma ( 12 Inch ) 2 Mix Glad ( 14 Inch ) 7   FF Sachet + Grass</v>
          </cell>
          <cell r="T100" t="str">
            <v>Sunflower ( 12 Inch ) 2 P n W Car ( 14 Inch ) 7   FF Sachet + Grass</v>
          </cell>
        </row>
        <row r="101">
          <cell r="A101">
            <v>2837</v>
          </cell>
          <cell r="B101" t="str">
            <v>Atikant</v>
          </cell>
          <cell r="C101">
            <v>9953210341</v>
          </cell>
          <cell r="D101" t="str">
            <v>W-4/8, Unit C, 2 &amp; 3 Moulsari Avenue</v>
          </cell>
          <cell r="E101" t="str">
            <v>DLF Phase 3</v>
          </cell>
          <cell r="F101" t="str">
            <v>Saturday</v>
          </cell>
          <cell r="G101" t="str">
            <v>9:30 Am to 2 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101" t="str">
            <v>3  del of this cycle   -  0-cycles pmnt   Completed - Collect 0</v>
          </cell>
          <cell r="O101" t="str">
            <v>P Asiatic ( 14 Inch ) 2     Grass</v>
          </cell>
          <cell r="P101" t="str">
            <v>Sunflower ( 14 Inch ) 2     Grass</v>
          </cell>
          <cell r="Q101" t="e">
            <v>#N/A</v>
          </cell>
          <cell r="R101" t="str">
            <v>Rajni ( 14 Inch ) 16     Grass</v>
          </cell>
          <cell r="S101" t="str">
            <v>Mix Alstroemeria ( 12 Inch ) 16     Grass</v>
          </cell>
          <cell r="T101" t="str">
            <v>Pur n W Car ( 14 Inch ) 16     FF Sachet + Grass</v>
          </cell>
        </row>
        <row r="102">
          <cell r="A102">
            <v>3392</v>
          </cell>
          <cell r="B102" t="str">
            <v>Dr. Shreya Scout</v>
          </cell>
          <cell r="C102">
            <v>9456035888</v>
          </cell>
          <cell r="D102" t="str">
            <v>H. No. 1314, 1st Floor, Sector 46</v>
          </cell>
          <cell r="E102" t="str">
            <v>Sec 46</v>
          </cell>
          <cell r="F102" t="str">
            <v>Saturday</v>
          </cell>
          <cell r="G102" t="str">
            <v>4 Pm to 7 PM</v>
          </cell>
          <cell r="H102">
            <v>1450</v>
          </cell>
          <cell r="I102">
            <v>362.5</v>
          </cell>
          <cell r="J102" t="str">
            <v>Bliss</v>
          </cell>
          <cell r="N102" t="str">
            <v>1  del of this cycle   -  1-cycles pmnt   Pending - Collect 1450</v>
          </cell>
          <cell r="O102" t="e">
            <v>#N/A</v>
          </cell>
          <cell r="P102" t="e">
            <v>#N/A</v>
          </cell>
          <cell r="Q102" t="str">
            <v>P Asiatic ( 14 Inch ) 3     Grass</v>
          </cell>
          <cell r="R102" t="str">
            <v>P n W Glad ( 14 Inch ) 16     Grass</v>
          </cell>
          <cell r="S102" t="str">
            <v>P n Y Spray Daisy ( 14 Inch ) 5     FF Sachet + Grass</v>
          </cell>
          <cell r="T102" t="str">
            <v>O Alstroemeria ( 12 Inch ) 16     FF Sachet + Grass</v>
          </cell>
        </row>
        <row r="103">
          <cell r="A103">
            <v>193</v>
          </cell>
          <cell r="B103" t="str">
            <v>Rekha Krishnan</v>
          </cell>
          <cell r="C103">
            <v>9811201254</v>
          </cell>
          <cell r="D103" t="str">
            <v>S9/23, DLF Phase3</v>
          </cell>
          <cell r="E103" t="str">
            <v>DLF Phase 3</v>
          </cell>
          <cell r="F103" t="str">
            <v>Saturday</v>
          </cell>
          <cell r="G103" t="str">
            <v>9 AM - 12 PM</v>
          </cell>
          <cell r="H103">
            <v>1450</v>
          </cell>
          <cell r="I103">
            <v>362.5</v>
          </cell>
          <cell r="J103" t="str">
            <v>Bliss</v>
          </cell>
          <cell r="K103" t="str">
            <v>Cash to be collected from Manoj Pandey(10/06) 2 Stick extra next week(28/12) Send 2 stick extra on next del(25/05/2020) Sending Del tom due to Diwali(11/11) Pls return 1050 tom(26/11)</v>
          </cell>
          <cell r="N103" t="str">
            <v>1  del of this cycle   -  0-cycles pmnt   Completed - Collect 0</v>
          </cell>
          <cell r="O103" t="str">
            <v>P Eustoma ( 12 Inch ) 3     Grass</v>
          </cell>
          <cell r="P103" t="str">
            <v>Sunflower ( 14 Inch ) 4     FF Sachet + Grass</v>
          </cell>
          <cell r="Q103" t="str">
            <v>P n W Glad ( 14 Inch ) 16     Grass</v>
          </cell>
          <cell r="R103" t="str">
            <v>O Asiatic ( 14 Inch ) 3     Grass</v>
          </cell>
          <cell r="S103" t="str">
            <v>G n W Car ( 14 Inch ) 16     FF Sachet + Grass</v>
          </cell>
          <cell r="T103" t="str">
            <v>Pur Eustoma ( 12 Inch ) 3     FF Sachet + Grass</v>
          </cell>
        </row>
        <row r="104">
          <cell r="A104">
            <v>190</v>
          </cell>
          <cell r="B104" t="str">
            <v>Itika Sharma--Before 11:30 AM</v>
          </cell>
          <cell r="C104">
            <v>9810045432</v>
          </cell>
          <cell r="D104" t="str">
            <v>T-10/503, The Close South</v>
          </cell>
          <cell r="E104" t="str">
            <v>Nirvana Country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v>
          </cell>
          <cell r="M104" t="str">
            <v>No flowers on sat snd sned on Sunday (02/07)</v>
          </cell>
          <cell r="N104" t="str">
            <v>3  del of this cycle   -  0-cycles pmnt   Completed - Collect 0</v>
          </cell>
          <cell r="O104" t="str">
            <v>P n W Glad ( 14 Inch ) 9     Grass</v>
          </cell>
          <cell r="P104" t="str">
            <v>O Asiatic ( 14 Inch ) 2     Grass</v>
          </cell>
          <cell r="Q104" t="e">
            <v>#N/A</v>
          </cell>
          <cell r="R104" t="e">
            <v>#N/A</v>
          </cell>
          <cell r="S104" t="str">
            <v>G n W Car ( 14 Inch ) 16     FF Sachet + Grass</v>
          </cell>
          <cell r="T104" t="str">
            <v>P spray Daisy   n Y Button  Daisy ( 14 Inch ) 5     FF Sachet + Grass</v>
          </cell>
        </row>
        <row r="105">
          <cell r="A105">
            <v>3371</v>
          </cell>
          <cell r="B105" t="str">
            <v>Supriya Bijlwan</v>
          </cell>
          <cell r="C105">
            <v>9560012831</v>
          </cell>
          <cell r="D105" t="str">
            <v>C-201, Mahindra Luminaire</v>
          </cell>
          <cell r="E105" t="str">
            <v>Ghata</v>
          </cell>
          <cell r="F105" t="str">
            <v>Saturday</v>
          </cell>
          <cell r="G105" t="str">
            <v>10 AM to 2:30 PM</v>
          </cell>
          <cell r="H105">
            <v>2300</v>
          </cell>
          <cell r="I105">
            <v>287.5</v>
          </cell>
          <cell r="J105" t="str">
            <v>Felicity</v>
          </cell>
          <cell r="K105" t="str">
            <v>1 Seasonal Extra next (20/05) No Rajni in Summer (12/07)</v>
          </cell>
          <cell r="L105" t="str">
            <v>Rajni in Summer</v>
          </cell>
          <cell r="M105" t="str">
            <v>Premium in next 2 Del (23/05)</v>
          </cell>
          <cell r="N105" t="str">
            <v>4  del of this cycle   -  0-cycles pmnt   Completed - Collect 0</v>
          </cell>
          <cell r="O105" t="str">
            <v>B Daisy ( 12 Inch ) 11     Grass</v>
          </cell>
          <cell r="P105" t="str">
            <v>Pur n P car ( 14 Inch ) 11     FF Sachet + Grass</v>
          </cell>
          <cell r="Q105" t="str">
            <v>P n W Glad ( 14 Inch ) 11     Grass</v>
          </cell>
          <cell r="R105" t="str">
            <v>Rajni ( 14 Inch ) 11     Grass</v>
          </cell>
          <cell r="S105" t="str">
            <v>G n W Car ( 14 Inch ) 11     FF sachet + Grass</v>
          </cell>
          <cell r="T105" t="str">
            <v>Sunflower ( 12 Inch ) 3     FF Sachet + Grass</v>
          </cell>
        </row>
        <row r="106">
          <cell r="A106">
            <v>1013</v>
          </cell>
          <cell r="B106" t="str">
            <v>Riti Malhotra-- Before 1 PM</v>
          </cell>
          <cell r="C106">
            <v>8879032832</v>
          </cell>
          <cell r="D106" t="str">
            <v>C-701, Elevate, Sec 59</v>
          </cell>
          <cell r="E106" t="str">
            <v>Ghata</v>
          </cell>
          <cell r="F106" t="str">
            <v>Saturday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106" t="str">
            <v>2  del of this cycle   -  0-cycles pmnt   Completed - Collect 0</v>
          </cell>
          <cell r="O106" t="str">
            <v>P n Y Spray Daisy ( 14 Inch ) 5     FF Sachet + Grass</v>
          </cell>
          <cell r="P106" t="str">
            <v>Pur n P car ( 14 Inch ) 16     FF Sachet + Grass</v>
          </cell>
          <cell r="Q106" t="str">
            <v>O Asiatic ( 14 Inch ) 3     Grass</v>
          </cell>
          <cell r="R106" t="str">
            <v>Mix Alstroemeria ( 12 Inch ) 16     FF sachet + Car</v>
          </cell>
          <cell r="S106" t="str">
            <v>Mix Glad ( 14 Inch ) 16     Grass</v>
          </cell>
          <cell r="T106" t="str">
            <v>Pur Eustoma ( 12 Inch ) 3     FF Sachet + Grass</v>
          </cell>
        </row>
        <row r="107">
          <cell r="A107">
            <v>1396</v>
          </cell>
          <cell r="B107" t="str">
            <v>Shalini Malhotra</v>
          </cell>
          <cell r="C107">
            <v>9899897993</v>
          </cell>
          <cell r="D107" t="str">
            <v>31-Espace</v>
          </cell>
          <cell r="E107" t="str">
            <v>Nirvana Country</v>
          </cell>
          <cell r="F107" t="str">
            <v>Saturday</v>
          </cell>
          <cell r="G107" t="str">
            <v>9 AM - 12 PM</v>
          </cell>
          <cell r="H107">
            <v>2750</v>
          </cell>
          <cell r="I107">
            <v>687.5</v>
          </cell>
          <cell r="J107" t="str">
            <v>Elation</v>
          </cell>
          <cell r="K107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7" t="str">
            <v>Orchid n GLAD</v>
          </cell>
          <cell r="N107" t="str">
            <v>3  del of this cycle   -  0-cycles pmnt   Completed - Collect 0</v>
          </cell>
          <cell r="O107" t="str">
            <v>P n Y Spray Daisy ( 14 Inch ) 10   Collect Payment Collect Payment 2 Gypsola + FF sachet</v>
          </cell>
          <cell r="P107" t="str">
            <v>P Asiatic ( 14 Inch ) 6     2 Limonium</v>
          </cell>
          <cell r="Q107" t="e">
            <v>#N/A</v>
          </cell>
          <cell r="R107" t="str">
            <v xml:space="preserve">R n W Car ( 14 Inch ) 32     2 Gypsola + FF sachet </v>
          </cell>
          <cell r="S107" t="str">
            <v>Mix Alstroemeria ( 12 Inch ) 32     FF Sachet + Grass</v>
          </cell>
          <cell r="T107" t="str">
            <v>Pur n P Eustoma ( 12 Inch ) 6     FF Sachet + Grass</v>
          </cell>
        </row>
        <row r="108">
          <cell r="A108">
            <v>2742</v>
          </cell>
          <cell r="B108" t="str">
            <v>Vanshika Goel</v>
          </cell>
          <cell r="C108">
            <v>8126477437</v>
          </cell>
          <cell r="D108" t="str">
            <v>S-27/2, Room 107, 1st Floor, Sec 24</v>
          </cell>
          <cell r="E108" t="str">
            <v>DLF Phase 3</v>
          </cell>
          <cell r="F108" t="str">
            <v>Tuesday</v>
          </cell>
          <cell r="G108" t="str">
            <v>4 Pm to 7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2 Seasonal and 2 Premium // Skip 1 week (15/06) Skip 2 weeks (02/07) Skip 29th and send on 22nd (16/07) Skip and send on Tuesday (18/07) Skip 1 week (22/09) Hold till 26th Sep (13/10) Skip 1 Week (02/02) Skip 3 weeks (13/02</v>
          </cell>
          <cell r="N108" t="str">
            <v>1  del of this cycle   -  1-cycles pmnt   Pending - Collect 1450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>Pur n W Car ( 14 Inch ) 16     FF Sachet + Grass</v>
          </cell>
        </row>
        <row r="109">
          <cell r="A109" t="str">
            <v>B56553</v>
          </cell>
          <cell r="B109" t="str">
            <v>Pooja Mallik -- BPTP Amstoria</v>
          </cell>
          <cell r="C109">
            <v>7404620597</v>
          </cell>
          <cell r="D109" t="str">
            <v>BPTP Amstoria Club, Sec 102</v>
          </cell>
          <cell r="E109" t="str">
            <v>Dwarka Expressway</v>
          </cell>
          <cell r="F109" t="str">
            <v>Saturday</v>
          </cell>
          <cell r="G109" t="str">
            <v>By 9:30 AM</v>
          </cell>
          <cell r="H109">
            <v>1500</v>
          </cell>
          <cell r="I109">
            <v>1500</v>
          </cell>
          <cell r="J109" t="str">
            <v>Bouquet</v>
          </cell>
          <cell r="N109" t="str">
            <v>1  del of this cycle   -  0-cycles pmnt   Completed - Collect 0</v>
          </cell>
          <cell r="T109" t="str">
            <v xml:space="preserve">Mix Semi Bloom Oriental + P n W Car  3 + 10 Tissue Wrap -- Thoda Failakar bada banana Khile Flowers beech mein rakhna pls   </v>
          </cell>
        </row>
        <row r="110">
          <cell r="B110" t="str">
            <v>Malvika Samnani</v>
          </cell>
          <cell r="C110" t="str">
            <v>98181 12646</v>
          </cell>
          <cell r="D110" t="str">
            <v>402 A Hamilton court</v>
          </cell>
          <cell r="H110">
            <v>600</v>
          </cell>
          <cell r="J110" t="str">
            <v>Bouquet</v>
          </cell>
          <cell r="K110" t="str">
            <v>Send today 
16 Rajnigandha to Malvika Samnani 
Before 4:30 
+91 98181 12646</v>
          </cell>
          <cell r="T110" t="str">
            <v xml:space="preserve">Rajni ( 14 Inch ) 16 Grass+arica    </v>
          </cell>
        </row>
        <row r="111">
          <cell r="A111">
            <v>386</v>
          </cell>
          <cell r="B111" t="str">
            <v>Alka Das gupta</v>
          </cell>
          <cell r="C111">
            <v>8860075639</v>
          </cell>
          <cell r="D111" t="str">
            <v>Tower-C/2004, Mahindra Luminare</v>
          </cell>
          <cell r="E111" t="str">
            <v>Ghata</v>
          </cell>
          <cell r="F111" t="str">
            <v>Saturday</v>
          </cell>
          <cell r="G111" t="str">
            <v>4 PM to 7Pm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11" t="str">
            <v>3  del of this cycle   -  0-cycles pmnt   Completed - Collect 0</v>
          </cell>
          <cell r="O111" t="str">
            <v>P n W Glad ( 14 Inch ) 16   Collect Payment Collect Payment Grass</v>
          </cell>
          <cell r="P111" t="str">
            <v>Sunflower ( 14 Inch ) 4     FF Sachet + Grass</v>
          </cell>
          <cell r="Q111" t="str">
            <v>Pur n P Car ( 14 Inch ) 16     FF Sachet + Grass</v>
          </cell>
          <cell r="R111" t="str">
            <v>Rajni ( 14 Inch ) 16     Grass</v>
          </cell>
          <cell r="S111" t="str">
            <v>O Asiatic ( 14 Inch ) 3     Grass</v>
          </cell>
          <cell r="T111" t="str">
            <v>O Alstroemeria ( 12 Inch ) 16     FF Sachet + Grass</v>
          </cell>
        </row>
        <row r="112">
          <cell r="B112" t="str">
            <v>Shivalu</v>
          </cell>
          <cell r="C112" t="str">
            <v xml:space="preserve"> 99229 10491</v>
          </cell>
          <cell r="D112" t="str">
            <v>1402..tower 11...south close.. Nirvana country... Sector 50</v>
          </cell>
          <cell r="H112">
            <v>600</v>
          </cell>
          <cell r="J112" t="str">
            <v>Bouquet</v>
          </cell>
          <cell r="T112" t="str">
            <v xml:space="preserve">P+Shd Pur+ G+ Y  Car 15 Walkin Wrap Message   </v>
          </cell>
        </row>
        <row r="113">
          <cell r="A113">
            <v>3383</v>
          </cell>
          <cell r="B113" t="str">
            <v>Jaya Todi</v>
          </cell>
          <cell r="C113">
            <v>8084159730</v>
          </cell>
          <cell r="D113" t="str">
            <v>T-6/1001, M3M Heights, Sec 65</v>
          </cell>
          <cell r="E113" t="str">
            <v>Badshahpur</v>
          </cell>
          <cell r="F113" t="str">
            <v>Saturday</v>
          </cell>
          <cell r="G113" t="str">
            <v>4 PM to 7PM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No Spray Daisy ( 15/07)</v>
          </cell>
          <cell r="L113" t="str">
            <v>Spray Daisy</v>
          </cell>
          <cell r="N113" t="str">
            <v>2  del of this cycle   -  0-cycles pmnt   Completed - Collect 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str">
            <v>G n W Car ( 14 Inch ) 16     FF Sachet + Grass</v>
          </cell>
          <cell r="T113" t="str">
            <v xml:space="preserve">O Asiatic ( 14 Inch ) 3     </v>
          </cell>
        </row>
        <row r="114">
          <cell r="B114" t="str">
            <v>Renu Kothari</v>
          </cell>
          <cell r="C114">
            <v>9987323757</v>
          </cell>
          <cell r="D114" t="str">
            <v>4101, M3M Latitude, Sec 65</v>
          </cell>
          <cell r="G114" t="str">
            <v>By 5 To 6 Pm</v>
          </cell>
          <cell r="H114">
            <v>900</v>
          </cell>
          <cell r="J114" t="str">
            <v>Bouquet</v>
          </cell>
          <cell r="K114" t="str">
            <v>To de Renu Kothari by 5 PM 
Mix of 17 shaded pink and pink roses in tissue wrap 
Amount 900 
+91 99873 23757</v>
          </cell>
          <cell r="T114" t="str">
            <v>Shd P+ P Rose 17 Tissue Wrap   O Asiatic 4 Grass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8-26"/>
      <sheetName val="02-08-26"/>
      <sheetName val=" 03-08-26"/>
      <sheetName val="04-08-26"/>
      <sheetName val=" 05-08-26"/>
      <sheetName val="06-08-26"/>
      <sheetName val="07-08-26"/>
    </sheetNames>
    <sheetDataSet>
      <sheetData sheetId="0">
        <row r="2">
          <cell r="A2">
            <v>3373</v>
          </cell>
          <cell r="B2" t="str">
            <v>Kirti Singhal</v>
          </cell>
          <cell r="C2">
            <v>9045453716</v>
          </cell>
          <cell r="D2" t="str">
            <v>57, Mohyal Colony, Sec 40</v>
          </cell>
          <cell r="E2" t="str">
            <v>Sushant Estate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From 7060315977 // Paytm from Tanmay Gupta (23/05) Skip 1 week (26/05) Hold today (27/06) Hold todau (25/07)</v>
          </cell>
          <cell r="N2" t="str">
            <v>4  del of this cycle   -  0-cycles pmnt   Completed - Collect 0</v>
          </cell>
          <cell r="O2" t="str">
            <v>Asiatic 3     Grass</v>
          </cell>
          <cell r="P2" t="str">
            <v>P n W Glad ( 14 Inch ) 16     Grass</v>
          </cell>
          <cell r="Q2" t="str">
            <v>Rajni ( 14 Inch ) 16     Grass</v>
          </cell>
          <cell r="R2" t="str">
            <v>G n W Car ( 14 Inch ) 16     FF Sachet + Grass</v>
          </cell>
          <cell r="S2" t="str">
            <v>P n Y Spray Daisy ( 14 Inch ) 5     FF Sachet + Grass</v>
          </cell>
          <cell r="T2" t="str">
            <v>Glad 3     FF Sachet + Grass</v>
          </cell>
        </row>
        <row r="3">
          <cell r="A3">
            <v>2324</v>
          </cell>
          <cell r="B3" t="str">
            <v>Reena Singh</v>
          </cell>
          <cell r="C3">
            <v>9810094023</v>
          </cell>
          <cell r="D3" t="str">
            <v>A1/304, Uniworld City</v>
          </cell>
          <cell r="E3" t="str">
            <v>South City 1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3" t="str">
            <v>2  del of this cycle   -  0-cycles pmnt   CompletedNO COLLECTION-we have extra money - Collect -4</v>
          </cell>
          <cell r="O3" t="str">
            <v>Pur n P car ( 14 Inch ) 16     FF Sachet + Grass</v>
          </cell>
          <cell r="P3" t="str">
            <v>Sunflower ( 12 Inch ) 4     Grass</v>
          </cell>
          <cell r="Q3" t="str">
            <v>O Asiatic 3     Grass</v>
          </cell>
          <cell r="R3" t="str">
            <v>Mix Alstroemeria ( 12 Inch ) 16     FF Sachet + Grass</v>
          </cell>
          <cell r="S3" t="str">
            <v>Pur Eustoma ( 12 Inch ) 3     FF Sachet + Grass</v>
          </cell>
          <cell r="T3" t="str">
            <v>Mix Glad ( 14 Inch ) 16     Grass</v>
          </cell>
        </row>
        <row r="4">
          <cell r="A4">
            <v>2257</v>
          </cell>
          <cell r="B4" t="str">
            <v>Akanksha Bhatia -- After 4 PM</v>
          </cell>
          <cell r="C4">
            <v>9987861735</v>
          </cell>
          <cell r="D4" t="str">
            <v>H. No. 149, 3rd Floor, A Block, South City 1</v>
          </cell>
          <cell r="E4" t="str">
            <v>South City 1</v>
          </cell>
          <cell r="F4" t="str">
            <v>Saturday</v>
          </cell>
          <cell r="G4" t="str">
            <v>After 4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v>
          </cell>
          <cell r="N4" t="str">
            <v>3  del of this cycle   -  0-cycles pmnt   Completed - Collect 0</v>
          </cell>
          <cell r="O4" t="str">
            <v>Pur n P car ( 14 Inch ) 16     FF Sachet + Grass</v>
          </cell>
          <cell r="P4" t="str">
            <v>O Asiatic ( 14 Inch ) 3     Grass</v>
          </cell>
          <cell r="Q4" t="e">
            <v>#N/A</v>
          </cell>
          <cell r="R4" t="str">
            <v>Mix Glad ( 14 Inch ) 16     Grass</v>
          </cell>
          <cell r="S4" t="str">
            <v>P spray  n Y Button  Spray Daisy ( 14 Inch ) 5     FF Sachet + Grass</v>
          </cell>
          <cell r="T4" t="str">
            <v>R n W Car ( 14 Inch ) 16     FF Sachet + Grass</v>
          </cell>
        </row>
        <row r="5">
          <cell r="A5">
            <v>2371</v>
          </cell>
          <cell r="B5" t="str">
            <v>Namrata Das Adhikary -- 1450 Pack</v>
          </cell>
          <cell r="C5" t="str">
            <v xml:space="preserve"> 8587955990 // 9910285192</v>
          </cell>
          <cell r="D5" t="str">
            <v>C-922-A, 1st floor, Sushant Lok Phase-1, Gurgaon, Haryana-122002</v>
          </cell>
          <cell r="E5" t="str">
            <v>M G Road</v>
          </cell>
          <cell r="F5" t="str">
            <v>Saturday</v>
          </cell>
          <cell r="G5" t="str">
            <v>4 Pm to 7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5" t="str">
            <v>4  del of this cycle   -  0-cycles pmnt   Completed - Collect 0</v>
          </cell>
          <cell r="O5" t="e">
            <v>#N/A</v>
          </cell>
          <cell r="P5" t="str">
            <v>P n W Glad ( 14 Inch ) 7     Grass</v>
          </cell>
          <cell r="Q5" t="str">
            <v>O Asiatic ( 14 Inch ) 3     Grass</v>
          </cell>
          <cell r="R5" t="str">
            <v>Mix  Spray daisy 5     FF Sachet + Grass</v>
          </cell>
          <cell r="S5" t="str">
            <v>P n W Car ( 14 Inch ) 16     FF Sachet + Grass</v>
          </cell>
          <cell r="T5" t="str">
            <v>Pink n Yellow  5     FF Sachet + Grass</v>
          </cell>
        </row>
        <row r="6">
          <cell r="A6">
            <v>249</v>
          </cell>
          <cell r="B6" t="str">
            <v>Rajni Mehra</v>
          </cell>
          <cell r="C6">
            <v>9810655365</v>
          </cell>
          <cell r="D6" t="str">
            <v xml:space="preserve"> H-1201, Pilot Court, Essel Towers M.G.ROAD GURGAON 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6" t="str">
            <v>Statice next</v>
          </cell>
          <cell r="N6" t="str">
            <v>1  del of this cycle   -  1-cycles pmnt   Pending - Collect 1450</v>
          </cell>
          <cell r="O6" t="e">
            <v>#N/A</v>
          </cell>
          <cell r="P6" t="str">
            <v>P Asiatic ( 14 Inch ) 3     Grass</v>
          </cell>
          <cell r="Q6" t="str">
            <v>R n W Car ( 14 Inch ) 16     FF sachet + Car</v>
          </cell>
          <cell r="R6" t="str">
            <v>P n Y Spray Daisy ( 14 Inch ) 5     FF Sachet + Grass</v>
          </cell>
          <cell r="S6" t="str">
            <v>O Alstroemeria ( 12 Inch ) 16     FF Sachet + Grass</v>
          </cell>
          <cell r="T6" t="str">
            <v>Mix Glad ( 14 Inch ) 16     Grass</v>
          </cell>
        </row>
        <row r="7">
          <cell r="A7">
            <v>2743</v>
          </cell>
          <cell r="B7" t="str">
            <v>Juhee Gandhi</v>
          </cell>
          <cell r="C7">
            <v>9999767374</v>
          </cell>
          <cell r="D7" t="str">
            <v>T-2/15 D, 4th Floor, DLF Phase 3</v>
          </cell>
          <cell r="E7" t="str">
            <v>DLF Phase 3</v>
          </cell>
          <cell r="F7" t="str">
            <v>Saturday</v>
          </cell>
          <cell r="G7" t="str">
            <v>4 Pm to 7 PM</v>
          </cell>
          <cell r="H7">
            <v>2750</v>
          </cell>
          <cell r="I7">
            <v>687.5</v>
          </cell>
          <cell r="J7" t="str">
            <v>Elation</v>
          </cell>
          <cell r="K7" t="str">
            <v>Ref  By Disha Roy (12/06) Send 1 del tom (25/08) Send one Del Tom (08/09) Next delivery on Tuesday (14/09)</v>
          </cell>
          <cell r="N7" t="str">
            <v>1  del of this cycle   -  1-cycles pmnt   Pending - Collect 2750</v>
          </cell>
          <cell r="O7" t="str">
            <v>P Asiatic ( 14 Inch ) 3 Pur n P Car ( 14 Inch ) 16   2 Limonium</v>
          </cell>
          <cell r="P7" t="str">
            <v xml:space="preserve">P n Y Spray daisy ( 14 inch ) 5 Rajni ( 14 Inch ) 16   2 Gypsola + FF Sachet </v>
          </cell>
          <cell r="Q7" t="str">
            <v xml:space="preserve">Sunflower ( 12 Inch ) 4 Mix Alstroemeria ( 12  Inch ) 16  Ensure Collection 2 Gypsola + FF sachet </v>
          </cell>
          <cell r="R7" t="str">
            <v>W Asiatic ( 14 Inch ) 2 Mix Glad ( 14 Inch ) 16 Collect payment Collect payment Grass</v>
          </cell>
          <cell r="S7" t="str">
            <v>P Eustoma ( 12 Inch ) 3 P n W Car ( 14 Inch ) 16   FF Sachet + Grass</v>
          </cell>
          <cell r="T7" t="str">
            <v>P n W Spray Daisy ( 14 Inch ) 5 Mix Glad ( 14 Inch ) 16   FF Sachet + Grass</v>
          </cell>
        </row>
        <row r="8">
          <cell r="A8">
            <v>2325</v>
          </cell>
          <cell r="B8" t="str">
            <v>Aman</v>
          </cell>
          <cell r="C8">
            <v>9818655913</v>
          </cell>
          <cell r="D8" t="str">
            <v>S-1/12, 1st Floor, DLF Phase 3</v>
          </cell>
          <cell r="E8" t="str">
            <v>DLF Phase 3</v>
          </cell>
          <cell r="F8" t="str">
            <v>Saturday</v>
          </cell>
          <cell r="G8" t="str">
            <v>4 Pm to 7 PM</v>
          </cell>
          <cell r="H8">
            <v>3000</v>
          </cell>
          <cell r="I8">
            <v>375</v>
          </cell>
          <cell r="J8" t="str">
            <v>Charm</v>
          </cell>
          <cell r="K8" t="str">
            <v>Sat n Tuesday//NO Car n Lilies(07/09) Skip coming del n send on 4th Jan (25/12) Skip tom (10/01) Hold n start from 5th Mar-25(09/02) Hold due to non payment (14/10) Hold due to non payment (17/01)</v>
          </cell>
          <cell r="L8" t="str">
            <v>Car n Lilies</v>
          </cell>
          <cell r="N8" t="str">
            <v>4  del of this cycle   -  0-cycles pmnt   Completed - Collect 0</v>
          </cell>
          <cell r="O8" t="str">
            <v>Pur n P car ( 14 Inch ) 15     FF Sachet + Grass</v>
          </cell>
          <cell r="P8" t="e">
            <v>#N/A</v>
          </cell>
          <cell r="Q8" t="e">
            <v>#N/A</v>
          </cell>
          <cell r="R8" t="e">
            <v>#N/A</v>
          </cell>
          <cell r="S8" t="str">
            <v>O Asiatic ( 14 Inch ) 3   Ensure Collection Emnsure Collection Grass</v>
          </cell>
          <cell r="T8" t="str">
            <v>Sunflower ( 12 Inch ) 4     FF Sachet + Grass</v>
          </cell>
        </row>
        <row r="9">
          <cell r="A9">
            <v>2373</v>
          </cell>
          <cell r="B9" t="str">
            <v>Richa Sood</v>
          </cell>
          <cell r="C9">
            <v>9599318190</v>
          </cell>
          <cell r="D9" t="str">
            <v>B-2104, Elevate Appartments, Sec 59</v>
          </cell>
          <cell r="E9" t="str">
            <v>Ghata</v>
          </cell>
          <cell r="F9" t="str">
            <v>Saturday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Hold for 2 weeks (22/12) Skip 1 wek (17/03) No Sunflower (26/03) Skip 2 week (13/07) Skip 1 week (20/08) Hold today (27/12) Skip 1 week (19/01) Skip 1 week (26/02) Skip 1 week (31/03) Skip 1 week (21/06) Pink Car next and before 12 PM (20/07)</v>
          </cell>
          <cell r="L9" t="str">
            <v>Sunflower</v>
          </cell>
          <cell r="M9" t="str">
            <v>Pink Car next and before 12 PM (20/07)</v>
          </cell>
          <cell r="N9" t="str">
            <v>4  del of this cycle   -  0-cycles pmnt   Completed - Collect 0</v>
          </cell>
          <cell r="O9" t="e">
            <v>#N/A</v>
          </cell>
          <cell r="P9" t="str">
            <v>O Asiatic ( 14 Inch ) 2     Grass</v>
          </cell>
          <cell r="Q9" t="str">
            <v>R n W Car ( 14 Inch ) 16     FF sachet + Car</v>
          </cell>
          <cell r="R9" t="str">
            <v>P n W Spray Daisy ( 14 Inch ) 5     FF Sachet + Grass</v>
          </cell>
          <cell r="S9" t="str">
            <v xml:space="preserve">P Car 16     </v>
          </cell>
          <cell r="T9" t="str">
            <v>Mix Alstroemeria ( 12 Inch ) 16     FF Sachet + Grass</v>
          </cell>
        </row>
        <row r="10">
          <cell r="A10">
            <v>386</v>
          </cell>
          <cell r="B10" t="str">
            <v>Alka Das gupta</v>
          </cell>
          <cell r="C10">
            <v>8860075639</v>
          </cell>
          <cell r="D10" t="str">
            <v>Tower-C/2004, Mahindra Luminare</v>
          </cell>
          <cell r="E10" t="str">
            <v>Ghata</v>
          </cell>
          <cell r="F10" t="str">
            <v>Saturday</v>
          </cell>
          <cell r="G10" t="str">
            <v>4 PM to 7Pm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" t="str">
            <v>4  del of this cycle   -  0-cycles pmnt   Completed - Collect 0</v>
          </cell>
          <cell r="O10" t="str">
            <v>Sunflower ( 14 Inch ) 4     FF Sachet + Grass</v>
          </cell>
          <cell r="P10" t="str">
            <v>Pur n P Car ( 14 Inch ) 16     FF Sachet + Grass</v>
          </cell>
          <cell r="Q10" t="str">
            <v>Rajni ( 14 Inch ) 16     Grass</v>
          </cell>
          <cell r="R10" t="str">
            <v>O Asiatic ( 14 Inch ) 3     Grass</v>
          </cell>
          <cell r="S10" t="str">
            <v>O Alstroemeria ( 12 Inch ) 16     FF Sachet + Grass</v>
          </cell>
          <cell r="T10" t="str">
            <v>Mix Glad ( 14 Inch ) 16     Grass</v>
          </cell>
        </row>
        <row r="11">
          <cell r="A11">
            <v>18</v>
          </cell>
          <cell r="B11" t="str">
            <v>Ms. Shweta Ghosh</v>
          </cell>
          <cell r="C11">
            <v>9643200607</v>
          </cell>
          <cell r="D11" t="str">
            <v>T-7/1702, The Close South , Sector 50</v>
          </cell>
          <cell r="E11" t="str">
            <v>Nirvana Country</v>
          </cell>
          <cell r="F11" t="str">
            <v>Saturday</v>
          </cell>
          <cell r="G11" t="str">
            <v>4 Pm to 7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 Skip 1 week (20/07)</v>
          </cell>
          <cell r="L11" t="str">
            <v>GLDA n RAJNI</v>
          </cell>
          <cell r="M11" t="str">
            <v>Skip 6th n send on 8th this week (03/06)</v>
          </cell>
          <cell r="N11" t="str">
            <v>3  del of this cycle   -  0-cycles pmnt   Completed - Collect 0</v>
          </cell>
          <cell r="O11" t="str">
            <v>P Asiatic ( 14 Inch ) 3   Ensure Collection Ensure Collection Grass</v>
          </cell>
          <cell r="P11" t="str">
            <v>Sunflower ( 12 Inch ) 4     FF Sachet + Grass</v>
          </cell>
          <cell r="Q11" t="str">
            <v>B Daisy ( 12 Inch ) 16     Grass</v>
          </cell>
          <cell r="R11" t="str">
            <v>P n W Spray Daisy ( 14 Inch ) 5   Collect payment Collect payment FF Sachet + Grass</v>
          </cell>
          <cell r="S11" t="e">
            <v>#N/A</v>
          </cell>
          <cell r="T11" t="str">
            <v>W Asiatic ( 14 Inch ) 3     Grass</v>
          </cell>
        </row>
        <row r="12">
          <cell r="A12">
            <v>3383</v>
          </cell>
          <cell r="B12" t="str">
            <v>Jaya Todi</v>
          </cell>
          <cell r="C12">
            <v>8084159730</v>
          </cell>
          <cell r="D12" t="str">
            <v>T-6/1001, M3M Heights, Sec 65</v>
          </cell>
          <cell r="E12" t="str">
            <v>Badshahpur</v>
          </cell>
          <cell r="F12" t="str">
            <v>Saturday</v>
          </cell>
          <cell r="G12" t="str">
            <v>4 PM to 7PM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No Spray Daisy ( 15/07)</v>
          </cell>
          <cell r="L12" t="str">
            <v>Spray Daisy</v>
          </cell>
          <cell r="N12" t="str">
            <v>3  del of this cycle   -  0-cycles pmnt   Completed - Collect 0</v>
          </cell>
          <cell r="O12" t="e">
            <v>#N/A</v>
          </cell>
          <cell r="P12" t="e">
            <v>#N/A</v>
          </cell>
          <cell r="Q12" t="e">
            <v>#N/A</v>
          </cell>
          <cell r="R12" t="str">
            <v>G n W Car ( 14 Inch ) 16     FF Sachet + Grass</v>
          </cell>
          <cell r="S12" t="str">
            <v xml:space="preserve">O Asiatic ( 14 Inch ) 3     </v>
          </cell>
          <cell r="T12" t="str">
            <v>Mix Glad ( 14 Inch ) 16     Grass</v>
          </cell>
        </row>
        <row r="13">
          <cell r="A13">
            <v>2775</v>
          </cell>
          <cell r="B13" t="str">
            <v>Sreeparna Ghosh</v>
          </cell>
          <cell r="C13">
            <v>9711590494</v>
          </cell>
          <cell r="D13" t="str">
            <v>H-701, Mapsko Mountville, Sec 79</v>
          </cell>
          <cell r="E13" t="str">
            <v>Badshahpur</v>
          </cell>
          <cell r="F13" t="str">
            <v>Friday</v>
          </cell>
          <cell r="G13" t="str">
            <v>4 PM to 7PM</v>
          </cell>
          <cell r="H13">
            <v>1950</v>
          </cell>
          <cell r="I13">
            <v>487.5</v>
          </cell>
          <cell r="J13" t="str">
            <v>Replacement</v>
          </cell>
          <cell r="K13" t="str">
            <v>Send 1 W Asiatic as replacement (30/08) Skip 1 week (06/09) Returned-send next week (03/10) Send replacement of Gerbera tom (02/12) Skip 1 week (20/12) Upgarde to Joy from next cycle and mixed (20/02) Upgrade to Joy and skip 1 week (05/03) Send remaining flowers Tom (31/07)</v>
          </cell>
          <cell r="M13" t="str">
            <v>Upgarde to Joy from next cycle and mixed (20/02)</v>
          </cell>
          <cell r="N13" t="str">
            <v>1  del of this cycle   -  1-cycles pmnt   Pending - Collect 1950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str">
            <v>Pur n W Car ( 14 Inch ) 5     FF Sachet + Grass</v>
          </cell>
        </row>
        <row r="14">
          <cell r="A14">
            <v>2706</v>
          </cell>
          <cell r="B14" t="str">
            <v>Monika Arora</v>
          </cell>
          <cell r="C14">
            <v>9990121666</v>
          </cell>
          <cell r="D14" t="str">
            <v>Tostem Studio, Plot No. 564, Basement, Sec 39, Near Bakhtawar Chwok</v>
          </cell>
          <cell r="E14" t="str">
            <v>Medanta</v>
          </cell>
          <cell r="F14" t="str">
            <v>Saturday</v>
          </cell>
          <cell r="G14" t="str">
            <v>9 AM - 12 PM</v>
          </cell>
          <cell r="H14">
            <v>1600</v>
          </cell>
          <cell r="I14">
            <v>200</v>
          </cell>
          <cell r="J14" t="str">
            <v>Bloom</v>
          </cell>
          <cell r="K14" t="str">
            <v>Ref From Anupma Rastogi // Today Returned (09/08) Hold today (16/08) Today office was closed (21/10)</v>
          </cell>
          <cell r="N14" t="str">
            <v>1  del of this cycle   -  1-cycles pmnt   Pending - Collect 1600</v>
          </cell>
          <cell r="O14" t="str">
            <v>P n W car ( 14 Inch ) 7     FF Sachet + Grass</v>
          </cell>
          <cell r="P14" t="str">
            <v>Mix Alstroemeria ( 12 Inch ) 7     FF Sachet + Grass</v>
          </cell>
          <cell r="Q14" t="str">
            <v>Rajni ( 14 Inch ) 7     Grass</v>
          </cell>
          <cell r="R14" t="str">
            <v>Mix Glad ( 14 Inch ) 7     Grass</v>
          </cell>
          <cell r="S14" t="str">
            <v>Rajni ( 14 Inch ) 7     Grass</v>
          </cell>
          <cell r="T14" t="str">
            <v>R n W Car ( 14 Inch ) 7     FF Sachet + Grass</v>
          </cell>
        </row>
        <row r="15">
          <cell r="A15">
            <v>3421</v>
          </cell>
          <cell r="B15" t="str">
            <v>Anjum</v>
          </cell>
          <cell r="C15">
            <v>9871031918</v>
          </cell>
          <cell r="D15" t="str">
            <v>C-804, Mahindra Luminare, Sec 59</v>
          </cell>
          <cell r="E15" t="str">
            <v>Ghata</v>
          </cell>
          <cell r="F15" t="str">
            <v>Saturday</v>
          </cell>
          <cell r="G15" t="str">
            <v>9 AM to 2 PM</v>
          </cell>
          <cell r="H15">
            <v>1950</v>
          </cell>
          <cell r="I15">
            <v>487.5</v>
          </cell>
          <cell r="J15" t="str">
            <v>Joy</v>
          </cell>
          <cell r="N15" t="str">
            <v>1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P n W Car ( 14 Inch ) 22     FF Sachet + Grass</v>
          </cell>
        </row>
        <row r="16">
          <cell r="A16" t="str">
            <v>B56623</v>
          </cell>
          <cell r="B16" t="str">
            <v>Rtn Ashok Thussu</v>
          </cell>
          <cell r="C16">
            <v>9716688165</v>
          </cell>
          <cell r="D16" t="str">
            <v>A4/904, Sahara Grace</v>
          </cell>
          <cell r="E16" t="str">
            <v>M G Road</v>
          </cell>
          <cell r="F16" t="str">
            <v>Saturday</v>
          </cell>
          <cell r="G16" t="str">
            <v>By 11 AM</v>
          </cell>
          <cell r="H16">
            <v>600</v>
          </cell>
          <cell r="I16">
            <v>600</v>
          </cell>
          <cell r="J16" t="str">
            <v>Bouquet</v>
          </cell>
          <cell r="K16" t="str">
            <v>Wish You a very Happy Anniversary.    Regards, RCGQE (01/08)</v>
          </cell>
          <cell r="N16" t="str">
            <v>1  del of this cycle   -  0-cycles pmnt   Completed - Collect 0</v>
          </cell>
          <cell r="T16" t="str">
            <v xml:space="preserve">P n W Car ( 14 Inch ) 15 Walkin Tissue Wrap Message   </v>
          </cell>
        </row>
        <row r="17">
          <cell r="A17">
            <v>1536</v>
          </cell>
          <cell r="B17" t="str">
            <v>Farah</v>
          </cell>
          <cell r="C17">
            <v>9871518449</v>
          </cell>
          <cell r="D17" t="str">
            <v>D-12/3, Ground Floor, Gate no.4, aardee City</v>
          </cell>
          <cell r="E17" t="str">
            <v>Sushant Estate</v>
          </cell>
          <cell r="F17" t="str">
            <v>Saturday</v>
          </cell>
          <cell r="G17" t="str">
            <v>9 AM - 12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v>
          </cell>
          <cell r="L17" t="str">
            <v>Spray Daisy n Rajni</v>
          </cell>
          <cell r="N17" t="str">
            <v>3  del of this cycle   -  0-cycles pmnt   Completed - Collect 0</v>
          </cell>
          <cell r="O17" t="str">
            <v>Pur n P car ( 14 Inch ) 9     FF Sachet + Grass</v>
          </cell>
          <cell r="P17" t="str">
            <v>O Asiatic ( 14 Inch ) 2     Grass</v>
          </cell>
          <cell r="Q17" t="e">
            <v>#N/A</v>
          </cell>
          <cell r="R17" t="str">
            <v>Mix Alstroemeria ( 12 Inch ) 16     Grass</v>
          </cell>
          <cell r="S17" t="str">
            <v xml:space="preserve">O Glad ( 14 Inch ) 16     </v>
          </cell>
          <cell r="T17" t="str">
            <v>W n O Spray Daisy 5     FF Sachet + Grass</v>
          </cell>
        </row>
        <row r="18">
          <cell r="B18" t="str">
            <v>+91 98102 81415</v>
          </cell>
          <cell r="C18" t="str">
            <v>98102 81415</v>
          </cell>
          <cell r="D18" t="str">
            <v>V37 
green park delhi</v>
          </cell>
          <cell r="H18">
            <v>600</v>
          </cell>
          <cell r="J18" t="str">
            <v>Bouquet</v>
          </cell>
          <cell r="K18" t="str">
            <v>end today from Jaya Wanchoo
15 pink carnations in tissue wrap to 
V37 
green park
recipients contact number 
+91 98102 81415
mr ajay bahadur
Message 
dear tutuda  
best wishes 
wanchoos</v>
          </cell>
          <cell r="T18" t="str">
            <v xml:space="preserve">pink carnations  15 tissue wrap Message   </v>
          </cell>
        </row>
        <row r="19">
          <cell r="A19">
            <v>2274</v>
          </cell>
          <cell r="B19" t="str">
            <v>Megha Saraogi</v>
          </cell>
          <cell r="C19">
            <v>8879492701</v>
          </cell>
          <cell r="D19" t="str">
            <v>A-161, 16th Floor, Raheja Atlantis</v>
          </cell>
          <cell r="E19" t="str">
            <v>South City 1</v>
          </cell>
          <cell r="F19" t="str">
            <v>Saturday</v>
          </cell>
          <cell r="G19" t="str">
            <v>10 AM to 2:30 PM</v>
          </cell>
          <cell r="H19">
            <v>2000</v>
          </cell>
          <cell r="I19">
            <v>500</v>
          </cell>
          <cell r="J19" t="str">
            <v>Customized</v>
          </cell>
          <cell r="K19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 Skip 1 week (24/07)</v>
          </cell>
          <cell r="L19" t="str">
            <v>BOP n GLAD N NO GULDAWARI</v>
          </cell>
          <cell r="M19" t="str">
            <v>17 Flowers only/ Send if Payment Received (06/06)</v>
          </cell>
          <cell r="N19" t="str">
            <v>2  del of this cycle   -  1-cycles pmnt   Pending - Collect 2000</v>
          </cell>
          <cell r="O19" t="str">
            <v>Pur n P car ( 14 Inch ) 17     1 Gypsola + FF sachet</v>
          </cell>
          <cell r="P19" t="str">
            <v>Mix Alstroemeria ( 12 Inch ) 17     1 Limonium + FF Sachet</v>
          </cell>
          <cell r="Q19" t="str">
            <v>Rajni 17     1 Limonium + FF Sachet</v>
          </cell>
          <cell r="R19" t="str">
            <v>G n W Car ( 14 Inch ) 17     1 Gypsola + FF sachet</v>
          </cell>
          <cell r="S19" t="e">
            <v>#N/A</v>
          </cell>
          <cell r="T19" t="str">
            <v>B Daisy 17   Ensure Collection Ensure Collection FF Sachet + Grass</v>
          </cell>
        </row>
        <row r="20">
          <cell r="A20">
            <v>2232</v>
          </cell>
          <cell r="B20" t="str">
            <v xml:space="preserve">Smita Halder </v>
          </cell>
          <cell r="C20">
            <v>9687638449</v>
          </cell>
          <cell r="D20" t="str">
            <v>1st floor, plot 65
Opposite ardee school 
Ardee city gate 3</v>
          </cell>
          <cell r="E20" t="str">
            <v>Sushant Estate</v>
          </cell>
          <cell r="F20" t="str">
            <v>Saturday</v>
          </cell>
          <cell r="G20" t="str">
            <v>9 AM - 12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0" t="str">
            <v>3  del of this cycle   -  0-cycles pmnt   CompletedNO COLLECTION-we have extra money - Collect -340</v>
          </cell>
          <cell r="O20" t="str">
            <v>Pur n P car ( 14 Inch ) 16     FF Sachet + Grass</v>
          </cell>
          <cell r="P20" t="str">
            <v>O Asiatic ( 14 Inch ) 3     Grass</v>
          </cell>
          <cell r="Q20" t="str">
            <v>Mix Car 16     Grass</v>
          </cell>
          <cell r="R20" t="str">
            <v>P n Y Spray Daisy ( 14 Inch ) 5     FF Sachet + Grass</v>
          </cell>
          <cell r="S20" t="str">
            <v xml:space="preserve">O Glad ( 14 Inch ) 16     </v>
          </cell>
          <cell r="T20" t="str">
            <v>Purple  n W Car ( 14 Inch ) 16     FF Sachet + Grass</v>
          </cell>
        </row>
        <row r="21">
          <cell r="A21" t="str">
            <v>B56619</v>
          </cell>
          <cell r="B21" t="str">
            <v>Rupinder kaur</v>
          </cell>
          <cell r="C21">
            <v>9313292209</v>
          </cell>
          <cell r="D21" t="str">
            <v>325 Deerwood,Nirvana country,Near south city2,sector 50,Gurgaon.Haryana122018.</v>
          </cell>
          <cell r="E21" t="str">
            <v>Nirvana Country</v>
          </cell>
          <cell r="F21" t="str">
            <v>Saturday</v>
          </cell>
          <cell r="G21" t="str">
            <v>By 11 AM</v>
          </cell>
          <cell r="H21">
            <v>1400</v>
          </cell>
          <cell r="I21">
            <v>1400</v>
          </cell>
          <cell r="J21" t="str">
            <v>Bouquet</v>
          </cell>
          <cell r="K21" t="str">
            <v>7 Peach Eustoma</v>
          </cell>
          <cell r="N21" t="str">
            <v>1  del of this cycle   -  1-cycles pmnt   Pending - Collect 1400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str">
            <v>Peach or Light Pink Eustoma 7 Pls Check Before sending Pls Check Before sending   Areca Palm + Grass</v>
          </cell>
        </row>
        <row r="22">
          <cell r="A22">
            <v>3400</v>
          </cell>
          <cell r="B22" t="str">
            <v>Nishtha</v>
          </cell>
          <cell r="C22">
            <v>8527634071</v>
          </cell>
          <cell r="D22" t="str">
            <v>580, Upper Ground Floor, Sec 30, Jharsa -- Adjacent Veerji Motor World</v>
          </cell>
          <cell r="E22" t="str">
            <v>South City 1</v>
          </cell>
          <cell r="F22" t="str">
            <v>Saturday</v>
          </cell>
          <cell r="G22" t="str">
            <v>9 AM to 2 PM</v>
          </cell>
          <cell r="H22">
            <v>1950</v>
          </cell>
          <cell r="I22">
            <v>487.5</v>
          </cell>
          <cell r="J22" t="str">
            <v>Joy</v>
          </cell>
          <cell r="N22" t="str">
            <v>4  del of this cycle   -  0-cycles pmnt   Completed - Collect 0</v>
          </cell>
          <cell r="O22" t="e">
            <v>#N/A</v>
          </cell>
          <cell r="P22" t="e">
            <v>#N/A</v>
          </cell>
          <cell r="Q22" t="e">
            <v>#N/A</v>
          </cell>
          <cell r="R22" t="str">
            <v>O Asiatic ( 14 Inch ) 4     Grass</v>
          </cell>
          <cell r="S22" t="str">
            <v>O Glad ( 14 Inch ) 22     Grass</v>
          </cell>
          <cell r="T22" t="str">
            <v>P n Y Spray Daisy ( 14 Inch ) 7     FF Sachet + Grass</v>
          </cell>
        </row>
        <row r="23">
          <cell r="A23">
            <v>1063</v>
          </cell>
          <cell r="B23" t="str">
            <v>Sarika Bhattacharya</v>
          </cell>
          <cell r="C23">
            <v>9899457726</v>
          </cell>
          <cell r="D23" t="str">
            <v>T2/1404, The Palms</v>
          </cell>
          <cell r="E23" t="str">
            <v>South City 1</v>
          </cell>
          <cell r="F23" t="str">
            <v>Saturday</v>
          </cell>
          <cell r="G23" t="str">
            <v>9 AM to 2 PM</v>
          </cell>
          <cell r="H23">
            <v>1600</v>
          </cell>
          <cell r="I23">
            <v>200</v>
          </cell>
          <cell r="J23" t="str">
            <v>Bloom</v>
          </cell>
          <cell r="K23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3" t="str">
            <v>1  del of this cycle   -  1-cycles pmnt   Pending - Collect 1600</v>
          </cell>
          <cell r="O23" t="e">
            <v>#N/A</v>
          </cell>
          <cell r="P23" t="str">
            <v>Pur n P Car ( 14 Inch ) 7     FF Sachet + Grass</v>
          </cell>
          <cell r="Q23" t="str">
            <v>Rajni ( 14 Inch ) 7     Grass</v>
          </cell>
          <cell r="R23" t="str">
            <v>Mix Glad ( 14 Inch ) 7     Grass</v>
          </cell>
          <cell r="S23" t="str">
            <v>Sunflower ( 12 Inch ) 2     FF Sachet + Grass</v>
          </cell>
          <cell r="T23" t="str">
            <v>Rajni ( 14 Inch ) 7     Grass</v>
          </cell>
        </row>
        <row r="24">
          <cell r="A24">
            <v>846</v>
          </cell>
          <cell r="B24" t="str">
            <v>Deep Bajaj</v>
          </cell>
          <cell r="C24">
            <v>9899059999</v>
          </cell>
          <cell r="D24" t="str">
            <v>B-2002, Pioneer Presidia,Sec-62, Near Pioneer Square</v>
          </cell>
          <cell r="E24" t="str">
            <v>Ghata</v>
          </cell>
          <cell r="F24" t="str">
            <v>Saturday</v>
          </cell>
          <cell r="G24" t="str">
            <v>9 AM - 12 PM</v>
          </cell>
          <cell r="H24">
            <v>4750</v>
          </cell>
          <cell r="I24">
            <v>1187.5</v>
          </cell>
          <cell r="J24" t="str">
            <v>Enchantment</v>
          </cell>
          <cell r="K24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24" t="str">
            <v>4  del of this cycle   -  0-cycles pmnt   In Process - Collect 0</v>
          </cell>
          <cell r="O24" t="str">
            <v>P Asiatic + Eustoma 3 + 3 Rajni + P n W Glad 12 + 12 B daisy  8 5 Areca palm + 3 Gypsola + 3 + 3 Limonium</v>
          </cell>
          <cell r="P24" t="str">
            <v>W Asiatic + Mix Anthurium  3 + 4 Pur n P Car + Mix Alstroemeria 12 + 12 BOP 3 5 Areca palm + 3 Gypsola + 3 Limonium</v>
          </cell>
          <cell r="Q24" t="str">
            <v>O Asiatic + G n W Spray Daisy 3 + 4 Rajni + B Daisy  12 + 12 W Orchid  5 5 Areca Palm + 3 Gypsola + 3 Limonium</v>
          </cell>
          <cell r="R24" t="str">
            <v>Y Asiatic + BOP 3 + 3 G n W Car + Mix Glad 12 + 12 Mix Alstroemeria ( 12 Inch ) 10 5 Areca palm + 3 Gypsola</v>
          </cell>
          <cell r="S24" t="str">
            <v>W Asiatic + P Eustoma  3 + 3 R n W Car + Rajni 12 + 12 B Daisy  10 5 Areca palm + 3 Gypsola + 3 Limonium</v>
          </cell>
          <cell r="T24" t="str">
            <v>O Asiatic + P n Y Spray Daisy  3 + 4 Mix Glad + Alstroemeria 12  + 12 Pur n P Eustoma 3 5 Areca Palm + 3 Gypsola + 3 Limonium</v>
          </cell>
        </row>
        <row r="25">
          <cell r="A25">
            <v>3327</v>
          </cell>
          <cell r="B25" t="str">
            <v>Yasha Jain</v>
          </cell>
          <cell r="C25">
            <v>9731958033</v>
          </cell>
          <cell r="D25" t="str">
            <v>Tower -E/1801 , Pioneer Presidia</v>
          </cell>
          <cell r="E25" t="str">
            <v>Ghata</v>
          </cell>
          <cell r="F25" t="str">
            <v>Saturday</v>
          </cell>
          <cell r="G25" t="str">
            <v>9 AM to 2 PM</v>
          </cell>
          <cell r="H25">
            <v>1450</v>
          </cell>
          <cell r="I25">
            <v>362.5</v>
          </cell>
          <cell r="J25" t="str">
            <v>Bliss</v>
          </cell>
          <cell r="N25" t="str">
            <v>4  del of this cycle   -  0-cycles pmnt   Completed - Collect 0</v>
          </cell>
          <cell r="O25" t="str">
            <v>Pur n P car ( 14 Inch ) 16     FF Sachet + Grass</v>
          </cell>
          <cell r="P25" t="str">
            <v>W Asiatic ( 14 Inch ) 3     Grass</v>
          </cell>
          <cell r="Q25" t="str">
            <v>Rajni ( 14 Inch ) 16     Grass</v>
          </cell>
          <cell r="R25" t="str">
            <v>Mix Alstroemeria ( 12 Inch ) 16     Grass</v>
          </cell>
          <cell r="S25" t="str">
            <v>Sunflower ( 12 Inch ) 4     FF Sachet + Grass</v>
          </cell>
          <cell r="T25" t="str">
            <v>Mix Glad ( 14 Inch ) 16     Grass</v>
          </cell>
        </row>
        <row r="26">
          <cell r="A26">
            <v>2390</v>
          </cell>
          <cell r="B26" t="str">
            <v xml:space="preserve">Richa Sawhney </v>
          </cell>
          <cell r="C26">
            <v>9801727902</v>
          </cell>
          <cell r="D26" t="str">
            <v>T-2/902, Unitech palms, South City 1</v>
          </cell>
          <cell r="E26" t="str">
            <v>South City 1</v>
          </cell>
          <cell r="F26" t="str">
            <v>Saturday</v>
          </cell>
          <cell r="G26" t="str">
            <v>9 AM to 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Hold n start from 10th (22/09) Skip 1 week (24/12) HDTNP (06/06)</v>
          </cell>
          <cell r="N26" t="str">
            <v>1  del of this cycle   -  1-cycles pmnt   Pending - Collect 1450</v>
          </cell>
          <cell r="O26" t="str">
            <v>P Asiatic ( 14 Inch ) 2     Grass</v>
          </cell>
          <cell r="P26" t="str">
            <v>P n W Glad ( 14 Inch ) 16     Grass</v>
          </cell>
          <cell r="Q26" t="str">
            <v>P n Y Spray Daisy ( 14 Inch ) 5     FF sachet + Car</v>
          </cell>
          <cell r="R26" t="str">
            <v>G n W Car ( 14 Inch ) 16     FF Sachet + Grass</v>
          </cell>
          <cell r="S26" t="str">
            <v>Mix Alstroemeria ( 12 Inch ) 16     FF Sachet + Grass</v>
          </cell>
          <cell r="T26" t="str">
            <v>W Asiatic ( 14 Inch ) 3     Grass</v>
          </cell>
        </row>
        <row r="27">
          <cell r="A27">
            <v>169</v>
          </cell>
          <cell r="B27" t="str">
            <v>Suniti Banga -- Before 11 AM</v>
          </cell>
          <cell r="C27">
            <v>9810282649</v>
          </cell>
          <cell r="D27" t="str">
            <v>A-3/1102, Uniworld City Sector 30</v>
          </cell>
          <cell r="E27" t="str">
            <v>South City 1</v>
          </cell>
          <cell r="F27" t="str">
            <v>Saturday</v>
          </cell>
          <cell r="G27" t="str">
            <v>9 AM - 12 PM</v>
          </cell>
          <cell r="H27">
            <v>3750</v>
          </cell>
          <cell r="I27">
            <v>937.5</v>
          </cell>
          <cell r="J27" t="str">
            <v>Savor</v>
          </cell>
          <cell r="K27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7" t="str">
            <v>2  del of this cycle   -  0-cycles pmnt   Completed - Collect 0</v>
          </cell>
          <cell r="O27" t="e">
            <v>#N/A</v>
          </cell>
          <cell r="P27" t="str">
            <v xml:space="preserve">W Oriental ( 15 Inch ) 3 P n W Glad ( 14 Inch ) 15   2 Limonium </v>
          </cell>
          <cell r="Q27" t="str">
            <v>P Asiatic ( 14 Inch ) 4 Mix Alstroemeria ( 12  Inch ) 20   2 Gypsola</v>
          </cell>
          <cell r="R27" t="str">
            <v xml:space="preserve">O Asiatic ( 14 Inch ) 4 G n W Car ( 14 Inch ) 21   2 Limonium </v>
          </cell>
          <cell r="S27" t="str">
            <v>Y Asiatic ( 14 Inch ) 4 O Glad ( 14 Inch ) 21   Grass</v>
          </cell>
          <cell r="T27" t="str">
            <v>P Oriental ( 15 Inch ) 3 Mix Alstroemeria ( 12 Inch ) 16   2 Gypsola</v>
          </cell>
        </row>
        <row r="28">
          <cell r="A28">
            <v>3372</v>
          </cell>
          <cell r="B28" t="str">
            <v>Anabhra Mishra</v>
          </cell>
          <cell r="C28">
            <v>9519954064</v>
          </cell>
          <cell r="D28" t="str">
            <v>E-504, Sujjan Vihar</v>
          </cell>
          <cell r="E28" t="str">
            <v>DLF Phase 5</v>
          </cell>
          <cell r="F28" t="str">
            <v>Saturday</v>
          </cell>
          <cell r="G28" t="str">
            <v>9 AM to 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Eustoma next (12/06)</v>
          </cell>
          <cell r="M28" t="str">
            <v>Eustoma next (12/06)</v>
          </cell>
          <cell r="N28" t="str">
            <v>2  del of this cycle   -  0-cycles pmnt   Completed - Collect 0</v>
          </cell>
          <cell r="O28" t="e">
            <v>#N/A</v>
          </cell>
          <cell r="P28" t="str">
            <v>Pur n P Car ( 14 Inch ) 16     FF Sachet + Grass</v>
          </cell>
          <cell r="Q28" t="str">
            <v>P Asiatic ( 14 Inch ) 3     Grass</v>
          </cell>
          <cell r="R28" t="str">
            <v>Mix Alstroemeria ( 12 Inch ) 16     Grass</v>
          </cell>
          <cell r="S28" t="str">
            <v>P Eustoma ( 12 Inch ) 3     FF Sachet + Grass</v>
          </cell>
          <cell r="T28" t="str">
            <v>Mix Glad ( 14 Inch ) 16     Grass</v>
          </cell>
        </row>
        <row r="29">
          <cell r="A29">
            <v>3412</v>
          </cell>
          <cell r="B29" t="str">
            <v>Sharmistha Dutta</v>
          </cell>
          <cell r="C29">
            <v>9811101764</v>
          </cell>
          <cell r="D29" t="str">
            <v>T-A/501, Uniwrold City Sec 30</v>
          </cell>
          <cell r="E29" t="str">
            <v>South City 1</v>
          </cell>
          <cell r="F29" t="str">
            <v>Saturday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N29" t="str">
            <v>3  del of this cycle   -  0-cycles pmnt   Completed - Collect 0</v>
          </cell>
          <cell r="O29" t="e">
            <v>#N/A</v>
          </cell>
          <cell r="P29" t="e">
            <v>#N/A</v>
          </cell>
          <cell r="Q29" t="e">
            <v>#N/A</v>
          </cell>
          <cell r="R29" t="str">
            <v>G n W Car ( 14 Inch ) 16     FF Sachet + Grass</v>
          </cell>
          <cell r="S29" t="str">
            <v xml:space="preserve">O Asiatic ( 14 Inch ) 3     </v>
          </cell>
          <cell r="T29" t="str">
            <v>Mix Glad ( 14 Inch ) 16     Grass</v>
          </cell>
        </row>
        <row r="30">
          <cell r="A30">
            <v>2853</v>
          </cell>
          <cell r="B30" t="str">
            <v>Mohini Jain</v>
          </cell>
          <cell r="C30">
            <v>9810905651</v>
          </cell>
          <cell r="D30" t="str">
            <v>B1/204, PWO Appartment, Sec 43</v>
          </cell>
          <cell r="E30" t="str">
            <v>Huda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10% Discount for 12 Del (02/08) Paytm from V Mohini (21/03)</v>
          </cell>
          <cell r="N30" t="str">
            <v>4  del of this cycle   -  0-cycles pmnt   Completed - Collect 0</v>
          </cell>
          <cell r="O30" t="str">
            <v>P Spray Daisy ( 14 Inch ) 3 Pur n P Car ( 14 Inch ) 7 Ensure Collection Ensure Collection FF Sachet + Grass</v>
          </cell>
          <cell r="P30" t="str">
            <v>Sunflower ( 12 Inch ) 2 P n W Glad ( 14 Inch ) 7   FF Sachet + Grass</v>
          </cell>
          <cell r="Q30" t="str">
            <v>P Asiatic ( 14 Inch ) 2 Rajni ( 14 inch ) 7   Grass</v>
          </cell>
          <cell r="R30" t="str">
            <v>P Eustoma ( 12 Inch ) 2 Mix Alstroemeria ( 12 Inch ) 7   FF Sachet + Grass</v>
          </cell>
          <cell r="S30" t="str">
            <v>Y Button  Daisy ( 14 Inch ) 3 P n W Car ( 14 Inch ) 7   FF Sachet + Grass</v>
          </cell>
          <cell r="T30" t="str">
            <v>Sunflower ( 12 Inch ) 2 Mix Glad ( 14 Inch ) 7   FF Sachet + Grass</v>
          </cell>
        </row>
        <row r="31">
          <cell r="A31">
            <v>59</v>
          </cell>
          <cell r="B31" t="str">
            <v>Ms. Payel</v>
          </cell>
          <cell r="C31">
            <v>9871370096</v>
          </cell>
          <cell r="D31" t="str">
            <v xml:space="preserve">  I-1001, Mapple Heights, Sushant lok-1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31" t="str">
            <v>1  del of this cycle   -  1-cycles pmnt   Pending - Collect 1450</v>
          </cell>
          <cell r="O31" t="str">
            <v>Pur n P car ( 14 Inch ) 16     FF Sachet + Grass</v>
          </cell>
          <cell r="P31" t="str">
            <v>Sunflower ( 12 Inch ) 4     FF Sachet + Grass</v>
          </cell>
          <cell r="Q31" t="str">
            <v>Rajni ( 14 Inch ) 16    Ensure Collection Grass</v>
          </cell>
          <cell r="R31" t="str">
            <v>O Asiatic ( 14 Inch ) 3     Grass</v>
          </cell>
          <cell r="S31" t="str">
            <v>Mix Alstroemeria ( 12 Inch ) 16     FF Sachet + Grass</v>
          </cell>
          <cell r="T31" t="str">
            <v>Mix Glad ( 14 Inch ) 16     Grass</v>
          </cell>
        </row>
        <row r="32">
          <cell r="A32">
            <v>975</v>
          </cell>
          <cell r="B32" t="str">
            <v>Ritu Sacheti</v>
          </cell>
          <cell r="C32">
            <v>9910007371</v>
          </cell>
          <cell r="D32" t="str">
            <v>B1/1401, World Spa, Sector 30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3750</v>
          </cell>
          <cell r="I32">
            <v>468.75</v>
          </cell>
          <cell r="J32" t="str">
            <v>Grace</v>
          </cell>
          <cell r="K3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2" t="str">
            <v>GERBERA n SUNFLOWER</v>
          </cell>
          <cell r="N32" t="str">
            <v>8  del of this cycle   -  0-cycles pmnt   Completed - Collect 0</v>
          </cell>
          <cell r="O32" t="str">
            <v>Y Spray Daisy ( 14 Inch ) 3 P n W Glad ( 14 Inch ) 10   FF Sachet + Grass</v>
          </cell>
          <cell r="P32" t="str">
            <v>W Asiatic ( 14 Inch ) 2 Rajni ( 14 Inch ) 10   Grass</v>
          </cell>
          <cell r="Q32" t="str">
            <v>P Sprya Daisy ( 14 Inch ) 3 P n W Glad ( 14 Inch ) 10   FF Sachet + Grass</v>
          </cell>
          <cell r="R32" t="str">
            <v>Y Spray Daosy ( 14 Inch ) 3 Rajni ( 14 Inch ) 10   FF sachet + Grass</v>
          </cell>
          <cell r="S32" t="str">
            <v>Y Asiatic ( 14 Inch ) 2 R n W Car ( 14 Inch ) 10   Grass</v>
          </cell>
          <cell r="T32" t="str">
            <v>Pur Eustoma ( 12 Inch ) 2 Rajni ( 14 Inch ) 10   FF Sachet + Grass</v>
          </cell>
        </row>
        <row r="33">
          <cell r="A33">
            <v>2692</v>
          </cell>
          <cell r="B33" t="str">
            <v>A K Jain</v>
          </cell>
          <cell r="C33">
            <v>9910309930</v>
          </cell>
          <cell r="D33" t="str">
            <v>B-785, Sushant Lok-1, Near Police Chowki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33" t="str">
            <v>7  del of this cycle   -  0-cycles pmnt   Completed - Collect 0</v>
          </cell>
          <cell r="O33" t="str">
            <v>O Asiatic ( 14 Inch ) 2     Grass</v>
          </cell>
          <cell r="P33" t="str">
            <v>BOP ( 15 Inch ) 2     FF Sachet + Grass</v>
          </cell>
          <cell r="Q33" t="str">
            <v>Sunflower ( 12 Inch ) 3     FF Sachet + Grass</v>
          </cell>
          <cell r="R33" t="str">
            <v>Pur Eustoma ( 12 Inch ) 3     FF sachet + Grass</v>
          </cell>
          <cell r="S33" t="str">
            <v>O Asiatic ( 14 Inch ) 2     Grass</v>
          </cell>
          <cell r="T33" t="str">
            <v>R n P Car ( 14 Inch ) 11     FF Sachet + Grass</v>
          </cell>
        </row>
        <row r="34">
          <cell r="A34">
            <v>3403</v>
          </cell>
          <cell r="B34" t="str">
            <v>Tanuka Neogi</v>
          </cell>
          <cell r="C34">
            <v>9599908305</v>
          </cell>
          <cell r="D34" t="str">
            <v>T-A/1201 A, Pioneer Presidia</v>
          </cell>
          <cell r="E34" t="str">
            <v>Ghata</v>
          </cell>
          <cell r="F34" t="str">
            <v>Saturday</v>
          </cell>
          <cell r="G34" t="str">
            <v>9:30 Am to 2 PM</v>
          </cell>
          <cell r="H34">
            <v>1450</v>
          </cell>
          <cell r="I34">
            <v>362.5</v>
          </cell>
          <cell r="J34" t="str">
            <v>Bliss</v>
          </cell>
          <cell r="N34" t="str">
            <v>4  del of this cycle   -  0-cycles pmnt   Completed - Collect 0</v>
          </cell>
          <cell r="O34" t="e">
            <v>#N/A</v>
          </cell>
          <cell r="P34" t="e">
            <v>#N/A</v>
          </cell>
          <cell r="Q34" t="str">
            <v>Pur n P Car ( 14 Inch ) 16     FF sachet + Car</v>
          </cell>
          <cell r="R34" t="str">
            <v>O Asiatic ( 14 Inch ) 3     Grass</v>
          </cell>
          <cell r="S34" t="str">
            <v xml:space="preserve">O Glad ( 14 Inch ) 16     </v>
          </cell>
          <cell r="T34" t="str">
            <v>P n Y Spray Daisy ( 14 Inch ) 5     FF Sachet + Grass</v>
          </cell>
        </row>
        <row r="35">
          <cell r="A35">
            <v>1975</v>
          </cell>
          <cell r="B35" t="str">
            <v>Nidhee pathak</v>
          </cell>
          <cell r="C35" t="str">
            <v>98734 25980</v>
          </cell>
          <cell r="D35" t="str">
            <v>1602, Tower-3,The Palms
South City-1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35" t="str">
            <v>ROSE</v>
          </cell>
          <cell r="N35" t="str">
            <v>4  del of this cycle   -  0-cycles pmnt   Completed - Collect 0</v>
          </cell>
          <cell r="O35" t="str">
            <v>P n W Glad ( 14 Inch ) 22     Grass</v>
          </cell>
          <cell r="P35" t="str">
            <v>W Asiatic ( 14 Inch ) 4     Grass</v>
          </cell>
          <cell r="Q35" t="str">
            <v>Sunflower ( 12 Inch ) 5     FF sachet + Car</v>
          </cell>
          <cell r="R35" t="str">
            <v>G n W Car ( 14 Inch ) 22   Collect payment Collect payment FF Sachet + Grass</v>
          </cell>
          <cell r="S35" t="str">
            <v>Pur n P Eustoma ( 12 Inch ) 4     FF Sachet + Grass</v>
          </cell>
          <cell r="T35" t="str">
            <v>P n W Glad ( 14 Inch ) 22     Grass</v>
          </cell>
        </row>
        <row r="36">
          <cell r="A36">
            <v>3089</v>
          </cell>
          <cell r="B36" t="str">
            <v>Anshu Sonkar</v>
          </cell>
          <cell r="C36">
            <v>9319410163</v>
          </cell>
          <cell r="D36" t="str">
            <v>C-561, 4th Floor, Sushant Lok Phase 1</v>
          </cell>
          <cell r="E36" t="str">
            <v>M G Road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36" t="str">
            <v>Car</v>
          </cell>
          <cell r="N36" t="str">
            <v>1  del of this cycle   -  1-cycles pmnt   Pending - Collect 1450</v>
          </cell>
          <cell r="O36" t="e">
            <v>#N/A</v>
          </cell>
          <cell r="P36" t="e">
            <v>#N/A</v>
          </cell>
          <cell r="Q36" t="str">
            <v>O Asiatic ( 14 Inch ) 2     Grass</v>
          </cell>
          <cell r="R36" t="str">
            <v>Mix Alstroemeria ( 12 Inch ) 16     Grass</v>
          </cell>
          <cell r="S36" t="str">
            <v xml:space="preserve">P Eustoma ( 12 Inch ) 3     </v>
          </cell>
          <cell r="T36" t="str">
            <v>Mix Glad ( 14 Inch ) 16     Grass</v>
          </cell>
        </row>
        <row r="37">
          <cell r="A37">
            <v>3100</v>
          </cell>
          <cell r="B37" t="str">
            <v>Mansi Tyagi</v>
          </cell>
          <cell r="C37">
            <v>9971455549</v>
          </cell>
          <cell r="D37" t="str">
            <v>C-923, 4th Floor, Sushant Lok-1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N37" t="str">
            <v>1  del of this cycle   -  1-cycles pmnt   Pending - Collect 1450</v>
          </cell>
          <cell r="O37" t="str">
            <v>P Asiatic ( 14 Inch ) 2     Grass</v>
          </cell>
          <cell r="P37" t="str">
            <v>Pur n P Car ( 14 Inch ) 16     Grass</v>
          </cell>
          <cell r="Q37" t="str">
            <v>Sunflower ( 12 Inch ) 4    Ensure Collection FF sachet + Car</v>
          </cell>
          <cell r="R37" t="str">
            <v>Mix Glad ( 14 Inch ) 16     Grass</v>
          </cell>
          <cell r="S37" t="str">
            <v>P Spray + Y Button Daisy ( 14 Inch ) 5     FF Sachet + Grass</v>
          </cell>
          <cell r="T37" t="str">
            <v>Mix Alstroemeria ( 12 Inch ) 16     FF Sachet + Grass</v>
          </cell>
        </row>
        <row r="38">
          <cell r="A38">
            <v>940</v>
          </cell>
          <cell r="B38" t="str">
            <v>Jyotsna Ghoshal</v>
          </cell>
          <cell r="C38">
            <v>9810194171</v>
          </cell>
          <cell r="D38" t="str">
            <v xml:space="preserve">1701, tower 4, the palms, south city 1    South City 1 Gurgaon  122001 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2750</v>
          </cell>
          <cell r="I38">
            <v>687.5</v>
          </cell>
          <cell r="J38" t="str">
            <v>Elation</v>
          </cell>
          <cell r="K38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 Hold till July ()6/07)</v>
          </cell>
          <cell r="N38" t="str">
            <v>1  del of this cycle   -  1-cycles pmnt   Pending - Collect 2750</v>
          </cell>
          <cell r="O38" t="str">
            <v>O Asiatic ( 14 Inch ) 6     2 Limonium</v>
          </cell>
          <cell r="P38" t="str">
            <v xml:space="preserve">Pur n P Car ( 14 Inch ) 32     2 Gypsola + FF Sachet </v>
          </cell>
          <cell r="Q38" t="e">
            <v>#N/A</v>
          </cell>
          <cell r="R38" t="e">
            <v>#N/A</v>
          </cell>
          <cell r="S38" t="e">
            <v>#N/A</v>
          </cell>
          <cell r="T38" t="str">
            <v>P n Y Spray Daisy ( 14 Inch ) 10     FF Sachet + Grass</v>
          </cell>
        </row>
        <row r="39">
          <cell r="A39">
            <v>2247</v>
          </cell>
          <cell r="B39" t="str">
            <v>Reeya Naahar</v>
          </cell>
          <cell r="C39">
            <v>9818862169</v>
          </cell>
          <cell r="D39" t="str">
            <v>B-316-B, Sushant Lok-1</v>
          </cell>
          <cell r="E39" t="str">
            <v>M G Road</v>
          </cell>
          <cell r="F39" t="str">
            <v>Saturday</v>
          </cell>
          <cell r="G39" t="str">
            <v>9:30 AM to 2PM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Saturday n Tuesday// No Yel Spray Daisy // Do not count last del (06/07) No Gerbera (12/04)</v>
          </cell>
          <cell r="L39" t="str">
            <v>GERBERA</v>
          </cell>
          <cell r="N39" t="str">
            <v>6  del of this cycle   -  0-cycles pmnt   In Process - Collect 0</v>
          </cell>
          <cell r="O39" t="str">
            <v>O Asiatic ( 14 Inch ) 2     Grass</v>
          </cell>
          <cell r="P39" t="str">
            <v>Sunflower ( 12 Inch ) 3     FF Sachet + Grass</v>
          </cell>
          <cell r="Q39" t="str">
            <v>Rajni ( 14 Inch ) 11     Grass</v>
          </cell>
          <cell r="R39" t="str">
            <v>P Spray Daisy ( 14 Inch ) 3     FF sachet + Grass</v>
          </cell>
          <cell r="S39" t="str">
            <v>O Glad ( 14 Inch ) 11     Grass</v>
          </cell>
          <cell r="T39" t="str">
            <v>Sunflower ( 12 Inch ) 3 Pls Collect Rs 1150 Carry Receipt Book   FF Sachet + Grass</v>
          </cell>
        </row>
        <row r="40">
          <cell r="A40">
            <v>3132</v>
          </cell>
          <cell r="B40" t="str">
            <v>Ramesh Kapoor</v>
          </cell>
          <cell r="C40">
            <v>9717416100</v>
          </cell>
          <cell r="D40" t="str">
            <v>T-6/1404, The Palms, South City 1</v>
          </cell>
          <cell r="E40" t="str">
            <v>South City 1</v>
          </cell>
          <cell r="F40" t="str">
            <v>Tuesday</v>
          </cell>
          <cell r="G40" t="str">
            <v>9 AM - 12 PM</v>
          </cell>
          <cell r="H40">
            <v>2300</v>
          </cell>
          <cell r="I40">
            <v>287.5</v>
          </cell>
          <cell r="J40" t="str">
            <v>Felicity</v>
          </cell>
          <cell r="K40" t="str">
            <v>Paytm From Anuradha Kapoor - Anu Kapoor (04/11) Premium tom (13/11) Replacement tom (21/04) 10 % Discint given (15/06) Today hold n sned tom (20/06) Today returned and skip Tuesday also (27/06)</v>
          </cell>
          <cell r="M40" t="str">
            <v>Premium Next (13/11)</v>
          </cell>
          <cell r="N40" t="str">
            <v>4  del of this cycle   -  0-cycles pmnt   Completed - Collect 0</v>
          </cell>
          <cell r="O40" t="str">
            <v>Pur n P car ( 14 Inch ) 11     FF Sachet + Grass</v>
          </cell>
          <cell r="P40" t="str">
            <v>Pur n P Car ( 14 Inch ) 11     FF Sachet + Grass</v>
          </cell>
          <cell r="Q40" t="str">
            <v>O Asiatic ( 14 Inch ) 2     Grass</v>
          </cell>
          <cell r="R40" t="str">
            <v>P Spray Daisy ( 14 Inch ) 2     FF sachet + Grass</v>
          </cell>
          <cell r="S40" t="str">
            <v>Rajni ( 14 Inch ) 11   Ensure Collection Emnsure Collection Grass</v>
          </cell>
          <cell r="T40" t="str">
            <v>Sunflower ( 12 Inch ) 3     FF Sachet + Grass</v>
          </cell>
        </row>
        <row r="41">
          <cell r="A41">
            <v>1965</v>
          </cell>
          <cell r="B41" t="str">
            <v>Karan Kumar</v>
          </cell>
          <cell r="C41">
            <v>7769040473</v>
          </cell>
          <cell r="D41" t="str">
            <v>T-9/008, Heritage City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2750</v>
          </cell>
          <cell r="I41">
            <v>687.5</v>
          </cell>
          <cell r="J41" t="str">
            <v>Elation</v>
          </cell>
          <cell r="K41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 HDTNP (18/07)</v>
          </cell>
          <cell r="N41" t="str">
            <v>1  del of this cycle   -  1-cycles pmnt   Pending - Collect 2750</v>
          </cell>
          <cell r="O41" t="str">
            <v>Sunflower ( 14 Inch ) 4 Pur n P Car ( 14 Inch ) 16   2 Limonium + FF sachet</v>
          </cell>
          <cell r="P41" t="str">
            <v xml:space="preserve">W Asiatic ( 14 Inch ) 3 P n W Glad ( 14 Inch ) 16   2 Gypsola </v>
          </cell>
          <cell r="Q41" t="str">
            <v xml:space="preserve">P n Y Spray Daisy ( 14 Inch ) 5 Rajni ( 14 inch ) 16  Ensure Collection 2 Gypsola + FF sachet </v>
          </cell>
          <cell r="R41" t="e">
            <v>#N/A</v>
          </cell>
          <cell r="S41" t="str">
            <v>P Eustoma ( 12 Inch ) 3 P n W Car ( 14 Inch ) 16   FF Sachet + Grass</v>
          </cell>
          <cell r="T41" t="str">
            <v>O Aiatic ( 14 Inch ) 3 Mix Glad ( 14 Inch ) 16 Ensure Collection Ensure Collection Grass</v>
          </cell>
        </row>
        <row r="42">
          <cell r="A42">
            <v>2937</v>
          </cell>
          <cell r="B42" t="str">
            <v>Vani Kalra</v>
          </cell>
          <cell r="C42">
            <v>9810121070</v>
          </cell>
          <cell r="D42" t="str">
            <v>B-644, Sushant Lok-1</v>
          </cell>
          <cell r="E42" t="str">
            <v>M G Road</v>
          </cell>
          <cell r="F42" t="str">
            <v>Saturday</v>
          </cell>
          <cell r="G42" t="str">
            <v>9 AM - 12 PM</v>
          </cell>
          <cell r="H42">
            <v>1950</v>
          </cell>
          <cell r="I42">
            <v>487.5</v>
          </cell>
          <cell r="J42" t="str">
            <v>Joy</v>
          </cell>
          <cell r="K42" t="str">
            <v>Day Changed to Tuesday and shared Location</v>
          </cell>
          <cell r="M42" t="str">
            <v>Location</v>
          </cell>
          <cell r="N42" t="str">
            <v>1  del of this cycle   -  0-cycles pmnt   Completed - Collect 0</v>
          </cell>
          <cell r="O42" t="str">
            <v>Sunflower ( 14 Inch ) 3 Pur n P Car ( 14 Inch ) 11   FF Sachet + Grass</v>
          </cell>
          <cell r="P42" t="str">
            <v>BOP 2 Rajni ( 14 Inch ) 11   Grass</v>
          </cell>
          <cell r="Q42" t="str">
            <v>P n W Spray Daisy ( 14 Inch ) 4 P n W Glad ( 14 Inch ) 11   FF sachet + Car</v>
          </cell>
          <cell r="R42" t="str">
            <v>W Asiatic ( 14 Inch ) 2 Mix Alstroemeria ( 12 Inch ) 11   Grass</v>
          </cell>
          <cell r="S42" t="str">
            <v>P Eustoma ( 12 Inch ) 2 P n W Car ( 14 Inch ) 11   FF Sachet + Grass</v>
          </cell>
          <cell r="T42" t="str">
            <v>Sunflower ( 12 Inch ) 3 Rajni ( 14 Inch ) 11   FF Sachet + Grass</v>
          </cell>
        </row>
        <row r="43">
          <cell r="A43">
            <v>1882</v>
          </cell>
          <cell r="B43" t="str">
            <v xml:space="preserve">Shilpa Gupta </v>
          </cell>
          <cell r="C43">
            <v>9899285336</v>
          </cell>
          <cell r="D43" t="str">
            <v>H . No. 83, 1st Floor, Sector 30</v>
          </cell>
          <cell r="E43" t="str">
            <v>South City 1</v>
          </cell>
          <cell r="F43" t="str">
            <v>Saturday</v>
          </cell>
          <cell r="G43" t="str">
            <v>9 AM - 12 PM</v>
          </cell>
          <cell r="H43">
            <v>1950</v>
          </cell>
          <cell r="I43">
            <v>487.5</v>
          </cell>
          <cell r="J43" t="str">
            <v>Joy</v>
          </cell>
          <cell r="K43" t="str">
            <v>Skip 1 week(11/04) Skip this week to Tuesday (08/03) Skip 2 week (19/07) Skip and send on 31st Mar (28/03) Skip n send on Monday (10/07) Skip tom n send on Monday (14/08)</v>
          </cell>
          <cell r="M43" t="str">
            <v xml:space="preserve">Skip 29th </v>
          </cell>
          <cell r="N43" t="str">
            <v>2  del of this cycle   -  0-cycles pmnt   Completed - Collect 0</v>
          </cell>
          <cell r="O43" t="str">
            <v>Sunflower ( 14 Inch ) 5     FF Sachet + Grass</v>
          </cell>
          <cell r="P43" t="str">
            <v>W Asiatic ( 14 Inch ) 4     Grass</v>
          </cell>
          <cell r="Q43" t="str">
            <v>R n W Car ( 14 Inch ) 22     FF sachet + Car</v>
          </cell>
          <cell r="R43" t="str">
            <v>P n Y Spray Daisy ( 14 Inch ) 7     FF Sachet + Grass</v>
          </cell>
          <cell r="S43" t="str">
            <v>Pur n P Eustoma ( 12 Inch ) 4     FF Sachet + Grass</v>
          </cell>
          <cell r="T43" t="str">
            <v>Mix Glad ( 14 Inch ) 22     Grass</v>
          </cell>
        </row>
        <row r="44">
          <cell r="A44">
            <v>318</v>
          </cell>
          <cell r="B44" t="str">
            <v>Kalyani Rajan</v>
          </cell>
          <cell r="C44">
            <v>9811021884</v>
          </cell>
          <cell r="D44" t="str">
            <v>9/106, Heritage City, M G Road</v>
          </cell>
          <cell r="E44" t="str">
            <v>M G Road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44" t="str">
            <v>GERBERA</v>
          </cell>
          <cell r="M44" t="str">
            <v>Vase Tom (22/05)</v>
          </cell>
          <cell r="N44" t="str">
            <v>3  del of this cycle   -  0-cycles pmnt   Completed - Collect 0</v>
          </cell>
          <cell r="O44" t="str">
            <v>Rajni ( 12 Inch ) 9     Grass</v>
          </cell>
          <cell r="P44" t="str">
            <v>P Asiatic ( 14 Inch ) 2     Grass</v>
          </cell>
          <cell r="Q44" t="str">
            <v xml:space="preserve">R n W Car ( 14 Inch ) 9     </v>
          </cell>
          <cell r="R44" t="str">
            <v>P n W Spray Daisy ( 14 Inch ) 5     FF Sachet + Grass</v>
          </cell>
          <cell r="S44" t="str">
            <v xml:space="preserve">O Glad ( 14 Inch ) 16     </v>
          </cell>
          <cell r="T44" t="str">
            <v>Mix Alstroemeria ( 12 Inch ) 16     FF Sachet + Grass</v>
          </cell>
        </row>
        <row r="45">
          <cell r="A45">
            <v>3287</v>
          </cell>
          <cell r="B45" t="str">
            <v>Tenzing Y Bhutia</v>
          </cell>
          <cell r="C45">
            <v>8527399445</v>
          </cell>
          <cell r="D45" t="str">
            <v>A-1701. 17th Floor, Heritage One</v>
          </cell>
          <cell r="E45" t="str">
            <v>Ghata</v>
          </cell>
          <cell r="F45" t="str">
            <v>Saturday</v>
          </cell>
          <cell r="G45" t="str">
            <v>10 AM to 2:30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Send tom del in evening // No Glad // Replacement Tom (04/05) Rs. 125 added as referal scheme against Noree tung Subscription (30/07)</v>
          </cell>
          <cell r="L45" t="str">
            <v>Glad</v>
          </cell>
          <cell r="N45" t="str">
            <v>1  del of this cycle   -  1-cycles pmnt   Pending - Collect 1805</v>
          </cell>
          <cell r="O45" t="str">
            <v>Pur n P car ( 14 Inch ) 22     FF Sachet + Grass</v>
          </cell>
          <cell r="P45" t="str">
            <v>B Orchid  7     FF Sachet + Grass</v>
          </cell>
          <cell r="Q45" t="str">
            <v>Rajni ( 14 Inch ) 22     Grass</v>
          </cell>
          <cell r="R45" t="str">
            <v>P n Y Spray Daisy ( 14 Inch ) 7     FF Sachet + Grass</v>
          </cell>
          <cell r="S45" t="str">
            <v>O Asiatic ( 14 Inch ) 4     Grass</v>
          </cell>
          <cell r="T45" t="str">
            <v>Pur n P Eustoma 4     FF Sachet + Grass</v>
          </cell>
        </row>
        <row r="46">
          <cell r="A46">
            <v>2054</v>
          </cell>
          <cell r="B46" t="str">
            <v>Dr. Khushboo Singh</v>
          </cell>
          <cell r="C46">
            <v>9560747141</v>
          </cell>
          <cell r="D46" t="str">
            <v>Aks Clinic, Ground Floor, C-1070, Sushant Lok 1</v>
          </cell>
          <cell r="E46" t="str">
            <v>M G Road</v>
          </cell>
          <cell r="F46" t="str">
            <v>Saturday</v>
          </cell>
          <cell r="G46" t="str">
            <v>10 AM to 3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6" t="str">
            <v>Gerbera</v>
          </cell>
          <cell r="M46" t="str">
            <v>Skip 23rd May Flowers (07/04)</v>
          </cell>
          <cell r="N46" t="str">
            <v>2  del of this cycle   -  0-cycles pmnt   Completed - Collect 0</v>
          </cell>
          <cell r="O46" t="str">
            <v>Pur n P car ( 14 Inch ) 16     FF Sachet + Grass</v>
          </cell>
          <cell r="P46" t="str">
            <v>Sunflower ( 12 Inch ) 4     FF Sachet + Grass</v>
          </cell>
          <cell r="Q46" t="str">
            <v>Rajni ( 14 Inch ) 16     Grass</v>
          </cell>
          <cell r="R46" t="str">
            <v>P n Y Spray Daisy ( 14 Inch ) 5     FF Sachet + Grass</v>
          </cell>
          <cell r="S46" t="str">
            <v>R n W Car ( 14 Inch ) 16     FF Sachet + Grass</v>
          </cell>
          <cell r="T46" t="str">
            <v>O Asiatic ( 14 Inch ) 3     Grass</v>
          </cell>
        </row>
        <row r="47">
          <cell r="A47">
            <v>2980</v>
          </cell>
          <cell r="B47" t="str">
            <v>Shilpa Kohli</v>
          </cell>
          <cell r="C47">
            <v>9717255116</v>
          </cell>
          <cell r="D47" t="str">
            <v>B2/102, Sahara Grace</v>
          </cell>
          <cell r="E47" t="str">
            <v>M G Road</v>
          </cell>
          <cell r="F47" t="str">
            <v>Saturday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Only Seasonlas</v>
          </cell>
          <cell r="N47" t="str">
            <v>4  del of this cycle   -  0-cycles pmnt   Completed - Collect 0</v>
          </cell>
          <cell r="O47" t="str">
            <v>Pur n P car ( 14 Inch ) 9     FF Sachet + Grass</v>
          </cell>
          <cell r="P47" t="str">
            <v>P Asiatic ( 14 Inch ) 2     Grass</v>
          </cell>
          <cell r="Q47" t="str">
            <v>Rajni ( 14 Inch ) 16     Grass</v>
          </cell>
          <cell r="R47" t="str">
            <v>Mix Glad ( 14 Inch ) 16     Grass</v>
          </cell>
          <cell r="S47" t="str">
            <v>P n Y Spray Daisy ( 14 Inch ) 5     FF Sachet + Grass</v>
          </cell>
          <cell r="T47" t="str">
            <v>Mix Alstroemeria ( 12 Inch ) 16     FF Sachet + Grass</v>
          </cell>
        </row>
        <row r="48">
          <cell r="A48">
            <v>3356</v>
          </cell>
          <cell r="B48" t="str">
            <v>Neha Gupta</v>
          </cell>
          <cell r="C48">
            <v>9999598424</v>
          </cell>
          <cell r="D48" t="str">
            <v>C-106, DLF Oakwood Estate, DLF Phase 2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N48" t="str">
            <v>1  del of this cycle   -  0-cycles pmnt   Completed - Collect 0</v>
          </cell>
          <cell r="O48" t="str">
            <v>Sunflower ( 14 Inch ) 4     FF Sachet + Grass</v>
          </cell>
          <cell r="P48" t="str">
            <v>P Asiatic ( 14 Inch ) 3     FF Sachet + Grass</v>
          </cell>
          <cell r="Q48" t="str">
            <v>R n W Car ( 14 Inch ) 16     FF sachet + Car</v>
          </cell>
          <cell r="R48" t="str">
            <v>P n Y Spray Daisy ( 14 Inch ) 5     FF Sachet + Grass</v>
          </cell>
          <cell r="S48" t="str">
            <v>Mix Alstroemeria ( 12 Inch ) 16     FF Sachet + Grass</v>
          </cell>
          <cell r="T48" t="str">
            <v>P n W Glad ( 14 Inch ) 16     Grass</v>
          </cell>
        </row>
        <row r="49">
          <cell r="A49">
            <v>790</v>
          </cell>
          <cell r="B49" t="str">
            <v>Sanwali</v>
          </cell>
          <cell r="C49">
            <v>8800604888</v>
          </cell>
          <cell r="D49" t="str">
            <v>B-1901, Heritage One,Sec-62</v>
          </cell>
          <cell r="E49" t="str">
            <v>Ghata</v>
          </cell>
          <cell r="F49" t="str">
            <v>Saturday</v>
          </cell>
          <cell r="G49" t="str">
            <v>4 Pm to 7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 Skip 2 weeks (11/07)</v>
          </cell>
          <cell r="M49" t="str">
            <v>Mixed Flowers //  1 Seasonal Extra next (21/04)</v>
          </cell>
          <cell r="N49" t="str">
            <v>4  del of this cycle   -  0-cycles pmnt   Completed - Collect 0</v>
          </cell>
          <cell r="O49" t="str">
            <v>O Asiatic ( 14 Inch ) 2 Rajni ( 14 Inch ) 7   Grass</v>
          </cell>
          <cell r="P49" t="str">
            <v>Sunflower ( 12 Inch ) 2 Pur n P Car ( 14 Inch ) 7   FF Sachet + Grass</v>
          </cell>
          <cell r="Q49" t="str">
            <v>P Spray Daisy ( 14 Inch ) 3 Mix Alstroemeria ( 12  Inch ) 7   FF sachet + Car</v>
          </cell>
          <cell r="R49" t="e">
            <v>#N/A</v>
          </cell>
          <cell r="S49" t="str">
            <v xml:space="preserve">W Asiatic ( 14 Inch ) 2 O Glad ( 14 Inch ) 7   </v>
          </cell>
          <cell r="T49" t="str">
            <v>P Eustoma ( 12 Inch ) 2 P n W Car ( 14 Inch ) 7   FF Sachet + Grass</v>
          </cell>
        </row>
        <row r="50">
          <cell r="A50">
            <v>2542</v>
          </cell>
          <cell r="B50" t="str">
            <v>Ankita Jain</v>
          </cell>
          <cell r="C50">
            <v>9899133443</v>
          </cell>
          <cell r="D50" t="str">
            <v>B-778, 2nd Floor, Sushant Lok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50" t="str">
            <v>2  del of this cycle   -  0-cycles pmnt   Completed - Collect 0</v>
          </cell>
          <cell r="O50" t="str">
            <v>Mix Car 16     FF Sachet + Grass</v>
          </cell>
          <cell r="P50" t="str">
            <v>Rajni 16     FF Sachet + Grass</v>
          </cell>
          <cell r="Q50" t="str">
            <v>O Asiatic ( 14 Inch ) 3     Grass</v>
          </cell>
          <cell r="R50" t="str">
            <v>Mix Alstroemeria ( 12 Inch ) 16     Grass</v>
          </cell>
          <cell r="S50" t="str">
            <v>Pur Eustoma ( 12 Inch ) 3     FF Sachet + Grass</v>
          </cell>
          <cell r="T50" t="str">
            <v>Mix Glad ( 14 Inch ) 16     Grass</v>
          </cell>
        </row>
        <row r="51">
          <cell r="A51">
            <v>1932</v>
          </cell>
          <cell r="B51" t="str">
            <v>Nandita Singh</v>
          </cell>
          <cell r="C51">
            <v>9811045835</v>
          </cell>
          <cell r="D51" t="str">
            <v>325-B, Hamilton Court</v>
          </cell>
          <cell r="E51" t="str">
            <v>DLF Phase 4</v>
          </cell>
          <cell r="F51" t="str">
            <v>Saturday</v>
          </cell>
          <cell r="G51" t="str">
            <v>9 AM - 12 PM</v>
          </cell>
          <cell r="H51">
            <v>3750</v>
          </cell>
          <cell r="I51">
            <v>937.5</v>
          </cell>
          <cell r="J51" t="str">
            <v>Savor</v>
          </cell>
          <cell r="K51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51" t="str">
            <v>3  del of this cycle   -  0-cycles pmnt   Completed - Collect 0</v>
          </cell>
          <cell r="O51" t="str">
            <v>Pur n P car ( 14 Inch ) 42   Ensure Collection Ensure Collection 2 Gypsola + FF Sachet</v>
          </cell>
          <cell r="P51" t="str">
            <v>O n W Asiatic ( 14 Inch ) 8     2 Limonium</v>
          </cell>
          <cell r="Q51" t="str">
            <v>Rajni ( 14 Inch ) 42    Ensure Collection 2 Gypsola</v>
          </cell>
          <cell r="R51" t="str">
            <v>P n Y Spray Daisy ( 14 Inch ) 14   Collect payment Collect payment 2 Limonium + FF sachet</v>
          </cell>
          <cell r="S51" t="str">
            <v>O Glad ( 14 Inch ) 42     2 Limonium</v>
          </cell>
          <cell r="T51" t="str">
            <v>R n P Car ( 14 Inch ) 42     2 Gypsola + FF Sachet</v>
          </cell>
        </row>
        <row r="52">
          <cell r="A52" t="str">
            <v>B56568</v>
          </cell>
          <cell r="B52" t="str">
            <v>Ankita Jain</v>
          </cell>
          <cell r="C52">
            <v>9899133443</v>
          </cell>
          <cell r="D52" t="str">
            <v>B-778, 2nd Floor, Sushant Lok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320</v>
          </cell>
          <cell r="I52">
            <v>320</v>
          </cell>
          <cell r="J52" t="str">
            <v>Bouquet</v>
          </cell>
          <cell r="K52" t="str">
            <v>8 Rajni Gandha</v>
          </cell>
          <cell r="N52" t="str">
            <v>1  del of this cycle   -  1-cycles pmnt   Pending - Collect 320</v>
          </cell>
          <cell r="O52" t="e">
            <v>#N/A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str">
            <v xml:space="preserve">Rajni ( 14 Inch ) 8     </v>
          </cell>
        </row>
        <row r="53">
          <cell r="A53">
            <v>2955</v>
          </cell>
          <cell r="B53" t="str">
            <v>Sangeeta-South City 1</v>
          </cell>
          <cell r="C53">
            <v>8569991672</v>
          </cell>
          <cell r="D53" t="str">
            <v>A-299, 1st Floor, South City 1</v>
          </cell>
          <cell r="E53" t="str">
            <v>South City 1</v>
          </cell>
          <cell r="F53" t="str">
            <v>Saturday</v>
          </cell>
          <cell r="G53" t="str">
            <v>9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Upgrade to Blis // Today Returned (06/12) Skip tom as payment not received (11/12) Paytm From Sangeeta yadav (03/02) Returned today (21/02) HDTNP (13/03) HDTNP (20/06) HDTNP (18/07)</v>
          </cell>
          <cell r="N53" t="str">
            <v>3  del of this cycle   -  0-cycles pmnt   Completed - Collect 0</v>
          </cell>
          <cell r="O53" t="str">
            <v>Pur Eustoma ( 12 Inch ) 2 P n W Glad ( 14 Inch ) 7   FF Sachet + Grass</v>
          </cell>
          <cell r="P53" t="str">
            <v>Sunflower ( 12 Inch ) 2 Pur n P Car ( 14 Inch ) 7   FF Sachet + Grass</v>
          </cell>
          <cell r="Q53" t="str">
            <v>P Asiatic ( 14 Inch ) 2 Rajni ( 14 inch ) 7   Grass</v>
          </cell>
          <cell r="R53" t="e">
            <v>#N/A</v>
          </cell>
          <cell r="S53" t="str">
            <v>Y Button  Daisy ( 14 Inch ) 3 O Glad ( 14 Inch ) 7   FF Sachet + Grass</v>
          </cell>
          <cell r="T53" t="str">
            <v>P Eustoma ( 12 Inch ) 2 Mix Glad ( 14 Inch ) 7   FF Sachet + Grass</v>
          </cell>
        </row>
        <row r="54">
          <cell r="A54">
            <v>1631</v>
          </cell>
          <cell r="B54" t="str">
            <v>Paridhi Joshi</v>
          </cell>
          <cell r="C54">
            <v>8970999005</v>
          </cell>
          <cell r="D54" t="str">
            <v>A-124, Belvedere Towers, Cyber City</v>
          </cell>
          <cell r="E54" t="str">
            <v>DLF Phase 3</v>
          </cell>
          <cell r="F54" t="str">
            <v>Saturday</v>
          </cell>
          <cell r="G54" t="str">
            <v>9:30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54" t="str">
            <v>ROSE n GLAD</v>
          </cell>
          <cell r="N54" t="str">
            <v>4  del of this cycle   -  0-cycles pmnt   Completed - Collect 0</v>
          </cell>
          <cell r="O54" t="str">
            <v>Pur n P car ( 14 Inch ) 16     FF Sachet + Grass</v>
          </cell>
          <cell r="P54" t="str">
            <v>Sunflower ( 12 Inch ) 4     FF Sachet + Grass</v>
          </cell>
          <cell r="Q54" t="str">
            <v>P n W Spray Daisy ( 14 Inch ) 5     FF sachet + Car</v>
          </cell>
          <cell r="R54" t="str">
            <v>W Asiatic ( 14 Inch ) 3   Collect payment Collect payment Grass</v>
          </cell>
          <cell r="S54" t="str">
            <v xml:space="preserve">Mix Alstroemeria ( 12 Inch ) 16     </v>
          </cell>
          <cell r="T54" t="str">
            <v>R n P Car ( 14 Inch ) 16     FF Sachet + Grass</v>
          </cell>
        </row>
        <row r="55">
          <cell r="A55">
            <v>3345</v>
          </cell>
          <cell r="B55" t="str">
            <v>Pragya Ojha</v>
          </cell>
          <cell r="C55">
            <v>8879005210</v>
          </cell>
          <cell r="D55" t="str">
            <v>C-1403, Heritage One, Sec 62</v>
          </cell>
          <cell r="E55" t="str">
            <v>Ghata</v>
          </cell>
          <cell r="F55" t="str">
            <v>Saturday</v>
          </cell>
          <cell r="G55" t="str">
            <v>9 AM - 12 PM</v>
          </cell>
          <cell r="H55">
            <v>2750</v>
          </cell>
          <cell r="I55">
            <v>687.5</v>
          </cell>
          <cell r="J55" t="str">
            <v>Elation</v>
          </cell>
          <cell r="K55" t="str">
            <v>Skip 1 week (25/05) // Day Chnged to Saturday (10/06)</v>
          </cell>
          <cell r="N55" t="str">
            <v>1  del of this cycle   -  1-cycles pmnt   Pending - Collect 2750</v>
          </cell>
          <cell r="O55" t="str">
            <v>Sunflower ( 14 Inch ) 7     2 Limonium + FF sachet</v>
          </cell>
          <cell r="P55" t="str">
            <v xml:space="preserve">Mix Alstroemeria ( 12 Inch ) 32     2 Gypsola + FF Sachet </v>
          </cell>
          <cell r="Q55" t="str">
            <v>Rajni ( 14 Inch ) 32    Ensure Collection 2 Gypsola</v>
          </cell>
          <cell r="R55" t="str">
            <v>O Asiatic ( 14 Inch ) 6     Grass</v>
          </cell>
          <cell r="S55" t="str">
            <v>R n W Car ( 14 Inch ) 32     FF Sachet + Grass</v>
          </cell>
          <cell r="T55" t="str">
            <v>P n Y Spray Daisy ( 14 Inch ) 10     FF Sachet + Grass</v>
          </cell>
        </row>
        <row r="56">
          <cell r="A56">
            <v>3335</v>
          </cell>
          <cell r="B56" t="str">
            <v>Aman Batra</v>
          </cell>
          <cell r="C56">
            <v>8826778738</v>
          </cell>
          <cell r="D56" t="str">
            <v>Tower-F/702, The Ivy, Block A, Sushant Lok-1</v>
          </cell>
          <cell r="E56" t="str">
            <v>DLF Phase 4</v>
          </cell>
          <cell r="F56" t="str">
            <v>Saturday</v>
          </cell>
          <cell r="G56" t="str">
            <v>10 AM to 2:30 PM</v>
          </cell>
          <cell r="H56">
            <v>4750</v>
          </cell>
          <cell r="I56">
            <v>1187.5</v>
          </cell>
          <cell r="J56" t="str">
            <v>Enchantment</v>
          </cell>
          <cell r="K56" t="str">
            <v>Hold n start from 30th May // Sen this week on Friday (25/06) No Glad (25/06) No rajni ( 07/07)</v>
          </cell>
          <cell r="L56" t="str">
            <v xml:space="preserve">Glad n Rajni </v>
          </cell>
          <cell r="N56" t="str">
            <v>2  del of this cycle   -  0-cycles pmnt   Completed - Collect 0</v>
          </cell>
          <cell r="O56" t="e">
            <v>#N/A</v>
          </cell>
          <cell r="P56" t="str">
            <v>O Asiatic ( 14 Inch ) 6 Rajni ( 14 Inch ) 30   3 Areca palm + 3 Limonium</v>
          </cell>
          <cell r="Q56" t="str">
            <v>W Oriental ( 15 Inch ) 4 R n W Car ( 14 Inch ) 30   3 Areca Palm + 3 Gypsola</v>
          </cell>
          <cell r="R56" t="str">
            <v>Y Asiatic ( 14 Inch ) 6 Mix Alstroemeria ( 12 Inch ) 30   3 Areca palm + 3 Limonium</v>
          </cell>
          <cell r="S56" t="str">
            <v>W Asiatic ( 14 Inch ) 6 P n W Car ( 14 Inch ) 30   3 Areca palm + 3 Gypsola</v>
          </cell>
          <cell r="T56" t="str">
            <v>O Aiatic ( 14 Inch ) 6 MixAlstroemeria ( 12 Inch ) 30   3 Areca Palm + 3 Limonium</v>
          </cell>
        </row>
        <row r="57">
          <cell r="A57">
            <v>2411</v>
          </cell>
          <cell r="B57" t="str">
            <v>Risha</v>
          </cell>
          <cell r="C57">
            <v>9873670489</v>
          </cell>
          <cell r="D57" t="str">
            <v>S-16 A, Windsor Court, DLF Phase 4</v>
          </cell>
          <cell r="E57" t="str">
            <v>DLF Phase 4</v>
          </cell>
          <cell r="F57" t="str">
            <v>Saturday</v>
          </cell>
          <cell r="G57" t="str">
            <v>9 AM - 12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15% Discount (26/07) Today hold (18/10) Skip 1 week (29/10) Hold till 15th Jan (29/12) Return not at home (31/01) Today Returned (04/04) HDTNP (06/06) HDTNP (13/06) HDTNP (20/06)</v>
          </cell>
          <cell r="N57" t="str">
            <v>4  del of this cycle   -  0-cycles pmnt   Completed - Collect 0</v>
          </cell>
          <cell r="O57" t="str">
            <v xml:space="preserve">Sunflower 2 Mix Car 7   </v>
          </cell>
          <cell r="P57" t="str">
            <v>W Asiatic ( 14 Inch ) 2 Mix Alstroemeria ( 12 Inch ) 7   Grass</v>
          </cell>
          <cell r="Q57" t="str">
            <v>P Spray Daisy ( 14 Inch ) 3 Rajni ( 14 inch ) 7   FF sachet + Car</v>
          </cell>
          <cell r="R57" t="str">
            <v>Pur Eustoma ( 12 Inch ) 2 Mix Glad ( 14 Inch ) 7 Collect payment Collect payment FF Sachet + Grass</v>
          </cell>
          <cell r="S57" t="str">
            <v>Sunflower ( 12 Inch ) 2 P n W Car ( 14 Inch ) 7   FF Sachet + Grass</v>
          </cell>
          <cell r="T57" t="str">
            <v>O Asiatic ( 14 Inch ) 2 Mix Glad ( 14 Inch ) 7   Grass</v>
          </cell>
        </row>
        <row r="58">
          <cell r="A58">
            <v>3283</v>
          </cell>
          <cell r="B58" t="str">
            <v>Samia Sharma</v>
          </cell>
          <cell r="C58">
            <v>9910022591</v>
          </cell>
          <cell r="D58" t="str">
            <v>C-65, 1st Floor, South City 1</v>
          </cell>
          <cell r="E58" t="str">
            <v>South City 1</v>
          </cell>
          <cell r="F58" t="str">
            <v>Saturday</v>
          </cell>
          <cell r="G58" t="str">
            <v>10 AM to 2:30 PM</v>
          </cell>
          <cell r="H58">
            <v>1950</v>
          </cell>
          <cell r="I58">
            <v>487.5</v>
          </cell>
          <cell r="J58" t="str">
            <v>Joy</v>
          </cell>
          <cell r="K58" t="str">
            <v>Mix Color and one kind (07/03)</v>
          </cell>
          <cell r="M58" t="str">
            <v>Mix Color and one kind (07/03)</v>
          </cell>
          <cell r="N58" t="str">
            <v>3  del of this cycle   -  0-cycles pmnt   Completed - Collect 0</v>
          </cell>
          <cell r="O58" t="e">
            <v>#N/A</v>
          </cell>
          <cell r="P58" t="e">
            <v>#N/A</v>
          </cell>
          <cell r="Q58" t="e">
            <v>#N/A</v>
          </cell>
          <cell r="R58" t="str">
            <v>G n W Car ( 14 Inch ) 22     FF Sachet + Grass</v>
          </cell>
          <cell r="S58" t="str">
            <v>O n W Asiatic ( 14 Inch ) 4     Grass</v>
          </cell>
          <cell r="T58" t="str">
            <v>P n Y Spray Daisy ( 14 Inch ) 7     FF Sachet + Grass</v>
          </cell>
        </row>
        <row r="59">
          <cell r="A59">
            <v>1089</v>
          </cell>
          <cell r="B59" t="str">
            <v>Disha Roy</v>
          </cell>
          <cell r="C59">
            <v>9999024774</v>
          </cell>
          <cell r="D59" t="str">
            <v>U-26-A/8,1st Floor</v>
          </cell>
          <cell r="E59" t="str">
            <v>DLF Phase 3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59" t="str">
            <v>4  del of this cycle   -  0-cycles pmnt   Completed - Collect 0</v>
          </cell>
          <cell r="O59" t="str">
            <v>Pur n P car ( 14 Inch ) 16     FF Sachet + Grass</v>
          </cell>
          <cell r="P59" t="str">
            <v>O Asiatic ( 14 Inch ) 3     Grass</v>
          </cell>
          <cell r="Q59" t="str">
            <v>Rajni ( 14 Inch ) 16     Grass</v>
          </cell>
          <cell r="R59" t="str">
            <v>P n Y Spray Daisy ( 14 Inch ) 5     FF Sachet + Grass</v>
          </cell>
          <cell r="S59" t="str">
            <v xml:space="preserve">O Glad ( 14 Inch ) 16     </v>
          </cell>
          <cell r="T59" t="str">
            <v>R n P Car ( 14 Inch ) 16     FF Sachet + Grass</v>
          </cell>
        </row>
        <row r="60">
          <cell r="A60">
            <v>2941</v>
          </cell>
          <cell r="B60" t="str">
            <v>Bhagyashri Khandelwal</v>
          </cell>
          <cell r="C60">
            <v>8884773030</v>
          </cell>
          <cell r="D60" t="str">
            <v>C-1983, Flat 401, Sushant Lok Phase 1</v>
          </cell>
          <cell r="E60" t="str">
            <v>M G Road</v>
          </cell>
          <cell r="F60" t="str">
            <v>Saturday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Will Renew post diwali -- sate of 25th Oct is only for reminder (22/09) Skip 1 week (02/02) After Holi now (22/02) Skip 2 week (22/03) Skip 1 week (10/04) Send this week on Sunday (28/04) Hold today n send tom (16/05) Skip 1 week (02/06) Skip 1 week (12/07)</v>
          </cell>
          <cell r="N60" t="str">
            <v>1  del of this cycle   -  1-cycles pmnt   Pending - Collect 1450</v>
          </cell>
          <cell r="O60" t="str">
            <v>Pur n P car ( 14 Inch ) 16     FF Sachet + Grass</v>
          </cell>
          <cell r="P60" t="str">
            <v>Sunflower ( 12 Inch ) 4     FF Sachet + Grass</v>
          </cell>
          <cell r="Q60" t="str">
            <v>P Asiatic ( 14 Inch ) 3     Grass</v>
          </cell>
          <cell r="R60" t="str">
            <v>Mix Alstroemeria ( 12 Inch ) 16     FF Sachet + Grass</v>
          </cell>
          <cell r="S60" t="str">
            <v>P Spray + Y Button Daisy ( 14 Inch ) 5     FF Sachet + Grass</v>
          </cell>
          <cell r="T60" t="str">
            <v>Mix Glad ( 14 Inch ) 16     Grass</v>
          </cell>
        </row>
        <row r="61">
          <cell r="A61">
            <v>3096</v>
          </cell>
          <cell r="B61" t="str">
            <v>Arti Kaul</v>
          </cell>
          <cell r="C61">
            <v>9560517831</v>
          </cell>
          <cell r="D61" t="str">
            <v>T-2B, Windsor Court, DLF Phase 4</v>
          </cell>
          <cell r="E61" t="str">
            <v>DLF Phase 4</v>
          </cell>
          <cell r="F61" t="str">
            <v>Saturday</v>
          </cell>
          <cell r="G61" t="str">
            <v>9:30 Am to 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One Kind of Flower (13/01)</v>
          </cell>
          <cell r="M61" t="str">
            <v>One Kind</v>
          </cell>
          <cell r="N61" t="str">
            <v>3  del of this cycle   -  0-cycles pmnt   Completed - Collect 0</v>
          </cell>
          <cell r="O61" t="str">
            <v>P Asiatic ( 14 Inch ) 3     Grass</v>
          </cell>
          <cell r="P61" t="str">
            <v>P n W Glad ( 14 Inch ) 16     Grass</v>
          </cell>
          <cell r="Q61" t="str">
            <v>P n Y Spray Daisy ( 14 Inch ) 5     FF sachet + Car</v>
          </cell>
          <cell r="R61" t="str">
            <v>Mix Alstroemeria ( 12 Inch ) 16     FF Sachet + Grass</v>
          </cell>
          <cell r="S61" t="str">
            <v>P n W Car ( 14 Inch ) 16     FF Sachet + Grass</v>
          </cell>
          <cell r="T61" t="str">
            <v>W Asiatic ( 14 Inch ) 3     Grass</v>
          </cell>
        </row>
        <row r="62">
          <cell r="A62">
            <v>2849</v>
          </cell>
          <cell r="B62" t="str">
            <v>Namita Chaudhary -- 11:30 to 1:30 Pm</v>
          </cell>
          <cell r="C62">
            <v>9810002910</v>
          </cell>
          <cell r="D62" t="str">
            <v>18 Bodhi Marg, Ground Floor, Near Shopping Mall, Arjun Marg, DLF Phase 1</v>
          </cell>
          <cell r="E62" t="str">
            <v>DLF Phase 1</v>
          </cell>
          <cell r="F62" t="str">
            <v>Saturday</v>
          </cell>
          <cell r="G62" t="str">
            <v>11:30 to 1:30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Skip 1 week (13/08) Start from or after 13th Oct (30/09) Skip 2 week (09/12) Todays Delivery returned due to address change (07/03) Hold till 03rd Apr (27/03) No Yel n White (06/04) Hold today (11/07)</v>
          </cell>
          <cell r="L62" t="str">
            <v xml:space="preserve"> No Yel n White (06/04)</v>
          </cell>
          <cell r="N62" t="str">
            <v>1  del of this cycle   -  0-cycles pmnt   In Process - Collect 0</v>
          </cell>
          <cell r="O62" t="str">
            <v>Pur n P car ( 14 Inch ) 16     FF Sachet + Grass</v>
          </cell>
          <cell r="P62" t="str">
            <v>O Asiatic ( 14 Inch ) 3     Grass</v>
          </cell>
          <cell r="Q62" t="str">
            <v>Mix Alstroemeria ( 12 Inch ) 16     FF sachet + Car</v>
          </cell>
          <cell r="R62" t="str">
            <v>Mix Glad ( 14 Inch ) 16     Grass</v>
          </cell>
          <cell r="S62" t="str">
            <v>P Eustoma ( 12 Inch ) 3     FF Sachet + Grass</v>
          </cell>
          <cell r="T62" t="str">
            <v>R n Shaded Pur Car ( 14 Inch ) 16     FF Sachet + Grass</v>
          </cell>
        </row>
        <row r="63">
          <cell r="A63">
            <v>796</v>
          </cell>
          <cell r="B63" t="str">
            <v>Isha Tyagi</v>
          </cell>
          <cell r="C63">
            <v>9711508206</v>
          </cell>
          <cell r="D63" t="str">
            <v>C-22-A, 2nd Floor,Aardee City</v>
          </cell>
          <cell r="E63" t="str">
            <v>Sushant Estate</v>
          </cell>
          <cell r="F63" t="str">
            <v>Saturday</v>
          </cell>
          <cell r="G63" t="str">
            <v>9 AM - 12 PM</v>
          </cell>
          <cell r="H63">
            <v>1950</v>
          </cell>
          <cell r="I63">
            <v>487.5</v>
          </cell>
          <cell r="J63" t="str">
            <v>Joy</v>
          </cell>
          <cell r="K63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63" t="str">
            <v>2  del of this cycle   -  1-cycles pmnt   Pending - Collect 1950</v>
          </cell>
          <cell r="O63" t="str">
            <v>Pur n P car ( 14 Inch ) 22     FF Sachet + Grass</v>
          </cell>
          <cell r="P63" t="str">
            <v>W Asiatic ( 14 Inch ) 4     Grass</v>
          </cell>
          <cell r="Q63" t="str">
            <v>Mix Alstroemeria ( 12 Inch ) 22    Ensure Collection FF sachet + Car</v>
          </cell>
          <cell r="R63" t="str">
            <v>P n W Spray Daisy ( 14 Inch ) 7     FF Sachet + Grass</v>
          </cell>
          <cell r="S63" t="str">
            <v>O Glad ( 14 Inch ) 22     Grass</v>
          </cell>
          <cell r="T63" t="str">
            <v>R n W Car ( 14 Inch ) 22     FF Sachet + Grass</v>
          </cell>
        </row>
        <row r="64">
          <cell r="A64">
            <v>1542</v>
          </cell>
          <cell r="B64" t="str">
            <v>Anisha Sethi</v>
          </cell>
          <cell r="C64">
            <v>9811004396</v>
          </cell>
          <cell r="D64" t="str">
            <v>Q-1/25, DLF Phase 2</v>
          </cell>
          <cell r="E64" t="str">
            <v>M G Road</v>
          </cell>
          <cell r="F64" t="str">
            <v>Saturday</v>
          </cell>
          <cell r="G64" t="str">
            <v>9 AM to 2 PM</v>
          </cell>
          <cell r="H64">
            <v>3000</v>
          </cell>
          <cell r="I64">
            <v>375</v>
          </cell>
          <cell r="J64" t="str">
            <v>Charm</v>
          </cell>
          <cell r="K6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64" t="str">
            <v>HELICONIA n BOP</v>
          </cell>
          <cell r="M64" t="str">
            <v>No Sunflowers for some time (15/04) Change of Rs. 50 Next (28/04)</v>
          </cell>
          <cell r="N64" t="str">
            <v>7  del of this cycle   -  0-cycles pmnt   Completed - Collect 0</v>
          </cell>
          <cell r="O64" t="str">
            <v>P Asiatic ( 14 Inch ) 2 P n W Glad ( 14 Inch ) 7   Grass</v>
          </cell>
          <cell r="P64" t="str">
            <v>O Asiatic ( 14 Inch ) 2 Rajni ( 14 Inch ) 7   Grass</v>
          </cell>
          <cell r="Q64" t="str">
            <v>O Asiatic ( 14 Inch ) 2 Rajni ( 14 inch ) 7   Grass</v>
          </cell>
          <cell r="R64" t="str">
            <v>W Asiatic ( 14 Inch ) 2 Mix Glad ( 14 Inch ) 7 Collect payment Collect payment Grass</v>
          </cell>
          <cell r="S64" t="str">
            <v>P Spray Daisy ( 14 Inch ) 2 Rajni ( 14 Inch ) 7   FF Sachet + Grass</v>
          </cell>
          <cell r="T64" t="str">
            <v>P Eustoma ( 12 Inch ) 2 Mix Glad ( 14 Inch ) 7   FF Sachet + Grass</v>
          </cell>
        </row>
        <row r="65">
          <cell r="A65">
            <v>84</v>
          </cell>
          <cell r="B65" t="str">
            <v>Atul Gupta</v>
          </cell>
          <cell r="C65">
            <v>9810060986</v>
          </cell>
          <cell r="D65" t="str">
            <v>Audio Visual Aids, LG-53 DLF Mega Mall</v>
          </cell>
          <cell r="E65" t="str">
            <v>DLF Phase 4</v>
          </cell>
          <cell r="F65" t="str">
            <v>Saturday</v>
          </cell>
          <cell r="G65" t="str">
            <v>10 AM to 2:30 PM</v>
          </cell>
          <cell r="H65">
            <v>2750</v>
          </cell>
          <cell r="I65">
            <v>687.5</v>
          </cell>
          <cell r="J65" t="str">
            <v>Elation</v>
          </cell>
          <cell r="K65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65" t="str">
            <v>BOP n Glad</v>
          </cell>
          <cell r="N65" t="str">
            <v>2  del of this cycle   -  1-cycles pmnt   Pending - Collect 2750</v>
          </cell>
          <cell r="O65" t="str">
            <v>P n W Oriental ( 15 Inch ) 3     2 Limonium</v>
          </cell>
          <cell r="P65" t="str">
            <v xml:space="preserve">P n Y Spray daisy ( 14 inch ) 10     2 Gypsola + FF Sachet </v>
          </cell>
          <cell r="Q65" t="str">
            <v xml:space="preserve">P n W Car ( Long Stem ) 32     2 Gypsola + FF sachet </v>
          </cell>
          <cell r="R65" t="str">
            <v>W Asiatic ( 14 Inch ) 6     Grass</v>
          </cell>
          <cell r="S65" t="str">
            <v>W Oriental  3     2 Limonium</v>
          </cell>
          <cell r="T65" t="str">
            <v>P n Y Spray Daisy ( 14 Inch ) 10   Ensure Collection Ensure Collection FF Sachet + Grass</v>
          </cell>
        </row>
        <row r="66">
          <cell r="A66">
            <v>194</v>
          </cell>
          <cell r="B66" t="str">
            <v>Rashmi Chandra</v>
          </cell>
          <cell r="C66">
            <v>9811201254</v>
          </cell>
          <cell r="D66" t="str">
            <v>6826, DLF Phase-4</v>
          </cell>
          <cell r="E66" t="str">
            <v>DLF Phase 4</v>
          </cell>
          <cell r="F66" t="str">
            <v>Saturday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66" t="str">
            <v>2  del of this cycle   -  1-cycles pmnt   Pending - Collect 2900</v>
          </cell>
          <cell r="O66" t="str">
            <v>Sunflower ( 14 Inch ) 4     FF Sachet + Grass</v>
          </cell>
          <cell r="P66" t="str">
            <v>P n W Glad ( 14 Inch ) 16     Grass</v>
          </cell>
          <cell r="Q66" t="str">
            <v>O Asiatic ( 14 Inch ) 3     Grass</v>
          </cell>
          <cell r="R66" t="str">
            <v>G n W Car ( 14 Inch ) 16     FF Sachet + Grass</v>
          </cell>
          <cell r="S66" t="str">
            <v>Pur Eustoma ( 12 Inch ) 3     FF Sachet + Grass</v>
          </cell>
          <cell r="T66" t="str">
            <v>P n Y Spray Daisy ( 14 Inch ) 5     FF Sachet + Grass</v>
          </cell>
        </row>
        <row r="67">
          <cell r="A67">
            <v>2618</v>
          </cell>
          <cell r="B67" t="str">
            <v>Tanvi Gauri</v>
          </cell>
          <cell r="C67">
            <v>9717699622</v>
          </cell>
          <cell r="D67" t="str">
            <v>A-27/38, DLF Phase 1, Behind DT Mega Mall</v>
          </cell>
          <cell r="E67" t="str">
            <v>DLF Phase 1</v>
          </cell>
          <cell r="F67" t="str">
            <v>Saturday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Paytm From Tavi Gauri //  HDTNP (21/02) HDTNP (28/02) HDTNP (07/03) For Collection today (28/03) Collection today )4/04) HDTNP (02/05) HDTNP (09/5) HDTNP (16.05) White Flowers This week (30/06)</v>
          </cell>
          <cell r="M67" t="str">
            <v>Only Advance Payment (02/06) White Flowers This week (30/06)</v>
          </cell>
          <cell r="N67" t="str">
            <v>1  del of this cycle   -  1-cycles pmnt   Pending - Collect 1450</v>
          </cell>
          <cell r="O67" t="str">
            <v>Sunflower ( 14 Inch ) 4     FF Sachet + Grass</v>
          </cell>
          <cell r="P67" t="str">
            <v>Pur n P Car ( 14 Inch ) 16 Upgraded to Next Pack Pls Inform to Customer Sanjeet  Pls Ensure to Inform  FF Sachet + Grass</v>
          </cell>
          <cell r="Q67" t="str">
            <v>Rajni ( 14 Inch ) 16     Grass</v>
          </cell>
          <cell r="R67" t="str">
            <v>O Asiatic ( 14 Inch ) 3     Grass</v>
          </cell>
          <cell r="S67" t="str">
            <v>P Spray + Y Button Daisy ( 14 Inch ) 5     FF Sachet + Grass</v>
          </cell>
          <cell r="T67" t="str">
            <v>Mix Glad ( 14 Inch ) 16   Insure Collection  Grass</v>
          </cell>
        </row>
        <row r="68">
          <cell r="A68">
            <v>814</v>
          </cell>
          <cell r="B68" t="str">
            <v>Madhura Kumar</v>
          </cell>
          <cell r="C68">
            <v>9971005348</v>
          </cell>
          <cell r="D68" t="str">
            <v>Y-72, Regency Park-2</v>
          </cell>
          <cell r="E68" t="str">
            <v>DLF Phase 4</v>
          </cell>
          <cell r="F68" t="str">
            <v>Saturday</v>
          </cell>
          <cell r="G68" t="str">
            <v>4 PM to 7PM</v>
          </cell>
          <cell r="H68">
            <v>1950</v>
          </cell>
          <cell r="I68">
            <v>487.5</v>
          </cell>
          <cell r="J68" t="str">
            <v>Joy</v>
          </cell>
          <cell r="K68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68" t="str">
            <v>1  del of this cycle   -  0-cycles pmnt   Completed - Collect 0</v>
          </cell>
          <cell r="O68" t="str">
            <v>Pur n P car ( 14 Inch ) 22     FF Sachet + Grass</v>
          </cell>
          <cell r="P68" t="str">
            <v>B Orchid  7     FF Sachet + Grass</v>
          </cell>
          <cell r="Q68" t="str">
            <v>O Asiatic ( 14 Inch ) 4    Ensure Collection Grass</v>
          </cell>
          <cell r="R68" t="str">
            <v>Mix Alstroemeria ( 12 Inch ) 20   Collect payment Collect payment FF Sachet + Grass</v>
          </cell>
          <cell r="S68" t="str">
            <v>Pur n P Eustoma ( 12 Inch ) 4     FF Sachet + Grass</v>
          </cell>
          <cell r="T68" t="str">
            <v>P n W Glad ( 14 Inch ) 22     Grass</v>
          </cell>
        </row>
        <row r="69">
          <cell r="A69">
            <v>3390</v>
          </cell>
          <cell r="B69" t="str">
            <v>Rajpal Singh</v>
          </cell>
          <cell r="C69">
            <v>8800344225</v>
          </cell>
          <cell r="D69" t="str">
            <v>F-2, Greenwood City, Sec 46</v>
          </cell>
          <cell r="E69" t="str">
            <v>Sector 46</v>
          </cell>
          <cell r="F69" t="str">
            <v>Saturday</v>
          </cell>
          <cell r="G69" t="str">
            <v>9 AM - 12 PM</v>
          </cell>
          <cell r="H69">
            <v>1950</v>
          </cell>
          <cell r="I69">
            <v>487.5</v>
          </cell>
          <cell r="J69" t="str">
            <v>Joy</v>
          </cell>
          <cell r="K69" t="str">
            <v>No Rajni (11/07)</v>
          </cell>
          <cell r="L69" t="str">
            <v>Rajni</v>
          </cell>
          <cell r="N69" t="str">
            <v>2  del of this cycle   -  0-cycles pmnt   Completed - Collect 0</v>
          </cell>
          <cell r="O69" t="str">
            <v>Pur n P car ( 14 Inch ) 16     FF Sachet + Grass</v>
          </cell>
          <cell r="P69" t="str">
            <v>P Asiatic ( 14 Inch ) 3     Grass</v>
          </cell>
          <cell r="Q69" t="str">
            <v>Rajni ( 14 Inch ) 16     Grass</v>
          </cell>
          <cell r="R69" t="str">
            <v>P n Y Spray Daisy ( 14 Inch ) 5     FF Sachet + Grass</v>
          </cell>
          <cell r="S69" t="str">
            <v>O Glad ( 14 Inch ) 22     Grass</v>
          </cell>
          <cell r="T69" t="str">
            <v>R n W Car ( 14 Inch ) 22     FF Sachet + Grass</v>
          </cell>
        </row>
        <row r="70">
          <cell r="A70">
            <v>3349</v>
          </cell>
          <cell r="B70" t="str">
            <v>Rahul Vatts</v>
          </cell>
          <cell r="C70">
            <v>9540795407</v>
          </cell>
          <cell r="D70" t="str">
            <v>N-6/14 B, 2nd Floor, Last House in Lane N6, DLF Phase 2, Sec 25</v>
          </cell>
          <cell r="E70" t="str">
            <v>M G Road</v>
          </cell>
          <cell r="F70" t="str">
            <v>Saturday</v>
          </cell>
          <cell r="G70" t="str">
            <v>9 AM to 2 PM</v>
          </cell>
          <cell r="H70">
            <v>2750</v>
          </cell>
          <cell r="I70">
            <v>687.5</v>
          </cell>
          <cell r="J70" t="str">
            <v>Elation</v>
          </cell>
          <cell r="N70" t="str">
            <v>2  del of this cycle   -  0-cycles pmnt   Completed - Collect 0</v>
          </cell>
          <cell r="O70" t="str">
            <v>P n W Glad ( 14 Inch ) 32     2 Limonium</v>
          </cell>
          <cell r="P70" t="str">
            <v xml:space="preserve">P Asiatic ( 14 Inch ) 6     2 Gypsola </v>
          </cell>
          <cell r="Q70" t="str">
            <v xml:space="preserve">Sunflower ( 12 Inch ) 7     2 Gypsola + FF sachet </v>
          </cell>
          <cell r="R70" t="str">
            <v>G n W Car ( 14 Inch ) 32     FF Sachet + Grass</v>
          </cell>
          <cell r="S70" t="str">
            <v>Pur n P Eustoma ( 12 Inch ) 6     FF Sachet + Grass</v>
          </cell>
          <cell r="T70" t="str">
            <v>P n Y Spray Daisy ( 14 Inch ) 10     FF Sachet + Grass</v>
          </cell>
        </row>
        <row r="71">
          <cell r="A71">
            <v>2240</v>
          </cell>
          <cell r="B71" t="str">
            <v>Somyasmita Juneja</v>
          </cell>
          <cell r="C71">
            <v>9650213304</v>
          </cell>
          <cell r="D71" t="str">
            <v xml:space="preserve">DX-136, Kendriya Vihar
</v>
          </cell>
          <cell r="E71" t="str">
            <v>Sector 56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71" t="str">
            <v>2  del of this cycle   -  0-cycles pmnt   Completed - Collect 0</v>
          </cell>
          <cell r="O71" t="str">
            <v>Pur n P car ( 14 Inch ) 16     FF Sachet + Grass</v>
          </cell>
          <cell r="P71" t="str">
            <v>O Asiatic ( 14 Inch ) 3     Grass</v>
          </cell>
          <cell r="Q71" t="str">
            <v>Mix Spray Daisy 5     Grass</v>
          </cell>
          <cell r="R71" t="str">
            <v>Mix Glad ( 14 Inch ) 16     Grass</v>
          </cell>
          <cell r="S71" t="str">
            <v>Mix Alstroemeria ( 12 Inch ) 16     FF Sachet + Grass</v>
          </cell>
          <cell r="T71" t="str">
            <v>R n W Car ( 14 Inch ) 16     FF Sachet + Grass</v>
          </cell>
        </row>
        <row r="72">
          <cell r="A72">
            <v>3406</v>
          </cell>
          <cell r="B72" t="str">
            <v>Bhavisha Darji</v>
          </cell>
          <cell r="C72">
            <v>9742112297</v>
          </cell>
          <cell r="D72" t="str">
            <v>E-7/12, 3rd Floor, Sec 26 A, Near Arjun Marg</v>
          </cell>
          <cell r="E72" t="str">
            <v>DLF Phase 1</v>
          </cell>
          <cell r="F72" t="str">
            <v>Saturday</v>
          </cell>
          <cell r="G72" t="str">
            <v>9 AM to 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Pls Skip n sned on Tuesday this week (24/07)</v>
          </cell>
          <cell r="N72" t="str">
            <v>4  del of this cycle   -  0-cycles pmnt   Completed - Collect 0</v>
          </cell>
          <cell r="O72" t="e">
            <v>#N/A</v>
          </cell>
          <cell r="P72" t="e">
            <v>#N/A</v>
          </cell>
          <cell r="Q72" t="str">
            <v>Pur n P Car ( 14 Inch ) 16     FF sachet + Car</v>
          </cell>
          <cell r="R72" t="str">
            <v>O Asiatic ( 14 Inch ) 3     Grass</v>
          </cell>
          <cell r="S72" t="e">
            <v>#N/A</v>
          </cell>
          <cell r="T72" t="str">
            <v>P n Y Spray Daisy ( 14 Inch ) 5     FF Sachet + Grass</v>
          </cell>
        </row>
        <row r="73">
          <cell r="A73">
            <v>2290</v>
          </cell>
          <cell r="B73" t="str">
            <v>Anjana Soneja -- Before 1:30 OM</v>
          </cell>
          <cell r="C73">
            <v>9910049708</v>
          </cell>
          <cell r="D73" t="str">
            <v>G-18/10, 3rd Floor, DLF Phase 1</v>
          </cell>
          <cell r="E73" t="str">
            <v>DLF Phase 1</v>
          </cell>
          <cell r="F73" t="str">
            <v>Saturday</v>
          </cell>
          <cell r="G73" t="str">
            <v>9 AM - 12 PM</v>
          </cell>
          <cell r="H73">
            <v>2300</v>
          </cell>
          <cell r="I73">
            <v>287.5</v>
          </cell>
          <cell r="J73" t="str">
            <v>Felicity</v>
          </cell>
          <cell r="K73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73" t="str">
            <v>Car n Spray Daisy</v>
          </cell>
          <cell r="N73" t="str">
            <v>8  del of this cycle   -  0-cycles pmnt   Completed - Collect 0</v>
          </cell>
          <cell r="O73" t="e">
            <v>#N/A</v>
          </cell>
          <cell r="P73" t="e">
            <v>#N/A</v>
          </cell>
          <cell r="Q73" t="e">
            <v>#N/A</v>
          </cell>
          <cell r="R73" t="str">
            <v>G n W Car ( 14 Inch ) 11     FF sachet + Grass</v>
          </cell>
          <cell r="S73" t="str">
            <v>O Asiatic ( 14 Inch ) 2     Grass</v>
          </cell>
          <cell r="T73" t="str">
            <v>Y Spray Daisy ( 14 Inch ) 3     FF Sachet + Grass</v>
          </cell>
        </row>
        <row r="74">
          <cell r="A74">
            <v>3074</v>
          </cell>
          <cell r="B74" t="str">
            <v>Tanvir Mallik</v>
          </cell>
          <cell r="C74">
            <v>9958309739</v>
          </cell>
          <cell r="D74" t="str">
            <v>D-39, South City 1</v>
          </cell>
          <cell r="E74" t="str">
            <v>South City 1</v>
          </cell>
          <cell r="F74" t="str">
            <v>Saturday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Skip 2 weeks (01/06) Skip 2 week (03/07)</v>
          </cell>
          <cell r="N74" t="str">
            <v>3  del of this cycle   -  0-cycles pmnt   Completed - Collect 0</v>
          </cell>
          <cell r="O74" t="str">
            <v>Sunflower ( 14 Inch ) 2 P n W Glad ( 14 Inch ) 7   FF Sachet + Grass</v>
          </cell>
          <cell r="P74" t="e">
            <v>#N/A</v>
          </cell>
          <cell r="Q74" t="e">
            <v>#N/A</v>
          </cell>
          <cell r="R74" t="str">
            <v>O Asiatic ( 14 Inch ) 2 G n W Car ( 14 Inch ) 7   Grass</v>
          </cell>
          <cell r="S74" t="str">
            <v>Sunflower ( 12 Inch ) 2 O Glad ( 14 Inch ) 7 Ensure Collection Emnsure Collection FF Sachet + Grass</v>
          </cell>
          <cell r="T74" t="str">
            <v>P Spray Daisy ( 14 Inch ) 3 Mix Glad ( 14 Inch ) 7   FF Sachet + Grass</v>
          </cell>
        </row>
        <row r="75">
          <cell r="A75">
            <v>993</v>
          </cell>
          <cell r="B75" t="str">
            <v>Swati Khandelwal-- Evening Only</v>
          </cell>
          <cell r="C75">
            <v>8527962021</v>
          </cell>
          <cell r="D75" t="str">
            <v>414-A, Hamilton Court</v>
          </cell>
          <cell r="E75" t="str">
            <v>DLF Phase 4</v>
          </cell>
          <cell r="F75" t="str">
            <v>Tuesday</v>
          </cell>
          <cell r="G75" t="str">
            <v>9 AM to 2 PM</v>
          </cell>
          <cell r="H75">
            <v>2300</v>
          </cell>
          <cell r="I75">
            <v>287.5</v>
          </cell>
          <cell r="J75" t="str">
            <v>Felicity</v>
          </cell>
          <cell r="K75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75" t="str">
            <v>ROSE n RAJNI</v>
          </cell>
          <cell r="N75" t="str">
            <v>1  del of this cycle   -  0-cycles pmnt   Completed - Collect 0</v>
          </cell>
          <cell r="O75" t="str">
            <v>Pur n P car ( 14 Inch ) 11     FF Sachet + Grass</v>
          </cell>
          <cell r="P75" t="str">
            <v>O Asiatic ( 14 Inch ) 2     Grass</v>
          </cell>
          <cell r="Q75" t="str">
            <v>P n W Glad ( 14 Inch ) 11     Grass</v>
          </cell>
          <cell r="R75" t="str">
            <v>G n W Car ( 14 Inch ) 11     FF sachet + Grass</v>
          </cell>
          <cell r="S75" t="str">
            <v>Sunflower ( 12 Inch ) 3     FF Sachet + Grass</v>
          </cell>
          <cell r="T75" t="str">
            <v>Mix Alstroemeria ( 12 Inch ) 11     FF Sachet + Grass</v>
          </cell>
        </row>
        <row r="76">
          <cell r="A76">
            <v>328</v>
          </cell>
          <cell r="B76" t="str">
            <v>Sarat Chandra</v>
          </cell>
          <cell r="C76">
            <v>9013605782</v>
          </cell>
          <cell r="D76" t="str">
            <v>Villa 1,Raheja Atlantis, Sector 31</v>
          </cell>
          <cell r="E76" t="str">
            <v>South City 1</v>
          </cell>
          <cell r="F76" t="str">
            <v>Saturday</v>
          </cell>
          <cell r="G76" t="str">
            <v>9 AM - 12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76" t="str">
            <v>RAJNI</v>
          </cell>
          <cell r="N76" t="str">
            <v>1  del of this cycle   -  0-cycles pmnt   Completed - Collect 0</v>
          </cell>
          <cell r="O76" t="str">
            <v>Sunflower ( 14 Inch ) 4     FF Sachet + Grass</v>
          </cell>
          <cell r="P76" t="str">
            <v>P Asiatic ( 14 Inch ) 3     FF Sachet + Grass</v>
          </cell>
          <cell r="Q76" t="str">
            <v>R n W Car ( 14 Inch ) 16     FF sachet + Car</v>
          </cell>
          <cell r="R76" t="str">
            <v>P n Y Spray Daisy ( 14 Inch ) 5     FF Sachet + Grass</v>
          </cell>
          <cell r="S76" t="str">
            <v xml:space="preserve">O Glad ( 14 Inch ) 16     </v>
          </cell>
          <cell r="T76" t="str">
            <v>Mix Alstroemeria ( 12 Inch ) 16     FF Sachet + Grass</v>
          </cell>
        </row>
        <row r="77">
          <cell r="A77">
            <v>212</v>
          </cell>
          <cell r="B77" t="str">
            <v>Shalini Sinha</v>
          </cell>
          <cell r="C77">
            <v>9810453173</v>
          </cell>
          <cell r="D77" t="str">
            <v>A4/602, World Spa East</v>
          </cell>
          <cell r="E77" t="str">
            <v>South City 1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77" t="str">
            <v xml:space="preserve">ORCHID n GLAD </v>
          </cell>
          <cell r="N77" t="str">
            <v>3  del of this cycle   -  0-cycles pmnt   Completed - Collect 0</v>
          </cell>
          <cell r="O77" t="str">
            <v>Pur n P car ( 14 Inch ) 16     FF Sachet + Grass</v>
          </cell>
          <cell r="P77" t="str">
            <v>W Asiatic ( 14 Inch ) 3     Grass</v>
          </cell>
          <cell r="Q77" t="str">
            <v>Mix Alstroemeria ( 12 Inch ) 16     FF sachet + Car</v>
          </cell>
          <cell r="R77" t="str">
            <v>P n W Spray Daisy ( 14 Inch ) 5     FF Sachet + Grass</v>
          </cell>
          <cell r="S77" t="str">
            <v>P Eustoma ( 12 Inch ) 3     FF Sachet + Grass</v>
          </cell>
          <cell r="T77" t="str">
            <v>R n W Car ( 14 Inch ) 16     FF Sachet + Grass</v>
          </cell>
        </row>
        <row r="78">
          <cell r="A78">
            <v>189</v>
          </cell>
          <cell r="B78" t="str">
            <v xml:space="preserve">Monisha Sharma-- Before 10AM
</v>
          </cell>
          <cell r="C78">
            <v>9811152770</v>
          </cell>
          <cell r="D78" t="str">
            <v xml:space="preserve">609A Hamilton Court    DLF Phase 4 Gurgaon  122002 
</v>
          </cell>
          <cell r="E78" t="str">
            <v>DLF Phase 4</v>
          </cell>
          <cell r="F78" t="str">
            <v>Saturday</v>
          </cell>
          <cell r="G78" t="str">
            <v>9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78" t="str">
            <v>2  del of this cycle   -  0-cycles pmnt   Completed - Collect 0</v>
          </cell>
          <cell r="O78" t="str">
            <v>P Asiatic 3     Grass</v>
          </cell>
          <cell r="P78" t="str">
            <v>R n W Car ( 14 Inch ) 16     FF Sachet + Grass</v>
          </cell>
          <cell r="Q78" t="str">
            <v>Sunflower ( 12 Inch ) 4     FF sachet + Car</v>
          </cell>
          <cell r="R78" t="str">
            <v>Mix Alstroemeria ( 12 Inch ) 16     FF Sachet + Grass</v>
          </cell>
          <cell r="S78" t="str">
            <v>Pur Eustoma ( 12 Inch ) 3     FF Sachet + Grass</v>
          </cell>
          <cell r="T78" t="str">
            <v>Mix Glad ( 14 Inch ) 16     Grass</v>
          </cell>
        </row>
        <row r="79">
          <cell r="A79">
            <v>3302</v>
          </cell>
          <cell r="B79" t="str">
            <v>Anuvrata</v>
          </cell>
          <cell r="C79">
            <v>8800292901</v>
          </cell>
          <cell r="D79" t="str">
            <v>H. No. 82, 1st Floor, Sec 41, South City 1</v>
          </cell>
          <cell r="E79" t="str">
            <v>South City 1</v>
          </cell>
          <cell r="F79" t="str">
            <v>Saturday</v>
          </cell>
          <cell r="G79" t="str">
            <v>10 AM to 2:30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One Bouquet of 600 Missed, Pls add in her account (09/07)</v>
          </cell>
          <cell r="N79" t="str">
            <v>3  del of this cycle   -  0-cycles pmnt   Completed - Collect 0</v>
          </cell>
          <cell r="O79" t="str">
            <v>Pur n P car ( 14 Inch ) 16     FF Sachet + Grass</v>
          </cell>
          <cell r="P79" t="str">
            <v>P n W Glad ( 14 Inch ) 16     Grass</v>
          </cell>
          <cell r="Q79" t="str">
            <v>P Asiatic ( 14 Inch ) 3     Grass</v>
          </cell>
          <cell r="R79" t="str">
            <v>Mix Alstroemeria ( 12 Inch ) 16     FF Sachet + Grass</v>
          </cell>
          <cell r="S79" t="str">
            <v>P n W Spray Daisy ( 14 Inch ) 5     FF Sachet + Grass</v>
          </cell>
          <cell r="T79" t="str">
            <v>R n W Car ( 14 Inch ) 16     FF Sachet + Grass</v>
          </cell>
        </row>
        <row r="80">
          <cell r="A80">
            <v>3332</v>
          </cell>
          <cell r="B80" t="str">
            <v xml:space="preserve">Paroma </v>
          </cell>
          <cell r="C80">
            <v>9810076197</v>
          </cell>
          <cell r="D80" t="str">
            <v>123A Hamilton Court, DLF City Phase IV. Tower 1 23rd floor. Gurgaon</v>
          </cell>
          <cell r="E80" t="str">
            <v>DLF Phase 4</v>
          </cell>
          <cell r="F80" t="str">
            <v>Saturday</v>
          </cell>
          <cell r="G80" t="str">
            <v>10 AM to 2:30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Four Plus 1 Pack (18/04) Next del with Flower Food (15/05) HDTNP (25/07) Send 1 del tom (27/07)</v>
          </cell>
          <cell r="M80" t="str">
            <v>Next Del with FF (15/05)</v>
          </cell>
          <cell r="N80" t="str">
            <v>3  del of this cycle   -  0-cycles pmnt   Completed - Collect 0</v>
          </cell>
          <cell r="O80" t="e">
            <v>#N/A</v>
          </cell>
          <cell r="P80" t="e">
            <v>#N/A</v>
          </cell>
          <cell r="Q80" t="e">
            <v>#N/A</v>
          </cell>
          <cell r="R80" t="str">
            <v>G n W Car ( 14 Inch ) 16     FF Sachet + Grass</v>
          </cell>
          <cell r="S80" t="e">
            <v>#N/A</v>
          </cell>
          <cell r="T80" t="str">
            <v>Mix Glad ( 14 Inch ) 16     Grass</v>
          </cell>
        </row>
        <row r="81">
          <cell r="A81">
            <v>1226</v>
          </cell>
          <cell r="B81" t="str">
            <v>Archana Trikha</v>
          </cell>
          <cell r="C81">
            <v>9910006945</v>
          </cell>
          <cell r="D81" t="str">
            <v>C-2003, Times Residency, Sec 63</v>
          </cell>
          <cell r="E81" t="str">
            <v>Ghata</v>
          </cell>
          <cell r="F81" t="str">
            <v>Saturday</v>
          </cell>
          <cell r="G81" t="str">
            <v>9 AM - 12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81" t="str">
            <v>Lily n Sunflower</v>
          </cell>
          <cell r="N81" t="str">
            <v>4  del of this cycle   -  0-cycles pmnt   Completed - Collect 0</v>
          </cell>
          <cell r="O81" t="str">
            <v>Pur n P car ( 14 Inch ) 9     FF Sachet + Grass</v>
          </cell>
          <cell r="P81" t="str">
            <v>Y Spray Daosy ( 14 Inch )  3     FF Sachet + Grass</v>
          </cell>
          <cell r="Q81" t="str">
            <v>P n W Glad ( 14 Inch ) 16     Grass</v>
          </cell>
          <cell r="R81" t="str">
            <v>Mix Alstroemeria ( 12 Inch ) 16     FF Sachet + Grass</v>
          </cell>
          <cell r="S81" t="str">
            <v>R n W Car ( 14 Inch ) 16     FF Sachet + Grass</v>
          </cell>
          <cell r="T81" t="str">
            <v>P n Y Spray Daisy ( 14 Inch ) 5     FF Sachet + Grass</v>
          </cell>
        </row>
        <row r="82">
          <cell r="A82">
            <v>1936</v>
          </cell>
          <cell r="B82" t="str">
            <v>Pranta Dutta</v>
          </cell>
          <cell r="C82" t="str">
            <v>99535 59491</v>
          </cell>
          <cell r="D82" t="str">
            <v>C 1 flat 501 Ireo skyon golf course extension sector 60 gurgaon ( behind lemon tree hotel)</v>
          </cell>
          <cell r="E82" t="str">
            <v>Ghata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82" t="str">
            <v>RAJNI n GERBERA</v>
          </cell>
          <cell r="N82" t="str">
            <v>4  del of this cycle   -  0-cycles pmnt   Completed - Collect 0</v>
          </cell>
          <cell r="O82" t="str">
            <v xml:space="preserve">Collect Rs 600      </v>
          </cell>
          <cell r="P82" t="str">
            <v>Pur n P Car ( 14 Inch ) 7     FF Sachet + Grass</v>
          </cell>
          <cell r="Q82" t="str">
            <v>Mix Alstroemeria ( 12 Inch ) 7     FF Sachet + Grass</v>
          </cell>
          <cell r="R82" t="str">
            <v>Mix Glad ( 14 Inch ) 7     Grass</v>
          </cell>
          <cell r="S82" t="str">
            <v>P Spray Daisy ( 14 Inch ) 2     FF Sachet + Grass</v>
          </cell>
          <cell r="T82" t="str">
            <v>Sunflower ( 12 Inch ) 2     FF Sachet + Grass</v>
          </cell>
        </row>
        <row r="83">
          <cell r="A83">
            <v>3014</v>
          </cell>
          <cell r="B83" t="str">
            <v>Monika Arora</v>
          </cell>
          <cell r="C83">
            <v>9990121666</v>
          </cell>
          <cell r="D83" t="str">
            <v>Tostem Studio, Plot No. 564, Basement, Sec 39, Near Bakhtawar Chwok</v>
          </cell>
          <cell r="E83" t="str">
            <v>Medanta</v>
          </cell>
          <cell r="F83" t="str">
            <v>Saturday</v>
          </cell>
          <cell r="G83" t="str">
            <v>9 AM - 12 PM</v>
          </cell>
          <cell r="H83">
            <v>1600</v>
          </cell>
          <cell r="I83">
            <v>200</v>
          </cell>
          <cell r="J83" t="str">
            <v>Bloom</v>
          </cell>
          <cell r="K83" t="str">
            <v>Change in Address (31/12)</v>
          </cell>
          <cell r="N83" t="str">
            <v>1  del of this cycle   -  1-cycles pmnt   Pending - Collect 1600</v>
          </cell>
          <cell r="O83" t="str">
            <v>Y Spray Daisy ( 14 Inch ) 2     FF Sachet + Grass</v>
          </cell>
          <cell r="P83" t="str">
            <v>P Spray Daisy ( 14 Inch ) 2     FF Sachet + Grass</v>
          </cell>
          <cell r="Q83" t="str">
            <v>Pur n P Car ( 14 Inch ) 7     FF Sachet + Grass</v>
          </cell>
          <cell r="R83" t="str">
            <v>Sunflower ( 12 Inch ) 2     FF sachet + Grass</v>
          </cell>
          <cell r="S83" t="str">
            <v>P Spray Daisy ( 14 Inch ) 2     FF Sachet + Grass</v>
          </cell>
          <cell r="T83" t="str">
            <v>Sunflower ( 12 Inch ) 2     FF Sachet + Grass</v>
          </cell>
        </row>
        <row r="84">
          <cell r="A84">
            <v>3336</v>
          </cell>
          <cell r="B84" t="str">
            <v>Ruchika Rattan</v>
          </cell>
          <cell r="C84">
            <v>8448331611</v>
          </cell>
          <cell r="D84" t="str">
            <v>E-0004, Richmond Park, DLF Phase 4</v>
          </cell>
          <cell r="E84" t="str">
            <v>DLF Phase 4</v>
          </cell>
          <cell r="F84" t="str">
            <v>Saturday</v>
          </cell>
          <cell r="G84" t="str">
            <v>10 AM to 2:30 PM</v>
          </cell>
          <cell r="H84">
            <v>1950</v>
          </cell>
          <cell r="I84">
            <v>487.5</v>
          </cell>
          <cell r="J84" t="str">
            <v>Joy</v>
          </cell>
          <cell r="K84" t="str">
            <v>Today Returned (16/05)</v>
          </cell>
          <cell r="N84" t="str">
            <v>2  del of this cycle   -  0-cycles pmnt   Completed - Collect 0</v>
          </cell>
          <cell r="O84" t="str">
            <v>Sunflower ( 14 Inch ) 5     FF Sachet + Grass</v>
          </cell>
          <cell r="P84" t="str">
            <v>W Asiatic ( 14 Inch ) 4     Grass</v>
          </cell>
          <cell r="Q84" t="str">
            <v>R n W Car ( 14 Inch ) 22     FF sachet + Car</v>
          </cell>
          <cell r="R84" t="str">
            <v>Mix Glad ( 14 Inch ) 22     Grass</v>
          </cell>
          <cell r="S84" t="str">
            <v>Pur n P Eustoma ( 12 Inch ) 4     FF Sachet + Grass</v>
          </cell>
          <cell r="T84" t="str">
            <v>P n Y Spray Daisy ( 14 Inch ) 7     FF Sachet + Grass</v>
          </cell>
        </row>
        <row r="85">
          <cell r="A85">
            <v>3211</v>
          </cell>
          <cell r="B85" t="str">
            <v>Shreya -- Smartworld</v>
          </cell>
          <cell r="C85">
            <v>8800782128</v>
          </cell>
          <cell r="D85" t="str">
            <v>E-2D, Smartworld Orchard, Sec 61</v>
          </cell>
          <cell r="E85" t="str">
            <v>Ghata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From Shreya Pandey // Skip and send on Tuesday (09/01) HDTNP (21/02) HDTNP --send tom (28/02)</v>
          </cell>
          <cell r="N85" t="str">
            <v>2  del of this cycle   -  0-cycles pmnt   CompletedNO COLLECTION-we have extra money - Collect -2</v>
          </cell>
          <cell r="O85" t="str">
            <v>P Spray Daisy ( 14 Inch ) 3     FF Sachet + Grass</v>
          </cell>
          <cell r="P85" t="str">
            <v>P Asiatic ( 14 Inch ) 2     FF Sachet + Grass</v>
          </cell>
          <cell r="Q85" t="str">
            <v xml:space="preserve">R n W Car ( 14 Inch ) 9     </v>
          </cell>
          <cell r="R85" t="str">
            <v>Mix Glad ( 14 Inch ) 9     Grass</v>
          </cell>
          <cell r="S85" t="str">
            <v>P Eustoma ( 12 Inch ) 3     FF Sachet + Grass</v>
          </cell>
          <cell r="T85" t="str">
            <v>Mix Alstroemeria ( 12 Inch ) 16     FF Sachet + Grass</v>
          </cell>
        </row>
        <row r="86">
          <cell r="A86">
            <v>1148</v>
          </cell>
          <cell r="B86" t="str">
            <v>Bindiya Rawat</v>
          </cell>
          <cell r="C86">
            <v>9910118957</v>
          </cell>
          <cell r="D86" t="str">
            <v>V-12/3, 1st Floor, DLF Phase 3, Sec 24</v>
          </cell>
          <cell r="E86" t="str">
            <v>DLF Phase 3</v>
          </cell>
          <cell r="F86" t="str">
            <v>Saturday</v>
          </cell>
          <cell r="G86" t="str">
            <v>9:30 Am to 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86" t="str">
            <v>GERBERA n HELICONIA</v>
          </cell>
          <cell r="N86" t="str">
            <v>2  del of this cycle   -  1-cycles pmnt   Pending - Collect 1450</v>
          </cell>
          <cell r="O86" t="e">
            <v>#N/A</v>
          </cell>
          <cell r="P86" t="str">
            <v>Pur n P Car ( 14 Inch ) 16     FF Sachet + Grass</v>
          </cell>
          <cell r="Q86" t="str">
            <v>O Asiatic ( 14 Inch ) 3     Grass</v>
          </cell>
          <cell r="R86" t="str">
            <v>Mix Alstroemeria ( 12 Inch ) 16     Grass</v>
          </cell>
          <cell r="S86" t="str">
            <v>Pur Eustoma ( 12 Inch ) 3     FF Sachet + Grass</v>
          </cell>
          <cell r="T86" t="str">
            <v>Mix Glad ( 14 Inch ) 16   Ensure Collection Ensure Collection Grass</v>
          </cell>
        </row>
        <row r="87">
          <cell r="A87">
            <v>3387</v>
          </cell>
          <cell r="B87" t="str">
            <v>Farah Singh</v>
          </cell>
          <cell r="C87">
            <v>9810713138</v>
          </cell>
          <cell r="D87" t="str">
            <v>H. No. 4528, Hibiscus Lane, DLF City Phase 4</v>
          </cell>
          <cell r="E87" t="str">
            <v>DLF Phase 4</v>
          </cell>
          <cell r="F87" t="str">
            <v>Saturday</v>
          </cell>
          <cell r="G87" t="str">
            <v>9 AM to 2 PM</v>
          </cell>
          <cell r="H87">
            <v>1950</v>
          </cell>
          <cell r="I87">
            <v>487.5</v>
          </cell>
          <cell r="J87" t="str">
            <v>Joy</v>
          </cell>
          <cell r="N87" t="str">
            <v>1  del of this cycle   -  1-cycles pmnt   Pending - Collect 1950</v>
          </cell>
          <cell r="O87" t="str">
            <v>P n Pur Eustoma ( 12 Inch ) 4     FF Sachet + Grass</v>
          </cell>
          <cell r="P87" t="str">
            <v>P n W Glad ( 14 Inch ) 22     Grass</v>
          </cell>
          <cell r="Q87" t="str">
            <v>R n W Car ( 14 Inch ) 22    Ensure Collection FF sachet + Car</v>
          </cell>
          <cell r="R87" t="str">
            <v>W Asiatic ( 14 Inch ) 4     Grass</v>
          </cell>
          <cell r="S87" t="str">
            <v>Pur n P Eustoma ( 12 Inch ) 4     FF Sachet + Grass</v>
          </cell>
          <cell r="T87" t="str">
            <v>P n Y Spray Daisy ( 14 Inch ) 7     FF Sachet + Grass</v>
          </cell>
        </row>
        <row r="88">
          <cell r="A88" t="str">
            <v>B56622</v>
          </cell>
          <cell r="B88">
            <v>9999009358</v>
          </cell>
          <cell r="C88">
            <v>9999009358</v>
          </cell>
          <cell r="D88" t="str">
            <v>Pick Up</v>
          </cell>
          <cell r="E88" t="str">
            <v>Pick up</v>
          </cell>
          <cell r="F88" t="str">
            <v>Saturday</v>
          </cell>
          <cell r="G88" t="str">
            <v>By 8:30 AM</v>
          </cell>
          <cell r="H88">
            <v>1600</v>
          </cell>
          <cell r="I88">
            <v>1600</v>
          </cell>
          <cell r="J88" t="str">
            <v>Bouquet</v>
          </cell>
          <cell r="K88" t="str">
            <v>3 Oriental and 15 rajni in Tissue Wrap</v>
          </cell>
          <cell r="N88" t="str">
            <v>1  del of this cycle   -  1-cycles pmnt   Pending - Collect 1600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str">
            <v xml:space="preserve">Semi Bloom P Oriental + Rajni 3 + 15 Walkin Tissue Wrap    </v>
          </cell>
        </row>
        <row r="89">
          <cell r="A89">
            <v>2506</v>
          </cell>
          <cell r="B89" t="str">
            <v>Manya Jha</v>
          </cell>
          <cell r="C89">
            <v>9810502834</v>
          </cell>
          <cell r="D89" t="str">
            <v>H-33/1, Ground Floor, DLF Phase 1</v>
          </cell>
          <cell r="E89" t="str">
            <v>DLF Phase 1</v>
          </cell>
          <cell r="F89" t="str">
            <v>Saturday</v>
          </cell>
          <cell r="G89" t="str">
            <v>9:30 Am to 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Send 1 Bottle Flower Food tom // No Orchids (09/04) Skip 1 week (29/09)</v>
          </cell>
          <cell r="L89" t="str">
            <v>ORCHID</v>
          </cell>
          <cell r="N89" t="str">
            <v>3  del of this cycle   -  0-cycles pmnt   Completed - Collect 0</v>
          </cell>
          <cell r="O89" t="str">
            <v>P Spray Daisy ( 14 Inch ) 3 Pur n P Car ( 14 Inch ) 7   FF Sachet + Grass</v>
          </cell>
          <cell r="P89" t="str">
            <v>O Asiatic ( 14 Inch ) 2 Mix Alstroemeria ( 12 Inch ) 7   Grass</v>
          </cell>
          <cell r="Q89" t="str">
            <v>P Asiatic ( 14 Inch ) 2 Rajni ( 14 inch ) 7   Grass</v>
          </cell>
          <cell r="R89" t="str">
            <v>P Eustoma ( 12 Inch ) 2 Mix Glad ( 14 Inch ) 7   FF Sachet + Grass</v>
          </cell>
          <cell r="S89" t="str">
            <v>Y button  Daisy ( 14 Inch ) 3 P n W Car ( 14 Inch ) 7   FF Sachet + Grass</v>
          </cell>
          <cell r="T89" t="str">
            <v>W Asiatic ( 14 Inch ) 2 Mix Glad ( 14 Inch ) 7   Grass</v>
          </cell>
        </row>
        <row r="90">
          <cell r="A90">
            <v>1920</v>
          </cell>
          <cell r="B90" t="str">
            <v>Indira Bishnoi</v>
          </cell>
          <cell r="C90">
            <v>9871094919</v>
          </cell>
          <cell r="D90" t="str">
            <v>B-13/1, 2nd Floor, DLF Phase 1</v>
          </cell>
          <cell r="E90" t="str">
            <v>DLF Phase 1</v>
          </cell>
          <cell r="F90" t="str">
            <v>Saturday</v>
          </cell>
          <cell r="G90" t="str">
            <v>4 PM to 7PM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0" t="str">
            <v>4  del of this cycle   -  0-cycles pmnt   Completed - Collect 0</v>
          </cell>
          <cell r="O90" t="str">
            <v>Sunflower ( 14 Inch ) 4     FF Sachet + Grass</v>
          </cell>
          <cell r="P90" t="str">
            <v>P n W Glad ( 14 Inch ) 16     Grass</v>
          </cell>
          <cell r="Q90" t="str">
            <v>B Daisy ( 12 Inch ) 16     Grass</v>
          </cell>
          <cell r="R90" t="str">
            <v>P n Y Spray Daisy ( 14 Inch ) 5     FF Sachet + Grass</v>
          </cell>
          <cell r="S90" t="str">
            <v xml:space="preserve">O Asiatic ( 14 Inch ) 3     </v>
          </cell>
          <cell r="T90" t="str">
            <v>Mix Alstroemeria ( 12 Inch ) 16     FF Sachet + Grass</v>
          </cell>
        </row>
        <row r="91">
          <cell r="A91">
            <v>3318</v>
          </cell>
          <cell r="B91" t="str">
            <v>Sba Garg</v>
          </cell>
          <cell r="C91">
            <v>9654607568</v>
          </cell>
          <cell r="D91" t="str">
            <v>H. No. 5833, Aster Avenue, DLF Phase 4</v>
          </cell>
          <cell r="E91" t="str">
            <v>DLF Phase 4</v>
          </cell>
          <cell r="F91" t="str">
            <v>Saturday</v>
          </cell>
          <cell r="G91" t="str">
            <v>9:30 Am to 2 PM</v>
          </cell>
          <cell r="H91">
            <v>1950</v>
          </cell>
          <cell r="I91">
            <v>487.5</v>
          </cell>
          <cell r="J91" t="str">
            <v>Joy</v>
          </cell>
          <cell r="K91" t="str">
            <v>Four Plus 1 Pack // No Sunflower and Ladylace // Skip 1 wek (28/06)</v>
          </cell>
          <cell r="L91" t="str">
            <v>Sunflower n Lady Lace</v>
          </cell>
          <cell r="N91" t="str">
            <v>1  del of this cycle   -  0-cycles pmnt   Completed - Collect 0</v>
          </cell>
          <cell r="O91" t="str">
            <v>P Asiatic ( 14 Inch ) 4     Grass</v>
          </cell>
          <cell r="P91" t="e">
            <v>#N/A</v>
          </cell>
          <cell r="Q91" t="str">
            <v>P n W Glad ( 14 Inch ) 22     Grass</v>
          </cell>
          <cell r="R91" t="str">
            <v>G n W Car ( 14 Inch ) 22     FF Sachet + Grass</v>
          </cell>
          <cell r="S91" t="str">
            <v>Pur n P Eustoma ( 12 Inch ) 4     FF Sachet + Grass</v>
          </cell>
          <cell r="T91" t="str">
            <v>P n W Spray Daisy ( 14 Inch ) 7     FF Sachet + Grass</v>
          </cell>
        </row>
        <row r="92">
          <cell r="A92" t="str">
            <v>B56620</v>
          </cell>
          <cell r="B92" t="str">
            <v>Jitendra</v>
          </cell>
          <cell r="C92">
            <v>8800156951</v>
          </cell>
          <cell r="D92" t="str">
            <v>Trehan Luxury Floors</v>
          </cell>
          <cell r="E92" t="str">
            <v>Badshahpur</v>
          </cell>
          <cell r="F92" t="str">
            <v>Wednesday</v>
          </cell>
          <cell r="G92" t="str">
            <v>By 9:30 AM</v>
          </cell>
          <cell r="H92">
            <v>1196</v>
          </cell>
          <cell r="I92">
            <v>1196</v>
          </cell>
          <cell r="J92" t="str">
            <v>Bouquet</v>
          </cell>
          <cell r="N92" t="str">
            <v>1  del of this cycle   -  0-cycles pmnt   In Process - Collect 0</v>
          </cell>
          <cell r="O92" t="e">
            <v>#N/A</v>
          </cell>
          <cell r="P92" t="e">
            <v>#N/A</v>
          </cell>
          <cell r="Q92" t="e">
            <v>#N/A</v>
          </cell>
          <cell r="R92" t="e">
            <v>#N/A</v>
          </cell>
          <cell r="S92" t="e">
            <v>#N/A</v>
          </cell>
          <cell r="T92" t="str">
            <v xml:space="preserve">Trehan Set 1     </v>
          </cell>
        </row>
        <row r="93">
          <cell r="A93">
            <v>2626</v>
          </cell>
          <cell r="B93" t="str">
            <v>Mayank</v>
          </cell>
          <cell r="C93" t="str">
            <v>9661713694 // 8851453130</v>
          </cell>
          <cell r="D93" t="str">
            <v>W-5/32, 4th Floor, Room No. 24, Near Tulsa Tea Stall, Pink Town House Road, U-25 Marg</v>
          </cell>
          <cell r="E93" t="str">
            <v>DLF Phase 3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Flr Drop U23/20  3rd Flr Room No 5 (02/08) Hod due to non payment (17/01) Send tom after 7PM (19/01) Hold due to non payment (07/02) HDTNP (07/03) HDTNP (13/03) HDTNP (02/05)</v>
          </cell>
          <cell r="N93" t="str">
            <v>4  del of this cycle   -  0-cycles pmnt   CompletedNO COLLECTION-we have extra money - Collect -100</v>
          </cell>
          <cell r="O93" t="str">
            <v>Sunflower ( 14 Inch ) 2 Pur n P Car ( 14 Inch ) 7   FF Sachet + Grass</v>
          </cell>
          <cell r="P93" t="str">
            <v>W Asiatic ( 14 Inch ) 2 Mix Alstroemeria ( 12 Inch ) 7   Grass</v>
          </cell>
          <cell r="Q93" t="str">
            <v>P Spray Daisy ( 14 Inch ) 3 Rajni ( 14 inch ) 7   FF sachet + Car</v>
          </cell>
          <cell r="R93" t="str">
            <v>P Eustoma ( 12 Inch ) 2 Mix Glad ( 14 Inch ) 7   FF Sachet + Grass</v>
          </cell>
          <cell r="S93" t="str">
            <v>Sunflower ( 12 Inch ) 2 P n W Car ( 14 Inch ) 7   FF Sachet + Grass</v>
          </cell>
          <cell r="T93" t="str">
            <v>O Asiatic ( 14 Inch ) 2 Mix Glad ( 14 Inch ) 7   Grass</v>
          </cell>
        </row>
        <row r="94">
          <cell r="A94">
            <v>3110</v>
          </cell>
          <cell r="B94" t="str">
            <v>Asraj Singh</v>
          </cell>
          <cell r="C94">
            <v>9837880008</v>
          </cell>
          <cell r="D94" t="str">
            <v>7519, 2nd Floor, Bougainvillea Street, Near Supermart-2</v>
          </cell>
          <cell r="E94" t="str">
            <v>DLF Phase 4</v>
          </cell>
          <cell r="F94" t="str">
            <v>Saturday</v>
          </cell>
          <cell r="G94" t="str">
            <v>10 AM to 2:30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Paytm frim Sidak Singh // Return today (02/05) HDTNP (06/06) HDTNP (13/06) HDTNP (20/06) HDTNP (27/06) HDTNP (04/07)</v>
          </cell>
          <cell r="N94" t="str">
            <v>4  del of this cycle   -  0-cycles pmnt   Completed - Collect 0</v>
          </cell>
          <cell r="O94" t="str">
            <v>Collect 500      Grass</v>
          </cell>
          <cell r="P94" t="e">
            <v>#N/A</v>
          </cell>
          <cell r="Q94" t="str">
            <v>R n W Car ( 14 Inch ) 16     FF sachet + Car</v>
          </cell>
          <cell r="R94" t="str">
            <v>W Asiatic ( 14 Inch ) 3     Grass</v>
          </cell>
          <cell r="S94" t="str">
            <v>Mix Alstroemeria ( 12 Inch ) 16     FF Sachet + Grass</v>
          </cell>
          <cell r="T94" t="str">
            <v>P n Y Spray Daisy ( 14 Inch ) 5     FF Sachet + Grass</v>
          </cell>
        </row>
        <row r="95">
          <cell r="A95">
            <v>339</v>
          </cell>
          <cell r="B95" t="str">
            <v>Mandeep - Vrinda Sehgal</v>
          </cell>
          <cell r="C95">
            <v>9026947085</v>
          </cell>
          <cell r="D95" t="str">
            <v>B-13/1, 1st Floor, DLF Phase 1</v>
          </cell>
          <cell r="E95" t="str">
            <v>DLF Phase 1</v>
          </cell>
          <cell r="F95" t="str">
            <v>Saturday</v>
          </cell>
          <cell r="G95" t="str">
            <v>4 PM to 7PM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5" t="str">
            <v>1  del of this cycle   -  1-cycles pmnt   Pending - Collect 1450</v>
          </cell>
          <cell r="O95" t="str">
            <v>Sunflower ( 14 Inch ) 4     FF Sachet + Grass</v>
          </cell>
          <cell r="P95" t="str">
            <v>P n W Glad ( 14 Inch ) 16     Grass</v>
          </cell>
          <cell r="Q95" t="str">
            <v>B Daisy ( 12 Inch ) 16    Ensure Collection Grass</v>
          </cell>
          <cell r="R95" t="str">
            <v>P n Y Spray Daisy ( 14 Inch ) 5   Collect payment Collect payment FF Sachet + Grass</v>
          </cell>
          <cell r="S95" t="str">
            <v xml:space="preserve">O Asiatic ( 14 Inch ) 3   Ensure Collection Emnsure Collection </v>
          </cell>
          <cell r="T95" t="str">
            <v>Mix Alstroemeria ( 12 Inch ) 16   Ensure Collection Ensure Collection FF Sachet + Grass</v>
          </cell>
        </row>
        <row r="96">
          <cell r="A96">
            <v>1921</v>
          </cell>
          <cell r="B96" t="str">
            <v>Vrinda Sehgal 1</v>
          </cell>
          <cell r="C96">
            <v>9871094919</v>
          </cell>
          <cell r="D96" t="str">
            <v>B-13/1, 3rd Floor, DLF Phase 1</v>
          </cell>
          <cell r="E96" t="str">
            <v>DLF Phase 1</v>
          </cell>
          <cell r="F96" t="str">
            <v>Saturday</v>
          </cell>
          <cell r="G96" t="str">
            <v>4 PM to 7PM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96" t="str">
            <v>2  del of this cycle   -  1-cycles pmnt   Pending - Collect 1450</v>
          </cell>
          <cell r="O96" t="str">
            <v>Sunflower ( 14 Inch ) 4     FF Sachet + Grass</v>
          </cell>
          <cell r="P96" t="str">
            <v>Mix Alstroemeria ( 12 Inch ) 16     FF Sachet + Grass</v>
          </cell>
          <cell r="Q96" t="str">
            <v>B Daisy ( 12 Inch ) 16     Grass</v>
          </cell>
          <cell r="R96" t="str">
            <v>P n Y Spray Daisy ( 14 Inch ) 5     FF Sachet + Grass</v>
          </cell>
          <cell r="S96" t="e">
            <v>#N/A</v>
          </cell>
          <cell r="T96" t="str">
            <v>Mix Glad ( 14 Inch ) 16   Ensure Collection Ensure Collection Grass</v>
          </cell>
        </row>
        <row r="97">
          <cell r="A97">
            <v>146</v>
          </cell>
          <cell r="B97" t="str">
            <v>SANGEETA BATRA</v>
          </cell>
          <cell r="C97">
            <v>9312666392</v>
          </cell>
          <cell r="D97" t="str">
            <v>7A, Building 1, Hibiscus Society  Sector-50, Near Hotel Hilton Garden Inn Baani Square  Other Gurgoan  122002</v>
          </cell>
          <cell r="E97" t="str">
            <v>Nirvana Country</v>
          </cell>
          <cell r="F97" t="str">
            <v>Saturday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v>
          </cell>
          <cell r="L97" t="str">
            <v>BLUE ORCHID</v>
          </cell>
          <cell r="M97" t="str">
            <v>Tom before 12 Pm (17/04)</v>
          </cell>
          <cell r="N97" t="str">
            <v>4  del of this cycle   -  0-cycles pmnt   Completed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str">
            <v>G n W Car ( 14 Inch ) 16     FF Sachet + Grass</v>
          </cell>
          <cell r="S97" t="str">
            <v>P Eustoma ( 12 Inch ) 3     FF Sachet + Grass</v>
          </cell>
          <cell r="T97" t="str">
            <v>Mix Alstroemeria ( 12 Inch ) 16     FF Sachet + Grass</v>
          </cell>
        </row>
        <row r="98">
          <cell r="A98">
            <v>2273</v>
          </cell>
          <cell r="B98" t="str">
            <v xml:space="preserve">Prashant </v>
          </cell>
          <cell r="C98">
            <v>9216746911</v>
          </cell>
          <cell r="D98" t="str">
            <v>Flat 3B, Building 1, The Hibiscus</v>
          </cell>
          <cell r="E98" t="str">
            <v>Nirvana Country</v>
          </cell>
          <cell r="F98" t="str">
            <v>Saturday</v>
          </cell>
          <cell r="G98" t="str">
            <v>9:30 Am to 2 PM</v>
          </cell>
          <cell r="H98">
            <v>1950</v>
          </cell>
          <cell r="I98">
            <v>487.5</v>
          </cell>
          <cell r="J98" t="str">
            <v>Joy</v>
          </cell>
          <cell r="K98" t="str">
            <v>No Orchid (21/05)</v>
          </cell>
          <cell r="L98" t="str">
            <v>ORCHID</v>
          </cell>
          <cell r="N98" t="str">
            <v>2  del of this cycle   -  0-cycles pmnt   Completed - Collect 0</v>
          </cell>
          <cell r="O98" t="str">
            <v>Sunflower ( 14 Inch ) 5     FF Sachet + Grass</v>
          </cell>
          <cell r="P98" t="str">
            <v>Pur n P Car ( 14 Inch ) 22     FF Sachet + Grass</v>
          </cell>
          <cell r="Q98" t="str">
            <v>O Asiatic ( 14 Inch ) 4     Grass</v>
          </cell>
          <cell r="R98" t="str">
            <v>Mix Alstroemeria ( 12 Inch ) 22     FF Sachet + Grass</v>
          </cell>
          <cell r="S98" t="str">
            <v>Pur n P Eustoma ( 12 Inch ) 4     FF Sachet + Grass</v>
          </cell>
          <cell r="T98" t="str">
            <v>Mix Glad ( 14 Inch ) 22     Grass</v>
          </cell>
        </row>
        <row r="99">
          <cell r="A99">
            <v>3362</v>
          </cell>
          <cell r="B99" t="str">
            <v>Rupa Raje Gupta</v>
          </cell>
          <cell r="C99">
            <v>9811170495</v>
          </cell>
          <cell r="D99" t="str">
            <v>H-33/30, DLF Phase 1</v>
          </cell>
          <cell r="E99" t="str">
            <v>DLF Phase 1</v>
          </cell>
          <cell r="F99" t="str">
            <v>Saturday</v>
          </cell>
          <cell r="G99" t="str">
            <v>9 AM to 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Paytm From Rishi Nath Dubey (13/060</v>
          </cell>
          <cell r="N99" t="str">
            <v>4  del of this cycle   -  0-cycles pmnt   Completed - Collect 0</v>
          </cell>
          <cell r="O99" t="str">
            <v>Pur n P car ( 14 Inch ) 16     FF Sachet + Grass</v>
          </cell>
          <cell r="P99" t="str">
            <v>P n W Glad ( 14 Inch ) 16     Grass</v>
          </cell>
          <cell r="Q99" t="str">
            <v>Sunflower ( 12 Inch ) 4     FF sachet + Car</v>
          </cell>
          <cell r="R99" t="str">
            <v>Mix Alstroemeria ( 12 Inch ) 16     FF Sachet + Grass</v>
          </cell>
          <cell r="S99" t="str">
            <v>P n W Spray Daisy ( 14 Inch ) 5     FF Sachet + Grass</v>
          </cell>
          <cell r="T99" t="str">
            <v>O Asiatic ( 14 Inch ) 3     Grass</v>
          </cell>
        </row>
        <row r="100">
          <cell r="A100">
            <v>2629</v>
          </cell>
          <cell r="B100" t="str">
            <v>Arpita Das</v>
          </cell>
          <cell r="C100">
            <v>9810996113</v>
          </cell>
          <cell r="D100" t="str">
            <v>120/63, Silver Oaks Appartment, G Block, Sec 26</v>
          </cell>
          <cell r="E100" t="str">
            <v>DLF Phase 1</v>
          </cell>
          <cell r="F100" t="str">
            <v>Saturday</v>
          </cell>
          <cell r="G100" t="str">
            <v>9 AM - 12 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Rajni next (23/05) Skip 1 week (25/05) Skip 1 week (06/07) Skip 16th (12/08) Hold tom (28/11) Hold till 4th Jan (14/12) Start from 31st Jan (12/01) Skip tom (06/02) Skip tom (13/02) Hold 28th Mar (25/03) Hold till 20th June (11/05) Hold today (11/07)</v>
          </cell>
          <cell r="M100" t="str">
            <v>Rajni next</v>
          </cell>
          <cell r="N100" t="str">
            <v>4  del of this cycle   -  0-cycles pmnt   Completed - Collect 0</v>
          </cell>
          <cell r="O100" t="e">
            <v>#N/A</v>
          </cell>
          <cell r="P100" t="str">
            <v>Pur n P Car ( 14 Inch ) 16     FF Sachet + Grass</v>
          </cell>
          <cell r="Q100" t="str">
            <v>O Asiatic ( 14 Inch ) 3     Grass</v>
          </cell>
          <cell r="R100" t="str">
            <v>Mix Alstroemeria ( 12 Inch ) 16     Grass</v>
          </cell>
          <cell r="S100" t="str">
            <v>P Spray + Y Button Daisy ( 14 Inch ) 5     FF Sachet + Grass</v>
          </cell>
          <cell r="T100" t="str">
            <v>Mix Glad ( 14 Inch ) 16     Grass</v>
          </cell>
        </row>
        <row r="101">
          <cell r="A101">
            <v>3361</v>
          </cell>
          <cell r="B101" t="str">
            <v>Navneet Kaur</v>
          </cell>
          <cell r="C101">
            <v>8527893377</v>
          </cell>
          <cell r="D101" t="str">
            <v>C-601, Time Residency, Sec 63</v>
          </cell>
          <cell r="E101" t="str">
            <v>Ghata</v>
          </cell>
          <cell r="F101" t="str">
            <v>Saturday</v>
          </cell>
          <cell r="G101" t="str">
            <v>10 AM to 2:30 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Skip 1 week (16/05) Skip 1 week (04/06) Skip 1 week (09/07)</v>
          </cell>
          <cell r="N101" t="str">
            <v>1  del of this cycle   -  0-cycles pmnt   Completed - Collect 0</v>
          </cell>
          <cell r="O101" t="str">
            <v>P n W car ( 14 Inch ) 16     FF Sachet + Grass</v>
          </cell>
          <cell r="P101" t="str">
            <v>Sunflower ( 12 Inch ) 4     FF Sachet + Grass</v>
          </cell>
          <cell r="Q101" t="e">
            <v>#N/A</v>
          </cell>
          <cell r="R101" t="str">
            <v>Mix Glad ( 14 Inch ) 16     Grass</v>
          </cell>
          <cell r="S101" t="str">
            <v>O Asiatic ( 14 Inch ) 3     FF Sachet + Grass</v>
          </cell>
          <cell r="T101" t="str">
            <v>R n W Car ( 14 Inch ) 16     FF Sachet + Grass</v>
          </cell>
        </row>
        <row r="102">
          <cell r="A102">
            <v>3371</v>
          </cell>
          <cell r="B102" t="str">
            <v>Supriya Bijlwan</v>
          </cell>
          <cell r="C102">
            <v>9560012831</v>
          </cell>
          <cell r="D102" t="str">
            <v>C-201, Mahindra Luminaire</v>
          </cell>
          <cell r="E102" t="str">
            <v>Ghata</v>
          </cell>
          <cell r="F102" t="str">
            <v>Saturday</v>
          </cell>
          <cell r="G102" t="str">
            <v>10 AM to 2:30 PM</v>
          </cell>
          <cell r="H102">
            <v>2300</v>
          </cell>
          <cell r="I102">
            <v>287.5</v>
          </cell>
          <cell r="J102" t="str">
            <v>Felicity</v>
          </cell>
          <cell r="K102" t="str">
            <v>1 Seasonal Extra next (20/05) No Rajni in Summer (12/07)</v>
          </cell>
          <cell r="L102" t="str">
            <v>Rajni in Summer</v>
          </cell>
          <cell r="M102" t="str">
            <v>Premium in next 2 Del (23/05)</v>
          </cell>
          <cell r="N102" t="str">
            <v>7  del of this cycle   -  0-cycles pmnt   Completed - Collect 0</v>
          </cell>
          <cell r="O102" t="str">
            <v>Pur n P car ( 14 Inch ) 11     FF Sachet + Grass</v>
          </cell>
          <cell r="P102" t="str">
            <v>P n W Glad ( 14 Inch ) 11     Grass</v>
          </cell>
          <cell r="Q102" t="str">
            <v>Rajni ( 14 Inch ) 11     Grass</v>
          </cell>
          <cell r="R102" t="str">
            <v>G n W Car ( 14 Inch ) 11     FF sachet + Grass</v>
          </cell>
          <cell r="S102" t="str">
            <v>Sunflower ( 12 Inch ) 1     Grass</v>
          </cell>
          <cell r="T102" t="str">
            <v>P Spray Daisy ( 14 Inch ) 3     FF Sachet + Grass</v>
          </cell>
        </row>
        <row r="103">
          <cell r="A103">
            <v>2837</v>
          </cell>
          <cell r="B103" t="str">
            <v>Atikant</v>
          </cell>
          <cell r="C103">
            <v>9953210341</v>
          </cell>
          <cell r="D103" t="str">
            <v>W-4/8, Unit C, 2 &amp; 3 Moulsari Avenue</v>
          </cell>
          <cell r="E103" t="str">
            <v>DLF Phase 3</v>
          </cell>
          <cell r="F103" t="str">
            <v>Saturday</v>
          </cell>
          <cell r="G103" t="str">
            <v>9:30 Am to 2 PM</v>
          </cell>
          <cell r="H103">
            <v>1450</v>
          </cell>
          <cell r="I103">
            <v>362.5</v>
          </cell>
          <cell r="J103" t="str">
            <v>Bliss</v>
          </cell>
          <cell r="K103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103" t="str">
            <v>4  del of this cycle   -  0-cycles pmnt   Completed - Collect 0</v>
          </cell>
          <cell r="O103" t="str">
            <v>Sunflower ( 14 Inch ) 2     Grass</v>
          </cell>
          <cell r="P103" t="e">
            <v>#N/A</v>
          </cell>
          <cell r="Q103" t="str">
            <v>Rajni ( 14 Inch ) 16     Grass</v>
          </cell>
          <cell r="R103" t="str">
            <v>Mix Alstroemeria ( 12 Inch ) 16     Grass</v>
          </cell>
          <cell r="S103" t="str">
            <v>Pur n W Car ( 14 Inch ) 16     FF Sachet + Grass</v>
          </cell>
          <cell r="T103" t="str">
            <v>O Asiatic ( 14 Inch ) 3     Grass</v>
          </cell>
        </row>
        <row r="104">
          <cell r="A104">
            <v>190</v>
          </cell>
          <cell r="B104" t="str">
            <v>Itika Sharma--Before 11:30 AM</v>
          </cell>
          <cell r="C104">
            <v>9810045432</v>
          </cell>
          <cell r="D104" t="str">
            <v>T-10/503, The Close South</v>
          </cell>
          <cell r="E104" t="str">
            <v>Nirvana Country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v>
          </cell>
          <cell r="M104" t="str">
            <v>No flowers on sat snd sned on Sunday (02/07)</v>
          </cell>
          <cell r="N104" t="str">
            <v>4  del of this cycle   -  0-cycles pmnt   Completed - Collect 0</v>
          </cell>
          <cell r="O104" t="str">
            <v>O Asiatic ( 14 Inch ) 2     Grass</v>
          </cell>
          <cell r="P104" t="e">
            <v>#N/A</v>
          </cell>
          <cell r="Q104" t="e">
            <v>#N/A</v>
          </cell>
          <cell r="R104" t="str">
            <v>G n W Car ( 14 Inch ) 16     FF Sachet + Grass</v>
          </cell>
          <cell r="S104" t="str">
            <v>P spray Daisy   n Y Button  Daisy ( 14 Inch ) 5     FF Sachet + Grass</v>
          </cell>
          <cell r="T104" t="str">
            <v>Mix Glad ( 14 Inch ) 16     Grass</v>
          </cell>
        </row>
        <row r="105">
          <cell r="A105">
            <v>1396</v>
          </cell>
          <cell r="B105" t="str">
            <v>Shalini Malhotra</v>
          </cell>
          <cell r="C105">
            <v>9899897993</v>
          </cell>
          <cell r="D105" t="str">
            <v>31-Espace</v>
          </cell>
          <cell r="E105" t="str">
            <v>Nirvana Country</v>
          </cell>
          <cell r="F105" t="str">
            <v>Saturday</v>
          </cell>
          <cell r="G105" t="str">
            <v>9 AM - 12 PM</v>
          </cell>
          <cell r="H105">
            <v>2750</v>
          </cell>
          <cell r="I105">
            <v>687.5</v>
          </cell>
          <cell r="J105" t="str">
            <v>Elation</v>
          </cell>
          <cell r="K105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5" t="str">
            <v>Orchid n GLAD</v>
          </cell>
          <cell r="N105" t="str">
            <v>4  del of this cycle   -  0-cycles pmnt   Completed - Collect 0</v>
          </cell>
          <cell r="O105" t="str">
            <v>P Asiatic ( 14 Inch ) 6     2 Limonium</v>
          </cell>
          <cell r="P105" t="e">
            <v>#N/A</v>
          </cell>
          <cell r="Q105" t="str">
            <v xml:space="preserve">R n W Car ( 14 Inch ) 32     2 Gypsola + FF sachet </v>
          </cell>
          <cell r="R105" t="str">
            <v>Mix Alstroemeria ( 12 Inch ) 32     FF Sachet + Grass</v>
          </cell>
          <cell r="S105" t="str">
            <v>Pur n P Eustoma ( 12 Inch ) 6     FF Sachet + Grass</v>
          </cell>
          <cell r="T105" t="str">
            <v>P n Y Spray Daisy ( 14 Inch ) 10     FF Sachet + Grass</v>
          </cell>
        </row>
        <row r="106">
          <cell r="A106">
            <v>193</v>
          </cell>
          <cell r="B106" t="str">
            <v>Rekha Krishnan</v>
          </cell>
          <cell r="C106">
            <v>9811201254</v>
          </cell>
          <cell r="D106" t="str">
            <v>S9/23, DLF Phase3</v>
          </cell>
          <cell r="E106" t="str">
            <v>DLF Phase 3</v>
          </cell>
          <cell r="F106" t="str">
            <v>Saturday</v>
          </cell>
          <cell r="G106" t="str">
            <v>9 AM - 12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Cash to be collected from Manoj Pandey(10/06) 2 Stick extra next week(28/12) Send 2 stick extra on next del(25/05/2020) Sending Del tom due to Diwali(11/11) Pls return 1050 tom(26/11)</v>
          </cell>
          <cell r="N106" t="str">
            <v>2  del of this cycle   -  0-cycles pmnt   In Process - Collect 0</v>
          </cell>
          <cell r="O106" t="str">
            <v>Sunflower ( 14 Inch ) 4     FF Sachet + Grass</v>
          </cell>
          <cell r="P106" t="str">
            <v>P n W Glad ( 14 Inch ) 16     Grass</v>
          </cell>
          <cell r="Q106" t="str">
            <v>O Asiatic ( 14 Inch ) 3     Grass</v>
          </cell>
          <cell r="R106" t="str">
            <v>G n W Car ( 14 Inch ) 16     FF Sachet + Grass</v>
          </cell>
          <cell r="S106" t="str">
            <v>Pur Eustoma ( 12 Inch ) 3     FF Sachet + Grass</v>
          </cell>
          <cell r="T106" t="str">
            <v>P n Y Spray Daisy ( 14 Inch ) 5     FF Sachet + Grass</v>
          </cell>
        </row>
        <row r="107">
          <cell r="A107">
            <v>1925</v>
          </cell>
          <cell r="B107" t="str">
            <v>Chandni Ahuja</v>
          </cell>
          <cell r="C107">
            <v>9999061820</v>
          </cell>
          <cell r="D107" t="str">
            <v>B-102, Regency Park-1</v>
          </cell>
          <cell r="E107" t="str">
            <v>DLF Phase 4</v>
          </cell>
          <cell r="F107" t="str">
            <v>Saturday</v>
          </cell>
          <cell r="G107" t="str">
            <v>9 AM to 2 PM</v>
          </cell>
          <cell r="H107">
            <v>1450</v>
          </cell>
          <cell r="I107">
            <v>362.5</v>
          </cell>
          <cell r="J107" t="str">
            <v>Bliss</v>
          </cell>
          <cell r="K107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v>
          </cell>
          <cell r="L107" t="str">
            <v>ORCHID n GLAD n GERBERA</v>
          </cell>
          <cell r="M107" t="str">
            <v xml:space="preserve">Mixed Flowers </v>
          </cell>
          <cell r="N107" t="str">
            <v>2  del of this cycle   -  1-cycles pmnt   Pending - Collect 1450</v>
          </cell>
          <cell r="O107" t="str">
            <v>P Asiatic ( 14 Inch ) 3     Grass</v>
          </cell>
          <cell r="P107" t="str">
            <v>W Asiatic ( 14 Inch ) 3     Grass</v>
          </cell>
          <cell r="Q107" t="e">
            <v>#N/A</v>
          </cell>
          <cell r="R107" t="str">
            <v>Y Spray Daosy ( 14 Inch ) 3 G n W Car ( 14 Inch ) 7   FF Sachet + Grass</v>
          </cell>
          <cell r="S107" t="str">
            <v>P Eustoma ( 12 Inch ) 2 Mix Alstroemerai ( 12 Inch ) 7   FF Sachet + Grass</v>
          </cell>
          <cell r="T107" t="str">
            <v>O Asiatic ( 14 Inch ) 2 Rajni ( 14 Inch ) 7 Ensure Collection Ensure Collection Grass</v>
          </cell>
        </row>
        <row r="108">
          <cell r="A108">
            <v>3067</v>
          </cell>
          <cell r="B108" t="str">
            <v>Anna Thakran</v>
          </cell>
          <cell r="C108">
            <v>8137891064</v>
          </cell>
          <cell r="D108" t="str">
            <v>B1/83, Regency Park-1, DLF Phase 4</v>
          </cell>
          <cell r="E108" t="str">
            <v>DLF Phase 4</v>
          </cell>
          <cell r="F108" t="str">
            <v>Saturday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Day Changed to Saturday (22/03)Paytm Anna Tresa Jose Tharakan (08/11) Skip 1 week (21/11) Returned today (29/11) Skip 1 week (14/02) Skip 1 week (17/04) Today Hold (02/05) HDTNP (25/07)</v>
          </cell>
          <cell r="N108" t="str">
            <v>3  del of this cycle   -  0-cycles pmnt   Completed - Collect 0</v>
          </cell>
          <cell r="O108" t="e">
            <v>#N/A</v>
          </cell>
          <cell r="P108" t="e">
            <v>#N/A</v>
          </cell>
          <cell r="Q108" t="str">
            <v>Pur n P Car ( 14 Inch ) 16     FF sachet + Car</v>
          </cell>
          <cell r="R108" t="str">
            <v>O Asiatic ( 14 Inch ) 3   Collect payment Collect payment Grass</v>
          </cell>
          <cell r="S108" t="e">
            <v>#N/A</v>
          </cell>
          <cell r="T108" t="str">
            <v>Mix Alstroemeria ( 12 Inch ) 16     FF Sachet + Grass</v>
          </cell>
        </row>
        <row r="109">
          <cell r="A109">
            <v>2523</v>
          </cell>
          <cell r="B109" t="str">
            <v>Kaamini Singhal</v>
          </cell>
          <cell r="C109">
            <v>8383964831</v>
          </cell>
          <cell r="D109" t="str">
            <v>H-40/9, DLF Phase 1</v>
          </cell>
          <cell r="E109" t="str">
            <v>DLF Phase 1</v>
          </cell>
          <cell r="F109" t="str">
            <v>Saturday</v>
          </cell>
          <cell r="G109" t="str">
            <v>9 AM - 12 PM</v>
          </cell>
          <cell r="H109">
            <v>1450</v>
          </cell>
          <cell r="I109">
            <v>362.5</v>
          </cell>
          <cell r="J109" t="str">
            <v>Bliss</v>
          </cell>
          <cell r="K109" t="str">
            <v>10% Discount// Sent one deltodayu and then every Saturday (12/04) Skip Tom (08/08) Skip tom (22/08) Today returned (04/10) Hold tom (26/12) Today Hold (17/01) Skip 2 week (23/01) Day Changed to satirday (10/02) Skip 2 week (12/04) Skip 1 week (10/07) Skip 1 week (24/07)</v>
          </cell>
          <cell r="N109" t="str">
            <v>4  del of this cycle   -  0-cycles pmnt   Completed - Collect 0</v>
          </cell>
          <cell r="O109" t="str">
            <v>Pur n P car ( 14 Inch ) 16     FF Sachet + Grass</v>
          </cell>
          <cell r="P109" t="str">
            <v>Sunflower ( 12 Inch ) 4     FF Sachet + Grass</v>
          </cell>
          <cell r="Q109" t="e">
            <v>#N/A</v>
          </cell>
          <cell r="R109" t="str">
            <v>W Asiatic ( 14 Inch ) 3     Grass</v>
          </cell>
          <cell r="S109" t="e">
            <v>#N/A</v>
          </cell>
          <cell r="T109" t="str">
            <v>Mix Glad ( 14 Inch ) 16     Grass</v>
          </cell>
        </row>
        <row r="110">
          <cell r="A110">
            <v>138</v>
          </cell>
          <cell r="B110" t="str">
            <v>Nidhi Duggal</v>
          </cell>
          <cell r="C110">
            <v>9811721912</v>
          </cell>
          <cell r="D110" t="str">
            <v>B-2803, Ireo Grand Arch</v>
          </cell>
          <cell r="E110" t="str">
            <v>Ghata</v>
          </cell>
          <cell r="F110" t="str">
            <v>Saturday</v>
          </cell>
          <cell r="G110" t="str">
            <v>9 AM - 12 PM</v>
          </cell>
          <cell r="H110">
            <v>1950</v>
          </cell>
          <cell r="I110">
            <v>487.5</v>
          </cell>
          <cell r="J110" t="str">
            <v>Joy</v>
          </cell>
          <cell r="K110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110" t="str">
            <v>Hold 21st and 28th June (05/05)</v>
          </cell>
          <cell r="N110" t="str">
            <v>3  del of this cycle   -  1-cycles pmnt   Pending - Collect 1950</v>
          </cell>
          <cell r="O110" t="str">
            <v>P Asiatic ( 14 Inch ) 2 P n W Glad ( 14 Inch ) 11   Grass</v>
          </cell>
          <cell r="P110" t="str">
            <v>Sunflower ( 12 Inch ) 3 Mix Alstroemeria ( 12 Inch ) 11   FF Sachet + Grass</v>
          </cell>
          <cell r="Q110" t="str">
            <v>P n W Spray Daisy ( 14 Inch ) 4 P n W Car ( 14 Inch ) 11   FF sachet + Car</v>
          </cell>
          <cell r="R110" t="str">
            <v>W Asiatic ( 14 Inch ) 2 Mix Glad ( 14 Inch ) 11   Grass</v>
          </cell>
          <cell r="S110" t="str">
            <v>P Eustoma ( 12 Inch ) 2 Mix Alstroemerai ( 12 Inch ) 11 Ensure Collection Emnsure Collection FF Sachet + Grass</v>
          </cell>
          <cell r="T110" t="str">
            <v>Sunflower ( 12 Inch ) 3 P n W Car ( 14 Inch ) 11 Ensure Collection Ensure Collection FF Sachet + Grass</v>
          </cell>
        </row>
        <row r="111">
          <cell r="A111">
            <v>1953</v>
          </cell>
          <cell r="B111" t="str">
            <v>Sandhya Nagesh</v>
          </cell>
          <cell r="C111">
            <v>8800649797</v>
          </cell>
          <cell r="D111" t="str">
            <v>89, Ground Floor, Woodstock Floors, Sec 50</v>
          </cell>
          <cell r="E111" t="str">
            <v>Nirvana Country</v>
          </cell>
          <cell r="F111" t="str">
            <v>Saturday</v>
          </cell>
          <cell r="G111" t="str">
            <v>9 AM - 12 PM</v>
          </cell>
          <cell r="H111">
            <v>3000</v>
          </cell>
          <cell r="I111">
            <v>375</v>
          </cell>
          <cell r="J111" t="str">
            <v>Charm</v>
          </cell>
          <cell r="K111" t="str">
            <v>Saturday n Tueaday(02/09) No Del From 10th to 19th (09/09) Today returned(19/08) hold today send tom (07/10) Skip 20th Del (14/01) Hold 6th n 10th Sug (03/08) Return tiday (07/02) Today Returned (24/02)</v>
          </cell>
          <cell r="N111" t="str">
            <v>8  del of this cycle   -  0-cycles pmnt   Completed - Collect 0</v>
          </cell>
          <cell r="O111" t="str">
            <v>Sunflower ( 14 Inch ) 4     FF Sachet + Grass</v>
          </cell>
          <cell r="P111" t="str">
            <v>B Orchid  4     FF Sachet + Grass</v>
          </cell>
          <cell r="Q111" t="str">
            <v>Rajni ( 14 Inch ) 15     Grass</v>
          </cell>
          <cell r="R111" t="str">
            <v>Mix Alstroemeria ( 12 Inch ) 15     FF sachet + Grass</v>
          </cell>
          <cell r="S111" t="str">
            <v>O Glad ( 14 Inch ) 15     Grass</v>
          </cell>
          <cell r="T111" t="str">
            <v>R n W Car ( 14 Inch ) 15     FF Sachet + Grass</v>
          </cell>
        </row>
        <row r="112">
          <cell r="B112" t="str">
            <v>73037 15100</v>
          </cell>
          <cell r="C112" t="str">
            <v>73037 15100</v>
          </cell>
          <cell r="D112" t="str">
            <v>Tower 9 flat 7A, Fairway west, M3M golf estate. Sector 65</v>
          </cell>
          <cell r="G112" t="str">
            <v xml:space="preserve">Before 11 </v>
          </cell>
          <cell r="H112">
            <v>1500</v>
          </cell>
          <cell r="J112" t="str">
            <v>Bouquet</v>
          </cell>
          <cell r="K112" t="str">
            <v>Sangeeta
+91 73037 15100
Pls send 5 semi bloom pink orienyal lily in walkin tissue wrap today 
Happy happy birthday Dhanni 
Lots of blessings and love 
Suchita Masi
Delivery before 11am at any cost..send via uber..</v>
          </cell>
          <cell r="T112" t="str">
            <v xml:space="preserve">Semi bloom pink orienyal lily 5 walkin tissue wrap Message   </v>
          </cell>
        </row>
        <row r="113">
          <cell r="B113" t="str">
            <v>Ishita Bisht</v>
          </cell>
          <cell r="C113" t="str">
            <v xml:space="preserve"> 95997 04280</v>
          </cell>
          <cell r="D113" t="str">
            <v>Tower 10, 002, Emaar PTS, Sector 66, Gurgaon</v>
          </cell>
          <cell r="G113" t="str">
            <v xml:space="preserve">By 5 Pm </v>
          </cell>
          <cell r="H113">
            <v>890</v>
          </cell>
          <cell r="J113" t="str">
            <v>Bouquet</v>
          </cell>
          <cell r="K113" t="str">
            <v>Send today 
To
Ishita Bisht - Tower 10, 002, Emaar PTS, Sector 66, Gurgaon
+91 95997 04280
Payment received</v>
          </cell>
          <cell r="T113" t="str">
            <v xml:space="preserve">Sunflower+B Daisy 3+4 Walkin Tissue Wrap    </v>
          </cell>
        </row>
        <row r="114">
          <cell r="A114" t="str">
            <v>B56621</v>
          </cell>
          <cell r="B114" t="str">
            <v>Nupur Malhotra</v>
          </cell>
          <cell r="C114">
            <v>8826714891</v>
          </cell>
          <cell r="D114" t="str">
            <v>T-6/1503, Fresco</v>
          </cell>
          <cell r="E114" t="str">
            <v>Nirvana Country</v>
          </cell>
          <cell r="F114" t="str">
            <v>Saturday</v>
          </cell>
          <cell r="G114" t="str">
            <v>By 11 AM</v>
          </cell>
          <cell r="H114">
            <v>600</v>
          </cell>
          <cell r="I114">
            <v>600</v>
          </cell>
          <cell r="J114" t="str">
            <v>Bouquet</v>
          </cell>
          <cell r="K114" t="str">
            <v>15 Rajni anf Red Car in Tissue wrap // Happy Birthday, Stay Blessed dear Nupur.     From    Mummy, Papa (31/07)</v>
          </cell>
          <cell r="N114" t="str">
            <v>1  del of this cycle   -  0-cycles pmnt   Completed - Collect 0</v>
          </cell>
          <cell r="O114" t="e">
            <v>#N/A</v>
          </cell>
          <cell r="P114" t="e">
            <v>#N/A</v>
          </cell>
          <cell r="Q114" t="e">
            <v>#N/A</v>
          </cell>
          <cell r="R114" t="e">
            <v>#N/A</v>
          </cell>
          <cell r="S114" t="e">
            <v>#N/A</v>
          </cell>
          <cell r="T114" t="str">
            <v xml:space="preserve">Rajni + R Car 15 Walkin Tissue Wrap Message   </v>
          </cell>
        </row>
        <row r="115">
          <cell r="B115">
            <v>9811502463</v>
          </cell>
          <cell r="C115">
            <v>9811502463</v>
          </cell>
          <cell r="D115" t="str">
            <v>A-2303, Tower A,
Ireo Victory Valley, Sector 67</v>
          </cell>
          <cell r="G115" t="str">
            <v xml:space="preserve">Before 3 30 Pm </v>
          </cell>
          <cell r="H115">
            <v>900</v>
          </cell>
          <cell r="J115" t="str">
            <v>Bouquet</v>
          </cell>
          <cell r="K115" t="str">
            <v>Today before 3:30 
3 pink oriental in single brown wrap to 
A-2303, Tower A,
Ireo Victory Valley, Sector 67
9811502463
Order from
‪+1 (415) 438‑0417‬
900 received</v>
          </cell>
          <cell r="T115" t="str">
            <v xml:space="preserve">pink oriental 3 Single Wrap    </v>
          </cell>
        </row>
        <row r="116">
          <cell r="A116">
            <v>3381</v>
          </cell>
          <cell r="B116" t="str">
            <v>Swati Gaur</v>
          </cell>
          <cell r="C116">
            <v>9769021701</v>
          </cell>
          <cell r="D116" t="str">
            <v>T-5/2617, Center court by County, Sec 88 A</v>
          </cell>
          <cell r="G116" t="str">
            <v>Only Feedback</v>
          </cell>
          <cell r="H116" t="str">
            <v>Only Feedback</v>
          </cell>
          <cell r="I116" t="str">
            <v>Only Feedback</v>
          </cell>
          <cell r="J116" t="str">
            <v>Only Feedback</v>
          </cell>
          <cell r="K116" t="str">
            <v>Only Feedback</v>
          </cell>
          <cell r="L116" t="str">
            <v>Only Feedback</v>
          </cell>
          <cell r="M116" t="str">
            <v>Only Feedback</v>
          </cell>
          <cell r="N116" t="str">
            <v>Only Feedback</v>
          </cell>
          <cell r="O116" t="str">
            <v>Only Feedback</v>
          </cell>
          <cell r="P116" t="str">
            <v>Only Feedback</v>
          </cell>
          <cell r="Q116" t="str">
            <v>Only Feedback</v>
          </cell>
          <cell r="R116" t="str">
            <v>Only Feedback</v>
          </cell>
          <cell r="S116" t="str">
            <v>Only Feedback</v>
          </cell>
          <cell r="T116" t="str">
            <v xml:space="preserve">Only Feedback Only Feedback Only Feedback Only Feedback Only Feedback  </v>
          </cell>
        </row>
        <row r="117">
          <cell r="A117">
            <v>2274</v>
          </cell>
          <cell r="B117" t="str">
            <v>Megha Saraogi</v>
          </cell>
          <cell r="C117">
            <v>8879492701</v>
          </cell>
          <cell r="D117" t="str">
            <v>A-161, 16th Floor, Raheja Atlantis</v>
          </cell>
          <cell r="G117" t="str">
            <v>Only Payment</v>
          </cell>
          <cell r="H117" t="str">
            <v>Only Payment</v>
          </cell>
          <cell r="I117" t="str">
            <v>Only Payment</v>
          </cell>
          <cell r="J117" t="str">
            <v>Only Payment</v>
          </cell>
          <cell r="K117" t="str">
            <v>Only Payment</v>
          </cell>
          <cell r="L117" t="str">
            <v>Only Payment</v>
          </cell>
          <cell r="M117" t="str">
            <v>Only Payment</v>
          </cell>
          <cell r="N117" t="str">
            <v>Only Payment</v>
          </cell>
          <cell r="O117" t="str">
            <v>Only Payment</v>
          </cell>
          <cell r="P117" t="str">
            <v>Only Payment</v>
          </cell>
          <cell r="Q117" t="str">
            <v>Only Payment</v>
          </cell>
          <cell r="R117" t="str">
            <v>Only Payment</v>
          </cell>
          <cell r="S117" t="str">
            <v>Only Payment</v>
          </cell>
          <cell r="T117" t="str">
            <v xml:space="preserve">Only Payment Only Payment Only Payment Only Payment Only Payment Only Payment </v>
          </cell>
        </row>
        <row r="118">
          <cell r="C118" t="str">
            <v xml:space="preserve"> 98111 54666 </v>
          </cell>
          <cell r="D118" t="str">
            <v xml:space="preserve"> </v>
          </cell>
          <cell r="T118" t="str">
            <v xml:space="preserve">semi bloom Pink asiatic and 7 mix Carbations      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92CD-82AD-4012-B503-E0E4E28A83EE}">
  <sheetPr filterMode="1"/>
  <dimension ref="A1:AD110"/>
  <sheetViews>
    <sheetView tabSelected="1" topLeftCell="A90" zoomScale="60" zoomScaleNormal="60" workbookViewId="0">
      <selection activeCell="S2" sqref="S2"/>
    </sheetView>
  </sheetViews>
  <sheetFormatPr defaultRowHeight="14" x14ac:dyDescent="0.3"/>
  <cols>
    <col min="3" max="7" width="8.796875" hidden="1" customWidth="1"/>
    <col min="8" max="8" width="7.69921875" customWidth="1"/>
    <col min="9" max="9" width="8.796875" hidden="1" customWidth="1"/>
    <col min="11" max="11" width="142.5" hidden="1" customWidth="1"/>
  </cols>
  <sheetData>
    <row r="1" spans="1:30" ht="101.1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6" t="s">
        <v>442</v>
      </c>
      <c r="P1" s="36" t="s">
        <v>443</v>
      </c>
      <c r="Q1" s="36" t="s">
        <v>444</v>
      </c>
      <c r="R1" s="36" t="s">
        <v>445</v>
      </c>
      <c r="S1" s="36" t="s">
        <v>446</v>
      </c>
      <c r="T1" s="36" t="s">
        <v>447</v>
      </c>
      <c r="U1" s="36" t="s">
        <v>448</v>
      </c>
      <c r="V1" s="36" t="s">
        <v>449</v>
      </c>
      <c r="W1" s="36" t="s">
        <v>448</v>
      </c>
      <c r="X1" s="36" t="s">
        <v>450</v>
      </c>
      <c r="Y1" s="36" t="s">
        <v>448</v>
      </c>
      <c r="Z1" s="36" t="s">
        <v>451</v>
      </c>
      <c r="AA1" s="36" t="s">
        <v>452</v>
      </c>
      <c r="AB1" s="36" t="s">
        <v>453</v>
      </c>
      <c r="AC1" s="36" t="s">
        <v>454</v>
      </c>
      <c r="AD1" s="36" t="s">
        <v>455</v>
      </c>
    </row>
    <row r="2" spans="1:30" ht="121.6" hidden="1" customHeight="1" x14ac:dyDescent="0.3">
      <c r="A2" s="1">
        <v>2629</v>
      </c>
      <c r="B2" s="8" t="s">
        <v>14</v>
      </c>
      <c r="C2" s="9">
        <v>9810996113</v>
      </c>
      <c r="D2" s="10" t="s">
        <v>15</v>
      </c>
      <c r="E2" s="10" t="s">
        <v>16</v>
      </c>
      <c r="F2" s="10" t="s">
        <v>17</v>
      </c>
      <c r="G2" s="11" t="s">
        <v>18</v>
      </c>
      <c r="H2" s="12">
        <v>1450</v>
      </c>
      <c r="I2" s="12">
        <v>362.5</v>
      </c>
      <c r="J2" s="13" t="s">
        <v>19</v>
      </c>
      <c r="K2" s="10" t="s">
        <v>20</v>
      </c>
      <c r="L2" s="12"/>
      <c r="M2" s="10" t="s">
        <v>21</v>
      </c>
      <c r="N2" s="14" t="s">
        <v>22</v>
      </c>
      <c r="O2" s="35" t="str">
        <f>VLOOKUP(A2,'[1]04-07-26'!$A$2:$T$121,20,0)</f>
        <v>Pur n P Car ( 14 Inch ) 16     FF Sachet + Grass</v>
      </c>
      <c r="P2" s="35" t="str">
        <f>VLOOKUP(A2,'[1]11-07-26'!$A$2:$T$125,20,0)</f>
        <v>O Asiatic ( 14 Inch ) 3     Grass</v>
      </c>
      <c r="Q2" s="35" t="str">
        <f>VLOOKUP(A2,'[1]18-07-26'!$A$2:$T$132,20,0)</f>
        <v>Mix Alstroemeria ( 12 Inch ) 16     Grass</v>
      </c>
      <c r="R2" s="35" t="str">
        <f>VLOOKUP(A2,'[1]25-07-26'!$A$2:$T$114,20,0)</f>
        <v>P Spray + Y Button Daisy ( 14 Inch ) 5     FF Sachet + Grass</v>
      </c>
      <c r="S2" s="35" t="str">
        <f>VLOOKUP(A2,'[2]01-08-26'!$A$2:$T$118,20,0)</f>
        <v>Mix Glad ( 14 Inch ) 16     Grass</v>
      </c>
      <c r="T2" s="35" t="s">
        <v>551</v>
      </c>
      <c r="U2" s="35">
        <v>3</v>
      </c>
      <c r="V2" s="35"/>
      <c r="W2" s="35"/>
      <c r="X2" s="35"/>
      <c r="Y2" s="35"/>
      <c r="Z2" s="35" t="s">
        <v>467</v>
      </c>
      <c r="AA2" s="35"/>
      <c r="AB2" s="35"/>
      <c r="AC2" s="35"/>
      <c r="AD2" s="35"/>
    </row>
    <row r="3" spans="1:30" ht="121.6" hidden="1" customHeight="1" x14ac:dyDescent="0.3">
      <c r="A3" s="1">
        <v>2523</v>
      </c>
      <c r="B3" s="8" t="s">
        <v>23</v>
      </c>
      <c r="C3" s="9">
        <v>8383964831</v>
      </c>
      <c r="D3" s="10" t="s">
        <v>24</v>
      </c>
      <c r="E3" s="10" t="s">
        <v>16</v>
      </c>
      <c r="F3" s="10" t="s">
        <v>17</v>
      </c>
      <c r="G3" s="11" t="s">
        <v>18</v>
      </c>
      <c r="H3" s="12">
        <v>1450</v>
      </c>
      <c r="I3" s="12">
        <v>362.5</v>
      </c>
      <c r="J3" s="13" t="s">
        <v>19</v>
      </c>
      <c r="K3" s="10" t="s">
        <v>25</v>
      </c>
      <c r="L3" s="12"/>
      <c r="M3" s="12"/>
      <c r="N3" s="14" t="s">
        <v>22</v>
      </c>
      <c r="O3" s="35" t="str">
        <f>VLOOKUP(A3,'[1]04-07-26'!$A$2:$T$121,20,0)</f>
        <v>Sunflower ( 12 Inch ) 4     FF Sachet + Grass</v>
      </c>
      <c r="P3" s="35" t="e">
        <f>VLOOKUP(A3,'[1]11-07-26'!$A$2:$T$125,20,0)</f>
        <v>#N/A</v>
      </c>
      <c r="Q3" s="35" t="str">
        <f>VLOOKUP(A3,'[1]18-07-26'!$A$2:$T$132,20,0)</f>
        <v>W Asiatic ( 14 Inch ) 3     Grass</v>
      </c>
      <c r="R3" s="35" t="e">
        <f>VLOOKUP(A3,'[1]25-07-26'!$A$2:$T$114,20,0)</f>
        <v>#N/A</v>
      </c>
      <c r="S3" s="35" t="str">
        <f>VLOOKUP(A3,'[2]01-08-26'!$A$2:$T$118,20,0)</f>
        <v>Mix Glad ( 14 Inch ) 16     Grass</v>
      </c>
      <c r="T3" s="35" t="s">
        <v>479</v>
      </c>
      <c r="U3" s="35">
        <v>5</v>
      </c>
      <c r="V3" s="35"/>
      <c r="W3" s="35"/>
      <c r="X3" s="35"/>
      <c r="Y3" s="35"/>
      <c r="Z3" s="35" t="s">
        <v>467</v>
      </c>
      <c r="AA3" s="35"/>
      <c r="AB3" s="35"/>
      <c r="AC3" s="35"/>
      <c r="AD3" s="35"/>
    </row>
    <row r="4" spans="1:30" ht="121.6" hidden="1" customHeight="1" x14ac:dyDescent="0.3">
      <c r="A4" s="13">
        <v>2325</v>
      </c>
      <c r="B4" s="15" t="s">
        <v>26</v>
      </c>
      <c r="C4" s="12">
        <v>9818655913</v>
      </c>
      <c r="D4" s="10" t="s">
        <v>27</v>
      </c>
      <c r="E4" s="13" t="s">
        <v>28</v>
      </c>
      <c r="F4" s="10" t="s">
        <v>17</v>
      </c>
      <c r="G4" s="16" t="s">
        <v>29</v>
      </c>
      <c r="H4" s="12">
        <v>3000</v>
      </c>
      <c r="I4" s="12">
        <v>375</v>
      </c>
      <c r="J4" s="10" t="s">
        <v>30</v>
      </c>
      <c r="K4" s="10" t="s">
        <v>31</v>
      </c>
      <c r="L4" s="10" t="s">
        <v>32</v>
      </c>
      <c r="M4" s="12"/>
      <c r="N4" s="14" t="s">
        <v>456</v>
      </c>
      <c r="O4" s="35" t="e">
        <f>VLOOKUP(A4,'[1]04-07-26'!$A$2:$T$121,20,0)</f>
        <v>#N/A</v>
      </c>
      <c r="P4" s="35" t="e">
        <f>VLOOKUP(A4,'[1]11-07-26'!$A$2:$T$125,20,0)</f>
        <v>#N/A</v>
      </c>
      <c r="Q4" s="35" t="e">
        <f>VLOOKUP(A4,'[1]18-07-26'!$A$2:$T$132,20,0)</f>
        <v>#N/A</v>
      </c>
      <c r="R4" s="35" t="str">
        <f>VLOOKUP(A4,'[1]25-07-26'!$A$2:$T$114,20,0)</f>
        <v>O Asiatic ( 14 Inch ) 3   Ensure Collection Emnsure Collection Grass</v>
      </c>
      <c r="S4" s="35" t="str">
        <f>VLOOKUP(A4,'[2]01-08-26'!$A$2:$T$118,20,0)</f>
        <v>Sunflower ( 12 Inch ) 4     FF Sachet + Grass</v>
      </c>
      <c r="T4" s="35" t="s">
        <v>459</v>
      </c>
      <c r="U4" s="35">
        <v>15</v>
      </c>
      <c r="V4" s="35"/>
      <c r="W4" s="35"/>
      <c r="X4" s="35"/>
      <c r="Y4" s="35"/>
      <c r="Z4" s="35" t="s">
        <v>467</v>
      </c>
      <c r="AA4" s="35"/>
      <c r="AB4" s="35"/>
      <c r="AC4" s="35"/>
      <c r="AD4" s="35"/>
    </row>
    <row r="5" spans="1:30" ht="121.6" hidden="1" customHeight="1" x14ac:dyDescent="0.3">
      <c r="A5" s="1">
        <v>2361</v>
      </c>
      <c r="B5" s="8" t="s">
        <v>34</v>
      </c>
      <c r="C5" s="9">
        <v>9818661431</v>
      </c>
      <c r="D5" s="10" t="s">
        <v>35</v>
      </c>
      <c r="E5" s="10" t="s">
        <v>36</v>
      </c>
      <c r="F5" s="13" t="s">
        <v>17</v>
      </c>
      <c r="G5" s="11" t="s">
        <v>18</v>
      </c>
      <c r="H5" s="10">
        <v>1450</v>
      </c>
      <c r="I5" s="12">
        <v>362.5</v>
      </c>
      <c r="J5" s="13" t="s">
        <v>19</v>
      </c>
      <c r="K5" s="10" t="s">
        <v>37</v>
      </c>
      <c r="L5" s="12"/>
      <c r="M5" s="12"/>
      <c r="N5" s="14" t="s">
        <v>477</v>
      </c>
      <c r="O5" s="35" t="e">
        <f>VLOOKUP(A5,'[1]04-07-26'!$A$2:$T$121,20,0)</f>
        <v>#N/A</v>
      </c>
      <c r="P5" s="35" t="str">
        <f>VLOOKUP(A5,'[1]11-07-26'!$A$2:$T$125,20,0)</f>
        <v>O Asiatic ( 14 Inch ) 3     Grass</v>
      </c>
      <c r="Q5" s="35" t="str">
        <f>VLOOKUP(A5,'[1]18-07-26'!$A$2:$T$132,20,0)</f>
        <v>G n W Car ( 14 Inch ) 16   Collect payment Collect payment FF Sachet + Grass</v>
      </c>
      <c r="R5" s="35" t="e">
        <f>VLOOKUP(A5,'[1]25-07-26'!$A$2:$T$114,20,0)</f>
        <v>#N/A</v>
      </c>
      <c r="S5" s="35" t="e">
        <f>VLOOKUP(A5,'[2]01-08-26'!$A$2:$T$118,20,0)</f>
        <v>#N/A</v>
      </c>
      <c r="T5" s="35" t="s">
        <v>479</v>
      </c>
      <c r="U5" s="35">
        <v>5</v>
      </c>
      <c r="V5" s="35"/>
      <c r="W5" s="35"/>
      <c r="X5" s="35"/>
      <c r="Y5" s="35"/>
      <c r="Z5" s="35" t="s">
        <v>467</v>
      </c>
      <c r="AA5" s="35"/>
      <c r="AB5" s="35"/>
      <c r="AC5" s="35"/>
      <c r="AD5" s="35"/>
    </row>
    <row r="6" spans="1:30" ht="121.6" hidden="1" customHeight="1" x14ac:dyDescent="0.3">
      <c r="A6" s="1">
        <v>3074</v>
      </c>
      <c r="B6" s="17" t="s">
        <v>38</v>
      </c>
      <c r="C6" s="12">
        <v>9958309739</v>
      </c>
      <c r="D6" s="10" t="s">
        <v>39</v>
      </c>
      <c r="E6" s="10" t="s">
        <v>40</v>
      </c>
      <c r="F6" s="10" t="s">
        <v>17</v>
      </c>
      <c r="G6" s="11" t="s">
        <v>18</v>
      </c>
      <c r="H6" s="12">
        <v>1450</v>
      </c>
      <c r="I6" s="12">
        <v>362.5</v>
      </c>
      <c r="J6" s="10" t="s">
        <v>19</v>
      </c>
      <c r="K6" s="10" t="s">
        <v>41</v>
      </c>
      <c r="L6" s="12"/>
      <c r="M6" s="12"/>
      <c r="N6" s="14" t="s">
        <v>22</v>
      </c>
      <c r="O6" s="35" t="e">
        <f>VLOOKUP(A6,'[1]04-07-26'!$A$2:$T$121,20,0)</f>
        <v>#N/A</v>
      </c>
      <c r="P6" s="35" t="e">
        <f>VLOOKUP(A6,'[1]11-07-26'!$A$2:$T$125,20,0)</f>
        <v>#N/A</v>
      </c>
      <c r="Q6" s="35" t="str">
        <f>VLOOKUP(A6,'[1]18-07-26'!$A$2:$T$132,20,0)</f>
        <v>O Asiatic ( 14 Inch ) 2 G n W Car ( 14 Inch ) 7   Grass</v>
      </c>
      <c r="R6" s="35" t="str">
        <f>VLOOKUP(A6,'[1]25-07-26'!$A$2:$T$114,20,0)</f>
        <v>Sunflower ( 12 Inch ) 2 O Glad ( 14 Inch ) 7 Ensure Collection Emnsure Collection FF Sachet + Grass</v>
      </c>
      <c r="S6" s="35" t="str">
        <f>VLOOKUP(A6,'[2]01-08-26'!$A$2:$T$118,20,0)</f>
        <v>P Spray Daisy ( 14 Inch ) 3 Mix Glad ( 14 Inch ) 7   FF Sachet + Grass</v>
      </c>
      <c r="T6" s="35" t="s">
        <v>551</v>
      </c>
      <c r="U6" s="35">
        <v>2</v>
      </c>
      <c r="V6" s="35" t="s">
        <v>465</v>
      </c>
      <c r="W6" s="35">
        <v>7</v>
      </c>
      <c r="X6" s="35"/>
      <c r="Y6" s="35"/>
      <c r="Z6" s="35" t="s">
        <v>467</v>
      </c>
      <c r="AA6" s="35"/>
      <c r="AB6" s="35"/>
      <c r="AC6" s="35"/>
      <c r="AD6" s="35"/>
    </row>
    <row r="7" spans="1:30" ht="121.6" hidden="1" customHeight="1" x14ac:dyDescent="0.3">
      <c r="A7" s="1">
        <v>3067</v>
      </c>
      <c r="B7" s="8" t="s">
        <v>42</v>
      </c>
      <c r="C7" s="12">
        <v>8137891064</v>
      </c>
      <c r="D7" s="10" t="s">
        <v>43</v>
      </c>
      <c r="E7" s="10" t="s">
        <v>44</v>
      </c>
      <c r="F7" s="10" t="s">
        <v>17</v>
      </c>
      <c r="G7" s="11" t="s">
        <v>18</v>
      </c>
      <c r="H7" s="12">
        <v>1450</v>
      </c>
      <c r="I7" s="12">
        <v>362.5</v>
      </c>
      <c r="J7" s="10" t="s">
        <v>19</v>
      </c>
      <c r="K7" s="10" t="s">
        <v>45</v>
      </c>
      <c r="L7" s="12"/>
      <c r="M7" s="12"/>
      <c r="N7" s="14" t="s">
        <v>22</v>
      </c>
      <c r="O7" s="35" t="e">
        <f>VLOOKUP(A7,'[1]04-07-26'!$A$2:$T$121,20,0)</f>
        <v>#N/A</v>
      </c>
      <c r="P7" s="35" t="str">
        <f>VLOOKUP(A7,'[1]11-07-26'!$A$2:$T$125,20,0)</f>
        <v>Pur n P Car ( 14 Inch ) 16     FF sachet + Car</v>
      </c>
      <c r="Q7" s="35" t="str">
        <f>VLOOKUP(A7,'[1]18-07-26'!$A$2:$T$132,20,0)</f>
        <v>O Asiatic ( 14 Inch ) 3   Collect payment Collect payment Grass</v>
      </c>
      <c r="R7" s="35" t="e">
        <f>VLOOKUP(A7,'[1]25-07-26'!$A$2:$T$114,20,0)</f>
        <v>#N/A</v>
      </c>
      <c r="S7" s="35" t="str">
        <f>VLOOKUP(A7,'[2]01-08-26'!$A$2:$T$118,20,0)</f>
        <v>Mix Alstroemeria ( 12 Inch ) 16     FF Sachet + Grass</v>
      </c>
      <c r="T7" s="35" t="s">
        <v>479</v>
      </c>
      <c r="U7" s="35">
        <v>5</v>
      </c>
      <c r="V7" s="35"/>
      <c r="W7" s="35"/>
      <c r="X7" s="35"/>
      <c r="Y7" s="35"/>
      <c r="Z7" s="35" t="s">
        <v>467</v>
      </c>
      <c r="AA7" s="35"/>
      <c r="AB7" s="35"/>
      <c r="AC7" s="35"/>
      <c r="AD7" s="35"/>
    </row>
    <row r="8" spans="1:30" ht="121.6" hidden="1" customHeight="1" x14ac:dyDescent="0.3">
      <c r="A8" s="1">
        <v>940</v>
      </c>
      <c r="B8" s="8" t="s">
        <v>46</v>
      </c>
      <c r="C8" s="1">
        <v>9810194171</v>
      </c>
      <c r="D8" s="1" t="s">
        <v>47</v>
      </c>
      <c r="E8" s="13" t="s">
        <v>40</v>
      </c>
      <c r="F8" s="13" t="s">
        <v>17</v>
      </c>
      <c r="G8" s="11" t="s">
        <v>18</v>
      </c>
      <c r="H8" s="12">
        <v>2750</v>
      </c>
      <c r="I8" s="12">
        <v>687.5</v>
      </c>
      <c r="J8" s="10" t="s">
        <v>48</v>
      </c>
      <c r="K8" s="13" t="s">
        <v>49</v>
      </c>
      <c r="L8" s="12"/>
      <c r="M8" s="12"/>
      <c r="N8" s="14" t="s">
        <v>50</v>
      </c>
      <c r="O8" s="35" t="str">
        <f>VLOOKUP(A8,'[1]04-07-26'!$A$2:$T$121,20,0)</f>
        <v xml:space="preserve">Pur n P Car ( 14 Inch ) 32     2 Gypsola + FF Sachet </v>
      </c>
      <c r="P8" s="35" t="e">
        <f>VLOOKUP(A8,'[1]11-07-26'!$A$2:$T$125,20,0)</f>
        <v>#N/A</v>
      </c>
      <c r="Q8" s="35" t="e">
        <f>VLOOKUP(A8,'[1]18-07-26'!$A$2:$T$132,20,0)</f>
        <v>#N/A</v>
      </c>
      <c r="R8" s="35" t="e">
        <f>VLOOKUP(A8,'[1]25-07-26'!$A$2:$T$114,20,0)</f>
        <v>#N/A</v>
      </c>
      <c r="S8" s="35" t="str">
        <f>VLOOKUP(A8,'[2]01-08-26'!$A$2:$T$118,20,0)</f>
        <v>P n Y Spray Daisy ( 14 Inch ) 10     FF Sachet + Grass</v>
      </c>
      <c r="T8" s="35" t="s">
        <v>462</v>
      </c>
      <c r="U8" s="35">
        <v>6</v>
      </c>
      <c r="V8" s="35"/>
      <c r="W8" s="35"/>
      <c r="X8" s="35"/>
      <c r="Y8" s="35"/>
      <c r="Z8" s="35" t="s">
        <v>468</v>
      </c>
      <c r="AA8" s="35"/>
      <c r="AB8" s="35"/>
      <c r="AC8" s="35"/>
      <c r="AD8" s="35"/>
    </row>
    <row r="9" spans="1:30" ht="121.6" hidden="1" customHeight="1" x14ac:dyDescent="0.3">
      <c r="A9" s="1">
        <v>2567</v>
      </c>
      <c r="B9" s="18" t="s">
        <v>51</v>
      </c>
      <c r="C9" s="9">
        <v>9899664229</v>
      </c>
      <c r="D9" s="10" t="s">
        <v>52</v>
      </c>
      <c r="E9" s="10" t="s">
        <v>53</v>
      </c>
      <c r="F9" s="10" t="s">
        <v>17</v>
      </c>
      <c r="G9" s="11" t="s">
        <v>18</v>
      </c>
      <c r="H9" s="12">
        <v>1450</v>
      </c>
      <c r="I9" s="12">
        <v>362.5</v>
      </c>
      <c r="J9" s="13" t="s">
        <v>19</v>
      </c>
      <c r="K9" s="10" t="s">
        <v>54</v>
      </c>
      <c r="L9" s="10" t="s">
        <v>55</v>
      </c>
      <c r="M9" s="10" t="s">
        <v>56</v>
      </c>
      <c r="N9" s="14" t="s">
        <v>33</v>
      </c>
      <c r="O9" s="35" t="str">
        <f>VLOOKUP(A9,'[1]04-07-26'!$A$2:$T$121,20,0)</f>
        <v>P n W Glad ( 14 Inch ) 9     Grass</v>
      </c>
      <c r="P9" s="35" t="e">
        <f>VLOOKUP(A9,'[1]11-07-26'!$A$2:$T$125,20,0)</f>
        <v>#N/A</v>
      </c>
      <c r="Q9" s="35" t="str">
        <f>VLOOKUP(A9,'[1]18-07-26'!$A$2:$T$132,20,0)</f>
        <v>P n Y Spray Daisy ( 14 Inch ) 5     FF Sachet + Grass</v>
      </c>
      <c r="R9" s="35" t="str">
        <f>VLOOKUP(A9,'[1]25-07-26'!$A$2:$T$114,20,0)</f>
        <v xml:space="preserve">O Asiatic ( 14 Inch ) 3     </v>
      </c>
      <c r="S9" s="35" t="e">
        <f>VLOOKUP(A9,'[2]01-08-26'!$A$2:$T$118,20,0)</f>
        <v>#N/A</v>
      </c>
      <c r="T9" s="35" t="s">
        <v>461</v>
      </c>
      <c r="U9" s="35">
        <v>16</v>
      </c>
      <c r="V9" s="35"/>
      <c r="W9" s="35"/>
      <c r="X9" s="35"/>
      <c r="Y9" s="35"/>
      <c r="Z9" s="35" t="s">
        <v>468</v>
      </c>
      <c r="AA9" s="35"/>
      <c r="AB9" s="35"/>
      <c r="AC9" s="35"/>
      <c r="AD9" s="35"/>
    </row>
    <row r="10" spans="1:30" ht="121.6" hidden="1" customHeight="1" x14ac:dyDescent="0.3">
      <c r="A10" s="1">
        <v>1536</v>
      </c>
      <c r="B10" s="8" t="s">
        <v>57</v>
      </c>
      <c r="C10" s="9">
        <v>9871518449</v>
      </c>
      <c r="D10" s="10" t="s">
        <v>58</v>
      </c>
      <c r="E10" s="10" t="s">
        <v>36</v>
      </c>
      <c r="F10" s="10" t="s">
        <v>17</v>
      </c>
      <c r="G10" s="11" t="s">
        <v>18</v>
      </c>
      <c r="H10" s="12">
        <v>1450</v>
      </c>
      <c r="I10" s="12">
        <v>362.5</v>
      </c>
      <c r="J10" s="13" t="s">
        <v>19</v>
      </c>
      <c r="K10" s="10" t="s">
        <v>59</v>
      </c>
      <c r="L10" s="10" t="s">
        <v>60</v>
      </c>
      <c r="M10" s="12"/>
      <c r="N10" s="14" t="s">
        <v>22</v>
      </c>
      <c r="O10" s="35" t="str">
        <f>VLOOKUP(A10,'[1]04-07-26'!$A$2:$T$121,20,0)</f>
        <v>O Asiatic ( 14 Inch ) 2     Grass</v>
      </c>
      <c r="P10" s="35" t="e">
        <f>VLOOKUP(A10,'[1]11-07-26'!$A$2:$T$125,20,0)</f>
        <v>#N/A</v>
      </c>
      <c r="Q10" s="35" t="str">
        <f>VLOOKUP(A10,'[1]18-07-26'!$A$2:$T$132,20,0)</f>
        <v>Mix Alstroemeria ( 12 Inch ) 16     Grass</v>
      </c>
      <c r="R10" s="35" t="str">
        <f>VLOOKUP(A10,'[1]25-07-26'!$A$2:$T$114,20,0)</f>
        <v xml:space="preserve">O Glad ( 14 Inch ) 16     </v>
      </c>
      <c r="S10" s="35" t="str">
        <f>VLOOKUP(A10,'[2]01-08-26'!$A$2:$T$118,20,0)</f>
        <v>W n O Spray Daisy 5     FF Sachet + Grass</v>
      </c>
      <c r="T10" s="35" t="s">
        <v>480</v>
      </c>
      <c r="U10" s="35">
        <v>16</v>
      </c>
      <c r="V10" s="35"/>
      <c r="W10" s="35"/>
      <c r="X10" s="35"/>
      <c r="Y10" s="35"/>
      <c r="Z10" s="35" t="s">
        <v>467</v>
      </c>
      <c r="AA10" s="35"/>
      <c r="AB10" s="35"/>
      <c r="AC10" s="35"/>
      <c r="AD10" s="35"/>
    </row>
    <row r="11" spans="1:30" ht="121.6" hidden="1" customHeight="1" x14ac:dyDescent="0.3">
      <c r="A11" s="1">
        <v>2955</v>
      </c>
      <c r="B11" s="19" t="s">
        <v>61</v>
      </c>
      <c r="C11" s="12">
        <v>8569991672</v>
      </c>
      <c r="D11" s="10" t="s">
        <v>62</v>
      </c>
      <c r="E11" s="10" t="s">
        <v>40</v>
      </c>
      <c r="F11" s="10" t="s">
        <v>17</v>
      </c>
      <c r="G11" s="10" t="s">
        <v>63</v>
      </c>
      <c r="H11" s="12">
        <v>1450</v>
      </c>
      <c r="I11" s="12">
        <v>362.5</v>
      </c>
      <c r="J11" s="10" t="s">
        <v>19</v>
      </c>
      <c r="K11" s="10" t="s">
        <v>64</v>
      </c>
      <c r="L11" s="12"/>
      <c r="M11" s="12"/>
      <c r="N11" s="14" t="s">
        <v>22</v>
      </c>
      <c r="O11" s="35" t="str">
        <f>VLOOKUP(A11,'[1]04-07-26'!$A$2:$T$121,20,0)</f>
        <v>Sunflower ( 12 Inch ) 2 Pur n P Car ( 14 Inch ) 7   FF Sachet + Grass</v>
      </c>
      <c r="P11" s="35" t="str">
        <f>VLOOKUP(A11,'[1]11-07-26'!$A$2:$T$125,20,0)</f>
        <v>P Asiatic ( 14 Inch ) 2 Rajni ( 14 inch ) 7   Grass</v>
      </c>
      <c r="Q11" s="35" t="e">
        <f>VLOOKUP(A11,'[1]18-07-26'!$A$2:$T$132,20,0)</f>
        <v>#N/A</v>
      </c>
      <c r="R11" s="35" t="str">
        <f>VLOOKUP(A11,'[1]25-07-26'!$A$2:$T$114,20,0)</f>
        <v>Y Button  Daisy ( 14 Inch ) 3 O Glad ( 14 Inch ) 7   FF Sachet + Grass</v>
      </c>
      <c r="S11" s="35" t="str">
        <f>VLOOKUP(A11,'[2]01-08-26'!$A$2:$T$118,20,0)</f>
        <v>P Eustoma ( 12 Inch ) 2 Mix Glad ( 14 Inch ) 7   FF Sachet + Grass</v>
      </c>
      <c r="T11" s="35" t="s">
        <v>460</v>
      </c>
      <c r="U11" s="35">
        <v>2</v>
      </c>
      <c r="V11" s="35" t="s">
        <v>480</v>
      </c>
      <c r="W11" s="35">
        <v>7</v>
      </c>
      <c r="X11" s="35"/>
      <c r="Y11" s="35"/>
      <c r="Z11" s="35" t="s">
        <v>468</v>
      </c>
      <c r="AA11" s="35"/>
      <c r="AB11" s="35"/>
      <c r="AC11" s="35"/>
      <c r="AD11" s="35"/>
    </row>
    <row r="12" spans="1:30" ht="121.6" hidden="1" customHeight="1" x14ac:dyDescent="0.3">
      <c r="A12" s="1">
        <v>2506</v>
      </c>
      <c r="B12" s="8" t="s">
        <v>65</v>
      </c>
      <c r="C12" s="12">
        <v>9810502834</v>
      </c>
      <c r="D12" s="10" t="s">
        <v>66</v>
      </c>
      <c r="E12" s="10" t="s">
        <v>16</v>
      </c>
      <c r="F12" s="10" t="s">
        <v>17</v>
      </c>
      <c r="G12" s="10" t="s">
        <v>67</v>
      </c>
      <c r="H12" s="12">
        <v>1450</v>
      </c>
      <c r="I12" s="12">
        <v>362.5</v>
      </c>
      <c r="J12" s="10" t="s">
        <v>19</v>
      </c>
      <c r="K12" s="10" t="s">
        <v>68</v>
      </c>
      <c r="L12" s="10" t="s">
        <v>69</v>
      </c>
      <c r="M12" s="10" t="s">
        <v>70</v>
      </c>
      <c r="N12" s="14" t="s">
        <v>22</v>
      </c>
      <c r="O12" s="35" t="str">
        <f>VLOOKUP(A12,'[1]04-07-26'!$A$2:$T$121,20,0)</f>
        <v>O Asiatic ( 14 Inch ) 2 Mix Alstroemeria ( 12 Inch ) 7   Grass</v>
      </c>
      <c r="P12" s="35" t="str">
        <f>VLOOKUP(A12,'[1]11-07-26'!$A$2:$T$125,20,0)</f>
        <v>P Asiatic ( 14 Inch ) 2 Rajni ( 14 inch ) 7   Grass</v>
      </c>
      <c r="Q12" s="35" t="str">
        <f>VLOOKUP(A12,'[1]18-07-26'!$A$2:$T$132,20,0)</f>
        <v>P Eustoma ( 12 Inch ) 2 Mix Glad ( 14 Inch ) 7   FF Sachet + Grass</v>
      </c>
      <c r="R12" s="35" t="str">
        <f>VLOOKUP(A12,'[1]25-07-26'!$A$2:$T$114,20,0)</f>
        <v>Y button  Daisy ( 14 Inch ) 3 P n W Car ( 14 Inch ) 7   FF Sachet + Grass</v>
      </c>
      <c r="S12" s="35" t="str">
        <f>VLOOKUP(A12,'[2]01-08-26'!$A$2:$T$118,20,0)</f>
        <v>W Asiatic ( 14 Inch ) 2 Mix Glad ( 14 Inch ) 7   Grass</v>
      </c>
      <c r="T12" s="35" t="s">
        <v>551</v>
      </c>
      <c r="U12" s="35">
        <v>2</v>
      </c>
      <c r="V12" s="35" t="s">
        <v>459</v>
      </c>
      <c r="W12" s="35">
        <v>7</v>
      </c>
      <c r="X12" s="35"/>
      <c r="Y12" s="35"/>
      <c r="Z12" s="35" t="s">
        <v>467</v>
      </c>
      <c r="AA12" s="35"/>
      <c r="AB12" s="35"/>
      <c r="AC12" s="35"/>
      <c r="AD12" s="35"/>
    </row>
    <row r="13" spans="1:30" ht="121.6" hidden="1" customHeight="1" x14ac:dyDescent="0.3">
      <c r="A13" s="1">
        <v>318</v>
      </c>
      <c r="B13" s="8" t="s">
        <v>71</v>
      </c>
      <c r="C13" s="20">
        <v>9811021884</v>
      </c>
      <c r="D13" s="13" t="s">
        <v>72</v>
      </c>
      <c r="E13" s="13" t="s">
        <v>73</v>
      </c>
      <c r="F13" s="13" t="s">
        <v>17</v>
      </c>
      <c r="G13" s="11" t="s">
        <v>18</v>
      </c>
      <c r="H13" s="12">
        <v>1450</v>
      </c>
      <c r="I13" s="12">
        <v>362.5</v>
      </c>
      <c r="J13" s="13" t="s">
        <v>19</v>
      </c>
      <c r="K13" s="13" t="s">
        <v>74</v>
      </c>
      <c r="L13" s="10" t="s">
        <v>75</v>
      </c>
      <c r="M13" s="10" t="s">
        <v>76</v>
      </c>
      <c r="N13" s="14" t="s">
        <v>22</v>
      </c>
      <c r="O13" s="35" t="str">
        <f>VLOOKUP(A13,'[1]04-07-26'!$A$2:$T$121,20,0)</f>
        <v>P Asiatic ( 14 Inch ) 2     Grass</v>
      </c>
      <c r="P13" s="35" t="str">
        <f>VLOOKUP(A13,'[1]11-07-26'!$A$2:$T$125,20,0)</f>
        <v xml:space="preserve">R n W Car ( 14 Inch ) 9     </v>
      </c>
      <c r="Q13" s="35" t="str">
        <f>VLOOKUP(A13,'[1]18-07-26'!$A$2:$T$132,20,0)</f>
        <v>P n W Spray Daisy ( 14 Inch ) 5     FF Sachet + Grass</v>
      </c>
      <c r="R13" s="35" t="str">
        <f>VLOOKUP(A13,'[1]25-07-26'!$A$2:$T$114,20,0)</f>
        <v xml:space="preserve">O Glad ( 14 Inch ) 16     </v>
      </c>
      <c r="S13" s="35" t="str">
        <f>VLOOKUP(A13,'[2]01-08-26'!$A$2:$T$118,20,0)</f>
        <v>Mix Alstroemeria ( 12 Inch ) 16     FF Sachet + Grass</v>
      </c>
      <c r="T13" s="35" t="s">
        <v>551</v>
      </c>
      <c r="U13" s="35">
        <v>3</v>
      </c>
      <c r="V13" s="35"/>
      <c r="W13" s="35"/>
      <c r="X13" s="35"/>
      <c r="Y13" s="35"/>
      <c r="Z13" s="35" t="s">
        <v>467</v>
      </c>
      <c r="AA13" s="35"/>
      <c r="AB13" s="35"/>
      <c r="AC13" s="35"/>
      <c r="AD13" s="35"/>
    </row>
    <row r="14" spans="1:30" ht="121.6" hidden="1" customHeight="1" x14ac:dyDescent="0.3">
      <c r="A14" s="1">
        <v>3371</v>
      </c>
      <c r="B14" s="8" t="s">
        <v>77</v>
      </c>
      <c r="C14" s="12">
        <v>9560012831</v>
      </c>
      <c r="D14" s="10" t="s">
        <v>78</v>
      </c>
      <c r="E14" s="10" t="s">
        <v>53</v>
      </c>
      <c r="F14" s="10" t="s">
        <v>17</v>
      </c>
      <c r="G14" s="10" t="s">
        <v>79</v>
      </c>
      <c r="H14" s="12">
        <v>2300</v>
      </c>
      <c r="I14" s="12">
        <v>287.5</v>
      </c>
      <c r="J14" s="13" t="s">
        <v>80</v>
      </c>
      <c r="K14" s="10" t="s">
        <v>81</v>
      </c>
      <c r="L14" s="10" t="s">
        <v>82</v>
      </c>
      <c r="M14" s="10" t="s">
        <v>83</v>
      </c>
      <c r="N14" s="14" t="s">
        <v>457</v>
      </c>
      <c r="O14" s="35" t="str">
        <f>VLOOKUP(A14,'[1]04-07-26'!$A$2:$T$121,20,0)</f>
        <v>P n W Glad ( 14 Inch ) 11     Grass</v>
      </c>
      <c r="P14" s="35" t="str">
        <f>VLOOKUP(A14,'[1]11-07-26'!$A$2:$T$125,20,0)</f>
        <v>Rajni ( 14 Inch ) 11     Grass</v>
      </c>
      <c r="Q14" s="35" t="str">
        <f>VLOOKUP(A14,'[1]18-07-26'!$A$2:$T$132,20,0)</f>
        <v>G n W Car ( 14 Inch ) 11     FF sachet + Grass</v>
      </c>
      <c r="R14" s="35" t="str">
        <f>VLOOKUP(A14,'[1]25-07-26'!$A$2:$T$114,20,0)</f>
        <v>Sunflower ( 12 Inch ) 1     Grass</v>
      </c>
      <c r="S14" s="35" t="str">
        <f>VLOOKUP(A14,'[2]01-08-26'!$A$2:$T$118,20,0)</f>
        <v>P Spray Daisy ( 14 Inch ) 3     FF Sachet + Grass</v>
      </c>
      <c r="T14" s="35" t="s">
        <v>460</v>
      </c>
      <c r="U14" s="35">
        <v>2</v>
      </c>
      <c r="V14" s="35"/>
      <c r="W14" s="35"/>
      <c r="X14" s="35"/>
      <c r="Y14" s="35"/>
      <c r="Z14" s="35" t="s">
        <v>468</v>
      </c>
      <c r="AA14" s="35"/>
      <c r="AB14" s="35"/>
      <c r="AC14" s="35"/>
      <c r="AD14" s="35"/>
    </row>
    <row r="15" spans="1:30" ht="121.6" hidden="1" customHeight="1" x14ac:dyDescent="0.3">
      <c r="A15" s="1">
        <v>3283</v>
      </c>
      <c r="B15" s="8" t="s">
        <v>84</v>
      </c>
      <c r="C15" s="12">
        <v>9910022591</v>
      </c>
      <c r="D15" s="10" t="s">
        <v>85</v>
      </c>
      <c r="E15" s="10" t="s">
        <v>40</v>
      </c>
      <c r="F15" s="10" t="s">
        <v>17</v>
      </c>
      <c r="G15" s="11" t="s">
        <v>79</v>
      </c>
      <c r="H15" s="12">
        <v>1950</v>
      </c>
      <c r="I15" s="12">
        <v>487.5</v>
      </c>
      <c r="J15" s="10" t="s">
        <v>86</v>
      </c>
      <c r="K15" s="10" t="s">
        <v>87</v>
      </c>
      <c r="L15" s="12"/>
      <c r="M15" s="10" t="s">
        <v>87</v>
      </c>
      <c r="N15" s="14" t="s">
        <v>22</v>
      </c>
      <c r="O15" s="35" t="e">
        <f>VLOOKUP(A15,'[1]04-07-26'!$A$2:$T$121,20,0)</f>
        <v>#N/A</v>
      </c>
      <c r="P15" s="35" t="e">
        <f>VLOOKUP(A15,'[1]11-07-26'!$A$2:$T$125,20,0)</f>
        <v>#N/A</v>
      </c>
      <c r="Q15" s="35" t="str">
        <f>VLOOKUP(A15,'[1]18-07-26'!$A$2:$T$132,20,0)</f>
        <v>G n W Car ( 14 Inch ) 22     FF Sachet + Grass</v>
      </c>
      <c r="R15" s="35" t="str">
        <f>VLOOKUP(A15,'[1]25-07-26'!$A$2:$T$114,20,0)</f>
        <v>O n W Asiatic ( 14 Inch ) 4     Grass</v>
      </c>
      <c r="S15" s="35" t="str">
        <f>VLOOKUP(A15,'[2]01-08-26'!$A$2:$T$118,20,0)</f>
        <v>P n Y Spray Daisy ( 14 Inch ) 7     FF Sachet + Grass</v>
      </c>
      <c r="T15" s="35" t="s">
        <v>461</v>
      </c>
      <c r="U15" s="35">
        <v>22</v>
      </c>
      <c r="V15" s="35"/>
      <c r="W15" s="35"/>
      <c r="X15" s="35"/>
      <c r="Y15" s="35"/>
      <c r="Z15" s="35" t="s">
        <v>468</v>
      </c>
      <c r="AA15" s="35"/>
      <c r="AB15" s="35"/>
      <c r="AC15" s="35"/>
      <c r="AD15" s="35"/>
    </row>
    <row r="16" spans="1:30" ht="121.6" hidden="1" customHeight="1" x14ac:dyDescent="0.3">
      <c r="A16" s="1">
        <v>3096</v>
      </c>
      <c r="B16" s="8" t="s">
        <v>88</v>
      </c>
      <c r="C16" s="12">
        <v>9560517831</v>
      </c>
      <c r="D16" s="10" t="s">
        <v>89</v>
      </c>
      <c r="E16" s="10" t="s">
        <v>44</v>
      </c>
      <c r="F16" s="10" t="s">
        <v>17</v>
      </c>
      <c r="G16" s="10" t="s">
        <v>67</v>
      </c>
      <c r="H16" s="12">
        <v>1450</v>
      </c>
      <c r="I16" s="12">
        <v>362.5</v>
      </c>
      <c r="J16" s="10" t="s">
        <v>19</v>
      </c>
      <c r="K16" s="10" t="s">
        <v>90</v>
      </c>
      <c r="L16" s="12"/>
      <c r="M16" s="10" t="s">
        <v>91</v>
      </c>
      <c r="N16" s="14" t="s">
        <v>22</v>
      </c>
      <c r="O16" s="35" t="str">
        <f>VLOOKUP(A16,'[1]04-07-26'!$A$2:$T$121,20,0)</f>
        <v>P n W Glad ( 14 Inch ) 16     Grass</v>
      </c>
      <c r="P16" s="35" t="str">
        <f>VLOOKUP(A16,'[1]11-07-26'!$A$2:$T$125,20,0)</f>
        <v>P n Y Spray Daisy ( 14 Inch ) 5     FF sachet + Car</v>
      </c>
      <c r="Q16" s="35" t="str">
        <f>VLOOKUP(A16,'[1]18-07-26'!$A$2:$T$132,20,0)</f>
        <v>Mix Alstroemeria ( 12 Inch ) 16     FF Sachet + Grass</v>
      </c>
      <c r="R16" s="35" t="str">
        <f>VLOOKUP(A16,'[1]25-07-26'!$A$2:$T$114,20,0)</f>
        <v>P n W Car ( 14 Inch ) 16     FF Sachet + Grass</v>
      </c>
      <c r="S16" s="35" t="str">
        <f>VLOOKUP(A16,'[2]01-08-26'!$A$2:$T$118,20,0)</f>
        <v>W Asiatic ( 14 Inch ) 3     Grass</v>
      </c>
      <c r="T16" s="35" t="s">
        <v>461</v>
      </c>
      <c r="U16" s="35">
        <v>16</v>
      </c>
      <c r="V16" s="35"/>
      <c r="W16" s="35"/>
      <c r="X16" s="35"/>
      <c r="Y16" s="35"/>
      <c r="Z16" s="35" t="s">
        <v>468</v>
      </c>
      <c r="AA16" s="35"/>
      <c r="AB16" s="35"/>
      <c r="AC16" s="35"/>
      <c r="AD16" s="35"/>
    </row>
    <row r="17" spans="1:30" ht="121.6" hidden="1" customHeight="1" x14ac:dyDescent="0.3">
      <c r="A17" s="1">
        <v>3383</v>
      </c>
      <c r="B17" s="8" t="s">
        <v>92</v>
      </c>
      <c r="C17" s="12">
        <v>8084159730</v>
      </c>
      <c r="D17" s="10" t="s">
        <v>93</v>
      </c>
      <c r="E17" s="10" t="s">
        <v>94</v>
      </c>
      <c r="F17" s="10" t="s">
        <v>17</v>
      </c>
      <c r="G17" s="21" t="s">
        <v>95</v>
      </c>
      <c r="H17" s="12">
        <v>1450</v>
      </c>
      <c r="I17" s="12">
        <v>362.5</v>
      </c>
      <c r="J17" s="13" t="s">
        <v>19</v>
      </c>
      <c r="K17" s="10" t="s">
        <v>96</v>
      </c>
      <c r="L17" s="10" t="s">
        <v>97</v>
      </c>
      <c r="M17" s="12"/>
      <c r="N17" s="14" t="s">
        <v>22</v>
      </c>
      <c r="O17" s="35" t="e">
        <f>VLOOKUP(A17,'[1]04-07-26'!$A$2:$T$121,20,0)</f>
        <v>#N/A</v>
      </c>
      <c r="P17" s="35" t="e">
        <f>VLOOKUP(A17,'[1]11-07-26'!$A$2:$T$125,20,0)</f>
        <v>#N/A</v>
      </c>
      <c r="Q17" s="35" t="str">
        <f>VLOOKUP(A17,'[1]18-07-26'!$A$2:$T$132,20,0)</f>
        <v>G n W Car ( 14 Inch ) 16     FF Sachet + Grass</v>
      </c>
      <c r="R17" s="35" t="str">
        <f>VLOOKUP(A17,'[1]25-07-26'!$A$2:$T$114,20,0)</f>
        <v xml:space="preserve">O Asiatic ( 14 Inch ) 3     </v>
      </c>
      <c r="S17" s="35" t="str">
        <f>VLOOKUP(A17,'[2]01-08-26'!$A$2:$T$118,20,0)</f>
        <v>Mix Glad ( 14 Inch ) 16     Grass</v>
      </c>
      <c r="T17" s="35" t="s">
        <v>551</v>
      </c>
      <c r="U17" s="35">
        <v>3</v>
      </c>
      <c r="V17" s="35"/>
      <c r="W17" s="35"/>
      <c r="X17" s="35"/>
      <c r="Y17" s="35"/>
      <c r="Z17" s="35" t="s">
        <v>467</v>
      </c>
      <c r="AA17" s="35"/>
      <c r="AB17" s="35"/>
      <c r="AC17" s="35"/>
      <c r="AD17" s="35"/>
    </row>
    <row r="18" spans="1:30" ht="121.6" hidden="1" customHeight="1" x14ac:dyDescent="0.3">
      <c r="A18" s="1">
        <v>3302</v>
      </c>
      <c r="B18" s="8" t="s">
        <v>98</v>
      </c>
      <c r="C18" s="12">
        <v>8800292901</v>
      </c>
      <c r="D18" s="10" t="s">
        <v>99</v>
      </c>
      <c r="E18" s="10" t="s">
        <v>40</v>
      </c>
      <c r="F18" s="10" t="s">
        <v>17</v>
      </c>
      <c r="G18" s="10" t="s">
        <v>79</v>
      </c>
      <c r="H18" s="12">
        <v>1450</v>
      </c>
      <c r="I18" s="12">
        <v>362.5</v>
      </c>
      <c r="J18" s="13" t="s">
        <v>19</v>
      </c>
      <c r="K18" s="10" t="s">
        <v>100</v>
      </c>
      <c r="L18" s="12"/>
      <c r="M18" s="12"/>
      <c r="N18" s="14" t="s">
        <v>22</v>
      </c>
      <c r="O18" s="35" t="str">
        <f>VLOOKUP(A18,'[1]04-07-26'!$A$2:$T$121,20,0)</f>
        <v>P n W Glad ( 14 Inch ) 16     Grass</v>
      </c>
      <c r="P18" s="35" t="str">
        <f>VLOOKUP(A18,'[1]11-07-26'!$A$2:$T$125,20,0)</f>
        <v>P Asiatic ( 14 Inch ) 3     Grass</v>
      </c>
      <c r="Q18" s="35" t="str">
        <f>VLOOKUP(A18,'[1]18-07-26'!$A$2:$T$132,20,0)</f>
        <v>Mix Alstroemeria ( 12 Inch ) 16     FF Sachet + Grass</v>
      </c>
      <c r="R18" s="35" t="str">
        <f>VLOOKUP(A18,'[1]25-07-26'!$A$2:$T$114,20,0)</f>
        <v>P n W Spray Daisy ( 14 Inch ) 5     FF Sachet + Grass</v>
      </c>
      <c r="S18" s="35" t="str">
        <f>VLOOKUP(A18,'[2]01-08-26'!$A$2:$T$118,20,0)</f>
        <v>R n W Car ( 14 Inch ) 16     FF Sachet + Grass</v>
      </c>
      <c r="T18" s="35" t="s">
        <v>551</v>
      </c>
      <c r="U18" s="35">
        <v>3</v>
      </c>
      <c r="V18" s="35"/>
      <c r="W18" s="35"/>
      <c r="X18" s="35"/>
      <c r="Y18" s="35"/>
      <c r="Z18" s="35" t="s">
        <v>467</v>
      </c>
      <c r="AA18" s="35"/>
      <c r="AB18" s="35"/>
      <c r="AC18" s="35"/>
      <c r="AD18" s="35"/>
    </row>
    <row r="19" spans="1:30" ht="121.6" hidden="1" customHeight="1" x14ac:dyDescent="0.3">
      <c r="A19" s="1">
        <v>1932</v>
      </c>
      <c r="B19" s="8" t="s">
        <v>101</v>
      </c>
      <c r="C19" s="12">
        <v>9811045835</v>
      </c>
      <c r="D19" s="10" t="s">
        <v>102</v>
      </c>
      <c r="E19" s="10" t="s">
        <v>44</v>
      </c>
      <c r="F19" s="10" t="s">
        <v>17</v>
      </c>
      <c r="G19" s="10" t="s">
        <v>18</v>
      </c>
      <c r="H19" s="12">
        <v>3750</v>
      </c>
      <c r="I19" s="12">
        <v>937.5</v>
      </c>
      <c r="J19" s="10" t="s">
        <v>103</v>
      </c>
      <c r="K19" s="10" t="s">
        <v>104</v>
      </c>
      <c r="L19" s="12"/>
      <c r="M19" s="12"/>
      <c r="N19" s="14" t="s">
        <v>22</v>
      </c>
      <c r="O19" s="35" t="str">
        <f>VLOOKUP(A19,'[1]04-07-26'!$A$2:$T$121,20,0)</f>
        <v>O n W Asiatic ( 14 Inch ) 8     2 Limonium</v>
      </c>
      <c r="P19" s="35" t="str">
        <f>VLOOKUP(A19,'[1]11-07-26'!$A$2:$T$125,20,0)</f>
        <v>Rajni ( 14 Inch ) 42    Ensure Collection 2 Gypsola</v>
      </c>
      <c r="Q19" s="35" t="str">
        <f>VLOOKUP(A19,'[1]18-07-26'!$A$2:$T$132,20,0)</f>
        <v>P n Y Spray Daisy ( 14 Inch ) 14   Collect payment Collect payment 2 Limonium + FF sachet</v>
      </c>
      <c r="R19" s="35" t="str">
        <f>VLOOKUP(A19,'[1]25-07-26'!$A$2:$T$114,20,0)</f>
        <v>O Glad ( 14 Inch ) 42     2 Limonium</v>
      </c>
      <c r="S19" s="35" t="str">
        <f>VLOOKUP(A19,'[2]01-08-26'!$A$2:$T$118,20,0)</f>
        <v>R n P Car ( 14 Inch ) 42     2 Gypsola + FF Sachet</v>
      </c>
      <c r="T19" s="35" t="s">
        <v>491</v>
      </c>
      <c r="U19" s="35">
        <v>8</v>
      </c>
      <c r="V19" s="35"/>
      <c r="W19" s="35"/>
      <c r="X19" s="35"/>
      <c r="Y19" s="35"/>
      <c r="Z19" s="35" t="s">
        <v>493</v>
      </c>
      <c r="AA19" s="35"/>
      <c r="AB19" s="35"/>
      <c r="AC19" s="35"/>
      <c r="AD19" s="35"/>
    </row>
    <row r="20" spans="1:30" ht="121.6" hidden="1" customHeight="1" x14ac:dyDescent="0.3">
      <c r="A20" s="1">
        <v>138</v>
      </c>
      <c r="B20" s="8" t="s">
        <v>105</v>
      </c>
      <c r="C20" s="1">
        <v>9811721912</v>
      </c>
      <c r="D20" s="1" t="s">
        <v>106</v>
      </c>
      <c r="E20" s="10" t="s">
        <v>53</v>
      </c>
      <c r="F20" s="10" t="s">
        <v>17</v>
      </c>
      <c r="G20" s="11" t="s">
        <v>18</v>
      </c>
      <c r="H20" s="10">
        <v>1950</v>
      </c>
      <c r="I20" s="12">
        <v>487.5</v>
      </c>
      <c r="J20" s="10" t="s">
        <v>86</v>
      </c>
      <c r="K20" s="10" t="s">
        <v>107</v>
      </c>
      <c r="L20" s="12"/>
      <c r="M20" s="10" t="s">
        <v>108</v>
      </c>
      <c r="N20" s="14" t="s">
        <v>478</v>
      </c>
      <c r="O20" s="35" t="str">
        <f>VLOOKUP(A20,'[1]04-07-26'!$A$2:$T$121,20,0)</f>
        <v>Sunflower ( 12 Inch ) 3 Mix Alstroemeria ( 12 Inch ) 11   FF Sachet + Grass</v>
      </c>
      <c r="P20" s="35" t="str">
        <f>VLOOKUP(A20,'[1]11-07-26'!$A$2:$T$125,20,0)</f>
        <v>P n W Spray Daisy ( 14 Inch ) 4 P n W Car ( 14 Inch ) 11   FF sachet + Car</v>
      </c>
      <c r="Q20" s="35" t="str">
        <f>VLOOKUP(A20,'[1]18-07-26'!$A$2:$T$132,20,0)</f>
        <v>W Asiatic ( 14 Inch ) 2 Mix Glad ( 14 Inch ) 11   Grass</v>
      </c>
      <c r="R20" s="35" t="str">
        <f>VLOOKUP(A20,'[1]25-07-26'!$A$2:$T$114,20,0)</f>
        <v>P Eustoma ( 12 Inch ) 2 Mix Alstroemerai ( 12 Inch ) 11 Ensure Collection Emnsure Collection FF Sachet + Grass</v>
      </c>
      <c r="S20" s="35" t="str">
        <f>VLOOKUP(A20,'[2]01-08-26'!$A$2:$T$118,20,0)</f>
        <v>Sunflower ( 12 Inch ) 3 P n W Car ( 14 Inch ) 11 Ensure Collection Ensure Collection FF Sachet + Grass</v>
      </c>
      <c r="T20" s="35" t="s">
        <v>549</v>
      </c>
      <c r="U20" s="35">
        <v>4</v>
      </c>
      <c r="V20" s="35" t="s">
        <v>461</v>
      </c>
      <c r="W20" s="35">
        <v>11</v>
      </c>
      <c r="X20" s="35"/>
      <c r="Y20" s="35"/>
      <c r="Z20" s="35" t="s">
        <v>467</v>
      </c>
      <c r="AA20" s="35"/>
      <c r="AB20" s="35"/>
      <c r="AC20" s="35"/>
      <c r="AD20" s="35"/>
    </row>
    <row r="21" spans="1:30" ht="121.6" hidden="1" customHeight="1" x14ac:dyDescent="0.3">
      <c r="A21" s="1">
        <v>3332</v>
      </c>
      <c r="B21" s="8" t="s">
        <v>109</v>
      </c>
      <c r="C21" s="12">
        <v>9810076197</v>
      </c>
      <c r="D21" s="10" t="s">
        <v>110</v>
      </c>
      <c r="E21" s="10" t="s">
        <v>44</v>
      </c>
      <c r="F21" s="10" t="s">
        <v>17</v>
      </c>
      <c r="G21" s="11" t="s">
        <v>79</v>
      </c>
      <c r="H21" s="12">
        <v>1450</v>
      </c>
      <c r="I21" s="12">
        <v>362.5</v>
      </c>
      <c r="J21" s="13" t="s">
        <v>19</v>
      </c>
      <c r="K21" s="10" t="s">
        <v>111</v>
      </c>
      <c r="L21" s="12"/>
      <c r="M21" s="10" t="s">
        <v>112</v>
      </c>
      <c r="N21" s="14" t="s">
        <v>22</v>
      </c>
      <c r="O21" s="35" t="e">
        <f>VLOOKUP(A21,'[1]04-07-26'!$A$2:$T$121,20,0)</f>
        <v>#N/A</v>
      </c>
      <c r="P21" s="35" t="e">
        <f>VLOOKUP(A21,'[1]11-07-26'!$A$2:$T$125,20,0)</f>
        <v>#N/A</v>
      </c>
      <c r="Q21" s="35" t="str">
        <f>VLOOKUP(A21,'[1]18-07-26'!$A$2:$T$132,20,0)</f>
        <v>G n W Car ( 14 Inch ) 16     FF Sachet + Grass</v>
      </c>
      <c r="R21" s="35" t="e">
        <f>VLOOKUP(A21,'[1]25-07-26'!$A$2:$T$114,20,0)</f>
        <v>#N/A</v>
      </c>
      <c r="S21" s="35" t="str">
        <f>VLOOKUP(A21,'[2]01-08-26'!$A$2:$T$118,20,0)</f>
        <v>Mix Glad ( 14 Inch ) 16     Grass</v>
      </c>
      <c r="T21" s="35" t="s">
        <v>462</v>
      </c>
      <c r="U21" s="35">
        <v>3</v>
      </c>
      <c r="V21" s="35"/>
      <c r="W21" s="35"/>
      <c r="X21" s="35"/>
      <c r="Y21" s="35"/>
      <c r="Z21" s="35" t="s">
        <v>468</v>
      </c>
      <c r="AA21" s="35"/>
      <c r="AB21" s="35"/>
      <c r="AC21" s="35"/>
      <c r="AD21" s="35"/>
    </row>
    <row r="22" spans="1:30" ht="121.6" hidden="1" customHeight="1" x14ac:dyDescent="0.3">
      <c r="A22" s="1">
        <v>1013</v>
      </c>
      <c r="B22" s="8" t="s">
        <v>113</v>
      </c>
      <c r="C22" s="12">
        <v>8879032832</v>
      </c>
      <c r="D22" s="10" t="s">
        <v>114</v>
      </c>
      <c r="E22" s="10" t="s">
        <v>53</v>
      </c>
      <c r="F22" s="10" t="s">
        <v>17</v>
      </c>
      <c r="G22" s="11" t="s">
        <v>63</v>
      </c>
      <c r="H22" s="12">
        <v>1450</v>
      </c>
      <c r="I22" s="12">
        <v>362.5</v>
      </c>
      <c r="J22" s="10" t="s">
        <v>19</v>
      </c>
      <c r="K22" s="10" t="s">
        <v>115</v>
      </c>
      <c r="L22" s="12"/>
      <c r="M22" s="12"/>
      <c r="N22" s="14" t="s">
        <v>33</v>
      </c>
      <c r="O22" s="35" t="str">
        <f>VLOOKUP(A22,'[1]04-07-26'!$A$2:$T$121,20,0)</f>
        <v>O Asiatic ( 14 Inch ) 3     Grass</v>
      </c>
      <c r="P22" s="35" t="str">
        <f>VLOOKUP(A22,'[1]11-07-26'!$A$2:$T$125,20,0)</f>
        <v>Mix Alstroemeria ( 12 Inch ) 16     FF sachet + Car</v>
      </c>
      <c r="Q22" s="35" t="str">
        <f>VLOOKUP(A22,'[1]18-07-26'!$A$2:$T$132,20,0)</f>
        <v>Mix Glad ( 14 Inch ) 16     Grass</v>
      </c>
      <c r="R22" s="35" t="str">
        <f>VLOOKUP(A22,'[1]25-07-26'!$A$2:$T$114,20,0)</f>
        <v>Pur Eustoma ( 12 Inch ) 3     FF Sachet + Grass</v>
      </c>
      <c r="S22" s="35" t="e">
        <f>VLOOKUP(A22,'[2]01-08-26'!$A$2:$T$118,20,0)</f>
        <v>#N/A</v>
      </c>
      <c r="T22" s="35" t="s">
        <v>480</v>
      </c>
      <c r="U22" s="35">
        <v>16</v>
      </c>
      <c r="V22" s="35"/>
      <c r="W22" s="35"/>
      <c r="X22" s="35"/>
      <c r="Y22" s="35"/>
      <c r="Z22" s="35" t="s">
        <v>467</v>
      </c>
      <c r="AA22" s="35"/>
      <c r="AB22" s="35"/>
      <c r="AC22" s="35"/>
      <c r="AD22" s="35"/>
    </row>
    <row r="23" spans="1:30" ht="121.6" hidden="1" customHeight="1" x14ac:dyDescent="0.3">
      <c r="A23" s="1">
        <v>212</v>
      </c>
      <c r="B23" s="8" t="s">
        <v>116</v>
      </c>
      <c r="C23" s="20">
        <v>9810453173</v>
      </c>
      <c r="D23" s="13" t="s">
        <v>117</v>
      </c>
      <c r="E23" s="13" t="s">
        <v>40</v>
      </c>
      <c r="F23" s="13" t="s">
        <v>17</v>
      </c>
      <c r="G23" s="11" t="s">
        <v>18</v>
      </c>
      <c r="H23" s="12">
        <v>1450</v>
      </c>
      <c r="I23" s="12">
        <v>362.5</v>
      </c>
      <c r="J23" s="13" t="s">
        <v>19</v>
      </c>
      <c r="K23" s="13" t="s">
        <v>118</v>
      </c>
      <c r="L23" s="10" t="s">
        <v>119</v>
      </c>
      <c r="M23" s="12"/>
      <c r="N23" s="14" t="s">
        <v>22</v>
      </c>
      <c r="O23" s="35" t="str">
        <f>VLOOKUP(A23,'[1]04-07-26'!$A$2:$T$121,20,0)</f>
        <v>W Asiatic ( 14 Inch ) 3     Grass</v>
      </c>
      <c r="P23" s="35" t="str">
        <f>VLOOKUP(A23,'[1]11-07-26'!$A$2:$T$125,20,0)</f>
        <v>Mix Alstroemeria ( 12 Inch ) 16     FF sachet + Car</v>
      </c>
      <c r="Q23" s="35" t="str">
        <f>VLOOKUP(A23,'[1]18-07-26'!$A$2:$T$132,20,0)</f>
        <v>P n W Spray Daisy ( 14 Inch ) 5     FF Sachet + Grass</v>
      </c>
      <c r="R23" s="35" t="str">
        <f>VLOOKUP(A23,'[1]25-07-26'!$A$2:$T$114,20,0)</f>
        <v>P Eustoma ( 12 Inch ) 3     FF Sachet + Grass</v>
      </c>
      <c r="S23" s="35" t="str">
        <f>VLOOKUP(A23,'[2]01-08-26'!$A$2:$T$118,20,0)</f>
        <v>R n W Car ( 14 Inch ) 16     FF Sachet + Grass</v>
      </c>
      <c r="T23" s="35" t="s">
        <v>462</v>
      </c>
      <c r="U23" s="35">
        <v>3</v>
      </c>
      <c r="V23" s="35"/>
      <c r="W23" s="35"/>
      <c r="X23" s="35"/>
      <c r="Y23" s="35"/>
      <c r="Z23" s="35" t="s">
        <v>468</v>
      </c>
      <c r="AA23" s="35"/>
      <c r="AB23" s="35"/>
      <c r="AC23" s="35"/>
      <c r="AD23" s="35"/>
    </row>
    <row r="24" spans="1:30" ht="121.6" hidden="1" customHeight="1" x14ac:dyDescent="0.3">
      <c r="A24" s="1">
        <v>3412</v>
      </c>
      <c r="B24" s="8" t="s">
        <v>120</v>
      </c>
      <c r="C24" s="12">
        <v>9811101764</v>
      </c>
      <c r="D24" s="10" t="s">
        <v>121</v>
      </c>
      <c r="E24" s="10" t="s">
        <v>40</v>
      </c>
      <c r="F24" s="10" t="s">
        <v>17</v>
      </c>
      <c r="G24" s="11" t="s">
        <v>18</v>
      </c>
      <c r="H24" s="12">
        <v>1450</v>
      </c>
      <c r="I24" s="12">
        <v>362.5</v>
      </c>
      <c r="J24" s="10" t="s">
        <v>19</v>
      </c>
      <c r="K24" s="12"/>
      <c r="L24" s="12"/>
      <c r="M24" s="12"/>
      <c r="N24" s="14" t="s">
        <v>22</v>
      </c>
      <c r="O24" s="35" t="e">
        <f>VLOOKUP(A24,'[1]04-07-26'!$A$2:$T$121,20,0)</f>
        <v>#N/A</v>
      </c>
      <c r="P24" s="35" t="e">
        <f>VLOOKUP(A24,'[1]11-07-26'!$A$2:$T$125,20,0)</f>
        <v>#N/A</v>
      </c>
      <c r="Q24" s="35" t="str">
        <f>VLOOKUP(A24,'[1]18-07-26'!$A$2:$T$132,20,0)</f>
        <v>G n W Car ( 14 Inch ) 16     FF Sachet + Grass</v>
      </c>
      <c r="R24" s="35" t="str">
        <f>VLOOKUP(A24,'[1]25-07-26'!$A$2:$T$114,20,0)</f>
        <v xml:space="preserve">O Asiatic ( 14 Inch ) 3     </v>
      </c>
      <c r="S24" s="35" t="str">
        <f>VLOOKUP(A24,'[2]01-08-26'!$A$2:$T$118,20,0)</f>
        <v>Mix Glad ( 14 Inch ) 16     Grass</v>
      </c>
      <c r="T24" s="35" t="s">
        <v>479</v>
      </c>
      <c r="U24" s="35">
        <v>5</v>
      </c>
      <c r="V24" s="35"/>
      <c r="W24" s="35"/>
      <c r="X24" s="35"/>
      <c r="Y24" s="35"/>
      <c r="Z24" s="35" t="s">
        <v>467</v>
      </c>
      <c r="AA24" s="35"/>
      <c r="AB24" s="35"/>
      <c r="AC24" s="35"/>
      <c r="AD24" s="35"/>
    </row>
    <row r="25" spans="1:30" ht="121.6" hidden="1" customHeight="1" x14ac:dyDescent="0.3">
      <c r="A25" s="13">
        <v>2232</v>
      </c>
      <c r="B25" s="8" t="s">
        <v>122</v>
      </c>
      <c r="C25" s="12">
        <v>9687638449</v>
      </c>
      <c r="D25" s="10" t="s">
        <v>123</v>
      </c>
      <c r="E25" s="10" t="s">
        <v>36</v>
      </c>
      <c r="F25" s="10" t="s">
        <v>17</v>
      </c>
      <c r="G25" s="11" t="s">
        <v>18</v>
      </c>
      <c r="H25" s="22">
        <v>1450</v>
      </c>
      <c r="I25" s="12">
        <v>362.5</v>
      </c>
      <c r="J25" s="10" t="s">
        <v>19</v>
      </c>
      <c r="K25" s="10" t="s">
        <v>124</v>
      </c>
      <c r="L25" s="12"/>
      <c r="M25" s="12"/>
      <c r="N25" s="14" t="s">
        <v>125</v>
      </c>
      <c r="O25" s="35" t="str">
        <f>VLOOKUP(A25,'[1]04-07-26'!$A$2:$T$121,20,0)</f>
        <v>O Asiatic ( 14 Inch ) 3     Grass</v>
      </c>
      <c r="P25" s="35" t="str">
        <f>VLOOKUP(A25,'[1]11-07-26'!$A$2:$T$125,20,0)</f>
        <v>Mix Car 16     Grass</v>
      </c>
      <c r="Q25" s="35" t="str">
        <f>VLOOKUP(A25,'[1]18-07-26'!$A$2:$T$132,20,0)</f>
        <v>P n Y Spray Daisy ( 14 Inch ) 5     FF Sachet + Grass</v>
      </c>
      <c r="R25" s="35" t="str">
        <f>VLOOKUP(A25,'[1]25-07-26'!$A$2:$T$114,20,0)</f>
        <v xml:space="preserve">O Glad ( 14 Inch ) 16     </v>
      </c>
      <c r="S25" s="35" t="str">
        <f>VLOOKUP(A25,'[2]01-08-26'!$A$2:$T$118,20,0)</f>
        <v>Purple  n W Car ( 14 Inch ) 16     FF Sachet + Grass</v>
      </c>
      <c r="T25" s="35" t="s">
        <v>551</v>
      </c>
      <c r="U25" s="35">
        <v>3</v>
      </c>
      <c r="V25" s="35"/>
      <c r="W25" s="35"/>
      <c r="X25" s="35"/>
      <c r="Y25" s="35"/>
      <c r="Z25" s="35" t="s">
        <v>467</v>
      </c>
      <c r="AA25" s="35"/>
      <c r="AB25" s="35"/>
      <c r="AC25" s="35"/>
      <c r="AD25" s="35"/>
    </row>
    <row r="26" spans="1:30" ht="121.6" hidden="1" customHeight="1" x14ac:dyDescent="0.3">
      <c r="A26" s="1">
        <v>3058</v>
      </c>
      <c r="B26" s="23" t="s">
        <v>126</v>
      </c>
      <c r="C26" s="12">
        <v>9811321755</v>
      </c>
      <c r="D26" s="10" t="s">
        <v>127</v>
      </c>
      <c r="E26" s="10" t="s">
        <v>128</v>
      </c>
      <c r="F26" s="10" t="s">
        <v>17</v>
      </c>
      <c r="G26" s="10" t="s">
        <v>63</v>
      </c>
      <c r="H26" s="12">
        <v>1780</v>
      </c>
      <c r="I26" s="12">
        <v>445</v>
      </c>
      <c r="J26" s="12" t="s">
        <v>129</v>
      </c>
      <c r="K26" s="10" t="s">
        <v>130</v>
      </c>
      <c r="L26" s="12"/>
      <c r="M26" s="24" t="s">
        <v>131</v>
      </c>
      <c r="N26" s="14" t="s">
        <v>33</v>
      </c>
      <c r="O26" s="35" t="str">
        <f>VLOOKUP(A26,'[1]04-07-26'!$A$2:$T$121,20,0)</f>
        <v>W Asiatic ( 14 Inch ) 3     1 Gypsola</v>
      </c>
      <c r="P26" s="35" t="e">
        <f>VLOOKUP(A26,'[1]11-07-26'!$A$2:$T$125,20,0)</f>
        <v>#N/A</v>
      </c>
      <c r="Q26" s="35" t="str">
        <f>VLOOKUP(A26,'[1]18-07-26'!$A$2:$T$132,20,0)</f>
        <v>Asiatic 3     Areca apalm + Grass</v>
      </c>
      <c r="R26" s="35" t="str">
        <f>VLOOKUP(A26,'[1]25-07-26'!$A$2:$T$114,20,0)</f>
        <v>O Asiatic ( 14 Inch ) 3   Ensure Collection Emnsure Collection Grass</v>
      </c>
      <c r="S26" s="35" t="e">
        <f>VLOOKUP(A26,'[2]01-08-26'!$A$2:$T$118,20,0)</f>
        <v>#N/A</v>
      </c>
      <c r="T26" s="35" t="s">
        <v>460</v>
      </c>
      <c r="U26" s="35">
        <v>3</v>
      </c>
      <c r="V26" s="35"/>
      <c r="W26" s="35"/>
      <c r="X26" s="35"/>
      <c r="Y26" s="35"/>
      <c r="Z26" s="35" t="s">
        <v>468</v>
      </c>
      <c r="AA26" s="35"/>
      <c r="AB26" s="35"/>
      <c r="AC26" s="35"/>
      <c r="AD26" s="35"/>
    </row>
    <row r="27" spans="1:30" ht="121.6" hidden="1" customHeight="1" x14ac:dyDescent="0.3">
      <c r="A27" s="1">
        <v>3390</v>
      </c>
      <c r="B27" s="8" t="s">
        <v>132</v>
      </c>
      <c r="C27" s="12">
        <v>8800344225</v>
      </c>
      <c r="D27" s="10" t="s">
        <v>133</v>
      </c>
      <c r="E27" s="10" t="s">
        <v>134</v>
      </c>
      <c r="F27" s="10" t="s">
        <v>17</v>
      </c>
      <c r="G27" s="11" t="s">
        <v>18</v>
      </c>
      <c r="H27" s="12">
        <v>1950</v>
      </c>
      <c r="I27" s="12">
        <v>487.5</v>
      </c>
      <c r="J27" s="10" t="s">
        <v>86</v>
      </c>
      <c r="K27" s="10" t="s">
        <v>135</v>
      </c>
      <c r="L27" s="10" t="s">
        <v>136</v>
      </c>
      <c r="M27" s="12"/>
      <c r="N27" s="14" t="s">
        <v>33</v>
      </c>
      <c r="O27" s="35" t="str">
        <f>VLOOKUP(A27,'[1]04-07-26'!$A$2:$T$121,20,0)</f>
        <v>P Asiatic ( 14 Inch ) 3     Grass</v>
      </c>
      <c r="P27" s="35" t="str">
        <f>VLOOKUP(A27,'[1]11-07-26'!$A$2:$T$125,20,0)</f>
        <v>Rajni ( 14 Inch ) 16     Grass</v>
      </c>
      <c r="Q27" s="35" t="str">
        <f>VLOOKUP(A27,'[1]18-07-26'!$A$2:$T$132,20,0)</f>
        <v>P n Y Spray Daisy ( 14 Inch ) 5     FF Sachet + Grass</v>
      </c>
      <c r="R27" s="35" t="str">
        <f>VLOOKUP(A27,'[1]25-07-26'!$A$2:$T$114,20,0)</f>
        <v>O Glad ( 14 Inch ) 22     Grass</v>
      </c>
      <c r="S27" s="35" t="str">
        <f>VLOOKUP(A27,'[2]01-08-26'!$A$2:$T$118,20,0)</f>
        <v>R n W Car ( 14 Inch ) 22     FF Sachet + Grass</v>
      </c>
      <c r="T27" s="35" t="s">
        <v>550</v>
      </c>
      <c r="U27" s="35">
        <v>4</v>
      </c>
      <c r="V27" s="35"/>
      <c r="W27" s="35"/>
      <c r="X27" s="35"/>
      <c r="Y27" s="35"/>
      <c r="Z27" s="35" t="s">
        <v>467</v>
      </c>
      <c r="AA27" s="35"/>
      <c r="AB27" s="35"/>
      <c r="AC27" s="35"/>
      <c r="AD27" s="35"/>
    </row>
    <row r="28" spans="1:30" ht="121.6" hidden="1" customHeight="1" x14ac:dyDescent="0.3">
      <c r="A28" s="1">
        <v>2257</v>
      </c>
      <c r="B28" s="8" t="s">
        <v>137</v>
      </c>
      <c r="C28" s="12">
        <v>9987861735</v>
      </c>
      <c r="D28" s="10" t="s">
        <v>138</v>
      </c>
      <c r="E28" s="10" t="s">
        <v>40</v>
      </c>
      <c r="F28" s="10" t="s">
        <v>17</v>
      </c>
      <c r="G28" s="25" t="s">
        <v>139</v>
      </c>
      <c r="H28" s="12">
        <v>1450</v>
      </c>
      <c r="I28" s="12">
        <v>362.5</v>
      </c>
      <c r="J28" s="10" t="s">
        <v>19</v>
      </c>
      <c r="K28" s="10" t="s">
        <v>140</v>
      </c>
      <c r="L28" s="12"/>
      <c r="M28" s="12"/>
      <c r="N28" s="14" t="s">
        <v>22</v>
      </c>
      <c r="O28" s="35" t="str">
        <f>VLOOKUP(A28,'[1]04-07-26'!$A$2:$T$121,20,0)</f>
        <v>O Asiatic ( 14 Inch ) 3     Grass</v>
      </c>
      <c r="P28" s="35" t="e">
        <f>VLOOKUP(A28,'[1]11-07-26'!$A$2:$T$125,20,0)</f>
        <v>#N/A</v>
      </c>
      <c r="Q28" s="35" t="str">
        <f>VLOOKUP(A28,'[1]18-07-26'!$A$2:$T$132,20,0)</f>
        <v>Mix Glad ( 14 Inch ) 16     Grass</v>
      </c>
      <c r="R28" s="35" t="str">
        <f>VLOOKUP(A28,'[1]25-07-26'!$A$2:$T$114,20,0)</f>
        <v>P spray  n Y Button  Spray Daisy ( 14 Inch ) 5     FF Sachet + Grass</v>
      </c>
      <c r="S28" s="35" t="str">
        <f>VLOOKUP(A28,'[2]01-08-26'!$A$2:$T$118,20,0)</f>
        <v>R n W Car ( 14 Inch ) 16     FF Sachet + Grass</v>
      </c>
      <c r="T28" s="35" t="s">
        <v>459</v>
      </c>
      <c r="U28" s="35">
        <v>16</v>
      </c>
      <c r="V28" s="35"/>
      <c r="W28" s="35"/>
      <c r="X28" s="35"/>
      <c r="Y28" s="35"/>
      <c r="Z28" s="35" t="s">
        <v>467</v>
      </c>
      <c r="AA28" s="35"/>
      <c r="AB28" s="35"/>
      <c r="AC28" s="35"/>
      <c r="AD28" s="35"/>
    </row>
    <row r="29" spans="1:30" ht="121.6" hidden="1" customHeight="1" x14ac:dyDescent="0.3">
      <c r="A29" s="13">
        <v>1936</v>
      </c>
      <c r="B29" s="26" t="s">
        <v>141</v>
      </c>
      <c r="C29" s="12" t="s">
        <v>142</v>
      </c>
      <c r="D29" s="10" t="s">
        <v>143</v>
      </c>
      <c r="E29" s="10" t="s">
        <v>53</v>
      </c>
      <c r="F29" s="10" t="s">
        <v>17</v>
      </c>
      <c r="G29" s="11" t="s">
        <v>18</v>
      </c>
      <c r="H29" s="12">
        <v>1600</v>
      </c>
      <c r="I29" s="12">
        <v>200</v>
      </c>
      <c r="J29" s="10" t="s">
        <v>144</v>
      </c>
      <c r="K29" s="10" t="s">
        <v>145</v>
      </c>
      <c r="L29" s="10" t="s">
        <v>146</v>
      </c>
      <c r="M29" s="12"/>
      <c r="N29" s="14" t="s">
        <v>456</v>
      </c>
      <c r="O29" s="35" t="str">
        <f>VLOOKUP(A29,'[1]04-07-26'!$A$2:$T$121,20,0)</f>
        <v>Pur n P Car ( 14 Inch ) 7     FF Sachet + Grass</v>
      </c>
      <c r="P29" s="35" t="str">
        <f>VLOOKUP(A29,'[1]11-07-26'!$A$2:$T$125,20,0)</f>
        <v>Mix Alstroemeria ( 12 Inch ) 7     FF Sachet + Grass</v>
      </c>
      <c r="Q29" s="35" t="str">
        <f>VLOOKUP(A29,'[1]18-07-26'!$A$2:$T$132,20,0)</f>
        <v>Mix Glad ( 14 Inch ) 7     Grass</v>
      </c>
      <c r="R29" s="35" t="str">
        <f>VLOOKUP(A29,'[1]25-07-26'!$A$2:$T$114,20,0)</f>
        <v>P Spray Daisy ( 14 Inch ) 2     FF Sachet + Grass</v>
      </c>
      <c r="S29" s="35" t="str">
        <f>VLOOKUP(A29,'[2]01-08-26'!$A$2:$T$118,20,0)</f>
        <v>Sunflower ( 12 Inch ) 2     FF Sachet + Grass</v>
      </c>
      <c r="T29" s="35" t="s">
        <v>461</v>
      </c>
      <c r="U29" s="35">
        <v>7</v>
      </c>
      <c r="V29" s="35"/>
      <c r="W29" s="35"/>
      <c r="X29" s="35"/>
      <c r="Y29" s="35"/>
      <c r="Z29" s="35" t="s">
        <v>468</v>
      </c>
      <c r="AA29" s="35"/>
      <c r="AB29" s="35"/>
      <c r="AC29" s="35"/>
      <c r="AD29" s="35"/>
    </row>
    <row r="30" spans="1:30" ht="121.6" hidden="1" customHeight="1" x14ac:dyDescent="0.3">
      <c r="A30" s="1">
        <v>3132</v>
      </c>
      <c r="B30" s="8" t="s">
        <v>147</v>
      </c>
      <c r="C30" s="1">
        <v>9717416100</v>
      </c>
      <c r="D30" s="13" t="s">
        <v>148</v>
      </c>
      <c r="E30" s="10" t="s">
        <v>40</v>
      </c>
      <c r="F30" s="10" t="s">
        <v>149</v>
      </c>
      <c r="G30" s="11" t="s">
        <v>18</v>
      </c>
      <c r="H30" s="22">
        <v>2300</v>
      </c>
      <c r="I30" s="12">
        <v>287.5</v>
      </c>
      <c r="J30" s="13" t="s">
        <v>80</v>
      </c>
      <c r="K30" s="10" t="s">
        <v>150</v>
      </c>
      <c r="L30" s="12"/>
      <c r="M30" s="10" t="s">
        <v>151</v>
      </c>
      <c r="N30" s="14" t="s">
        <v>456</v>
      </c>
      <c r="O30" s="35" t="str">
        <f>VLOOKUP(A30,'[1]04-07-26'!$A$2:$T$121,20,0)</f>
        <v>Pur n P Car ( 14 Inch ) 11     FF Sachet + Grass</v>
      </c>
      <c r="P30" s="35" t="str">
        <f>VLOOKUP(A30,'[1]11-07-26'!$A$2:$T$125,20,0)</f>
        <v>O Asiatic ( 14 Inch ) 2     Grass</v>
      </c>
      <c r="Q30" s="35" t="str">
        <f>VLOOKUP(A30,'[1]18-07-26'!$A$2:$T$132,20,0)</f>
        <v>P Spray Daisy ( 14 Inch ) 2     FF sachet + Grass</v>
      </c>
      <c r="R30" s="35" t="str">
        <f>VLOOKUP(A30,'[1]25-07-26'!$A$2:$T$114,20,0)</f>
        <v>Rajni ( 14 Inch ) 11   Ensure Collection Emnsure Collection Grass</v>
      </c>
      <c r="S30" s="35" t="str">
        <f>VLOOKUP(A30,'[2]01-08-26'!$A$2:$T$118,20,0)</f>
        <v>Sunflower ( 12 Inch ) 3     FF Sachet + Grass</v>
      </c>
      <c r="T30" s="35" t="s">
        <v>460</v>
      </c>
      <c r="U30" s="35">
        <v>2</v>
      </c>
      <c r="V30" s="35"/>
      <c r="W30" s="35"/>
      <c r="X30" s="35"/>
      <c r="Y30" s="35"/>
      <c r="Z30" s="35" t="s">
        <v>468</v>
      </c>
      <c r="AA30" s="35"/>
      <c r="AB30" s="35"/>
      <c r="AC30" s="35"/>
      <c r="AD30" s="35"/>
    </row>
    <row r="31" spans="1:30" ht="121.6" hidden="1" customHeight="1" x14ac:dyDescent="0.3">
      <c r="A31" s="1">
        <v>1921</v>
      </c>
      <c r="B31" s="8" t="s">
        <v>152</v>
      </c>
      <c r="C31" s="1">
        <v>9871094919</v>
      </c>
      <c r="D31" s="1" t="s">
        <v>153</v>
      </c>
      <c r="E31" s="10" t="s">
        <v>16</v>
      </c>
      <c r="F31" s="13" t="s">
        <v>17</v>
      </c>
      <c r="G31" s="11" t="s">
        <v>95</v>
      </c>
      <c r="H31" s="12">
        <v>1450</v>
      </c>
      <c r="I31" s="12">
        <v>362.5</v>
      </c>
      <c r="J31" s="10" t="s">
        <v>19</v>
      </c>
      <c r="K31" s="13" t="s">
        <v>154</v>
      </c>
      <c r="L31" s="12"/>
      <c r="M31" s="12"/>
      <c r="N31" s="14" t="s">
        <v>476</v>
      </c>
      <c r="O31" s="35" t="str">
        <f>VLOOKUP(A31,'[1]04-07-26'!$A$2:$T$121,20,0)</f>
        <v>Mix Alstroemeria ( 12 Inch ) 16     FF Sachet + Grass</v>
      </c>
      <c r="P31" s="35" t="str">
        <f>VLOOKUP(A31,'[1]11-07-26'!$A$2:$T$125,20,0)</f>
        <v>B Daisy ( 12 Inch ) 16     Grass</v>
      </c>
      <c r="Q31" s="35" t="str">
        <f>VLOOKUP(A31,'[1]18-07-26'!$A$2:$T$132,20,0)</f>
        <v>P n Y Spray Daisy ( 14 Inch ) 5     FF Sachet + Grass</v>
      </c>
      <c r="R31" s="35" t="e">
        <f>VLOOKUP(A31,'[1]25-07-26'!$A$2:$T$114,20,0)</f>
        <v>#N/A</v>
      </c>
      <c r="S31" s="35" t="str">
        <f>VLOOKUP(A31,'[2]01-08-26'!$A$2:$T$118,20,0)</f>
        <v>Mix Glad ( 14 Inch ) 16   Ensure Collection Ensure Collection Grass</v>
      </c>
      <c r="T31" s="35" t="s">
        <v>462</v>
      </c>
      <c r="U31" s="35">
        <v>3</v>
      </c>
      <c r="V31" s="35"/>
      <c r="W31" s="35"/>
      <c r="X31" s="35"/>
      <c r="Y31" s="35"/>
      <c r="Z31" s="35" t="s">
        <v>468</v>
      </c>
      <c r="AA31" s="35"/>
      <c r="AB31" s="35"/>
      <c r="AC31" s="35"/>
      <c r="AD31" s="35"/>
    </row>
    <row r="32" spans="1:30" ht="175.2" hidden="1" customHeight="1" x14ac:dyDescent="0.3">
      <c r="A32" s="1">
        <v>3335</v>
      </c>
      <c r="B32" s="8" t="s">
        <v>155</v>
      </c>
      <c r="C32" s="12">
        <v>8826778738</v>
      </c>
      <c r="D32" s="10" t="s">
        <v>156</v>
      </c>
      <c r="E32" s="10" t="s">
        <v>44</v>
      </c>
      <c r="F32" s="10" t="s">
        <v>17</v>
      </c>
      <c r="G32" s="11" t="s">
        <v>79</v>
      </c>
      <c r="H32" s="12">
        <v>4750</v>
      </c>
      <c r="I32" s="12">
        <v>1187.5</v>
      </c>
      <c r="J32" s="13" t="s">
        <v>157</v>
      </c>
      <c r="K32" s="10" t="s">
        <v>158</v>
      </c>
      <c r="L32" s="10" t="s">
        <v>159</v>
      </c>
      <c r="M32" s="12"/>
      <c r="N32" s="14" t="s">
        <v>33</v>
      </c>
      <c r="O32" s="35" t="str">
        <f>VLOOKUP(A32,'[1]04-07-26'!$A$2:$T$121,20,0)</f>
        <v>O Asiatic ( 14 Inch ) 6 Rajni ( 14 Inch ) 30   3 Areca palm + 3 Limonium</v>
      </c>
      <c r="P32" s="35" t="str">
        <f>VLOOKUP(A32,'[1]11-07-26'!$A$2:$T$125,20,0)</f>
        <v>W Oriental ( 15 Inch ) 4 R n W Car ( 14 Inch ) 30   3 Areca Palm + 3 Gypsola</v>
      </c>
      <c r="Q32" s="35" t="str">
        <f>VLOOKUP(A32,'[1]18-07-26'!$A$2:$T$132,20,0)</f>
        <v>Y Asiatic ( 14 Inch ) 6 Mix Alstroemeria ( 12 Inch ) 30   3 Areca palm + 3 Limonium</v>
      </c>
      <c r="R32" s="35" t="str">
        <f>VLOOKUP(A32,'[1]25-07-26'!$A$2:$T$114,20,0)</f>
        <v>W Asiatic ( 14 Inch ) 6 P n W Car ( 14 Inch ) 30   3 Areca palm + 3 Gypsola</v>
      </c>
      <c r="S32" s="35" t="str">
        <f>VLOOKUP(A32,'[2]01-08-26'!$A$2:$T$118,20,0)</f>
        <v>O Aiatic ( 14 Inch ) 6 MixAlstroemeria ( 12 Inch ) 30   3 Areca Palm + 3 Limonium</v>
      </c>
      <c r="T32" s="35" t="s">
        <v>483</v>
      </c>
      <c r="U32" s="35">
        <v>6</v>
      </c>
      <c r="V32" s="35" t="s">
        <v>480</v>
      </c>
      <c r="W32" s="35">
        <v>30</v>
      </c>
      <c r="X32" s="35"/>
      <c r="Y32" s="35"/>
      <c r="Z32" s="35" t="s">
        <v>490</v>
      </c>
      <c r="AA32" s="35"/>
      <c r="AB32" s="35"/>
      <c r="AC32" s="35"/>
      <c r="AD32" s="35"/>
    </row>
    <row r="33" spans="1:30" ht="121.6" hidden="1" customHeight="1" x14ac:dyDescent="0.3">
      <c r="A33" s="1">
        <v>3372</v>
      </c>
      <c r="B33" s="8" t="s">
        <v>160</v>
      </c>
      <c r="C33" s="12">
        <v>9519954064</v>
      </c>
      <c r="D33" s="10" t="s">
        <v>161</v>
      </c>
      <c r="E33" s="10" t="s">
        <v>162</v>
      </c>
      <c r="F33" s="10" t="s">
        <v>17</v>
      </c>
      <c r="G33" s="11" t="s">
        <v>63</v>
      </c>
      <c r="H33" s="12">
        <v>1450</v>
      </c>
      <c r="I33" s="12">
        <v>362.5</v>
      </c>
      <c r="J33" s="13" t="s">
        <v>19</v>
      </c>
      <c r="K33" s="27" t="s">
        <v>163</v>
      </c>
      <c r="L33" s="12"/>
      <c r="M33" s="10" t="s">
        <v>163</v>
      </c>
      <c r="N33" s="14" t="s">
        <v>33</v>
      </c>
      <c r="O33" s="35" t="str">
        <f>VLOOKUP(A33,'[1]04-07-26'!$A$2:$T$121,20,0)</f>
        <v>Pur n P Car ( 14 Inch ) 16     FF Sachet + Grass</v>
      </c>
      <c r="P33" s="35" t="str">
        <f>VLOOKUP(A33,'[1]11-07-26'!$A$2:$T$125,20,0)</f>
        <v>P Asiatic ( 14 Inch ) 3     Grass</v>
      </c>
      <c r="Q33" s="35" t="str">
        <f>VLOOKUP(A33,'[1]18-07-26'!$A$2:$T$132,20,0)</f>
        <v>Mix Alstroemeria ( 12 Inch ) 16     Grass</v>
      </c>
      <c r="R33" s="35" t="str">
        <f>VLOOKUP(A33,'[1]25-07-26'!$A$2:$T$114,20,0)</f>
        <v>P Eustoma ( 12 Inch ) 3     FF Sachet + Grass</v>
      </c>
      <c r="S33" s="35" t="str">
        <f>VLOOKUP(A33,'[2]01-08-26'!$A$2:$T$118,20,0)</f>
        <v>Mix Glad ( 14 Inch ) 16     Grass</v>
      </c>
      <c r="T33" s="35" t="s">
        <v>551</v>
      </c>
      <c r="U33" s="35">
        <v>3</v>
      </c>
      <c r="V33" s="35"/>
      <c r="W33" s="35"/>
      <c r="X33" s="35"/>
      <c r="Y33" s="35"/>
      <c r="Z33" s="35" t="s">
        <v>467</v>
      </c>
      <c r="AA33" s="35"/>
      <c r="AB33" s="35"/>
      <c r="AC33" s="35"/>
      <c r="AD33" s="35"/>
    </row>
    <row r="34" spans="1:30" ht="121.6" hidden="1" customHeight="1" x14ac:dyDescent="0.3">
      <c r="A34" s="1">
        <v>2542</v>
      </c>
      <c r="B34" s="17" t="s">
        <v>164</v>
      </c>
      <c r="C34" s="9">
        <v>9899133443</v>
      </c>
      <c r="D34" s="10" t="s">
        <v>165</v>
      </c>
      <c r="E34" s="10" t="s">
        <v>73</v>
      </c>
      <c r="F34" s="10" t="s">
        <v>17</v>
      </c>
      <c r="G34" s="11" t="s">
        <v>18</v>
      </c>
      <c r="H34" s="12">
        <v>1450</v>
      </c>
      <c r="I34" s="12">
        <v>362.5</v>
      </c>
      <c r="J34" s="13" t="s">
        <v>19</v>
      </c>
      <c r="K34" s="10" t="s">
        <v>166</v>
      </c>
      <c r="L34" s="12"/>
      <c r="M34" s="12"/>
      <c r="N34" s="14" t="s">
        <v>33</v>
      </c>
      <c r="O34" s="35" t="str">
        <f>VLOOKUP(A34,'[1]04-07-26'!$A$2:$T$121,20,0)</f>
        <v>Rajni 16     FF Sachet + Grass</v>
      </c>
      <c r="P34" s="35" t="str">
        <f>VLOOKUP(A34,'[1]11-07-26'!$A$2:$T$125,20,0)</f>
        <v>O Asiatic ( 14 Inch ) 3     Grass</v>
      </c>
      <c r="Q34" s="35" t="str">
        <f>VLOOKUP(A34,'[1]18-07-26'!$A$2:$T$132,20,0)</f>
        <v>Mix Alstroemeria ( 12 Inch ) 16     Grass</v>
      </c>
      <c r="R34" s="35" t="str">
        <f>VLOOKUP(A34,'[1]25-07-26'!$A$2:$T$114,20,0)</f>
        <v>Pur Eustoma ( 12 Inch ) 3     FF Sachet + Grass</v>
      </c>
      <c r="S34" s="35" t="str">
        <f>VLOOKUP(A34,'[2]01-08-26'!$A$2:$T$118,20,0)</f>
        <v>Mix Glad ( 14 Inch ) 16     Grass</v>
      </c>
      <c r="T34" s="35" t="s">
        <v>480</v>
      </c>
      <c r="U34" s="35">
        <v>16</v>
      </c>
      <c r="V34" s="35"/>
      <c r="W34" s="35"/>
      <c r="X34" s="35"/>
      <c r="Y34" s="35"/>
      <c r="Z34" s="35" t="s">
        <v>467</v>
      </c>
      <c r="AA34" s="35"/>
      <c r="AB34" s="35"/>
      <c r="AC34" s="35"/>
      <c r="AD34" s="35"/>
    </row>
    <row r="35" spans="1:30" ht="121.6" hidden="1" customHeight="1" x14ac:dyDescent="0.3">
      <c r="A35" s="13">
        <v>84</v>
      </c>
      <c r="B35" s="8" t="s">
        <v>167</v>
      </c>
      <c r="C35" s="12">
        <v>9810060986</v>
      </c>
      <c r="D35" s="10" t="s">
        <v>168</v>
      </c>
      <c r="E35" s="10" t="s">
        <v>44</v>
      </c>
      <c r="F35" s="10" t="s">
        <v>17</v>
      </c>
      <c r="G35" s="11" t="s">
        <v>79</v>
      </c>
      <c r="H35" s="12">
        <v>2750</v>
      </c>
      <c r="I35" s="12">
        <v>687.5</v>
      </c>
      <c r="J35" s="10" t="s">
        <v>48</v>
      </c>
      <c r="K35" s="10" t="s">
        <v>169</v>
      </c>
      <c r="L35" s="10" t="s">
        <v>170</v>
      </c>
      <c r="M35" s="12"/>
      <c r="N35" s="14" t="s">
        <v>33</v>
      </c>
      <c r="O35" s="35" t="str">
        <f>VLOOKUP(A35,'[1]04-07-26'!$A$2:$T$121,20,0)</f>
        <v xml:space="preserve">P n Y Spray daisy ( 14 inch ) 10     2 Gypsola + FF Sachet </v>
      </c>
      <c r="P35" s="35" t="str">
        <f>VLOOKUP(A35,'[1]11-07-26'!$A$2:$T$125,20,0)</f>
        <v xml:space="preserve">P n W Car ( Long Stem ) 32     2 Gypsola + FF sachet </v>
      </c>
      <c r="Q35" s="35" t="str">
        <f>VLOOKUP(A35,'[1]18-07-26'!$A$2:$T$132,20,0)</f>
        <v>W Asiatic ( 14 Inch ) 6     Grass</v>
      </c>
      <c r="R35" s="35" t="str">
        <f>VLOOKUP(A35,'[1]25-07-26'!$A$2:$T$114,20,0)</f>
        <v>W Oriental  3     2 Limonium</v>
      </c>
      <c r="S35" s="35" t="str">
        <f>VLOOKUP(A35,'[2]01-08-26'!$A$2:$T$118,20,0)</f>
        <v>P n Y Spray Daisy ( 14 Inch ) 10   Ensure Collection Ensure Collection FF Sachet + Grass</v>
      </c>
      <c r="T35" s="35" t="s">
        <v>480</v>
      </c>
      <c r="U35" s="35">
        <v>32</v>
      </c>
      <c r="V35" s="35"/>
      <c r="W35" s="35"/>
      <c r="X35" s="35"/>
      <c r="Y35" s="35"/>
      <c r="Z35" s="35" t="s">
        <v>467</v>
      </c>
      <c r="AA35" s="35"/>
      <c r="AB35" s="35"/>
      <c r="AC35" s="35"/>
      <c r="AD35" s="35"/>
    </row>
    <row r="36" spans="1:30" ht="121.6" hidden="1" customHeight="1" x14ac:dyDescent="0.3">
      <c r="A36" s="1">
        <v>1148</v>
      </c>
      <c r="B36" s="8" t="s">
        <v>171</v>
      </c>
      <c r="C36" s="12">
        <v>9910118957</v>
      </c>
      <c r="D36" s="10" t="s">
        <v>172</v>
      </c>
      <c r="E36" s="13" t="s">
        <v>28</v>
      </c>
      <c r="F36" s="10" t="s">
        <v>17</v>
      </c>
      <c r="G36" s="10" t="s">
        <v>67</v>
      </c>
      <c r="H36" s="12">
        <v>1450</v>
      </c>
      <c r="I36" s="12">
        <v>362.5</v>
      </c>
      <c r="J36" s="10" t="s">
        <v>19</v>
      </c>
      <c r="K36" s="10" t="s">
        <v>173</v>
      </c>
      <c r="L36" s="10" t="s">
        <v>174</v>
      </c>
      <c r="M36" s="12"/>
      <c r="N36" s="14" t="s">
        <v>33</v>
      </c>
      <c r="O36" s="35" t="str">
        <f>VLOOKUP(A36,'[1]04-07-26'!$A$2:$T$121,20,0)</f>
        <v>Pur n P Car ( 14 Inch ) 16     FF Sachet + Grass</v>
      </c>
      <c r="P36" s="35" t="str">
        <f>VLOOKUP(A36,'[1]11-07-26'!$A$2:$T$125,20,0)</f>
        <v>O Asiatic ( 14 Inch ) 3     Grass</v>
      </c>
      <c r="Q36" s="35" t="str">
        <f>VLOOKUP(A36,'[1]18-07-26'!$A$2:$T$132,20,0)</f>
        <v>Mix Alstroemeria ( 12 Inch ) 16     Grass</v>
      </c>
      <c r="R36" s="35" t="str">
        <f>VLOOKUP(A36,'[1]25-07-26'!$A$2:$T$114,20,0)</f>
        <v>Pur Eustoma ( 12 Inch ) 3     FF Sachet + Grass</v>
      </c>
      <c r="S36" s="35" t="str">
        <f>VLOOKUP(A36,'[2]01-08-26'!$A$2:$T$118,20,0)</f>
        <v>Mix Glad ( 14 Inch ) 16   Ensure Collection Ensure Collection Grass</v>
      </c>
      <c r="T36" s="35" t="s">
        <v>479</v>
      </c>
      <c r="U36" s="35">
        <v>5</v>
      </c>
      <c r="V36" s="35"/>
      <c r="W36" s="35"/>
      <c r="X36" s="35"/>
      <c r="Y36" s="35"/>
      <c r="Z36" s="35" t="s">
        <v>467</v>
      </c>
      <c r="AA36" s="35"/>
      <c r="AB36" s="35"/>
      <c r="AC36" s="35"/>
      <c r="AD36" s="35"/>
    </row>
    <row r="37" spans="1:30" ht="121.6" hidden="1" customHeight="1" x14ac:dyDescent="0.3">
      <c r="A37" s="1">
        <v>1925</v>
      </c>
      <c r="B37" s="28" t="s">
        <v>175</v>
      </c>
      <c r="C37" s="12">
        <v>9999061820</v>
      </c>
      <c r="D37" s="10" t="s">
        <v>176</v>
      </c>
      <c r="E37" s="10" t="s">
        <v>44</v>
      </c>
      <c r="F37" s="10" t="s">
        <v>17</v>
      </c>
      <c r="G37" s="10" t="s">
        <v>63</v>
      </c>
      <c r="H37" s="12">
        <v>1450</v>
      </c>
      <c r="I37" s="12">
        <v>362.5</v>
      </c>
      <c r="J37" s="10" t="s">
        <v>19</v>
      </c>
      <c r="K37" s="10" t="s">
        <v>177</v>
      </c>
      <c r="L37" s="10" t="s">
        <v>178</v>
      </c>
      <c r="M37" s="10" t="s">
        <v>179</v>
      </c>
      <c r="N37" s="14" t="s">
        <v>33</v>
      </c>
      <c r="O37" s="35" t="str">
        <f>VLOOKUP(A37,'[1]04-07-26'!$A$2:$T$121,20,0)</f>
        <v>W Asiatic ( 14 Inch ) 3     Grass</v>
      </c>
      <c r="P37" s="35" t="e">
        <f>VLOOKUP(A37,'[1]11-07-26'!$A$2:$T$125,20,0)</f>
        <v>#N/A</v>
      </c>
      <c r="Q37" s="35" t="str">
        <f>VLOOKUP(A37,'[1]18-07-26'!$A$2:$T$132,20,0)</f>
        <v>Y Spray Daosy ( 14 Inch ) 3 G n W Car ( 14 Inch ) 7   FF Sachet + Grass</v>
      </c>
      <c r="R37" s="35" t="str">
        <f>VLOOKUP(A37,'[1]25-07-26'!$A$2:$T$114,20,0)</f>
        <v>P Eustoma ( 12 Inch ) 2 Mix Alstroemerai ( 12 Inch ) 7   FF Sachet + Grass</v>
      </c>
      <c r="S37" s="35" t="str">
        <f>VLOOKUP(A37,'[2]01-08-26'!$A$2:$T$118,20,0)</f>
        <v>O Asiatic ( 14 Inch ) 2 Rajni ( 14 Inch ) 7 Ensure Collection Ensure Collection Grass</v>
      </c>
      <c r="T37" s="35" t="s">
        <v>463</v>
      </c>
      <c r="U37" s="35">
        <v>2</v>
      </c>
      <c r="V37" s="35" t="s">
        <v>480</v>
      </c>
      <c r="W37" s="35">
        <v>7</v>
      </c>
      <c r="X37" s="35"/>
      <c r="Y37" s="35"/>
      <c r="Z37" s="35" t="s">
        <v>467</v>
      </c>
      <c r="AA37" s="35"/>
      <c r="AB37" s="35"/>
      <c r="AC37" s="35"/>
      <c r="AD37" s="35"/>
    </row>
    <row r="38" spans="1:30" ht="121.6" hidden="1" customHeight="1" x14ac:dyDescent="0.3">
      <c r="A38" s="1">
        <v>2054</v>
      </c>
      <c r="B38" s="8" t="s">
        <v>180</v>
      </c>
      <c r="C38" s="12">
        <v>9560747141</v>
      </c>
      <c r="D38" s="10" t="s">
        <v>181</v>
      </c>
      <c r="E38" s="10" t="s">
        <v>73</v>
      </c>
      <c r="F38" s="10" t="s">
        <v>17</v>
      </c>
      <c r="G38" s="10" t="s">
        <v>182</v>
      </c>
      <c r="H38" s="13">
        <v>1450</v>
      </c>
      <c r="I38" s="12">
        <v>362.5</v>
      </c>
      <c r="J38" s="10" t="s">
        <v>19</v>
      </c>
      <c r="K38" s="10" t="s">
        <v>183</v>
      </c>
      <c r="L38" s="10" t="s">
        <v>184</v>
      </c>
      <c r="M38" s="12" t="s">
        <v>185</v>
      </c>
      <c r="N38" s="14" t="s">
        <v>33</v>
      </c>
      <c r="O38" s="35" t="str">
        <f>VLOOKUP(A38,'[1]04-07-26'!$A$2:$T$121,20,0)</f>
        <v>Sunflower ( 12 Inch ) 4     FF Sachet + Grass</v>
      </c>
      <c r="P38" s="35" t="str">
        <f>VLOOKUP(A38,'[1]11-07-26'!$A$2:$T$125,20,0)</f>
        <v>Rajni ( 14 Inch ) 16     Grass</v>
      </c>
      <c r="Q38" s="35" t="str">
        <f>VLOOKUP(A38,'[1]18-07-26'!$A$2:$T$132,20,0)</f>
        <v>P n Y Spray Daisy ( 14 Inch ) 5     FF Sachet + Grass</v>
      </c>
      <c r="R38" s="35" t="str">
        <f>VLOOKUP(A38,'[1]25-07-26'!$A$2:$T$114,20,0)</f>
        <v>R n W Car ( 14 Inch ) 16     FF Sachet + Grass</v>
      </c>
      <c r="S38" s="35" t="str">
        <f>VLOOKUP(A38,'[2]01-08-26'!$A$2:$T$118,20,0)</f>
        <v>O Asiatic ( 14 Inch ) 3     Grass</v>
      </c>
      <c r="T38" s="35" t="s">
        <v>459</v>
      </c>
      <c r="U38" s="35">
        <v>16</v>
      </c>
      <c r="V38" s="35"/>
      <c r="W38" s="35"/>
      <c r="X38" s="35"/>
      <c r="Y38" s="35"/>
      <c r="Z38" s="35" t="s">
        <v>467</v>
      </c>
      <c r="AA38" s="35"/>
      <c r="AB38" s="35"/>
      <c r="AC38" s="35"/>
      <c r="AD38" s="35"/>
    </row>
    <row r="39" spans="1:30" ht="121.6" hidden="1" customHeight="1" x14ac:dyDescent="0.3">
      <c r="A39" s="1">
        <v>796</v>
      </c>
      <c r="B39" s="8" t="s">
        <v>186</v>
      </c>
      <c r="C39" s="1">
        <v>9711508206</v>
      </c>
      <c r="D39" s="13" t="s">
        <v>187</v>
      </c>
      <c r="E39" s="13" t="s">
        <v>36</v>
      </c>
      <c r="F39" s="13" t="s">
        <v>17</v>
      </c>
      <c r="G39" s="11" t="s">
        <v>18</v>
      </c>
      <c r="H39" s="12">
        <v>1950</v>
      </c>
      <c r="I39" s="12">
        <v>487.5</v>
      </c>
      <c r="J39" s="10" t="s">
        <v>86</v>
      </c>
      <c r="K39" s="13" t="s">
        <v>188</v>
      </c>
      <c r="L39" s="12"/>
      <c r="M39" s="12"/>
      <c r="N39" s="14" t="s">
        <v>189</v>
      </c>
      <c r="O39" s="35" t="str">
        <f>VLOOKUP(A39,'[1]04-07-26'!$A$2:$T$121,20,0)</f>
        <v>W Asiatic ( 14 Inch ) 4     Grass</v>
      </c>
      <c r="P39" s="35" t="str">
        <f>VLOOKUP(A39,'[1]11-07-26'!$A$2:$T$125,20,0)</f>
        <v>Mix Alstroemeria ( 12 Inch ) 22    Ensure Collection FF sachet + Car</v>
      </c>
      <c r="Q39" s="35" t="str">
        <f>VLOOKUP(A39,'[1]18-07-26'!$A$2:$T$132,20,0)</f>
        <v>P n W Spray Daisy ( 14 Inch ) 7     FF Sachet + Grass</v>
      </c>
      <c r="R39" s="35" t="str">
        <f>VLOOKUP(A39,'[1]25-07-26'!$A$2:$T$114,20,0)</f>
        <v>O Glad ( 14 Inch ) 22     Grass</v>
      </c>
      <c r="S39" s="35" t="str">
        <f>VLOOKUP(A39,'[2]01-08-26'!$A$2:$T$118,20,0)</f>
        <v>R n W Car ( 14 Inch ) 22     FF Sachet + Grass</v>
      </c>
      <c r="T39" s="35" t="s">
        <v>462</v>
      </c>
      <c r="U39" s="35">
        <v>4</v>
      </c>
      <c r="V39" s="35"/>
      <c r="W39" s="35"/>
      <c r="X39" s="35"/>
      <c r="Y39" s="35"/>
      <c r="Z39" s="35" t="s">
        <v>468</v>
      </c>
      <c r="AA39" s="35"/>
      <c r="AB39" s="35"/>
      <c r="AC39" s="35"/>
      <c r="AD39" s="35"/>
    </row>
    <row r="40" spans="1:30" ht="121.6" hidden="1" customHeight="1" x14ac:dyDescent="0.3">
      <c r="A40" s="1">
        <v>2274</v>
      </c>
      <c r="B40" s="8" t="s">
        <v>190</v>
      </c>
      <c r="C40" s="12">
        <v>8879492701</v>
      </c>
      <c r="D40" s="10" t="s">
        <v>191</v>
      </c>
      <c r="E40" s="10" t="s">
        <v>40</v>
      </c>
      <c r="F40" s="10" t="s">
        <v>17</v>
      </c>
      <c r="G40" s="11" t="s">
        <v>79</v>
      </c>
      <c r="H40" s="10">
        <v>2000</v>
      </c>
      <c r="I40" s="12">
        <v>500</v>
      </c>
      <c r="J40" s="12" t="s">
        <v>129</v>
      </c>
      <c r="K40" s="10" t="s">
        <v>192</v>
      </c>
      <c r="L40" s="10" t="s">
        <v>193</v>
      </c>
      <c r="M40" s="10" t="s">
        <v>194</v>
      </c>
      <c r="N40" s="14" t="s">
        <v>33</v>
      </c>
      <c r="O40" s="35" t="str">
        <f>VLOOKUP(A40,'[1]04-07-26'!$A$2:$T$121,20,0)</f>
        <v>Mix Alstroemeria ( 12 Inch ) 17     1 Limonium + FF Sachet</v>
      </c>
      <c r="P40" s="35" t="str">
        <f>VLOOKUP(A40,'[1]11-07-26'!$A$2:$T$125,20,0)</f>
        <v>Rajni 17     1 Limonium + FF Sachet</v>
      </c>
      <c r="Q40" s="35" t="str">
        <f>VLOOKUP(A40,'[1]18-07-26'!$A$2:$T$132,20,0)</f>
        <v>G n W Car ( 14 Inch ) 17     1 Gypsola + FF sachet</v>
      </c>
      <c r="R40" s="35" t="e">
        <f>VLOOKUP(A40,'[1]25-07-26'!$A$2:$T$114,20,0)</f>
        <v>#N/A</v>
      </c>
      <c r="S40" s="35" t="str">
        <f>VLOOKUP(A40,'[2]01-08-26'!$A$2:$T$118,20,0)</f>
        <v>B Daisy 17   Ensure Collection Ensure Collection FF Sachet + Grass</v>
      </c>
      <c r="T40" s="35" t="s">
        <v>465</v>
      </c>
      <c r="U40" s="35">
        <v>17</v>
      </c>
      <c r="V40" s="35"/>
      <c r="W40" s="35"/>
      <c r="X40" s="35"/>
      <c r="Y40" s="35"/>
      <c r="Z40" s="35" t="s">
        <v>468</v>
      </c>
      <c r="AA40" s="35"/>
      <c r="AB40" s="35"/>
      <c r="AC40" s="35"/>
      <c r="AD40" s="35"/>
    </row>
    <row r="41" spans="1:30" ht="121.6" hidden="1" customHeight="1" x14ac:dyDescent="0.3">
      <c r="A41" s="13">
        <v>189</v>
      </c>
      <c r="B41" s="8" t="s">
        <v>195</v>
      </c>
      <c r="C41" s="12">
        <v>9811152770</v>
      </c>
      <c r="D41" s="10" t="s">
        <v>196</v>
      </c>
      <c r="E41" s="10" t="s">
        <v>44</v>
      </c>
      <c r="F41" s="13" t="s">
        <v>17</v>
      </c>
      <c r="G41" s="11" t="s">
        <v>63</v>
      </c>
      <c r="H41" s="12">
        <v>1450</v>
      </c>
      <c r="I41" s="12">
        <v>362.5</v>
      </c>
      <c r="J41" s="10" t="s">
        <v>19</v>
      </c>
      <c r="K41" s="13" t="s">
        <v>197</v>
      </c>
      <c r="L41" s="12"/>
      <c r="M41" s="12"/>
      <c r="N41" s="14" t="s">
        <v>33</v>
      </c>
      <c r="O41" s="35" t="str">
        <f>VLOOKUP(A41,'[1]04-07-26'!$A$2:$T$121,20,0)</f>
        <v>R n W Car ( 14 Inch ) 16     FF Sachet + Grass</v>
      </c>
      <c r="P41" s="35" t="str">
        <f>VLOOKUP(A41,'[1]11-07-26'!$A$2:$T$125,20,0)</f>
        <v>Sunflower ( 12 Inch ) 4     FF sachet + Car</v>
      </c>
      <c r="Q41" s="35" t="str">
        <f>VLOOKUP(A41,'[1]18-07-26'!$A$2:$T$132,20,0)</f>
        <v>Mix Alstroemeria ( 12 Inch ) 16     FF Sachet + Grass</v>
      </c>
      <c r="R41" s="35" t="str">
        <f>VLOOKUP(A41,'[1]25-07-26'!$A$2:$T$114,20,0)</f>
        <v>Pur Eustoma ( 12 Inch ) 3     FF Sachet + Grass</v>
      </c>
      <c r="S41" s="35" t="str">
        <f>VLOOKUP(A41,'[2]01-08-26'!$A$2:$T$118,20,0)</f>
        <v>Mix Glad ( 14 Inch ) 16     Grass</v>
      </c>
      <c r="T41" s="35" t="s">
        <v>460</v>
      </c>
      <c r="U41" s="35">
        <v>3</v>
      </c>
      <c r="V41" s="35"/>
      <c r="W41" s="35"/>
      <c r="X41" s="35"/>
      <c r="Y41" s="35"/>
      <c r="Z41" s="35" t="s">
        <v>468</v>
      </c>
      <c r="AA41" s="35"/>
      <c r="AB41" s="35"/>
      <c r="AC41" s="35"/>
      <c r="AD41" s="35"/>
    </row>
    <row r="42" spans="1:30" ht="121.6" hidden="1" customHeight="1" x14ac:dyDescent="0.3">
      <c r="A42" s="1">
        <v>2273</v>
      </c>
      <c r="B42" s="8" t="s">
        <v>198</v>
      </c>
      <c r="C42" s="12">
        <v>9216746911</v>
      </c>
      <c r="D42" s="10" t="s">
        <v>199</v>
      </c>
      <c r="E42" s="10" t="s">
        <v>128</v>
      </c>
      <c r="F42" s="10" t="s">
        <v>17</v>
      </c>
      <c r="G42" s="10" t="s">
        <v>67</v>
      </c>
      <c r="H42" s="12">
        <v>1950</v>
      </c>
      <c r="I42" s="12">
        <v>487.5</v>
      </c>
      <c r="J42" s="10" t="s">
        <v>86</v>
      </c>
      <c r="K42" s="10" t="s">
        <v>200</v>
      </c>
      <c r="L42" s="10" t="s">
        <v>69</v>
      </c>
      <c r="M42" s="12"/>
      <c r="N42" s="14" t="s">
        <v>33</v>
      </c>
      <c r="O42" s="35" t="str">
        <f>VLOOKUP(A42,'[1]04-07-26'!$A$2:$T$121,20,0)</f>
        <v>Pur n P Car ( 14 Inch ) 22     FF Sachet + Grass</v>
      </c>
      <c r="P42" s="35" t="str">
        <f>VLOOKUP(A42,'[1]11-07-26'!$A$2:$T$125,20,0)</f>
        <v>O Asiatic ( 14 Inch ) 4     Grass</v>
      </c>
      <c r="Q42" s="35" t="str">
        <f>VLOOKUP(A42,'[1]18-07-26'!$A$2:$T$132,20,0)</f>
        <v>Mix Alstroemeria ( 12 Inch ) 22     FF Sachet + Grass</v>
      </c>
      <c r="R42" s="35" t="str">
        <f>VLOOKUP(A42,'[1]25-07-26'!$A$2:$T$114,20,0)</f>
        <v>Pur n P Eustoma ( 12 Inch ) 4     FF Sachet + Grass</v>
      </c>
      <c r="S42" s="35" t="str">
        <f>VLOOKUP(A42,'[2]01-08-26'!$A$2:$T$118,20,0)</f>
        <v>Mix Glad ( 14 Inch ) 22     Grass</v>
      </c>
      <c r="T42" s="35" t="s">
        <v>549</v>
      </c>
      <c r="U42" s="35">
        <v>7</v>
      </c>
      <c r="V42" s="35"/>
      <c r="W42" s="35"/>
      <c r="X42" s="35"/>
      <c r="Y42" s="35"/>
      <c r="Z42" s="35" t="s">
        <v>467</v>
      </c>
      <c r="AA42" s="35"/>
      <c r="AB42" s="35"/>
      <c r="AC42" s="35"/>
      <c r="AD42" s="35"/>
    </row>
    <row r="43" spans="1:30" ht="121.6" hidden="1" customHeight="1" x14ac:dyDescent="0.3">
      <c r="A43" s="13">
        <v>3349</v>
      </c>
      <c r="B43" s="8" t="s">
        <v>201</v>
      </c>
      <c r="C43" s="12">
        <v>9540795407</v>
      </c>
      <c r="D43" s="10" t="s">
        <v>202</v>
      </c>
      <c r="E43" s="10" t="s">
        <v>73</v>
      </c>
      <c r="F43" s="10" t="s">
        <v>17</v>
      </c>
      <c r="G43" s="11" t="s">
        <v>63</v>
      </c>
      <c r="H43" s="12">
        <v>2750</v>
      </c>
      <c r="I43" s="12">
        <v>687.5</v>
      </c>
      <c r="J43" s="10" t="s">
        <v>48</v>
      </c>
      <c r="K43" s="12"/>
      <c r="L43" s="12"/>
      <c r="M43" s="12"/>
      <c r="N43" s="14" t="s">
        <v>33</v>
      </c>
      <c r="O43" s="35" t="str">
        <f>VLOOKUP(A43,'[1]04-07-26'!$A$2:$T$121,20,0)</f>
        <v xml:space="preserve">P Asiatic ( 14 Inch ) 6     2 Gypsola </v>
      </c>
      <c r="P43" s="35" t="str">
        <f>VLOOKUP(A43,'[1]11-07-26'!$A$2:$T$125,20,0)</f>
        <v xml:space="preserve">Sunflower ( 12 Inch ) 7     2 Gypsola + FF sachet </v>
      </c>
      <c r="Q43" s="35" t="str">
        <f>VLOOKUP(A43,'[1]18-07-26'!$A$2:$T$132,20,0)</f>
        <v>G n W Car ( 14 Inch ) 32     FF Sachet + Grass</v>
      </c>
      <c r="R43" s="35" t="str">
        <f>VLOOKUP(A43,'[1]25-07-26'!$A$2:$T$114,20,0)</f>
        <v>Pur n P Eustoma ( 12 Inch ) 6     FF Sachet + Grass</v>
      </c>
      <c r="S43" s="35" t="str">
        <f>VLOOKUP(A43,'[2]01-08-26'!$A$2:$T$118,20,0)</f>
        <v>P n Y Spray Daisy ( 14 Inch ) 10     FF Sachet + Grass</v>
      </c>
      <c r="T43" s="35" t="s">
        <v>459</v>
      </c>
      <c r="U43" s="35">
        <v>32</v>
      </c>
      <c r="V43" s="35"/>
      <c r="W43" s="35"/>
      <c r="X43" s="35"/>
      <c r="Y43" s="35"/>
      <c r="Z43" s="35" t="s">
        <v>467</v>
      </c>
      <c r="AA43" s="35"/>
      <c r="AB43" s="35"/>
      <c r="AC43" s="35"/>
      <c r="AD43" s="35"/>
    </row>
    <row r="44" spans="1:30" ht="121.6" hidden="1" customHeight="1" x14ac:dyDescent="0.3">
      <c r="A44" s="1">
        <v>194</v>
      </c>
      <c r="B44" s="8" t="s">
        <v>203</v>
      </c>
      <c r="C44" s="1">
        <v>9811201254</v>
      </c>
      <c r="D44" s="1" t="s">
        <v>204</v>
      </c>
      <c r="E44" s="10" t="s">
        <v>44</v>
      </c>
      <c r="F44" s="13" t="s">
        <v>17</v>
      </c>
      <c r="G44" s="11" t="s">
        <v>18</v>
      </c>
      <c r="H44" s="12">
        <v>1450</v>
      </c>
      <c r="I44" s="12">
        <v>362.5</v>
      </c>
      <c r="J44" s="10" t="s">
        <v>19</v>
      </c>
      <c r="K44" s="13" t="s">
        <v>205</v>
      </c>
      <c r="L44" s="12"/>
      <c r="M44" s="12"/>
      <c r="N44" s="14" t="s">
        <v>33</v>
      </c>
      <c r="O44" s="35" t="str">
        <f>VLOOKUP(A44,'[1]04-07-26'!$A$2:$T$121,20,0)</f>
        <v>P n W Glad ( 14 Inch ) 16     Grass</v>
      </c>
      <c r="P44" s="35" t="str">
        <f>VLOOKUP(A44,'[1]11-07-26'!$A$2:$T$125,20,0)</f>
        <v>O Asiatic ( 14 Inch ) 3     Grass</v>
      </c>
      <c r="Q44" s="35" t="str">
        <f>VLOOKUP(A44,'[1]18-07-26'!$A$2:$T$132,20,0)</f>
        <v>G n W Car ( 14 Inch ) 16     FF Sachet + Grass</v>
      </c>
      <c r="R44" s="35" t="str">
        <f>VLOOKUP(A44,'[1]25-07-26'!$A$2:$T$114,20,0)</f>
        <v>Pur Eustoma ( 12 Inch ) 3     FF Sachet + Grass</v>
      </c>
      <c r="S44" s="35" t="str">
        <f>VLOOKUP(A44,'[2]01-08-26'!$A$2:$T$118,20,0)</f>
        <v>P n Y Spray Daisy ( 14 Inch ) 5     FF Sachet + Grass</v>
      </c>
      <c r="T44" s="35" t="s">
        <v>459</v>
      </c>
      <c r="U44" s="35">
        <v>16</v>
      </c>
      <c r="V44" s="35"/>
      <c r="W44" s="35"/>
      <c r="X44" s="35"/>
      <c r="Y44" s="35"/>
      <c r="Z44" s="35" t="s">
        <v>467</v>
      </c>
      <c r="AA44" s="35"/>
      <c r="AB44" s="35"/>
      <c r="AC44" s="35"/>
      <c r="AD44" s="35"/>
    </row>
    <row r="45" spans="1:30" ht="121.6" hidden="1" customHeight="1" x14ac:dyDescent="0.3">
      <c r="A45" s="1">
        <v>2324</v>
      </c>
      <c r="B45" s="8" t="s">
        <v>206</v>
      </c>
      <c r="C45" s="9">
        <v>9810094023</v>
      </c>
      <c r="D45" s="10" t="s">
        <v>207</v>
      </c>
      <c r="E45" s="10" t="s">
        <v>40</v>
      </c>
      <c r="F45" s="10" t="s">
        <v>17</v>
      </c>
      <c r="G45" s="21" t="s">
        <v>29</v>
      </c>
      <c r="H45" s="12">
        <v>1450</v>
      </c>
      <c r="I45" s="12">
        <v>362.5</v>
      </c>
      <c r="J45" s="13" t="s">
        <v>19</v>
      </c>
      <c r="K45" s="10" t="s">
        <v>208</v>
      </c>
      <c r="L45" s="12"/>
      <c r="M45" s="12"/>
      <c r="N45" s="14" t="s">
        <v>209</v>
      </c>
      <c r="O45" s="35" t="str">
        <f>VLOOKUP(A45,'[1]04-07-26'!$A$2:$T$121,20,0)</f>
        <v>Sunflower ( 12 Inch ) 4     Grass</v>
      </c>
      <c r="P45" s="35" t="str">
        <f>VLOOKUP(A45,'[1]11-07-26'!$A$2:$T$125,20,0)</f>
        <v>O Asiatic 3     Grass</v>
      </c>
      <c r="Q45" s="35" t="str">
        <f>VLOOKUP(A45,'[1]18-07-26'!$A$2:$T$132,20,0)</f>
        <v>Mix Alstroemeria ( 12 Inch ) 16     FF Sachet + Grass</v>
      </c>
      <c r="R45" s="35" t="str">
        <f>VLOOKUP(A45,'[1]25-07-26'!$A$2:$T$114,20,0)</f>
        <v>Pur Eustoma ( 12 Inch ) 3     FF Sachet + Grass</v>
      </c>
      <c r="S45" s="35" t="str">
        <f>VLOOKUP(A45,'[2]01-08-26'!$A$2:$T$118,20,0)</f>
        <v>Mix Glad ( 14 Inch ) 16     Grass</v>
      </c>
      <c r="T45" s="35" t="s">
        <v>480</v>
      </c>
      <c r="U45" s="35">
        <v>16</v>
      </c>
      <c r="V45" s="35"/>
      <c r="W45" s="35"/>
      <c r="X45" s="35"/>
      <c r="Y45" s="35"/>
      <c r="Z45" s="35" t="s">
        <v>467</v>
      </c>
      <c r="AA45" s="35"/>
      <c r="AB45" s="35"/>
      <c r="AC45" s="35"/>
      <c r="AD45" s="35"/>
    </row>
    <row r="46" spans="1:30" ht="121.6" hidden="1" customHeight="1" x14ac:dyDescent="0.3">
      <c r="A46" s="13">
        <v>193</v>
      </c>
      <c r="B46" s="8" t="s">
        <v>210</v>
      </c>
      <c r="C46" s="1">
        <v>9811201254</v>
      </c>
      <c r="D46" s="13" t="s">
        <v>211</v>
      </c>
      <c r="E46" s="13" t="s">
        <v>28</v>
      </c>
      <c r="F46" s="13" t="s">
        <v>17</v>
      </c>
      <c r="G46" s="11" t="s">
        <v>18</v>
      </c>
      <c r="H46" s="12">
        <v>1450</v>
      </c>
      <c r="I46" s="12">
        <v>362.5</v>
      </c>
      <c r="J46" s="10" t="s">
        <v>19</v>
      </c>
      <c r="K46" s="13" t="s">
        <v>212</v>
      </c>
      <c r="L46" s="12"/>
      <c r="M46" s="12"/>
      <c r="N46" s="14" t="s">
        <v>33</v>
      </c>
      <c r="O46" s="35" t="str">
        <f>VLOOKUP(A46,'[1]04-07-26'!$A$2:$T$121,20,0)</f>
        <v>P n W Glad ( 14 Inch ) 16     Grass</v>
      </c>
      <c r="P46" s="35" t="str">
        <f>VLOOKUP(A46,'[1]11-07-26'!$A$2:$T$125,20,0)</f>
        <v>O Asiatic ( 14 Inch ) 3     Grass</v>
      </c>
      <c r="Q46" s="35" t="str">
        <f>VLOOKUP(A46,'[1]18-07-26'!$A$2:$T$132,20,0)</f>
        <v>G n W Car ( 14 Inch ) 16     FF Sachet + Grass</v>
      </c>
      <c r="R46" s="35" t="str">
        <f>VLOOKUP(A46,'[1]25-07-26'!$A$2:$T$114,20,0)</f>
        <v>Pur Eustoma ( 12 Inch ) 3     FF Sachet + Grass</v>
      </c>
      <c r="S46" s="35" t="str">
        <f>VLOOKUP(A46,'[2]01-08-26'!$A$2:$T$118,20,0)</f>
        <v>P n Y Spray Daisy ( 14 Inch ) 5     FF Sachet + Grass</v>
      </c>
      <c r="T46" s="35" t="s">
        <v>459</v>
      </c>
      <c r="U46" s="35">
        <v>16</v>
      </c>
      <c r="V46" s="35"/>
      <c r="W46" s="35"/>
      <c r="X46" s="35"/>
      <c r="Y46" s="35"/>
      <c r="Z46" s="35" t="s">
        <v>467</v>
      </c>
      <c r="AA46" s="35"/>
      <c r="AB46" s="35"/>
      <c r="AC46" s="35"/>
      <c r="AD46" s="35"/>
    </row>
    <row r="47" spans="1:30" ht="121.6" hidden="1" customHeight="1" x14ac:dyDescent="0.3">
      <c r="A47" s="1">
        <v>3026</v>
      </c>
      <c r="B47" s="8" t="s">
        <v>213</v>
      </c>
      <c r="C47" s="9">
        <v>9818372485</v>
      </c>
      <c r="D47" s="10" t="s">
        <v>214</v>
      </c>
      <c r="E47" s="10" t="s">
        <v>73</v>
      </c>
      <c r="F47" s="10" t="s">
        <v>17</v>
      </c>
      <c r="G47" s="10" t="s">
        <v>67</v>
      </c>
      <c r="H47" s="12">
        <v>1450</v>
      </c>
      <c r="I47" s="12">
        <v>362.5</v>
      </c>
      <c r="J47" s="13" t="s">
        <v>19</v>
      </c>
      <c r="K47" s="10" t="s">
        <v>215</v>
      </c>
      <c r="L47" s="12"/>
      <c r="M47" s="10" t="s">
        <v>216</v>
      </c>
      <c r="N47" s="14" t="s">
        <v>33</v>
      </c>
      <c r="O47" s="35" t="str">
        <f>VLOOKUP(A47,'[1]04-07-26'!$A$2:$T$121,20,0)</f>
        <v>B Daisy ( 12 Inch ) 16     Grass</v>
      </c>
      <c r="P47" s="35" t="str">
        <f>VLOOKUP(A47,'[1]11-07-26'!$A$2:$T$125,20,0)</f>
        <v>Rajni 16     Grass</v>
      </c>
      <c r="Q47" s="35" t="str">
        <f>VLOOKUP(A47,'[1]18-07-26'!$A$2:$T$132,20,0)</f>
        <v>Mix Alstroemeria ( 12 Inch ) 16     Grass</v>
      </c>
      <c r="R47" s="35" t="str">
        <f>VLOOKUP(A47,'[1]25-07-26'!$A$2:$T$114,20,0)</f>
        <v>Pur n W Car ( 14 Inch ) 16     FF Sachet + Grass</v>
      </c>
      <c r="S47" s="35" t="e">
        <f>VLOOKUP(A47,'[2]01-08-26'!$A$2:$T$118,20,0)</f>
        <v>#N/A</v>
      </c>
      <c r="T47" s="35" t="s">
        <v>459</v>
      </c>
      <c r="U47" s="35">
        <v>16</v>
      </c>
      <c r="V47" s="35"/>
      <c r="W47" s="35"/>
      <c r="X47" s="35"/>
      <c r="Y47" s="35"/>
      <c r="Z47" s="35" t="s">
        <v>467</v>
      </c>
      <c r="AA47" s="35"/>
      <c r="AB47" s="35"/>
      <c r="AC47" s="35"/>
      <c r="AD47" s="35"/>
    </row>
    <row r="48" spans="1:30" ht="121.6" hidden="1" customHeight="1" x14ac:dyDescent="0.3">
      <c r="A48" s="1">
        <v>3336</v>
      </c>
      <c r="B48" s="8" t="s">
        <v>217</v>
      </c>
      <c r="C48" s="12">
        <v>8448331611</v>
      </c>
      <c r="D48" s="10" t="s">
        <v>218</v>
      </c>
      <c r="E48" s="10" t="s">
        <v>44</v>
      </c>
      <c r="F48" s="10" t="s">
        <v>17</v>
      </c>
      <c r="G48" s="10" t="s">
        <v>79</v>
      </c>
      <c r="H48" s="12">
        <v>1950</v>
      </c>
      <c r="I48" s="12">
        <v>487.5</v>
      </c>
      <c r="J48" s="10" t="s">
        <v>86</v>
      </c>
      <c r="K48" s="10" t="s">
        <v>219</v>
      </c>
      <c r="L48" s="12"/>
      <c r="M48" s="12"/>
      <c r="N48" s="14" t="s">
        <v>33</v>
      </c>
      <c r="O48" s="35" t="str">
        <f>VLOOKUP(A48,'[1]04-07-26'!$A$2:$T$121,20,0)</f>
        <v>W Asiatic ( 14 Inch ) 4     Grass</v>
      </c>
      <c r="P48" s="35" t="str">
        <f>VLOOKUP(A48,'[1]11-07-26'!$A$2:$T$125,20,0)</f>
        <v>R n W Car ( 14 Inch ) 22     FF sachet + Car</v>
      </c>
      <c r="Q48" s="35" t="str">
        <f>VLOOKUP(A48,'[1]18-07-26'!$A$2:$T$132,20,0)</f>
        <v>Mix Glad ( 14 Inch ) 22     Grass</v>
      </c>
      <c r="R48" s="35" t="str">
        <f>VLOOKUP(A48,'[1]25-07-26'!$A$2:$T$114,20,0)</f>
        <v>Pur n P Eustoma ( 12 Inch ) 4     FF Sachet + Grass</v>
      </c>
      <c r="S48" s="35" t="str">
        <f>VLOOKUP(A48,'[2]01-08-26'!$A$2:$T$118,20,0)</f>
        <v>P n Y Spray Daisy ( 14 Inch ) 7     FF Sachet + Grass</v>
      </c>
      <c r="T48" s="35" t="s">
        <v>462</v>
      </c>
      <c r="U48" s="35">
        <v>4</v>
      </c>
      <c r="V48" s="35"/>
      <c r="W48" s="35"/>
      <c r="X48" s="35"/>
      <c r="Y48" s="35"/>
      <c r="Z48" s="35" t="s">
        <v>468</v>
      </c>
      <c r="AA48" s="35"/>
      <c r="AB48" s="35"/>
      <c r="AC48" s="35"/>
      <c r="AD48" s="35"/>
    </row>
    <row r="49" spans="1:30" ht="121.6" hidden="1" customHeight="1" x14ac:dyDescent="0.3">
      <c r="A49" s="1">
        <v>1281</v>
      </c>
      <c r="B49" s="8" t="s">
        <v>220</v>
      </c>
      <c r="C49" s="9">
        <v>9818993372</v>
      </c>
      <c r="D49" s="10" t="s">
        <v>221</v>
      </c>
      <c r="E49" s="10" t="s">
        <v>73</v>
      </c>
      <c r="F49" s="10" t="s">
        <v>17</v>
      </c>
      <c r="G49" s="11" t="s">
        <v>18</v>
      </c>
      <c r="H49" s="12">
        <v>1450</v>
      </c>
      <c r="I49" s="12">
        <v>362.5</v>
      </c>
      <c r="J49" s="13" t="s">
        <v>19</v>
      </c>
      <c r="K49" s="10" t="s">
        <v>222</v>
      </c>
      <c r="L49" s="12"/>
      <c r="M49" s="10" t="s">
        <v>223</v>
      </c>
      <c r="N49" s="14" t="s">
        <v>33</v>
      </c>
      <c r="O49" s="35" t="str">
        <f>VLOOKUP(A49,'[1]04-07-26'!$A$2:$T$121,20,0)</f>
        <v>O Asiatic ( 14 Inch ) 3     Grass</v>
      </c>
      <c r="P49" s="35" t="str">
        <f>VLOOKUP(A49,'[1]11-07-26'!$A$2:$T$125,20,0)</f>
        <v>Rajni ( 14 Inch ) 16     Grass</v>
      </c>
      <c r="Q49" s="35" t="str">
        <f>VLOOKUP(A49,'[1]18-07-26'!$A$2:$T$132,20,0)</f>
        <v>P n Y Spray Daisy ( 14 Inch ) 5     FF Sachet + Grass</v>
      </c>
      <c r="R49" s="35" t="str">
        <f>VLOOKUP(A49,'[1]25-07-26'!$A$2:$T$114,20,0)</f>
        <v xml:space="preserve">W Asiatic ( 14 Inch ) 2 Pur n W Car ( 14 Inch ) 7   </v>
      </c>
      <c r="S49" s="35" t="e">
        <f>VLOOKUP(A49,'[2]01-08-26'!$A$2:$T$118,20,0)</f>
        <v>#N/A</v>
      </c>
      <c r="T49" s="35" t="s">
        <v>463</v>
      </c>
      <c r="U49" s="35">
        <v>2</v>
      </c>
      <c r="V49" s="35" t="s">
        <v>461</v>
      </c>
      <c r="W49" s="35">
        <v>7</v>
      </c>
      <c r="X49" s="35"/>
      <c r="Y49" s="35"/>
      <c r="Z49" s="35" t="s">
        <v>467</v>
      </c>
      <c r="AA49" s="35"/>
      <c r="AB49" s="35"/>
      <c r="AC49" s="35"/>
      <c r="AD49" s="35"/>
    </row>
    <row r="50" spans="1:30" ht="121.6" hidden="1" customHeight="1" x14ac:dyDescent="0.3">
      <c r="A50" s="1">
        <v>1882</v>
      </c>
      <c r="B50" s="8" t="s">
        <v>224</v>
      </c>
      <c r="C50" s="12">
        <v>9899285336</v>
      </c>
      <c r="D50" s="10" t="s">
        <v>225</v>
      </c>
      <c r="E50" s="10" t="s">
        <v>40</v>
      </c>
      <c r="F50" s="10" t="s">
        <v>17</v>
      </c>
      <c r="G50" s="11" t="s">
        <v>18</v>
      </c>
      <c r="H50" s="12">
        <v>1950</v>
      </c>
      <c r="I50" s="12">
        <v>487.5</v>
      </c>
      <c r="J50" s="10" t="s">
        <v>86</v>
      </c>
      <c r="K50" s="10" t="s">
        <v>226</v>
      </c>
      <c r="L50" s="12"/>
      <c r="M50" s="10" t="s">
        <v>227</v>
      </c>
      <c r="N50" s="14" t="s">
        <v>33</v>
      </c>
      <c r="O50" s="35" t="str">
        <f>VLOOKUP(A50,'[1]04-07-26'!$A$2:$T$121,20,0)</f>
        <v>W Asiatic ( 14 Inch ) 4     Grass</v>
      </c>
      <c r="P50" s="35" t="str">
        <f>VLOOKUP(A50,'[1]11-07-26'!$A$2:$T$125,20,0)</f>
        <v>R n W Car ( 14 Inch ) 22     FF sachet + Car</v>
      </c>
      <c r="Q50" s="35" t="str">
        <f>VLOOKUP(A50,'[1]18-07-26'!$A$2:$T$132,20,0)</f>
        <v>P n Y Spray Daisy ( 14 Inch ) 7     FF Sachet + Grass</v>
      </c>
      <c r="R50" s="35" t="str">
        <f>VLOOKUP(A50,'[1]25-07-26'!$A$2:$T$114,20,0)</f>
        <v>Pur n P Eustoma ( 12 Inch ) 4     FF Sachet + Grass</v>
      </c>
      <c r="S50" s="35" t="str">
        <f>VLOOKUP(A50,'[2]01-08-26'!$A$2:$T$118,20,0)</f>
        <v>Mix Glad ( 14 Inch ) 22     Grass</v>
      </c>
      <c r="T50" s="35" t="s">
        <v>462</v>
      </c>
      <c r="U50" s="35">
        <v>4</v>
      </c>
      <c r="V50" s="35"/>
      <c r="W50" s="35"/>
      <c r="X50" s="35"/>
      <c r="Y50" s="35"/>
      <c r="Z50" s="35" t="s">
        <v>468</v>
      </c>
      <c r="AA50" s="35"/>
      <c r="AB50" s="35"/>
      <c r="AC50" s="35"/>
      <c r="AD50" s="35"/>
    </row>
    <row r="51" spans="1:30" ht="121.6" hidden="1" customHeight="1" x14ac:dyDescent="0.3">
      <c r="A51" s="1">
        <v>3211</v>
      </c>
      <c r="B51" s="18" t="s">
        <v>228</v>
      </c>
      <c r="C51" s="9">
        <v>8800782128</v>
      </c>
      <c r="D51" s="10" t="s">
        <v>229</v>
      </c>
      <c r="E51" s="10" t="s">
        <v>53</v>
      </c>
      <c r="F51" s="10" t="s">
        <v>17</v>
      </c>
      <c r="G51" s="11" t="s">
        <v>18</v>
      </c>
      <c r="H51" s="12">
        <v>1450</v>
      </c>
      <c r="I51" s="12">
        <v>362.5</v>
      </c>
      <c r="J51" s="13" t="s">
        <v>19</v>
      </c>
      <c r="K51" s="10" t="s">
        <v>230</v>
      </c>
      <c r="L51" s="12"/>
      <c r="M51" s="12"/>
      <c r="N51" s="14" t="s">
        <v>231</v>
      </c>
      <c r="O51" s="35" t="str">
        <f>VLOOKUP(A51,'[1]04-07-26'!$A$2:$T$121,20,0)</f>
        <v>P Asiatic ( 14 Inch ) 2     FF Sachet + Grass</v>
      </c>
      <c r="P51" s="35" t="str">
        <f>VLOOKUP(A51,'[1]11-07-26'!$A$2:$T$125,20,0)</f>
        <v xml:space="preserve">R n W Car ( 14 Inch ) 9     </v>
      </c>
      <c r="Q51" s="35" t="str">
        <f>VLOOKUP(A51,'[1]18-07-26'!$A$2:$T$132,20,0)</f>
        <v>Mix Glad ( 14 Inch ) 9     Grass</v>
      </c>
      <c r="R51" s="35" t="str">
        <f>VLOOKUP(A51,'[1]25-07-26'!$A$2:$T$114,20,0)</f>
        <v>P Eustoma ( 12 Inch ) 3     FF Sachet + Grass</v>
      </c>
      <c r="S51" s="35" t="str">
        <f>VLOOKUP(A51,'[2]01-08-26'!$A$2:$T$118,20,0)</f>
        <v>Mix Alstroemeria ( 12 Inch ) 16     FF Sachet + Grass</v>
      </c>
      <c r="T51" s="35" t="s">
        <v>481</v>
      </c>
      <c r="U51" s="35">
        <v>5</v>
      </c>
      <c r="V51" s="35"/>
      <c r="W51" s="35"/>
      <c r="X51" s="35"/>
      <c r="Y51" s="35"/>
      <c r="Z51" s="35" t="s">
        <v>467</v>
      </c>
      <c r="AA51" s="35"/>
      <c r="AB51" s="35"/>
      <c r="AC51" s="35"/>
      <c r="AD51" s="35"/>
    </row>
    <row r="52" spans="1:30" ht="121.6" hidden="1" customHeight="1" x14ac:dyDescent="0.3">
      <c r="A52" s="13">
        <v>169</v>
      </c>
      <c r="B52" s="8" t="s">
        <v>232</v>
      </c>
      <c r="C52" s="1">
        <v>9810282649</v>
      </c>
      <c r="D52" s="1" t="s">
        <v>233</v>
      </c>
      <c r="E52" s="13" t="s">
        <v>40</v>
      </c>
      <c r="F52" s="13" t="s">
        <v>17</v>
      </c>
      <c r="G52" s="11" t="s">
        <v>18</v>
      </c>
      <c r="H52" s="12">
        <v>3750</v>
      </c>
      <c r="I52" s="12">
        <v>937.5</v>
      </c>
      <c r="J52" s="10" t="s">
        <v>103</v>
      </c>
      <c r="K52" s="13" t="s">
        <v>234</v>
      </c>
      <c r="L52" s="12"/>
      <c r="M52" s="12"/>
      <c r="N52" s="14" t="s">
        <v>33</v>
      </c>
      <c r="O52" s="35" t="str">
        <f>VLOOKUP(A52,'[1]04-07-26'!$A$2:$T$121,20,0)</f>
        <v xml:space="preserve">W Oriental ( 15 Inch ) 3 P n W Glad ( 14 Inch ) 15   2 Limonium </v>
      </c>
      <c r="P52" s="35" t="str">
        <f>VLOOKUP(A52,'[1]11-07-26'!$A$2:$T$125,20,0)</f>
        <v>P Asiatic ( 14 Inch ) 4 Mix Alstroemeria ( 12  Inch ) 20   2 Gypsola</v>
      </c>
      <c r="Q52" s="35" t="str">
        <f>VLOOKUP(A52,'[1]18-07-26'!$A$2:$T$132,20,0)</f>
        <v xml:space="preserve">O Asiatic ( 14 Inch ) 4 G n W Car ( 14 Inch ) 21   2 Limonium </v>
      </c>
      <c r="R52" s="35" t="str">
        <f>VLOOKUP(A52,'[1]25-07-26'!$A$2:$T$114,20,0)</f>
        <v>Y Asiatic ( 14 Inch ) 4 O Glad ( 14 Inch ) 21   Grass</v>
      </c>
      <c r="S52" s="35" t="str">
        <f>VLOOKUP(A52,'[2]01-08-26'!$A$2:$T$118,20,0)</f>
        <v>P Oriental ( 15 Inch ) 3 Mix Alstroemeria ( 12 Inch ) 16   2 Gypsola</v>
      </c>
      <c r="T52" s="35" t="s">
        <v>460</v>
      </c>
      <c r="U52" s="35">
        <v>4</v>
      </c>
      <c r="V52" s="35" t="s">
        <v>465</v>
      </c>
      <c r="W52" s="35">
        <v>17</v>
      </c>
      <c r="X52" s="35"/>
      <c r="Y52" s="35"/>
      <c r="Z52" s="35" t="s">
        <v>492</v>
      </c>
      <c r="AA52" s="35"/>
      <c r="AB52" s="35"/>
      <c r="AC52" s="35"/>
      <c r="AD52" s="35"/>
    </row>
    <row r="53" spans="1:30" ht="121.6" hidden="1" customHeight="1" x14ac:dyDescent="0.3">
      <c r="A53" s="1">
        <v>3356</v>
      </c>
      <c r="B53" s="8" t="s">
        <v>235</v>
      </c>
      <c r="C53" s="12">
        <v>9999598424</v>
      </c>
      <c r="D53" s="10" t="s">
        <v>236</v>
      </c>
      <c r="E53" s="10" t="s">
        <v>73</v>
      </c>
      <c r="F53" s="10" t="s">
        <v>17</v>
      </c>
      <c r="G53" s="11" t="s">
        <v>18</v>
      </c>
      <c r="H53" s="12">
        <v>1450</v>
      </c>
      <c r="I53" s="12">
        <v>362.5</v>
      </c>
      <c r="J53" s="10" t="s">
        <v>19</v>
      </c>
      <c r="K53" s="12"/>
      <c r="L53" s="12"/>
      <c r="M53" s="12"/>
      <c r="N53" s="14" t="s">
        <v>50</v>
      </c>
      <c r="O53" s="35" t="str">
        <f>VLOOKUP(A53,'[1]04-07-26'!$A$2:$T$121,20,0)</f>
        <v>P Asiatic ( 14 Inch ) 3     FF Sachet + Grass</v>
      </c>
      <c r="P53" s="35" t="str">
        <f>VLOOKUP(A53,'[1]11-07-26'!$A$2:$T$125,20,0)</f>
        <v>R n W Car ( 14 Inch ) 16     FF sachet + Car</v>
      </c>
      <c r="Q53" s="35" t="str">
        <f>VLOOKUP(A53,'[1]18-07-26'!$A$2:$T$132,20,0)</f>
        <v>P n Y Spray Daisy ( 14 Inch ) 5     FF Sachet + Grass</v>
      </c>
      <c r="R53" s="35" t="str">
        <f>VLOOKUP(A53,'[1]25-07-26'!$A$2:$T$114,20,0)</f>
        <v>Mix Alstroemeria ( 12 Inch ) 16     FF Sachet + Grass</v>
      </c>
      <c r="S53" s="35" t="str">
        <f>VLOOKUP(A53,'[2]01-08-26'!$A$2:$T$118,20,0)</f>
        <v>P n W Glad ( 14 Inch ) 16     Grass</v>
      </c>
      <c r="T53" s="35" t="s">
        <v>551</v>
      </c>
      <c r="U53" s="35">
        <v>3</v>
      </c>
      <c r="V53" s="35"/>
      <c r="W53" s="35"/>
      <c r="X53" s="35"/>
      <c r="Y53" s="35"/>
      <c r="Z53" s="35" t="s">
        <v>467</v>
      </c>
      <c r="AA53" s="35"/>
      <c r="AB53" s="35"/>
      <c r="AC53" s="35"/>
      <c r="AD53" s="35"/>
    </row>
    <row r="54" spans="1:30" ht="121.6" hidden="1" customHeight="1" x14ac:dyDescent="0.3">
      <c r="A54" s="1">
        <v>2937</v>
      </c>
      <c r="B54" s="8" t="s">
        <v>237</v>
      </c>
      <c r="C54" s="12">
        <v>9810121070</v>
      </c>
      <c r="D54" s="10" t="s">
        <v>238</v>
      </c>
      <c r="E54" s="10" t="s">
        <v>73</v>
      </c>
      <c r="F54" s="10" t="s">
        <v>17</v>
      </c>
      <c r="G54" s="11" t="s">
        <v>18</v>
      </c>
      <c r="H54" s="12">
        <v>1950</v>
      </c>
      <c r="I54" s="12">
        <v>487.5</v>
      </c>
      <c r="J54" s="10" t="s">
        <v>86</v>
      </c>
      <c r="K54" s="10" t="s">
        <v>239</v>
      </c>
      <c r="L54" s="12"/>
      <c r="M54" s="10" t="s">
        <v>240</v>
      </c>
      <c r="N54" s="14" t="s">
        <v>50</v>
      </c>
      <c r="O54" s="35" t="str">
        <f>VLOOKUP(A54,'[1]04-07-26'!$A$2:$T$121,20,0)</f>
        <v>BOP 2 Rajni ( 14 Inch ) 11   Grass</v>
      </c>
      <c r="P54" s="35" t="str">
        <f>VLOOKUP(A54,'[1]11-07-26'!$A$2:$T$125,20,0)</f>
        <v>P n W Spray Daisy ( 14 Inch ) 4 P n W Glad ( 14 Inch ) 11   FF sachet + Car</v>
      </c>
      <c r="Q54" s="35" t="str">
        <f>VLOOKUP(A54,'[1]18-07-26'!$A$2:$T$132,20,0)</f>
        <v>W Asiatic ( 14 Inch ) 2 Mix Alstroemeria ( 12 Inch ) 11   Grass</v>
      </c>
      <c r="R54" s="35" t="str">
        <f>VLOOKUP(A54,'[1]25-07-26'!$A$2:$T$114,20,0)</f>
        <v>P Eustoma ( 12 Inch ) 2 P n W Car ( 14 Inch ) 11   FF Sachet + Grass</v>
      </c>
      <c r="S54" s="35" t="str">
        <f>VLOOKUP(A54,'[2]01-08-26'!$A$2:$T$118,20,0)</f>
        <v>Sunflower ( 12 Inch ) 3 Rajni ( 14 Inch ) 11   FF Sachet + Grass</v>
      </c>
      <c r="T54" s="35" t="s">
        <v>549</v>
      </c>
      <c r="U54" s="35">
        <v>4</v>
      </c>
      <c r="V54" s="35" t="s">
        <v>461</v>
      </c>
      <c r="W54" s="35">
        <v>11</v>
      </c>
      <c r="X54" s="35"/>
      <c r="Y54" s="35"/>
      <c r="Z54" s="35" t="s">
        <v>467</v>
      </c>
      <c r="AA54" s="35"/>
      <c r="AB54" s="35"/>
      <c r="AC54" s="35"/>
      <c r="AD54" s="35"/>
    </row>
    <row r="55" spans="1:30" ht="121.6" hidden="1" customHeight="1" x14ac:dyDescent="0.3">
      <c r="A55" s="1">
        <v>662</v>
      </c>
      <c r="B55" s="8" t="s">
        <v>241</v>
      </c>
      <c r="C55" s="1">
        <v>9999494530</v>
      </c>
      <c r="D55" s="13" t="s">
        <v>242</v>
      </c>
      <c r="E55" s="13" t="s">
        <v>243</v>
      </c>
      <c r="F55" s="13" t="s">
        <v>17</v>
      </c>
      <c r="G55" s="11" t="s">
        <v>18</v>
      </c>
      <c r="H55" s="12">
        <v>1450</v>
      </c>
      <c r="I55" s="12">
        <v>362.5</v>
      </c>
      <c r="J55" s="13" t="s">
        <v>19</v>
      </c>
      <c r="K55" s="13" t="s">
        <v>244</v>
      </c>
      <c r="L55" s="12"/>
      <c r="M55" s="10" t="s">
        <v>245</v>
      </c>
      <c r="N55" s="14" t="s">
        <v>246</v>
      </c>
      <c r="O55" s="35" t="e">
        <f>VLOOKUP(A55,'[1]04-07-26'!$A$2:$T$121,20,0)</f>
        <v>#N/A</v>
      </c>
      <c r="P55" s="35" t="e">
        <f>VLOOKUP(A55,'[1]11-07-26'!$A$2:$T$125,20,0)</f>
        <v>#N/A</v>
      </c>
      <c r="Q55" s="35" t="e">
        <f>VLOOKUP(A55,'[1]18-07-26'!$A$2:$T$132,20,0)</f>
        <v>#N/A</v>
      </c>
      <c r="R55" s="35" t="e">
        <f>VLOOKUP(A55,'[1]25-07-26'!$A$2:$T$114,20,0)</f>
        <v>#N/A</v>
      </c>
      <c r="S55" s="35" t="e">
        <f>VLOOKUP(A55,'[2]01-08-26'!$A$2:$T$118,20,0)</f>
        <v>#N/A</v>
      </c>
      <c r="T55" s="35" t="s">
        <v>462</v>
      </c>
      <c r="U55" s="35">
        <v>3</v>
      </c>
      <c r="V55" s="35"/>
      <c r="W55" s="35"/>
      <c r="X55" s="35"/>
      <c r="Y55" s="35"/>
      <c r="Z55" s="35" t="s">
        <v>468</v>
      </c>
      <c r="AA55" s="35"/>
      <c r="AB55" s="35"/>
      <c r="AC55" s="35"/>
      <c r="AD55" s="35"/>
    </row>
    <row r="56" spans="1:30" ht="121.6" hidden="1" customHeight="1" x14ac:dyDescent="0.3">
      <c r="A56" s="1">
        <v>3421</v>
      </c>
      <c r="B56" s="8" t="s">
        <v>247</v>
      </c>
      <c r="C56" s="12">
        <v>9871031918</v>
      </c>
      <c r="D56" s="10" t="s">
        <v>248</v>
      </c>
      <c r="E56" s="10" t="s">
        <v>53</v>
      </c>
      <c r="F56" s="10" t="s">
        <v>17</v>
      </c>
      <c r="G56" s="11" t="s">
        <v>63</v>
      </c>
      <c r="H56" s="12">
        <v>1950</v>
      </c>
      <c r="I56" s="12">
        <v>487.5</v>
      </c>
      <c r="J56" s="13" t="s">
        <v>86</v>
      </c>
      <c r="K56" s="12"/>
      <c r="L56" s="12"/>
      <c r="M56" s="12"/>
      <c r="N56" s="14" t="s">
        <v>50</v>
      </c>
      <c r="O56" s="35" t="e">
        <f>VLOOKUP(A56,'[1]04-07-26'!$A$2:$T$121,20,0)</f>
        <v>#N/A</v>
      </c>
      <c r="P56" s="35" t="e">
        <f>VLOOKUP(A56,'[1]11-07-26'!$A$2:$T$125,20,0)</f>
        <v>#N/A</v>
      </c>
      <c r="Q56" s="35" t="e">
        <f>VLOOKUP(A56,'[1]18-07-26'!$A$2:$T$132,20,0)</f>
        <v>#N/A</v>
      </c>
      <c r="R56" s="35" t="e">
        <f>VLOOKUP(A56,'[1]25-07-26'!$A$2:$T$114,20,0)</f>
        <v>#N/A</v>
      </c>
      <c r="S56" s="35" t="str">
        <f>VLOOKUP(A56,'[2]01-08-26'!$A$2:$T$118,20,0)</f>
        <v>P n W Car ( 14 Inch ) 22     FF Sachet + Grass</v>
      </c>
      <c r="T56" s="35" t="s">
        <v>549</v>
      </c>
      <c r="U56" s="35">
        <v>7</v>
      </c>
      <c r="V56" s="35"/>
      <c r="W56" s="35"/>
      <c r="X56" s="35"/>
      <c r="Y56" s="35"/>
      <c r="Z56" s="35" t="s">
        <v>467</v>
      </c>
      <c r="AA56" s="35"/>
      <c r="AB56" s="35"/>
      <c r="AC56" s="35"/>
      <c r="AD56" s="35"/>
    </row>
    <row r="57" spans="1:30" ht="121.6" hidden="1" customHeight="1" x14ac:dyDescent="0.3">
      <c r="A57" s="1">
        <v>2941</v>
      </c>
      <c r="B57" s="8" t="s">
        <v>249</v>
      </c>
      <c r="C57" s="9">
        <v>8884773030</v>
      </c>
      <c r="D57" s="10" t="s">
        <v>250</v>
      </c>
      <c r="E57" s="10" t="s">
        <v>73</v>
      </c>
      <c r="F57" s="10" t="s">
        <v>17</v>
      </c>
      <c r="G57" s="11" t="s">
        <v>18</v>
      </c>
      <c r="H57" s="12">
        <v>1450</v>
      </c>
      <c r="I57" s="12">
        <v>362.5</v>
      </c>
      <c r="J57" s="13" t="s">
        <v>19</v>
      </c>
      <c r="K57" s="10" t="s">
        <v>251</v>
      </c>
      <c r="L57" s="12"/>
      <c r="M57" s="12"/>
      <c r="N57" s="14" t="s">
        <v>50</v>
      </c>
      <c r="O57" s="35" t="str">
        <f>VLOOKUP(A57,'[1]04-07-26'!$A$2:$T$121,20,0)</f>
        <v>Sunflower ( 12 Inch ) 4     FF Sachet + Grass</v>
      </c>
      <c r="P57" s="35" t="str">
        <f>VLOOKUP(A57,'[1]11-07-26'!$A$2:$T$125,20,0)</f>
        <v>P Asiatic ( 14 Inch ) 3     Grass</v>
      </c>
      <c r="Q57" s="35" t="str">
        <f>VLOOKUP(A57,'[1]18-07-26'!$A$2:$T$132,20,0)</f>
        <v>Mix Alstroemeria ( 12 Inch ) 16     FF Sachet + Grass</v>
      </c>
      <c r="R57" s="35" t="str">
        <f>VLOOKUP(A57,'[1]25-07-26'!$A$2:$T$114,20,0)</f>
        <v>P Spray + Y Button Daisy ( 14 Inch ) 5     FF Sachet + Grass</v>
      </c>
      <c r="S57" s="35" t="str">
        <f>VLOOKUP(A57,'[2]01-08-26'!$A$2:$T$118,20,0)</f>
        <v>Mix Glad ( 14 Inch ) 16     Grass</v>
      </c>
      <c r="T57" s="35" t="s">
        <v>480</v>
      </c>
      <c r="U57" s="35">
        <v>16</v>
      </c>
      <c r="V57" s="35"/>
      <c r="W57" s="35"/>
      <c r="X57" s="35"/>
      <c r="Y57" s="35"/>
      <c r="Z57" s="35" t="s">
        <v>467</v>
      </c>
      <c r="AA57" s="35"/>
      <c r="AB57" s="35"/>
      <c r="AC57" s="35"/>
      <c r="AD57" s="35"/>
    </row>
    <row r="58" spans="1:30" ht="121.6" hidden="1" customHeight="1" x14ac:dyDescent="0.3">
      <c r="A58" s="1">
        <v>3387</v>
      </c>
      <c r="B58" s="8" t="s">
        <v>252</v>
      </c>
      <c r="C58" s="12">
        <v>9810713138</v>
      </c>
      <c r="D58" s="10" t="s">
        <v>253</v>
      </c>
      <c r="E58" s="10" t="s">
        <v>44</v>
      </c>
      <c r="F58" s="10" t="s">
        <v>17</v>
      </c>
      <c r="G58" s="11" t="s">
        <v>63</v>
      </c>
      <c r="H58" s="12">
        <v>1950</v>
      </c>
      <c r="I58" s="12">
        <v>487.5</v>
      </c>
      <c r="J58" s="10" t="s">
        <v>86</v>
      </c>
      <c r="K58" s="12"/>
      <c r="L58" s="12"/>
      <c r="M58" s="12"/>
      <c r="N58" s="14" t="s">
        <v>50</v>
      </c>
      <c r="O58" s="35" t="str">
        <f>VLOOKUP(A58,'[1]04-07-26'!$A$2:$T$121,20,0)</f>
        <v>P n W Glad ( 14 Inch ) 22     Grass</v>
      </c>
      <c r="P58" s="35" t="str">
        <f>VLOOKUP(A58,'[1]11-07-26'!$A$2:$T$125,20,0)</f>
        <v>R n W Car ( 14 Inch ) 22    Ensure Collection FF sachet + Car</v>
      </c>
      <c r="Q58" s="35" t="str">
        <f>VLOOKUP(A58,'[1]18-07-26'!$A$2:$T$132,20,0)</f>
        <v>W Asiatic ( 14 Inch ) 4     Grass</v>
      </c>
      <c r="R58" s="35" t="str">
        <f>VLOOKUP(A58,'[1]25-07-26'!$A$2:$T$114,20,0)</f>
        <v>Pur n P Eustoma ( 12 Inch ) 4     FF Sachet + Grass</v>
      </c>
      <c r="S58" s="35" t="str">
        <f>VLOOKUP(A58,'[2]01-08-26'!$A$2:$T$118,20,0)</f>
        <v>P n Y Spray Daisy ( 14 Inch ) 7     FF Sachet + Grass</v>
      </c>
      <c r="T58" s="35" t="s">
        <v>459</v>
      </c>
      <c r="U58" s="35">
        <v>22</v>
      </c>
      <c r="V58" s="35"/>
      <c r="W58" s="35"/>
      <c r="X58" s="35"/>
      <c r="Y58" s="35"/>
      <c r="Z58" s="35" t="s">
        <v>467</v>
      </c>
      <c r="AA58" s="35"/>
      <c r="AB58" s="35"/>
      <c r="AC58" s="35"/>
      <c r="AD58" s="35"/>
    </row>
    <row r="59" spans="1:30" ht="121.6" hidden="1" customHeight="1" x14ac:dyDescent="0.3">
      <c r="A59" s="1">
        <v>2743</v>
      </c>
      <c r="B59" s="8" t="s">
        <v>254</v>
      </c>
      <c r="C59" s="12">
        <v>9999767374</v>
      </c>
      <c r="D59" s="10" t="s">
        <v>255</v>
      </c>
      <c r="E59" s="10" t="s">
        <v>28</v>
      </c>
      <c r="F59" s="10" t="s">
        <v>17</v>
      </c>
      <c r="G59" s="16" t="s">
        <v>29</v>
      </c>
      <c r="H59" s="12">
        <v>2750</v>
      </c>
      <c r="I59" s="12">
        <v>687.5</v>
      </c>
      <c r="J59" s="10" t="s">
        <v>48</v>
      </c>
      <c r="K59" s="10" t="s">
        <v>256</v>
      </c>
      <c r="L59" s="12"/>
      <c r="M59" s="12"/>
      <c r="N59" s="14" t="s">
        <v>257</v>
      </c>
      <c r="O59" s="35" t="str">
        <f>VLOOKUP(A59,'[1]04-07-26'!$A$2:$T$121,20,0)</f>
        <v xml:space="preserve">P n Y Spray daisy ( 14 inch ) 5 Rajni ( 14 Inch ) 16   2 Gypsola + FF Sachet </v>
      </c>
      <c r="P59" s="35" t="str">
        <f>VLOOKUP(A59,'[1]11-07-26'!$A$2:$T$125,20,0)</f>
        <v xml:space="preserve">Sunflower ( 12 Inch ) 4 Mix Alstroemeria ( 12  Inch ) 16  Ensure Collection 2 Gypsola + FF sachet </v>
      </c>
      <c r="Q59" s="35" t="str">
        <f>VLOOKUP(A59,'[1]18-07-26'!$A$2:$T$132,20,0)</f>
        <v>W Asiatic ( 14 Inch ) 2 Mix Glad ( 14 Inch ) 16 Collect payment Collect payment Grass</v>
      </c>
      <c r="R59" s="35" t="str">
        <f>VLOOKUP(A59,'[1]25-07-26'!$A$2:$T$114,20,0)</f>
        <v>P Eustoma ( 12 Inch ) 3 P n W Car ( 14 Inch ) 16   FF Sachet + Grass</v>
      </c>
      <c r="S59" s="35" t="str">
        <f>VLOOKUP(A59,'[2]01-08-26'!$A$2:$T$118,20,0)</f>
        <v>P n W Spray Daisy ( 14 Inch ) 5 Mix Glad ( 14 Inch ) 16   FF Sachet + Grass</v>
      </c>
      <c r="T59" s="35" t="s">
        <v>483</v>
      </c>
      <c r="U59" s="35">
        <v>3</v>
      </c>
      <c r="V59" s="35" t="s">
        <v>465</v>
      </c>
      <c r="W59" s="35">
        <v>16</v>
      </c>
      <c r="X59" s="35"/>
      <c r="Y59" s="35"/>
      <c r="Z59" s="35" t="s">
        <v>467</v>
      </c>
      <c r="AA59" s="35"/>
      <c r="AB59" s="35"/>
      <c r="AC59" s="35"/>
      <c r="AD59" s="35"/>
    </row>
    <row r="60" spans="1:30" ht="121.6" hidden="1" customHeight="1" x14ac:dyDescent="0.3">
      <c r="A60" s="1">
        <v>1965</v>
      </c>
      <c r="B60" s="18" t="s">
        <v>258</v>
      </c>
      <c r="C60" s="12">
        <v>7769040473</v>
      </c>
      <c r="D60" s="10" t="s">
        <v>259</v>
      </c>
      <c r="E60" s="10" t="s">
        <v>73</v>
      </c>
      <c r="F60" s="10" t="s">
        <v>17</v>
      </c>
      <c r="G60" s="11" t="s">
        <v>18</v>
      </c>
      <c r="H60" s="12">
        <v>2750</v>
      </c>
      <c r="I60" s="12">
        <v>687.5</v>
      </c>
      <c r="J60" s="10" t="s">
        <v>48</v>
      </c>
      <c r="K60" s="10" t="s">
        <v>260</v>
      </c>
      <c r="L60" s="12"/>
      <c r="M60" s="12"/>
      <c r="N60" s="14" t="s">
        <v>257</v>
      </c>
      <c r="O60" s="35" t="str">
        <f>VLOOKUP(A60,'[1]04-07-26'!$A$2:$T$121,20,0)</f>
        <v xml:space="preserve">W Asiatic ( 14 Inch ) 3 P n W Glad ( 14 Inch ) 16   2 Gypsola </v>
      </c>
      <c r="P60" s="35" t="str">
        <f>VLOOKUP(A60,'[1]11-07-26'!$A$2:$T$125,20,0)</f>
        <v xml:space="preserve">P n Y Spray Daisy ( 14 Inch ) 5 Rajni ( 14 inch ) 16  Ensure Collection 2 Gypsola + FF sachet </v>
      </c>
      <c r="Q60" s="35" t="e">
        <f>VLOOKUP(A60,'[1]18-07-26'!$A$2:$T$132,20,0)</f>
        <v>#N/A</v>
      </c>
      <c r="R60" s="35" t="str">
        <f>VLOOKUP(A60,'[1]25-07-26'!$A$2:$T$114,20,0)</f>
        <v>P Eustoma ( 12 Inch ) 3 P n W Car ( 14 Inch ) 16   FF Sachet + Grass</v>
      </c>
      <c r="S60" s="35" t="str">
        <f>VLOOKUP(A60,'[2]01-08-26'!$A$2:$T$118,20,0)</f>
        <v>O Aiatic ( 14 Inch ) 3 Mix Glad ( 14 Inch ) 16 Ensure Collection Ensure Collection Grass</v>
      </c>
      <c r="T60" s="35" t="s">
        <v>483</v>
      </c>
      <c r="U60" s="35">
        <v>3</v>
      </c>
      <c r="V60" s="35" t="s">
        <v>459</v>
      </c>
      <c r="W60" s="35">
        <v>16</v>
      </c>
      <c r="X60" s="35"/>
      <c r="Y60" s="35"/>
      <c r="Z60" s="35" t="s">
        <v>467</v>
      </c>
      <c r="AA60" s="35"/>
      <c r="AB60" s="35"/>
      <c r="AC60" s="35"/>
      <c r="AD60" s="35"/>
    </row>
    <row r="61" spans="1:30" ht="121.6" hidden="1" customHeight="1" x14ac:dyDescent="0.3">
      <c r="A61" s="1">
        <v>814</v>
      </c>
      <c r="B61" s="8" t="s">
        <v>261</v>
      </c>
      <c r="C61" s="12">
        <v>9971005348</v>
      </c>
      <c r="D61" s="10" t="s">
        <v>262</v>
      </c>
      <c r="E61" s="10" t="s">
        <v>44</v>
      </c>
      <c r="F61" s="13" t="s">
        <v>17</v>
      </c>
      <c r="G61" s="11" t="s">
        <v>95</v>
      </c>
      <c r="H61" s="12">
        <v>1950</v>
      </c>
      <c r="I61" s="12">
        <v>487.5</v>
      </c>
      <c r="J61" s="10" t="s">
        <v>86</v>
      </c>
      <c r="K61" s="13" t="s">
        <v>263</v>
      </c>
      <c r="L61" s="12"/>
      <c r="M61" s="12"/>
      <c r="N61" s="14" t="s">
        <v>50</v>
      </c>
      <c r="O61" s="35" t="str">
        <f>VLOOKUP(A61,'[1]04-07-26'!$A$2:$T$121,20,0)</f>
        <v>B Orchid  7     FF Sachet + Grass</v>
      </c>
      <c r="P61" s="35" t="str">
        <f>VLOOKUP(A61,'[1]11-07-26'!$A$2:$T$125,20,0)</f>
        <v>O Asiatic ( 14 Inch ) 4    Ensure Collection Grass</v>
      </c>
      <c r="Q61" s="35" t="str">
        <f>VLOOKUP(A61,'[1]18-07-26'!$A$2:$T$132,20,0)</f>
        <v>Mix Alstroemeria ( 12 Inch ) 20   Collect payment Collect payment FF Sachet + Grass</v>
      </c>
      <c r="R61" s="35" t="str">
        <f>VLOOKUP(A61,'[1]25-07-26'!$A$2:$T$114,20,0)</f>
        <v>Pur n P Eustoma ( 12 Inch ) 4     FF Sachet + Grass</v>
      </c>
      <c r="S61" s="35" t="str">
        <f>VLOOKUP(A61,'[2]01-08-26'!$A$2:$T$118,20,0)</f>
        <v>P n W Glad ( 14 Inch ) 22     Grass</v>
      </c>
      <c r="T61" s="35" t="s">
        <v>549</v>
      </c>
      <c r="U61" s="35">
        <v>7</v>
      </c>
      <c r="V61" s="35"/>
      <c r="W61" s="35"/>
      <c r="X61" s="35"/>
      <c r="Y61" s="35"/>
      <c r="Z61" s="35" t="s">
        <v>467</v>
      </c>
      <c r="AA61" s="35"/>
      <c r="AB61" s="35"/>
      <c r="AC61" s="35"/>
      <c r="AD61" s="35"/>
    </row>
    <row r="62" spans="1:30" ht="121.6" hidden="1" customHeight="1" x14ac:dyDescent="0.3">
      <c r="A62" s="1">
        <v>339</v>
      </c>
      <c r="B62" s="8" t="s">
        <v>264</v>
      </c>
      <c r="C62" s="1">
        <v>9026947085</v>
      </c>
      <c r="D62" s="1" t="s">
        <v>265</v>
      </c>
      <c r="E62" s="10" t="s">
        <v>16</v>
      </c>
      <c r="F62" s="13" t="s">
        <v>17</v>
      </c>
      <c r="G62" s="11" t="s">
        <v>95</v>
      </c>
      <c r="H62" s="12">
        <v>1450</v>
      </c>
      <c r="I62" s="12">
        <v>362.5</v>
      </c>
      <c r="J62" s="10" t="s">
        <v>19</v>
      </c>
      <c r="K62" s="13" t="s">
        <v>266</v>
      </c>
      <c r="L62" s="12"/>
      <c r="M62" s="12"/>
      <c r="N62" s="14" t="s">
        <v>50</v>
      </c>
      <c r="O62" s="35" t="str">
        <f>VLOOKUP(A62,'[1]04-07-26'!$A$2:$T$121,20,0)</f>
        <v>P n W Glad ( 14 Inch ) 16     Grass</v>
      </c>
      <c r="P62" s="35" t="str">
        <f>VLOOKUP(A62,'[1]11-07-26'!$A$2:$T$125,20,0)</f>
        <v>B Daisy ( 12 Inch ) 16    Ensure Collection Grass</v>
      </c>
      <c r="Q62" s="35" t="str">
        <f>VLOOKUP(A62,'[1]18-07-26'!$A$2:$T$132,20,0)</f>
        <v>P n Y Spray Daisy ( 14 Inch ) 5   Collect payment Collect payment FF Sachet + Grass</v>
      </c>
      <c r="R62" s="35" t="str">
        <f>VLOOKUP(A62,'[1]25-07-26'!$A$2:$T$114,20,0)</f>
        <v xml:space="preserve">O Asiatic ( 14 Inch ) 3   Ensure Collection Emnsure Collection </v>
      </c>
      <c r="S62" s="35" t="str">
        <f>VLOOKUP(A62,'[2]01-08-26'!$A$2:$T$118,20,0)</f>
        <v>Mix Alstroemeria ( 12 Inch ) 16   Ensure Collection Ensure Collection FF Sachet + Grass</v>
      </c>
      <c r="T62" s="35" t="s">
        <v>461</v>
      </c>
      <c r="U62" s="35">
        <v>16</v>
      </c>
      <c r="V62" s="35"/>
      <c r="W62" s="35"/>
      <c r="X62" s="35"/>
      <c r="Y62" s="35"/>
      <c r="Z62" s="35" t="s">
        <v>468</v>
      </c>
      <c r="AA62" s="35"/>
      <c r="AB62" s="35"/>
      <c r="AC62" s="35"/>
      <c r="AD62" s="35"/>
    </row>
    <row r="63" spans="1:30" ht="121.6" hidden="1" customHeight="1" x14ac:dyDescent="0.3">
      <c r="A63" s="1">
        <v>3100</v>
      </c>
      <c r="B63" s="8" t="s">
        <v>267</v>
      </c>
      <c r="C63" s="9">
        <v>9971455549</v>
      </c>
      <c r="D63" s="10" t="s">
        <v>268</v>
      </c>
      <c r="E63" s="10" t="s">
        <v>73</v>
      </c>
      <c r="F63" s="10" t="s">
        <v>17</v>
      </c>
      <c r="G63" s="11" t="s">
        <v>18</v>
      </c>
      <c r="H63" s="10">
        <v>1450</v>
      </c>
      <c r="I63" s="12">
        <v>362.5</v>
      </c>
      <c r="J63" s="13" t="s">
        <v>19</v>
      </c>
      <c r="K63" s="12"/>
      <c r="L63" s="12"/>
      <c r="M63" s="12"/>
      <c r="N63" s="14" t="s">
        <v>246</v>
      </c>
      <c r="O63" s="35" t="str">
        <f>VLOOKUP(A63,'[1]04-07-26'!$A$2:$T$121,20,0)</f>
        <v>Pur n P Car ( 14 Inch ) 16     Grass</v>
      </c>
      <c r="P63" s="35" t="str">
        <f>VLOOKUP(A63,'[1]11-07-26'!$A$2:$T$125,20,0)</f>
        <v>Sunflower ( 12 Inch ) 4    Ensure Collection FF sachet + Car</v>
      </c>
      <c r="Q63" s="35" t="str">
        <f>VLOOKUP(A63,'[1]18-07-26'!$A$2:$T$132,20,0)</f>
        <v>Mix Glad ( 14 Inch ) 16     Grass</v>
      </c>
      <c r="R63" s="35" t="str">
        <f>VLOOKUP(A63,'[1]25-07-26'!$A$2:$T$114,20,0)</f>
        <v>P Spray + Y Button Daisy ( 14 Inch ) 5     FF Sachet + Grass</v>
      </c>
      <c r="S63" s="35" t="str">
        <f>VLOOKUP(A63,'[2]01-08-26'!$A$2:$T$118,20,0)</f>
        <v>Mix Alstroemeria ( 12 Inch ) 16     FF Sachet + Grass</v>
      </c>
      <c r="T63" s="35" t="s">
        <v>460</v>
      </c>
      <c r="U63" s="35">
        <v>3</v>
      </c>
      <c r="V63" s="35"/>
      <c r="W63" s="35"/>
      <c r="X63" s="35"/>
      <c r="Y63" s="35"/>
      <c r="Z63" s="35" t="s">
        <v>468</v>
      </c>
      <c r="AA63" s="35"/>
      <c r="AB63" s="35"/>
      <c r="AC63" s="35"/>
      <c r="AD63" s="35"/>
    </row>
    <row r="64" spans="1:30" ht="121.6" hidden="1" customHeight="1" x14ac:dyDescent="0.3">
      <c r="A64" s="1">
        <v>2706</v>
      </c>
      <c r="B64" s="8" t="s">
        <v>269</v>
      </c>
      <c r="C64" s="12">
        <v>9990121666</v>
      </c>
      <c r="D64" s="10" t="s">
        <v>270</v>
      </c>
      <c r="E64" s="10" t="s">
        <v>271</v>
      </c>
      <c r="F64" s="10" t="s">
        <v>17</v>
      </c>
      <c r="G64" s="21" t="s">
        <v>18</v>
      </c>
      <c r="H64" s="12">
        <v>1600</v>
      </c>
      <c r="I64" s="12">
        <v>200</v>
      </c>
      <c r="J64" s="10" t="s">
        <v>144</v>
      </c>
      <c r="K64" s="10" t="s">
        <v>272</v>
      </c>
      <c r="L64" s="12"/>
      <c r="M64" s="12"/>
      <c r="N64" s="14" t="s">
        <v>33</v>
      </c>
      <c r="O64" s="35" t="str">
        <f>VLOOKUP(A64,'[1]04-07-26'!$A$2:$T$121,20,0)</f>
        <v>Mix Alstroemeria ( 12 Inch ) 7     FF Sachet + Grass</v>
      </c>
      <c r="P64" s="35" t="str">
        <f>VLOOKUP(A64,'[1]11-07-26'!$A$2:$T$125,20,0)</f>
        <v>Rajni ( 14 Inch ) 7     Grass</v>
      </c>
      <c r="Q64" s="35" t="str">
        <f>VLOOKUP(A64,'[1]18-07-26'!$A$2:$T$132,20,0)</f>
        <v>Mix Glad ( 14 Inch ) 7     Grass</v>
      </c>
      <c r="R64" s="35" t="str">
        <f>VLOOKUP(A64,'[1]25-07-26'!$A$2:$T$114,20,0)</f>
        <v>Rajni ( 14 Inch ) 7     Grass</v>
      </c>
      <c r="S64" s="35" t="str">
        <f>VLOOKUP(A64,'[2]01-08-26'!$A$2:$T$118,20,0)</f>
        <v>R n W Car ( 14 Inch ) 7     FF Sachet + Grass</v>
      </c>
      <c r="T64" s="35" t="s">
        <v>461</v>
      </c>
      <c r="U64" s="35">
        <v>7</v>
      </c>
      <c r="V64" s="35"/>
      <c r="W64" s="35"/>
      <c r="X64" s="35"/>
      <c r="Y64" s="35"/>
      <c r="Z64" s="35" t="s">
        <v>468</v>
      </c>
      <c r="AA64" s="35"/>
      <c r="AB64" s="35"/>
      <c r="AC64" s="35"/>
      <c r="AD64" s="35"/>
    </row>
    <row r="65" spans="1:30" ht="121.6" hidden="1" customHeight="1" x14ac:dyDescent="0.3">
      <c r="A65" s="1">
        <v>3014</v>
      </c>
      <c r="B65" s="8" t="s">
        <v>269</v>
      </c>
      <c r="C65" s="12">
        <v>9990121666</v>
      </c>
      <c r="D65" s="10" t="s">
        <v>270</v>
      </c>
      <c r="E65" s="10" t="s">
        <v>271</v>
      </c>
      <c r="F65" s="10" t="s">
        <v>17</v>
      </c>
      <c r="G65" s="11" t="s">
        <v>18</v>
      </c>
      <c r="H65" s="12">
        <v>1600</v>
      </c>
      <c r="I65" s="12">
        <v>200</v>
      </c>
      <c r="J65" s="10" t="s">
        <v>144</v>
      </c>
      <c r="K65" s="10" t="s">
        <v>273</v>
      </c>
      <c r="L65" s="12"/>
      <c r="M65" s="12"/>
      <c r="N65" s="14" t="s">
        <v>33</v>
      </c>
      <c r="O65" s="35" t="str">
        <f>VLOOKUP(A65,'[1]04-07-26'!$A$2:$T$121,20,0)</f>
        <v>P Spray Daisy ( 14 Inch ) 2     FF Sachet + Grass</v>
      </c>
      <c r="P65" s="35" t="str">
        <f>VLOOKUP(A65,'[1]11-07-26'!$A$2:$T$125,20,0)</f>
        <v>Pur n P Car ( 14 Inch ) 7     FF Sachet + Grass</v>
      </c>
      <c r="Q65" s="35" t="str">
        <f>VLOOKUP(A65,'[1]18-07-26'!$A$2:$T$132,20,0)</f>
        <v>Sunflower ( 12 Inch ) 2     FF sachet + Grass</v>
      </c>
      <c r="R65" s="35" t="str">
        <f>VLOOKUP(A65,'[1]25-07-26'!$A$2:$T$114,20,0)</f>
        <v>P Spray Daisy ( 14 Inch ) 2     FF Sachet + Grass</v>
      </c>
      <c r="S65" s="35" t="str">
        <f>VLOOKUP(A65,'[2]01-08-26'!$A$2:$T$118,20,0)</f>
        <v>Sunflower ( 12 Inch ) 2     FF Sachet + Grass</v>
      </c>
      <c r="T65" s="35" t="s">
        <v>463</v>
      </c>
      <c r="U65" s="35">
        <v>2</v>
      </c>
      <c r="V65" s="35"/>
      <c r="W65" s="35"/>
      <c r="X65" s="35"/>
      <c r="Y65" s="35"/>
      <c r="Z65" s="35" t="s">
        <v>467</v>
      </c>
      <c r="AA65" s="35"/>
      <c r="AB65" s="35"/>
      <c r="AC65" s="35"/>
      <c r="AD65" s="35"/>
    </row>
    <row r="66" spans="1:30" ht="121.6" hidden="1" customHeight="1" x14ac:dyDescent="0.3">
      <c r="A66" s="1">
        <v>59</v>
      </c>
      <c r="B66" s="8" t="s">
        <v>274</v>
      </c>
      <c r="C66" s="1">
        <v>9871370096</v>
      </c>
      <c r="D66" s="1" t="s">
        <v>275</v>
      </c>
      <c r="E66" s="13" t="s">
        <v>73</v>
      </c>
      <c r="F66" s="13" t="s">
        <v>17</v>
      </c>
      <c r="G66" s="11" t="s">
        <v>18</v>
      </c>
      <c r="H66" s="12">
        <v>1450</v>
      </c>
      <c r="I66" s="12">
        <v>362.5</v>
      </c>
      <c r="J66" s="29" t="s">
        <v>19</v>
      </c>
      <c r="K66" s="13" t="s">
        <v>276</v>
      </c>
      <c r="L66" s="12"/>
      <c r="M66" s="12"/>
      <c r="N66" s="14" t="s">
        <v>246</v>
      </c>
      <c r="O66" s="35" t="str">
        <f>VLOOKUP(A66,'[1]04-07-26'!$A$2:$T$121,20,0)</f>
        <v>Sunflower ( 12 Inch ) 4     FF Sachet + Grass</v>
      </c>
      <c r="P66" s="35" t="str">
        <f>VLOOKUP(A66,'[1]11-07-26'!$A$2:$T$125,20,0)</f>
        <v>Rajni ( 14 Inch ) 16    Ensure Collection Grass</v>
      </c>
      <c r="Q66" s="35" t="str">
        <f>VLOOKUP(A66,'[1]18-07-26'!$A$2:$T$132,20,0)</f>
        <v>O Asiatic ( 14 Inch ) 3     Grass</v>
      </c>
      <c r="R66" s="35" t="str">
        <f>VLOOKUP(A66,'[1]25-07-26'!$A$2:$T$114,20,0)</f>
        <v>Mix Alstroemeria ( 12 Inch ) 16     FF Sachet + Grass</v>
      </c>
      <c r="S66" s="35" t="str">
        <f>VLOOKUP(A66,'[2]01-08-26'!$A$2:$T$118,20,0)</f>
        <v>Mix Glad ( 14 Inch ) 16     Grass</v>
      </c>
      <c r="T66" s="35" t="s">
        <v>480</v>
      </c>
      <c r="U66" s="35">
        <v>16</v>
      </c>
      <c r="V66" s="35"/>
      <c r="W66" s="35"/>
      <c r="X66" s="35"/>
      <c r="Y66" s="35"/>
      <c r="Z66" s="35" t="s">
        <v>467</v>
      </c>
      <c r="AA66" s="35"/>
      <c r="AB66" s="35"/>
      <c r="AC66" s="35"/>
      <c r="AD66" s="35"/>
    </row>
    <row r="67" spans="1:30" ht="121.6" hidden="1" customHeight="1" x14ac:dyDescent="0.3">
      <c r="A67" s="1">
        <v>2849</v>
      </c>
      <c r="B67" s="8" t="s">
        <v>277</v>
      </c>
      <c r="C67" s="12">
        <v>9810002910</v>
      </c>
      <c r="D67" s="10" t="s">
        <v>278</v>
      </c>
      <c r="E67" s="10" t="s">
        <v>16</v>
      </c>
      <c r="F67" s="10" t="s">
        <v>17</v>
      </c>
      <c r="G67" s="30" t="s">
        <v>279</v>
      </c>
      <c r="H67" s="12">
        <v>1450</v>
      </c>
      <c r="I67" s="12">
        <v>362.5</v>
      </c>
      <c r="J67" s="29" t="s">
        <v>19</v>
      </c>
      <c r="K67" s="10" t="s">
        <v>280</v>
      </c>
      <c r="L67" s="12" t="s">
        <v>281</v>
      </c>
      <c r="M67" s="12"/>
      <c r="N67" s="14" t="s">
        <v>282</v>
      </c>
      <c r="O67" s="35" t="str">
        <f>VLOOKUP(A67,'[1]04-07-26'!$A$2:$T$121,20,0)</f>
        <v>O Asiatic ( 14 Inch ) 3     Grass</v>
      </c>
      <c r="P67" s="35" t="str">
        <f>VLOOKUP(A67,'[1]11-07-26'!$A$2:$T$125,20,0)</f>
        <v>Mix Alstroemeria ( 12 Inch ) 16     FF sachet + Car</v>
      </c>
      <c r="Q67" s="35" t="str">
        <f>VLOOKUP(A67,'[1]18-07-26'!$A$2:$T$132,20,0)</f>
        <v>Mix Glad ( 14 Inch ) 16     Grass</v>
      </c>
      <c r="R67" s="35" t="str">
        <f>VLOOKUP(A67,'[1]25-07-26'!$A$2:$T$114,20,0)</f>
        <v>P Eustoma ( 12 Inch ) 3     FF Sachet + Grass</v>
      </c>
      <c r="S67" s="35" t="str">
        <f>VLOOKUP(A67,'[2]01-08-26'!$A$2:$T$118,20,0)</f>
        <v>R n Shaded Pur Car ( 14 Inch ) 16     FF Sachet + Grass</v>
      </c>
      <c r="T67" s="35" t="s">
        <v>481</v>
      </c>
      <c r="U67" s="35">
        <v>5</v>
      </c>
      <c r="V67" s="35"/>
      <c r="W67" s="35"/>
      <c r="X67" s="35"/>
      <c r="Y67" s="35"/>
      <c r="Z67" s="35" t="s">
        <v>467</v>
      </c>
      <c r="AA67" s="35"/>
      <c r="AB67" s="35"/>
      <c r="AC67" s="35"/>
      <c r="AD67" s="35"/>
    </row>
    <row r="68" spans="1:30" ht="121.6" hidden="1" customHeight="1" x14ac:dyDescent="0.3">
      <c r="A68" s="1">
        <v>3345</v>
      </c>
      <c r="B68" s="8" t="s">
        <v>283</v>
      </c>
      <c r="C68" s="12">
        <v>8879005210</v>
      </c>
      <c r="D68" s="10" t="s">
        <v>284</v>
      </c>
      <c r="E68" s="10" t="s">
        <v>53</v>
      </c>
      <c r="F68" s="10" t="s">
        <v>17</v>
      </c>
      <c r="G68" s="11" t="s">
        <v>18</v>
      </c>
      <c r="H68" s="12">
        <v>2750</v>
      </c>
      <c r="I68" s="12">
        <v>687.5</v>
      </c>
      <c r="J68" s="13" t="s">
        <v>48</v>
      </c>
      <c r="K68" s="10" t="s">
        <v>285</v>
      </c>
      <c r="L68" s="12"/>
      <c r="M68" s="12"/>
      <c r="N68" s="14" t="s">
        <v>257</v>
      </c>
      <c r="O68" s="35" t="str">
        <f>VLOOKUP(A68,'[1]04-07-26'!$A$2:$T$121,20,0)</f>
        <v xml:space="preserve">Mix Alstroemeria ( 12 Inch ) 32     2 Gypsola + FF Sachet </v>
      </c>
      <c r="P68" s="35" t="str">
        <f>VLOOKUP(A68,'[1]11-07-26'!$A$2:$T$125,20,0)</f>
        <v>Rajni ( 14 Inch ) 32    Ensure Collection 2 Gypsola</v>
      </c>
      <c r="Q68" s="35" t="str">
        <f>VLOOKUP(A68,'[1]18-07-26'!$A$2:$T$132,20,0)</f>
        <v>O Asiatic ( 14 Inch ) 6     Grass</v>
      </c>
      <c r="R68" s="35" t="str">
        <f>VLOOKUP(A68,'[1]25-07-26'!$A$2:$T$114,20,0)</f>
        <v>R n W Car ( 14 Inch ) 32     FF Sachet + Grass</v>
      </c>
      <c r="S68" s="35" t="str">
        <f>VLOOKUP(A68,'[2]01-08-26'!$A$2:$T$118,20,0)</f>
        <v>P n Y Spray Daisy ( 14 Inch ) 10     FF Sachet + Grass</v>
      </c>
      <c r="T68" s="35" t="s">
        <v>464</v>
      </c>
      <c r="U68" s="35">
        <v>10</v>
      </c>
      <c r="V68" s="35"/>
      <c r="W68" s="35"/>
      <c r="X68" s="35"/>
      <c r="Y68" s="35"/>
      <c r="Z68" s="35" t="s">
        <v>467</v>
      </c>
      <c r="AA68" s="35"/>
      <c r="AB68" s="35"/>
      <c r="AC68" s="35"/>
      <c r="AD68" s="35"/>
    </row>
    <row r="69" spans="1:30" ht="121.6" hidden="1" customHeight="1" x14ac:dyDescent="0.3">
      <c r="A69" s="1">
        <v>249</v>
      </c>
      <c r="B69" s="8" t="s">
        <v>286</v>
      </c>
      <c r="C69" s="20">
        <v>9810655365</v>
      </c>
      <c r="D69" s="1" t="s">
        <v>287</v>
      </c>
      <c r="E69" s="13" t="s">
        <v>73</v>
      </c>
      <c r="F69" s="13" t="s">
        <v>17</v>
      </c>
      <c r="G69" s="21" t="s">
        <v>29</v>
      </c>
      <c r="H69" s="12">
        <v>1450</v>
      </c>
      <c r="I69" s="12">
        <v>362.5</v>
      </c>
      <c r="J69" s="13" t="s">
        <v>19</v>
      </c>
      <c r="K69" s="13" t="s">
        <v>288</v>
      </c>
      <c r="L69" s="10" t="s">
        <v>289</v>
      </c>
      <c r="M69" s="12"/>
      <c r="N69" s="14" t="s">
        <v>50</v>
      </c>
      <c r="O69" s="35" t="str">
        <f>VLOOKUP(A69,'[1]04-07-26'!$A$2:$T$121,20,0)</f>
        <v>P Asiatic ( 14 Inch ) 3     Grass</v>
      </c>
      <c r="P69" s="35" t="str">
        <f>VLOOKUP(A69,'[1]11-07-26'!$A$2:$T$125,20,0)</f>
        <v>R n W Car ( 14 Inch ) 16     FF sachet + Car</v>
      </c>
      <c r="Q69" s="35" t="str">
        <f>VLOOKUP(A69,'[1]18-07-26'!$A$2:$T$132,20,0)</f>
        <v>P n Y Spray Daisy ( 14 Inch ) 5     FF Sachet + Grass</v>
      </c>
      <c r="R69" s="35" t="str">
        <f>VLOOKUP(A69,'[1]25-07-26'!$A$2:$T$114,20,0)</f>
        <v>O Alstroemeria ( 12 Inch ) 16     FF Sachet + Grass</v>
      </c>
      <c r="S69" s="35" t="str">
        <f>VLOOKUP(A69,'[2]01-08-26'!$A$2:$T$118,20,0)</f>
        <v>Mix Glad ( 14 Inch ) 16     Grass</v>
      </c>
      <c r="T69" s="35" t="s">
        <v>460</v>
      </c>
      <c r="U69" s="35">
        <v>3</v>
      </c>
      <c r="V69" s="35"/>
      <c r="W69" s="35"/>
      <c r="X69" s="35"/>
      <c r="Y69" s="35"/>
      <c r="Z69" s="35" t="s">
        <v>468</v>
      </c>
      <c r="AA69" s="35"/>
      <c r="AB69" s="35"/>
      <c r="AC69" s="35"/>
      <c r="AD69" s="35"/>
    </row>
    <row r="70" spans="1:30" ht="121.6" hidden="1" customHeight="1" x14ac:dyDescent="0.3">
      <c r="A70" s="1">
        <v>2390</v>
      </c>
      <c r="B70" s="8" t="s">
        <v>290</v>
      </c>
      <c r="C70" s="9">
        <v>9801727902</v>
      </c>
      <c r="D70" s="10" t="s">
        <v>291</v>
      </c>
      <c r="E70" s="10" t="s">
        <v>40</v>
      </c>
      <c r="F70" s="10" t="s">
        <v>17</v>
      </c>
      <c r="G70" s="11" t="s">
        <v>63</v>
      </c>
      <c r="H70" s="10">
        <v>1450</v>
      </c>
      <c r="I70" s="12">
        <v>362.5</v>
      </c>
      <c r="J70" s="13" t="s">
        <v>19</v>
      </c>
      <c r="K70" s="10" t="s">
        <v>292</v>
      </c>
      <c r="L70" s="12"/>
      <c r="M70" s="12"/>
      <c r="N70" s="14" t="s">
        <v>475</v>
      </c>
      <c r="O70" s="35" t="str">
        <f>VLOOKUP(A70,'[1]04-07-26'!$A$2:$T$121,20,0)</f>
        <v>P n W Glad ( 14 Inch ) 16     Grass</v>
      </c>
      <c r="P70" s="35" t="str">
        <f>VLOOKUP(A70,'[1]11-07-26'!$A$2:$T$125,20,0)</f>
        <v>P n Y Spray Daisy ( 14 Inch ) 5     FF sachet + Car</v>
      </c>
      <c r="Q70" s="35" t="str">
        <f>VLOOKUP(A70,'[1]18-07-26'!$A$2:$T$132,20,0)</f>
        <v>G n W Car ( 14 Inch ) 16     FF Sachet + Grass</v>
      </c>
      <c r="R70" s="35" t="str">
        <f>VLOOKUP(A70,'[1]25-07-26'!$A$2:$T$114,20,0)</f>
        <v>Mix Alstroemeria ( 12 Inch ) 16     FF Sachet + Grass</v>
      </c>
      <c r="S70" s="35" t="str">
        <f>VLOOKUP(A70,'[2]01-08-26'!$A$2:$T$118,20,0)</f>
        <v>W Asiatic ( 14 Inch ) 3     Grass</v>
      </c>
      <c r="T70" s="35" t="s">
        <v>461</v>
      </c>
      <c r="U70" s="35">
        <v>16</v>
      </c>
      <c r="V70" s="35"/>
      <c r="W70" s="35"/>
      <c r="X70" s="35"/>
      <c r="Y70" s="35"/>
      <c r="Z70" s="35" t="s">
        <v>468</v>
      </c>
      <c r="AA70" s="35"/>
      <c r="AB70" s="35"/>
      <c r="AC70" s="35"/>
      <c r="AD70" s="35"/>
    </row>
    <row r="71" spans="1:30" ht="121.6" hidden="1" customHeight="1" x14ac:dyDescent="0.3">
      <c r="A71" s="1">
        <v>3375</v>
      </c>
      <c r="B71" s="8" t="s">
        <v>293</v>
      </c>
      <c r="C71" s="12">
        <v>9810955188</v>
      </c>
      <c r="D71" s="10" t="s">
        <v>294</v>
      </c>
      <c r="E71" s="10" t="s">
        <v>73</v>
      </c>
      <c r="F71" s="10" t="s">
        <v>17</v>
      </c>
      <c r="G71" s="16" t="s">
        <v>29</v>
      </c>
      <c r="H71" s="12">
        <v>1950</v>
      </c>
      <c r="I71" s="12">
        <v>487.5</v>
      </c>
      <c r="J71" s="13" t="s">
        <v>86</v>
      </c>
      <c r="K71" s="10" t="s">
        <v>295</v>
      </c>
      <c r="L71" s="12"/>
      <c r="M71" s="12"/>
      <c r="N71" s="14" t="s">
        <v>296</v>
      </c>
      <c r="O71" s="35" t="str">
        <f>VLOOKUP(A71,'[1]04-07-26'!$A$2:$T$121,20,0)</f>
        <v>B Orchid  7     FF Sachet + Grass</v>
      </c>
      <c r="P71" s="35" t="str">
        <f>VLOOKUP(A71,'[1]11-07-26'!$A$2:$T$125,20,0)</f>
        <v>Rajni ( 14 Inch ) 22     Grass</v>
      </c>
      <c r="Q71" s="35" t="str">
        <f>VLOOKUP(A71,'[1]18-07-26'!$A$2:$T$132,20,0)</f>
        <v>O Asiatic ( 14 Inch ) 4     Grass</v>
      </c>
      <c r="R71" s="35" t="str">
        <f>VLOOKUP(A71,'[1]25-07-26'!$A$2:$T$114,20,0)</f>
        <v>P n W Car ( 14 Inch ) 22     FF Sachet + Grass</v>
      </c>
      <c r="S71" s="35" t="e">
        <f>VLOOKUP(A71,'[2]01-08-26'!$A$2:$T$118,20,0)</f>
        <v>#N/A</v>
      </c>
      <c r="T71" s="35" t="s">
        <v>549</v>
      </c>
      <c r="U71" s="35">
        <v>7</v>
      </c>
      <c r="V71" s="35"/>
      <c r="W71" s="35"/>
      <c r="X71" s="35"/>
      <c r="Y71" s="35"/>
      <c r="Z71" s="35" t="s">
        <v>467</v>
      </c>
      <c r="AA71" s="35"/>
      <c r="AB71" s="35"/>
      <c r="AC71" s="35"/>
      <c r="AD71" s="35"/>
    </row>
    <row r="72" spans="1:30" ht="121.6" hidden="1" customHeight="1" x14ac:dyDescent="0.3">
      <c r="A72" s="1">
        <v>328</v>
      </c>
      <c r="B72" s="8" t="s">
        <v>297</v>
      </c>
      <c r="C72" s="1">
        <v>9013605782</v>
      </c>
      <c r="D72" s="13" t="s">
        <v>298</v>
      </c>
      <c r="E72" s="13" t="s">
        <v>40</v>
      </c>
      <c r="F72" s="13" t="s">
        <v>17</v>
      </c>
      <c r="G72" s="11" t="s">
        <v>18</v>
      </c>
      <c r="H72" s="12">
        <v>1450</v>
      </c>
      <c r="I72" s="12">
        <v>362.5</v>
      </c>
      <c r="J72" s="10" t="s">
        <v>19</v>
      </c>
      <c r="K72" s="13" t="s">
        <v>299</v>
      </c>
      <c r="L72" s="10" t="s">
        <v>300</v>
      </c>
      <c r="M72" s="12"/>
      <c r="N72" s="14" t="s">
        <v>50</v>
      </c>
      <c r="O72" s="35" t="str">
        <f>VLOOKUP(A72,'[1]04-07-26'!$A$2:$T$121,20,0)</f>
        <v>P Asiatic ( 14 Inch ) 3     FF Sachet + Grass</v>
      </c>
      <c r="P72" s="35" t="str">
        <f>VLOOKUP(A72,'[1]11-07-26'!$A$2:$T$125,20,0)</f>
        <v>R n W Car ( 14 Inch ) 16     FF sachet + Car</v>
      </c>
      <c r="Q72" s="35" t="str">
        <f>VLOOKUP(A72,'[1]18-07-26'!$A$2:$T$132,20,0)</f>
        <v>P n Y Spray Daisy ( 14 Inch ) 5     FF Sachet + Grass</v>
      </c>
      <c r="R72" s="35" t="str">
        <f>VLOOKUP(A72,'[1]25-07-26'!$A$2:$T$114,20,0)</f>
        <v xml:space="preserve">O Glad ( 14 Inch ) 16     </v>
      </c>
      <c r="S72" s="35" t="str">
        <f>VLOOKUP(A72,'[2]01-08-26'!$A$2:$T$118,20,0)</f>
        <v>Mix Alstroemeria ( 12 Inch ) 16     FF Sachet + Grass</v>
      </c>
      <c r="T72" s="35" t="s">
        <v>460</v>
      </c>
      <c r="U72" s="35">
        <v>3</v>
      </c>
      <c r="V72" s="35"/>
      <c r="W72" s="35"/>
      <c r="X72" s="35"/>
      <c r="Y72" s="35"/>
      <c r="Z72" s="35" t="s">
        <v>468</v>
      </c>
      <c r="AA72" s="35"/>
      <c r="AB72" s="35"/>
      <c r="AC72" s="35"/>
      <c r="AD72" s="35"/>
    </row>
    <row r="73" spans="1:30" ht="121.6" hidden="1" customHeight="1" x14ac:dyDescent="0.3">
      <c r="A73" s="1">
        <v>1063</v>
      </c>
      <c r="B73" s="8" t="s">
        <v>301</v>
      </c>
      <c r="C73" s="12">
        <v>9899457726</v>
      </c>
      <c r="D73" s="10" t="s">
        <v>302</v>
      </c>
      <c r="E73" s="10" t="s">
        <v>40</v>
      </c>
      <c r="F73" s="10" t="s">
        <v>17</v>
      </c>
      <c r="G73" s="11" t="s">
        <v>63</v>
      </c>
      <c r="H73" s="12">
        <v>1600</v>
      </c>
      <c r="I73" s="12">
        <v>200</v>
      </c>
      <c r="J73" s="10" t="s">
        <v>144</v>
      </c>
      <c r="K73" s="10" t="s">
        <v>303</v>
      </c>
      <c r="L73" s="12"/>
      <c r="M73" s="12"/>
      <c r="N73" s="14" t="s">
        <v>458</v>
      </c>
      <c r="O73" s="35" t="str">
        <f>VLOOKUP(A73,'[1]04-07-26'!$A$2:$T$121,20,0)</f>
        <v>Pur n P Car ( 14 Inch ) 7     FF Sachet + Grass</v>
      </c>
      <c r="P73" s="35" t="str">
        <f>VLOOKUP(A73,'[1]11-07-26'!$A$2:$T$125,20,0)</f>
        <v>Rajni ( 14 Inch ) 7     Grass</v>
      </c>
      <c r="Q73" s="35" t="str">
        <f>VLOOKUP(A73,'[1]18-07-26'!$A$2:$T$132,20,0)</f>
        <v>Mix Glad ( 14 Inch ) 7     Grass</v>
      </c>
      <c r="R73" s="35" t="str">
        <f>VLOOKUP(A73,'[1]25-07-26'!$A$2:$T$114,20,0)</f>
        <v>Sunflower ( 12 Inch ) 2     FF Sachet + Grass</v>
      </c>
      <c r="S73" s="35" t="str">
        <f>VLOOKUP(A73,'[2]01-08-26'!$A$2:$T$118,20,0)</f>
        <v>Rajni ( 14 Inch ) 7     Grass</v>
      </c>
      <c r="T73" s="35" t="s">
        <v>461</v>
      </c>
      <c r="U73" s="35">
        <v>7</v>
      </c>
      <c r="V73" s="35"/>
      <c r="W73" s="35"/>
      <c r="X73" s="35"/>
      <c r="Y73" s="35"/>
      <c r="Z73" s="35" t="s">
        <v>468</v>
      </c>
      <c r="AA73" s="35"/>
      <c r="AB73" s="35"/>
      <c r="AC73" s="35"/>
      <c r="AD73" s="35"/>
    </row>
    <row r="74" spans="1:30" ht="121.6" hidden="1" customHeight="1" x14ac:dyDescent="0.3">
      <c r="A74" s="1">
        <v>3318</v>
      </c>
      <c r="B74" s="8" t="s">
        <v>304</v>
      </c>
      <c r="C74" s="12">
        <v>9654607568</v>
      </c>
      <c r="D74" s="10" t="s">
        <v>305</v>
      </c>
      <c r="E74" s="10" t="s">
        <v>44</v>
      </c>
      <c r="F74" s="10" t="s">
        <v>17</v>
      </c>
      <c r="G74" s="10" t="s">
        <v>67</v>
      </c>
      <c r="H74" s="12">
        <v>1950</v>
      </c>
      <c r="I74" s="12">
        <v>487.5</v>
      </c>
      <c r="J74" s="10" t="s">
        <v>86</v>
      </c>
      <c r="K74" s="10" t="s">
        <v>306</v>
      </c>
      <c r="L74" s="10" t="s">
        <v>307</v>
      </c>
      <c r="M74" s="12"/>
      <c r="N74" s="14" t="s">
        <v>50</v>
      </c>
      <c r="O74" s="35" t="e">
        <f>VLOOKUP(A74,'[1]04-07-26'!$A$2:$T$121,20,0)</f>
        <v>#N/A</v>
      </c>
      <c r="P74" s="35" t="str">
        <f>VLOOKUP(A74,'[1]11-07-26'!$A$2:$T$125,20,0)</f>
        <v>P n W Glad ( 14 Inch ) 22     Grass</v>
      </c>
      <c r="Q74" s="35" t="str">
        <f>VLOOKUP(A74,'[1]18-07-26'!$A$2:$T$132,20,0)</f>
        <v>G n W Car ( 14 Inch ) 22     FF Sachet + Grass</v>
      </c>
      <c r="R74" s="35" t="str">
        <f>VLOOKUP(A74,'[1]25-07-26'!$A$2:$T$114,20,0)</f>
        <v>Pur n P Eustoma ( 12 Inch ) 4     FF Sachet + Grass</v>
      </c>
      <c r="S74" s="35" t="str">
        <f>VLOOKUP(A74,'[2]01-08-26'!$A$2:$T$118,20,0)</f>
        <v>P n W Spray Daisy ( 14 Inch ) 7     FF Sachet + Grass</v>
      </c>
      <c r="T74" s="35" t="s">
        <v>459</v>
      </c>
      <c r="U74" s="35">
        <v>22</v>
      </c>
      <c r="V74" s="35"/>
      <c r="W74" s="35"/>
      <c r="X74" s="35"/>
      <c r="Y74" s="35"/>
      <c r="Z74" s="35" t="s">
        <v>467</v>
      </c>
      <c r="AA74" s="35"/>
      <c r="AB74" s="35"/>
      <c r="AC74" s="35"/>
      <c r="AD74" s="35"/>
    </row>
    <row r="75" spans="1:30" ht="121.6" hidden="1" customHeight="1" x14ac:dyDescent="0.3">
      <c r="A75" s="1">
        <v>993</v>
      </c>
      <c r="B75" s="8" t="s">
        <v>308</v>
      </c>
      <c r="C75" s="12">
        <v>8527962021</v>
      </c>
      <c r="D75" s="10" t="s">
        <v>309</v>
      </c>
      <c r="E75" s="10" t="s">
        <v>44</v>
      </c>
      <c r="F75" s="10" t="s">
        <v>149</v>
      </c>
      <c r="G75" s="10" t="s">
        <v>63</v>
      </c>
      <c r="H75" s="12">
        <v>2300</v>
      </c>
      <c r="I75" s="12">
        <v>287.5</v>
      </c>
      <c r="J75" s="10" t="s">
        <v>80</v>
      </c>
      <c r="K75" s="10" t="s">
        <v>310</v>
      </c>
      <c r="L75" s="10" t="s">
        <v>311</v>
      </c>
      <c r="M75" s="12"/>
      <c r="N75" s="14" t="s">
        <v>33</v>
      </c>
      <c r="O75" s="35" t="str">
        <f>VLOOKUP(A75,'[1]04-07-26'!$A$2:$T$121,20,0)</f>
        <v>O Asiatic ( 14 Inch ) 2     Grass</v>
      </c>
      <c r="P75" s="35" t="str">
        <f>VLOOKUP(A75,'[1]11-07-26'!$A$2:$T$125,20,0)</f>
        <v>P n W Glad ( 14 Inch ) 11     Grass</v>
      </c>
      <c r="Q75" s="35" t="str">
        <f>VLOOKUP(A75,'[1]18-07-26'!$A$2:$T$132,20,0)</f>
        <v>G n W Car ( 14 Inch ) 11     FF sachet + Grass</v>
      </c>
      <c r="R75" s="35" t="str">
        <f>VLOOKUP(A75,'[1]25-07-26'!$A$2:$T$114,20,0)</f>
        <v>Sunflower ( 12 Inch ) 3     FF Sachet + Grass</v>
      </c>
      <c r="S75" s="35" t="str">
        <f>VLOOKUP(A75,'[2]01-08-26'!$A$2:$T$118,20,0)</f>
        <v>Mix Alstroemeria ( 12 Inch ) 11     FF Sachet + Grass</v>
      </c>
      <c r="T75" s="35" t="s">
        <v>464</v>
      </c>
      <c r="U75" s="35">
        <v>4</v>
      </c>
      <c r="V75" s="35"/>
      <c r="W75" s="35"/>
      <c r="X75" s="35"/>
      <c r="Y75" s="35"/>
      <c r="Z75" s="35" t="s">
        <v>467</v>
      </c>
      <c r="AA75" s="35"/>
      <c r="AB75" s="35"/>
      <c r="AC75" s="35"/>
      <c r="AD75" s="35"/>
    </row>
    <row r="76" spans="1:30" ht="121.6" hidden="1" customHeight="1" x14ac:dyDescent="0.3">
      <c r="A76" s="1">
        <v>3287</v>
      </c>
      <c r="B76" s="8" t="s">
        <v>312</v>
      </c>
      <c r="C76" s="12">
        <v>8527399445</v>
      </c>
      <c r="D76" s="10" t="s">
        <v>313</v>
      </c>
      <c r="E76" s="10" t="s">
        <v>53</v>
      </c>
      <c r="F76" s="10" t="s">
        <v>17</v>
      </c>
      <c r="G76" s="10" t="s">
        <v>79</v>
      </c>
      <c r="H76" s="12">
        <v>1950</v>
      </c>
      <c r="I76" s="12">
        <v>487.5</v>
      </c>
      <c r="J76" s="10" t="s">
        <v>86</v>
      </c>
      <c r="K76" s="10" t="s">
        <v>314</v>
      </c>
      <c r="L76" s="10" t="s">
        <v>315</v>
      </c>
      <c r="M76" s="12"/>
      <c r="N76" s="14" t="s">
        <v>316</v>
      </c>
      <c r="O76" s="35" t="str">
        <f>VLOOKUP(A76,'[1]04-07-26'!$A$2:$T$121,20,0)</f>
        <v>B Orchid  7     FF Sachet + Grass</v>
      </c>
      <c r="P76" s="35" t="str">
        <f>VLOOKUP(A76,'[1]11-07-26'!$A$2:$T$125,20,0)</f>
        <v>Rajni ( 14 Inch ) 22     Grass</v>
      </c>
      <c r="Q76" s="35" t="str">
        <f>VLOOKUP(A76,'[1]18-07-26'!$A$2:$T$132,20,0)</f>
        <v>P n Y Spray Daisy ( 14 Inch ) 7     FF Sachet + Grass</v>
      </c>
      <c r="R76" s="35" t="str">
        <f>VLOOKUP(A76,'[1]25-07-26'!$A$2:$T$114,20,0)</f>
        <v>O Asiatic ( 14 Inch ) 4     Grass</v>
      </c>
      <c r="S76" s="35" t="str">
        <f>VLOOKUP(A76,'[2]01-08-26'!$A$2:$T$118,20,0)</f>
        <v>Pur n P Eustoma 4     FF Sachet + Grass</v>
      </c>
      <c r="T76" s="35" t="s">
        <v>480</v>
      </c>
      <c r="U76" s="35">
        <v>22</v>
      </c>
      <c r="V76" s="35"/>
      <c r="W76" s="35"/>
      <c r="X76" s="35"/>
      <c r="Y76" s="35"/>
      <c r="Z76" s="35" t="s">
        <v>467</v>
      </c>
      <c r="AA76" s="35"/>
      <c r="AB76" s="35"/>
      <c r="AC76" s="35"/>
      <c r="AD76" s="35"/>
    </row>
    <row r="77" spans="1:30" ht="121.6" hidden="1" customHeight="1" x14ac:dyDescent="0.3">
      <c r="A77" s="8">
        <v>2290</v>
      </c>
      <c r="B77" s="8" t="s">
        <v>317</v>
      </c>
      <c r="C77" s="13">
        <v>9910049708</v>
      </c>
      <c r="D77" s="12" t="s">
        <v>318</v>
      </c>
      <c r="E77" s="10" t="s">
        <v>16</v>
      </c>
      <c r="F77" s="12" t="s">
        <v>17</v>
      </c>
      <c r="G77" s="12" t="s">
        <v>18</v>
      </c>
      <c r="H77" s="12">
        <v>2300</v>
      </c>
      <c r="I77" s="12">
        <v>287.5</v>
      </c>
      <c r="J77" s="10" t="s">
        <v>80</v>
      </c>
      <c r="K77" s="10" t="s">
        <v>319</v>
      </c>
      <c r="L77" s="12" t="s">
        <v>320</v>
      </c>
      <c r="M77" s="12"/>
      <c r="N77" s="14" t="s">
        <v>476</v>
      </c>
      <c r="O77" s="35" t="e">
        <f>VLOOKUP(A77,'[1]04-07-26'!$A$2:$T$121,20,0)</f>
        <v>#N/A</v>
      </c>
      <c r="P77" s="35" t="e">
        <f>VLOOKUP(A77,'[1]11-07-26'!$A$2:$T$125,20,0)</f>
        <v>#N/A</v>
      </c>
      <c r="Q77" s="35" t="str">
        <f>VLOOKUP(A77,'[1]18-07-26'!$A$2:$T$132,20,0)</f>
        <v>G n W Car ( 14 Inch ) 11     FF sachet + Grass</v>
      </c>
      <c r="R77" s="35" t="str">
        <f>VLOOKUP(A77,'[1]25-07-26'!$A$2:$T$114,20,0)</f>
        <v>O Asiatic ( 14 Inch ) 2     Grass</v>
      </c>
      <c r="S77" s="35" t="str">
        <f>VLOOKUP(A77,'[2]01-08-26'!$A$2:$T$118,20,0)</f>
        <v>Y Spray Daisy ( 14 Inch ) 3     FF Sachet + Grass</v>
      </c>
      <c r="T77" s="35" t="s">
        <v>465</v>
      </c>
      <c r="U77" s="35">
        <v>11</v>
      </c>
      <c r="V77" s="35"/>
      <c r="W77" s="35"/>
      <c r="X77" s="35"/>
      <c r="Y77" s="35"/>
      <c r="Z77" s="35" t="s">
        <v>468</v>
      </c>
      <c r="AA77" s="35"/>
      <c r="AB77" s="35"/>
      <c r="AC77" s="35"/>
      <c r="AD77" s="35"/>
    </row>
    <row r="78" spans="1:30" ht="121.6" hidden="1" customHeight="1" x14ac:dyDescent="0.3">
      <c r="A78" s="1">
        <v>1248</v>
      </c>
      <c r="B78" s="8" t="s">
        <v>321</v>
      </c>
      <c r="C78" s="12">
        <v>9910062519</v>
      </c>
      <c r="D78" s="10" t="s">
        <v>322</v>
      </c>
      <c r="E78" s="10" t="s">
        <v>73</v>
      </c>
      <c r="F78" s="10" t="s">
        <v>17</v>
      </c>
      <c r="G78" s="16" t="s">
        <v>95</v>
      </c>
      <c r="H78" s="12">
        <v>1450</v>
      </c>
      <c r="I78" s="12">
        <v>362.5</v>
      </c>
      <c r="J78" s="13" t="s">
        <v>19</v>
      </c>
      <c r="K78" s="10" t="s">
        <v>323</v>
      </c>
      <c r="L78" s="12"/>
      <c r="M78" s="12"/>
      <c r="N78" s="14" t="s">
        <v>324</v>
      </c>
      <c r="O78" s="35" t="e">
        <f>VLOOKUP(A78,'[1]04-07-26'!$A$2:$T$121,20,0)</f>
        <v>#N/A</v>
      </c>
      <c r="P78" s="35" t="e">
        <f>VLOOKUP(A78,'[1]11-07-26'!$A$2:$T$125,20,0)</f>
        <v>#N/A</v>
      </c>
      <c r="Q78" s="35" t="e">
        <f>VLOOKUP(A78,'[1]18-07-26'!$A$2:$T$132,20,0)</f>
        <v>#N/A</v>
      </c>
      <c r="R78" s="35" t="e">
        <f>VLOOKUP(A78,'[1]25-07-26'!$A$2:$T$114,20,0)</f>
        <v>#N/A</v>
      </c>
      <c r="S78" s="35" t="e">
        <f>VLOOKUP(A78,'[2]01-08-26'!$A$2:$T$118,20,0)</f>
        <v>#N/A</v>
      </c>
      <c r="T78" s="35" t="s">
        <v>480</v>
      </c>
      <c r="U78" s="35">
        <v>16</v>
      </c>
      <c r="V78" s="35"/>
      <c r="W78" s="35"/>
      <c r="X78" s="35"/>
      <c r="Y78" s="35"/>
      <c r="Z78" s="35" t="s">
        <v>467</v>
      </c>
      <c r="AA78" s="35"/>
      <c r="AB78" s="35"/>
      <c r="AC78" s="35"/>
      <c r="AD78" s="35"/>
    </row>
    <row r="79" spans="1:30" ht="121.6" hidden="1" customHeight="1" x14ac:dyDescent="0.3">
      <c r="A79" s="1">
        <v>2247</v>
      </c>
      <c r="B79" s="8" t="s">
        <v>325</v>
      </c>
      <c r="C79" s="12">
        <v>9818862169</v>
      </c>
      <c r="D79" s="10" t="s">
        <v>326</v>
      </c>
      <c r="E79" s="10" t="s">
        <v>73</v>
      </c>
      <c r="F79" s="10" t="s">
        <v>17</v>
      </c>
      <c r="G79" s="11" t="s">
        <v>327</v>
      </c>
      <c r="H79" s="12">
        <v>2300</v>
      </c>
      <c r="I79" s="12">
        <v>287.5</v>
      </c>
      <c r="J79" s="10" t="s">
        <v>80</v>
      </c>
      <c r="K79" s="10" t="s">
        <v>328</v>
      </c>
      <c r="L79" s="10" t="s">
        <v>75</v>
      </c>
      <c r="M79" s="12"/>
      <c r="N79" s="14" t="s">
        <v>282</v>
      </c>
      <c r="O79" s="35" t="str">
        <f>VLOOKUP(A79,'[1]04-07-26'!$A$2:$T$121,20,0)</f>
        <v>Sunflower ( 12 Inch ) 3     FF Sachet + Grass</v>
      </c>
      <c r="P79" s="35" t="str">
        <f>VLOOKUP(A79,'[1]11-07-26'!$A$2:$T$125,20,0)</f>
        <v>Rajni ( 14 Inch ) 11     Grass</v>
      </c>
      <c r="Q79" s="35" t="str">
        <f>VLOOKUP(A79,'[1]18-07-26'!$A$2:$T$132,20,0)</f>
        <v>P Spray Daisy ( 14 Inch ) 3     FF sachet + Grass</v>
      </c>
      <c r="R79" s="35" t="str">
        <f>VLOOKUP(A79,'[1]25-07-26'!$A$2:$T$114,20,0)</f>
        <v>O Glad ( 14 Inch ) 11     Grass</v>
      </c>
      <c r="S79" s="35" t="str">
        <f>VLOOKUP(A79,'[2]01-08-26'!$A$2:$T$118,20,0)</f>
        <v>Sunflower ( 12 Inch ) 3 Pls Collect Rs 1150 Carry Receipt Book   FF Sachet + Grass</v>
      </c>
      <c r="T79" s="35" t="s">
        <v>465</v>
      </c>
      <c r="U79" s="35">
        <v>11</v>
      </c>
      <c r="V79" s="35"/>
      <c r="W79" s="35"/>
      <c r="X79" s="35"/>
      <c r="Y79" s="35"/>
      <c r="Z79" s="35" t="s">
        <v>468</v>
      </c>
      <c r="AA79" s="35"/>
      <c r="AB79" s="35"/>
      <c r="AC79" s="35"/>
      <c r="AD79" s="35"/>
    </row>
    <row r="80" spans="1:30" ht="121.6" hidden="1" customHeight="1" x14ac:dyDescent="0.3">
      <c r="A80" s="1">
        <v>3362</v>
      </c>
      <c r="B80" s="8" t="s">
        <v>330</v>
      </c>
      <c r="C80" s="12">
        <v>9811170495</v>
      </c>
      <c r="D80" s="10" t="s">
        <v>331</v>
      </c>
      <c r="E80" s="10" t="s">
        <v>16</v>
      </c>
      <c r="F80" s="10" t="s">
        <v>17</v>
      </c>
      <c r="G80" s="10" t="s">
        <v>63</v>
      </c>
      <c r="H80" s="12">
        <v>1450</v>
      </c>
      <c r="I80" s="12">
        <v>362.5</v>
      </c>
      <c r="J80" s="13" t="s">
        <v>19</v>
      </c>
      <c r="K80" s="10" t="s">
        <v>332</v>
      </c>
      <c r="L80" s="12"/>
      <c r="M80" s="12"/>
      <c r="N80" s="14" t="s">
        <v>333</v>
      </c>
      <c r="O80" s="35" t="str">
        <f>VLOOKUP(A80,'[1]04-07-26'!$A$2:$T$121,20,0)</f>
        <v>P n W Glad ( 14 Inch ) 16     Grass</v>
      </c>
      <c r="P80" s="35" t="str">
        <f>VLOOKUP(A80,'[1]11-07-26'!$A$2:$T$125,20,0)</f>
        <v>Sunflower ( 12 Inch ) 4     FF sachet + Car</v>
      </c>
      <c r="Q80" s="35" t="str">
        <f>VLOOKUP(A80,'[1]18-07-26'!$A$2:$T$132,20,0)</f>
        <v>Mix Alstroemeria ( 12 Inch ) 16     FF Sachet + Grass</v>
      </c>
      <c r="R80" s="35" t="str">
        <f>VLOOKUP(A80,'[1]25-07-26'!$A$2:$T$114,20,0)</f>
        <v>P n W Spray Daisy ( 14 Inch ) 5     FF Sachet + Grass</v>
      </c>
      <c r="S80" s="35" t="str">
        <f>VLOOKUP(A80,'[2]01-08-26'!$A$2:$T$118,20,0)</f>
        <v>O Asiatic ( 14 Inch ) 3     Grass</v>
      </c>
      <c r="T80" s="35" t="s">
        <v>480</v>
      </c>
      <c r="U80" s="35">
        <v>16</v>
      </c>
      <c r="V80" s="35"/>
      <c r="W80" s="35"/>
      <c r="X80" s="35"/>
      <c r="Y80" s="35"/>
      <c r="Z80" s="35" t="s">
        <v>467</v>
      </c>
      <c r="AA80" s="35"/>
      <c r="AB80" s="35"/>
      <c r="AC80" s="35"/>
      <c r="AD80" s="35"/>
    </row>
    <row r="81" spans="1:30" ht="121.6" hidden="1" customHeight="1" x14ac:dyDescent="0.3">
      <c r="A81" s="1">
        <v>386</v>
      </c>
      <c r="B81" s="8" t="s">
        <v>334</v>
      </c>
      <c r="C81" s="1">
        <v>8860075639</v>
      </c>
      <c r="D81" s="13" t="s">
        <v>335</v>
      </c>
      <c r="E81" s="10" t="s">
        <v>53</v>
      </c>
      <c r="F81" s="13" t="s">
        <v>17</v>
      </c>
      <c r="G81" s="21" t="s">
        <v>336</v>
      </c>
      <c r="H81" s="10">
        <v>1450</v>
      </c>
      <c r="I81" s="12">
        <v>362.5</v>
      </c>
      <c r="J81" s="10" t="s">
        <v>19</v>
      </c>
      <c r="K81" s="13" t="s">
        <v>337</v>
      </c>
      <c r="L81" s="12"/>
      <c r="M81" s="12"/>
      <c r="N81" s="14" t="s">
        <v>296</v>
      </c>
      <c r="O81" s="35" t="str">
        <f>VLOOKUP(A81,'[1]04-07-26'!$A$2:$T$121,20,0)</f>
        <v>Pur n P Car ( 14 Inch ) 16     FF Sachet + Grass</v>
      </c>
      <c r="P81" s="35" t="str">
        <f>VLOOKUP(A81,'[1]11-07-26'!$A$2:$T$125,20,0)</f>
        <v>Rajni ( 14 Inch ) 16     Grass</v>
      </c>
      <c r="Q81" s="35" t="str">
        <f>VLOOKUP(A81,'[1]18-07-26'!$A$2:$T$132,20,0)</f>
        <v>O Asiatic ( 14 Inch ) 3     Grass</v>
      </c>
      <c r="R81" s="35" t="str">
        <f>VLOOKUP(A81,'[1]25-07-26'!$A$2:$T$114,20,0)</f>
        <v>O Alstroemeria ( 12 Inch ) 16     FF Sachet + Grass</v>
      </c>
      <c r="S81" s="35" t="str">
        <f>VLOOKUP(A81,'[2]01-08-26'!$A$2:$T$118,20,0)</f>
        <v>Mix Glad ( 14 Inch ) 16     Grass</v>
      </c>
      <c r="T81" s="35" t="s">
        <v>479</v>
      </c>
      <c r="U81" s="35">
        <v>5</v>
      </c>
      <c r="V81" s="35"/>
      <c r="W81" s="35"/>
      <c r="X81" s="35"/>
      <c r="Y81" s="35"/>
      <c r="Z81" s="35" t="s">
        <v>467</v>
      </c>
      <c r="AA81" s="35"/>
      <c r="AB81" s="35"/>
      <c r="AC81" s="35"/>
      <c r="AD81" s="35"/>
    </row>
    <row r="82" spans="1:30" ht="121.6" hidden="1" customHeight="1" x14ac:dyDescent="0.3">
      <c r="A82" s="1">
        <v>975</v>
      </c>
      <c r="B82" s="8" t="s">
        <v>338</v>
      </c>
      <c r="C82" s="12">
        <v>9910007371</v>
      </c>
      <c r="D82" s="10" t="s">
        <v>339</v>
      </c>
      <c r="E82" s="10" t="s">
        <v>40</v>
      </c>
      <c r="F82" s="13" t="s">
        <v>17</v>
      </c>
      <c r="G82" s="11" t="s">
        <v>18</v>
      </c>
      <c r="H82" s="12">
        <v>3750</v>
      </c>
      <c r="I82" s="12">
        <v>468.75</v>
      </c>
      <c r="J82" s="31" t="s">
        <v>340</v>
      </c>
      <c r="K82" s="10" t="s">
        <v>341</v>
      </c>
      <c r="L82" s="10" t="s">
        <v>342</v>
      </c>
      <c r="M82" s="12"/>
      <c r="N82" s="14" t="s">
        <v>474</v>
      </c>
      <c r="O82" s="35" t="str">
        <f>VLOOKUP(A82,'[1]04-07-26'!$A$2:$T$121,20,0)</f>
        <v>W Asiatic ( 14 Inch ) 2 Rajni ( 14 Inch ) 10   Grass</v>
      </c>
      <c r="P82" s="35" t="str">
        <f>VLOOKUP(A82,'[1]11-07-26'!$A$2:$T$125,20,0)</f>
        <v>P Sprya Daisy ( 14 Inch ) 3 P n W Glad ( 14 Inch ) 10   FF Sachet + Grass</v>
      </c>
      <c r="Q82" s="35" t="str">
        <f>VLOOKUP(A82,'[1]18-07-26'!$A$2:$T$132,20,0)</f>
        <v>Y Spray Daosy ( 14 Inch ) 3 Rajni ( 14 Inch ) 10   FF sachet + Grass</v>
      </c>
      <c r="R82" s="35" t="str">
        <f>VLOOKUP(A82,'[1]25-07-26'!$A$2:$T$114,20,0)</f>
        <v>Y Asiatic ( 14 Inch ) 2 R n W Car ( 14 Inch ) 10   Grass</v>
      </c>
      <c r="S82" s="35" t="str">
        <f>VLOOKUP(A82,'[2]01-08-26'!$A$2:$T$118,20,0)</f>
        <v>Pur Eustoma ( 12 Inch ) 2 Rajni ( 14 Inch ) 10   FF Sachet + Grass</v>
      </c>
      <c r="T82" s="35" t="s">
        <v>460</v>
      </c>
      <c r="U82" s="35">
        <v>2</v>
      </c>
      <c r="V82" s="35" t="s">
        <v>461</v>
      </c>
      <c r="W82" s="35">
        <v>10</v>
      </c>
      <c r="X82" s="35"/>
      <c r="Y82" s="35"/>
      <c r="Z82" s="35" t="s">
        <v>468</v>
      </c>
      <c r="AA82" s="35"/>
      <c r="AB82" s="35"/>
      <c r="AC82" s="35"/>
      <c r="AD82" s="35"/>
    </row>
    <row r="83" spans="1:30" ht="121.6" hidden="1" customHeight="1" x14ac:dyDescent="0.3">
      <c r="A83" s="1">
        <v>1953</v>
      </c>
      <c r="B83" s="8" t="s">
        <v>343</v>
      </c>
      <c r="C83" s="12">
        <v>8800649797</v>
      </c>
      <c r="D83" s="12" t="s">
        <v>344</v>
      </c>
      <c r="E83" s="10" t="s">
        <v>128</v>
      </c>
      <c r="F83" s="12" t="s">
        <v>17</v>
      </c>
      <c r="G83" s="12" t="s">
        <v>18</v>
      </c>
      <c r="H83" s="12">
        <v>3000</v>
      </c>
      <c r="I83" s="12">
        <v>375</v>
      </c>
      <c r="J83" s="12" t="s">
        <v>30</v>
      </c>
      <c r="K83" s="10" t="s">
        <v>345</v>
      </c>
      <c r="L83" s="12"/>
      <c r="M83" s="12"/>
      <c r="N83" s="14" t="s">
        <v>50</v>
      </c>
      <c r="O83" s="35" t="str">
        <f>VLOOKUP(A83,'[1]04-07-26'!$A$2:$T$121,20,0)</f>
        <v>B Orchid  4     FF Sachet + Grass</v>
      </c>
      <c r="P83" s="35" t="str">
        <f>VLOOKUP(A83,'[1]11-07-26'!$A$2:$T$125,20,0)</f>
        <v>Rajni ( 14 Inch ) 15     Grass</v>
      </c>
      <c r="Q83" s="35" t="str">
        <f>VLOOKUP(A83,'[1]18-07-26'!$A$2:$T$132,20,0)</f>
        <v>Mix Alstroemeria ( 12 Inch ) 15     FF sachet + Grass</v>
      </c>
      <c r="R83" s="35" t="str">
        <f>VLOOKUP(A83,'[1]25-07-26'!$A$2:$T$114,20,0)</f>
        <v>O Glad ( 14 Inch ) 15     Grass</v>
      </c>
      <c r="S83" s="35" t="str">
        <f>VLOOKUP(A83,'[2]01-08-26'!$A$2:$T$118,20,0)</f>
        <v>R n W Car ( 14 Inch ) 15     FF Sachet + Grass</v>
      </c>
      <c r="T83" s="35" t="s">
        <v>464</v>
      </c>
      <c r="U83" s="35">
        <v>4</v>
      </c>
      <c r="V83" s="35"/>
      <c r="W83" s="35"/>
      <c r="X83" s="35"/>
      <c r="Y83" s="35"/>
      <c r="Z83" s="35" t="s">
        <v>467</v>
      </c>
      <c r="AA83" s="35"/>
      <c r="AB83" s="35"/>
      <c r="AC83" s="35"/>
      <c r="AD83" s="35"/>
    </row>
    <row r="84" spans="1:30" ht="121.6" hidden="1" customHeight="1" x14ac:dyDescent="0.3">
      <c r="A84" s="1">
        <v>2980</v>
      </c>
      <c r="B84" s="8" t="s">
        <v>346</v>
      </c>
      <c r="C84" s="9">
        <v>9717255116</v>
      </c>
      <c r="D84" s="10" t="s">
        <v>347</v>
      </c>
      <c r="E84" s="10" t="s">
        <v>73</v>
      </c>
      <c r="F84" s="10" t="s">
        <v>17</v>
      </c>
      <c r="G84" s="11" t="s">
        <v>18</v>
      </c>
      <c r="H84" s="12">
        <v>1450</v>
      </c>
      <c r="I84" s="12">
        <v>362.5</v>
      </c>
      <c r="J84" s="13" t="s">
        <v>19</v>
      </c>
      <c r="K84" s="10" t="s">
        <v>348</v>
      </c>
      <c r="L84" s="12"/>
      <c r="M84" s="12"/>
      <c r="N84" s="14" t="s">
        <v>296</v>
      </c>
      <c r="O84" s="35" t="str">
        <f>VLOOKUP(A84,'[1]04-07-26'!$A$2:$T$121,20,0)</f>
        <v>P Asiatic ( 14 Inch ) 2     Grass</v>
      </c>
      <c r="P84" s="35" t="str">
        <f>VLOOKUP(A84,'[1]11-07-26'!$A$2:$T$125,20,0)</f>
        <v>Rajni ( 14 Inch ) 16     Grass</v>
      </c>
      <c r="Q84" s="35" t="str">
        <f>VLOOKUP(A84,'[1]18-07-26'!$A$2:$T$132,20,0)</f>
        <v>Mix Glad ( 14 Inch ) 16     Grass</v>
      </c>
      <c r="R84" s="35" t="str">
        <f>VLOOKUP(A84,'[1]25-07-26'!$A$2:$T$114,20,0)</f>
        <v>P n Y Spray Daisy ( 14 Inch ) 5     FF Sachet + Grass</v>
      </c>
      <c r="S84" s="35" t="str">
        <f>VLOOKUP(A84,'[2]01-08-26'!$A$2:$T$118,20,0)</f>
        <v>Mix Alstroemeria ( 12 Inch ) 16     FF Sachet + Grass</v>
      </c>
      <c r="T84" s="35" t="s">
        <v>480</v>
      </c>
      <c r="U84" s="35">
        <v>16</v>
      </c>
      <c r="V84" s="35"/>
      <c r="W84" s="35"/>
      <c r="X84" s="35"/>
      <c r="Y84" s="35"/>
      <c r="Z84" s="35" t="s">
        <v>467</v>
      </c>
      <c r="AA84" s="35"/>
      <c r="AB84" s="35"/>
      <c r="AC84" s="35"/>
      <c r="AD84" s="35"/>
    </row>
    <row r="85" spans="1:30" ht="121.6" hidden="1" customHeight="1" x14ac:dyDescent="0.3">
      <c r="A85" s="1">
        <v>3403</v>
      </c>
      <c r="B85" s="8" t="s">
        <v>349</v>
      </c>
      <c r="C85" s="12">
        <v>9599908305</v>
      </c>
      <c r="D85" s="10" t="s">
        <v>350</v>
      </c>
      <c r="E85" s="10" t="s">
        <v>53</v>
      </c>
      <c r="F85" s="10" t="s">
        <v>17</v>
      </c>
      <c r="G85" s="12" t="s">
        <v>67</v>
      </c>
      <c r="H85" s="12">
        <v>1450</v>
      </c>
      <c r="I85" s="12">
        <v>362.5</v>
      </c>
      <c r="J85" s="10" t="s">
        <v>19</v>
      </c>
      <c r="K85" s="12"/>
      <c r="L85" s="12"/>
      <c r="M85" s="12"/>
      <c r="N85" s="14" t="s">
        <v>296</v>
      </c>
      <c r="O85" s="35" t="e">
        <f>VLOOKUP(A85,'[1]04-07-26'!$A$2:$T$121,20,0)</f>
        <v>#N/A</v>
      </c>
      <c r="P85" s="35" t="str">
        <f>VLOOKUP(A85,'[1]11-07-26'!$A$2:$T$125,20,0)</f>
        <v>Pur n P Car ( 14 Inch ) 16     FF sachet + Car</v>
      </c>
      <c r="Q85" s="35" t="str">
        <f>VLOOKUP(A85,'[1]18-07-26'!$A$2:$T$132,20,0)</f>
        <v>O Asiatic ( 14 Inch ) 3     Grass</v>
      </c>
      <c r="R85" s="35" t="str">
        <f>VLOOKUP(A85,'[1]25-07-26'!$A$2:$T$114,20,0)</f>
        <v xml:space="preserve">O Glad ( 14 Inch ) 16     </v>
      </c>
      <c r="S85" s="35" t="str">
        <f>VLOOKUP(A85,'[2]01-08-26'!$A$2:$T$118,20,0)</f>
        <v>P n Y Spray Daisy ( 14 Inch ) 5     FF Sachet + Grass</v>
      </c>
      <c r="T85" s="35" t="s">
        <v>459</v>
      </c>
      <c r="U85" s="35">
        <v>16</v>
      </c>
      <c r="V85" s="35"/>
      <c r="W85" s="35"/>
      <c r="X85" s="35"/>
      <c r="Y85" s="35"/>
      <c r="Z85" s="35" t="s">
        <v>467</v>
      </c>
      <c r="AA85" s="35"/>
      <c r="AB85" s="35"/>
      <c r="AC85" s="35"/>
      <c r="AD85" s="35"/>
    </row>
    <row r="86" spans="1:30" ht="121.6" hidden="1" customHeight="1" x14ac:dyDescent="0.3">
      <c r="A86" s="13">
        <v>3423</v>
      </c>
      <c r="B86" s="8" t="s">
        <v>351</v>
      </c>
      <c r="C86" s="12">
        <v>9899096420</v>
      </c>
      <c r="D86" s="10" t="s">
        <v>352</v>
      </c>
      <c r="E86" s="10" t="s">
        <v>73</v>
      </c>
      <c r="F86" s="10" t="s">
        <v>353</v>
      </c>
      <c r="G86" s="11" t="s">
        <v>63</v>
      </c>
      <c r="H86" s="12">
        <v>3950</v>
      </c>
      <c r="I86" s="12">
        <v>493.75</v>
      </c>
      <c r="J86" s="10" t="s">
        <v>340</v>
      </c>
      <c r="K86" s="12"/>
      <c r="L86" s="12"/>
      <c r="M86" s="12"/>
      <c r="N86" s="14" t="s">
        <v>50</v>
      </c>
      <c r="O86" s="35" t="e">
        <f>VLOOKUP(A86,'[1]04-07-26'!$A$2:$T$121,20,0)</f>
        <v>#N/A</v>
      </c>
      <c r="P86" s="35" t="e">
        <f>VLOOKUP(A86,'[1]11-07-26'!$A$2:$T$125,20,0)</f>
        <v>#N/A</v>
      </c>
      <c r="Q86" s="35" t="e">
        <f>VLOOKUP(A86,'[1]18-07-26'!$A$2:$T$132,20,0)</f>
        <v>#N/A</v>
      </c>
      <c r="R86" s="35" t="e">
        <f>VLOOKUP(A86,'[1]25-07-26'!$A$2:$T$114,20,0)</f>
        <v>#N/A</v>
      </c>
      <c r="S86" s="35" t="e">
        <f>VLOOKUP(A86,'[2]01-08-26'!$A$2:$T$118,20,0)</f>
        <v>#N/A</v>
      </c>
      <c r="T86" s="35" t="s">
        <v>466</v>
      </c>
      <c r="U86" s="35">
        <v>6</v>
      </c>
      <c r="V86" s="35"/>
      <c r="W86" s="35"/>
      <c r="X86" s="35"/>
      <c r="Y86" s="35"/>
      <c r="Z86" s="35" t="s">
        <v>467</v>
      </c>
      <c r="AA86" s="35"/>
      <c r="AB86" s="35"/>
      <c r="AC86" s="35"/>
      <c r="AD86" s="35"/>
    </row>
    <row r="87" spans="1:30" ht="121.6" customHeight="1" x14ac:dyDescent="0.3">
      <c r="A87" s="13" t="s">
        <v>354</v>
      </c>
      <c r="B87" s="8">
        <v>8826709992</v>
      </c>
      <c r="C87" s="8">
        <v>8826709992</v>
      </c>
      <c r="D87" s="13" t="s">
        <v>355</v>
      </c>
      <c r="E87" s="13" t="s">
        <v>94</v>
      </c>
      <c r="F87" s="10" t="s">
        <v>17</v>
      </c>
      <c r="G87" s="11" t="s">
        <v>356</v>
      </c>
      <c r="H87" s="12">
        <v>1500</v>
      </c>
      <c r="I87" s="12">
        <v>1500</v>
      </c>
      <c r="J87" s="13" t="s">
        <v>357</v>
      </c>
      <c r="K87" s="10" t="s">
        <v>358</v>
      </c>
      <c r="L87" s="12"/>
      <c r="M87" s="12"/>
      <c r="N87" s="14" t="s">
        <v>329</v>
      </c>
      <c r="O87" s="35" t="e">
        <f>VLOOKUP(A87,'[1]04-07-26'!$A$2:$T$121,20,0)</f>
        <v>#N/A</v>
      </c>
      <c r="P87" s="35" t="e">
        <f>VLOOKUP(A87,'[1]11-07-26'!$A$2:$T$125,20,0)</f>
        <v>#N/A</v>
      </c>
      <c r="Q87" s="35" t="e">
        <f>VLOOKUP(A87,'[1]18-07-26'!$A$2:$T$132,20,0)</f>
        <v>#N/A</v>
      </c>
      <c r="R87" s="35" t="e">
        <f>VLOOKUP(A87,'[1]25-07-26'!$A$2:$T$114,20,0)</f>
        <v>#N/A</v>
      </c>
      <c r="S87" s="35" t="e">
        <f>VLOOKUP(A87,'[2]01-08-26'!$A$2:$T$118,20,0)</f>
        <v>#N/A</v>
      </c>
      <c r="T87" s="35" t="s">
        <v>469</v>
      </c>
      <c r="U87" s="35">
        <v>25</v>
      </c>
      <c r="V87" s="35" t="s">
        <v>470</v>
      </c>
      <c r="W87" s="35"/>
      <c r="X87" s="35"/>
      <c r="Y87" s="35"/>
      <c r="Z87" s="35"/>
      <c r="AA87" s="35"/>
      <c r="AB87" s="35"/>
      <c r="AC87" s="35"/>
      <c r="AD87" s="35"/>
    </row>
    <row r="88" spans="1:30" ht="121.6" customHeight="1" x14ac:dyDescent="0.3">
      <c r="A88" s="13" t="s">
        <v>359</v>
      </c>
      <c r="B88" s="8" t="s">
        <v>360</v>
      </c>
      <c r="C88" s="12">
        <v>9871265555</v>
      </c>
      <c r="D88" s="10" t="s">
        <v>361</v>
      </c>
      <c r="E88" s="10" t="s">
        <v>162</v>
      </c>
      <c r="F88" s="13" t="s">
        <v>17</v>
      </c>
      <c r="G88" s="11" t="s">
        <v>362</v>
      </c>
      <c r="H88" s="12">
        <v>910</v>
      </c>
      <c r="I88" s="12">
        <v>910</v>
      </c>
      <c r="J88" s="13" t="s">
        <v>357</v>
      </c>
      <c r="K88" s="10" t="s">
        <v>363</v>
      </c>
      <c r="L88" s="12"/>
      <c r="M88" s="12"/>
      <c r="N88" s="14" t="s">
        <v>296</v>
      </c>
      <c r="O88" s="35" t="e">
        <f>VLOOKUP(A88,'[1]04-07-26'!$A$2:$T$121,20,0)</f>
        <v>#N/A</v>
      </c>
      <c r="P88" s="35" t="e">
        <f>VLOOKUP(A88,'[1]11-07-26'!$A$2:$T$125,20,0)</f>
        <v>#N/A</v>
      </c>
      <c r="Q88" s="35" t="e">
        <f>VLOOKUP(A88,'[1]18-07-26'!$A$2:$T$132,20,0)</f>
        <v>#N/A</v>
      </c>
      <c r="R88" s="35" t="e">
        <f>VLOOKUP(A88,'[1]25-07-26'!$A$2:$T$114,20,0)</f>
        <v>#N/A</v>
      </c>
      <c r="S88" s="35" t="e">
        <f>VLOOKUP(A88,'[2]01-08-26'!$A$2:$T$118,20,0)</f>
        <v>#N/A</v>
      </c>
      <c r="T88" s="35" t="s">
        <v>471</v>
      </c>
      <c r="U88" s="35" t="s">
        <v>472</v>
      </c>
      <c r="V88" s="35"/>
      <c r="W88" s="35"/>
      <c r="X88" s="35"/>
      <c r="Y88" s="35"/>
      <c r="Z88" s="35"/>
      <c r="AA88" s="35"/>
      <c r="AB88" s="35"/>
      <c r="AC88" s="35"/>
      <c r="AD88" s="35"/>
    </row>
    <row r="89" spans="1:30" ht="121.6" hidden="1" customHeight="1" x14ac:dyDescent="0.3">
      <c r="A89" s="1">
        <v>3016</v>
      </c>
      <c r="B89" s="8" t="s">
        <v>364</v>
      </c>
      <c r="C89" s="12">
        <v>7668421237</v>
      </c>
      <c r="D89" s="10" t="s">
        <v>365</v>
      </c>
      <c r="E89" s="10" t="s">
        <v>94</v>
      </c>
      <c r="F89" s="10" t="s">
        <v>366</v>
      </c>
      <c r="G89" s="21" t="s">
        <v>29</v>
      </c>
      <c r="H89" s="12">
        <v>1950</v>
      </c>
      <c r="I89" s="12">
        <v>487.5</v>
      </c>
      <c r="J89" s="13" t="s">
        <v>86</v>
      </c>
      <c r="K89" s="10" t="s">
        <v>367</v>
      </c>
      <c r="L89" s="12"/>
      <c r="M89" s="10" t="s">
        <v>368</v>
      </c>
      <c r="N89" s="14" t="s">
        <v>296</v>
      </c>
      <c r="O89" s="35" t="e">
        <f>VLOOKUP(A89,'[1]04-07-26'!$A$2:$T$121,20,0)</f>
        <v>#N/A</v>
      </c>
      <c r="P89" s="35" t="e">
        <f>VLOOKUP(A89,'[1]11-07-26'!$A$2:$T$125,20,0)</f>
        <v>#N/A</v>
      </c>
      <c r="Q89" s="35" t="e">
        <f>VLOOKUP(A89,'[1]18-07-26'!$A$2:$T$132,20,0)</f>
        <v>#N/A</v>
      </c>
      <c r="R89" s="35" t="e">
        <f>VLOOKUP(A89,'[1]25-07-26'!$A$2:$T$114,20,0)</f>
        <v>#N/A</v>
      </c>
      <c r="S89" s="35" t="e">
        <f>VLOOKUP(A89,'[2]01-08-26'!$A$2:$T$118,20,0)</f>
        <v>#N/A</v>
      </c>
      <c r="T89" s="35" t="s">
        <v>480</v>
      </c>
      <c r="U89" s="35">
        <v>22</v>
      </c>
      <c r="V89" s="35"/>
      <c r="W89" s="35"/>
      <c r="X89" s="35"/>
      <c r="Y89" s="35"/>
      <c r="Z89" s="35" t="s">
        <v>467</v>
      </c>
      <c r="AA89" s="35"/>
      <c r="AB89" s="35"/>
      <c r="AC89" s="35"/>
      <c r="AD89" s="35"/>
    </row>
    <row r="90" spans="1:30" ht="121.6" customHeight="1" x14ac:dyDescent="0.3">
      <c r="A90" s="13" t="s">
        <v>369</v>
      </c>
      <c r="B90" s="8">
        <v>9971105361</v>
      </c>
      <c r="C90" s="12">
        <v>9971105361</v>
      </c>
      <c r="D90" s="10" t="s">
        <v>370</v>
      </c>
      <c r="E90" s="10" t="s">
        <v>53</v>
      </c>
      <c r="F90" s="10" t="s">
        <v>371</v>
      </c>
      <c r="G90" s="10" t="s">
        <v>372</v>
      </c>
      <c r="H90" s="12">
        <v>950</v>
      </c>
      <c r="I90" s="12">
        <v>950</v>
      </c>
      <c r="J90" s="13" t="s">
        <v>357</v>
      </c>
      <c r="K90" s="10" t="s">
        <v>373</v>
      </c>
      <c r="L90" s="12"/>
      <c r="M90" s="12"/>
      <c r="N90" s="14" t="s">
        <v>324</v>
      </c>
      <c r="O90" s="35" t="e">
        <f>VLOOKUP(A90,'[1]04-07-26'!$A$2:$T$121,20,0)</f>
        <v>#N/A</v>
      </c>
      <c r="P90" s="35" t="e">
        <f>VLOOKUP(A90,'[1]11-07-26'!$A$2:$T$125,20,0)</f>
        <v>#N/A</v>
      </c>
      <c r="Q90" s="35" t="e">
        <f>VLOOKUP(A90,'[1]18-07-26'!$A$2:$T$132,20,0)</f>
        <v>#N/A</v>
      </c>
      <c r="R90" s="35" t="e">
        <f>VLOOKUP(A90,'[1]25-07-26'!$A$2:$T$114,20,0)</f>
        <v>#N/A</v>
      </c>
      <c r="S90" s="35" t="e">
        <f>VLOOKUP(A90,'[2]01-08-26'!$A$2:$T$118,20,0)</f>
        <v>#N/A</v>
      </c>
      <c r="T90" s="35" t="s">
        <v>373</v>
      </c>
      <c r="U90" s="35">
        <v>21</v>
      </c>
      <c r="V90" s="35"/>
      <c r="W90" s="35"/>
      <c r="X90" s="35"/>
      <c r="Y90" s="35"/>
      <c r="Z90" s="35"/>
      <c r="AA90" s="35"/>
      <c r="AB90" s="35"/>
      <c r="AC90" s="35"/>
      <c r="AD90" s="35"/>
    </row>
    <row r="91" spans="1:30" ht="121.6" hidden="1" customHeight="1" x14ac:dyDescent="0.3">
      <c r="A91" s="1">
        <v>2692</v>
      </c>
      <c r="B91" s="8" t="s">
        <v>374</v>
      </c>
      <c r="C91" s="12">
        <v>9910309930</v>
      </c>
      <c r="D91" s="10" t="s">
        <v>375</v>
      </c>
      <c r="E91" s="10" t="s">
        <v>73</v>
      </c>
      <c r="F91" s="10" t="s">
        <v>17</v>
      </c>
      <c r="G91" s="11" t="s">
        <v>18</v>
      </c>
      <c r="H91" s="12">
        <v>2300</v>
      </c>
      <c r="I91" s="12">
        <v>287.5</v>
      </c>
      <c r="J91" s="10" t="s">
        <v>80</v>
      </c>
      <c r="K91" s="10" t="s">
        <v>376</v>
      </c>
      <c r="L91" s="10" t="s">
        <v>377</v>
      </c>
      <c r="M91" s="12"/>
      <c r="N91" s="14" t="s">
        <v>296</v>
      </c>
      <c r="O91" s="35" t="str">
        <f>VLOOKUP(A91,'[1]04-07-26'!$A$2:$T$121,20,0)</f>
        <v>BOP ( 15 Inch ) 2     FF Sachet + Grass</v>
      </c>
      <c r="P91" s="35" t="str">
        <f>VLOOKUP(A91,'[1]11-07-26'!$A$2:$T$125,20,0)</f>
        <v>Sunflower ( 12 Inch ) 3     FF Sachet + Grass</v>
      </c>
      <c r="Q91" s="35" t="str">
        <f>VLOOKUP(A91,'[1]18-07-26'!$A$2:$T$132,20,0)</f>
        <v>Pur Eustoma ( 12 Inch ) 3     FF sachet + Grass</v>
      </c>
      <c r="R91" s="35" t="str">
        <f>VLOOKUP(A91,'[1]25-07-26'!$A$2:$T$114,20,0)</f>
        <v>O Asiatic ( 14 Inch ) 2     Grass</v>
      </c>
      <c r="S91" s="35" t="str">
        <f>VLOOKUP(A91,'[2]01-08-26'!$A$2:$T$118,20,0)</f>
        <v>R n P Car ( 14 Inch ) 11     FF Sachet + Grass</v>
      </c>
      <c r="T91" s="35" t="s">
        <v>459</v>
      </c>
      <c r="U91" s="35">
        <v>11</v>
      </c>
      <c r="V91" s="35"/>
      <c r="W91" s="35"/>
      <c r="X91" s="35"/>
      <c r="Y91" s="35"/>
      <c r="Z91" s="35" t="s">
        <v>467</v>
      </c>
      <c r="AA91" s="35"/>
      <c r="AB91" s="35"/>
      <c r="AC91" s="35"/>
      <c r="AD91" s="35"/>
    </row>
    <row r="92" spans="1:30" ht="121.6" hidden="1" customHeight="1" x14ac:dyDescent="0.3">
      <c r="A92" s="1">
        <v>3110</v>
      </c>
      <c r="B92" s="8" t="s">
        <v>378</v>
      </c>
      <c r="C92" s="9">
        <v>9837880008</v>
      </c>
      <c r="D92" s="10" t="s">
        <v>379</v>
      </c>
      <c r="E92" s="10" t="s">
        <v>44</v>
      </c>
      <c r="F92" s="10" t="s">
        <v>17</v>
      </c>
      <c r="G92" s="12" t="s">
        <v>79</v>
      </c>
      <c r="H92" s="12">
        <v>1450</v>
      </c>
      <c r="I92" s="12">
        <v>362.5</v>
      </c>
      <c r="J92" s="13" t="s">
        <v>19</v>
      </c>
      <c r="K92" s="10" t="s">
        <v>380</v>
      </c>
      <c r="L92" s="12"/>
      <c r="M92" s="12"/>
      <c r="N92" s="14" t="s">
        <v>333</v>
      </c>
      <c r="O92" s="35" t="e">
        <f>VLOOKUP(A92,'[1]04-07-26'!$A$2:$T$121,20,0)</f>
        <v>#N/A</v>
      </c>
      <c r="P92" s="35" t="str">
        <f>VLOOKUP(A92,'[1]11-07-26'!$A$2:$T$125,20,0)</f>
        <v>R n W Car ( 14 Inch ) 16     FF sachet + Car</v>
      </c>
      <c r="Q92" s="35" t="str">
        <f>VLOOKUP(A92,'[1]18-07-26'!$A$2:$T$132,20,0)</f>
        <v>W Asiatic ( 14 Inch ) 3     Grass</v>
      </c>
      <c r="R92" s="35" t="str">
        <f>VLOOKUP(A92,'[1]25-07-26'!$A$2:$T$114,20,0)</f>
        <v>Mix Alstroemeria ( 12 Inch ) 16     FF Sachet + Grass</v>
      </c>
      <c r="S92" s="35" t="str">
        <f>VLOOKUP(A92,'[2]01-08-26'!$A$2:$T$118,20,0)</f>
        <v>P n Y Spray Daisy ( 14 Inch ) 5     FF Sachet + Grass</v>
      </c>
      <c r="T92" s="35" t="s">
        <v>459</v>
      </c>
      <c r="U92" s="35">
        <v>16</v>
      </c>
      <c r="V92" s="35"/>
      <c r="W92" s="35"/>
      <c r="X92" s="35"/>
      <c r="Y92" s="35"/>
      <c r="Z92" s="35" t="s">
        <v>467</v>
      </c>
      <c r="AA92" s="35"/>
      <c r="AB92" s="35"/>
      <c r="AC92" s="35"/>
      <c r="AD92" s="35"/>
    </row>
    <row r="93" spans="1:30" ht="121.6" hidden="1" customHeight="1" x14ac:dyDescent="0.3">
      <c r="A93" s="1">
        <v>2837</v>
      </c>
      <c r="B93" s="18" t="s">
        <v>381</v>
      </c>
      <c r="C93" s="9">
        <v>9953210341</v>
      </c>
      <c r="D93" s="10" t="s">
        <v>382</v>
      </c>
      <c r="E93" s="10" t="s">
        <v>28</v>
      </c>
      <c r="F93" s="10" t="s">
        <v>17</v>
      </c>
      <c r="G93" s="10" t="s">
        <v>67</v>
      </c>
      <c r="H93" s="12">
        <v>1450</v>
      </c>
      <c r="I93" s="12">
        <v>362.5</v>
      </c>
      <c r="J93" s="13" t="s">
        <v>19</v>
      </c>
      <c r="K93" s="10" t="s">
        <v>383</v>
      </c>
      <c r="L93" s="12"/>
      <c r="M93" s="12"/>
      <c r="N93" s="14" t="s">
        <v>333</v>
      </c>
      <c r="O93" s="35" t="e">
        <f>VLOOKUP(A93,'[1]04-07-26'!$A$2:$T$121,20,0)</f>
        <v>#N/A</v>
      </c>
      <c r="P93" s="35" t="str">
        <f>VLOOKUP(A93,'[1]11-07-26'!$A$2:$T$125,20,0)</f>
        <v>Rajni ( 14 Inch ) 16     Grass</v>
      </c>
      <c r="Q93" s="35" t="str">
        <f>VLOOKUP(A93,'[1]18-07-26'!$A$2:$T$132,20,0)</f>
        <v>Mix Alstroemeria ( 12 Inch ) 16     Grass</v>
      </c>
      <c r="R93" s="35" t="str">
        <f>VLOOKUP(A93,'[1]25-07-26'!$A$2:$T$114,20,0)</f>
        <v>Pur n W Car ( 14 Inch ) 16     FF Sachet + Grass</v>
      </c>
      <c r="S93" s="35" t="str">
        <f>VLOOKUP(A93,'[2]01-08-26'!$A$2:$T$118,20,0)</f>
        <v>O Asiatic ( 14 Inch ) 3     Grass</v>
      </c>
      <c r="T93" s="35" t="s">
        <v>479</v>
      </c>
      <c r="U93" s="35">
        <v>5</v>
      </c>
      <c r="V93" s="35"/>
      <c r="W93" s="35"/>
      <c r="X93" s="35"/>
      <c r="Y93" s="35"/>
      <c r="Z93" s="35" t="s">
        <v>467</v>
      </c>
      <c r="AA93" s="35"/>
      <c r="AB93" s="35"/>
      <c r="AC93" s="35"/>
      <c r="AD93" s="35"/>
    </row>
    <row r="94" spans="1:30" ht="274.60000000000002" hidden="1" customHeight="1" x14ac:dyDescent="0.3">
      <c r="A94" s="1">
        <v>846</v>
      </c>
      <c r="B94" s="8" t="s">
        <v>384</v>
      </c>
      <c r="C94" s="1">
        <v>9899059999</v>
      </c>
      <c r="D94" s="13" t="s">
        <v>385</v>
      </c>
      <c r="E94" s="10" t="s">
        <v>53</v>
      </c>
      <c r="F94" s="13" t="s">
        <v>17</v>
      </c>
      <c r="G94" s="11" t="s">
        <v>18</v>
      </c>
      <c r="H94" s="12">
        <v>4750</v>
      </c>
      <c r="I94" s="12">
        <v>1187.5</v>
      </c>
      <c r="J94" s="10" t="s">
        <v>157</v>
      </c>
      <c r="K94" s="13" t="s">
        <v>386</v>
      </c>
      <c r="L94" s="12"/>
      <c r="M94" s="12"/>
      <c r="N94" s="14" t="s">
        <v>329</v>
      </c>
      <c r="O94" s="35" t="str">
        <f>VLOOKUP(A94,'[1]04-07-26'!$A$2:$T$121,20,0)</f>
        <v>W Asiatic + Mix Anthurium  3 + 4 Pur n P Car + Mix Alstroemeria 12 + 12 BOP 3 5 Areca palm + 3 Gypsola + 3 Limonium</v>
      </c>
      <c r="P94" s="35" t="str">
        <f>VLOOKUP(A94,'[1]11-07-26'!$A$2:$T$125,20,0)</f>
        <v>O Asiatic + G n W Spray Daisy 3 + 4 Rajni + B Daisy  12 + 12 W Orchid  5 5 Areca Palm + 3 Gypsola + 3 Limonium</v>
      </c>
      <c r="Q94" s="35" t="str">
        <f>VLOOKUP(A94,'[1]18-07-26'!$A$2:$T$132,20,0)</f>
        <v>Y Asiatic + BOP 3 + 3 G n W Car + Mix Glad 12 + 12 Mix Alstroemeria ( 12 Inch ) 10 5 Areca palm + 3 Gypsola</v>
      </c>
      <c r="R94" s="35" t="str">
        <f>VLOOKUP(A94,'[1]25-07-26'!$A$2:$T$114,20,0)</f>
        <v>W Asiatic + P Eustoma  3 + 3 R n W Car + Rajni 12 + 12 B Daisy  10 5 Areca palm + 3 Gypsola + 3 Limonium</v>
      </c>
      <c r="S94" s="35" t="str">
        <f>VLOOKUP(A94,'[2]01-08-26'!$A$2:$T$118,20,0)</f>
        <v>O Asiatic + P n Y Spray Daisy  3 + 4 Mix Glad + Alstroemeria 12  + 12 Pur n P Eustoma 3 5 Areca Palm + 3 Gypsola + 3 Limonium</v>
      </c>
      <c r="T94" s="35" t="s">
        <v>484</v>
      </c>
      <c r="U94" s="35" t="s">
        <v>485</v>
      </c>
      <c r="V94" s="35" t="s">
        <v>486</v>
      </c>
      <c r="W94" s="35" t="s">
        <v>487</v>
      </c>
      <c r="X94" s="35" t="s">
        <v>488</v>
      </c>
      <c r="Y94" s="35">
        <v>5</v>
      </c>
      <c r="Z94" s="35" t="s">
        <v>489</v>
      </c>
      <c r="AA94" s="35"/>
      <c r="AB94" s="35"/>
      <c r="AC94" s="35"/>
      <c r="AD94" s="35"/>
    </row>
    <row r="95" spans="1:30" ht="121.6" hidden="1" customHeight="1" x14ac:dyDescent="0.3">
      <c r="A95" s="1">
        <v>1089</v>
      </c>
      <c r="B95" s="8" t="s">
        <v>387</v>
      </c>
      <c r="C95" s="12">
        <v>9999024774</v>
      </c>
      <c r="D95" s="10" t="s">
        <v>388</v>
      </c>
      <c r="E95" s="13" t="s">
        <v>28</v>
      </c>
      <c r="F95" s="10" t="s">
        <v>17</v>
      </c>
      <c r="G95" s="11" t="s">
        <v>18</v>
      </c>
      <c r="H95" s="12">
        <v>1450</v>
      </c>
      <c r="I95" s="12">
        <v>362.5</v>
      </c>
      <c r="J95" s="10" t="s">
        <v>19</v>
      </c>
      <c r="K95" s="10" t="s">
        <v>389</v>
      </c>
      <c r="L95" s="12"/>
      <c r="M95" s="12"/>
      <c r="N95" s="14" t="s">
        <v>296</v>
      </c>
      <c r="O95" s="35" t="str">
        <f>VLOOKUP(A95,'[1]04-07-26'!$A$2:$T$121,20,0)</f>
        <v>O Asiatic ( 14 Inch ) 3     Grass</v>
      </c>
      <c r="P95" s="35" t="str">
        <f>VLOOKUP(A95,'[1]11-07-26'!$A$2:$T$125,20,0)</f>
        <v>Rajni ( 14 Inch ) 16     Grass</v>
      </c>
      <c r="Q95" s="35" t="str">
        <f>VLOOKUP(A95,'[1]18-07-26'!$A$2:$T$132,20,0)</f>
        <v>P n Y Spray Daisy ( 14 Inch ) 5     FF Sachet + Grass</v>
      </c>
      <c r="R95" s="35" t="str">
        <f>VLOOKUP(A95,'[1]25-07-26'!$A$2:$T$114,20,0)</f>
        <v xml:space="preserve">O Glad ( 14 Inch ) 16     </v>
      </c>
      <c r="S95" s="35" t="str">
        <f>VLOOKUP(A95,'[2]01-08-26'!$A$2:$T$118,20,0)</f>
        <v>R n P Car ( 14 Inch ) 16     FF Sachet + Grass</v>
      </c>
      <c r="T95" s="35" t="s">
        <v>461</v>
      </c>
      <c r="U95" s="35">
        <v>16</v>
      </c>
      <c r="V95" s="35"/>
      <c r="W95" s="35"/>
      <c r="X95" s="35"/>
      <c r="Y95" s="35"/>
      <c r="Z95" s="35" t="s">
        <v>468</v>
      </c>
      <c r="AA95" s="35"/>
      <c r="AB95" s="35"/>
      <c r="AC95" s="35"/>
      <c r="AD95" s="35"/>
    </row>
    <row r="96" spans="1:30" ht="121.6" hidden="1" customHeight="1" x14ac:dyDescent="0.3">
      <c r="A96" s="1">
        <v>1920</v>
      </c>
      <c r="B96" s="8" t="s">
        <v>390</v>
      </c>
      <c r="C96" s="1">
        <v>9871094919</v>
      </c>
      <c r="D96" s="1" t="s">
        <v>391</v>
      </c>
      <c r="E96" s="10" t="s">
        <v>16</v>
      </c>
      <c r="F96" s="13" t="s">
        <v>17</v>
      </c>
      <c r="G96" s="11" t="s">
        <v>95</v>
      </c>
      <c r="H96" s="12">
        <v>1450</v>
      </c>
      <c r="I96" s="12">
        <v>362.5</v>
      </c>
      <c r="J96" s="10" t="s">
        <v>19</v>
      </c>
      <c r="K96" s="13" t="s">
        <v>392</v>
      </c>
      <c r="L96" s="12"/>
      <c r="M96" s="12"/>
      <c r="N96" s="14" t="s">
        <v>333</v>
      </c>
      <c r="O96" s="35" t="str">
        <f>VLOOKUP(A96,'[1]04-07-26'!$A$2:$T$121,20,0)</f>
        <v>P n W Glad ( 14 Inch ) 16     Grass</v>
      </c>
      <c r="P96" s="35" t="str">
        <f>VLOOKUP(A96,'[1]11-07-26'!$A$2:$T$125,20,0)</f>
        <v>B Daisy ( 12 Inch ) 16     Grass</v>
      </c>
      <c r="Q96" s="35" t="str">
        <f>VLOOKUP(A96,'[1]18-07-26'!$A$2:$T$132,20,0)</f>
        <v>P n Y Spray Daisy ( 14 Inch ) 5     FF Sachet + Grass</v>
      </c>
      <c r="R96" s="35" t="str">
        <f>VLOOKUP(A96,'[1]25-07-26'!$A$2:$T$114,20,0)</f>
        <v xml:space="preserve">O Asiatic ( 14 Inch ) 3     </v>
      </c>
      <c r="S96" s="35" t="str">
        <f>VLOOKUP(A96,'[2]01-08-26'!$A$2:$T$118,20,0)</f>
        <v>Mix Alstroemeria ( 12 Inch ) 16     FF Sachet + Grass</v>
      </c>
      <c r="T96" s="35" t="s">
        <v>461</v>
      </c>
      <c r="U96" s="35">
        <v>16</v>
      </c>
      <c r="V96" s="35"/>
      <c r="W96" s="35"/>
      <c r="X96" s="35"/>
      <c r="Y96" s="35"/>
      <c r="Z96" s="35" t="s">
        <v>468</v>
      </c>
      <c r="AA96" s="35"/>
      <c r="AB96" s="35"/>
      <c r="AC96" s="35"/>
      <c r="AD96" s="35"/>
    </row>
    <row r="97" spans="1:30" ht="121.6" hidden="1" customHeight="1" x14ac:dyDescent="0.3">
      <c r="A97" s="1">
        <v>190</v>
      </c>
      <c r="B97" s="8" t="s">
        <v>393</v>
      </c>
      <c r="C97" s="20">
        <v>9810045432</v>
      </c>
      <c r="D97" s="13" t="s">
        <v>394</v>
      </c>
      <c r="E97" s="10" t="s">
        <v>128</v>
      </c>
      <c r="F97" s="13" t="s">
        <v>17</v>
      </c>
      <c r="G97" s="11" t="s">
        <v>18</v>
      </c>
      <c r="H97" s="12">
        <v>1450</v>
      </c>
      <c r="I97" s="12">
        <v>362.5</v>
      </c>
      <c r="J97" s="13" t="s">
        <v>19</v>
      </c>
      <c r="K97" s="13" t="s">
        <v>395</v>
      </c>
      <c r="L97" s="10"/>
      <c r="M97" s="10" t="s">
        <v>396</v>
      </c>
      <c r="N97" s="14" t="s">
        <v>333</v>
      </c>
      <c r="O97" s="35" t="e">
        <f>VLOOKUP(A97,'[1]04-07-26'!$A$2:$T$121,20,0)</f>
        <v>#N/A</v>
      </c>
      <c r="P97" s="35" t="e">
        <f>VLOOKUP(A97,'[1]11-07-26'!$A$2:$T$125,20,0)</f>
        <v>#N/A</v>
      </c>
      <c r="Q97" s="35" t="str">
        <f>VLOOKUP(A97,'[1]18-07-26'!$A$2:$T$132,20,0)</f>
        <v>G n W Car ( 14 Inch ) 16     FF Sachet + Grass</v>
      </c>
      <c r="R97" s="35" t="str">
        <f>VLOOKUP(A97,'[1]25-07-26'!$A$2:$T$114,20,0)</f>
        <v>P spray Daisy   n Y Button  Daisy ( 14 Inch ) 5     FF Sachet + Grass</v>
      </c>
      <c r="S97" s="35" t="str">
        <f>VLOOKUP(A97,'[2]01-08-26'!$A$2:$T$118,20,0)</f>
        <v>Mix Glad ( 14 Inch ) 16     Grass</v>
      </c>
      <c r="T97" s="35" t="s">
        <v>462</v>
      </c>
      <c r="U97" s="35">
        <v>3</v>
      </c>
      <c r="V97" s="35"/>
      <c r="W97" s="35"/>
      <c r="X97" s="35"/>
      <c r="Y97" s="35"/>
      <c r="Z97" s="35" t="s">
        <v>468</v>
      </c>
      <c r="AA97" s="35"/>
      <c r="AB97" s="35"/>
      <c r="AC97" s="35"/>
      <c r="AD97" s="35"/>
    </row>
    <row r="98" spans="1:30" ht="121.6" hidden="1" customHeight="1" x14ac:dyDescent="0.3">
      <c r="A98" s="1">
        <v>3373</v>
      </c>
      <c r="B98" s="8" t="s">
        <v>397</v>
      </c>
      <c r="C98" s="12">
        <v>9045453716</v>
      </c>
      <c r="D98" s="10" t="s">
        <v>398</v>
      </c>
      <c r="E98" s="10" t="s">
        <v>36</v>
      </c>
      <c r="F98" s="10" t="s">
        <v>17</v>
      </c>
      <c r="G98" s="16" t="s">
        <v>399</v>
      </c>
      <c r="H98" s="12">
        <v>1450</v>
      </c>
      <c r="I98" s="12">
        <v>362.5</v>
      </c>
      <c r="J98" s="13" t="s">
        <v>19</v>
      </c>
      <c r="K98" s="10" t="s">
        <v>400</v>
      </c>
      <c r="L98" s="12"/>
      <c r="M98" s="12"/>
      <c r="N98" s="14" t="s">
        <v>333</v>
      </c>
      <c r="O98" s="35" t="str">
        <f>VLOOKUP(A98,'[1]04-07-26'!$A$2:$T$121,20,0)</f>
        <v>P n W Glad ( 14 Inch ) 16     Grass</v>
      </c>
      <c r="P98" s="35" t="str">
        <f>VLOOKUP(A98,'[1]11-07-26'!$A$2:$T$125,20,0)</f>
        <v>Rajni ( 14 Inch ) 16     Grass</v>
      </c>
      <c r="Q98" s="35" t="str">
        <f>VLOOKUP(A98,'[1]18-07-26'!$A$2:$T$132,20,0)</f>
        <v>G n W Car ( 14 Inch ) 16     FF Sachet + Grass</v>
      </c>
      <c r="R98" s="35" t="str">
        <f>VLOOKUP(A98,'[1]25-07-26'!$A$2:$T$114,20,0)</f>
        <v>P n Y Spray Daisy ( 14 Inch ) 5     FF Sachet + Grass</v>
      </c>
      <c r="S98" s="35" t="str">
        <f>VLOOKUP(A98,'[2]01-08-26'!$A$2:$T$118,20,0)</f>
        <v>Glad 3     FF Sachet + Grass</v>
      </c>
      <c r="T98" s="35" t="s">
        <v>460</v>
      </c>
      <c r="U98" s="35">
        <v>3</v>
      </c>
      <c r="V98" s="35"/>
      <c r="W98" s="35"/>
      <c r="X98" s="35"/>
      <c r="Y98" s="35"/>
      <c r="Z98" s="35" t="s">
        <v>468</v>
      </c>
      <c r="AA98" s="35"/>
      <c r="AB98" s="35"/>
      <c r="AC98" s="35"/>
      <c r="AD98" s="35"/>
    </row>
    <row r="99" spans="1:30" ht="121.6" hidden="1" customHeight="1" x14ac:dyDescent="0.3">
      <c r="A99" s="1">
        <v>2626</v>
      </c>
      <c r="B99" s="18" t="s">
        <v>401</v>
      </c>
      <c r="C99" s="10" t="s">
        <v>402</v>
      </c>
      <c r="D99" s="10" t="s">
        <v>403</v>
      </c>
      <c r="E99" s="10" t="s">
        <v>28</v>
      </c>
      <c r="F99" s="10" t="s">
        <v>17</v>
      </c>
      <c r="G99" s="11" t="s">
        <v>18</v>
      </c>
      <c r="H99" s="12">
        <v>1450</v>
      </c>
      <c r="I99" s="12">
        <v>362.5</v>
      </c>
      <c r="J99" s="10" t="s">
        <v>19</v>
      </c>
      <c r="K99" s="32" t="s">
        <v>404</v>
      </c>
      <c r="L99" s="12"/>
      <c r="M99" s="12"/>
      <c r="N99" s="14" t="s">
        <v>405</v>
      </c>
      <c r="O99" s="35" t="str">
        <f>VLOOKUP(A99,'[1]04-07-26'!$A$2:$T$121,20,0)</f>
        <v>W Asiatic ( 14 Inch ) 2 Mix Alstroemeria ( 12 Inch ) 7   Grass</v>
      </c>
      <c r="P99" s="35" t="str">
        <f>VLOOKUP(A99,'[1]11-07-26'!$A$2:$T$125,20,0)</f>
        <v>P Spray Daisy ( 14 Inch ) 3 Rajni ( 14 inch ) 7   FF sachet + Car</v>
      </c>
      <c r="Q99" s="35" t="str">
        <f>VLOOKUP(A99,'[1]18-07-26'!$A$2:$T$132,20,0)</f>
        <v>P Eustoma ( 12 Inch ) 2 Mix Glad ( 14 Inch ) 7   FF Sachet + Grass</v>
      </c>
      <c r="R99" s="35" t="str">
        <f>VLOOKUP(A99,'[1]25-07-26'!$A$2:$T$114,20,0)</f>
        <v>Sunflower ( 12 Inch ) 2 P n W Car ( 14 Inch ) 7   FF Sachet + Grass</v>
      </c>
      <c r="S99" s="35" t="str">
        <f>VLOOKUP(A99,'[2]01-08-26'!$A$2:$T$118,20,0)</f>
        <v>O Asiatic ( 14 Inch ) 2 Mix Glad ( 14 Inch ) 7   Grass</v>
      </c>
      <c r="T99" s="35" t="s">
        <v>482</v>
      </c>
      <c r="U99" s="35">
        <v>3</v>
      </c>
      <c r="V99" s="35" t="s">
        <v>459</v>
      </c>
      <c r="W99" s="35">
        <v>7</v>
      </c>
      <c r="X99" s="35"/>
      <c r="Y99" s="35"/>
      <c r="Z99" s="35" t="s">
        <v>467</v>
      </c>
      <c r="AA99" s="35"/>
      <c r="AB99" s="35"/>
      <c r="AC99" s="35"/>
      <c r="AD99" s="35"/>
    </row>
    <row r="100" spans="1:30" ht="121.6" hidden="1" customHeight="1" x14ac:dyDescent="0.3">
      <c r="A100" s="1">
        <v>2853</v>
      </c>
      <c r="B100" s="8" t="s">
        <v>406</v>
      </c>
      <c r="C100" s="12">
        <v>9810905651</v>
      </c>
      <c r="D100" s="10" t="s">
        <v>407</v>
      </c>
      <c r="E100" s="10" t="s">
        <v>408</v>
      </c>
      <c r="F100" s="10" t="s">
        <v>17</v>
      </c>
      <c r="G100" s="11" t="s">
        <v>18</v>
      </c>
      <c r="H100" s="12">
        <v>1450</v>
      </c>
      <c r="I100" s="12">
        <v>362.5</v>
      </c>
      <c r="J100" s="10" t="s">
        <v>19</v>
      </c>
      <c r="K100" s="10" t="s">
        <v>409</v>
      </c>
      <c r="L100" s="12"/>
      <c r="M100" s="12"/>
      <c r="N100" s="14" t="s">
        <v>333</v>
      </c>
      <c r="O100" s="35" t="str">
        <f>VLOOKUP(A100,'[1]04-07-26'!$A$2:$T$121,20,0)</f>
        <v>Sunflower ( 12 Inch ) 2 P n W Glad ( 14 Inch ) 7   FF Sachet + Grass</v>
      </c>
      <c r="P100" s="35" t="str">
        <f>VLOOKUP(A100,'[1]11-07-26'!$A$2:$T$125,20,0)</f>
        <v>P Asiatic ( 14 Inch ) 2 Rajni ( 14 inch ) 7   Grass</v>
      </c>
      <c r="Q100" s="35" t="str">
        <f>VLOOKUP(A100,'[1]18-07-26'!$A$2:$T$132,20,0)</f>
        <v>P Eustoma ( 12 Inch ) 2 Mix Alstroemeria ( 12 Inch ) 7   FF Sachet + Grass</v>
      </c>
      <c r="R100" s="35" t="str">
        <f>VLOOKUP(A100,'[1]25-07-26'!$A$2:$T$114,20,0)</f>
        <v>Y Button  Daisy ( 14 Inch ) 3 P n W Car ( 14 Inch ) 7   FF Sachet + Grass</v>
      </c>
      <c r="S100" s="35" t="str">
        <f>VLOOKUP(A100,'[2]01-08-26'!$A$2:$T$118,20,0)</f>
        <v>Sunflower ( 12 Inch ) 2 Mix Glad ( 14 Inch ) 7   FF Sachet + Grass</v>
      </c>
      <c r="T100" s="35" t="s">
        <v>460</v>
      </c>
      <c r="U100" s="35">
        <v>2</v>
      </c>
      <c r="V100" s="35" t="s">
        <v>459</v>
      </c>
      <c r="W100" s="35">
        <v>7</v>
      </c>
      <c r="X100" s="35"/>
      <c r="Y100" s="35"/>
      <c r="Z100" s="35" t="s">
        <v>468</v>
      </c>
      <c r="AA100" s="35"/>
      <c r="AB100" s="35"/>
      <c r="AC100" s="35"/>
      <c r="AD100" s="35"/>
    </row>
    <row r="101" spans="1:30" ht="121.6" hidden="1" customHeight="1" x14ac:dyDescent="0.3">
      <c r="A101" s="1">
        <v>1975</v>
      </c>
      <c r="B101" s="8" t="s">
        <v>410</v>
      </c>
      <c r="C101" s="1" t="s">
        <v>411</v>
      </c>
      <c r="D101" s="13" t="s">
        <v>412</v>
      </c>
      <c r="E101" s="10" t="s">
        <v>40</v>
      </c>
      <c r="F101" s="10" t="s">
        <v>17</v>
      </c>
      <c r="G101" s="11" t="s">
        <v>18</v>
      </c>
      <c r="H101" s="12">
        <v>1950</v>
      </c>
      <c r="I101" s="12">
        <v>487.5</v>
      </c>
      <c r="J101" s="10" t="s">
        <v>86</v>
      </c>
      <c r="K101" s="10" t="s">
        <v>413</v>
      </c>
      <c r="L101" s="10" t="s">
        <v>414</v>
      </c>
      <c r="M101" s="12"/>
      <c r="N101" s="14" t="s">
        <v>415</v>
      </c>
      <c r="O101" s="35" t="str">
        <f>VLOOKUP(A101,'[1]04-07-26'!$A$2:$T$121,20,0)</f>
        <v>W Asiatic ( 14 Inch ) 4     Grass</v>
      </c>
      <c r="P101" s="35" t="str">
        <f>VLOOKUP(A101,'[1]11-07-26'!$A$2:$T$125,20,0)</f>
        <v>Sunflower ( 12 Inch ) 5     FF sachet + Car</v>
      </c>
      <c r="Q101" s="35" t="str">
        <f>VLOOKUP(A101,'[1]18-07-26'!$A$2:$T$132,20,0)</f>
        <v>G n W Car ( 14 Inch ) 22   Collect payment Collect payment FF Sachet + Grass</v>
      </c>
      <c r="R101" s="35" t="str">
        <f>VLOOKUP(A101,'[1]25-07-26'!$A$2:$T$114,20,0)</f>
        <v>Pur n P Eustoma ( 12 Inch ) 4     FF Sachet + Grass</v>
      </c>
      <c r="S101" s="35" t="str">
        <f>VLOOKUP(A101,'[2]01-08-26'!$A$2:$T$118,20,0)</f>
        <v>P n W Glad ( 14 Inch ) 22     Grass</v>
      </c>
      <c r="T101" s="35" t="s">
        <v>549</v>
      </c>
      <c r="U101" s="35">
        <v>7</v>
      </c>
      <c r="V101" s="35"/>
      <c r="W101" s="35"/>
      <c r="X101" s="35"/>
      <c r="Y101" s="35"/>
      <c r="Z101" s="35" t="s">
        <v>467</v>
      </c>
      <c r="AA101" s="35"/>
      <c r="AB101" s="35"/>
      <c r="AC101" s="35"/>
      <c r="AD101" s="35"/>
    </row>
    <row r="102" spans="1:30" ht="121.6" hidden="1" customHeight="1" x14ac:dyDescent="0.3">
      <c r="A102" s="1">
        <v>3400</v>
      </c>
      <c r="B102" s="8" t="s">
        <v>416</v>
      </c>
      <c r="C102" s="12">
        <v>8527634071</v>
      </c>
      <c r="D102" s="10" t="s">
        <v>417</v>
      </c>
      <c r="E102" s="10" t="s">
        <v>40</v>
      </c>
      <c r="F102" s="10" t="s">
        <v>17</v>
      </c>
      <c r="G102" s="10" t="s">
        <v>63</v>
      </c>
      <c r="H102" s="12">
        <v>1950</v>
      </c>
      <c r="I102" s="12">
        <v>487.5</v>
      </c>
      <c r="J102" s="10" t="s">
        <v>86</v>
      </c>
      <c r="K102" s="12"/>
      <c r="L102" s="12"/>
      <c r="M102" s="12"/>
      <c r="N102" s="14" t="s">
        <v>296</v>
      </c>
      <c r="O102" s="35" t="e">
        <f>VLOOKUP(A102,'[1]04-07-26'!$A$2:$T$121,20,0)</f>
        <v>#N/A</v>
      </c>
      <c r="P102" s="35" t="e">
        <f>VLOOKUP(A102,'[1]11-07-26'!$A$2:$T$125,20,0)</f>
        <v>#N/A</v>
      </c>
      <c r="Q102" s="35" t="str">
        <f>VLOOKUP(A102,'[1]18-07-26'!$A$2:$T$132,20,0)</f>
        <v>O Asiatic ( 14 Inch ) 4     Grass</v>
      </c>
      <c r="R102" s="35" t="str">
        <f>VLOOKUP(A102,'[1]25-07-26'!$A$2:$T$114,20,0)</f>
        <v>O Glad ( 14 Inch ) 22     Grass</v>
      </c>
      <c r="S102" s="35" t="str">
        <f>VLOOKUP(A102,'[2]01-08-26'!$A$2:$T$118,20,0)</f>
        <v>P n Y Spray Daisy ( 14 Inch ) 7     FF Sachet + Grass</v>
      </c>
      <c r="T102" s="35" t="s">
        <v>459</v>
      </c>
      <c r="U102" s="35">
        <v>22</v>
      </c>
      <c r="V102" s="35"/>
      <c r="W102" s="35"/>
      <c r="X102" s="35"/>
      <c r="Y102" s="35"/>
      <c r="Z102" s="35" t="s">
        <v>467</v>
      </c>
      <c r="AA102" s="35"/>
      <c r="AB102" s="35"/>
      <c r="AC102" s="35"/>
      <c r="AD102" s="35"/>
    </row>
    <row r="103" spans="1:30" ht="121.6" customHeight="1" x14ac:dyDescent="0.3">
      <c r="A103" s="13" t="s">
        <v>418</v>
      </c>
      <c r="B103" s="8" t="s">
        <v>419</v>
      </c>
      <c r="C103" s="8">
        <v>9971048493</v>
      </c>
      <c r="D103" s="10" t="s">
        <v>420</v>
      </c>
      <c r="E103" s="10" t="s">
        <v>128</v>
      </c>
      <c r="F103" s="10" t="s">
        <v>371</v>
      </c>
      <c r="G103" s="10" t="s">
        <v>67</v>
      </c>
      <c r="H103" s="11">
        <v>600</v>
      </c>
      <c r="I103" s="12">
        <v>600</v>
      </c>
      <c r="J103" s="13" t="s">
        <v>357</v>
      </c>
      <c r="K103" s="10" t="s">
        <v>421</v>
      </c>
      <c r="L103" s="12"/>
      <c r="M103" s="12"/>
      <c r="N103" s="14" t="s">
        <v>422</v>
      </c>
      <c r="O103" s="35" t="e">
        <f>VLOOKUP(A103,'[1]04-07-26'!$A$2:$T$121,20,0)</f>
        <v>#N/A</v>
      </c>
      <c r="P103" s="35" t="e">
        <f>VLOOKUP(A103,'[1]11-07-26'!$A$2:$T$125,20,0)</f>
        <v>#N/A</v>
      </c>
      <c r="Q103" s="35" t="e">
        <f>VLOOKUP(A103,'[1]18-07-26'!$A$2:$T$132,20,0)</f>
        <v>#N/A</v>
      </c>
      <c r="R103" s="35" t="e">
        <f>VLOOKUP(A103,'[1]25-07-26'!$A$2:$T$114,20,0)</f>
        <v>#N/A</v>
      </c>
      <c r="S103" s="35" t="e">
        <f>VLOOKUP(A103,'[2]01-08-26'!$A$2:$T$118,20,0)</f>
        <v>#N/A</v>
      </c>
      <c r="T103" s="35" t="s">
        <v>465</v>
      </c>
      <c r="U103" s="35">
        <v>15</v>
      </c>
      <c r="V103" s="35" t="s">
        <v>473</v>
      </c>
      <c r="W103" s="35"/>
      <c r="X103" s="35"/>
      <c r="Y103" s="35"/>
      <c r="Z103" s="35"/>
      <c r="AA103" s="35"/>
      <c r="AB103" s="35"/>
      <c r="AC103" s="35"/>
      <c r="AD103" s="35"/>
    </row>
    <row r="104" spans="1:30" ht="121.6" hidden="1" customHeight="1" x14ac:dyDescent="0.3">
      <c r="A104" s="1">
        <v>2373</v>
      </c>
      <c r="B104" s="8" t="s">
        <v>423</v>
      </c>
      <c r="C104" s="9">
        <v>9599318190</v>
      </c>
      <c r="D104" s="10" t="s">
        <v>424</v>
      </c>
      <c r="E104" s="10" t="s">
        <v>53</v>
      </c>
      <c r="F104" s="10" t="s">
        <v>17</v>
      </c>
      <c r="G104" s="16" t="s">
        <v>29</v>
      </c>
      <c r="H104" s="12">
        <v>1450</v>
      </c>
      <c r="I104" s="12">
        <v>362.5</v>
      </c>
      <c r="J104" s="33" t="s">
        <v>19</v>
      </c>
      <c r="K104" s="10" t="s">
        <v>425</v>
      </c>
      <c r="L104" s="10" t="s">
        <v>426</v>
      </c>
      <c r="M104" s="12" t="s">
        <v>427</v>
      </c>
      <c r="N104" s="14" t="s">
        <v>333</v>
      </c>
      <c r="O104" s="35" t="str">
        <f>VLOOKUP(A104,'[1]04-07-26'!$A$2:$T$121,20,0)</f>
        <v>O Asiatic ( 14 Inch ) 2     Grass</v>
      </c>
      <c r="P104" s="35" t="str">
        <f>VLOOKUP(A104,'[1]11-07-26'!$A$2:$T$125,20,0)</f>
        <v>R n W Car ( 14 Inch ) 16     FF sachet + Car</v>
      </c>
      <c r="Q104" s="35" t="str">
        <f>VLOOKUP(A104,'[1]18-07-26'!$A$2:$T$132,20,0)</f>
        <v>P n W Spray Daisy ( 14 Inch ) 5     FF Sachet + Grass</v>
      </c>
      <c r="R104" s="35" t="str">
        <f>VLOOKUP(A104,'[1]25-07-26'!$A$2:$T$114,20,0)</f>
        <v xml:space="preserve">P Car 16     </v>
      </c>
      <c r="S104" s="35" t="str">
        <f>VLOOKUP(A104,'[2]01-08-26'!$A$2:$T$118,20,0)</f>
        <v>Mix Alstroemeria ( 12 Inch ) 16     FF Sachet + Grass</v>
      </c>
      <c r="T104" s="35" t="s">
        <v>464</v>
      </c>
      <c r="U104" s="35">
        <v>5</v>
      </c>
      <c r="V104" s="35"/>
      <c r="W104" s="35"/>
      <c r="X104" s="35"/>
      <c r="Y104" s="35"/>
      <c r="Z104" s="35" t="s">
        <v>467</v>
      </c>
      <c r="AA104" s="35"/>
      <c r="AB104" s="35"/>
      <c r="AC104" s="35"/>
      <c r="AD104" s="35"/>
    </row>
    <row r="105" spans="1:30" ht="121.6" hidden="1" customHeight="1" x14ac:dyDescent="0.3">
      <c r="A105" s="1">
        <v>2411</v>
      </c>
      <c r="B105" s="8" t="s">
        <v>428</v>
      </c>
      <c r="C105" s="1">
        <v>9873670489</v>
      </c>
      <c r="D105" s="1" t="s">
        <v>429</v>
      </c>
      <c r="E105" s="10" t="s">
        <v>44</v>
      </c>
      <c r="F105" s="10" t="s">
        <v>17</v>
      </c>
      <c r="G105" s="11" t="s">
        <v>18</v>
      </c>
      <c r="H105" s="10">
        <v>1450</v>
      </c>
      <c r="I105" s="12">
        <v>362.5</v>
      </c>
      <c r="J105" s="10" t="s">
        <v>19</v>
      </c>
      <c r="K105" s="10" t="s">
        <v>430</v>
      </c>
      <c r="L105" s="12"/>
      <c r="M105" s="12"/>
      <c r="N105" s="14" t="s">
        <v>333</v>
      </c>
      <c r="O105" s="35" t="str">
        <f>VLOOKUP(A105,'[1]04-07-26'!$A$2:$T$121,20,0)</f>
        <v>W Asiatic ( 14 Inch ) 2 Mix Alstroemeria ( 12 Inch ) 7   Grass</v>
      </c>
      <c r="P105" s="35" t="str">
        <f>VLOOKUP(A105,'[1]11-07-26'!$A$2:$T$125,20,0)</f>
        <v>P Spray Daisy ( 14 Inch ) 3 Rajni ( 14 inch ) 7   FF sachet + Car</v>
      </c>
      <c r="Q105" s="35" t="str">
        <f>VLOOKUP(A105,'[1]18-07-26'!$A$2:$T$132,20,0)</f>
        <v>Pur Eustoma ( 12 Inch ) 2 Mix Glad ( 14 Inch ) 7 Collect payment Collect payment FF Sachet + Grass</v>
      </c>
      <c r="R105" s="35" t="str">
        <f>VLOOKUP(A105,'[1]25-07-26'!$A$2:$T$114,20,0)</f>
        <v>Sunflower ( 12 Inch ) 2 P n W Car ( 14 Inch ) 7   FF Sachet + Grass</v>
      </c>
      <c r="S105" s="35" t="str">
        <f>VLOOKUP(A105,'[2]01-08-26'!$A$2:$T$118,20,0)</f>
        <v>O Asiatic ( 14 Inch ) 2 Mix Glad ( 14 Inch ) 7   Grass</v>
      </c>
      <c r="T105" s="35" t="s">
        <v>482</v>
      </c>
      <c r="U105" s="35">
        <v>3</v>
      </c>
      <c r="V105" s="35" t="s">
        <v>459</v>
      </c>
      <c r="W105" s="35">
        <v>7</v>
      </c>
      <c r="X105" s="35"/>
      <c r="Y105" s="35"/>
      <c r="Z105" s="35" t="s">
        <v>467</v>
      </c>
      <c r="AA105" s="35"/>
      <c r="AB105" s="35"/>
      <c r="AC105" s="35"/>
      <c r="AD105" s="35"/>
    </row>
    <row r="106" spans="1:30" ht="121.6" hidden="1" customHeight="1" x14ac:dyDescent="0.3">
      <c r="A106" s="1">
        <v>146</v>
      </c>
      <c r="B106" s="8" t="s">
        <v>431</v>
      </c>
      <c r="C106" s="1">
        <v>9312666392</v>
      </c>
      <c r="D106" s="1" t="s">
        <v>432</v>
      </c>
      <c r="E106" s="10" t="s">
        <v>128</v>
      </c>
      <c r="F106" s="13" t="s">
        <v>17</v>
      </c>
      <c r="G106" s="11" t="s">
        <v>18</v>
      </c>
      <c r="H106" s="12">
        <v>1450</v>
      </c>
      <c r="I106" s="12">
        <v>362.5</v>
      </c>
      <c r="J106" s="10" t="s">
        <v>19</v>
      </c>
      <c r="K106" s="13" t="s">
        <v>433</v>
      </c>
      <c r="L106" s="10" t="s">
        <v>434</v>
      </c>
      <c r="M106" s="12" t="s">
        <v>435</v>
      </c>
      <c r="N106" s="14" t="s">
        <v>333</v>
      </c>
      <c r="O106" s="35" t="e">
        <f>VLOOKUP(A106,'[1]04-07-26'!$A$2:$T$121,20,0)</f>
        <v>#N/A</v>
      </c>
      <c r="P106" s="35" t="e">
        <f>VLOOKUP(A106,'[1]11-07-26'!$A$2:$T$125,20,0)</f>
        <v>#N/A</v>
      </c>
      <c r="Q106" s="35" t="str">
        <f>VLOOKUP(A106,'[1]18-07-26'!$A$2:$T$132,20,0)</f>
        <v>G n W Car ( 14 Inch ) 16     FF Sachet + Grass</v>
      </c>
      <c r="R106" s="35" t="str">
        <f>VLOOKUP(A106,'[1]25-07-26'!$A$2:$T$114,20,0)</f>
        <v>P Eustoma ( 12 Inch ) 3     FF Sachet + Grass</v>
      </c>
      <c r="S106" s="35" t="str">
        <f>VLOOKUP(A106,'[2]01-08-26'!$A$2:$T$118,20,0)</f>
        <v>Mix Alstroemeria ( 12 Inch ) 16     FF Sachet + Grass</v>
      </c>
      <c r="T106" s="35" t="s">
        <v>481</v>
      </c>
      <c r="U106" s="35">
        <v>5</v>
      </c>
      <c r="V106" s="35"/>
      <c r="W106" s="35"/>
      <c r="X106" s="35"/>
      <c r="Y106" s="35"/>
      <c r="Z106" s="35" t="s">
        <v>467</v>
      </c>
      <c r="AA106" s="35"/>
      <c r="AB106" s="35"/>
      <c r="AC106" s="35"/>
      <c r="AD106" s="35"/>
    </row>
    <row r="107" spans="1:30" ht="121.6" hidden="1" customHeight="1" x14ac:dyDescent="0.3">
      <c r="A107" s="1">
        <v>790</v>
      </c>
      <c r="B107" s="8" t="s">
        <v>436</v>
      </c>
      <c r="C107" s="12">
        <v>8800604888</v>
      </c>
      <c r="D107" s="10" t="s">
        <v>437</v>
      </c>
      <c r="E107" s="10" t="s">
        <v>53</v>
      </c>
      <c r="F107" s="34" t="s">
        <v>17</v>
      </c>
      <c r="G107" s="10" t="s">
        <v>29</v>
      </c>
      <c r="H107" s="12">
        <v>1450</v>
      </c>
      <c r="I107" s="12">
        <v>362.5</v>
      </c>
      <c r="J107" s="10" t="s">
        <v>19</v>
      </c>
      <c r="K107" s="10" t="s">
        <v>438</v>
      </c>
      <c r="L107" s="10"/>
      <c r="M107" s="10" t="s">
        <v>439</v>
      </c>
      <c r="N107" s="14" t="s">
        <v>333</v>
      </c>
      <c r="O107" s="35" t="str">
        <f>VLOOKUP(A107,'[1]04-07-26'!$A$2:$T$121,20,0)</f>
        <v>Sunflower ( 12 Inch ) 2 Pur n P Car ( 14 Inch ) 7   FF Sachet + Grass</v>
      </c>
      <c r="P107" s="35" t="str">
        <f>VLOOKUP(A107,'[1]11-07-26'!$A$2:$T$125,20,0)</f>
        <v>P Spray Daisy ( 14 Inch ) 3 Mix Alstroemeria ( 12  Inch ) 7   FF sachet + Car</v>
      </c>
      <c r="Q107" s="35" t="e">
        <f>VLOOKUP(A107,'[1]18-07-26'!$A$2:$T$132,20,0)</f>
        <v>#N/A</v>
      </c>
      <c r="R107" s="35" t="str">
        <f>VLOOKUP(A107,'[1]25-07-26'!$A$2:$T$114,20,0)</f>
        <v xml:space="preserve">W Asiatic ( 14 Inch ) 2 O Glad ( 14 Inch ) 7   </v>
      </c>
      <c r="S107" s="35" t="str">
        <f>VLOOKUP(A107,'[2]01-08-26'!$A$2:$T$118,20,0)</f>
        <v>P Eustoma ( 12 Inch ) 2 P n W Car ( 14 Inch ) 7   FF Sachet + Grass</v>
      </c>
      <c r="T107" s="35" t="s">
        <v>463</v>
      </c>
      <c r="U107" s="35">
        <v>2</v>
      </c>
      <c r="V107" s="35" t="s">
        <v>459</v>
      </c>
      <c r="W107" s="35">
        <v>7</v>
      </c>
      <c r="X107" s="35"/>
      <c r="Y107" s="35"/>
      <c r="Z107" s="35" t="s">
        <v>467</v>
      </c>
      <c r="AA107" s="35"/>
      <c r="AB107" s="35"/>
      <c r="AC107" s="35"/>
      <c r="AD107" s="35"/>
    </row>
    <row r="108" spans="1:30" ht="121.6" hidden="1" customHeight="1" x14ac:dyDescent="0.3">
      <c r="A108" s="1">
        <v>3327</v>
      </c>
      <c r="B108" s="8" t="s">
        <v>440</v>
      </c>
      <c r="C108" s="12">
        <v>9731958033</v>
      </c>
      <c r="D108" s="10" t="s">
        <v>441</v>
      </c>
      <c r="E108" s="10" t="s">
        <v>53</v>
      </c>
      <c r="F108" s="10" t="s">
        <v>17</v>
      </c>
      <c r="G108" s="11" t="s">
        <v>63</v>
      </c>
      <c r="H108" s="12">
        <v>1450</v>
      </c>
      <c r="I108" s="12">
        <v>362.5</v>
      </c>
      <c r="J108" s="13" t="s">
        <v>19</v>
      </c>
      <c r="K108" s="12"/>
      <c r="L108" s="12"/>
      <c r="M108" s="12"/>
      <c r="N108" s="14" t="s">
        <v>333</v>
      </c>
      <c r="O108" s="35" t="str">
        <f>VLOOKUP(A108,'[1]04-07-26'!$A$2:$T$121,20,0)</f>
        <v>W Asiatic ( 14 Inch ) 3     Grass</v>
      </c>
      <c r="P108" s="35" t="str">
        <f>VLOOKUP(A108,'[1]11-07-26'!$A$2:$T$125,20,0)</f>
        <v>Rajni ( 14 Inch ) 16     Grass</v>
      </c>
      <c r="Q108" s="35" t="str">
        <f>VLOOKUP(A108,'[1]18-07-26'!$A$2:$T$132,20,0)</f>
        <v>Mix Alstroemeria ( 12 Inch ) 16     Grass</v>
      </c>
      <c r="R108" s="35" t="str">
        <f>VLOOKUP(A108,'[1]25-07-26'!$A$2:$T$114,20,0)</f>
        <v>Sunflower ( 12 Inch ) 4     FF Sachet + Grass</v>
      </c>
      <c r="S108" s="35" t="str">
        <f>VLOOKUP(A108,'[2]01-08-26'!$A$2:$T$118,20,0)</f>
        <v>Mix Glad ( 14 Inch ) 16     Grass</v>
      </c>
      <c r="T108" s="35" t="s">
        <v>464</v>
      </c>
      <c r="U108" s="35">
        <v>5</v>
      </c>
      <c r="V108" s="35"/>
      <c r="W108" s="35"/>
      <c r="X108" s="35"/>
      <c r="Y108" s="35"/>
      <c r="Z108" s="35" t="s">
        <v>467</v>
      </c>
      <c r="AA108" s="35"/>
      <c r="AB108" s="35"/>
      <c r="AC108" s="35"/>
      <c r="AD108" s="35"/>
    </row>
    <row r="109" spans="1:30" ht="111.8" x14ac:dyDescent="0.3">
      <c r="A109" s="13" t="s">
        <v>541</v>
      </c>
      <c r="B109" s="8">
        <v>9810309801</v>
      </c>
      <c r="C109" s="8">
        <v>9810309801</v>
      </c>
      <c r="D109" s="10" t="s">
        <v>543</v>
      </c>
      <c r="E109" s="10" t="s">
        <v>94</v>
      </c>
      <c r="F109" s="10" t="s">
        <v>17</v>
      </c>
      <c r="G109" s="10" t="s">
        <v>356</v>
      </c>
      <c r="H109" s="12">
        <v>800</v>
      </c>
      <c r="I109" s="12">
        <f>H109</f>
        <v>800</v>
      </c>
      <c r="J109" s="10" t="s">
        <v>357</v>
      </c>
      <c r="K109" s="10" t="s">
        <v>545</v>
      </c>
      <c r="L109" s="10"/>
      <c r="M109" s="10"/>
      <c r="N109" s="14" t="s">
        <v>296</v>
      </c>
      <c r="O109" s="35"/>
      <c r="P109" s="35"/>
      <c r="Q109" s="35"/>
      <c r="R109" s="35"/>
      <c r="S109" s="35"/>
      <c r="T109" s="35" t="s">
        <v>546</v>
      </c>
      <c r="U109" s="35">
        <v>20</v>
      </c>
      <c r="V109" s="35"/>
      <c r="W109" s="35"/>
      <c r="X109" s="35"/>
      <c r="Y109" s="35"/>
      <c r="Z109" s="35" t="s">
        <v>547</v>
      </c>
      <c r="AA109" s="35"/>
      <c r="AB109" s="35"/>
      <c r="AC109" s="35"/>
      <c r="AD109" s="35"/>
    </row>
    <row r="110" spans="1:30" ht="111.8" hidden="1" x14ac:dyDescent="0.3">
      <c r="A110" s="1">
        <v>3425</v>
      </c>
      <c r="B110" s="8" t="s">
        <v>542</v>
      </c>
      <c r="C110" s="12">
        <v>9953944558</v>
      </c>
      <c r="D110" s="10" t="s">
        <v>544</v>
      </c>
      <c r="E110" s="10" t="s">
        <v>53</v>
      </c>
      <c r="F110" s="10" t="s">
        <v>17</v>
      </c>
      <c r="G110" s="10" t="s">
        <v>63</v>
      </c>
      <c r="H110" s="12">
        <v>1450</v>
      </c>
      <c r="I110" s="12">
        <f>H110/4</f>
        <v>362.5</v>
      </c>
      <c r="J110" s="10" t="s">
        <v>19</v>
      </c>
      <c r="K110" s="12"/>
      <c r="L110" s="12"/>
      <c r="M110" s="12"/>
      <c r="N110" s="14" t="s">
        <v>296</v>
      </c>
      <c r="O110" s="35"/>
      <c r="P110" s="35"/>
      <c r="Q110" s="35"/>
      <c r="R110" s="35"/>
      <c r="S110" s="35"/>
      <c r="T110" s="35" t="s">
        <v>548</v>
      </c>
      <c r="U110" s="35">
        <v>16</v>
      </c>
      <c r="V110" s="35"/>
      <c r="W110" s="35"/>
      <c r="X110" s="35"/>
      <c r="Y110" s="35"/>
      <c r="Z110" s="35" t="s">
        <v>467</v>
      </c>
      <c r="AA110" s="35"/>
      <c r="AB110" s="35"/>
      <c r="AC110" s="35"/>
      <c r="AD110" s="35"/>
    </row>
  </sheetData>
  <autoFilter ref="A1:AD110" xr:uid="{F20892CD-82AD-4012-B503-E0E4E28A83EE}">
    <filterColumn colId="9">
      <filters>
        <filter val="Bouque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6ED9-7E42-4ADB-8ED5-D30BC37DCFB4}">
  <dimension ref="A1:R58"/>
  <sheetViews>
    <sheetView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H30" sqref="H30"/>
    </sheetView>
  </sheetViews>
  <sheetFormatPr defaultRowHeight="14" x14ac:dyDescent="0.3"/>
  <sheetData>
    <row r="1" spans="1:18" ht="41.95" x14ac:dyDescent="0.3">
      <c r="A1" s="37"/>
      <c r="B1" s="37" t="s">
        <v>136</v>
      </c>
      <c r="C1" s="38" t="s">
        <v>97</v>
      </c>
      <c r="D1" s="38" t="s">
        <v>494</v>
      </c>
      <c r="E1" s="38" t="s">
        <v>426</v>
      </c>
      <c r="F1" s="38" t="s">
        <v>495</v>
      </c>
      <c r="G1" s="38" t="s">
        <v>315</v>
      </c>
      <c r="H1" s="38" t="s">
        <v>496</v>
      </c>
      <c r="I1" s="38" t="s">
        <v>497</v>
      </c>
      <c r="J1" s="38" t="s">
        <v>498</v>
      </c>
      <c r="K1" s="38" t="s">
        <v>499</v>
      </c>
      <c r="L1" s="39" t="s">
        <v>500</v>
      </c>
      <c r="M1" s="39" t="s">
        <v>501</v>
      </c>
      <c r="N1" s="39" t="s">
        <v>502</v>
      </c>
      <c r="O1" s="40"/>
      <c r="P1" s="41" t="s">
        <v>503</v>
      </c>
      <c r="Q1" s="41" t="s">
        <v>504</v>
      </c>
      <c r="R1" s="40"/>
    </row>
    <row r="2" spans="1:18" x14ac:dyDescent="0.3">
      <c r="A2" s="42">
        <v>1450</v>
      </c>
      <c r="B2" s="43">
        <v>0.5</v>
      </c>
      <c r="C2" s="43">
        <v>4</v>
      </c>
      <c r="D2" s="43">
        <v>9.5</v>
      </c>
      <c r="E2" s="43">
        <v>9</v>
      </c>
      <c r="F2" s="43"/>
      <c r="G2" s="43">
        <v>6.5</v>
      </c>
      <c r="H2" s="43"/>
      <c r="I2" s="43">
        <v>11</v>
      </c>
      <c r="J2" s="45">
        <v>2</v>
      </c>
      <c r="K2" s="45">
        <v>11</v>
      </c>
      <c r="L2" s="43"/>
      <c r="M2" s="43"/>
      <c r="N2" s="43">
        <v>8</v>
      </c>
      <c r="O2" s="44">
        <f t="shared" ref="O2:O6" si="0">SUM(B2:N2)</f>
        <v>61.5</v>
      </c>
      <c r="P2" s="44">
        <f>(O2*A2)/4</f>
        <v>22293.75</v>
      </c>
      <c r="Q2" s="44"/>
      <c r="R2" s="44"/>
    </row>
    <row r="3" spans="1:18" x14ac:dyDescent="0.3">
      <c r="A3" s="42">
        <v>1950</v>
      </c>
      <c r="B3" s="43"/>
      <c r="C3" s="43">
        <v>6</v>
      </c>
      <c r="D3" s="43">
        <v>3</v>
      </c>
      <c r="E3" s="43"/>
      <c r="F3" s="43"/>
      <c r="G3" s="43">
        <v>2</v>
      </c>
      <c r="H3" s="43"/>
      <c r="I3" s="43">
        <v>2</v>
      </c>
      <c r="J3" s="43"/>
      <c r="K3" s="43">
        <v>3</v>
      </c>
      <c r="L3" s="43"/>
      <c r="M3" s="43"/>
      <c r="N3" s="43">
        <v>1</v>
      </c>
      <c r="O3" s="44">
        <f t="shared" si="0"/>
        <v>17</v>
      </c>
      <c r="P3" s="44">
        <f>(O3*A3)/4</f>
        <v>8287.5</v>
      </c>
      <c r="Q3" s="44"/>
      <c r="R3" s="44"/>
    </row>
    <row r="4" spans="1:18" x14ac:dyDescent="0.3">
      <c r="A4" s="42">
        <v>2750</v>
      </c>
      <c r="B4" s="43">
        <v>0.5</v>
      </c>
      <c r="C4" s="43"/>
      <c r="D4" s="43">
        <v>1.5</v>
      </c>
      <c r="E4" s="43"/>
      <c r="F4" s="43"/>
      <c r="G4" s="43"/>
      <c r="H4" s="43"/>
      <c r="I4" s="46">
        <v>1</v>
      </c>
      <c r="J4" s="46">
        <v>1</v>
      </c>
      <c r="K4" s="46">
        <v>1</v>
      </c>
      <c r="L4" s="46"/>
      <c r="M4" s="43">
        <v>1</v>
      </c>
      <c r="N4" s="43"/>
      <c r="O4" s="44">
        <f t="shared" si="0"/>
        <v>6</v>
      </c>
      <c r="P4" s="44">
        <f>(O4*A4)/4</f>
        <v>4125</v>
      </c>
      <c r="Q4" s="44"/>
      <c r="R4" s="44"/>
    </row>
    <row r="5" spans="1:18" x14ac:dyDescent="0.3">
      <c r="A5" s="42">
        <v>4750</v>
      </c>
      <c r="B5" s="43"/>
      <c r="C5" s="43"/>
      <c r="D5" s="43"/>
      <c r="E5" s="43"/>
      <c r="F5" s="43"/>
      <c r="G5" s="43"/>
      <c r="H5" s="43"/>
      <c r="I5" s="43">
        <v>0.5</v>
      </c>
      <c r="J5" s="43"/>
      <c r="K5" s="43"/>
      <c r="L5" s="43"/>
      <c r="M5" s="43">
        <v>0.5</v>
      </c>
      <c r="N5" s="43"/>
      <c r="O5" s="44">
        <f t="shared" si="0"/>
        <v>1</v>
      </c>
      <c r="P5" s="44">
        <f>(O5*A5)/4</f>
        <v>1187.5</v>
      </c>
      <c r="Q5" s="44"/>
      <c r="R5" s="44"/>
    </row>
    <row r="6" spans="1:18" x14ac:dyDescent="0.3">
      <c r="A6" s="37" t="s">
        <v>505</v>
      </c>
      <c r="B6" s="47">
        <f>SUM(B2:B5)</f>
        <v>1</v>
      </c>
      <c r="C6" s="47">
        <f>SUM(C2:C5)</f>
        <v>10</v>
      </c>
      <c r="D6" s="47">
        <f>SUM(D2:D5)</f>
        <v>14</v>
      </c>
      <c r="E6" s="47">
        <f>SUM(E2:E5)</f>
        <v>9</v>
      </c>
      <c r="F6" s="47">
        <f>SUM(F2:F5)</f>
        <v>0</v>
      </c>
      <c r="G6" s="47">
        <f>SUM(G2:G5)</f>
        <v>8.5</v>
      </c>
      <c r="H6" s="47">
        <f>SUM(H2:H5)</f>
        <v>0</v>
      </c>
      <c r="I6" s="47">
        <f>SUM(I2:I5)</f>
        <v>14.5</v>
      </c>
      <c r="J6" s="47">
        <f>SUM(J2:J5)</f>
        <v>3</v>
      </c>
      <c r="K6" s="47">
        <f>SUM(K2:K5)</f>
        <v>15</v>
      </c>
      <c r="L6" s="47">
        <f>SUM(L2:L5)</f>
        <v>0</v>
      </c>
      <c r="M6" s="47">
        <f>SUM(M2:M5)</f>
        <v>1.5</v>
      </c>
      <c r="N6" s="47">
        <f>SUM(N2:N5)</f>
        <v>9</v>
      </c>
      <c r="O6" s="44">
        <f t="shared" si="0"/>
        <v>85.5</v>
      </c>
      <c r="P6" s="48">
        <f>SUM(P2:P5)</f>
        <v>35893.75</v>
      </c>
      <c r="Q6" s="48">
        <f>P6</f>
        <v>35893.75</v>
      </c>
      <c r="R6" s="44"/>
    </row>
    <row r="7" spans="1:18" ht="27.95" x14ac:dyDescent="0.3">
      <c r="A7" s="42" t="s">
        <v>506</v>
      </c>
      <c r="B7" s="43">
        <v>22</v>
      </c>
      <c r="C7" s="43">
        <v>10</v>
      </c>
      <c r="D7" s="43">
        <v>10</v>
      </c>
      <c r="E7" s="43">
        <v>5</v>
      </c>
      <c r="F7" s="43">
        <v>10</v>
      </c>
      <c r="G7" s="43">
        <v>20</v>
      </c>
      <c r="H7" s="43">
        <v>20</v>
      </c>
      <c r="I7" s="43">
        <v>20</v>
      </c>
      <c r="J7" s="43">
        <v>10</v>
      </c>
      <c r="K7" s="43">
        <v>10</v>
      </c>
      <c r="L7" s="43">
        <v>10</v>
      </c>
      <c r="M7" s="43">
        <v>1</v>
      </c>
      <c r="N7" s="43">
        <v>10</v>
      </c>
      <c r="O7" s="44"/>
      <c r="P7" s="44"/>
      <c r="Q7" s="44"/>
      <c r="R7" s="44"/>
    </row>
    <row r="8" spans="1:18" ht="27.95" x14ac:dyDescent="0.3">
      <c r="A8" s="37" t="s">
        <v>507</v>
      </c>
      <c r="B8" s="39">
        <v>100</v>
      </c>
      <c r="C8" s="39">
        <v>325</v>
      </c>
      <c r="D8" s="39">
        <v>120</v>
      </c>
      <c r="E8" s="39">
        <v>130</v>
      </c>
      <c r="F8" s="39">
        <v>125</v>
      </c>
      <c r="G8" s="39">
        <v>300</v>
      </c>
      <c r="H8" s="39">
        <v>300</v>
      </c>
      <c r="I8" s="39">
        <v>150</v>
      </c>
      <c r="J8" s="39">
        <v>400</v>
      </c>
      <c r="K8" s="39">
        <v>650</v>
      </c>
      <c r="L8" s="39">
        <v>1150</v>
      </c>
      <c r="M8" s="39">
        <v>120</v>
      </c>
      <c r="N8" s="39">
        <v>550</v>
      </c>
      <c r="O8" s="44"/>
      <c r="P8" s="44"/>
      <c r="Q8" s="44"/>
      <c r="R8" s="44"/>
    </row>
    <row r="9" spans="1:18" x14ac:dyDescent="0.3">
      <c r="A9" s="42">
        <v>1450</v>
      </c>
      <c r="B9" s="43">
        <f>B2*16</f>
        <v>8</v>
      </c>
      <c r="C9" s="43">
        <f>C2*6</f>
        <v>24</v>
      </c>
      <c r="D9" s="43">
        <f>D2*16</f>
        <v>152</v>
      </c>
      <c r="E9" s="43">
        <f>E2*4</f>
        <v>36</v>
      </c>
      <c r="F9" s="45">
        <f>F2*16</f>
        <v>0</v>
      </c>
      <c r="G9" s="45">
        <f>G2*16</f>
        <v>104</v>
      </c>
      <c r="H9" s="45">
        <f>H2*16</f>
        <v>0</v>
      </c>
      <c r="I9" s="45">
        <f>I2*16</f>
        <v>176</v>
      </c>
      <c r="J9" s="45">
        <f>J2*6</f>
        <v>12</v>
      </c>
      <c r="K9" s="43">
        <f>K2*3.5</f>
        <v>38.5</v>
      </c>
      <c r="L9" s="43">
        <f>L2*2</f>
        <v>0</v>
      </c>
      <c r="M9" s="43">
        <f>M2*4</f>
        <v>0</v>
      </c>
      <c r="N9" s="43">
        <f>N2*3.5</f>
        <v>28</v>
      </c>
      <c r="O9" s="44">
        <f t="shared" ref="O9:O19" si="1">B9*($B$8/$B$7)+C9*($C$8/$C$7)+D9*($D$8/$D$7)+E9*($E$8/$E$7)+F9*($F$8/$F$7)+G9*($G$8/$G$7)+H9*($H$8/$H$7)+I9*($I$8/$I$7)+J9*($J$8/$J$7)+K9*($K$8/$K$7)+L9*($L$8/$L$7)+M9*($M$8/$M$7)+N9*($N$8/$N$7)</f>
        <v>10978.863636363636</v>
      </c>
      <c r="P9" s="44">
        <f>O2*(A2/4)</f>
        <v>22293.75</v>
      </c>
      <c r="Q9" s="44"/>
      <c r="R9" s="44">
        <f>P9-O9</f>
        <v>11314.886363636364</v>
      </c>
    </row>
    <row r="10" spans="1:18" x14ac:dyDescent="0.3">
      <c r="A10" s="42">
        <v>1950</v>
      </c>
      <c r="B10" s="43">
        <f>B3*22</f>
        <v>0</v>
      </c>
      <c r="C10" s="43">
        <f>C3*8</f>
        <v>48</v>
      </c>
      <c r="D10" s="43">
        <f>D3*22</f>
        <v>66</v>
      </c>
      <c r="E10" s="43">
        <f>E3*6</f>
        <v>0</v>
      </c>
      <c r="F10" s="45">
        <f>F3*22</f>
        <v>0</v>
      </c>
      <c r="G10" s="45">
        <f>G3*22</f>
        <v>44</v>
      </c>
      <c r="H10" s="45">
        <f>H3*22</f>
        <v>0</v>
      </c>
      <c r="I10" s="45">
        <f>I3*22</f>
        <v>44</v>
      </c>
      <c r="J10" s="45">
        <f>J3*8</f>
        <v>0</v>
      </c>
      <c r="K10" s="43">
        <f>K3*4</f>
        <v>12</v>
      </c>
      <c r="L10" s="43">
        <f>L3*3</f>
        <v>0</v>
      </c>
      <c r="M10" s="43">
        <f>M3*5</f>
        <v>0</v>
      </c>
      <c r="N10" s="43">
        <f>N3*4.5</f>
        <v>4.5</v>
      </c>
      <c r="O10" s="44">
        <f t="shared" si="1"/>
        <v>4369.5</v>
      </c>
      <c r="P10" s="44">
        <f>O3*(A3/4)</f>
        <v>8287.5</v>
      </c>
      <c r="Q10" s="44"/>
      <c r="R10" s="44">
        <f>P10-O10</f>
        <v>3918</v>
      </c>
    </row>
    <row r="11" spans="1:18" x14ac:dyDescent="0.3">
      <c r="A11" s="42">
        <v>2750</v>
      </c>
      <c r="B11" s="43">
        <f>B4*32</f>
        <v>16</v>
      </c>
      <c r="C11" s="43">
        <f>C4*10</f>
        <v>0</v>
      </c>
      <c r="D11" s="43">
        <f>D4*32</f>
        <v>48</v>
      </c>
      <c r="E11" s="43">
        <f>E4*8</f>
        <v>0</v>
      </c>
      <c r="F11" s="43">
        <f>F4*32</f>
        <v>0</v>
      </c>
      <c r="G11" s="43">
        <f>G4*32</f>
        <v>0</v>
      </c>
      <c r="H11" s="43">
        <f>H4*32</f>
        <v>0</v>
      </c>
      <c r="I11" s="45">
        <f>I4*32</f>
        <v>32</v>
      </c>
      <c r="J11" s="49">
        <f>J4*10</f>
        <v>10</v>
      </c>
      <c r="K11" s="43">
        <f>K4*7</f>
        <v>7</v>
      </c>
      <c r="L11" s="43">
        <f>L4*4</f>
        <v>0</v>
      </c>
      <c r="M11" s="43">
        <f>M4*7</f>
        <v>7</v>
      </c>
      <c r="N11" s="43">
        <f>N4*6.5</f>
        <v>0</v>
      </c>
      <c r="O11" s="44">
        <f t="shared" si="1"/>
        <v>2583.727272727273</v>
      </c>
      <c r="P11" s="44">
        <f>O4*(A4/4)</f>
        <v>4125</v>
      </c>
      <c r="Q11" s="44"/>
      <c r="R11" s="44">
        <f>P11-O11</f>
        <v>1541.272727272727</v>
      </c>
    </row>
    <row r="12" spans="1:18" x14ac:dyDescent="0.3">
      <c r="A12" s="42">
        <v>4750</v>
      </c>
      <c r="B12" s="43">
        <f>B5*60</f>
        <v>0</v>
      </c>
      <c r="C12" s="43">
        <f>C5*20</f>
        <v>0</v>
      </c>
      <c r="D12" s="43">
        <f>D5*60</f>
        <v>0</v>
      </c>
      <c r="E12" s="43">
        <f>E5*14</f>
        <v>0</v>
      </c>
      <c r="F12" s="45">
        <f>F5*60</f>
        <v>0</v>
      </c>
      <c r="G12" s="45">
        <f>G5*60</f>
        <v>0</v>
      </c>
      <c r="H12" s="45">
        <f>H5*60</f>
        <v>0</v>
      </c>
      <c r="I12" s="45">
        <f>I5*60</f>
        <v>30</v>
      </c>
      <c r="J12" s="45">
        <f>J5*22</f>
        <v>0</v>
      </c>
      <c r="K12" s="43">
        <f>K5*12</f>
        <v>0</v>
      </c>
      <c r="L12" s="43">
        <f>L5*8</f>
        <v>0</v>
      </c>
      <c r="M12" s="43">
        <f>M5*12</f>
        <v>6</v>
      </c>
      <c r="N12" s="43">
        <f>N5*12</f>
        <v>0</v>
      </c>
      <c r="O12" s="44">
        <f t="shared" si="1"/>
        <v>945</v>
      </c>
      <c r="P12" s="44">
        <f>O5*(A5/4)</f>
        <v>1187.5</v>
      </c>
      <c r="Q12" s="44"/>
      <c r="R12" s="44">
        <f>P12-O12</f>
        <v>242.5</v>
      </c>
    </row>
    <row r="13" spans="1:18" x14ac:dyDescent="0.3">
      <c r="A13" s="50" t="s">
        <v>357</v>
      </c>
      <c r="B13" s="51">
        <v>30</v>
      </c>
      <c r="C13" s="51"/>
      <c r="D13" s="51">
        <v>4</v>
      </c>
      <c r="E13" s="51"/>
      <c r="F13" s="51"/>
      <c r="G13" s="51">
        <v>5</v>
      </c>
      <c r="H13" s="51">
        <v>50</v>
      </c>
      <c r="I13" s="51">
        <v>10</v>
      </c>
      <c r="J13" s="51">
        <v>10</v>
      </c>
      <c r="K13" s="51"/>
      <c r="L13" s="51"/>
      <c r="M13" s="51"/>
      <c r="N13" s="43"/>
      <c r="O13" s="44">
        <f t="shared" si="1"/>
        <v>1484.3636363636365</v>
      </c>
      <c r="P13" s="44"/>
      <c r="Q13" s="44">
        <v>4700</v>
      </c>
      <c r="R13" s="44">
        <f>SUM(R9:R12)</f>
        <v>17016.659090909092</v>
      </c>
    </row>
    <row r="14" spans="1:18" ht="27.95" x14ac:dyDescent="0.3">
      <c r="A14" s="52" t="s">
        <v>508</v>
      </c>
      <c r="B14" s="51">
        <v>22</v>
      </c>
      <c r="C14" s="51">
        <v>6</v>
      </c>
      <c r="D14" s="51">
        <v>26</v>
      </c>
      <c r="E14" s="51">
        <v>2</v>
      </c>
      <c r="F14" s="51"/>
      <c r="G14" s="51">
        <v>42</v>
      </c>
      <c r="H14" s="51"/>
      <c r="I14" s="51"/>
      <c r="J14" s="51">
        <v>8</v>
      </c>
      <c r="K14" s="51">
        <v>6</v>
      </c>
      <c r="L14" s="51"/>
      <c r="M14" s="51"/>
      <c r="N14" s="51"/>
      <c r="O14" s="44">
        <f t="shared" si="1"/>
        <v>1999</v>
      </c>
      <c r="P14" s="44"/>
      <c r="Q14" s="44">
        <v>4000</v>
      </c>
      <c r="R14" s="44"/>
    </row>
    <row r="15" spans="1:18" ht="15.6" x14ac:dyDescent="0.3">
      <c r="A15" s="53" t="s">
        <v>509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44">
        <f t="shared" si="1"/>
        <v>0</v>
      </c>
      <c r="P15" s="44"/>
      <c r="Q15" s="55"/>
      <c r="R15" s="44"/>
    </row>
    <row r="16" spans="1:18" ht="15.6" x14ac:dyDescent="0.3">
      <c r="A16" s="53" t="s">
        <v>509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44">
        <f t="shared" si="1"/>
        <v>0</v>
      </c>
      <c r="P16" s="44"/>
      <c r="Q16" s="55"/>
      <c r="R16" s="44"/>
    </row>
    <row r="17" spans="1:18" ht="46.75" x14ac:dyDescent="0.3">
      <c r="A17" s="56" t="s">
        <v>510</v>
      </c>
      <c r="B17" s="54">
        <v>35</v>
      </c>
      <c r="C17" s="54"/>
      <c r="D17" s="54"/>
      <c r="E17" s="54"/>
      <c r="F17" s="54"/>
      <c r="G17" s="54"/>
      <c r="H17" s="54"/>
      <c r="I17" s="54">
        <v>12</v>
      </c>
      <c r="J17" s="54">
        <v>5</v>
      </c>
      <c r="K17" s="54">
        <v>15</v>
      </c>
      <c r="L17" s="54">
        <v>3</v>
      </c>
      <c r="M17" s="54">
        <v>3</v>
      </c>
      <c r="N17" s="54"/>
      <c r="O17" s="44">
        <f t="shared" si="1"/>
        <v>2129.090909090909</v>
      </c>
      <c r="P17" s="44"/>
      <c r="Q17" s="55">
        <v>4000</v>
      </c>
      <c r="R17" s="44"/>
    </row>
    <row r="18" spans="1:18" ht="27.95" x14ac:dyDescent="0.3">
      <c r="A18" s="57" t="s">
        <v>511</v>
      </c>
      <c r="B18" s="58">
        <v>40</v>
      </c>
      <c r="C18" s="58">
        <v>10</v>
      </c>
      <c r="D18" s="58"/>
      <c r="E18" s="58">
        <v>10</v>
      </c>
      <c r="F18" s="58">
        <v>20</v>
      </c>
      <c r="G18" s="58"/>
      <c r="H18" s="58">
        <v>20</v>
      </c>
      <c r="I18" s="58">
        <v>140</v>
      </c>
      <c r="J18" s="58">
        <v>10</v>
      </c>
      <c r="K18" s="58">
        <v>15</v>
      </c>
      <c r="L18" s="58">
        <v>15</v>
      </c>
      <c r="M18" s="58">
        <v>5</v>
      </c>
      <c r="N18" s="58"/>
      <c r="O18" s="44">
        <f t="shared" si="1"/>
        <v>6066.818181818182</v>
      </c>
      <c r="P18" s="44"/>
      <c r="Q18" s="44">
        <v>20000</v>
      </c>
      <c r="R18" s="44"/>
    </row>
    <row r="19" spans="1:18" x14ac:dyDescent="0.3">
      <c r="A19" s="59" t="s">
        <v>509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44">
        <f t="shared" si="1"/>
        <v>0</v>
      </c>
      <c r="P19" s="44"/>
      <c r="Q19" s="44"/>
      <c r="R19" s="44"/>
    </row>
    <row r="20" spans="1:18" x14ac:dyDescent="0.3">
      <c r="A20" s="42" t="s">
        <v>505</v>
      </c>
      <c r="B20" s="43">
        <f>SUM(B9:B19)</f>
        <v>151</v>
      </c>
      <c r="C20" s="43">
        <f>SUM(C9:C19)</f>
        <v>88</v>
      </c>
      <c r="D20" s="43">
        <f>SUM(D9:D19)</f>
        <v>296</v>
      </c>
      <c r="E20" s="43">
        <f>SUM(E9:E19)</f>
        <v>48</v>
      </c>
      <c r="F20" s="43">
        <f>SUM(F9:F19)</f>
        <v>20</v>
      </c>
      <c r="G20" s="43">
        <f>SUM(G9:G19)</f>
        <v>195</v>
      </c>
      <c r="H20" s="43">
        <f>SUM(H9:H19)</f>
        <v>70</v>
      </c>
      <c r="I20" s="43">
        <f>SUM(I9:I19)</f>
        <v>444</v>
      </c>
      <c r="J20" s="43">
        <f>SUM(J9:J19)</f>
        <v>55</v>
      </c>
      <c r="K20" s="43">
        <f>SUM(K9:K19)</f>
        <v>93.5</v>
      </c>
      <c r="L20" s="43">
        <f>SUM(L9:L19)</f>
        <v>18</v>
      </c>
      <c r="M20" s="43">
        <f>SUM(M9:M19)</f>
        <v>21</v>
      </c>
      <c r="N20" s="43">
        <f>SUM(N9:N19)</f>
        <v>32.5</v>
      </c>
      <c r="O20" s="44"/>
      <c r="P20" s="44"/>
      <c r="Q20" s="44"/>
      <c r="R20" s="44"/>
    </row>
    <row r="21" spans="1:18" ht="27.95" x14ac:dyDescent="0.3">
      <c r="A21" s="42" t="s">
        <v>512</v>
      </c>
      <c r="B21" s="43"/>
      <c r="C21" s="43">
        <v>25</v>
      </c>
      <c r="D21" s="43"/>
      <c r="E21" s="43"/>
      <c r="F21" s="43"/>
      <c r="G21" s="43"/>
      <c r="H21" s="43">
        <v>30</v>
      </c>
      <c r="I21" s="43">
        <v>30</v>
      </c>
      <c r="J21" s="43"/>
      <c r="K21" s="43">
        <v>20</v>
      </c>
      <c r="L21" s="43">
        <v>5</v>
      </c>
      <c r="M21" s="43"/>
      <c r="N21" s="43">
        <v>35</v>
      </c>
      <c r="O21" s="44">
        <f>B21*($B$8/$B$7)+C21*($C$8/$C$7)+D21*($D$8/$D$7)+E21*($E$8/$E$7)+F21*($F$8/$F$7)+G21*($G$8/$G$7)+H21*($H$8/$H$7)+I21*($I$8/$I$7)+J21*($J$8/$J$7)+K21*($K$8/$K$7)+L21*($L$8/$L$7)+M21*($M$8/$M$7)+N21*($N$8/$N$7)</f>
        <v>5287.5</v>
      </c>
      <c r="P21" s="44"/>
      <c r="Q21" s="44"/>
      <c r="R21" s="44"/>
    </row>
    <row r="22" spans="1:18" x14ac:dyDescent="0.3">
      <c r="A22" s="37" t="s">
        <v>513</v>
      </c>
      <c r="B22" s="60">
        <f t="shared" ref="B22:N22" si="2">B20-B21</f>
        <v>151</v>
      </c>
      <c r="C22" s="60">
        <f t="shared" si="2"/>
        <v>63</v>
      </c>
      <c r="D22" s="60">
        <f t="shared" si="2"/>
        <v>296</v>
      </c>
      <c r="E22" s="60">
        <f t="shared" si="2"/>
        <v>48</v>
      </c>
      <c r="F22" s="60">
        <f t="shared" si="2"/>
        <v>20</v>
      </c>
      <c r="G22" s="60">
        <f t="shared" si="2"/>
        <v>195</v>
      </c>
      <c r="H22" s="60">
        <f t="shared" si="2"/>
        <v>40</v>
      </c>
      <c r="I22" s="60">
        <f t="shared" si="2"/>
        <v>414</v>
      </c>
      <c r="J22" s="60">
        <f t="shared" si="2"/>
        <v>55</v>
      </c>
      <c r="K22" s="60">
        <f t="shared" si="2"/>
        <v>73.5</v>
      </c>
      <c r="L22" s="60">
        <f t="shared" si="2"/>
        <v>13</v>
      </c>
      <c r="M22" s="60">
        <f>M20-M21</f>
        <v>21</v>
      </c>
      <c r="N22" s="60">
        <f t="shared" si="2"/>
        <v>-2.5</v>
      </c>
      <c r="O22" s="40"/>
      <c r="P22" s="40"/>
      <c r="Q22" s="40"/>
      <c r="R22" s="40"/>
    </row>
    <row r="23" spans="1:18" x14ac:dyDescent="0.3">
      <c r="A23" s="42" t="s">
        <v>514</v>
      </c>
      <c r="B23" s="61">
        <v>0.1</v>
      </c>
      <c r="C23" s="61">
        <v>0.1</v>
      </c>
      <c r="D23" s="61">
        <v>0.1</v>
      </c>
      <c r="E23" s="61">
        <v>0.1</v>
      </c>
      <c r="F23" s="61">
        <v>0.15</v>
      </c>
      <c r="G23" s="61">
        <v>0.1</v>
      </c>
      <c r="H23" s="61">
        <v>0.1</v>
      </c>
      <c r="I23" s="61">
        <v>0.1</v>
      </c>
      <c r="J23" s="61">
        <v>0.15</v>
      </c>
      <c r="K23" s="61">
        <v>0.1</v>
      </c>
      <c r="L23" s="61">
        <v>0.05</v>
      </c>
      <c r="M23" s="61">
        <v>0.1</v>
      </c>
      <c r="N23" s="61">
        <v>0.1</v>
      </c>
      <c r="O23" s="40"/>
      <c r="P23" s="40"/>
      <c r="Q23" s="40"/>
      <c r="R23" s="40"/>
    </row>
    <row r="24" spans="1:18" ht="41.95" x14ac:dyDescent="0.3">
      <c r="A24" s="42" t="s">
        <v>515</v>
      </c>
      <c r="B24" s="62">
        <f t="shared" ref="B24:N24" si="3">B22+(B22*10%)</f>
        <v>166.1</v>
      </c>
      <c r="C24" s="62">
        <f t="shared" si="3"/>
        <v>69.3</v>
      </c>
      <c r="D24" s="62">
        <f t="shared" si="3"/>
        <v>325.60000000000002</v>
      </c>
      <c r="E24" s="62">
        <f>E22+(E22*15%)</f>
        <v>55.2</v>
      </c>
      <c r="F24" s="62">
        <f t="shared" si="3"/>
        <v>22</v>
      </c>
      <c r="G24" s="62">
        <f t="shared" si="3"/>
        <v>214.5</v>
      </c>
      <c r="H24" s="62">
        <f t="shared" si="3"/>
        <v>44</v>
      </c>
      <c r="I24" s="62">
        <f t="shared" si="3"/>
        <v>455.4</v>
      </c>
      <c r="J24" s="62">
        <f>J22+(J22*10%)</f>
        <v>60.5</v>
      </c>
      <c r="K24" s="62">
        <f t="shared" si="3"/>
        <v>80.849999999999994</v>
      </c>
      <c r="L24" s="62">
        <f t="shared" si="3"/>
        <v>14.3</v>
      </c>
      <c r="M24" s="62">
        <f t="shared" si="3"/>
        <v>23.1</v>
      </c>
      <c r="N24" s="62">
        <f t="shared" si="3"/>
        <v>-2.75</v>
      </c>
      <c r="O24" s="40"/>
      <c r="P24" s="40"/>
      <c r="Q24" s="40"/>
      <c r="R24" s="40"/>
    </row>
    <row r="25" spans="1:18" ht="27.95" x14ac:dyDescent="0.3">
      <c r="A25" s="42" t="s">
        <v>516</v>
      </c>
      <c r="B25" s="63">
        <f>B24/B7</f>
        <v>7.55</v>
      </c>
      <c r="C25" s="63">
        <f>C24/C7</f>
        <v>6.93</v>
      </c>
      <c r="D25" s="63">
        <f>D24/D7</f>
        <v>32.56</v>
      </c>
      <c r="E25" s="63">
        <f>E24/E7</f>
        <v>11.040000000000001</v>
      </c>
      <c r="F25" s="63">
        <f>F24/F7</f>
        <v>2.2000000000000002</v>
      </c>
      <c r="G25" s="63">
        <f>G24/G7</f>
        <v>10.725</v>
      </c>
      <c r="H25" s="63">
        <f>H24/H7</f>
        <v>2.2000000000000002</v>
      </c>
      <c r="I25" s="63">
        <f>I24/I7</f>
        <v>22.77</v>
      </c>
      <c r="J25" s="63">
        <f>J24/J7</f>
        <v>6.05</v>
      </c>
      <c r="K25" s="63">
        <f>K24/K7</f>
        <v>8.0849999999999991</v>
      </c>
      <c r="L25" s="63">
        <f>L24/L7</f>
        <v>1.4300000000000002</v>
      </c>
      <c r="M25" s="63">
        <f>M24/M7</f>
        <v>23.1</v>
      </c>
      <c r="N25" s="63">
        <f>N24/N7</f>
        <v>-0.27500000000000002</v>
      </c>
      <c r="O25" s="40"/>
      <c r="P25" s="40"/>
      <c r="Q25" s="40"/>
      <c r="R25" s="40"/>
    </row>
    <row r="26" spans="1:18" x14ac:dyDescent="0.3">
      <c r="A26" s="37" t="s">
        <v>517</v>
      </c>
      <c r="B26" s="39">
        <v>8</v>
      </c>
      <c r="C26" s="39">
        <v>8</v>
      </c>
      <c r="D26" s="39">
        <v>35</v>
      </c>
      <c r="E26" s="39">
        <v>11</v>
      </c>
      <c r="F26" s="39">
        <v>3</v>
      </c>
      <c r="G26" s="39">
        <v>11</v>
      </c>
      <c r="H26" s="39">
        <v>1</v>
      </c>
      <c r="I26" s="39">
        <v>25</v>
      </c>
      <c r="J26" s="39">
        <v>6</v>
      </c>
      <c r="K26" s="39">
        <v>9</v>
      </c>
      <c r="L26" s="39">
        <v>4</v>
      </c>
      <c r="M26" s="39">
        <v>20</v>
      </c>
      <c r="N26" s="39">
        <v>2</v>
      </c>
      <c r="O26" s="40"/>
      <c r="P26" s="40"/>
      <c r="Q26" s="40"/>
      <c r="R26" s="40"/>
    </row>
    <row r="27" spans="1:18" x14ac:dyDescent="0.3">
      <c r="A27" s="64"/>
      <c r="B27" s="65"/>
      <c r="C27" s="65"/>
      <c r="D27" s="65"/>
      <c r="E27" s="65"/>
      <c r="F27" s="65"/>
      <c r="G27" s="65"/>
      <c r="H27" s="65"/>
      <c r="I27" s="65">
        <v>7</v>
      </c>
      <c r="J27" s="65"/>
      <c r="K27" s="65"/>
      <c r="L27" s="65"/>
      <c r="M27" s="43"/>
      <c r="N27" s="39"/>
      <c r="O27" s="40"/>
      <c r="P27" s="40"/>
      <c r="Q27" s="40"/>
      <c r="R27" s="40"/>
    </row>
    <row r="28" spans="1:18" x14ac:dyDescent="0.3">
      <c r="A28" s="66"/>
      <c r="B28" s="67"/>
      <c r="C28" s="67">
        <v>3</v>
      </c>
      <c r="D28" s="67"/>
      <c r="E28" s="67"/>
      <c r="F28" s="67"/>
      <c r="G28" s="67"/>
      <c r="H28" s="67">
        <v>1</v>
      </c>
      <c r="I28" s="67">
        <v>5</v>
      </c>
      <c r="J28" s="67"/>
      <c r="K28" s="67"/>
      <c r="L28" s="67">
        <v>2</v>
      </c>
      <c r="M28" s="43"/>
      <c r="N28" s="43">
        <v>1</v>
      </c>
      <c r="O28" s="40"/>
      <c r="P28" s="40"/>
      <c r="Q28" s="40"/>
      <c r="R28" s="40"/>
    </row>
    <row r="29" spans="1:18" x14ac:dyDescent="0.3">
      <c r="A29" s="37"/>
      <c r="B29" s="43">
        <v>8</v>
      </c>
      <c r="C29" s="68">
        <v>1</v>
      </c>
      <c r="D29" s="43"/>
      <c r="E29" s="43"/>
      <c r="F29" s="43"/>
      <c r="G29" s="43"/>
      <c r="H29" s="43"/>
      <c r="I29" s="43">
        <v>11</v>
      </c>
      <c r="J29" s="43"/>
      <c r="K29" s="43">
        <v>4</v>
      </c>
      <c r="L29" s="43">
        <v>2</v>
      </c>
      <c r="M29" s="43"/>
      <c r="N29" s="43"/>
      <c r="O29" s="40"/>
      <c r="P29" s="40"/>
      <c r="Q29" s="40"/>
      <c r="R29" s="40"/>
    </row>
    <row r="30" spans="1:18" x14ac:dyDescent="0.3">
      <c r="A30" s="59"/>
      <c r="B30" s="69"/>
      <c r="C30" s="69">
        <v>3</v>
      </c>
      <c r="D30" s="69"/>
      <c r="E30" s="69"/>
      <c r="F30" s="69"/>
      <c r="G30" s="69"/>
      <c r="H30" s="69"/>
      <c r="I30" s="69">
        <v>1</v>
      </c>
      <c r="J30" s="69"/>
      <c r="K30" s="69"/>
      <c r="L30" s="69"/>
      <c r="M30" s="43"/>
      <c r="N30" s="43"/>
      <c r="O30" s="40"/>
      <c r="P30" s="40"/>
      <c r="Q30" s="40"/>
      <c r="R30" s="40"/>
    </row>
    <row r="31" spans="1:18" x14ac:dyDescent="0.3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>
        <v>5</v>
      </c>
      <c r="L31" s="71"/>
      <c r="M31" s="43"/>
      <c r="N31" s="43"/>
      <c r="O31" s="40"/>
      <c r="P31" s="40"/>
      <c r="Q31" s="40"/>
      <c r="R31" s="40"/>
    </row>
    <row r="32" spans="1:18" x14ac:dyDescent="0.3">
      <c r="A32" s="72"/>
      <c r="B32" s="73"/>
      <c r="C32" s="73"/>
      <c r="D32" s="73"/>
      <c r="E32" s="73"/>
      <c r="F32" s="73"/>
      <c r="G32" s="73"/>
      <c r="H32" s="73"/>
      <c r="I32" s="73">
        <v>1</v>
      </c>
      <c r="J32" s="73"/>
      <c r="K32" s="73"/>
      <c r="L32" s="73"/>
      <c r="M32" s="43"/>
      <c r="N32" s="43">
        <v>1</v>
      </c>
      <c r="O32" s="40"/>
      <c r="P32" s="40"/>
      <c r="Q32" s="40"/>
      <c r="R32" s="40"/>
    </row>
    <row r="33" spans="1:18" x14ac:dyDescent="0.3">
      <c r="A33" s="74"/>
      <c r="B33" s="75"/>
      <c r="C33" s="75">
        <v>1</v>
      </c>
      <c r="D33" s="75"/>
      <c r="E33" s="75"/>
      <c r="F33" s="75"/>
      <c r="G33" s="75"/>
      <c r="H33" s="75"/>
      <c r="I33" s="75"/>
      <c r="J33" s="75">
        <v>6</v>
      </c>
      <c r="K33" s="75"/>
      <c r="L33" s="75"/>
      <c r="M33" s="43"/>
      <c r="N33" s="43"/>
      <c r="O33" s="40"/>
      <c r="P33" s="40"/>
      <c r="Q33" s="40"/>
      <c r="R33" s="40"/>
    </row>
    <row r="34" spans="1:18" x14ac:dyDescent="0.3">
      <c r="A34" s="37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39"/>
      <c r="M34" s="39"/>
      <c r="N34" s="43"/>
      <c r="O34" s="40"/>
      <c r="P34" s="40"/>
      <c r="Q34" s="40"/>
      <c r="R34" s="40"/>
    </row>
    <row r="35" spans="1:18" ht="15.6" x14ac:dyDescent="0.3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40"/>
      <c r="P35" s="40"/>
      <c r="Q35" s="40"/>
      <c r="R35" s="40"/>
    </row>
    <row r="36" spans="1:18" x14ac:dyDescent="0.3">
      <c r="A36" s="39" t="s">
        <v>518</v>
      </c>
      <c r="B36" s="46">
        <f>B26*B8</f>
        <v>800</v>
      </c>
      <c r="C36" s="46">
        <f>C26*C8</f>
        <v>2600</v>
      </c>
      <c r="D36" s="46">
        <f>D26*D8</f>
        <v>4200</v>
      </c>
      <c r="E36" s="46">
        <f>E26*E8</f>
        <v>1430</v>
      </c>
      <c r="F36" s="46">
        <f>F26*F8</f>
        <v>375</v>
      </c>
      <c r="G36" s="46">
        <f>G26*G8</f>
        <v>3300</v>
      </c>
      <c r="H36" s="46">
        <f>H26*H8</f>
        <v>300</v>
      </c>
      <c r="I36" s="46">
        <f>I26*I8</f>
        <v>3750</v>
      </c>
      <c r="J36" s="46">
        <f>J26*J8</f>
        <v>2400</v>
      </c>
      <c r="K36" s="46">
        <f>K26*K8</f>
        <v>5850</v>
      </c>
      <c r="L36" s="46">
        <f>L26*L8</f>
        <v>4600</v>
      </c>
      <c r="M36" s="46">
        <f>M26*M8</f>
        <v>2400</v>
      </c>
      <c r="N36" s="46">
        <f>N26*N8</f>
        <v>1100</v>
      </c>
      <c r="O36" s="40">
        <f>B36+C36+D36+E36+F36+G36+H36+I36+J36+K36+L36+M36+N36+Q58+ 2000</f>
        <v>40615</v>
      </c>
      <c r="P36" s="78"/>
      <c r="Q36" s="44">
        <f>SUM(Q6:Q21)</f>
        <v>68593.75</v>
      </c>
      <c r="R36" s="40"/>
    </row>
    <row r="37" spans="1:18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79" t="s">
        <v>519</v>
      </c>
      <c r="Q37" s="79" t="s">
        <v>520</v>
      </c>
      <c r="R37" s="40"/>
    </row>
    <row r="38" spans="1:18" x14ac:dyDescent="0.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 t="s">
        <v>521</v>
      </c>
      <c r="O38" s="40">
        <f t="shared" ref="O38:O57" si="4">Q38*P38</f>
        <v>1000</v>
      </c>
      <c r="P38" s="40">
        <v>5</v>
      </c>
      <c r="Q38" s="40">
        <v>200</v>
      </c>
      <c r="R38" s="40"/>
    </row>
    <row r="39" spans="1:18" x14ac:dyDescent="0.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 t="s">
        <v>522</v>
      </c>
      <c r="O39" s="40">
        <f t="shared" si="4"/>
        <v>300</v>
      </c>
      <c r="P39" s="40">
        <v>3</v>
      </c>
      <c r="Q39" s="40">
        <v>100</v>
      </c>
      <c r="R39" s="40"/>
    </row>
    <row r="40" spans="1:18" x14ac:dyDescent="0.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 t="s">
        <v>523</v>
      </c>
      <c r="O40" s="40">
        <f t="shared" si="4"/>
        <v>0</v>
      </c>
      <c r="P40" s="40">
        <v>0</v>
      </c>
      <c r="Q40" s="40">
        <v>100</v>
      </c>
      <c r="R40" s="40"/>
    </row>
    <row r="41" spans="1:18" x14ac:dyDescent="0.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 t="s">
        <v>524</v>
      </c>
      <c r="O41" s="40">
        <f t="shared" si="4"/>
        <v>2000</v>
      </c>
      <c r="P41" s="40">
        <v>100</v>
      </c>
      <c r="Q41" s="40">
        <v>20</v>
      </c>
      <c r="R41" s="40"/>
    </row>
    <row r="42" spans="1:18" ht="27.95" x14ac:dyDescent="0.3">
      <c r="A42" s="40"/>
      <c r="B42" s="40"/>
      <c r="C42" s="40"/>
      <c r="D42" s="40"/>
      <c r="E42" s="40"/>
      <c r="F42" s="80"/>
      <c r="G42" s="40"/>
      <c r="H42" s="40"/>
      <c r="I42" s="40"/>
      <c r="J42" s="40"/>
      <c r="K42" s="40"/>
      <c r="L42" s="40"/>
      <c r="M42" s="40"/>
      <c r="N42" s="40" t="s">
        <v>525</v>
      </c>
      <c r="O42" s="40">
        <f t="shared" si="4"/>
        <v>320</v>
      </c>
      <c r="P42" s="40">
        <v>4</v>
      </c>
      <c r="Q42" s="40">
        <v>80</v>
      </c>
      <c r="R42" s="40"/>
    </row>
    <row r="43" spans="1:18" x14ac:dyDescent="0.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 t="s">
        <v>526</v>
      </c>
      <c r="O43" s="40">
        <f t="shared" si="4"/>
        <v>0</v>
      </c>
      <c r="P43" s="40">
        <v>0</v>
      </c>
      <c r="Q43" s="40">
        <v>300</v>
      </c>
      <c r="R43" s="40"/>
    </row>
    <row r="44" spans="1:18" ht="27.95" x14ac:dyDescent="0.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 t="s">
        <v>527</v>
      </c>
      <c r="O44" s="40">
        <f t="shared" si="4"/>
        <v>0</v>
      </c>
      <c r="P44" s="40">
        <v>0</v>
      </c>
      <c r="Q44" s="40">
        <v>250</v>
      </c>
      <c r="R44" s="40"/>
    </row>
    <row r="45" spans="1:18" x14ac:dyDescent="0.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 t="s">
        <v>528</v>
      </c>
      <c r="O45" s="40">
        <f t="shared" si="4"/>
        <v>300</v>
      </c>
      <c r="P45" s="40">
        <v>3</v>
      </c>
      <c r="Q45" s="40">
        <v>100</v>
      </c>
      <c r="R45" s="40"/>
    </row>
    <row r="46" spans="1:18" ht="27.95" x14ac:dyDescent="0.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 t="s">
        <v>529</v>
      </c>
      <c r="O46" s="40">
        <f t="shared" si="4"/>
        <v>600</v>
      </c>
      <c r="P46" s="40">
        <v>2</v>
      </c>
      <c r="Q46" s="40">
        <v>300</v>
      </c>
      <c r="R46" s="40"/>
    </row>
    <row r="47" spans="1:18" x14ac:dyDescent="0.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 t="s">
        <v>530</v>
      </c>
      <c r="O47" s="40">
        <f t="shared" si="4"/>
        <v>0</v>
      </c>
      <c r="P47" s="40">
        <v>0</v>
      </c>
      <c r="Q47" s="40">
        <v>700</v>
      </c>
      <c r="R47" s="40"/>
    </row>
    <row r="48" spans="1:18" x14ac:dyDescent="0.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 t="s">
        <v>531</v>
      </c>
      <c r="O48" s="40">
        <f t="shared" si="4"/>
        <v>1500</v>
      </c>
      <c r="P48" s="40">
        <v>5</v>
      </c>
      <c r="Q48" s="40">
        <v>300</v>
      </c>
      <c r="R48" s="40"/>
    </row>
    <row r="49" spans="1:18" x14ac:dyDescent="0.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 t="s">
        <v>532</v>
      </c>
      <c r="O49" s="40">
        <f t="shared" si="4"/>
        <v>900</v>
      </c>
      <c r="P49" s="40">
        <v>5</v>
      </c>
      <c r="Q49" s="40">
        <v>180</v>
      </c>
      <c r="R49" s="40"/>
    </row>
    <row r="50" spans="1:18" ht="27.95" x14ac:dyDescent="0.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 t="s">
        <v>533</v>
      </c>
      <c r="O50" s="40">
        <f t="shared" si="4"/>
        <v>200</v>
      </c>
      <c r="P50" s="40">
        <v>2</v>
      </c>
      <c r="Q50" s="40">
        <v>100</v>
      </c>
      <c r="R50" s="40"/>
    </row>
    <row r="51" spans="1:18" ht="27.95" x14ac:dyDescent="0.3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 t="s">
        <v>534</v>
      </c>
      <c r="O51" s="40">
        <f t="shared" si="4"/>
        <v>80</v>
      </c>
      <c r="P51" s="40">
        <v>1</v>
      </c>
      <c r="Q51" s="40">
        <v>80</v>
      </c>
      <c r="R51" s="40"/>
    </row>
    <row r="52" spans="1:18" ht="41.95" x14ac:dyDescent="0.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 t="s">
        <v>535</v>
      </c>
      <c r="O52" s="40">
        <f t="shared" si="4"/>
        <v>0</v>
      </c>
      <c r="P52" s="40">
        <v>0</v>
      </c>
      <c r="Q52" s="40">
        <v>450</v>
      </c>
      <c r="R52" s="40"/>
    </row>
    <row r="53" spans="1:18" ht="41.95" x14ac:dyDescent="0.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 t="s">
        <v>536</v>
      </c>
      <c r="O53" s="40">
        <f t="shared" si="4"/>
        <v>0</v>
      </c>
      <c r="P53" s="40">
        <v>0</v>
      </c>
      <c r="Q53" s="40">
        <v>550</v>
      </c>
      <c r="R53" s="40"/>
    </row>
    <row r="54" spans="1:18" ht="27.95" x14ac:dyDescent="0.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 t="s">
        <v>537</v>
      </c>
      <c r="O54" s="40">
        <f t="shared" si="4"/>
        <v>0</v>
      </c>
      <c r="P54" s="40">
        <v>0</v>
      </c>
      <c r="Q54" s="40">
        <v>200</v>
      </c>
      <c r="R54" s="40"/>
    </row>
    <row r="55" spans="1:18" ht="27.95" x14ac:dyDescent="0.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 t="s">
        <v>538</v>
      </c>
      <c r="O55" s="40">
        <f t="shared" si="4"/>
        <v>0</v>
      </c>
      <c r="P55" s="40">
        <v>0</v>
      </c>
      <c r="Q55" s="40">
        <v>600</v>
      </c>
      <c r="R55" s="40"/>
    </row>
    <row r="56" spans="1:18" x14ac:dyDescent="0.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 t="s">
        <v>539</v>
      </c>
      <c r="O56" s="40">
        <f t="shared" si="4"/>
        <v>0</v>
      </c>
      <c r="P56" s="40">
        <v>0</v>
      </c>
      <c r="Q56" s="40">
        <v>300</v>
      </c>
      <c r="R56" s="40"/>
    </row>
    <row r="57" spans="1:18" ht="27.95" x14ac:dyDescent="0.3">
      <c r="A57" s="40"/>
      <c r="B57" s="40"/>
      <c r="C57" s="40"/>
      <c r="D57" s="40"/>
      <c r="E57" s="40"/>
      <c r="F57" s="40"/>
      <c r="G57" s="40"/>
      <c r="H57" s="81">
        <f>(1038*25)/30</f>
        <v>865</v>
      </c>
      <c r="I57" s="40"/>
      <c r="J57" s="40"/>
      <c r="K57" s="40"/>
      <c r="L57" s="40"/>
      <c r="M57" s="40"/>
      <c r="N57" s="40" t="s">
        <v>540</v>
      </c>
      <c r="O57" s="40">
        <f t="shared" si="4"/>
        <v>0</v>
      </c>
      <c r="P57" s="40">
        <v>0</v>
      </c>
      <c r="Q57" s="40">
        <v>600</v>
      </c>
      <c r="R57" s="40"/>
    </row>
    <row r="58" spans="1:18" x14ac:dyDescent="0.3">
      <c r="Q58">
        <f>SUM(Q38:Q57)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2026-08-07T15:02:59Z</dcterms:created>
  <dcterms:modified xsi:type="dcterms:W3CDTF">2026-08-07T18:03:10Z</dcterms:modified>
</cp:coreProperties>
</file>