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20" documentId="8_{8F509DED-67CC-454A-B6DF-D73D92C8D924}" xr6:coauthVersionLast="47" xr6:coauthVersionMax="47" xr10:uidLastSave="{3C163A33-1E89-42E9-9C83-464B1A932798}"/>
  <bookViews>
    <workbookView xWindow="-107" yWindow="-107" windowWidth="20847" windowHeight="11100" activeTab="1" xr2:uid="{BA1F1728-C407-4038-AD7D-C28FDADBCD70}"/>
  </bookViews>
  <sheets>
    <sheet name="Sheet1" sheetId="1" r:id="rId1"/>
    <sheet name="Sheet2" sheetId="2" r:id="rId2"/>
  </sheets>
  <externalReferences>
    <externalReference r:id="rId3"/>
    <externalReference r:id="rId4"/>
  </externalReferences>
  <definedNames>
    <definedName name="_xlnm._FilterDatabase" localSheetId="0" hidden="1">Sheet1!$A$1:$AD$70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60" i="2" l="1"/>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B14" i="2"/>
  <c r="N13" i="2"/>
  <c r="M13" i="2"/>
  <c r="L13" i="2"/>
  <c r="K13" i="2"/>
  <c r="J13" i="2"/>
  <c r="I13" i="2"/>
  <c r="H13" i="2"/>
  <c r="G13" i="2"/>
  <c r="F13" i="2"/>
  <c r="E13" i="2"/>
  <c r="D13" i="2"/>
  <c r="C13" i="2"/>
  <c r="B13" i="2"/>
  <c r="N12" i="2"/>
  <c r="M12" i="2"/>
  <c r="L12" i="2"/>
  <c r="K12" i="2"/>
  <c r="J12" i="2"/>
  <c r="I12" i="2"/>
  <c r="H12" i="2"/>
  <c r="G12" i="2"/>
  <c r="F12" i="2"/>
  <c r="E12" i="2"/>
  <c r="D12" i="2"/>
  <c r="C12" i="2"/>
  <c r="B12" i="2"/>
  <c r="N11" i="2"/>
  <c r="M11" i="2"/>
  <c r="L11" i="2"/>
  <c r="K11" i="2"/>
  <c r="J11" i="2"/>
  <c r="I11" i="2"/>
  <c r="H11" i="2"/>
  <c r="G11" i="2"/>
  <c r="F11" i="2"/>
  <c r="E11" i="2"/>
  <c r="D11" i="2"/>
  <c r="C11" i="2"/>
  <c r="B11" i="2"/>
  <c r="N10" i="2"/>
  <c r="N22" i="2" s="1"/>
  <c r="N24" i="2" s="1"/>
  <c r="N26" i="2" s="1"/>
  <c r="N27" i="2" s="1"/>
  <c r="M10" i="2"/>
  <c r="M22" i="2" s="1"/>
  <c r="M24" i="2" s="1"/>
  <c r="M26" i="2" s="1"/>
  <c r="M27" i="2" s="1"/>
  <c r="L10" i="2"/>
  <c r="K10" i="2"/>
  <c r="J10" i="2"/>
  <c r="I10" i="2"/>
  <c r="H10" i="2"/>
  <c r="G10" i="2"/>
  <c r="F10" i="2"/>
  <c r="F22" i="2" s="1"/>
  <c r="F24" i="2" s="1"/>
  <c r="F26" i="2" s="1"/>
  <c r="F27" i="2" s="1"/>
  <c r="E10" i="2"/>
  <c r="D10" i="2"/>
  <c r="C10" i="2"/>
  <c r="B10" i="2"/>
  <c r="N7" i="2"/>
  <c r="M7" i="2"/>
  <c r="L7" i="2"/>
  <c r="K7" i="2"/>
  <c r="J7" i="2"/>
  <c r="I7" i="2"/>
  <c r="H7" i="2"/>
  <c r="G7" i="2"/>
  <c r="F7" i="2"/>
  <c r="E7" i="2"/>
  <c r="D7" i="2"/>
  <c r="C7" i="2"/>
  <c r="B7" i="2"/>
  <c r="O6" i="2"/>
  <c r="P6" i="2" s="1"/>
  <c r="O5" i="2"/>
  <c r="P13" i="2" s="1"/>
  <c r="O4" i="2"/>
  <c r="P12" i="2" s="1"/>
  <c r="O3" i="2"/>
  <c r="P11" i="2" s="1"/>
  <c r="O2" i="2"/>
  <c r="P2" i="2" s="1"/>
  <c r="I22" i="2" l="1"/>
  <c r="I24" i="2" s="1"/>
  <c r="I26" i="2" s="1"/>
  <c r="I27" i="2" s="1"/>
  <c r="E22" i="2"/>
  <c r="E24" i="2" s="1"/>
  <c r="E26" i="2" s="1"/>
  <c r="E27" i="2" s="1"/>
  <c r="O38" i="2"/>
  <c r="O7" i="2"/>
  <c r="G22" i="2"/>
  <c r="G24" i="2" s="1"/>
  <c r="G26" i="2" s="1"/>
  <c r="G27" i="2" s="1"/>
  <c r="O14" i="2"/>
  <c r="P3" i="2"/>
  <c r="H22" i="2"/>
  <c r="H24" i="2" s="1"/>
  <c r="H26" i="2" s="1"/>
  <c r="H27" i="2" s="1"/>
  <c r="O11" i="2"/>
  <c r="R11" i="2" s="1"/>
  <c r="B22" i="2"/>
  <c r="B24" i="2" s="1"/>
  <c r="B26" i="2" s="1"/>
  <c r="B27" i="2" s="1"/>
  <c r="O13" i="2"/>
  <c r="R13" i="2" s="1"/>
  <c r="P5" i="2"/>
  <c r="C22" i="2"/>
  <c r="C24" i="2" s="1"/>
  <c r="C26" i="2" s="1"/>
  <c r="C27" i="2" s="1"/>
  <c r="K22" i="2"/>
  <c r="K24" i="2" s="1"/>
  <c r="K26" i="2" s="1"/>
  <c r="K27" i="2" s="1"/>
  <c r="J22" i="2"/>
  <c r="J24" i="2" s="1"/>
  <c r="J26" i="2" s="1"/>
  <c r="J27" i="2" s="1"/>
  <c r="D22" i="2"/>
  <c r="D24" i="2" s="1"/>
  <c r="D26" i="2" s="1"/>
  <c r="D27" i="2" s="1"/>
  <c r="L22" i="2"/>
  <c r="L24" i="2" s="1"/>
  <c r="L26" i="2" s="1"/>
  <c r="L27" i="2" s="1"/>
  <c r="O12" i="2"/>
  <c r="R12" i="2" s="1"/>
  <c r="O10" i="2"/>
  <c r="P4" i="2"/>
  <c r="P10" i="2"/>
  <c r="P14" i="2"/>
  <c r="R14" i="2" l="1"/>
  <c r="R10" i="2"/>
  <c r="P7" i="2"/>
  <c r="Q7" i="2" s="1"/>
  <c r="Q38" i="2" s="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2" i="1"/>
  <c r="R15" i="2" l="1"/>
</calcChain>
</file>

<file path=xl/sharedStrings.xml><?xml version="1.0" encoding="utf-8"?>
<sst xmlns="http://schemas.openxmlformats.org/spreadsheetml/2006/main" count="824" uniqueCount="402">
  <si>
    <t>ID</t>
  </si>
  <si>
    <t>Name</t>
  </si>
  <si>
    <t>Ph. Number</t>
  </si>
  <si>
    <t>Address</t>
  </si>
  <si>
    <t>Zone</t>
  </si>
  <si>
    <t>Day</t>
  </si>
  <si>
    <t>Time Slot</t>
  </si>
  <si>
    <t>Pack</t>
  </si>
  <si>
    <t>Revenue</t>
  </si>
  <si>
    <t xml:space="preserve"> Type</t>
  </si>
  <si>
    <t>Remarks</t>
  </si>
  <si>
    <t>Flower Restriction</t>
  </si>
  <si>
    <t>Extra Instruction</t>
  </si>
  <si>
    <t>Final Number of Delivery</t>
  </si>
  <si>
    <t>Sahil Bishnoi</t>
  </si>
  <si>
    <t>9802300072 // 9996860064</t>
  </si>
  <si>
    <t>T-J/1604, Emaar Palm Drive</t>
  </si>
  <si>
    <t>Badshahpur</t>
  </si>
  <si>
    <t>Monday</t>
  </si>
  <si>
    <t>9:30 Am to 2 PM</t>
  </si>
  <si>
    <t>Bliss</t>
  </si>
  <si>
    <t>Mixed // HDTNP (15/03) Returnde- not at home (13/04) Hold from 01st June to 1st July (23/05) Paytm from Murti Devi (25/05)</t>
  </si>
  <si>
    <t>Mixed</t>
  </si>
  <si>
    <t>4  del of this cycle   -  0-cycles pmnt   Completed - Collect 0</t>
  </si>
  <si>
    <t>Noopur Gupta</t>
  </si>
  <si>
    <t>Topaz-186, GF, Emaar Emerald Hills</t>
  </si>
  <si>
    <t>Friday</t>
  </si>
  <si>
    <t>Bloom</t>
  </si>
  <si>
    <t>Friday n Monday // Send replacement of Eustoma tom (08/09) No Orchids (23/01) Hold n start from July (27/05)</t>
  </si>
  <si>
    <t>Orchid</t>
  </si>
  <si>
    <t>Seasonal with 9 Del Only (02/04)</t>
  </si>
  <si>
    <t>2  del of this cycle   -  0-cycles pmnt   Completed - Collect 0</t>
  </si>
  <si>
    <t>Unnati Jain</t>
  </si>
  <si>
    <t>T-16/1003, Orchid Petals</t>
  </si>
  <si>
    <t>Sohna Road 1</t>
  </si>
  <si>
    <t>9 AM - 12 PM</t>
  </si>
  <si>
    <t>Hold n start From 7th Nov (16/10) Skip 1 week (13/11) Today retirned and skip next week also (28/11) Check in Feb to restart (20/12) Skip 1 week (31/05) Hold n start from July (15/06)</t>
  </si>
  <si>
    <t>Divya -- Parsvanath</t>
  </si>
  <si>
    <t>T-6/602, Parsvanath Greenville</t>
  </si>
  <si>
    <t>Return-send next week (27/04) Skip tom and Start from next week (03/05) Paytm From Divya Mishra (03/05) No Lily (07/06) Skip 2 week (17/065)</t>
  </si>
  <si>
    <t>Lily</t>
  </si>
  <si>
    <t>Asha Esther Jai Kishan</t>
  </si>
  <si>
    <t>T-B/103, Ireo Victory Valley</t>
  </si>
  <si>
    <t>4 Pm to 7 PM</t>
  </si>
  <si>
    <t>Joy</t>
  </si>
  <si>
    <t>Hold n start from July (12/06)</t>
  </si>
  <si>
    <t>3  del of this cycle   -  0-cycles pmnt   Completed - Collect 0</t>
  </si>
  <si>
    <t>Divyangana -- 1450 Pack</t>
  </si>
  <si>
    <t>400-A, Ground Floor, Sec 57, Sushant Lok-2, Block-G</t>
  </si>
  <si>
    <t>M G Road</t>
  </si>
  <si>
    <t>Delight</t>
  </si>
  <si>
    <t>Skip 2 week (03/03) Skip Monday and send on Tuesday after 5 PM (20/03) Return today (23/06) Return today (20/10) Hold due to non payment (26/01) Hold due to non pauyment (02/02) Hold due to non payment (09/02) HDTNP(16/02) HFTNP (23/02) Skip 1 week (24/06) Hold today (06/07)</t>
  </si>
  <si>
    <t>Anjana Ojha</t>
  </si>
  <si>
    <t>T-7/2201, Tata Primanti, Sec 72</t>
  </si>
  <si>
    <t>Hold today (29/09) Hold till 24th Oct (13/10) Return today -send next week (27/10) Today returned-close package (24/11) Hold n start from July (14/06)</t>
  </si>
  <si>
    <t>2  del of this cycle   -  1-cycles pmnt   Pending - Collect 1450</t>
  </si>
  <si>
    <t>Sugandha Goyal</t>
  </si>
  <si>
    <t>T-15/3C, Central Park Resorts</t>
  </si>
  <si>
    <t>Sohna Road 2</t>
  </si>
  <si>
    <t>Felicity</t>
  </si>
  <si>
    <t>HDTNP (26/06)</t>
  </si>
  <si>
    <t>Reet Gulati</t>
  </si>
  <si>
    <t>T-7/804, Uniworld Gardens</t>
  </si>
  <si>
    <t>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 Skip 1 week (16/06)</t>
  </si>
  <si>
    <t>ORCHID</t>
  </si>
  <si>
    <t>One Kind Flowers// Rajni next (16/10)</t>
  </si>
  <si>
    <t>Vandana Mukherji</t>
  </si>
  <si>
    <t>Maplebear Canadian Preschool, Near Gate No.2, CHD Avanue, Sec 71</t>
  </si>
  <si>
    <t>Shift to Monday (08/06) Today returned-skip 1 week (20/10) Paytm from Pragati Parashar (01/12) Today hold -send tom (26/01) Hold due to non payment (02/02) Skip 1 week (22/03) Today hold n start from 01st July (22/06)</t>
  </si>
  <si>
    <t>Neelam Ahuja</t>
  </si>
  <si>
    <t>4002, M3m Latitude, Sec 65</t>
  </si>
  <si>
    <t>Charm</t>
  </si>
  <si>
    <t>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t>
  </si>
  <si>
    <t>Spray Daisy n GERBERA n Statice</t>
  </si>
  <si>
    <t>Neeraj Rathore</t>
  </si>
  <si>
    <t>A-1302, PalM Drive, Sec 66</t>
  </si>
  <si>
    <t>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t>
  </si>
  <si>
    <t>GERBERA  n BOP</t>
  </si>
  <si>
    <t>One Kind (30/01)  Rajni next (18/02)</t>
  </si>
  <si>
    <t>Priti Sarsaswat</t>
  </si>
  <si>
    <t>C-1170, 2nd Floor, Ansal Essecia, C Block, Sec 67</t>
  </si>
  <si>
    <t>Rose In this Cycle (03/03) Day Change to Monday and skip 2 weeks (02/04) Start From Tom (16/04) HDTNP (22/05) Today returned (29/05) Skip 1 week (21/06)</t>
  </si>
  <si>
    <t>One Kind and seasonal Next (03/03)</t>
  </si>
  <si>
    <t>Amitt Nenwani</t>
  </si>
  <si>
    <t>Villa 21, Z Block, Tatvam Villas</t>
  </si>
  <si>
    <t>Elegance</t>
  </si>
  <si>
    <t>Friday n Monday//Mixed // Skip 1 week (17/04) Skip this week (12/11) Skip this week and send on 03rd Jan (29/12) Skip tom (15/03) Skip 1 week (26/03)</t>
  </si>
  <si>
    <t>Mixed Flowers// Change to enchantement from next cycle (12/1)</t>
  </si>
  <si>
    <t>4  del of this cycle   -  0-cycles pmnt   In Process - Collect 0</t>
  </si>
  <si>
    <t>Applicate It Solutions Pvt. Ltd.</t>
  </si>
  <si>
    <t>6295854656 // 9871456569</t>
  </si>
  <si>
    <t>Tower-B, 16th Floor, M3M Urbana Premium, Business Park</t>
  </si>
  <si>
    <t>By 10 AM</t>
  </si>
  <si>
    <t>Corporate</t>
  </si>
  <si>
    <t>Geeta Garg</t>
  </si>
  <si>
    <t>T-A/4C, Central Park Resorts, Sec 48</t>
  </si>
  <si>
    <t xml:space="preserve">From Pankaj Garg </t>
  </si>
  <si>
    <t>Megha Bhatt</t>
  </si>
  <si>
    <t>D-1902, Pioneer Park</t>
  </si>
  <si>
    <t>Ghata</t>
  </si>
  <si>
    <t>Elation</t>
  </si>
  <si>
    <t>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t>
  </si>
  <si>
    <t>Car n Sunflower</t>
  </si>
  <si>
    <t>Blue Daisy</t>
  </si>
  <si>
    <t>Radhika</t>
  </si>
  <si>
    <t>Bacardi India, 805, 8th Floor, Time Tower</t>
  </si>
  <si>
    <t>Skip 2 weeks(20/03) Today hold-send Tom(15/08) Returned-send tom(26/10) Today returned (19/08) Hold today send tom (31/03) Send tom (26/01)</t>
  </si>
  <si>
    <t>Rashee Sharma</t>
  </si>
  <si>
    <t>Bacardi, 8th Floor, Time Tower, M G Road</t>
  </si>
  <si>
    <t>4 PM to 7PM</t>
  </si>
  <si>
    <t>Hold today-send tom(02/09) Today Returned (20/08) Hold toda send tom (31/03) Send tom (26/01)</t>
  </si>
  <si>
    <t>Rashi Goel</t>
  </si>
  <si>
    <t>44 Tattvam Vila, Sohna Road</t>
  </si>
  <si>
    <t>No Heliconia// Skip 1 week (02/12) Skip 1 week (13/02) Sent Replacement today (12/12) Hold till 10th Dec (18/12) Hold n start from 2nd week of Mar (011/02) Skip 1 week (24/08) Today Hold *24/11) Paytm from Perform Monks Edu (01/03)</t>
  </si>
  <si>
    <t>HELICONIA</t>
  </si>
  <si>
    <t>9 AM to 2 PM</t>
  </si>
  <si>
    <t>Swapna Reddy</t>
  </si>
  <si>
    <t>C=1403, Ireo Victory Valley, Sec 67</t>
  </si>
  <si>
    <t>Paytm From Swapna Bhagwat</t>
  </si>
  <si>
    <t>Mohar Ray Dahiya</t>
  </si>
  <si>
    <t>Sovereign-3/201, Vatika City</t>
  </si>
  <si>
    <t>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t>
  </si>
  <si>
    <t>BOP n GERBERA</t>
  </si>
  <si>
    <t>Nidhi Sharma Malhotra</t>
  </si>
  <si>
    <t>8130207722//9999016333</t>
  </si>
  <si>
    <t>Topaz-36, First Floor, Emaar Emerald Hills, Sec 65</t>
  </si>
  <si>
    <t>Friday n Monday//NO Glad(11/03)  Holy Change(16/03) Send next delivery on Monday (26/04) Heliconia Next (03/05) Now felicity (25/05) Today Returned (15/07) Paytm From sante (16/04) Date was updated from 13th july to 04th Aug -- deliveries missed-- now updated from Jule -- Still deliveries missed(05/07</t>
  </si>
  <si>
    <t>GLAD</t>
  </si>
  <si>
    <t>Shivani Kapoor</t>
  </si>
  <si>
    <t>94, Tattvam Villa</t>
  </si>
  <si>
    <t>Grace</t>
  </si>
  <si>
    <t>Monday n Friday// Payment from Sanjeev K (05/05) Skip 1 week (26/07) Skip 1 week (04/11) Skip this Friday (26/12) Skip 1 week (01/01/25) Skip tom (02/02) No delivery on Monday (01/03) Skip 14th n send on 17th (11/03) Now start from 7th July (24/06)</t>
  </si>
  <si>
    <t>No White</t>
  </si>
  <si>
    <t>Hema</t>
  </si>
  <si>
    <t>127 vipul trade center sohna road sector 48 gurgaon 122108</t>
  </si>
  <si>
    <t>Mix Flowers -- 12-15 flowers// Today office is closed (25/12) Today returned (19/08) Hold today sned tom (31/03) Send tom (26/01)</t>
  </si>
  <si>
    <t>3  del of this cycle   -  0-cycles pmnt   In Process - Collect 0</t>
  </si>
  <si>
    <t>Komal - Abante</t>
  </si>
  <si>
    <t>0124-4042908</t>
  </si>
  <si>
    <t>Abante,C-301-02, 3rd Floor, M3M Urbana, Sec 67</t>
  </si>
  <si>
    <t>Sunday</t>
  </si>
  <si>
    <t>By 12 PM</t>
  </si>
  <si>
    <t>Day Changed to // Send tomorrow (02/10) Send tom (26/01)</t>
  </si>
  <si>
    <t>Megha Attray</t>
  </si>
  <si>
    <t>Lemon Street -01, Malibu town</t>
  </si>
  <si>
    <t>Sohna Road</t>
  </si>
  <si>
    <t>Returned - not at home (13/04) Skip 1 week (03/05) Today Returned (25/05)</t>
  </si>
  <si>
    <t>Old Gurgaon</t>
  </si>
  <si>
    <t>4 PM to 7 PM</t>
  </si>
  <si>
    <t>Namita Chaudhary -- Before 11:30 AM</t>
  </si>
  <si>
    <t>403-406, Global Credit Solutions Splendour Spectrum one, 403 -406, T-2- 4th Floor, Sec 58</t>
  </si>
  <si>
    <t>10 am to 12 PM</t>
  </si>
  <si>
    <t>Skip 1 week (13/08) Start from or after 13th Oct (30/09) Skip 1 week (19/10) Skip 2 week (09/12) Skip 1 week (18/01) Send on 27th (26/01) Hold till 4th Apr (27/03)  No Yel n White (06/04)</t>
  </si>
  <si>
    <t xml:space="preserve"> No Yel n White (06/04)</t>
  </si>
  <si>
    <t>Parul Sharma</t>
  </si>
  <si>
    <t>D-20, 2nd Floor, South City 2</t>
  </si>
  <si>
    <t>Nirvana Country</t>
  </si>
  <si>
    <t>Rajni Next (27/08) Hold for 15 days (30/11) Now send after 9th Mar (23/02) Replacement tom (27/05)</t>
  </si>
  <si>
    <t>Rajni next (27/08) Car next (07/09)</t>
  </si>
  <si>
    <t>Pradeep Jain</t>
  </si>
  <si>
    <t>Bacardi India,8th Floor, Time Tower</t>
  </si>
  <si>
    <t>9:30 AM to 2 PM</t>
  </si>
  <si>
    <t>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t>
  </si>
  <si>
    <t>Priyanka -- Southern</t>
  </si>
  <si>
    <t>T-4/2504,  Tata Primanti,Southrn Peripheral, Near Vatika Chowk</t>
  </si>
  <si>
    <t>Paytm From Priyanka Seth (11/11) Hold due to non payment (02/02) Hold today and send on Friday (23/03)</t>
  </si>
  <si>
    <t>Hold today send tom (31/03) Send tom (26/01)</t>
  </si>
  <si>
    <t>Shivani Marwah</t>
  </si>
  <si>
    <t>The Legend apartments, tower D4, flat no 1302, sector 57</t>
  </si>
  <si>
    <t>Artemis</t>
  </si>
  <si>
    <t>Thursday and Monday//NO BOP(13/12Send out of Rose// Glad// Lily//Guldawari(06/02) Rose Next(09/02) Spray Daisy Next(22/12)Flower Food Next(17/07) Ski[ Rose petal next (04/09) Send on Thursday this week (01/01/2023)Flower Food necxt (14/04) Change to bliss after current cycle (27/04)</t>
  </si>
  <si>
    <t>M0006</t>
  </si>
  <si>
    <t>Divya Sabharwal</t>
  </si>
  <si>
    <t>Tower 15, flat 1401, Vipul Greens , Sohna Road</t>
  </si>
  <si>
    <t>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t>
  </si>
  <si>
    <t>CAR n Orchid</t>
  </si>
  <si>
    <t>G-00011</t>
  </si>
  <si>
    <t>Nainsee Garg</t>
  </si>
  <si>
    <t>A67 Rosewood City Sector 49 Gurgaon 122001</t>
  </si>
  <si>
    <t>No Glad (15/-5) Skip tom n sned next del on Sunday (29/05) Skip 1 week (03/07) Skip 1 week (12/11) Send tom (01/04) Sent one del today (09/04) Skip 1 week (11/05) Skip this cdel n send on Sunday (12/06)</t>
  </si>
  <si>
    <t>Glad</t>
  </si>
  <si>
    <t>Ana Rizvi</t>
  </si>
  <si>
    <t>A-4/202, Uniworld Gardens 2</t>
  </si>
  <si>
    <t>Chhavi Chugh</t>
  </si>
  <si>
    <t>FE-01-1B, M3M Golfestate, Sec 65</t>
  </si>
  <si>
    <t>Send 1 Del Tom (17/10) Skip 1 week (14/11) Skip tom n send on Monday (23/10) Replacement of 1 sunflower tom (07/11) Skip n sned on Monday (16/02) Skip 10th and send on 12th Apr (008/04)</t>
  </si>
  <si>
    <t xml:space="preserve">Rubeey Matharu </t>
  </si>
  <si>
    <t>Sirera 1, T-6/306, M3M Marina</t>
  </si>
  <si>
    <t>Skip 1 week and inform before starting (08/04) Hold n start from Aug (15/05) Paytm From Amanpreet Kaur Matharu // Paytm from Gurjeet Matharu // Send 1 Asuatic Tom (12/07)</t>
  </si>
  <si>
    <t>Rajni Tom (01/11)</t>
  </si>
  <si>
    <t>Shagun Azad</t>
  </si>
  <si>
    <t>H. No. 3151, 2nd Floor, Sector 57</t>
  </si>
  <si>
    <t>Aditya -- Hexa Climate</t>
  </si>
  <si>
    <t>Hexa Climate Solutions , 9th Floor, Vatika Buisness Park</t>
  </si>
  <si>
    <t>By 9 AM</t>
  </si>
  <si>
    <t>Visit -- 15 Square vase</t>
  </si>
  <si>
    <t>2  del of this cycle   -  0-cycles pmnt   In Process - Collect 0</t>
  </si>
  <si>
    <t>Anjali Chawla</t>
  </si>
  <si>
    <t>Cedar Drive 60, Malibu Town</t>
  </si>
  <si>
    <t>Bhavna Newle-- Before 12 PM</t>
  </si>
  <si>
    <t>98736 93388</t>
  </si>
  <si>
    <t xml:space="preserve">37/101 Heritage City </t>
  </si>
  <si>
    <t>Before 12 PM</t>
  </si>
  <si>
    <t>Customized</t>
  </si>
  <si>
    <t>4 Asiatic Lily and 10 spray Daisy // send 16 Spray Daisy (02/05) Hold till 25th June (26/05)  No Del on 19th July and 09th Aug (06/07) Send replacement tom (26/ Return today (02/08) Change day to Monday (22/11) Skip 2 week (10/12) Skip 12th and 26th Jan (07/01) Recevd 15380 more today (11/03/26)</t>
  </si>
  <si>
    <t>Skip 9th n 15th July (29/06)</t>
  </si>
  <si>
    <t>Gaurav Agarwal</t>
  </si>
  <si>
    <t>D-22/401, Ireo Victory Valley</t>
  </si>
  <si>
    <t>One kInd // Skip 1 week (16/12) Skip 1 week (26/05)</t>
  </si>
  <si>
    <t>One Kind</t>
  </si>
  <si>
    <t>2  del of this cycle   -  1-cycles pmnt   Pending - Collect 1950</t>
  </si>
  <si>
    <t>Jaya - Bacardi</t>
  </si>
  <si>
    <t>Nandini Kar-- After 5 PM</t>
  </si>
  <si>
    <t>T-37/301, Emerald Floors Premier, Adjacent to Worldmark, Sec 65</t>
  </si>
  <si>
    <t>No Rose n ORCHID (23/08) Start after 2nd July (08/06) Upgrade to bliss with 5 Deliveries (24/08) Skip 1 week (01/09) Returned today (20/10) 27th Del Missed (02/11) Returned and hold for 2 weeks (03/06)</t>
  </si>
  <si>
    <t>ROSE n ORCHID n BOP</t>
  </si>
  <si>
    <t>Upgrade to Bliss with 5 Deliveries</t>
  </si>
  <si>
    <t>Nupur Bhatnagar</t>
  </si>
  <si>
    <t>A-001, Park View City 1</t>
  </si>
  <si>
    <t>Hold due to non payment (19/01) HDTNP (16/03) No Spray Daisy (14/06)</t>
  </si>
  <si>
    <t>Spray Daisy</t>
  </si>
  <si>
    <t>One Science Nutrition</t>
  </si>
  <si>
    <t>Splendor tower 1, 8th Floor, Sec 58</t>
  </si>
  <si>
    <t>From Namita Chaudhary</t>
  </si>
  <si>
    <t>Priyanka Agarwal</t>
  </si>
  <si>
    <t>624-A, Fairway East, Sector 65</t>
  </si>
  <si>
    <t>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t>
  </si>
  <si>
    <t>Sanjeev Saini</t>
  </si>
  <si>
    <t>H. No.951, Block -C, Sec 47</t>
  </si>
  <si>
    <t>Today Returned (27/02) Today Returned (19/08) Scossor Next (24/05)</t>
  </si>
  <si>
    <t>Scissor Next</t>
  </si>
  <si>
    <t>Subhadra Chatterjee</t>
  </si>
  <si>
    <t>Tower -E, Flat 10B, Central Park Resort</t>
  </si>
  <si>
    <t>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t>
  </si>
  <si>
    <t>GULDAWARI n ROSE</t>
  </si>
  <si>
    <t>Tahzeeb Mohammad</t>
  </si>
  <si>
    <t>Natura Tower -1, N 2105, M3M Marina, Sec 68</t>
  </si>
  <si>
    <t>Bi weekly Customised</t>
  </si>
  <si>
    <t>Gerbera // Rajni // Sunflowers // Eustoma // Orchid // Skip Monday (15/05)</t>
  </si>
  <si>
    <t xml:space="preserve">Ranjana Yadav </t>
  </si>
  <si>
    <t>T-11/102, Vipul Greens</t>
  </si>
  <si>
    <t>From Kiran yadav // Skip Next (27/09)</t>
  </si>
  <si>
    <t>1  del of this cycle   -  0-cycles pmnt   Completed - Collect 0</t>
  </si>
  <si>
    <t>Reina Legal</t>
  </si>
  <si>
    <t>!st Floor, Aihp Palms, 242 &amp; 243 Udyog Vihar Phase 5</t>
  </si>
  <si>
    <t>1st Del today and then evevry Friday Eve (06/07)</t>
  </si>
  <si>
    <t>Manav</t>
  </si>
  <si>
    <t>9810068329 // 9810024711</t>
  </si>
  <si>
    <t>Pugudunee Safaris, Unit 404, Baani , Sector 56</t>
  </si>
  <si>
    <t>Sector 56</t>
  </si>
  <si>
    <t>Referred By Nandita Jain // Received one more payment (21/08) Today returned-send tom (20/10) Neft from Kanha Earth Lodge (21/01) Today hold -send tom (26/01)</t>
  </si>
  <si>
    <t>B56418</t>
  </si>
  <si>
    <t>Murali Ramachandran</t>
  </si>
  <si>
    <t>B-303, Palm Springs</t>
  </si>
  <si>
    <t>Golf Course Road</t>
  </si>
  <si>
    <t>Bouquet</t>
  </si>
  <si>
    <t>8 P Oriental in Tissue Wrap // Dear Mama / Anu       Wishing you a very Happy Birthday.      Love     Amma, Arjun, Aryan &amp; Murali (10/07)</t>
  </si>
  <si>
    <t>B56437</t>
  </si>
  <si>
    <t>Devika</t>
  </si>
  <si>
    <t>D-0002, Grand Arch, Sec 58</t>
  </si>
  <si>
    <t>From Devika bouquet// Dear Dada and Savita,  Happy Anniversary   Love : Dad and Devoo (11/07(</t>
  </si>
  <si>
    <t>Hexa Climate Solutions , 8th Floor, Vatika Buisness Park</t>
  </si>
  <si>
    <t>1  del of this cycle   -  0-cycles pmnt   In Process - Collect 0</t>
  </si>
  <si>
    <t>Akiksha Mohan</t>
  </si>
  <si>
    <t>D-601, Emaar Plam Drive</t>
  </si>
  <si>
    <t>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t>
  </si>
  <si>
    <t>GULDAWARI</t>
  </si>
  <si>
    <t>1  del of this cycle   -  1-cycles pmnt   Pending - Collect 1600</t>
  </si>
  <si>
    <t>Ghanendra</t>
  </si>
  <si>
    <t>H. No. 2, Bauganville Marg, First Floor, DLF Phase 2</t>
  </si>
  <si>
    <t>DLF Phase 2</t>
  </si>
  <si>
    <t>Complimentary Always // Day changed  to Monday (09/08) Today hold n send tom (26/010</t>
  </si>
  <si>
    <t>1  del of this cycle   -  0-cycles pmnt   Complimentary - Collect 0</t>
  </si>
  <si>
    <t>Madhuri Sakata</t>
  </si>
  <si>
    <t>D-17, Infocity, Phase-2, Sec-33, Gurgaon</t>
  </si>
  <si>
    <t>Send on Sunday in evebing (06/06) Send tom (26/01)</t>
  </si>
  <si>
    <t>Manish -- Shivtech Spechemi</t>
  </si>
  <si>
    <t>Shivtek Spechemi Industries, 24, 4th Floor, M3M Corner Walk, Sec 74</t>
  </si>
  <si>
    <t>Flowers for 6 Vases // Hold today (05/03) Skip tom (29/03)</t>
  </si>
  <si>
    <t>B56445</t>
  </si>
  <si>
    <t>Megha</t>
  </si>
  <si>
    <t xml:space="preserve">EMAAR PALM HILLS  Tower #82 House #1001
10th floor Sector 77 </t>
  </si>
  <si>
    <t>By 11 AM</t>
  </si>
  <si>
    <t>4 Pink Asiatic</t>
  </si>
  <si>
    <t>Mitu Agarwal</t>
  </si>
  <si>
    <t>T-E/103, Shree Vardhman Victoria</t>
  </si>
  <si>
    <t>Skip 2 week (28/08) Today Returned (13/09) Skip 1 week (23/10) Send replacement of Gerbera Today (30/11) No Del between 14th to 18th (11/12) No lilies (11/05) today Hold (25/05) Sent one del today (27/05)</t>
  </si>
  <si>
    <t>1  del of this cycle   -  1-cycles pmnt   Pending - Collect 1450</t>
  </si>
  <si>
    <t>Pramila Dutt</t>
  </si>
  <si>
    <t>S1-C/201, Palm Drive</t>
  </si>
  <si>
    <t>Referred By Radhika Neeraj Rathod // Rajni next (03/03) Rajni next (28/03) today hold (23/06) No Blue Daisy (09/07) Only Asiatic (31/07) Hold due to non payment (13/10) Return n skip 2 weeks (22/06)</t>
  </si>
  <si>
    <t>Blue Daisy (09/07)</t>
  </si>
  <si>
    <t>Diff Flowers  now (29/09)</t>
  </si>
  <si>
    <t>B56444</t>
  </si>
  <si>
    <t>2 Asiatic</t>
  </si>
  <si>
    <t>1  del of this cycle   -  1-cycles pmnt   Pending - Collect 400</t>
  </si>
  <si>
    <t>Reema</t>
  </si>
  <si>
    <t>24/02, Emilia b2, Vatika City</t>
  </si>
  <si>
    <t>10 AM to 2:30 PM</t>
  </si>
  <si>
    <t>No Guldawari (16/02) Send 1 Del today (29/05) No Gerbera (16/09) After 11th (02/10) Paytm From Reema makkar (23/11) Paytm from Sharda Sethi (22/06)</t>
  </si>
  <si>
    <t>Guldawari n Gerbera</t>
  </si>
  <si>
    <t>Remfry</t>
  </si>
  <si>
    <t>Remfry House,Millenium Plaza,Tower-A,8th Floor</t>
  </si>
  <si>
    <t>2 Arrangements every week (21/11) Due to Mar end, Cycle broken (29/03) Skip 2 weeks (18/12) Next 2 deliveries on Tuesday (19/12) Hold today send tom (31/03) Send bill on Thursday to Samta Mehra Ma'am (20/01) Now Send Arrangement (27/01)</t>
  </si>
  <si>
    <t>1004, Arcadia, Nirvana Country</t>
  </si>
  <si>
    <t>Today returned-send tom(15/08) Today Retirned (19/08) Today returned -send tom (26/01)</t>
  </si>
  <si>
    <t>Pre Flowers 4</t>
  </si>
  <si>
    <t>Pre Flowers 3</t>
  </si>
  <si>
    <t>Pre Flowers 2</t>
  </si>
  <si>
    <t>Pre Flowers 1</t>
  </si>
  <si>
    <t xml:space="preserve">Pre Flowers </t>
  </si>
  <si>
    <t>Flower 1</t>
  </si>
  <si>
    <t>Stick</t>
  </si>
  <si>
    <t>Flower 2</t>
  </si>
  <si>
    <t>Flower 3</t>
  </si>
  <si>
    <t>Consumables</t>
  </si>
  <si>
    <t>Delivered By</t>
  </si>
  <si>
    <t>Priority</t>
  </si>
  <si>
    <t>Feedback</t>
  </si>
  <si>
    <t>payment</t>
  </si>
  <si>
    <t>7  del of this cycle   -  0-cycles pmnt   Completed - Collect 0</t>
  </si>
  <si>
    <t>8  del of this cycle   -  0-cycles pmnt   Completed - Collect 0</t>
  </si>
  <si>
    <t>5  del of this cycle   -  0-cycles pmnt   Completed - Collect 0</t>
  </si>
  <si>
    <t>7  del of this cycle   -   0-cycles pmnt  Completed - Collect 0</t>
  </si>
  <si>
    <t>7  del of this cycle   -  0-cycles pmnt   In Process - Collect 0</t>
  </si>
  <si>
    <t>6  del of this cycle   -  0-cycles pmnt   Completed - Collect 0</t>
  </si>
  <si>
    <t>6  del of this cycle   -  0-cycles pmnt   Complimentary - Collect 0</t>
  </si>
  <si>
    <t>3  del of this cycle   -  1-cycles pmnt   Pending - Collect 1600</t>
  </si>
  <si>
    <t>Rajni ( 14 Inch )</t>
  </si>
  <si>
    <t>Mix Alstroemeria ( 12 Inch )</t>
  </si>
  <si>
    <t>O Asiatic ( 14 Inch )</t>
  </si>
  <si>
    <t>P n W Glad ( 14 Inch )</t>
  </si>
  <si>
    <t>P Asiatic ( 14 Inch )</t>
  </si>
  <si>
    <t>Sunflower ( 12 Inch )</t>
  </si>
  <si>
    <t>G n W Car ( 14 Inch )</t>
  </si>
  <si>
    <t>Y Spray Daisy ( 14 Inch )</t>
  </si>
  <si>
    <t>W Eustoma ( 12 Inch )</t>
  </si>
  <si>
    <t>FF Sachet + Grass</t>
  </si>
  <si>
    <t>Grass</t>
  </si>
  <si>
    <t>P Oriental</t>
  </si>
  <si>
    <t>Asiatic</t>
  </si>
  <si>
    <t>Full Tissue Wrap</t>
  </si>
  <si>
    <t>Message</t>
  </si>
  <si>
    <t>P Asiatic + Rajni</t>
  </si>
  <si>
    <t>4 + 8</t>
  </si>
  <si>
    <t>Single Wrap</t>
  </si>
  <si>
    <t>P n Y Spray Daisy ( 14 Inch )</t>
  </si>
  <si>
    <t>Replacement</t>
  </si>
  <si>
    <t>2 Gypsola</t>
  </si>
  <si>
    <t>2 Gypsola + FF sachet</t>
  </si>
  <si>
    <t xml:space="preserve">3 Limonium </t>
  </si>
  <si>
    <t>Arrangement</t>
  </si>
  <si>
    <t xml:space="preserve">Square Arrangement </t>
  </si>
  <si>
    <t xml:space="preserve">O Asiatic + Mix Eustoma </t>
  </si>
  <si>
    <t>6 + 6</t>
  </si>
  <si>
    <t>4 Areca Palm + 2 Gypsola + 2 Limonium</t>
  </si>
  <si>
    <t>Rajni</t>
  </si>
  <si>
    <t>Alstroemeria</t>
  </si>
  <si>
    <t>Sunflower</t>
  </si>
  <si>
    <t>B Daisy</t>
  </si>
  <si>
    <t>Rose</t>
  </si>
  <si>
    <t>Carnation</t>
  </si>
  <si>
    <t>Oriental</t>
  </si>
  <si>
    <t>Hydrangea</t>
  </si>
  <si>
    <t>Eustoma</t>
  </si>
  <si>
    <t>total revenue</t>
  </si>
  <si>
    <t>revenue for the day</t>
  </si>
  <si>
    <t>Total</t>
  </si>
  <si>
    <t>Sticks in bndl</t>
  </si>
  <si>
    <t>Current Cost/bdl</t>
  </si>
  <si>
    <t>bi weekly</t>
  </si>
  <si>
    <t>Customized Plans</t>
  </si>
  <si>
    <t>A-2, G Floor</t>
  </si>
  <si>
    <t>NA</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</si>
  <si>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</si>
  <si>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</si>
  <si>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</si>
  <si>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</si>
  <si>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</si>
  <si>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</si>
  <si>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</si>
  <si>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</si>
  <si>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</si>
  <si>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</si>
  <si>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</si>
  <si>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</si>
  <si>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</si>
  <si>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</si>
  <si>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</si>
  <si>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</si>
  <si>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</si>
  <si>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</si>
  <si>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</si>
  <si>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</si>
  <si>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Leather Fern</t>
  </si>
  <si>
    <t>Cycus Palm</t>
  </si>
  <si>
    <t>O Marigold Lari</t>
  </si>
  <si>
    <t>Y Marigold Lari</t>
  </si>
  <si>
    <t>Ashok Lari</t>
  </si>
  <si>
    <t>Mogra Lari</t>
  </si>
  <si>
    <t>Rajni Lari</t>
  </si>
  <si>
    <t>Daisy Lari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</si>
</sst>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quot;₹&quot;\ #,##0.00"/>
    <numFmt numFmtId="166" formatCode="dd\/mm\/yy"/>
    <numFmt numFmtId="167" formatCode="0.0"/>
  </numFmts>
  <fonts count="2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name val="Calibri"/>
      <family val="2"/>
    </font>
    <font>
      <b/>
      <i/>
      <sz val="11"/>
      <name val="Calibri"/>
      <family val="2"/>
      <scheme val="minor"/>
    </font>
    <font>
      <b/>
      <sz val="11"/>
      <name val="Calibri"/>
      <family val="2"/>
    </font>
    <font>
      <sz val="11"/>
      <name val="Calibri"/>
      <family val="2"/>
      <scheme val="minor"/>
    </font>
    <font>
      <b/>
      <sz val="22"/>
      <name val="Calibri"/>
      <family val="2"/>
      <scheme val="minor"/>
    </font>
    <font>
      <b/>
      <sz val="11"/>
      <name val="Calibri"/>
      <family val="2"/>
      <scheme val="minor"/>
    </font>
    <font>
      <u/>
      <sz val="11"/>
      <color theme="10"/>
      <name val="Calibri"/>
      <family val="2"/>
      <scheme val="minor"/>
    </font>
    <font>
      <sz val="11"/>
      <name val="Calibri"/>
      <family val="2"/>
    </font>
    <font>
      <b/>
      <sz val="11"/>
      <color rgb="FFFFFFFF"/>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7030A0"/>
        <bgColor indexed="64"/>
      </patternFill>
    </fill>
    <fill>
      <patternFill patternType="solid">
        <fgColor rgb="FFFF0000"/>
        <bgColor indexed="64"/>
      </patternFill>
    </fill>
    <fill>
      <patternFill patternType="solid">
        <fgColor rgb="FFF6C3FF"/>
        <bgColor indexed="64"/>
      </patternFill>
    </fill>
    <fill>
      <patternFill patternType="solid">
        <fgColor rgb="FFFFFF00"/>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5">
    <xf numFmtId="0" fontId="0" fillId="0" borderId="0"/>
    <xf numFmtId="9" fontId="1" fillId="0" borderId="0" applyFont="0" applyFill="0" applyBorder="0" applyAlignment="0" applyProtection="0"/>
    <xf numFmtId="0" fontId="1" fillId="0" borderId="0"/>
    <xf numFmtId="0" fontId="10" fillId="0" borderId="0" applyNumberFormat="0" applyFill="0" applyBorder="0" applyAlignment="0" applyProtection="0"/>
    <xf numFmtId="9" fontId="24" fillId="0" borderId="0" applyFont="0" applyFill="0" applyBorder="0" applyAlignment="0" applyProtection="0"/>
  </cellStyleXfs>
  <cellXfs count="73">
    <xf numFmtId="0" fontId="0" fillId="0" borderId="0" xfId="0"/>
    <xf numFmtId="0" fontId="1" fillId="2" borderId="1" xfId="0" applyFont="1" applyFill="1" applyBorder="1" applyAlignment="1">
      <alignment horizontal="center" vertical="center" wrapText="1" shrinkToFit="1"/>
    </xf>
    <xf numFmtId="0" fontId="4" fillId="2" borderId="1" xfId="2" applyFont="1" applyFill="1" applyBorder="1" applyAlignment="1">
      <alignment horizontal="center" vertical="center" wrapText="1" shrinkToFit="1"/>
    </xf>
    <xf numFmtId="1" fontId="4" fillId="2" borderId="1" xfId="2" applyNumberFormat="1" applyFont="1" applyFill="1" applyBorder="1" applyAlignment="1">
      <alignment horizontal="center" vertical="center" wrapText="1" shrinkToFit="1"/>
    </xf>
    <xf numFmtId="0" fontId="6" fillId="2" borderId="1" xfId="2" applyFont="1" applyFill="1" applyBorder="1" applyAlignment="1">
      <alignment horizontal="center" vertical="center" wrapText="1" shrinkToFit="1"/>
    </xf>
    <xf numFmtId="165" fontId="4" fillId="2" borderId="1" xfId="2" applyNumberFormat="1" applyFont="1" applyFill="1" applyBorder="1" applyAlignment="1">
      <alignment horizontal="center" vertical="center" wrapText="1" shrinkToFit="1"/>
    </xf>
    <xf numFmtId="166" fontId="6" fillId="2" borderId="1" xfId="2" applyNumberFormat="1" applyFont="1" applyFill="1" applyBorder="1" applyAlignment="1">
      <alignment horizontal="center" vertical="center" wrapText="1" shrinkToFi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1" xfId="0" applyFill="1" applyBorder="1" applyAlignment="1">
      <alignment horizontal="center" vertical="center" wrapText="1" shrinkToFit="1"/>
    </xf>
    <xf numFmtId="0" fontId="0" fillId="0" borderId="1" xfId="0" applyBorder="1" applyAlignment="1">
      <alignment wrapText="1" shrinkToFit="1"/>
    </xf>
    <xf numFmtId="0" fontId="9"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1" fillId="2" borderId="1" xfId="2" applyFont="1" applyFill="1" applyBorder="1" applyAlignment="1">
      <alignment horizontal="center" vertical="center" wrapText="1" shrinkToFit="1"/>
    </xf>
    <xf numFmtId="0" fontId="1" fillId="5"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12" fillId="4" borderId="1" xfId="0" applyFont="1" applyFill="1" applyBorder="1" applyAlignment="1">
      <alignment horizontal="center" vertical="center" wrapText="1"/>
    </xf>
    <xf numFmtId="0" fontId="11" fillId="6" borderId="1" xfId="2" applyFont="1" applyFill="1" applyBorder="1" applyAlignment="1">
      <alignment horizontal="center" vertical="center" wrapText="1" shrinkToFit="1"/>
    </xf>
    <xf numFmtId="0" fontId="0" fillId="7"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2" borderId="3" xfId="0" applyFill="1" applyBorder="1" applyAlignment="1">
      <alignment horizontal="center" vertical="center" wrapText="1"/>
    </xf>
    <xf numFmtId="0" fontId="13" fillId="0" borderId="1" xfId="0" applyFont="1" applyBorder="1" applyAlignment="1">
      <alignment wrapText="1" shrinkToFit="1"/>
    </xf>
    <xf numFmtId="0" fontId="14" fillId="0" borderId="1" xfId="0" applyFont="1" applyBorder="1" applyAlignment="1">
      <alignment wrapText="1" shrinkToFit="1"/>
    </xf>
    <xf numFmtId="0" fontId="15" fillId="0" borderId="4" xfId="2" applyFont="1" applyBorder="1" applyAlignment="1">
      <alignment horizontal="center" vertical="center" wrapText="1"/>
    </xf>
    <xf numFmtId="0" fontId="15" fillId="2" borderId="1" xfId="2" applyFont="1" applyFill="1" applyBorder="1" applyAlignment="1">
      <alignment horizontal="center" vertical="center" wrapText="1"/>
    </xf>
    <xf numFmtId="0" fontId="15" fillId="0" borderId="1" xfId="2" applyFont="1" applyBorder="1" applyAlignment="1">
      <alignment horizontal="center" vertical="center" wrapText="1"/>
    </xf>
    <xf numFmtId="0" fontId="13" fillId="0" borderId="0" xfId="0" applyFont="1" applyAlignment="1">
      <alignment horizontal="center" vertical="center" wrapText="1"/>
    </xf>
    <xf numFmtId="0" fontId="16" fillId="0" borderId="0" xfId="2" applyFont="1" applyAlignment="1">
      <alignment horizontal="center" vertical="center" wrapText="1"/>
    </xf>
    <xf numFmtId="0" fontId="17" fillId="0" borderId="4" xfId="2" applyFont="1" applyBorder="1" applyAlignment="1">
      <alignment horizontal="center" vertical="center" wrapText="1"/>
    </xf>
    <xf numFmtId="0" fontId="17" fillId="0" borderId="1" xfId="2" applyFont="1" applyBorder="1" applyAlignment="1">
      <alignment horizontal="center" vertical="center" wrapText="1"/>
    </xf>
    <xf numFmtId="1" fontId="13" fillId="0" borderId="0" xfId="0" applyNumberFormat="1" applyFont="1" applyAlignment="1">
      <alignment horizontal="center" vertical="center" wrapText="1"/>
    </xf>
    <xf numFmtId="0" fontId="18" fillId="0" borderId="1" xfId="2" applyFont="1" applyBorder="1" applyAlignment="1">
      <alignment horizontal="center" vertical="center" wrapText="1"/>
    </xf>
    <xf numFmtId="0" fontId="13" fillId="0" borderId="1" xfId="0" applyFont="1" applyBorder="1" applyAlignment="1">
      <alignment horizontal="center" vertical="center" wrapText="1"/>
    </xf>
    <xf numFmtId="2" fontId="17" fillId="0" borderId="1" xfId="2" applyNumberFormat="1" applyFont="1" applyBorder="1" applyAlignment="1">
      <alignment horizontal="center" vertical="center" wrapText="1"/>
    </xf>
    <xf numFmtId="1" fontId="17" fillId="0" borderId="0" xfId="2" applyNumberFormat="1" applyFont="1" applyAlignment="1">
      <alignment horizontal="center" vertical="center" wrapText="1"/>
    </xf>
    <xf numFmtId="1" fontId="18" fillId="0" borderId="1" xfId="2" applyNumberFormat="1" applyFont="1" applyBorder="1" applyAlignment="1">
      <alignment horizontal="center" vertical="center" wrapText="1"/>
    </xf>
    <xf numFmtId="0" fontId="17" fillId="6" borderId="4" xfId="2" applyFont="1" applyFill="1" applyBorder="1" applyAlignment="1">
      <alignment horizontal="center" vertical="center" wrapText="1"/>
    </xf>
    <xf numFmtId="0" fontId="17" fillId="8" borderId="1" xfId="2" applyFont="1" applyFill="1" applyBorder="1" applyAlignment="1">
      <alignment horizontal="center" vertical="center" wrapText="1"/>
    </xf>
    <xf numFmtId="0" fontId="15" fillId="8" borderId="4" xfId="2" applyFont="1" applyFill="1" applyBorder="1" applyAlignment="1">
      <alignment horizontal="center" vertical="center" wrapText="1"/>
    </xf>
    <xf numFmtId="0" fontId="19" fillId="6" borderId="4" xfId="2" applyFont="1" applyFill="1" applyBorder="1" applyAlignment="1">
      <alignment horizontal="center" vertical="center" wrapText="1"/>
    </xf>
    <xf numFmtId="0" fontId="17" fillId="9" borderId="1" xfId="2" applyFont="1" applyFill="1" applyBorder="1" applyAlignment="1">
      <alignment horizontal="center" vertical="center" wrapText="1"/>
    </xf>
    <xf numFmtId="1" fontId="13" fillId="0" borderId="0" xfId="1" applyNumberFormat="1" applyFont="1" applyAlignment="1">
      <alignment horizontal="center" vertical="center" wrapText="1"/>
    </xf>
    <xf numFmtId="0" fontId="19" fillId="2" borderId="4" xfId="2" applyFont="1" applyFill="1" applyBorder="1" applyAlignment="1">
      <alignment horizontal="center" vertical="center" wrapText="1"/>
    </xf>
    <xf numFmtId="0" fontId="15" fillId="7" borderId="4" xfId="2" applyFont="1" applyFill="1" applyBorder="1" applyAlignment="1">
      <alignment horizontal="center" vertical="center" wrapText="1"/>
    </xf>
    <xf numFmtId="0" fontId="15" fillId="7" borderId="1" xfId="2" applyFont="1" applyFill="1" applyBorder="1" applyAlignment="1">
      <alignment horizontal="center" vertical="center" wrapText="1"/>
    </xf>
    <xf numFmtId="0" fontId="15" fillId="6" borderId="4" xfId="2" applyFont="1" applyFill="1" applyBorder="1" applyAlignment="1">
      <alignment horizontal="center" vertical="center" wrapText="1"/>
    </xf>
    <xf numFmtId="1" fontId="15" fillId="0" borderId="1" xfId="2" applyNumberFormat="1" applyFont="1" applyBorder="1" applyAlignment="1">
      <alignment horizontal="center" vertical="center" wrapText="1"/>
    </xf>
    <xf numFmtId="9" fontId="17" fillId="0" borderId="1" xfId="2" applyNumberFormat="1" applyFont="1" applyBorder="1" applyAlignment="1">
      <alignment horizontal="center" vertical="center" wrapText="1"/>
    </xf>
    <xf numFmtId="1" fontId="17" fillId="0" borderId="1" xfId="2" applyNumberFormat="1" applyFont="1" applyBorder="1" applyAlignment="1">
      <alignment horizontal="center" vertical="center" wrapText="1"/>
    </xf>
    <xf numFmtId="167" fontId="17" fillId="0" borderId="1" xfId="2" applyNumberFormat="1" applyFont="1" applyBorder="1" applyAlignment="1">
      <alignment horizontal="center" vertical="center" wrapText="1"/>
    </xf>
    <xf numFmtId="0" fontId="15" fillId="4" borderId="4" xfId="2" applyFont="1" applyFill="1" applyBorder="1" applyAlignment="1">
      <alignment horizontal="center" vertical="center" wrapText="1"/>
    </xf>
    <xf numFmtId="0" fontId="17" fillId="4" borderId="1" xfId="2" applyFont="1" applyFill="1" applyBorder="1" applyAlignment="1">
      <alignment horizontal="center" vertical="center" wrapText="1"/>
    </xf>
    <xf numFmtId="0" fontId="5" fillId="10" borderId="4" xfId="2" applyFont="1" applyFill="1" applyBorder="1" applyAlignment="1">
      <alignment horizontal="center" vertical="center" wrapText="1"/>
    </xf>
    <xf numFmtId="0" fontId="18" fillId="10" borderId="1" xfId="2" applyFont="1" applyFill="1" applyBorder="1" applyAlignment="1">
      <alignment horizontal="center" vertical="center" wrapText="1"/>
    </xf>
    <xf numFmtId="0" fontId="0" fillId="0" borderId="0" xfId="0" applyAlignment="1">
      <alignment horizontal="center"/>
    </xf>
    <xf numFmtId="0" fontId="17" fillId="6" borderId="1" xfId="2" applyFont="1" applyFill="1" applyBorder="1" applyAlignment="1">
      <alignment horizontal="center" vertical="center" wrapText="1"/>
    </xf>
    <xf numFmtId="0" fontId="15" fillId="11" borderId="4" xfId="2" applyFont="1" applyFill="1" applyBorder="1" applyAlignment="1">
      <alignment horizontal="center" vertical="center" wrapText="1"/>
    </xf>
    <xf numFmtId="0" fontId="17" fillId="11" borderId="1" xfId="2" applyFont="1" applyFill="1" applyBorder="1" applyAlignment="1">
      <alignment horizontal="center" vertical="center" wrapText="1"/>
    </xf>
    <xf numFmtId="0" fontId="20" fillId="12" borderId="4" xfId="2" applyFont="1" applyFill="1" applyBorder="1" applyAlignment="1">
      <alignment horizontal="center" vertical="center" wrapText="1"/>
    </xf>
    <xf numFmtId="0" fontId="21" fillId="12" borderId="1" xfId="2" applyFont="1" applyFill="1" applyBorder="1" applyAlignment="1">
      <alignment horizontal="center" vertical="center" wrapText="1"/>
    </xf>
    <xf numFmtId="0" fontId="15" fillId="13" borderId="4" xfId="2" applyFont="1" applyFill="1" applyBorder="1" applyAlignment="1">
      <alignment horizontal="center" vertical="center" wrapText="1"/>
    </xf>
    <xf numFmtId="0" fontId="22" fillId="13" borderId="1" xfId="2" applyFont="1" applyFill="1" applyBorder="1" applyAlignment="1">
      <alignment horizontal="center" vertical="center" wrapText="1"/>
    </xf>
    <xf numFmtId="0" fontId="23" fillId="0" borderId="5" xfId="0" applyFont="1" applyBorder="1" applyAlignment="1">
      <alignment horizontal="center" vertical="center" wrapText="1"/>
    </xf>
    <xf numFmtId="0" fontId="23" fillId="0" borderId="1" xfId="0" applyFont="1" applyBorder="1" applyAlignment="1">
      <alignment horizontal="center" vertical="center" wrapText="1"/>
    </xf>
    <xf numFmtId="9" fontId="13" fillId="0" borderId="0" xfId="4" applyFont="1" applyAlignment="1">
      <alignment horizontal="center" vertical="center" wrapText="1"/>
    </xf>
    <xf numFmtId="0" fontId="14" fillId="0" borderId="0" xfId="0" applyFont="1" applyAlignment="1">
      <alignment horizontal="center" vertical="center" wrapText="1"/>
    </xf>
    <xf numFmtId="0" fontId="25" fillId="0" borderId="0" xfId="0" applyFont="1" applyAlignment="1">
      <alignment horizontal="center" vertical="center" wrapText="1"/>
    </xf>
    <xf numFmtId="0" fontId="13" fillId="0" borderId="0" xfId="0" quotePrefix="1" applyFont="1" applyAlignment="1">
      <alignment horizontal="center" vertical="center" wrapText="1"/>
    </xf>
  </cellXfs>
  <cellStyles count="5">
    <cellStyle name="Hyperlink 2" xfId="3" xr:uid="{BBE3A7C2-53F0-443A-B0DE-9D3D7EA4B05A}"/>
    <cellStyle name="Normal" xfId="0" builtinId="0"/>
    <cellStyle name="Normal 2" xfId="2" xr:uid="{59B4B489-F703-4A08-B352-61BCAF90AAB8}"/>
    <cellStyle name="Percent" xfId="1" builtinId="5"/>
    <cellStyle name="Percent 2" xfId="4" xr:uid="{F1BA7EDC-5230-46DC-B1CD-0455DAD808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14).xlsx" TargetMode="External"/><Relationship Id="rId1" Type="http://schemas.openxmlformats.org/officeDocument/2006/relationships/externalLinkPath" Target="file:///C:\Users\Amit%20Tripathi\Downloads\Feedback%20July%2026%20(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3-06-26"/>
      <sheetName val="24-06-26"/>
      <sheetName val="25-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sheetData sheetId="7">
        <row r="2">
          <cell r="A2">
            <v>2014</v>
          </cell>
          <cell r="B2" t="str">
            <v>Remfry</v>
          </cell>
          <cell r="C2">
            <v>9811343209</v>
          </cell>
          <cell r="D2" t="str">
            <v>Remfry House,Millenium Plaza,Tower-A,8th Floor</v>
          </cell>
          <cell r="E2" t="str">
            <v>M G Road</v>
          </cell>
          <cell r="F2" t="str">
            <v>Monday</v>
          </cell>
          <cell r="G2" t="str">
            <v>By 9 AM</v>
          </cell>
          <cell r="H2">
            <v>4750</v>
          </cell>
          <cell r="I2">
            <v>1187.5</v>
          </cell>
          <cell r="J2" t="str">
            <v>Corporate</v>
          </cell>
          <cell r="K2" t="str">
            <v>2 Arrangements every week (21/11) Due to Mar end, Cycle broken (29/03) Skip 2 weeks (18/12) Next 2 deliveries on Tuesday (19/12) Hold today send tom (31/03) Send bill on Thursday to Samta Mehra Ma'am (20/01) Now Send Arrangement (27/01)</v>
          </cell>
          <cell r="N2" t="str">
            <v>4  del of this cycle   -  0-cycles pmnt   In Process - Collect 0</v>
          </cell>
          <cell r="O2" t="str">
            <v>P n Y Spray Daisy ( 16 Inch ) 10 P n W Glad 30   Ff sachet + Grass</v>
          </cell>
          <cell r="P2" t="str">
            <v>Sunflower ( 15 inch ) 6 Pur n P car 30   FF Sachet + Grass</v>
          </cell>
          <cell r="Q2" t="str">
            <v>W Asiatic ( 15 Inch) 6 Mix Spary Dsisy  10   Grass</v>
          </cell>
          <cell r="R2" t="str">
            <v>O n P Spray Daisy ( 15 inch ) 15 Mix Alstroemeria 30   FF Sachet + Grass</v>
          </cell>
          <cell r="S2" t="str">
            <v>Sunflower ( 14 Inch ) 6 P n W Glad ( 14 Inch ) 30   Ff Sachet + 3 Limoniu,</v>
          </cell>
          <cell r="T2" t="str">
            <v>O Asiatic ( 14 inch ) 6 P n W Car ( 14 Inch ) 30   3 Gypsola + FF sachet</v>
          </cell>
        </row>
        <row r="3">
          <cell r="A3">
            <v>2551</v>
          </cell>
          <cell r="B3" t="str">
            <v>Khushboo Chaturvedi</v>
          </cell>
          <cell r="C3">
            <v>8826568382</v>
          </cell>
          <cell r="D3" t="str">
            <v>H.No. 242, 3rd Floor, Sdec 23</v>
          </cell>
          <cell r="E3" t="str">
            <v>Old Gurgaon</v>
          </cell>
          <cell r="F3" t="str">
            <v>Monday</v>
          </cell>
          <cell r="G3" t="str">
            <v>4 PM to 7 PM</v>
          </cell>
          <cell r="H3">
            <v>999</v>
          </cell>
          <cell r="I3">
            <v>249.75</v>
          </cell>
          <cell r="J3" t="str">
            <v>Delight</v>
          </cell>
          <cell r="K3" t="str">
            <v>Send this week del on Monday (30/04) Paytm From Shubham Gupta (16/05) Skip tom n sned on Monday (29/05) Return today and sned on Tuesday (20/ ) Today hold n send on monday(01/08)) Skip n send on Tuesday (13/08) Hold today n sned on Monday (12/09) Skip n sned on monday this week (02./10) Skip 1 week (16/10) Hold today n send tom (21/11) 22nd Nov Del Missed (01/12) Skip 2 week (01/12) Skip 1 week (22/01) Send tom (06/02) Return today (07/02) Skip tom (02/04) Skip 1 week (15/04) Today hold (01/05) Change day to monday (01/05)</v>
          </cell>
          <cell r="N3" t="str">
            <v>4  del of this cycle   -  0-cycles pmnt   Completed - Collect 0</v>
          </cell>
          <cell r="O3" t="str">
            <v>R n W Car 9     FF Sachet + Grass</v>
          </cell>
          <cell r="P3" t="str">
            <v>Y Spray Daisy ( 15 inch ) 3     FF Sachet + Grass</v>
          </cell>
          <cell r="Q3" t="str">
            <v>Rajni 9     Grass</v>
          </cell>
          <cell r="R3" t="str">
            <v>O Asiatic ( 15 Inch ) 2     Grass</v>
          </cell>
          <cell r="S3" t="str">
            <v>Mix Car 9     Grass</v>
          </cell>
          <cell r="T3" t="str">
            <v>Rajni ( 14 Inch ) 9     FF Sachet + Grass</v>
          </cell>
        </row>
        <row r="4">
          <cell r="A4">
            <v>1088</v>
          </cell>
          <cell r="B4" t="str">
            <v>Shivani Marwah</v>
          </cell>
          <cell r="C4">
            <v>9999028643</v>
          </cell>
          <cell r="D4" t="str">
            <v>The Legend apartments, tower D4, flat no 1302, sector 57</v>
          </cell>
          <cell r="E4" t="str">
            <v>Artemis</v>
          </cell>
          <cell r="F4" t="str">
            <v>Monday</v>
          </cell>
          <cell r="G4" t="str">
            <v>9 AM - 12 PM</v>
          </cell>
          <cell r="H4">
            <v>1450</v>
          </cell>
          <cell r="I4">
            <v>362.5</v>
          </cell>
          <cell r="J4" t="str">
            <v>Bliss</v>
          </cell>
          <cell r="K4" t="str">
            <v>Thursday and Monday//NO BOP(13/12Send out of Rose// Glad// Lily//Guldawari(06/02) Rose Next(09/02) Spray Daisy Next(22/12)Flower Food Next(17/07) Ski[ Rose petal next (04/09) Send on Thursday this week (01/01/2023)Flower Food necxt (14/04) Change to bliss after current cycle (27/04)</v>
          </cell>
          <cell r="N4" t="str">
            <v>2  del of this cycle   -  0-cycles pmnt   Completed - Collect 0</v>
          </cell>
          <cell r="O4" t="str">
            <v xml:space="preserve">P n W Glad ( 15 inch Height) 16    Grass </v>
          </cell>
          <cell r="P4" t="str">
            <v>R n W  Car ( 14 inch )  16     FF Sachet + Grass</v>
          </cell>
          <cell r="Q4" t="str">
            <v>Mix Spary Daisy 5     FF Sachet + Grass</v>
          </cell>
          <cell r="R4" t="str">
            <v>Y Asiatic ( 15 Inch ) 3     Grass</v>
          </cell>
          <cell r="S4" t="str">
            <v>Sunflower ( 14 Inch ) 4     FF Sachet + Grass</v>
          </cell>
          <cell r="T4" t="str">
            <v>P n W Glad ( 14 Inch ) 16     FF Sachet + Grass</v>
          </cell>
        </row>
        <row r="5">
          <cell r="A5">
            <v>1638</v>
          </cell>
          <cell r="B5" t="str">
            <v>Arvinder</v>
          </cell>
          <cell r="C5">
            <v>9717121144</v>
          </cell>
          <cell r="D5" t="str">
            <v>T-15/1202, Close South</v>
          </cell>
          <cell r="E5" t="str">
            <v>Nirvana Country</v>
          </cell>
          <cell r="F5" t="str">
            <v>Monday</v>
          </cell>
          <cell r="G5" t="str">
            <v>9 AM - 12 PM</v>
          </cell>
          <cell r="H5">
            <v>999</v>
          </cell>
          <cell r="I5">
            <v>249.75</v>
          </cell>
          <cell r="J5" t="str">
            <v>Delight</v>
          </cell>
          <cell r="K5" t="str">
            <v>Asiatic//Rajni//Guldawari//Gladioli(19/02) Received another Paytm of 750 today(18/07) No Rose n Rajni (26/12) Hold today (20/05) Change Add (20/05) Skip 1 week (28/08)</v>
          </cell>
          <cell r="L5" t="str">
            <v>Rose n Rajni</v>
          </cell>
          <cell r="N5" t="str">
            <v>4  del of this cycle   -  0-cycles pmnt   Completed - Collect 0</v>
          </cell>
          <cell r="O5" t="str">
            <v>O Asiatic ( Height 16 inch) 2     Grass</v>
          </cell>
          <cell r="P5" t="str">
            <v>Pur n P car ( 14 inch ) 9     FF Sachet + Grass</v>
          </cell>
          <cell r="Q5" t="str">
            <v>Rajni 9     Grass</v>
          </cell>
          <cell r="R5" t="str">
            <v>Mix Alstroemeria ( 14 Inch ) 9     FF sachet + Grass</v>
          </cell>
          <cell r="S5" t="str">
            <v>P n W Glad ( 14 Inch ) 9     Grass</v>
          </cell>
          <cell r="T5" t="str">
            <v>P Asiatic ( 14 Inch ) 2     Grass</v>
          </cell>
        </row>
        <row r="6">
          <cell r="A6">
            <v>3330</v>
          </cell>
          <cell r="B6" t="str">
            <v>Radhika</v>
          </cell>
          <cell r="C6">
            <v>9911818025</v>
          </cell>
          <cell r="D6" t="str">
            <v>Bacardi India, 805, 8th Floor, Time Tower</v>
          </cell>
          <cell r="E6" t="str">
            <v>M G Road</v>
          </cell>
          <cell r="F6" t="str">
            <v>Monday</v>
          </cell>
          <cell r="G6" t="str">
            <v>9 AM - 12 PM</v>
          </cell>
          <cell r="H6">
            <v>2750</v>
          </cell>
          <cell r="I6">
            <v>687.5</v>
          </cell>
          <cell r="J6" t="str">
            <v>Corporate</v>
          </cell>
          <cell r="N6" t="str">
            <v>4  del of this cycle   -  0-cycles pmnt   In Process - Collect 0</v>
          </cell>
          <cell r="O6" t="str">
            <v>R Orchid 10     FF Sachet + Grass</v>
          </cell>
          <cell r="P6" t="str">
            <v>R n W  Car ( 14 inch )  32     FF Sachet + Grass</v>
          </cell>
          <cell r="Q6" t="str">
            <v>Asiatic  6     FF Sachet + Grass</v>
          </cell>
          <cell r="R6" t="str">
            <v>O n P Spray Daisy ( 15 inch ) 10     FF Sachet + Grass</v>
          </cell>
          <cell r="S6" t="str">
            <v xml:space="preserve">Mix Alstroemeria ( 12 Inch ) 30     </v>
          </cell>
          <cell r="T6" t="str">
            <v>Sunflower ( 12 Inch ) 7     Grass</v>
          </cell>
        </row>
        <row r="7">
          <cell r="A7">
            <v>3002</v>
          </cell>
          <cell r="B7" t="str">
            <v>Mukesh Saluja</v>
          </cell>
          <cell r="C7" t="str">
            <v>98992 01188</v>
          </cell>
          <cell r="D7" t="str">
            <v xml:space="preserve">Electronic City, Phase IV, Udyog Vihar, Sector 18, Gurugram, Haryana 122022
</v>
          </cell>
          <cell r="E7" t="str">
            <v>Old Gurgaon</v>
          </cell>
          <cell r="F7" t="str">
            <v>Monday</v>
          </cell>
          <cell r="G7" t="str">
            <v>4 PM to 7 PM</v>
          </cell>
          <cell r="H7">
            <v>1450</v>
          </cell>
          <cell r="I7">
            <v>362.5</v>
          </cell>
          <cell r="J7" t="str">
            <v>Bliss</v>
          </cell>
          <cell r="K7" t="str">
            <v>Returned today-send next week (20/10) Upgraded to bliss (08/11) Hold ue to non payment (22/12) Today hold -send tom (26/01) HDTNP (23/02) HDTNP (09/03) HDTNP (16/03) HDTNP (23/02)</v>
          </cell>
          <cell r="N7" t="str">
            <v>2  del of this cycle   -  1-cycles pmnt   Pending - Collect 2900</v>
          </cell>
          <cell r="O7" t="str">
            <v xml:space="preserve">P Eustoma ( 14 Inch)  3    FF Sachet + Grass </v>
          </cell>
          <cell r="P7" t="str">
            <v>R n W  Car ( 14 inch )  16     FF Sachet + Grass</v>
          </cell>
          <cell r="Q7" t="str">
            <v>Rajni 5     FF Sachet + Grass</v>
          </cell>
          <cell r="R7" t="str">
            <v>Y Asiatic ( 15 Inch ) 3     Grass</v>
          </cell>
          <cell r="S7" t="str">
            <v>P n W Glad ( 14 Inch ) 16     Grass</v>
          </cell>
          <cell r="T7" t="str">
            <v>P n Y Spray Daisy ( 14 Inch ) 5     FF Sachet + Grass</v>
          </cell>
        </row>
        <row r="8">
          <cell r="A8">
            <v>1618</v>
          </cell>
          <cell r="B8" t="str">
            <v>Nidhi Sharma Malhotra</v>
          </cell>
          <cell r="C8" t="str">
            <v>8130207722//9999016333</v>
          </cell>
          <cell r="D8" t="str">
            <v>Topaz-36, First Floor, Emaar Emerald Hills, Sec 65</v>
          </cell>
          <cell r="E8" t="str">
            <v>Badshahpur</v>
          </cell>
          <cell r="F8" t="str">
            <v>Friday</v>
          </cell>
          <cell r="G8" t="str">
            <v>9 AM to 2 PM</v>
          </cell>
          <cell r="H8">
            <v>3000</v>
          </cell>
          <cell r="I8">
            <v>375</v>
          </cell>
          <cell r="J8" t="str">
            <v>Charm</v>
          </cell>
          <cell r="K8"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8" t="str">
            <v>GLAD</v>
          </cell>
          <cell r="N8" t="str">
            <v>4  del of this cycle   -  0-cycles pmnt   Complimentary - Collect 0</v>
          </cell>
          <cell r="O8" t="str">
            <v>R Orchid 4     FF Sachet + Grass</v>
          </cell>
          <cell r="P8" t="str">
            <v>P n Y Spray Daisy ( 15 inch )  4     FF Sachet + Grass</v>
          </cell>
          <cell r="Q8" t="str">
            <v>Rajni 15     Grass</v>
          </cell>
          <cell r="R8" t="str">
            <v>O Asiatic ( 15 Inch ) 3     Grass</v>
          </cell>
          <cell r="S8" t="str">
            <v>W Oriental ( 15 inch ) 2     Grass</v>
          </cell>
          <cell r="T8" t="str">
            <v>Rajni ( 14 Inch ) 15     FF Sachet + Grass</v>
          </cell>
        </row>
        <row r="9">
          <cell r="A9">
            <v>435</v>
          </cell>
          <cell r="B9" t="str">
            <v>Rashee Sharma</v>
          </cell>
          <cell r="C9">
            <v>9911818025</v>
          </cell>
          <cell r="D9" t="str">
            <v>Bacardi, 8th Floor, Time Tower, M G Road</v>
          </cell>
          <cell r="E9" t="str">
            <v>Sohna Road 1</v>
          </cell>
          <cell r="F9" t="str">
            <v>Monday</v>
          </cell>
          <cell r="G9" t="str">
            <v>9 AM - 12 PM</v>
          </cell>
          <cell r="H9">
            <v>1450</v>
          </cell>
          <cell r="I9">
            <v>362.5</v>
          </cell>
          <cell r="J9" t="str">
            <v>Corporate</v>
          </cell>
          <cell r="K9" t="str">
            <v>Hold today-send tom(02/09) Today Returned (20/08) Hold toda send tom (31/03) Send tom (26/01)</v>
          </cell>
          <cell r="N9" t="str">
            <v>3  del of this cycle   -  0-cycles pmnt   In Process - Collect 0</v>
          </cell>
          <cell r="O9" t="str">
            <v xml:space="preserve">R Orchid 5    FF Sachet + Grass </v>
          </cell>
          <cell r="P9" t="str">
            <v>R n W  Car ( 14 inch )  16     FF Sachet + Grass</v>
          </cell>
          <cell r="Q9" t="str">
            <v>Asiatic  3     FF Sachet + Grass</v>
          </cell>
          <cell r="R9" t="str">
            <v>O Spray Daisy ( 15 inch ) 5     FF Sachet + Grass</v>
          </cell>
          <cell r="S9" t="str">
            <v>Mix Alstroemeria ( 12 Inch ) 15     FF Sachet + Grass</v>
          </cell>
          <cell r="T9" t="str">
            <v>Sunflower ( 12 Inch ) 4     Grass</v>
          </cell>
        </row>
        <row r="10">
          <cell r="A10" t="str">
            <v>B56085</v>
          </cell>
          <cell r="B10" t="str">
            <v>Harsha</v>
          </cell>
          <cell r="D10" t="str">
            <v>D1/1001, Parsvanath Exotica</v>
          </cell>
          <cell r="E10" t="str">
            <v>DLF Phase 5</v>
          </cell>
          <cell r="F10" t="str">
            <v>Monday</v>
          </cell>
          <cell r="G10" t="str">
            <v>By 10 AM</v>
          </cell>
          <cell r="H10">
            <v>1150</v>
          </cell>
          <cell r="I10">
            <v>1150</v>
          </cell>
          <cell r="J10" t="str">
            <v>Bouquet</v>
          </cell>
          <cell r="K10" t="str">
            <v>From Google Danielle// 5 BOP in Single Wrap// Dear Harsha, Happy Birthday!     Hope you have a great day &amp; a greater year ahead too!.    Regards, Roma (05/06)</v>
          </cell>
          <cell r="N10" t="str">
            <v>1  del of this cycle   -  0-cycles pmnt   In Process - Collect 0</v>
          </cell>
          <cell r="O10" t="e">
            <v>#N/A</v>
          </cell>
          <cell r="P10" t="e">
            <v>#N/A</v>
          </cell>
          <cell r="Q10" t="e">
            <v>#N/A</v>
          </cell>
          <cell r="R10" t="e">
            <v>#N/A</v>
          </cell>
          <cell r="S10" t="e">
            <v>#N/A</v>
          </cell>
          <cell r="T10" t="str">
            <v xml:space="preserve">BOP 5 Front Wrap Single Wrap Message   </v>
          </cell>
        </row>
        <row r="11">
          <cell r="A11">
            <v>3286</v>
          </cell>
          <cell r="B11" t="str">
            <v>Megha Attray</v>
          </cell>
          <cell r="C11">
            <v>9891818933</v>
          </cell>
          <cell r="D11" t="str">
            <v>Lemon Street -01, Malibu town</v>
          </cell>
          <cell r="E11" t="str">
            <v>Sohna Road</v>
          </cell>
          <cell r="F11" t="str">
            <v>Monday</v>
          </cell>
          <cell r="G11" t="str">
            <v>4 PM to 7PM</v>
          </cell>
          <cell r="H11">
            <v>2750</v>
          </cell>
          <cell r="I11">
            <v>687.5</v>
          </cell>
          <cell r="J11" t="str">
            <v>Elation</v>
          </cell>
          <cell r="K11" t="str">
            <v>Returned - not at home (13/04) Skip 1 week (03/05) Today Returned (25/05)</v>
          </cell>
          <cell r="N11" t="str">
            <v>2  del of this cycle   -  0-cycles pmnt   Completed - Collect 0</v>
          </cell>
          <cell r="O11" t="e">
            <v>#N/A</v>
          </cell>
          <cell r="P11" t="str">
            <v>Sunflower ( 15 inch ) 7     Grass</v>
          </cell>
          <cell r="Q11" t="str">
            <v>P Asiatic 6     Grass</v>
          </cell>
          <cell r="R11" t="str">
            <v>O n P Spray Daisy ( 15 inch ) 10     FF Sachet + Grass</v>
          </cell>
          <cell r="S11" t="str">
            <v>P n W Glad ( 14 Inch ) 32     Grass</v>
          </cell>
          <cell r="T11" t="str">
            <v>Pur n P Car ( 14 Inch ) 32     2 Gypsola + FF sachet</v>
          </cell>
        </row>
        <row r="12">
          <cell r="A12">
            <v>1262</v>
          </cell>
          <cell r="B12" t="str">
            <v>Manjusha Mishra</v>
          </cell>
          <cell r="C12">
            <v>9650513322</v>
          </cell>
          <cell r="D12" t="str">
            <v>T-12/001, CHD Avenue, Sec 71</v>
          </cell>
          <cell r="E12" t="str">
            <v>Badshahpur</v>
          </cell>
          <cell r="F12" t="str">
            <v>Monday</v>
          </cell>
          <cell r="G12" t="str">
            <v>4 Pm to 7 PM</v>
          </cell>
          <cell r="H12">
            <v>1950</v>
          </cell>
          <cell r="I12">
            <v>487.5</v>
          </cell>
          <cell r="J12" t="str">
            <v>Joy</v>
          </cell>
          <cell r="K12" t="str">
            <v>Rose/Guldawari/Lily/carnations(07/01) Skip 1 week(04/02) Send 1 stick extra next(12/02) send double del with rajni and 4 orchid with payment of 1 orchid of 60(11/03) Flower Food Next(16/04) NO RAJNI IN SUMMER(06/07) Send flowers on 6th instead of 5th(01/11)  Holy Change(16/03) NO GERBERA (01/08) 30th Del Returned (06/01) Skip 1 week (15/10) Send one del today and skip tom (29/03) Send tom n skip 0n 6th (04/04)</v>
          </cell>
          <cell r="L12" t="str">
            <v>GERBERA</v>
          </cell>
          <cell r="M12" t="str">
            <v xml:space="preserve"> Send tom n skip 0n 6th (04/04)</v>
          </cell>
          <cell r="N12" t="str">
            <v>1  del of this cycle   -  1-cycles pmnt   Pending - Collect 1950</v>
          </cell>
          <cell r="O12" t="str">
            <v xml:space="preserve">P Asiatic ( 15 Inch) 4    Grass </v>
          </cell>
          <cell r="P12" t="str">
            <v>P n W Spray Daisy ( 15 inch ) 7     FF Sachet + Grass</v>
          </cell>
          <cell r="Q12" t="str">
            <v>Sunflower ( 14 Inch ) 5     Grass</v>
          </cell>
          <cell r="R12" t="str">
            <v>R n W Car ( 14 Inch ) 22     FF Sachet + Grass</v>
          </cell>
          <cell r="S12" t="str">
            <v>R Asiatic ( 15 Inch ) 4     Grass</v>
          </cell>
          <cell r="T12" t="str">
            <v>P n W Spray Daisy ( 14 Inch ) 7     FF Sachet + Grass</v>
          </cell>
        </row>
        <row r="13">
          <cell r="A13">
            <v>950</v>
          </cell>
          <cell r="B13" t="str">
            <v>Radhika</v>
          </cell>
          <cell r="C13">
            <v>9911818025</v>
          </cell>
          <cell r="D13" t="str">
            <v>Bacardi India, 805, 8th Floor, Time Tower</v>
          </cell>
          <cell r="E13" t="str">
            <v>M G Road</v>
          </cell>
          <cell r="F13" t="str">
            <v>Monday</v>
          </cell>
          <cell r="G13" t="str">
            <v>9 AM - 12 PM</v>
          </cell>
          <cell r="H13">
            <v>2750</v>
          </cell>
          <cell r="I13">
            <v>687.5</v>
          </cell>
          <cell r="J13" t="str">
            <v>Corporate</v>
          </cell>
          <cell r="K13" t="str">
            <v>Skip 2 weeks(20/03) Today hold-send Tom(15/08) Returned-send tom(26/10) Today returned (19/08) Hold today send tom (31/03) Send tom (26/01)</v>
          </cell>
          <cell r="N13" t="str">
            <v>3  del of this cycle   -  0-cycles pmnt   In Process - Collect 0</v>
          </cell>
          <cell r="O13" t="str">
            <v>R Orchid 10     FF Sachet + Grass</v>
          </cell>
          <cell r="P13" t="str">
            <v>R n W  Car ( 14 inch )  32     FF Sachet + Grass</v>
          </cell>
          <cell r="Q13" t="str">
            <v>Asiatic  6     FF Sachet + Grass</v>
          </cell>
          <cell r="R13" t="str">
            <v>O n P Spray Daisy ( 15 inch ) 10     FF Sachet + Grass</v>
          </cell>
          <cell r="S13" t="str">
            <v xml:space="preserve">Mix Alstroemeria ( 12 Inch ) 30     </v>
          </cell>
          <cell r="T13" t="str">
            <v>Sunflower ( 12 Inch ) 7     Grass</v>
          </cell>
        </row>
        <row r="14">
          <cell r="A14">
            <v>2448</v>
          </cell>
          <cell r="B14" t="str">
            <v>Sonali Srivastava</v>
          </cell>
          <cell r="C14">
            <v>8510051543</v>
          </cell>
          <cell r="D14" t="str">
            <v>T2/25A, SS, The Leaf, Sec 85</v>
          </cell>
          <cell r="E14" t="str">
            <v>Manesar</v>
          </cell>
          <cell r="F14" t="str">
            <v>Monday</v>
          </cell>
          <cell r="G14" t="str">
            <v>9:30 Am to 2 PM</v>
          </cell>
          <cell r="H14">
            <v>999</v>
          </cell>
          <cell r="I14">
            <v>249.75</v>
          </cell>
          <cell r="J14" t="str">
            <v>Delight</v>
          </cell>
          <cell r="K14" t="str">
            <v>Insta // 1st Del on Monday and then Friday morning (17/07) Skip tom n send on Monday (24/08) Hold due to non payment (16/01) HDTNP(20/02) HDTNP (24/04) Skip 2 week (13/05)</v>
          </cell>
          <cell r="N14" t="str">
            <v>2  del of this cycle   -  1-cycles pmnt   Pending - Collect 999</v>
          </cell>
          <cell r="O14" t="e">
            <v>#N/A</v>
          </cell>
          <cell r="P14" t="e">
            <v>#N/A</v>
          </cell>
          <cell r="Q14" t="e">
            <v>#N/A</v>
          </cell>
          <cell r="R14" t="e">
            <v>#N/A</v>
          </cell>
          <cell r="S14" t="str">
            <v>R n W car ( 14 Inch) 9     FF sachet + grass</v>
          </cell>
          <cell r="T14" t="str">
            <v>P Asiatic ( 14 Inch ) 2     Grass</v>
          </cell>
        </row>
        <row r="15">
          <cell r="A15" t="str">
            <v>B56106</v>
          </cell>
          <cell r="B15">
            <v>9650956777</v>
          </cell>
          <cell r="C15">
            <v>9650956777</v>
          </cell>
          <cell r="D15" t="str">
            <v>Topaz-42, 1st Floor, Emaar Emerald Hills, Sec 65</v>
          </cell>
          <cell r="E15" t="str">
            <v>Badshahpur</v>
          </cell>
          <cell r="F15" t="str">
            <v>Monday</v>
          </cell>
          <cell r="G15" t="str">
            <v>By 10 AM</v>
          </cell>
          <cell r="H15">
            <v>2150</v>
          </cell>
          <cell r="I15">
            <v>2150</v>
          </cell>
          <cell r="J15" t="str">
            <v>Bouquet</v>
          </cell>
          <cell r="K15" t="str">
            <v>6 W Asiatic in W Tissue Wrap//  Happy 41st Bday Gautam.     From : Baby, Isha, Ma and Pa (07/06)</v>
          </cell>
          <cell r="N15" t="str">
            <v>1  del of this cycle   -  0-cycles pmnt   Completed - Collect 0</v>
          </cell>
          <cell r="O15" t="e">
            <v>#N/A</v>
          </cell>
          <cell r="P15" t="e">
            <v>#N/A</v>
          </cell>
          <cell r="Q15" t="e">
            <v>#N/A</v>
          </cell>
          <cell r="R15" t="e">
            <v>#N/A</v>
          </cell>
          <cell r="S15" t="e">
            <v>#N/A</v>
          </cell>
          <cell r="T15" t="str">
            <v xml:space="preserve">W Oriental 6 Full Tissue Wrap Message   </v>
          </cell>
        </row>
        <row r="16">
          <cell r="A16" t="str">
            <v>B56105</v>
          </cell>
          <cell r="B16" t="str">
            <v>Anubha Sud Arora</v>
          </cell>
          <cell r="C16">
            <v>9810209456</v>
          </cell>
          <cell r="D16" t="str">
            <v>T-6/3, DLF Phase 3</v>
          </cell>
          <cell r="E16" t="str">
            <v>DLF Phase 3</v>
          </cell>
          <cell r="F16" t="str">
            <v>Monday</v>
          </cell>
          <cell r="G16" t="str">
            <v>By 10 AM</v>
          </cell>
          <cell r="H16">
            <v>1500</v>
          </cell>
          <cell r="I16">
            <v>1500</v>
          </cell>
          <cell r="J16" t="str">
            <v>Bouquet</v>
          </cell>
          <cell r="K16" t="str">
            <v>Mix of Asiatic + Carnations and Button Daisy // Happy Birthday Mom and Dadi.       Lots of love       Mayank, Anubha, Arav and Miraya (07/06)</v>
          </cell>
          <cell r="N16" t="str">
            <v>1  del of this cycle   -  0-cycles pmnt   In Process - Collect 0</v>
          </cell>
          <cell r="O16" t="e">
            <v>#N/A</v>
          </cell>
          <cell r="P16" t="e">
            <v>#N/A</v>
          </cell>
          <cell r="Q16" t="e">
            <v>#N/A</v>
          </cell>
          <cell r="R16" t="e">
            <v>#N/A</v>
          </cell>
          <cell r="S16" t="e">
            <v>#N/A</v>
          </cell>
          <cell r="T16" t="str">
            <v xml:space="preserve">P Asiatic + P n W Car + P n Y Button Daisy 4 + 10 + 6 Single Wrap with Less Tape Message   </v>
          </cell>
        </row>
        <row r="17">
          <cell r="A17">
            <v>2363</v>
          </cell>
          <cell r="B17" t="str">
            <v>Radhika</v>
          </cell>
          <cell r="C17">
            <v>9911818025</v>
          </cell>
          <cell r="D17" t="str">
            <v>Bacardi India, 805, 8th Floor, Time Tower</v>
          </cell>
          <cell r="E17" t="str">
            <v>M G Road</v>
          </cell>
          <cell r="F17" t="str">
            <v>Monday</v>
          </cell>
          <cell r="G17" t="str">
            <v>9 AM - 12 PM</v>
          </cell>
          <cell r="H17">
            <v>2750</v>
          </cell>
          <cell r="I17">
            <v>687.5</v>
          </cell>
          <cell r="J17" t="str">
            <v>Corporate</v>
          </cell>
          <cell r="K17" t="str">
            <v>Hold today send tom (31/03) Send tom (26/01)</v>
          </cell>
          <cell r="N17" t="str">
            <v>2  del of this cycle   -  0-cycles pmnt   In Process - Collect 0</v>
          </cell>
          <cell r="O17" t="str">
            <v>R Orchid 10     FF Sachet + Grass</v>
          </cell>
          <cell r="P17" t="str">
            <v>R n W  Car ( 14 inch )  32     FF Sachet + Grass</v>
          </cell>
          <cell r="Q17" t="str">
            <v>Asiatic  6     FF Sachet + Grass</v>
          </cell>
          <cell r="R17" t="str">
            <v>O n P Spray Daisy ( 15 inch ) 10     FF Sachet + Grass</v>
          </cell>
          <cell r="S17" t="str">
            <v>Mix Alstroemeria ( 12 Inch ) 30     Grass</v>
          </cell>
          <cell r="T17" t="str">
            <v>Sunflower ( 12 Inch ) 7     Grass</v>
          </cell>
        </row>
        <row r="18">
          <cell r="A18">
            <v>1005</v>
          </cell>
          <cell r="B18" t="str">
            <v>Pradeep Jain</v>
          </cell>
          <cell r="C18">
            <v>9810013570</v>
          </cell>
          <cell r="D18" t="str">
            <v>Bacardi India,8th Floor, Time Tower</v>
          </cell>
          <cell r="E18" t="str">
            <v>M G Road</v>
          </cell>
          <cell r="F18" t="str">
            <v>Monday</v>
          </cell>
          <cell r="G18" t="str">
            <v>9:30 AM to 2 PM</v>
          </cell>
          <cell r="H18">
            <v>1450</v>
          </cell>
          <cell r="I18">
            <v>362.5</v>
          </cell>
          <cell r="J18" t="str">
            <v>Corporate</v>
          </cell>
          <cell r="K18"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18" t="str">
            <v>2  del of this cycle   -  0-cycles pmnt   In Process - Collect 0</v>
          </cell>
          <cell r="O18" t="str">
            <v xml:space="preserve">R Orchid 5    FF Sachet + Grass </v>
          </cell>
          <cell r="P18" t="str">
            <v>R n W  Car ( 14 inch )  16     FF Sachet + Grass</v>
          </cell>
          <cell r="Q18" t="str">
            <v>Asiatic  3     FF Sachet + Grass</v>
          </cell>
          <cell r="R18" t="str">
            <v>O Spray Daisy ( 15 inch ) 5     FF Sachet + Grass</v>
          </cell>
          <cell r="S18" t="str">
            <v>P n W Glad ( 14 Inch )      Grass</v>
          </cell>
          <cell r="T18" t="str">
            <v>Sunflower ( 12 Inch ) 4     FF Sachet + Grass</v>
          </cell>
        </row>
        <row r="19">
          <cell r="A19">
            <v>2369</v>
          </cell>
          <cell r="B19" t="str">
            <v>Jaya - Bacardi</v>
          </cell>
          <cell r="D19" t="str">
            <v>Bacardi India,8th Floor, Time Tower</v>
          </cell>
          <cell r="E19" t="str">
            <v>M G Road</v>
          </cell>
          <cell r="F19" t="str">
            <v>Monday</v>
          </cell>
          <cell r="G19" t="str">
            <v>9 AM - 12 PM</v>
          </cell>
          <cell r="H19">
            <v>2750</v>
          </cell>
          <cell r="I19">
            <v>687.5</v>
          </cell>
          <cell r="J19" t="str">
            <v>Corporate</v>
          </cell>
          <cell r="K19" t="str">
            <v>Hold today send tom (31/03) Send tom (26/01)</v>
          </cell>
          <cell r="N19" t="str">
            <v>1  del of this cycle   -  0-cycles pmnt   In Process - Collect 0</v>
          </cell>
          <cell r="O19" t="str">
            <v>R Orchid 10     FF Sachet + Grass</v>
          </cell>
          <cell r="P19" t="str">
            <v>R n W  Car ( 14 inch )  32     FF Sachet + Grass</v>
          </cell>
          <cell r="Q19" t="str">
            <v>Asiatic  6     FF Sachet + Grass</v>
          </cell>
          <cell r="R19" t="str">
            <v>O n P Spray Daisy ( 15 inch ) 10     FF Sachet + Grass</v>
          </cell>
          <cell r="S19" t="str">
            <v>Mix Alstroemeria ( 12 Inch ) 30     Grass</v>
          </cell>
          <cell r="T19" t="str">
            <v>Sunflower ( 12 Inch ) 7     Grass</v>
          </cell>
        </row>
        <row r="20">
          <cell r="A20">
            <v>2620</v>
          </cell>
          <cell r="B20" t="str">
            <v>Bhavna Newle-- Before 12 PM</v>
          </cell>
          <cell r="C20" t="str">
            <v>98736 93388</v>
          </cell>
          <cell r="D20" t="str">
            <v xml:space="preserve">37/101 Heritage City </v>
          </cell>
          <cell r="E20" t="str">
            <v>M G Road</v>
          </cell>
          <cell r="F20" t="str">
            <v>Monday</v>
          </cell>
          <cell r="G20" t="str">
            <v>Before 12 PM</v>
          </cell>
          <cell r="H20">
            <v>4160</v>
          </cell>
          <cell r="I20">
            <v>1040</v>
          </cell>
          <cell r="J20" t="str">
            <v>Customized</v>
          </cell>
          <cell r="K20"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20" t="str">
            <v>Skip 9th n 15th July (29/06)</v>
          </cell>
          <cell r="N20" t="str">
            <v>1  del of this cycle   -  0-cycles pmnt   Completed - Collect 0</v>
          </cell>
          <cell r="O20" t="str">
            <v>Y n W Spray Daosy 16     2 Gypsola + ff sachet</v>
          </cell>
          <cell r="P20" t="str">
            <v>P n W Spray Daisy ( 15 inch ) 16     2 Limonium + FF Sachet</v>
          </cell>
          <cell r="Q20" t="str">
            <v>P n Y Spray Daisy ( 15 inch ) 16     2 Gypsola + FF sachet</v>
          </cell>
          <cell r="R20" t="str">
            <v>O n P Spray Daisy ( 15 inch ) 16     2 Limonium + FF Sachet</v>
          </cell>
          <cell r="S20" t="str">
            <v>P n W Spray Daisy ( 15 Inch ) 16     2 Gypsola + FF Sachet</v>
          </cell>
          <cell r="T20" t="str">
            <v>P n Y Spray Daisy ( 14 Inch ) 16     2 Limonium + FF Sachet</v>
          </cell>
        </row>
        <row r="21">
          <cell r="A21">
            <v>3223</v>
          </cell>
          <cell r="B21" t="str">
            <v>Gaurav Agarwal</v>
          </cell>
          <cell r="C21">
            <v>9650088297</v>
          </cell>
          <cell r="D21" t="str">
            <v>D-22/401, Ireo Victory Valley</v>
          </cell>
          <cell r="E21" t="str">
            <v>Badshahpur</v>
          </cell>
          <cell r="F21" t="str">
            <v>Monday</v>
          </cell>
          <cell r="G21" t="str">
            <v>9 AM - 12 PM</v>
          </cell>
          <cell r="H21">
            <v>1950</v>
          </cell>
          <cell r="I21">
            <v>487.5</v>
          </cell>
          <cell r="J21" t="str">
            <v>Joy</v>
          </cell>
          <cell r="K21" t="str">
            <v>One kInd // Skip 1 week (16/12) Skip 1 week (26/05)</v>
          </cell>
          <cell r="M21" t="str">
            <v>One Kind</v>
          </cell>
          <cell r="N21" t="str">
            <v>1  del of this cycle   -  1-cycles pmnt   Pending - Collect 1950</v>
          </cell>
          <cell r="O21" t="str">
            <v xml:space="preserve">P Asiatic ( 15 Inch) 4    Grass </v>
          </cell>
          <cell r="P21" t="str">
            <v>Mix Alstromia 22     Grass</v>
          </cell>
          <cell r="Q21" t="str">
            <v>P n W Glad ( 14 inch ) 22     Grass</v>
          </cell>
          <cell r="R21" t="str">
            <v>O n P Spray Daisy ( 15 inch ) 7     FF Sachet + Grass</v>
          </cell>
          <cell r="S21" t="str">
            <v>R n W car ( 14 Inch) 22     FF Sachet + Grass</v>
          </cell>
          <cell r="T21" t="str">
            <v>O Asiatic ( 14 inch ) 4     Grass</v>
          </cell>
        </row>
        <row r="22">
          <cell r="A22">
            <v>3376</v>
          </cell>
          <cell r="B22" t="str">
            <v>Swapna Reddy</v>
          </cell>
          <cell r="C22">
            <v>9311244914</v>
          </cell>
          <cell r="D22" t="str">
            <v>C=1403, Ireo Victory Valley, Sec 67</v>
          </cell>
          <cell r="E22" t="str">
            <v>Badshahpur</v>
          </cell>
          <cell r="F22" t="str">
            <v>Monday</v>
          </cell>
          <cell r="G22" t="str">
            <v>9 AM - 12 PM</v>
          </cell>
          <cell r="H22">
            <v>1450</v>
          </cell>
          <cell r="I22">
            <v>362.5</v>
          </cell>
          <cell r="J22" t="str">
            <v>Bliss</v>
          </cell>
          <cell r="N22" t="str">
            <v>1  del of this cycle   -  1-cycles pmnt   Pending - Collect 1450</v>
          </cell>
          <cell r="O22" t="e">
            <v>#N/A</v>
          </cell>
          <cell r="P22" t="e">
            <v>#N/A</v>
          </cell>
          <cell r="Q22" t="e">
            <v>#N/A</v>
          </cell>
          <cell r="R22" t="e">
            <v>#N/A</v>
          </cell>
          <cell r="S22" t="e">
            <v>#N/A</v>
          </cell>
          <cell r="T22" t="str">
            <v>Pur n P Car ( 14 Inch ) 16     FF Sachet + Grass</v>
          </cell>
        </row>
        <row r="23">
          <cell r="A23">
            <v>2571</v>
          </cell>
          <cell r="B23" t="str">
            <v>Ghanendra</v>
          </cell>
          <cell r="C23">
            <v>9818829144</v>
          </cell>
          <cell r="D23" t="str">
            <v>H. No. 2, Bauganville Marg, First Floor, DLF Phase 2</v>
          </cell>
          <cell r="E23" t="str">
            <v>DLF Phase 2</v>
          </cell>
          <cell r="F23" t="str">
            <v>Monday</v>
          </cell>
          <cell r="G23" t="str">
            <v>9 AM - 12 PM</v>
          </cell>
          <cell r="H23">
            <v>1450</v>
          </cell>
          <cell r="I23">
            <v>362.5</v>
          </cell>
          <cell r="J23" t="str">
            <v>Bliss</v>
          </cell>
          <cell r="K23" t="str">
            <v>Complimentary Always // Day changed  to Monday (09/08) Today hold n send tom (26/010</v>
          </cell>
          <cell r="N23" t="str">
            <v>4  del of this cycle   -  0-cycles pmnt   Complimentary - Collect 0</v>
          </cell>
          <cell r="O23" t="str">
            <v xml:space="preserve">P Eustoma ( 14 Inch)  2 Pur n W Car 7  FF Sachet + Grass </v>
          </cell>
          <cell r="P23" t="str">
            <v>Y Spray Daisy ( 15 inch ) 3 Mix Alstroemeria ( 14 inch ) 7   FF Sachet + Grass</v>
          </cell>
          <cell r="Q23" t="str">
            <v>Sunflower ( 14 Inch ) 2 Rajni 7   Grass</v>
          </cell>
          <cell r="R23" t="str">
            <v>O Asiatic ( 15 Inch ) 2 P n W Glad ( 14 inch ) 7   Grass</v>
          </cell>
          <cell r="S23" t="str">
            <v>Pur Eustoma ( 12 Inch ) 2 P n W Car ( 14 Inch ) 7   FF Sachet + Grass</v>
          </cell>
          <cell r="T23" t="str">
            <v>Sunflower ( 12 Inch ) 4     FF Sachet + Grass</v>
          </cell>
        </row>
        <row r="24">
          <cell r="A24">
            <v>2895</v>
          </cell>
          <cell r="B24" t="str">
            <v>Aditya -- Hexa Climate</v>
          </cell>
          <cell r="C24">
            <v>8351968881</v>
          </cell>
          <cell r="D24" t="str">
            <v>Hexa Climate Solutions , 8th Floor, Vatika Buisness Park</v>
          </cell>
          <cell r="E24" t="str">
            <v>Sohna Road 1</v>
          </cell>
          <cell r="F24" t="str">
            <v>Monday</v>
          </cell>
          <cell r="G24" t="str">
            <v>By 9 AM</v>
          </cell>
          <cell r="H24">
            <v>20000</v>
          </cell>
          <cell r="I24">
            <v>5000</v>
          </cell>
          <cell r="J24" t="str">
            <v>Corporate</v>
          </cell>
          <cell r="K24" t="str">
            <v>Visit -- 15 Square vase</v>
          </cell>
          <cell r="N24" t="str">
            <v>4  del of this cycle   -  0-cycles pmnt   In Process - Collect 0</v>
          </cell>
          <cell r="O24" t="str">
            <v xml:space="preserve">Square arrangement 15     </v>
          </cell>
          <cell r="P24" t="str">
            <v xml:space="preserve">Square Arrangement 15     </v>
          </cell>
          <cell r="Q24" t="str">
            <v xml:space="preserve">Square Arrangement 15     </v>
          </cell>
          <cell r="R24" t="str">
            <v xml:space="preserve">Square Arrangement 15     </v>
          </cell>
          <cell r="S24" t="str">
            <v xml:space="preserve">Square Arrangement 15     </v>
          </cell>
          <cell r="T24" t="str">
            <v xml:space="preserve">Square Arrangement 15     </v>
          </cell>
        </row>
        <row r="25">
          <cell r="A25">
            <v>3351</v>
          </cell>
          <cell r="B25" t="str">
            <v>Shubhpret kaur</v>
          </cell>
          <cell r="C25">
            <v>8800898704</v>
          </cell>
          <cell r="D25" t="str">
            <v>H. No. 667, 3rd Floor, Sec 43</v>
          </cell>
          <cell r="E25" t="str">
            <v>DLF Phase 5</v>
          </cell>
          <cell r="F25" t="str">
            <v>Monday</v>
          </cell>
          <cell r="G25" t="str">
            <v>9 AM - 12 PM</v>
          </cell>
          <cell r="H25">
            <v>1950</v>
          </cell>
          <cell r="I25">
            <v>487.5</v>
          </cell>
          <cell r="J25" t="str">
            <v>Joy</v>
          </cell>
          <cell r="N25" t="str">
            <v>2  del of this cycle   -  1-cycles pmnt   Pending - Collect 1950</v>
          </cell>
          <cell r="O25" t="str">
            <v xml:space="preserve">Pur n P Car 22    FF Sachet + Flower Food </v>
          </cell>
          <cell r="P25" t="str">
            <v>G n Y Spray Daisy ( 15 inch ) 7     FF Sachet + Grass</v>
          </cell>
          <cell r="Q25" t="str">
            <v>Asiatic  4     Grass</v>
          </cell>
          <cell r="R25" t="str">
            <v>P n W Glad ( 14 Inch ) 22     Grass</v>
          </cell>
          <cell r="S25" t="str">
            <v>Mix Alstroemeria ( 12 Inch ) 22     FF Sachet + Grass</v>
          </cell>
          <cell r="T25" t="str">
            <v>P n W Car ( 14 Inch ) 22     FF Sachet + Grass</v>
          </cell>
        </row>
        <row r="26">
          <cell r="A26">
            <v>18</v>
          </cell>
          <cell r="B26" t="str">
            <v>Ms. Shweta Ghosh</v>
          </cell>
          <cell r="C26">
            <v>9643200607</v>
          </cell>
          <cell r="D26" t="str">
            <v>T-7/1702, The Close South , Sector 50</v>
          </cell>
          <cell r="E26" t="str">
            <v>Nirvana Country</v>
          </cell>
          <cell r="F26" t="str">
            <v>Saturday</v>
          </cell>
          <cell r="G26" t="str">
            <v>4 Pm to 7 PM</v>
          </cell>
          <cell r="H26">
            <v>1450</v>
          </cell>
          <cell r="I26">
            <v>362.5</v>
          </cell>
          <cell r="J26" t="str">
            <v>Bliss</v>
          </cell>
          <cell r="K26" t="str">
            <v>No Rajni (19/05),NO GLAD(20/10)NO GLAD(30/06) Return-send tom(14/07) NO GLAD n NO CAR(28/07)NO GLAD n NO RAJNI(03/08) NO GLAD AND RAJNI(08/12) NO RAJNI AT ALL(27/3)  Return today(30/04) Skip 1 week and start(26/05) Return today(13/08) Hold for 3 weeks (27/10) Hold till 28th Nov (09/11) Today returned (30/03) Hold n start from 20th July (01/07) REturned today (14/09) Skip this Saturday (31/10) Today returned (09/11) Skip from 21st to 28th Dec and deliver on 29th -- Dont deliver on 28th (11/12) Skip 1 week (17/01) Skip this saturday (26/01) Skip 1 week (19/06) Skip sat n send on monday (21/08) Send replacement tom (25/10) No Flowers till 20th Dec (25/11) Start with new bliss from Jan (04/12) Skip 1 week (18/03) No Delivery from 11th to 20th Apr (04/04) Skip 1 week (27/04) One more payment received (04/05) Skip sat n send on sunday (26/05) Skip sat n send on monday this week (03/06)</v>
          </cell>
          <cell r="L26" t="str">
            <v>GLDA n RAJNI</v>
          </cell>
          <cell r="M26" t="str">
            <v>Skip 6th n send on 8th this week (03/06)</v>
          </cell>
          <cell r="N26" t="str">
            <v>4  del of this cycle   -  0-cycles pmnt   Completed - Collect 0</v>
          </cell>
          <cell r="O26" t="str">
            <v xml:space="preserve">Mix Spary Daisy  5  greens     </v>
          </cell>
          <cell r="P26" t="e">
            <v>#N/A</v>
          </cell>
          <cell r="Q26" t="e">
            <v>#N/A</v>
          </cell>
          <cell r="R26" t="e">
            <v>#N/A</v>
          </cell>
          <cell r="S26" t="e">
            <v>#N/A</v>
          </cell>
          <cell r="T26" t="str">
            <v>P Asiatic ( 14 Inch ) 3     Grass</v>
          </cell>
        </row>
        <row r="27">
          <cell r="A27">
            <v>2483</v>
          </cell>
          <cell r="B27" t="str">
            <v>Manav</v>
          </cell>
          <cell r="C27" t="str">
            <v>9810068329 // 9810024711</v>
          </cell>
          <cell r="D27" t="str">
            <v>Pugudunee Safaris, Unit 404, Baani , Sector 56</v>
          </cell>
          <cell r="E27" t="str">
            <v>Sector 56</v>
          </cell>
          <cell r="F27" t="str">
            <v>Monday</v>
          </cell>
          <cell r="G27" t="str">
            <v>9 AM - 12 PM</v>
          </cell>
          <cell r="H27">
            <v>1450</v>
          </cell>
          <cell r="I27">
            <v>362.5</v>
          </cell>
          <cell r="J27" t="str">
            <v>Bliss</v>
          </cell>
          <cell r="K27" t="str">
            <v>Referred By Nandita Jain // Received one more payment (21/08) Today returned-send tom (20/10) Neft from Kanha Earth Lodge (21/01) Today hold -send tom (26/01)</v>
          </cell>
          <cell r="N27" t="str">
            <v>4  del of this cycle   -  0-cycles pmnt   Completed - Collect 0</v>
          </cell>
          <cell r="O27" t="str">
            <v xml:space="preserve">Sunflower ( 15 inch) 2 P n W Glad ( 15 Inch )  7  Grass </v>
          </cell>
          <cell r="P27" t="str">
            <v>P Spray Daisy ( 15 inch ) 3 Mix Alstroemeria ( 14 inch ) 7   FF Sachet + Grass</v>
          </cell>
          <cell r="Q27" t="str">
            <v>P Eustoma 2 P n W Car ( 14 inch ) 7   Grass</v>
          </cell>
          <cell r="R27" t="str">
            <v>Y Asiatic ( 15 Inch ) 2 P n W Glad ( 14 inch ) 7   Grass</v>
          </cell>
          <cell r="S27" t="str">
            <v>Sunflower ( 14 Inch ) 2 Mix Alstroemeria ( 12 Inch ) 7   FF Sachet + Grass</v>
          </cell>
          <cell r="T27" t="str">
            <v>P Spray Daisy ( 14 Inch ) 3 Pur n P Car ( 14 inch ) 7   FF Sachet + Grass</v>
          </cell>
        </row>
        <row r="28">
          <cell r="A28">
            <v>2850</v>
          </cell>
          <cell r="B28" t="str">
            <v>Namita Chaudhary -- Before 11:30 AM</v>
          </cell>
          <cell r="C28">
            <v>9810002910</v>
          </cell>
          <cell r="D28" t="str">
            <v>403-406, Global Credit Solutions Splendour Spectrum one, 403 -406, T-2- 4th Floor, Sec 58</v>
          </cell>
          <cell r="E28" t="str">
            <v>Ghata</v>
          </cell>
          <cell r="F28" t="str">
            <v>Monday</v>
          </cell>
          <cell r="G28" t="str">
            <v>10 am to 12 PM</v>
          </cell>
          <cell r="H28">
            <v>1450</v>
          </cell>
          <cell r="I28">
            <v>362.5</v>
          </cell>
          <cell r="J28" t="str">
            <v>Corporate</v>
          </cell>
          <cell r="K28" t="str">
            <v>Skip 1 week (13/08) Start from or after 13th Oct (30/09) Skip 1 week (19/10) Skip 2 week (09/12) Skip 1 week (18/01) Send on 27th (26/01) Hold till 4th Apr (27/03)  No Yel n White (06/04)</v>
          </cell>
          <cell r="L28" t="str">
            <v xml:space="preserve"> No Yel n White (06/04)</v>
          </cell>
          <cell r="N28" t="str">
            <v>2  del of this cycle   -  0-cycles pmnt   In Process - Collect 0</v>
          </cell>
          <cell r="O28" t="str">
            <v xml:space="preserve">P Eustoma ( 14 Inch)  2 P n W Glad ( 15 Inch )  7  FF Sachet + Grass </v>
          </cell>
          <cell r="P28" t="str">
            <v>Sunflower ( 15 inch ) 2 Mix Alstroemeria ( 14 inch ) 7   Grass</v>
          </cell>
          <cell r="Q28" t="str">
            <v>P Spray Daisy ( 15 inch ) 3 P n W Car ( 14 inch ) 7   FF Sachet + Grass</v>
          </cell>
          <cell r="R28" t="str">
            <v>O Asiatic ( 15 Inch ) 2 P n W Glad ( 14 inch ) 7   Grass</v>
          </cell>
          <cell r="S28" t="str">
            <v>Pur Eustoma ( 12 Inch ) 2 Mix Alstroemeria ( 12 Inch ) 7   FF Sachet + Grass</v>
          </cell>
          <cell r="T28" t="str">
            <v>Sunflower ( 12 Inch ) 2 Pur n P Car ( 14 inch ) 7   FF Sachet + Grass</v>
          </cell>
        </row>
        <row r="29">
          <cell r="A29">
            <v>2697</v>
          </cell>
          <cell r="B29" t="str">
            <v>Sumana Sarkar</v>
          </cell>
          <cell r="C29">
            <v>9599968479</v>
          </cell>
          <cell r="D29" t="str">
            <v>C-201, Heritage One</v>
          </cell>
          <cell r="E29" t="str">
            <v>Ghata</v>
          </cell>
          <cell r="F29" t="str">
            <v>Monday</v>
          </cell>
          <cell r="G29" t="str">
            <v>9 AM to 2 PM</v>
          </cell>
          <cell r="H29">
            <v>1450</v>
          </cell>
          <cell r="I29">
            <v>362.5</v>
          </cell>
          <cell r="J29" t="str">
            <v>Bliss</v>
          </cell>
          <cell r="K29" t="str">
            <v>Hold due to non payment (02/02) Today Returned (09/02) Send on 11th Feb (10/02) HDTNP (09/03)</v>
          </cell>
          <cell r="N29" t="str">
            <v>3  del of this cycle   -  0-cycles pmnt   Completed - Collect 0</v>
          </cell>
          <cell r="O29" t="str">
            <v xml:space="preserve">P Eustoma ( 14 Inch)  2 P n W Glad ( 15 Inch )  7  FF Sachet + Grass </v>
          </cell>
          <cell r="P29" t="str">
            <v>Y Spray Daisy ( 15 inch ) 3 Mix Alstroemeria ( 14 inch ) 7   FF Sachet + Grass</v>
          </cell>
          <cell r="Q29" t="str">
            <v>Sunflower ( 14 Inch ) 2 B Daisy ( 12 inch ) 7   Grass</v>
          </cell>
          <cell r="R29" t="str">
            <v>O Asiatic ( 15 Inch ) 2 R n W Car ( 14 Inch ) 7   Grass</v>
          </cell>
          <cell r="S29" t="str">
            <v>Pur Eustoma ( 12 Inch ) 2 P n W Glad ( 14 Inch ) 7   FF Sachet + Grass</v>
          </cell>
          <cell r="T29" t="str">
            <v>P Spray Daisy ( 14 Inch ) 3 Mix Alstroemeria ( 12 Inch ) 7   FF Sachet + Grass</v>
          </cell>
        </row>
        <row r="30">
          <cell r="A30">
            <v>2239</v>
          </cell>
          <cell r="B30" t="str">
            <v>Divyangana</v>
          </cell>
          <cell r="C30">
            <v>9646541636</v>
          </cell>
          <cell r="D30" t="str">
            <v>400-A, Ground Floor, Sec 57, Sushant Lok-2, Block-G</v>
          </cell>
          <cell r="E30" t="str">
            <v>M G Road</v>
          </cell>
          <cell r="F30" t="str">
            <v>Monday</v>
          </cell>
          <cell r="G30" t="str">
            <v>9 AM - 12 PM</v>
          </cell>
          <cell r="H30">
            <v>999</v>
          </cell>
          <cell r="I30">
            <v>249.75</v>
          </cell>
          <cell r="J30" t="str">
            <v>Delight</v>
          </cell>
          <cell r="K30" t="str">
            <v>Skip 2 week (03/03) Skip Monday and send on Tuesday after 5 PM (20/03) Return today (23/06) Return today (20/10) Hold due to non payment (26/01) Hold due to non pauyment (02/02) Hold due to non payment (09/02) HDTNP(16/02) HFTNP (23/02)</v>
          </cell>
          <cell r="N30" t="str">
            <v>1  del of this cycle   -  1-cycles pmnt   Pending - Collect 999</v>
          </cell>
          <cell r="O30" t="str">
            <v>O Asiatic ( Height 16 inch) 2     Grass</v>
          </cell>
          <cell r="P30" t="str">
            <v>Pur n P car ( 14 inch ) 9     FF Sachet + Grass</v>
          </cell>
          <cell r="Q30" t="str">
            <v>B Orchid  3     Grass</v>
          </cell>
          <cell r="R30" t="str">
            <v>Mix Alstroemeria ( 14 Inch ) 9     FF Sachet + Grass</v>
          </cell>
          <cell r="S30" t="str">
            <v>P asiatic ( 15 Inch ) 2     Grass</v>
          </cell>
          <cell r="T30" t="str">
            <v>P n W Glad ( 14 Inch ) 9     Grass</v>
          </cell>
        </row>
        <row r="31">
          <cell r="A31">
            <v>1583</v>
          </cell>
          <cell r="B31" t="str">
            <v>Sanjeev Saini</v>
          </cell>
          <cell r="C31">
            <v>8505816000</v>
          </cell>
          <cell r="D31" t="str">
            <v>H. No.951, Block -C, Sec 47</v>
          </cell>
          <cell r="E31" t="str">
            <v>Nirvana Country</v>
          </cell>
          <cell r="F31" t="str">
            <v>Monday</v>
          </cell>
          <cell r="G31" t="str">
            <v>9 AM to 2 PM</v>
          </cell>
          <cell r="H31">
            <v>999</v>
          </cell>
          <cell r="I31">
            <v>249.75</v>
          </cell>
          <cell r="J31" t="str">
            <v>Delight</v>
          </cell>
          <cell r="K31" t="str">
            <v>Today returned-send tom(15/08) Today Retirned (19/08) Today returned -send tom (26/01)</v>
          </cell>
          <cell r="N31" t="str">
            <v>4  del of this cycle   -  0-cycles pmnt   In Process - Collect 0</v>
          </cell>
          <cell r="O31" t="str">
            <v>R n W Car 9     FF Sachet + Grass</v>
          </cell>
          <cell r="P31" t="str">
            <v>Sunflower ( 15 inch ) 2     FF Sachet + Grass</v>
          </cell>
          <cell r="Q31" t="str">
            <v>Mix car 9     Grass</v>
          </cell>
          <cell r="R31" t="str">
            <v>Rajni ( 14 Inch ) 9     Grass</v>
          </cell>
          <cell r="S31" t="str">
            <v>R Asiatic ( 15 Inch ) 2     Grass</v>
          </cell>
          <cell r="T31" t="str">
            <v>Mix Alstroemeria ( 12 Inch ) 9     FF Sachet + Grass</v>
          </cell>
        </row>
        <row r="32">
          <cell r="A32">
            <v>2041</v>
          </cell>
          <cell r="B32" t="str">
            <v>Sanjeev Saini</v>
          </cell>
          <cell r="C32">
            <v>8505816000</v>
          </cell>
          <cell r="D32" t="str">
            <v>H. No.951, Block -C, Sec 47</v>
          </cell>
          <cell r="E32" t="str">
            <v>Sohna Road 1</v>
          </cell>
          <cell r="F32" t="str">
            <v>Monday</v>
          </cell>
          <cell r="G32" t="str">
            <v>9 AM - 12 PM</v>
          </cell>
          <cell r="H32">
            <v>999</v>
          </cell>
          <cell r="I32">
            <v>249.75</v>
          </cell>
          <cell r="J32" t="str">
            <v>Delight</v>
          </cell>
          <cell r="K32" t="str">
            <v>Today Returned (27/02) Today Returned (19/08) Scossor Next (24/05)</v>
          </cell>
          <cell r="M32" t="str">
            <v>Scissor Next</v>
          </cell>
          <cell r="N32" t="str">
            <v>1  del of this cycle   -  0-cycles pmnt   In Process - Collect 0</v>
          </cell>
          <cell r="O32" t="str">
            <v>P n W Glad ( 15 inch Height) 9     Grass</v>
          </cell>
          <cell r="P32" t="str">
            <v>Mix Car 9     FF Sachet + Grass</v>
          </cell>
          <cell r="Q32" t="str">
            <v>Sunflower ( 14 Inch ) 2     Grass</v>
          </cell>
          <cell r="R32" t="str">
            <v>Rajni ( 14 Inch ) 9     Grass</v>
          </cell>
          <cell r="S32" t="str">
            <v>O Asiatic ( 15 Inch ) 2     Grass</v>
          </cell>
          <cell r="T32" t="str">
            <v>Mix Alstroemeria ( 12 Inch ) 9     FF Sachet + Grass</v>
          </cell>
        </row>
        <row r="33">
          <cell r="A33">
            <v>3370</v>
          </cell>
          <cell r="B33" t="str">
            <v>Veenu Pareek</v>
          </cell>
          <cell r="C33">
            <v>7042202246</v>
          </cell>
          <cell r="D33" t="str">
            <v>D-1202, Bestech Park View Spa Next, Sec 67</v>
          </cell>
          <cell r="E33" t="str">
            <v>Badshahpur</v>
          </cell>
          <cell r="F33" t="str">
            <v>Monday</v>
          </cell>
          <cell r="G33" t="str">
            <v>9 AM - 12 PM</v>
          </cell>
          <cell r="H33">
            <v>1450</v>
          </cell>
          <cell r="I33">
            <v>487.5</v>
          </cell>
          <cell r="J33" t="str">
            <v>Bliss</v>
          </cell>
          <cell r="K33" t="str">
            <v>Paytm From Aditi Pareek //</v>
          </cell>
          <cell r="N33" t="str">
            <v>4  del of this cycle   -  0-cycles pmnt   Completed - Collect 0</v>
          </cell>
          <cell r="O33" t="e">
            <v>#N/A</v>
          </cell>
          <cell r="P33" t="e">
            <v>#N/A</v>
          </cell>
          <cell r="Q33" t="str">
            <v>P n W Car ( 14 inch ) 16     FF Sachet + Grass</v>
          </cell>
          <cell r="R33" t="str">
            <v>O Spray Daisy ( 15 inch ) 5     FF Sachet + Grass</v>
          </cell>
          <cell r="S33" t="str">
            <v>P asiatic ( 15 Inch ) 3     Grass</v>
          </cell>
          <cell r="T33" t="str">
            <v>Mix Car  ( 14 Inch ) 16     FF Sachet + Grass</v>
          </cell>
        </row>
        <row r="34">
          <cell r="A34">
            <v>3309</v>
          </cell>
          <cell r="B34" t="str">
            <v>Tahzeeb Mohammad</v>
          </cell>
          <cell r="C34">
            <v>9986608474</v>
          </cell>
          <cell r="D34" t="str">
            <v>Natura Tower -1, N 2105, M3M Marina, Sec 68</v>
          </cell>
          <cell r="E34" t="str">
            <v>Badshahpur</v>
          </cell>
          <cell r="F34" t="str">
            <v>Friday</v>
          </cell>
          <cell r="G34" t="str">
            <v>9 AM - 12 PM</v>
          </cell>
          <cell r="H34">
            <v>2550</v>
          </cell>
          <cell r="I34">
            <v>318.75</v>
          </cell>
          <cell r="J34" t="str">
            <v>Bi weekly Customised</v>
          </cell>
          <cell r="K34" t="str">
            <v>Gerbera // Rajni // Sunflowers // Eustoma // Orchid // Skip Monday (15/05)</v>
          </cell>
          <cell r="N34" t="str">
            <v>1  del of this cycle   -  0-cycles pmnt   Completed - Collect 0</v>
          </cell>
          <cell r="O34" t="str">
            <v>Y Orchid 4     FF Sachet + Grass</v>
          </cell>
          <cell r="P34" t="str">
            <v>Sunflower ( 15 inch ) 3     Grass</v>
          </cell>
          <cell r="Q34" t="e">
            <v>#N/A</v>
          </cell>
          <cell r="R34" t="str">
            <v>Sunflower ( 14 inch ) 3     Grass</v>
          </cell>
          <cell r="S34" t="str">
            <v>P n Y Gerbera ( 12 Inch ) 11     FF sachet + Grass</v>
          </cell>
          <cell r="T34" t="str">
            <v>Rajni ( 14 Inch ) 11     Grass</v>
          </cell>
        </row>
        <row r="35">
          <cell r="A35">
            <v>1914</v>
          </cell>
          <cell r="B35" t="str">
            <v>Neelam Ahuja</v>
          </cell>
          <cell r="C35">
            <v>7011107486</v>
          </cell>
          <cell r="D35" t="str">
            <v>4002, M3m Latitude, Sec 65</v>
          </cell>
          <cell r="E35" t="str">
            <v>Badshahpur</v>
          </cell>
          <cell r="F35" t="str">
            <v>Friday</v>
          </cell>
          <cell r="G35" t="str">
            <v>9 AM - 12 PM</v>
          </cell>
          <cell r="H35">
            <v>3000</v>
          </cell>
          <cell r="I35">
            <v>375</v>
          </cell>
          <cell r="J35" t="str">
            <v>Charm</v>
          </cell>
          <cell r="K35"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v>
          </cell>
          <cell r="L35" t="str">
            <v>Spray Daisy n GERBERA n Statice</v>
          </cell>
          <cell r="N35" t="str">
            <v>6  del of this cycle   -  0-cycles pmnt   Completed - Collect 0</v>
          </cell>
          <cell r="O35" t="e">
            <v>#N/A</v>
          </cell>
          <cell r="P35" t="e">
            <v>#N/A</v>
          </cell>
          <cell r="Q35" t="e">
            <v>#N/A</v>
          </cell>
          <cell r="R35" t="str">
            <v>Rajni ( 14 Inch ) 15     Grass</v>
          </cell>
          <cell r="S35" t="str">
            <v>P n W Glad ( 14 Inch ) 15     Grass</v>
          </cell>
          <cell r="T35" t="str">
            <v>BOP ( 14 Inch ) 3     FF Sachet + Grass</v>
          </cell>
        </row>
        <row r="36">
          <cell r="A36">
            <v>1112</v>
          </cell>
          <cell r="B36" t="str">
            <v>Reet Gulati</v>
          </cell>
          <cell r="C36">
            <v>9910689598</v>
          </cell>
          <cell r="D36" t="str">
            <v>T-7/804, Uniworld Gardens</v>
          </cell>
          <cell r="E36" t="str">
            <v>Sohna Road 1</v>
          </cell>
          <cell r="F36" t="str">
            <v>Monday</v>
          </cell>
          <cell r="G36" t="str">
            <v>9:30 Am to 2 PM</v>
          </cell>
          <cell r="H36">
            <v>999</v>
          </cell>
          <cell r="I36">
            <v>249.75</v>
          </cell>
          <cell r="J36" t="str">
            <v>Delight</v>
          </cell>
          <cell r="K36" t="str">
            <v>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v>
          </cell>
          <cell r="L36" t="str">
            <v>ORCHID</v>
          </cell>
          <cell r="M36" t="str">
            <v>One Kind Flowers// Rajni next (16/10)</v>
          </cell>
          <cell r="N36" t="str">
            <v>3  del of this cycle   -  0-cycles pmnt   Completed - Collect 0</v>
          </cell>
          <cell r="O36" t="str">
            <v>P n W Glad ( 15 inch Height) 9     Grass</v>
          </cell>
          <cell r="P36" t="str">
            <v>R n W  Car ( 14 inch )  9     FF Sachet + Grass</v>
          </cell>
          <cell r="Q36" t="str">
            <v>Sunflower ( 14 Inch ) 2     Grass</v>
          </cell>
          <cell r="R36" t="str">
            <v>Y Asiatic ( 15 Inch ) 2     Grass</v>
          </cell>
          <cell r="S36" t="str">
            <v>Mix Alstroemeria ( 12 Inch ) 9     FF sachet + grass</v>
          </cell>
          <cell r="T36" t="str">
            <v>P n W Glad ( 14 Inch ) 9     Grass</v>
          </cell>
        </row>
        <row r="37">
          <cell r="A37">
            <v>3374</v>
          </cell>
          <cell r="B37" t="str">
            <v>Geeta Garg</v>
          </cell>
          <cell r="C37">
            <v>9971005977</v>
          </cell>
          <cell r="D37" t="str">
            <v>T-A/4C, Central Park Resorts, Sec 48</v>
          </cell>
          <cell r="E37" t="str">
            <v>Sohna Road 2</v>
          </cell>
          <cell r="F37" t="str">
            <v>Monday</v>
          </cell>
          <cell r="G37" t="str">
            <v>9:30 Am to 2 PM</v>
          </cell>
          <cell r="H37">
            <v>1450</v>
          </cell>
          <cell r="I37">
            <v>362.5</v>
          </cell>
          <cell r="J37" t="str">
            <v>Bliss</v>
          </cell>
          <cell r="K37" t="str">
            <v xml:space="preserve">From Pankaj Garg </v>
          </cell>
          <cell r="N37" t="str">
            <v>3  del of this cycle   -  0-cycles pmnt   Completed - Collect 0</v>
          </cell>
          <cell r="O37" t="e">
            <v>#N/A</v>
          </cell>
          <cell r="P37" t="e">
            <v>#N/A</v>
          </cell>
          <cell r="Q37" t="e">
            <v>#N/A</v>
          </cell>
          <cell r="R37" t="str">
            <v>P n W Car ( 14 Inch ) 16     FF Sachet + Grass</v>
          </cell>
          <cell r="S37" t="str">
            <v>O Asiatic ( 15 Inch ) 3     Grass</v>
          </cell>
          <cell r="T37" t="str">
            <v>P n W Glad ( 14 Inch ) 16     Grass</v>
          </cell>
        </row>
        <row r="38">
          <cell r="A38">
            <v>2356</v>
          </cell>
          <cell r="B38" t="str">
            <v>Madhuri Sakata</v>
          </cell>
          <cell r="C38">
            <v>9953086833</v>
          </cell>
          <cell r="D38" t="str">
            <v>D-17, Infocity, Phase-2, Sec-33, Gurgaon</v>
          </cell>
          <cell r="E38" t="str">
            <v>Sohna Road 2</v>
          </cell>
          <cell r="F38" t="str">
            <v>Monday</v>
          </cell>
          <cell r="G38" t="str">
            <v>By 9 AM</v>
          </cell>
          <cell r="H38">
            <v>5200</v>
          </cell>
          <cell r="I38">
            <v>1300</v>
          </cell>
          <cell r="J38" t="str">
            <v>Corporate</v>
          </cell>
          <cell r="K38" t="str">
            <v>Send on Sunday in evebing (06/06) Send tom (26/01)</v>
          </cell>
          <cell r="N38" t="str">
            <v>4  del of this cycle   -  0-cycles pmnt   In Process - Collect 0</v>
          </cell>
          <cell r="O38" t="str">
            <v xml:space="preserve">Arrangement 2     </v>
          </cell>
          <cell r="P38" t="str">
            <v xml:space="preserve">Arrangement 2     </v>
          </cell>
          <cell r="Q38" t="str">
            <v xml:space="preserve">Arrangement 2     </v>
          </cell>
          <cell r="R38" t="str">
            <v xml:space="preserve">Arrangement 2     </v>
          </cell>
          <cell r="S38" t="str">
            <v xml:space="preserve">Arrangement 2     </v>
          </cell>
          <cell r="T38" t="str">
            <v xml:space="preserve">Arrangement  2     </v>
          </cell>
        </row>
        <row r="39">
          <cell r="A39">
            <v>3293</v>
          </cell>
          <cell r="B39" t="str">
            <v>Asha Esther Jai Kishan</v>
          </cell>
          <cell r="C39">
            <v>9871533860</v>
          </cell>
          <cell r="D39" t="str">
            <v>T-B/103, Ireo Victory Valley</v>
          </cell>
          <cell r="E39" t="str">
            <v>Badshahpur</v>
          </cell>
          <cell r="F39" t="str">
            <v>Monday</v>
          </cell>
          <cell r="G39" t="str">
            <v>4 Pm to 7 PM</v>
          </cell>
          <cell r="H39">
            <v>1950</v>
          </cell>
          <cell r="I39">
            <v>487.5</v>
          </cell>
          <cell r="J39" t="str">
            <v>Joy</v>
          </cell>
          <cell r="N39" t="str">
            <v>4  del of this cycle   -  0-cycles pmnt   Completed - Collect 0</v>
          </cell>
          <cell r="O39" t="str">
            <v xml:space="preserve">P Asiatic ( 15 Inch) 4    Grass </v>
          </cell>
          <cell r="P39" t="str">
            <v>P n W Eustoma ( 14 inch ) 4     FF Sachet + Grass</v>
          </cell>
          <cell r="Q39" t="str">
            <v>Mix Car 22     Grass</v>
          </cell>
          <cell r="R39" t="str">
            <v>O n P Spray Daisy ( 15 inch ) 7     FF Sachet + Grass</v>
          </cell>
          <cell r="S39" t="str">
            <v>R Asiatic ( 15 Inch ) 4     Grass</v>
          </cell>
          <cell r="T39" t="str">
            <v>Mix Spray Daisy 7     Grass</v>
          </cell>
        </row>
        <row r="40">
          <cell r="A40">
            <v>3368</v>
          </cell>
          <cell r="B40" t="str">
            <v>Sugandha Goyal</v>
          </cell>
          <cell r="C40">
            <v>9971681194</v>
          </cell>
          <cell r="D40" t="str">
            <v>T-15/3C, Central Park Resorts</v>
          </cell>
          <cell r="E40" t="str">
            <v>Sohna Road 2</v>
          </cell>
          <cell r="F40" t="str">
            <v>Monday</v>
          </cell>
          <cell r="G40" t="str">
            <v>9 AM - 12 PM</v>
          </cell>
          <cell r="H40">
            <v>2300</v>
          </cell>
          <cell r="I40">
            <v>287.5</v>
          </cell>
          <cell r="J40" t="str">
            <v>Felicity</v>
          </cell>
          <cell r="N40" t="str">
            <v>7  del of this cycle   -  0-cycles pmnt   Completed - Collect 0</v>
          </cell>
          <cell r="O40" t="e">
            <v>#N/A</v>
          </cell>
          <cell r="P40" t="e">
            <v>#N/A</v>
          </cell>
          <cell r="Q40" t="str">
            <v>P n W Car ( 14 inch ) 11     FF Sachet + Grass</v>
          </cell>
          <cell r="R40" t="str">
            <v>Rajni ( 14 Inch ) 7     Grass</v>
          </cell>
          <cell r="S40" t="str">
            <v>P n Y Gerbera ( 12 Inch ) 11     FF sachet + Grass</v>
          </cell>
          <cell r="T40" t="str">
            <v>Pur n P Car ( 14 Inch ) 11     FF Sachet + Grass</v>
          </cell>
        </row>
        <row r="41">
          <cell r="A41">
            <v>380</v>
          </cell>
          <cell r="B41" t="str">
            <v xml:space="preserve">   Dr Mandeep Yadav 1 -- Before 12 PM</v>
          </cell>
          <cell r="C41" t="str">
            <v>9811090481 #</v>
          </cell>
          <cell r="D41" t="str">
            <v>Smile Plus Dental Clinic Shanti Nagar, Beriwala BaghBehind Mini Sectritariat Near Rajiv Chowk</v>
          </cell>
          <cell r="E41" t="str">
            <v>Sohna Road 2</v>
          </cell>
          <cell r="F41" t="str">
            <v>Monday</v>
          </cell>
          <cell r="G41" t="str">
            <v>9 AM - 12 PM</v>
          </cell>
          <cell r="H41">
            <v>999</v>
          </cell>
          <cell r="I41">
            <v>249.75</v>
          </cell>
          <cell r="J41" t="str">
            <v>Delight</v>
          </cell>
          <cell r="K41" t="str">
            <v>Never Send GLAD(02/08)Send always car(13/08)Glad next time(23/09)Replacement tom(04/10) Pls send daisy next and send 2 vase tom(31/12)No Glad-next Daisy(14/01) Upgrade to 650 Plan after currsnet cycle(15/04) NO ASIATIC--Always mixed car(10/06) FF Sold today(26/08) NO DAHELAI(02/03) Skip 1 week(06/11) Skiped 1 week due to HOLI(29/03) Return-send tom(15/11)</v>
          </cell>
          <cell r="N41" t="str">
            <v>1  del of this cycle   -  1-cycles pmnt   Pending - Collect 977</v>
          </cell>
          <cell r="O41" t="str">
            <v>R Car 9     FF Sachet + Grass</v>
          </cell>
          <cell r="P41" t="str">
            <v>Pur Car ( 14 inch ) 9     FF Sachet + Grass</v>
          </cell>
          <cell r="Q41" t="str">
            <v>P Car ( 14 inch ) 9     FF Sachet + Grass</v>
          </cell>
          <cell r="R41" t="str">
            <v>R Car ( 14 Inch ) 9     FF Sachet + Grass</v>
          </cell>
          <cell r="S41" t="str">
            <v>Pur Car ( 14 Inch ) 9     FF sachet + grass</v>
          </cell>
          <cell r="T41" t="str">
            <v>P Car ( 14 Inch ) 9     FF Sachet + Grass</v>
          </cell>
        </row>
        <row r="42">
          <cell r="A42">
            <v>381</v>
          </cell>
          <cell r="B42" t="str">
            <v xml:space="preserve">   Dr Mandeep Yadav 1 -- Before 12 PM</v>
          </cell>
          <cell r="C42" t="str">
            <v>9811090481 #</v>
          </cell>
          <cell r="D42" t="str">
            <v>Smile Plus Dental Clinic Shanti Nagar, Beriwala BaghBehind Mini Sectritariat Near Rajiv Chowk</v>
          </cell>
          <cell r="E42" t="str">
            <v>Sohna Road 2</v>
          </cell>
          <cell r="F42" t="str">
            <v>Monday</v>
          </cell>
          <cell r="G42" t="str">
            <v>9 AM - 12 PM</v>
          </cell>
          <cell r="H42">
            <v>999</v>
          </cell>
          <cell r="I42">
            <v>249.75</v>
          </cell>
          <cell r="J42" t="str">
            <v>Delight</v>
          </cell>
          <cell r="K42" t="str">
            <v>Never Send GLAD(02/08)Send always car(13/08)Replacement Tom(19/09)No Glad-next Daisy(14/01) Upgrade to 650 Plan after currsnet cycle(15/04) NO ASIATIC--Always Mix Car(10/06) FF Sold today(22/07) NO DAHELIA(02/03) Sending 1st June Flowers on 30th may(30/05/2020) Skip 1 week(05/11) Send 2 vase tom(21/12) 1 stick extra next(01/02) Skiped 1 week due to HOLI(29/03) Return-send tom(15/11) Replace grass(18/04)</v>
          </cell>
          <cell r="N42" t="str">
            <v>1  del of this cycle   -  1-cycles pmnt   Pending - Collect 999</v>
          </cell>
          <cell r="O42" t="str">
            <v>W Car 9     FF Sachet + Grass</v>
          </cell>
          <cell r="P42" t="str">
            <v>P Car ( 14 inch ) 9     FF Sachet + Grass</v>
          </cell>
          <cell r="Q42" t="str">
            <v>Y Car ( 14 inch ) 9     FF Sachet + Grass</v>
          </cell>
          <cell r="R42" t="str">
            <v>W Car ( 14 Inch ) 9     FF Sachet + Grass</v>
          </cell>
          <cell r="S42" t="str">
            <v>Y Car ( 14 Inch ) 9     FF sachet + grass</v>
          </cell>
          <cell r="T42" t="str">
            <v>W Car ( 14 Inch ) 9     FF Sachet + Grass</v>
          </cell>
        </row>
        <row r="43">
          <cell r="A43">
            <v>1477</v>
          </cell>
          <cell r="B43" t="str">
            <v>Priyanka Agarwal</v>
          </cell>
          <cell r="C43">
            <v>9810745341</v>
          </cell>
          <cell r="D43" t="str">
            <v>624-A, Fairway East, Sector 65</v>
          </cell>
          <cell r="E43" t="str">
            <v>Badshahpur</v>
          </cell>
          <cell r="F43" t="str">
            <v>Friday</v>
          </cell>
          <cell r="G43" t="str">
            <v>9 AM to 2 PM</v>
          </cell>
          <cell r="H43">
            <v>1600</v>
          </cell>
          <cell r="I43">
            <v>200</v>
          </cell>
          <cell r="J43" t="str">
            <v>Bloom</v>
          </cell>
          <cell r="K43"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43" t="str">
            <v>1  del of this cycle   -  1-cycles pmnt   Pending - Collect 1600</v>
          </cell>
          <cell r="O43" t="str">
            <v>Mix Alstroemeria 7     FF Sachet + Grass</v>
          </cell>
          <cell r="P43" t="str">
            <v>R n W  Car ( 14 inch )  7     FF Sachet + Grass</v>
          </cell>
          <cell r="Q43" t="str">
            <v>Rajni ( 14 inch ) 7     Grass</v>
          </cell>
          <cell r="R43" t="e">
            <v>#N/A</v>
          </cell>
          <cell r="S43" t="str">
            <v>B Daisy 12 Inch ) 7     FF Sachet + grass</v>
          </cell>
          <cell r="T43" t="str">
            <v>Sunflower ( 12 Inch ) 2     FF Sachet + Grass</v>
          </cell>
        </row>
        <row r="44">
          <cell r="A44">
            <v>2672</v>
          </cell>
          <cell r="B44" t="str">
            <v>Anjali Chawla</v>
          </cell>
          <cell r="C44">
            <v>9810545028</v>
          </cell>
          <cell r="D44" t="str">
            <v>Cedar Drive 60, Malibu Town</v>
          </cell>
          <cell r="E44" t="str">
            <v>Sohna Road 1</v>
          </cell>
          <cell r="F44" t="str">
            <v>Monday</v>
          </cell>
          <cell r="G44" t="str">
            <v>9:30 Am to 2 PM</v>
          </cell>
          <cell r="H44">
            <v>999</v>
          </cell>
          <cell r="I44">
            <v>249.75</v>
          </cell>
          <cell r="J44" t="str">
            <v>Delight</v>
          </cell>
          <cell r="N44" t="str">
            <v>1  del of this cycle   -  0-cycles pmnt   Completed - Collect 0</v>
          </cell>
          <cell r="O44" t="str">
            <v>O Asiatic ( Height 16 inch) 2     Grass</v>
          </cell>
          <cell r="P44" t="str">
            <v>Pur n P car ( 14 inch ) 9     FF Sachet + Grass</v>
          </cell>
          <cell r="Q44" t="str">
            <v>mix Car 9     Grass</v>
          </cell>
          <cell r="R44" t="str">
            <v>Mix Alstroemeria ( 14 Inch ) 9     FF Sachet + Grass</v>
          </cell>
          <cell r="S44" t="str">
            <v>P asiatic ( 15 Inch ) 2     Grass</v>
          </cell>
          <cell r="T44" t="str">
            <v>P n W Glad ( 14 Inch ) 9     Grass</v>
          </cell>
        </row>
        <row r="45">
          <cell r="A45">
            <v>3050</v>
          </cell>
          <cell r="B45" t="str">
            <v>Unnati Jain</v>
          </cell>
          <cell r="C45">
            <v>8999727355</v>
          </cell>
          <cell r="D45" t="str">
            <v>T-16/1003, Orchid Petals</v>
          </cell>
          <cell r="E45" t="str">
            <v>Sohna Road 1</v>
          </cell>
          <cell r="F45" t="str">
            <v>Monday</v>
          </cell>
          <cell r="G45" t="str">
            <v>9 AM - 12 PM</v>
          </cell>
          <cell r="H45">
            <v>1600</v>
          </cell>
          <cell r="I45">
            <v>200</v>
          </cell>
          <cell r="J45" t="str">
            <v>Bloom</v>
          </cell>
          <cell r="K45" t="str">
            <v>Hold n start From 7th Nov (16/10) Skip 1 week (13/11) Today retirned and skip next week also (28/11) Check in Feb to restart (20/12) Skip 1 week (31/05)</v>
          </cell>
          <cell r="N45" t="str">
            <v>1  del of this cycle   -  1-cycles pmnt   Pending - Collect 1600</v>
          </cell>
          <cell r="O45" t="str">
            <v xml:space="preserve">R n W Car 7    FF Sachet + Grass </v>
          </cell>
          <cell r="P45" t="str">
            <v>P n W Glad ( 14 inch ) 7     Grass</v>
          </cell>
          <cell r="Q45" t="str">
            <v>Rajni ( 14 inch ) 7     Grass</v>
          </cell>
          <cell r="R45" t="str">
            <v>Mix Alstroemeria ( 14 Inch ) 7     FF Sachet + Grass</v>
          </cell>
          <cell r="S45" t="str">
            <v>P n W Glad ( 14 Inch ) 7     Grass</v>
          </cell>
          <cell r="T45" t="str">
            <v>P n W Glad ( 14 Inch ) 7     Grass</v>
          </cell>
        </row>
        <row r="46">
          <cell r="A46">
            <v>588</v>
          </cell>
          <cell r="B46" t="str">
            <v>Akiksha Mohan</v>
          </cell>
          <cell r="C46">
            <v>9810145564</v>
          </cell>
          <cell r="D46" t="str">
            <v>D-601, Emaar Plam Drive</v>
          </cell>
          <cell r="E46" t="str">
            <v>Badshahpur</v>
          </cell>
          <cell r="F46" t="str">
            <v>Friday</v>
          </cell>
          <cell r="G46" t="str">
            <v>9 AM - 12 PM</v>
          </cell>
          <cell r="H46">
            <v>1600</v>
          </cell>
          <cell r="I46">
            <v>200</v>
          </cell>
          <cell r="J46" t="str">
            <v>Bloom</v>
          </cell>
          <cell r="K46"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46" t="str">
            <v>GULDAWARI</v>
          </cell>
          <cell r="N46" t="str">
            <v>7  del of this cycle   -  0-cycles pmnt   Completed - Collect 0</v>
          </cell>
          <cell r="O46" t="str">
            <v>Sunflower ( 15 inch) 2     FF Sachet + Grass</v>
          </cell>
          <cell r="P46" t="str">
            <v>Pur n P car ( 14 inch ) 7     FF Sachet + Grass</v>
          </cell>
          <cell r="Q46" t="str">
            <v>Rajni ( 14 inch ) 7     Grass</v>
          </cell>
          <cell r="R46" t="e">
            <v>#N/A</v>
          </cell>
          <cell r="S46" t="str">
            <v>Y Spray Daisy ( 15 inch ) 2     FF sachet + Grass</v>
          </cell>
          <cell r="T46" t="str">
            <v>Mix Car  ( 14 Inch ) 7     FF Sachet + Grass</v>
          </cell>
        </row>
        <row r="47">
          <cell r="A47">
            <v>2429</v>
          </cell>
          <cell r="B47" t="str">
            <v>Pramila Dutt</v>
          </cell>
          <cell r="C47">
            <v>9811735242</v>
          </cell>
          <cell r="D47" t="str">
            <v>S1-C/201, Palm Drive</v>
          </cell>
          <cell r="E47" t="str">
            <v>Badshahpur</v>
          </cell>
          <cell r="F47" t="str">
            <v>Monday</v>
          </cell>
          <cell r="G47" t="str">
            <v>9 AM - 12 PM</v>
          </cell>
          <cell r="H47">
            <v>999</v>
          </cell>
          <cell r="I47">
            <v>249.75</v>
          </cell>
          <cell r="J47" t="str">
            <v>Delight</v>
          </cell>
          <cell r="K47" t="str">
            <v>Referred By Radhika Neeraj Rathod // Rajni next (03/03) Rajni next (28/03) today hold (23/06) No Blue Daisy (09/07) Only Asiatic (31/07) Hold due to non payment (13/10)</v>
          </cell>
          <cell r="L47" t="str">
            <v>Blue Daisy (09/07)</v>
          </cell>
          <cell r="M47" t="str">
            <v>Diff Flowers  now (29/09)</v>
          </cell>
          <cell r="N47" t="str">
            <v>1  del of this cycle   -  1-cycles pmnt   Pending - Collect 999</v>
          </cell>
          <cell r="O47" t="str">
            <v>R n W Car 9     FF Sachet + Grass</v>
          </cell>
          <cell r="P47" t="str">
            <v>Sunflower ( 15 inch ) 2     Grass</v>
          </cell>
          <cell r="Q47" t="str">
            <v>Rajni 9     Grass</v>
          </cell>
          <cell r="R47" t="e">
            <v>#N/A</v>
          </cell>
          <cell r="S47" t="str">
            <v>P asiatic ( 15 Inch ) 2     Grass</v>
          </cell>
          <cell r="T47" t="str">
            <v>P n W Glad ( 14 Inch ) 9     Grass</v>
          </cell>
        </row>
        <row r="48">
          <cell r="A48">
            <v>3249</v>
          </cell>
          <cell r="B48" t="str">
            <v>Nupur Bhatnagar</v>
          </cell>
          <cell r="C48">
            <v>9910985656</v>
          </cell>
          <cell r="D48" t="str">
            <v>A-001, Park View City 1</v>
          </cell>
          <cell r="E48" t="str">
            <v>Sohna Road 2</v>
          </cell>
          <cell r="F48" t="str">
            <v>Monday</v>
          </cell>
          <cell r="G48" t="str">
            <v>9 AM - 12 PM</v>
          </cell>
          <cell r="H48">
            <v>1450</v>
          </cell>
          <cell r="I48">
            <v>362.5</v>
          </cell>
          <cell r="J48" t="str">
            <v>Bliss</v>
          </cell>
          <cell r="K48" t="str">
            <v>Hold due to non payment (19/01) HDTNP (16/03)</v>
          </cell>
          <cell r="N48" t="str">
            <v>1  del of this cycle   -  1-cycles pmnt   Pending - Collect 1450</v>
          </cell>
          <cell r="O48" t="str">
            <v xml:space="preserve">P n Y Spray Daisy ( 16 Inch ) 5    FF Sachet + Grass </v>
          </cell>
          <cell r="P48" t="str">
            <v>R n W  Car ( 14 inch )  16     FF Sachet + Grass</v>
          </cell>
          <cell r="Q48" t="str">
            <v>B Orchid  5     Grass</v>
          </cell>
          <cell r="R48" t="str">
            <v>P n W Glad ( 14 Inch ) 16     Grass</v>
          </cell>
          <cell r="S48" t="str">
            <v>O Asiatic ( 15 Inch ) 3     Grass</v>
          </cell>
          <cell r="T48" t="str">
            <v>P n W Spray Daisy ( 14 Inch ) 5     FF Sachet + Grass</v>
          </cell>
        </row>
        <row r="49">
          <cell r="A49">
            <v>3278</v>
          </cell>
          <cell r="B49" t="str">
            <v>Manish -- Shivtech Spechemi</v>
          </cell>
          <cell r="C49">
            <v>9220454117</v>
          </cell>
          <cell r="D49" t="str">
            <v>Shivtek Spechemi Industries, 24, 4th Floor, M3M Corner Walk, Sec 74</v>
          </cell>
          <cell r="E49" t="str">
            <v>Badshahpur</v>
          </cell>
          <cell r="F49" t="str">
            <v>Monday</v>
          </cell>
          <cell r="G49" t="str">
            <v>By 10 AM</v>
          </cell>
          <cell r="H49">
            <v>6350</v>
          </cell>
          <cell r="I49">
            <v>1587.5</v>
          </cell>
          <cell r="J49" t="str">
            <v>Corporate</v>
          </cell>
          <cell r="K49" t="str">
            <v>Flowers for 6 Vases // Hold today (05/03) Skip tom (29/03)</v>
          </cell>
          <cell r="N49" t="str">
            <v>4  del of this cycle   -  0-cycles pmnt   In Process - Collect 0</v>
          </cell>
          <cell r="O49" t="str">
            <v>O Asiatic + BOP + P n W Car +  6 + 6 + 12     5 Areca Palm + 3 Gypsolqa + 3 Limonium</v>
          </cell>
          <cell r="P49" t="str">
            <v>W Asiatic ( 15 inch ) 6 Sunflower  ( 15 inch )  6 P n W Glad ( 14 inch ) 24 3 Areca Palm + 2 Gypsola + 2 Limonium</v>
          </cell>
          <cell r="Q49" t="str">
            <v>P Asiatic + G n Y Spray Daisy + Mix Car  6 + 8 + 24     3 Areca Palm + 2 Gypsola + 2 Limonium</v>
          </cell>
          <cell r="R49" t="str">
            <v>O Asiatic ( 15 Inch ) 6 P n W Eustoma ( 14 Inch ) 6 Mix Alstroemeria ( 12 Inch ) 24 4 Areca palm + 2 Gypsola + 2 Limonium</v>
          </cell>
          <cell r="S49" t="str">
            <v>Y Asiatic + Sunflower + P n W Glad 6 + 6 + 24     4 Areca Palm + 2 Gypsola + 2 Limonkum</v>
          </cell>
          <cell r="T49" t="str">
            <v>P Asiatic ( 14 Inch ) 6 P n W Spray Daisy ( 14 Inch ) 8 Pur n P Car ( 14 inch ) 24 4 Ateca Palm + 2 Gypsola + 2 Limonium</v>
          </cell>
        </row>
        <row r="50">
          <cell r="A50">
            <v>3299</v>
          </cell>
          <cell r="B50" t="str">
            <v>Applicate It Solutions Pvt. Ltd.</v>
          </cell>
          <cell r="C50" t="str">
            <v>6295854656 // 9871456569</v>
          </cell>
          <cell r="D50" t="str">
            <v>Tower-B, 16th Floor, M3M Urbana Premium, Business Park</v>
          </cell>
          <cell r="E50" t="str">
            <v>Badshahpur</v>
          </cell>
          <cell r="F50" t="str">
            <v>Monday</v>
          </cell>
          <cell r="G50" t="str">
            <v>By 10 AM</v>
          </cell>
          <cell r="H50">
            <v>3400</v>
          </cell>
          <cell r="I50">
            <v>850</v>
          </cell>
          <cell r="J50" t="str">
            <v>Corporate</v>
          </cell>
          <cell r="N50" t="str">
            <v>3  del of this cycle   -  0-cycles pmnt   In Process - Collect 0</v>
          </cell>
          <cell r="O50" t="str">
            <v xml:space="preserve">Sunfkower + G n P Spray Daisy + P n W Car 2 + 5 + 7 Square Vase Arrangement    </v>
          </cell>
          <cell r="P50" t="str">
            <v xml:space="preserve">Arrangement 1 Height 15 inch kaa min    </v>
          </cell>
          <cell r="Q50" t="str">
            <v xml:space="preserve">Arrangement 1 Min 18 inch Height    </v>
          </cell>
          <cell r="R50" t="str">
            <v xml:space="preserve">Arrangement 1 Min 18 inch Height    </v>
          </cell>
          <cell r="S50" t="str">
            <v xml:space="preserve">Arrangement 1 18 Inch    </v>
          </cell>
          <cell r="T50" t="str">
            <v xml:space="preserve">Arrangement  1     </v>
          </cell>
        </row>
        <row r="51">
          <cell r="A51">
            <v>2195</v>
          </cell>
          <cell r="B51" t="str">
            <v>Hema</v>
          </cell>
          <cell r="C51">
            <v>9971354440</v>
          </cell>
          <cell r="D51" t="str">
            <v>127 vipul trade center sohna road sector 48 gurgaon 122108</v>
          </cell>
          <cell r="E51" t="str">
            <v>Sohna Road 2</v>
          </cell>
          <cell r="F51" t="str">
            <v>Monday</v>
          </cell>
          <cell r="G51" t="str">
            <v>9 AM - 12 PM</v>
          </cell>
          <cell r="H51">
            <v>2400</v>
          </cell>
          <cell r="I51">
            <v>600</v>
          </cell>
          <cell r="J51" t="str">
            <v>Corporate</v>
          </cell>
          <cell r="K51" t="str">
            <v>Mix Flowers -- 12-15 flowers// Today office is closed (25/12) Today returned (19/08) Hold today sned tom (31/03) Send tom (26/01)</v>
          </cell>
          <cell r="N51" t="str">
            <v>2  del of this cycle   -  0-cycles pmnt   In Process - Collect 0</v>
          </cell>
          <cell r="O51" t="str">
            <v xml:space="preserve">P n Y Spray Daisy ( 16 Inch ) 4 P n W Glad 12   </v>
          </cell>
          <cell r="P51" t="str">
            <v xml:space="preserve">Sunflower ( 15 inch ) 2 Mix Alstroemeria ( 14 inch ) 12   </v>
          </cell>
          <cell r="Q51" t="str">
            <v>W Asiatic ( 15 Inch) 2 P n W Car ( 14 inch ) 12   Grass</v>
          </cell>
          <cell r="R51" t="str">
            <v>O n P Spray Daisy ( 15 inch ) 4 P n W Glad ( 14 inch ) 12   FF Sachet + Grass</v>
          </cell>
          <cell r="S51" t="str">
            <v xml:space="preserve">Pur n P Eustoma 4 R n W Car 12   </v>
          </cell>
          <cell r="T51" t="str">
            <v>Sunflower ( 12 Inch ) 3 Mix Glad  ( 14 Inch ) 12   FF Sachet + Grass</v>
          </cell>
        </row>
        <row r="52">
          <cell r="A52">
            <v>2404</v>
          </cell>
          <cell r="B52" t="str">
            <v>Amitt Nenwani</v>
          </cell>
          <cell r="C52">
            <v>9810444444</v>
          </cell>
          <cell r="D52" t="str">
            <v>Villa 21, Z Block, Tatvam Villas</v>
          </cell>
          <cell r="E52" t="str">
            <v>Sohna Road 2</v>
          </cell>
          <cell r="F52" t="str">
            <v>Friday</v>
          </cell>
          <cell r="G52" t="str">
            <v>9 AM - 12 PM</v>
          </cell>
          <cell r="H52">
            <v>6350</v>
          </cell>
          <cell r="I52">
            <v>793.75</v>
          </cell>
          <cell r="J52" t="str">
            <v>Elegance</v>
          </cell>
          <cell r="K52" t="str">
            <v>Friday n Monday//Mixed // Skip 1 week (17/04) Skip this week (12/11) Skip this week and send on 03rd Jan (29/12) Skip tom (15/03) Skip 1 week (26/03)</v>
          </cell>
          <cell r="M52" t="str">
            <v>Mixed Flowers// Change to enchantement from next cycle (12/1)</v>
          </cell>
          <cell r="N52" t="str">
            <v>5  del of this cycle   -  0-cycles pmnt   In Process - Collect 0</v>
          </cell>
          <cell r="O52" t="str">
            <v>P Asiatic ( 15 Inch) 3 R Orchid 4 P n W Glad 12 3 Areca palm + 3 Gypsola</v>
          </cell>
          <cell r="P52" t="str">
            <v>O Asiatic ( 15 inch )  3 G n Y Spray Daisy ( 15 Inch )  4 P n W Glad ( 14 inch ) 12 3 Areca Palm + 3 Gypsola</v>
          </cell>
          <cell r="Q52" t="str">
            <v>W Asiatic ( 15 Inch) 3 Sunflower ( 15 inch ) 4 P n W Car ( 14 inch ) 12 3 Areca Palm + 3 Limonium</v>
          </cell>
          <cell r="R52" t="str">
            <v>O Asiatic ( 15 Inch ) 3 P Eustoma ( 14 Inch ) 3 Rajni ( 14 Inch ) 12 3 Areca palm + 3 Gypsola</v>
          </cell>
          <cell r="S52" t="str">
            <v>O Asiatic ( 15 Inch ) 3 Sunflower ( 14 Inch ) 3 P n Y Gerbera ( 12 Inch ) 12 3 Areca palm + 3 Limonium</v>
          </cell>
          <cell r="T52" t="str">
            <v>P Asiatic ( 14 Inch ) 3 Pur n P Eustoma ( 12 Inch) 4 P n W Glad ( 14 Inch ) 12 FF Sachet + Grass</v>
          </cell>
        </row>
        <row r="53">
          <cell r="A53">
            <v>2655</v>
          </cell>
          <cell r="B53" t="str">
            <v>Komal - Abante</v>
          </cell>
          <cell r="C53" t="str">
            <v>0124-4042908</v>
          </cell>
          <cell r="D53" t="str">
            <v>Abante,C-301-02, 3rd Floor, M3M Urbana, Sec 67</v>
          </cell>
          <cell r="E53" t="str">
            <v>Badshahpur</v>
          </cell>
          <cell r="F53" t="str">
            <v>Sunday</v>
          </cell>
          <cell r="G53" t="str">
            <v>By 12 PM</v>
          </cell>
          <cell r="H53">
            <v>2100</v>
          </cell>
          <cell r="I53">
            <v>525</v>
          </cell>
          <cell r="J53" t="str">
            <v>Corporate</v>
          </cell>
          <cell r="K53" t="str">
            <v>Day Changed to // Send tomorrow (02/10) Send tom (26/01)</v>
          </cell>
          <cell r="N53" t="str">
            <v>2  del of this cycle   -  0-cycles pmnt   In Process - Collect 0</v>
          </cell>
          <cell r="O53" t="str">
            <v xml:space="preserve">Arrangement 2     </v>
          </cell>
          <cell r="P53" t="str">
            <v xml:space="preserve">Arrangement 2     </v>
          </cell>
          <cell r="Q53" t="str">
            <v xml:space="preserve">Arrangement 2     </v>
          </cell>
          <cell r="R53" t="str">
            <v xml:space="preserve">Arrangement 1     </v>
          </cell>
          <cell r="S53" t="str">
            <v xml:space="preserve">Arrangement 1     </v>
          </cell>
          <cell r="T53" t="str">
            <v xml:space="preserve">Arrangement  1     </v>
          </cell>
        </row>
        <row r="54">
          <cell r="A54">
            <v>2030</v>
          </cell>
          <cell r="B54" t="str">
            <v>Rashi Goel</v>
          </cell>
          <cell r="C54">
            <v>8828025877</v>
          </cell>
          <cell r="D54" t="str">
            <v>44 Tattvam Vila, Sohna Road</v>
          </cell>
          <cell r="E54" t="str">
            <v>Sohna Road 2</v>
          </cell>
          <cell r="F54" t="str">
            <v>Monday</v>
          </cell>
          <cell r="G54" t="str">
            <v>9 AM - 12 PM</v>
          </cell>
          <cell r="H54">
            <v>1450</v>
          </cell>
          <cell r="I54">
            <v>362.5</v>
          </cell>
          <cell r="J54" t="str">
            <v>Bliss</v>
          </cell>
          <cell r="K54" t="str">
            <v>No Heliconia// Skip 1 week (02/12) Skip 1 week (13/02) Sent Replacement today (12/12) Hold till 10th Dec (18/12) Hold n start from 2nd week of Mar (011/02) Skip 1 week (24/08) Today Hold *24/11) Paytm from Perform Monks Edu (01/03)</v>
          </cell>
          <cell r="L54" t="str">
            <v>HELICONIA</v>
          </cell>
          <cell r="N54" t="str">
            <v>3  del of this cycle   -  0-cycles pmnt   Completed - Collect 0</v>
          </cell>
          <cell r="O54" t="str">
            <v xml:space="preserve">R n W Car 16    FF Sachet + Grass </v>
          </cell>
          <cell r="P54" t="str">
            <v>W Asiatic ( 15 inch ) 3     Grass</v>
          </cell>
          <cell r="Q54" t="str">
            <v>B Orchid  5     Grass</v>
          </cell>
          <cell r="R54" t="str">
            <v>O Spray Daisy ( 15 inch ) 5     FF Sachet + Grass</v>
          </cell>
          <cell r="S54" t="str">
            <v>P n W Glad ( 14 Inch ) 16     Grass</v>
          </cell>
          <cell r="T54" t="str">
            <v>Pur n P Car ( 14 Inch ) 16     FF Sachet + Grass</v>
          </cell>
        </row>
        <row r="55">
          <cell r="A55">
            <v>3232</v>
          </cell>
          <cell r="B55" t="str">
            <v>Aditya -- Hexa Climate</v>
          </cell>
          <cell r="C55">
            <v>8351968881</v>
          </cell>
          <cell r="D55" t="str">
            <v>Hexa Climate Solutions , 9th Floor, Vatika Buisness Park</v>
          </cell>
          <cell r="E55" t="str">
            <v>Sohna Road 1</v>
          </cell>
          <cell r="F55" t="str">
            <v>Monday</v>
          </cell>
          <cell r="G55" t="str">
            <v>By 9 AM</v>
          </cell>
          <cell r="H55">
            <v>20000</v>
          </cell>
          <cell r="I55">
            <v>5000</v>
          </cell>
          <cell r="J55" t="str">
            <v>Corporate</v>
          </cell>
          <cell r="K55" t="str">
            <v>Visit -- 15 Square vase</v>
          </cell>
          <cell r="N55" t="str">
            <v>1  del of this cycle   -  0-cycles pmnt   In Process - Collect 0</v>
          </cell>
          <cell r="O55" t="str">
            <v xml:space="preserve">Square arrangement 15     </v>
          </cell>
          <cell r="P55" t="str">
            <v xml:space="preserve">Square Arrangement 15     </v>
          </cell>
          <cell r="Q55" t="str">
            <v xml:space="preserve">Square Arrangement 15     </v>
          </cell>
          <cell r="R55" t="str">
            <v xml:space="preserve">Square Arrangement 15     </v>
          </cell>
          <cell r="S55" t="str">
            <v xml:space="preserve">Square Arrangement 15     </v>
          </cell>
          <cell r="T55" t="str">
            <v xml:space="preserve">Square Arrangement 15     </v>
          </cell>
        </row>
        <row r="56">
          <cell r="A56">
            <v>2259</v>
          </cell>
          <cell r="B56" t="str">
            <v>Shivani Kapoor</v>
          </cell>
          <cell r="C56">
            <v>9818659010</v>
          </cell>
          <cell r="D56" t="str">
            <v>94, Tattvam Villa</v>
          </cell>
          <cell r="E56" t="str">
            <v>Sohna Road 2</v>
          </cell>
          <cell r="F56" t="str">
            <v>Monday</v>
          </cell>
          <cell r="G56" t="str">
            <v>9 AM - 12 PM</v>
          </cell>
          <cell r="H56">
            <v>3950</v>
          </cell>
          <cell r="I56">
            <v>493.75</v>
          </cell>
          <cell r="J56" t="str">
            <v>Grace</v>
          </cell>
          <cell r="K56" t="str">
            <v>Monday n Friday// Payment from Sanjeev K (05/05) Skip 1 week (26/07) Skip 1 week (04/11) Skip this Friday (26/12) Skip 1 week (01/01/25) Skip tom (02/02) No delivery on Monday (01/03) Skip 14th n send on 17th (11/03) Now start from 7th July (24/06)</v>
          </cell>
          <cell r="M56" t="str">
            <v>No White</v>
          </cell>
          <cell r="N56" t="str">
            <v>4  del of this cycle   -  0-cycles pmnt   Completed - Collect 0</v>
          </cell>
          <cell r="O56" t="str">
            <v>R Orchid 6     FF Sachet + Grass</v>
          </cell>
          <cell r="P56" t="str">
            <v>Mix Alstroemeria ( 14 Inch ) 20     FF Sachet + Grass</v>
          </cell>
          <cell r="Q56" t="str">
            <v>P n Y Spray Daisy ( 15 inch ) 6     FF Sachet + Grass</v>
          </cell>
          <cell r="R56" t="str">
            <v>O Asiatic ( 15 Inch ) 4     Grass</v>
          </cell>
          <cell r="S56" t="str">
            <v>B Daisy ( 12 Inch ) 20     FF Sachet + grass</v>
          </cell>
          <cell r="T56" t="str">
            <v>Sunflower ( 12 Inch ) 4     FF Sachet + Grass</v>
          </cell>
        </row>
        <row r="57">
          <cell r="A57">
            <v>3340</v>
          </cell>
          <cell r="B57" t="str">
            <v>Divya -- Parsvanath</v>
          </cell>
          <cell r="C57">
            <v>9910395905</v>
          </cell>
          <cell r="D57" t="str">
            <v>T-6/602, Parsvanath Greenville</v>
          </cell>
          <cell r="E57" t="str">
            <v>Sohna Road 1</v>
          </cell>
          <cell r="F57" t="str">
            <v>Monday</v>
          </cell>
          <cell r="G57" t="str">
            <v>9 AM - 12 PM</v>
          </cell>
          <cell r="H57">
            <v>1450</v>
          </cell>
          <cell r="I57">
            <v>362.5</v>
          </cell>
          <cell r="J57" t="str">
            <v>Bliss</v>
          </cell>
          <cell r="K57" t="str">
            <v>Return-send next week (27/04) Skip tom and Start from next week (03/05) Paytm From Divya Mishra (03/05) No Lily (07/06)</v>
          </cell>
          <cell r="L57" t="str">
            <v>Lily</v>
          </cell>
          <cell r="N57" t="str">
            <v>1  del of this cycle   -  0-cycles pmnt   Completed - Collect 0</v>
          </cell>
          <cell r="O57" t="e">
            <v>#N/A</v>
          </cell>
          <cell r="P57" t="str">
            <v>Pur n P car ( 14 inch ) 16     FF Sachet + Grass</v>
          </cell>
          <cell r="Q57" t="str">
            <v>Mix Spary Daisy 5     Grass</v>
          </cell>
          <cell r="R57" t="str">
            <v>Y Asiatic ( 15 Inch ) 3     Grass</v>
          </cell>
          <cell r="S57" t="str">
            <v>P n W Glad ( 14 Inch ) 16     Grass</v>
          </cell>
          <cell r="T57" t="str">
            <v>Mix Carnation  ( 12 Inch ) 16     FF Sachet + Grass</v>
          </cell>
        </row>
        <row r="58">
          <cell r="A58">
            <v>2733</v>
          </cell>
          <cell r="B58" t="str">
            <v>Ranjana Yadav</v>
          </cell>
          <cell r="C58">
            <v>9810475164</v>
          </cell>
          <cell r="D58" t="str">
            <v>T-11/102, Vipul Greens</v>
          </cell>
          <cell r="E58" t="str">
            <v>Sohna Road 2</v>
          </cell>
          <cell r="F58" t="str">
            <v>Monday</v>
          </cell>
          <cell r="G58" t="str">
            <v>9 AM - 12 PM</v>
          </cell>
          <cell r="H58">
            <v>999</v>
          </cell>
          <cell r="I58">
            <v>249.75</v>
          </cell>
          <cell r="J58" t="str">
            <v>Delight</v>
          </cell>
          <cell r="K58" t="str">
            <v>From Kiran yadav // Skip Next (27/09)</v>
          </cell>
          <cell r="N58" t="str">
            <v>4  del of this cycle   -  0-cycles pmnt   Completed - Collect 0</v>
          </cell>
          <cell r="O58" t="str">
            <v>P n W Glad ( 15 inch Height) 9     Grass</v>
          </cell>
          <cell r="P58" t="str">
            <v>R n W  Car ( 14 inch )  9     FF Sachet + Grass</v>
          </cell>
          <cell r="Q58" t="str">
            <v>Rajni ( 14 inch ) 9     Grass</v>
          </cell>
          <cell r="R58" t="str">
            <v>O Asiatic ( 15 Inch ) 2     Grass</v>
          </cell>
          <cell r="S58" t="str">
            <v>Mix Alstroemeria ( 12 Inch ) 9     FF sachet + grass</v>
          </cell>
          <cell r="T58" t="str">
            <v>P n W Glad ( 14 Inch ) 9     Grass</v>
          </cell>
        </row>
        <row r="59">
          <cell r="A59">
            <v>3377</v>
          </cell>
          <cell r="B59" t="str">
            <v>Deepti Bajaj Taneja</v>
          </cell>
          <cell r="C59">
            <v>9873402620</v>
          </cell>
          <cell r="D59" t="str">
            <v>J-001, Emaar Palm Drive, Sec 66</v>
          </cell>
          <cell r="E59" t="str">
            <v>Badshahpur</v>
          </cell>
          <cell r="F59" t="str">
            <v>Monday</v>
          </cell>
          <cell r="G59" t="str">
            <v>9 AM - 12 PM</v>
          </cell>
          <cell r="H59">
            <v>1950</v>
          </cell>
          <cell r="I59">
            <v>487.5</v>
          </cell>
          <cell r="J59" t="str">
            <v>Joy</v>
          </cell>
          <cell r="N59" t="str">
            <v>1  del of this cycle   -  0-cycles pmnt   Completed - Collect 0</v>
          </cell>
          <cell r="O59" t="e">
            <v>#N/A</v>
          </cell>
          <cell r="P59" t="e">
            <v>#N/A</v>
          </cell>
          <cell r="Q59" t="e">
            <v>#N/A</v>
          </cell>
          <cell r="R59" t="e">
            <v>#N/A</v>
          </cell>
          <cell r="S59" t="e">
            <v>#N/A</v>
          </cell>
          <cell r="T59" t="str">
            <v>Pur n P Car ( 14 Inch ) 22     FF Sachet + Grass</v>
          </cell>
        </row>
        <row r="60">
          <cell r="A60">
            <v>2648</v>
          </cell>
          <cell r="B60" t="str">
            <v>Vandana Mukherji</v>
          </cell>
          <cell r="C60">
            <v>9971590453</v>
          </cell>
          <cell r="D60" t="str">
            <v>Maplebear Canadian Preschool, Near Gate No.2, CHD Avanue, Sec 71</v>
          </cell>
          <cell r="E60" t="str">
            <v>Badshahpur</v>
          </cell>
          <cell r="F60" t="str">
            <v>Monday</v>
          </cell>
          <cell r="G60" t="str">
            <v>9:30 Am to 2 PM</v>
          </cell>
          <cell r="H60">
            <v>999</v>
          </cell>
          <cell r="I60">
            <v>249.75</v>
          </cell>
          <cell r="J60" t="str">
            <v>Delight</v>
          </cell>
          <cell r="K60" t="str">
            <v>Shift to Monday (08/06) Today returned-skip 1 week (20/10) Paytm from Pragati Parashar (01/12) Today hold -send tom (26/01) Hold due to non payment (02/02) Skip 1 week (22/03)</v>
          </cell>
          <cell r="N60" t="str">
            <v>3  del of this cycle   -  0-cycles pmnt   Completed - Collect 0</v>
          </cell>
          <cell r="O60" t="str">
            <v>P n W Glad ( 15 inch Height) 9     Grass</v>
          </cell>
          <cell r="P60" t="str">
            <v>R n W  Car ( 14 inch )  9     FF Sachet + Grass</v>
          </cell>
          <cell r="Q60" t="str">
            <v>Sunflower ( 14 Inch ) 2     Grass</v>
          </cell>
          <cell r="R60" t="str">
            <v>Rajni ( 14 Inch ) 9     Grass</v>
          </cell>
          <cell r="S60" t="str">
            <v>R Asiatic ( 15 Inch ) 2     Grass</v>
          </cell>
          <cell r="T60" t="str">
            <v>Mix Alstroemeria ( 12 Inch ) 9     FF Sachet + Grass</v>
          </cell>
        </row>
        <row r="61">
          <cell r="A61">
            <v>2863</v>
          </cell>
          <cell r="B61" t="str">
            <v>Anjana Ojha</v>
          </cell>
          <cell r="C61">
            <v>9818557920</v>
          </cell>
          <cell r="D61" t="str">
            <v>T-7/2201, Tata Primanti, Sec 72</v>
          </cell>
          <cell r="E61" t="str">
            <v>Badshahpur</v>
          </cell>
          <cell r="F61" t="str">
            <v>Monday</v>
          </cell>
          <cell r="G61" t="str">
            <v>4 Pm to 7 PM</v>
          </cell>
          <cell r="H61">
            <v>1450</v>
          </cell>
          <cell r="I61">
            <v>362.5</v>
          </cell>
          <cell r="J61" t="str">
            <v>Bliss</v>
          </cell>
          <cell r="K61" t="str">
            <v>Hold today (29/09) Hold till 24th Oct (13/10) Return today -send next week (27/10) Today returned-close package (24/11)</v>
          </cell>
          <cell r="N61" t="str">
            <v>4  del of this cycle   -  0-cycles pmnt   Completed - Collect 0</v>
          </cell>
          <cell r="O61" t="str">
            <v xml:space="preserve">P n W Glad ( 15 inch Height) 16    Grass </v>
          </cell>
          <cell r="P61" t="str">
            <v>W Asiatic ( 15 inch ) 3     Grass</v>
          </cell>
          <cell r="Q61" t="str">
            <v>Mix Car 16     Grass</v>
          </cell>
          <cell r="R61" t="str">
            <v>Mix Alstroemeria ( 14 Inch ) 16     FF Sachet + Grass</v>
          </cell>
          <cell r="S61" t="str">
            <v>R n W car ( 14 Inch) 16     FF Sachet + Grass</v>
          </cell>
          <cell r="T61" t="str">
            <v>P n W Glad ( 14 Inch ) 16     Grass</v>
          </cell>
        </row>
        <row r="62">
          <cell r="A62">
            <v>2848</v>
          </cell>
          <cell r="B62" t="str">
            <v>Mitu Agarwal</v>
          </cell>
          <cell r="C62">
            <v>9973582427</v>
          </cell>
          <cell r="D62" t="str">
            <v>T-E/103, Shree Vardhman Victoria</v>
          </cell>
          <cell r="E62" t="str">
            <v>Badshahpur</v>
          </cell>
          <cell r="F62" t="str">
            <v>Monday</v>
          </cell>
          <cell r="G62" t="str">
            <v>9 AM to 2 PM</v>
          </cell>
          <cell r="H62">
            <v>1450</v>
          </cell>
          <cell r="I62">
            <v>362.5</v>
          </cell>
          <cell r="J62" t="str">
            <v>Bliss</v>
          </cell>
          <cell r="K62" t="str">
            <v>Skip 2 week (28/08) Today Returned (13/09) Skip 1 week (23/10) Send replacement of Gerbera Today (30/11) No Del between 14th to 18th (11/12) No lilies (11/05) today Hold (25/05) Sent one del today (27/05)</v>
          </cell>
          <cell r="L62" t="str">
            <v>Lily</v>
          </cell>
          <cell r="N62" t="str">
            <v>4  del of this cycle   -  0-cycles pmnt   Completed - Collect 0</v>
          </cell>
          <cell r="O62" t="str">
            <v xml:space="preserve">P n W Glad ( 15 inch Height) 16    Grass </v>
          </cell>
          <cell r="P62" t="str">
            <v>O Asiatic ( 15 inch )  3     Grass</v>
          </cell>
          <cell r="Q62" t="str">
            <v>mix car  16     Grass</v>
          </cell>
          <cell r="R62" t="str">
            <v>Mix Alstroemeria ( 14 Inch ) 16     FF Sachet + Grass</v>
          </cell>
          <cell r="S62" t="str">
            <v>P n W Spray Daisy ( 15 Inch ) 5     FF Sachet + Grass</v>
          </cell>
          <cell r="T62" t="str">
            <v>P n W Glad ( 14 Inch ) 16     Grass</v>
          </cell>
        </row>
        <row r="63">
          <cell r="A63">
            <v>2396</v>
          </cell>
          <cell r="B63" t="str">
            <v>Reema</v>
          </cell>
          <cell r="C63">
            <v>9811281042</v>
          </cell>
          <cell r="D63" t="str">
            <v>24/02, Emilia b2, Vatika City</v>
          </cell>
          <cell r="E63" t="str">
            <v>Sohna Road 1</v>
          </cell>
          <cell r="F63" t="str">
            <v>Monday</v>
          </cell>
          <cell r="G63" t="str">
            <v>10 AM to 2:30 PM</v>
          </cell>
          <cell r="H63">
            <v>999</v>
          </cell>
          <cell r="I63">
            <v>249.75</v>
          </cell>
          <cell r="J63" t="str">
            <v>Delight</v>
          </cell>
          <cell r="K63" t="str">
            <v>No Guldawari (16/02) Send 1 Del today (29/05) No Gerbera (16/09) After 11th (02/10) Paytm From Reema makkar (23/11)</v>
          </cell>
          <cell r="L63" t="str">
            <v>Guldawari n Gerbera</v>
          </cell>
          <cell r="N63" t="str">
            <v>4  del of this cycle   -  0-cycles pmnt   Completed - Collect 0</v>
          </cell>
          <cell r="O63" t="e">
            <v>#N/A</v>
          </cell>
          <cell r="P63" t="e">
            <v>#N/A</v>
          </cell>
          <cell r="Q63" t="e">
            <v>#N/A</v>
          </cell>
          <cell r="R63" t="str">
            <v>R n W Car ( 14 Inch ) 9     FF sachet + Grass</v>
          </cell>
          <cell r="S63" t="str">
            <v>P asiatic ( 15 Inch ) 2     Grass</v>
          </cell>
          <cell r="T63" t="str">
            <v>P n W Glad ( 14 Inch ) 9     Grass</v>
          </cell>
        </row>
        <row r="64">
          <cell r="A64">
            <v>1571</v>
          </cell>
          <cell r="B64" t="str">
            <v>Mohar Ray Dahiya</v>
          </cell>
          <cell r="C64">
            <v>9910019898</v>
          </cell>
          <cell r="D64" t="str">
            <v>Sovereign-3/201, Vatika City</v>
          </cell>
          <cell r="E64" t="str">
            <v>Sohna Road 1</v>
          </cell>
          <cell r="F64" t="str">
            <v>Friday</v>
          </cell>
          <cell r="G64" t="str">
            <v>9 AM to 2 PM</v>
          </cell>
          <cell r="H64">
            <v>1600</v>
          </cell>
          <cell r="I64">
            <v>200</v>
          </cell>
          <cell r="J64" t="str">
            <v>Bloom</v>
          </cell>
          <cell r="K64"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64" t="str">
            <v>BOP n GERBERA</v>
          </cell>
          <cell r="N64" t="str">
            <v>4  del of this cycle   -  0-cycles pmnt   Completed - Collect 0</v>
          </cell>
          <cell r="O64" t="str">
            <v>Mix Alstroemeria 7     FF Sachet + Grass</v>
          </cell>
          <cell r="P64" t="str">
            <v>P n W Glad ( 14 inch ) 7     Grass</v>
          </cell>
          <cell r="Q64" t="str">
            <v>P Spray Daisy ( 15 inch ) 2     FF Sachet + Grass</v>
          </cell>
          <cell r="R64" t="str">
            <v>Mix Alstroemeria ( 14 Inch ) 7     FF Sachet + Grass</v>
          </cell>
          <cell r="S64" t="str">
            <v>Sunflower ( 14 Inch ) 2     FF Sachet + grass</v>
          </cell>
          <cell r="T64" t="str">
            <v>P Spray Daisy ( 14 Inch ) 2     FF Sachet + Grass</v>
          </cell>
        </row>
        <row r="65">
          <cell r="A65">
            <v>2926</v>
          </cell>
          <cell r="B65" t="str">
            <v>Parul Sharma</v>
          </cell>
          <cell r="C65">
            <v>9971048493</v>
          </cell>
          <cell r="D65" t="str">
            <v>D-20, 2nd Floor, South City 2</v>
          </cell>
          <cell r="E65" t="str">
            <v>Nirvana Country</v>
          </cell>
          <cell r="F65" t="str">
            <v>Monday</v>
          </cell>
          <cell r="G65" t="str">
            <v>9:30 Am to 2 PM</v>
          </cell>
          <cell r="H65">
            <v>999</v>
          </cell>
          <cell r="I65">
            <v>249.75</v>
          </cell>
          <cell r="J65" t="str">
            <v>Delight</v>
          </cell>
          <cell r="K65" t="str">
            <v>Rajni Next (27/08) Hold for 15 days (30/11) Now send after 9th Mar (23/02) Replacement tom (27/05)</v>
          </cell>
          <cell r="M65" t="str">
            <v>Rajni next (27/08) Car next (07/09)</v>
          </cell>
          <cell r="N65" t="str">
            <v>2  del of this cycle   -  0-cycles pmnt   Completed - Collect 0</v>
          </cell>
          <cell r="O65" t="str">
            <v>P n W Glad ( 15 inch Height) 9     Grass</v>
          </cell>
          <cell r="P65" t="str">
            <v>Pur n P car ( 14 inch ) 9     FF Sachet + Grass</v>
          </cell>
          <cell r="Q65" t="str">
            <v>rajni 9     Grass</v>
          </cell>
          <cell r="R65" t="str">
            <v>O Spray Daisy ( 15 inch ) 3     FF Sachet + Grass</v>
          </cell>
          <cell r="S65" t="str">
            <v>R Asiatic ( 15 Inch ) 2     Grass</v>
          </cell>
          <cell r="T65" t="str">
            <v>Mix Glad  ( 14 Inch ) 9     FF Sachet + Grass</v>
          </cell>
        </row>
        <row r="66">
          <cell r="A66" t="str">
            <v>G-00011</v>
          </cell>
          <cell r="B66" t="str">
            <v>Nainsee Garg</v>
          </cell>
          <cell r="C66">
            <v>9810561802</v>
          </cell>
          <cell r="D66" t="str">
            <v>A67 Rosewood City Sector 49 Gurgaon 122001</v>
          </cell>
          <cell r="E66" t="str">
            <v>Nirvana Country</v>
          </cell>
          <cell r="F66" t="str">
            <v>Friday</v>
          </cell>
          <cell r="G66" t="str">
            <v>9 AM to 2 PM</v>
          </cell>
          <cell r="H66">
            <v>2350</v>
          </cell>
          <cell r="I66">
            <v>293.75</v>
          </cell>
          <cell r="J66" t="str">
            <v>Felicity</v>
          </cell>
          <cell r="K66" t="str">
            <v>No Glad (15/-5) Skip tom n sned next del on Sunday (29/05) Skip 1 week (03/07) Skip 1 week (12/11) Send tom (01/04) Sent one del today (09/04) Skip 1 week (11/05)</v>
          </cell>
          <cell r="L66" t="str">
            <v>Glad</v>
          </cell>
          <cell r="N66" t="str">
            <v>2  del of this cycle   -  0-cycles pmnt   Completed - Collect 0</v>
          </cell>
          <cell r="O66" t="e">
            <v>#N/A</v>
          </cell>
          <cell r="P66" t="e">
            <v>#N/A</v>
          </cell>
          <cell r="Q66" t="e">
            <v>#N/A</v>
          </cell>
          <cell r="R66" t="e">
            <v>#N/A</v>
          </cell>
          <cell r="S66" t="e">
            <v>#N/A</v>
          </cell>
          <cell r="T66" t="str">
            <v>Pur Eustoma ( 12 Inch ) 3     FF Sachet + Grass</v>
          </cell>
        </row>
        <row r="67">
          <cell r="B67" t="str">
            <v> 6364 463 165‬</v>
          </cell>
          <cell r="C67" t="str">
            <v> 6364 463 165‬</v>
          </cell>
          <cell r="D67" t="str">
            <v>A-635 block A, Sushant lok 1, near labernum drive</v>
          </cell>
          <cell r="G67" t="str">
            <v>Before 12 PM</v>
          </cell>
          <cell r="H67">
            <v>600</v>
          </cell>
          <cell r="J67" t="str">
            <v>Bouquet</v>
          </cell>
          <cell r="K67" t="str">
            <v>From 
‪+91 6364 463 165‬
Today between 2-4 
15 Rajnigandha in single brown wrap to 
A-635 block A, Sushant lok 1, near labernum drive
Message 
For my Superwoman, my love and my soulmate ❤️</v>
          </cell>
          <cell r="T67" t="str">
            <v xml:space="preserve">Rajnigandha 15 single brown wrap Message   </v>
          </cell>
        </row>
        <row r="68">
          <cell r="B68" t="str">
            <v>Ishang &amp; Akanksha Jawa,</v>
          </cell>
          <cell r="C68" t="str">
            <v>96506 93266‬</v>
          </cell>
          <cell r="D68" t="str">
            <v>C 81, third floor,
Panchsheel enclave ,
Delhi</v>
          </cell>
          <cell r="H68">
            <v>2520</v>
          </cell>
          <cell r="J68" t="str">
            <v>Bouquet</v>
          </cell>
          <cell r="K68" t="str">
            <v>Ishang &amp; Akanksha Jawa,
C 81, third floor,
Panchsheel enclave ,
Delhi
‪+91 96506 93266‬
Dear Akanksha &amp; Ishang,
So happy to hear the wonderful news. Take care. God bless !
Lots of love,
Gitu chachi and Bittoo Chacha,
Shiksha and Aastha
Pls send today in tissue wrap from Geetanjali kamra</v>
          </cell>
          <cell r="T68" t="str">
            <v xml:space="preserve">Mixed Spray Daisies, Blue Daisies and  Carnations 12+8+8 Tissue Wrap Message   </v>
          </cell>
        </row>
        <row r="69">
          <cell r="B69" t="str">
            <v>99103-92066</v>
          </cell>
          <cell r="C69" t="str">
            <v>99103-92066</v>
          </cell>
          <cell r="D69" t="str">
            <v>H-105, EMAAR PALM DRIVE, SECTOR 66, GURGAON</v>
          </cell>
          <cell r="G69" t="str">
            <v xml:space="preserve">Before 4:30 pm </v>
          </cell>
          <cell r="H69">
            <v>2100</v>
          </cell>
          <cell r="J69" t="str">
            <v>Bouquet</v>
          </cell>
          <cell r="K69" t="str">
            <v>Mix rose 45p.
Tissue paper wrap 
Cash on delivery 
2100/-......... Collect message card ground floor a to sab 
Please carry change</v>
          </cell>
          <cell r="N69" t="str">
            <v>Cash on delivery 2100 Pls Carry Change</v>
          </cell>
          <cell r="T69" t="str">
            <v xml:space="preserve">Mix Rose 45 Tissue Wrap Message+Card   </v>
          </cell>
        </row>
        <row r="70">
          <cell r="B70" t="str">
            <v>89011 45375‬</v>
          </cell>
          <cell r="C70" t="str">
            <v>89011 45375‬</v>
          </cell>
          <cell r="D70" t="str">
            <v>E 401, Tulip Ivory
Sector 70</v>
          </cell>
          <cell r="H70">
            <v>600</v>
          </cell>
          <cell r="J70" t="str">
            <v>Bouquet</v>
          </cell>
          <cell r="T70" t="str">
            <v xml:space="preserve">sunflower 4  seperate     </v>
          </cell>
        </row>
      </sheetData>
      <sheetData sheetId="8"/>
      <sheetData sheetId="9"/>
      <sheetData sheetId="10"/>
      <sheetData sheetId="11"/>
      <sheetData sheetId="12"/>
      <sheetData sheetId="13"/>
      <sheetData sheetId="14">
        <row r="2">
          <cell r="A2" t="str">
            <v>B56162</v>
          </cell>
          <cell r="B2">
            <v>9971105361</v>
          </cell>
          <cell r="C2">
            <v>9971105361</v>
          </cell>
          <cell r="D2" t="str">
            <v>A-16, 2nd Floor, Ashok Estate, Anant Raj Estate, Sec 63 A</v>
          </cell>
          <cell r="E2" t="str">
            <v>Ghata</v>
          </cell>
          <cell r="F2" t="str">
            <v>Friday</v>
          </cell>
          <cell r="G2" t="str">
            <v>By 11:30 aM</v>
          </cell>
          <cell r="H2">
            <v>950</v>
          </cell>
          <cell r="I2">
            <v>950</v>
          </cell>
          <cell r="J2" t="str">
            <v>Bouquet</v>
          </cell>
          <cell r="K2" t="str">
            <v>Rose Mala</v>
          </cell>
          <cell r="N2" t="str">
            <v>1  del of this cycle   -  1-cycles pmnt   Pending - Collect 950</v>
          </cell>
          <cell r="O2" t="e">
            <v>#N/A</v>
          </cell>
          <cell r="P2" t="e">
            <v>#N/A</v>
          </cell>
          <cell r="Q2" t="e">
            <v>#N/A</v>
          </cell>
          <cell r="R2" t="e">
            <v>#N/A</v>
          </cell>
          <cell r="S2" t="e">
            <v>#N/A</v>
          </cell>
          <cell r="T2" t="str">
            <v xml:space="preserve">Rose Mala 21     </v>
          </cell>
        </row>
        <row r="3">
          <cell r="A3">
            <v>3286</v>
          </cell>
          <cell r="B3" t="str">
            <v>Megha Attray</v>
          </cell>
          <cell r="C3">
            <v>9891818933</v>
          </cell>
          <cell r="D3" t="str">
            <v>Lemon Street -01,/1st Floor Malibu town</v>
          </cell>
          <cell r="E3" t="str">
            <v>Sohna Road</v>
          </cell>
          <cell r="F3" t="str">
            <v>Monday</v>
          </cell>
          <cell r="G3" t="str">
            <v>4 PM to 7PM</v>
          </cell>
          <cell r="H3">
            <v>2750</v>
          </cell>
          <cell r="I3">
            <v>687.5</v>
          </cell>
          <cell r="J3" t="str">
            <v>Elation</v>
          </cell>
          <cell r="K3" t="str">
            <v>Returned - not at home (13/04) Skip 1 week (03/05) Today Returned (25/05)</v>
          </cell>
          <cell r="N3" t="str">
            <v>3  del of this cycle   -  0-cycles pmnt   Completed - Collect 0</v>
          </cell>
          <cell r="O3" t="str">
            <v>Sunflower ( 15 inch ) 7     Grass</v>
          </cell>
          <cell r="P3" t="str">
            <v>P Asiatic 6     Grass</v>
          </cell>
          <cell r="Q3" t="str">
            <v>O n P Spray Daisy ( 15 inch ) 10     FF Sachet + Grass</v>
          </cell>
          <cell r="R3" t="str">
            <v>P n W Glad ( 14 Inch ) 32     Grass</v>
          </cell>
          <cell r="S3" t="str">
            <v>Pur n P Car ( 14 Inch ) 32     2 Gypsola + FF sachet</v>
          </cell>
          <cell r="T3" t="str">
            <v>Sunflower ( 12 Inch ) 7     2 Limonium + FF Sachet</v>
          </cell>
        </row>
        <row r="4">
          <cell r="A4">
            <v>2619</v>
          </cell>
          <cell r="B4" t="str">
            <v>Megha Bhatt</v>
          </cell>
          <cell r="C4">
            <v>8297925970</v>
          </cell>
          <cell r="D4" t="str">
            <v>D-1902, Pioneer Park</v>
          </cell>
          <cell r="E4" t="str">
            <v>Ghata</v>
          </cell>
          <cell r="F4" t="str">
            <v>Monday</v>
          </cell>
          <cell r="G4" t="str">
            <v>9 AM - 12 PM</v>
          </cell>
          <cell r="H4">
            <v>1450</v>
          </cell>
          <cell r="I4">
            <v>362.5</v>
          </cell>
          <cell r="J4" t="str">
            <v>Bliss</v>
          </cell>
          <cell r="K4"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L4" t="str">
            <v>Car n Sunflower</v>
          </cell>
          <cell r="M4" t="str">
            <v>Blue Daisy</v>
          </cell>
          <cell r="N4" t="str">
            <v>4  del of this cycle   -  0-cycles pmnt   Completed - Collect 0</v>
          </cell>
          <cell r="O4" t="str">
            <v>Mix Alstroemeria ( 14 Inch ) 16     FF Sachet + Grass</v>
          </cell>
          <cell r="P4" t="e">
            <v>#N/A</v>
          </cell>
          <cell r="Q4" t="str">
            <v>O n P Spray Daisy ( 15 inch ) 5     FF Sachet + Grass</v>
          </cell>
          <cell r="R4" t="str">
            <v>O Asiatic ( 15 Inch ) 3     Grass</v>
          </cell>
          <cell r="S4" t="e">
            <v>#N/A</v>
          </cell>
          <cell r="T4" t="str">
            <v>Pur n P Car ( 14 Inch ) 16     FF Sachet + Grass</v>
          </cell>
        </row>
        <row r="5">
          <cell r="A5">
            <v>2733</v>
          </cell>
          <cell r="B5" t="str">
            <v>Ranjana Yadav -- 1450 Pack</v>
          </cell>
          <cell r="C5">
            <v>9810475164</v>
          </cell>
          <cell r="D5" t="str">
            <v>T-11/102, Vipul Greens</v>
          </cell>
          <cell r="E5" t="str">
            <v>Sohna Road 2</v>
          </cell>
          <cell r="F5" t="str">
            <v>Monday</v>
          </cell>
          <cell r="G5" t="str">
            <v>9 AM - 12 PM</v>
          </cell>
          <cell r="H5">
            <v>999</v>
          </cell>
          <cell r="I5">
            <v>249.75</v>
          </cell>
          <cell r="J5" t="str">
            <v>Delight</v>
          </cell>
          <cell r="K5" t="str">
            <v>From Kiran yadav // Skip Next (27/09)</v>
          </cell>
          <cell r="N5" t="str">
            <v>1  del of this cycle   -  0-cycles pmnt   Completed - Collect 0</v>
          </cell>
          <cell r="O5" t="str">
            <v>R n W  Car ( 14 inch )  9     FF Sachet + Grass</v>
          </cell>
          <cell r="P5" t="str">
            <v>Rajni ( 14 inch ) 9     Grass</v>
          </cell>
          <cell r="Q5" t="str">
            <v>O Asiatic ( 15 Inch ) 2     Grass</v>
          </cell>
          <cell r="R5" t="str">
            <v>Mix Alstroemeria ( 12 Inch ) 9     FF sachet + grass</v>
          </cell>
          <cell r="S5" t="str">
            <v>P n W Glad ( 14 Inch ) 9     Grass</v>
          </cell>
          <cell r="T5" t="str">
            <v>Pur n P Car ( 14 Inch ) 9     FF Sachet + Grass</v>
          </cell>
        </row>
        <row r="6">
          <cell r="A6">
            <v>3299</v>
          </cell>
          <cell r="B6" t="str">
            <v>Applicate It Solutions Pvt. Ltd.</v>
          </cell>
          <cell r="C6" t="str">
            <v>6295854656 // 9871456569</v>
          </cell>
          <cell r="D6" t="str">
            <v>Tower-B, 16th Floor, M3M Urbana Premium, Business Park</v>
          </cell>
          <cell r="E6" t="str">
            <v>Badshahpur</v>
          </cell>
          <cell r="F6" t="str">
            <v>Monday</v>
          </cell>
          <cell r="G6" t="str">
            <v>By 10 AM</v>
          </cell>
          <cell r="H6">
            <v>3400</v>
          </cell>
          <cell r="I6">
            <v>850</v>
          </cell>
          <cell r="J6" t="str">
            <v>Corporate</v>
          </cell>
          <cell r="N6" t="str">
            <v>4  del of this cycle   -  0-cycles pmnt   In Process - Collect 0</v>
          </cell>
          <cell r="O6" t="str">
            <v xml:space="preserve">Arrangement 1 Height 15 inch kaa min    </v>
          </cell>
          <cell r="P6" t="str">
            <v xml:space="preserve">Arrangement 1 Min 18 inch Height    </v>
          </cell>
          <cell r="Q6" t="str">
            <v xml:space="preserve">Arrangement 1 Min 18 inch Height    </v>
          </cell>
          <cell r="R6" t="str">
            <v xml:space="preserve">Arrangement 1 18 Inch    </v>
          </cell>
          <cell r="S6" t="str">
            <v xml:space="preserve">Arrangement  1     </v>
          </cell>
          <cell r="T6" t="str">
            <v xml:space="preserve">Arrangement 1 18 Inch    </v>
          </cell>
        </row>
        <row r="7">
          <cell r="A7">
            <v>2041</v>
          </cell>
          <cell r="B7" t="str">
            <v>Sanjeev Saini</v>
          </cell>
          <cell r="C7">
            <v>8505816000</v>
          </cell>
          <cell r="D7" t="str">
            <v>H. No.951, Block -C, Sec 47</v>
          </cell>
          <cell r="E7" t="str">
            <v>Sohna Road 1</v>
          </cell>
          <cell r="F7" t="str">
            <v>Monday</v>
          </cell>
          <cell r="G7" t="str">
            <v>9 AM - 12 PM</v>
          </cell>
          <cell r="H7">
            <v>999</v>
          </cell>
          <cell r="I7">
            <v>249.75</v>
          </cell>
          <cell r="J7" t="str">
            <v>Delight</v>
          </cell>
          <cell r="K7" t="str">
            <v>Today Returned (27/02) Today Returned (19/08) Scossor Next (24/05)</v>
          </cell>
          <cell r="M7" t="str">
            <v>Scissor Next</v>
          </cell>
          <cell r="N7" t="str">
            <v>2  del of this cycle   -  0-cycles pmnt   In Process - Collect 0</v>
          </cell>
          <cell r="O7" t="str">
            <v>Mix Car 9     FF Sachet + Grass</v>
          </cell>
          <cell r="P7" t="str">
            <v>Sunflower ( 14 Inch ) 2     Grass</v>
          </cell>
          <cell r="Q7" t="str">
            <v>Rajni ( 14 Inch ) 9     Grass</v>
          </cell>
          <cell r="R7" t="str">
            <v>O Asiatic ( 15 Inch ) 2     Grass</v>
          </cell>
          <cell r="S7" t="str">
            <v>Mix Alstroemeria ( 12 Inch ) 9     FF Sachet + Grass</v>
          </cell>
          <cell r="T7" t="str">
            <v>Pur n P Car ( 14 Inch ) 9     FF Sachet + Grass</v>
          </cell>
        </row>
        <row r="8">
          <cell r="A8">
            <v>1908</v>
          </cell>
          <cell r="B8" t="str">
            <v>Subhadra Chatterjee</v>
          </cell>
          <cell r="C8">
            <v>8826368500</v>
          </cell>
          <cell r="D8" t="str">
            <v>Tower -E, Flat 10B, Central Park Resort</v>
          </cell>
          <cell r="E8" t="str">
            <v>Sohna Road 2</v>
          </cell>
          <cell r="F8" t="str">
            <v>Monday</v>
          </cell>
          <cell r="G8" t="str">
            <v>4 Pm to 7 PM</v>
          </cell>
          <cell r="H8">
            <v>1450</v>
          </cell>
          <cell r="I8">
            <v>362.5</v>
          </cell>
          <cell r="J8" t="str">
            <v>Bliss</v>
          </cell>
          <cell r="K8"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L8" t="str">
            <v>GULDAWARI n ROSE</v>
          </cell>
          <cell r="N8" t="str">
            <v>2  del of this cycle   -  1-cycles pmnt   Pending - Collect 1450</v>
          </cell>
          <cell r="O8" t="str">
            <v>W Asiatic ( 15 inch ) 3     Grass</v>
          </cell>
          <cell r="P8" t="str">
            <v>Mix Car 16     Grass</v>
          </cell>
          <cell r="Q8" t="str">
            <v>O n P Spray Daisy ( 15 inch ) 5     FF Sachet + Grass</v>
          </cell>
          <cell r="R8" t="str">
            <v>Asiatic 3     FF Sachet + Grass</v>
          </cell>
          <cell r="S8" t="e">
            <v>#N/A</v>
          </cell>
          <cell r="T8" t="str">
            <v>Mix Alstroemeria ( 12 Inch ) 16     FF Sachet + Grass</v>
          </cell>
        </row>
        <row r="9">
          <cell r="A9">
            <v>2014</v>
          </cell>
          <cell r="B9" t="str">
            <v>Remfry</v>
          </cell>
          <cell r="C9">
            <v>9811343209</v>
          </cell>
          <cell r="D9" t="str">
            <v>Remfry House,Millenium Plaza,Tower-A,8th Floor</v>
          </cell>
          <cell r="E9" t="str">
            <v>M G Road</v>
          </cell>
          <cell r="F9" t="str">
            <v>Monday</v>
          </cell>
          <cell r="G9" t="str">
            <v>By 9 AM</v>
          </cell>
          <cell r="H9">
            <v>4750</v>
          </cell>
          <cell r="I9">
            <v>1187.5</v>
          </cell>
          <cell r="J9" t="str">
            <v>Corporate</v>
          </cell>
          <cell r="K9" t="str">
            <v>2 Arrangements every week (21/11) Due to Mar end, Cycle broken (29/03) Skip 2 weeks (18/12) Next 2 deliveries on Tuesday (19/12) Hold today send tom (31/03) Send bill on Thursday to Samta Mehra Ma'am (20/01) Now Send Arrangement (27/01)</v>
          </cell>
          <cell r="N9" t="str">
            <v>1  del of this cycle   -  0-cycles pmnt   In Process - Collect 0</v>
          </cell>
          <cell r="O9" t="str">
            <v>Sunflower ( 15 inch ) 6 Pur n P car 30   FF Sachet + Grass</v>
          </cell>
          <cell r="P9" t="str">
            <v>W Asiatic ( 15 Inch) 6 Mix Spary Dsisy  10   Grass</v>
          </cell>
          <cell r="Q9" t="str">
            <v>O n P Spray Daisy ( 15 inch ) 15 Mix Alstroemeria 30   FF Sachet + Grass</v>
          </cell>
          <cell r="R9" t="str">
            <v>Sunflower ( 14 Inch ) 6 P n W Glad ( 14 Inch ) 30   Ff Sachet + 3 Limoniu,</v>
          </cell>
          <cell r="S9" t="str">
            <v>O Asiatic ( 14 inch ) 6 P n W Car ( 14 Inch ) 30   3 Gypsola + FF sachet</v>
          </cell>
          <cell r="T9" t="str">
            <v>Pur n P Eustoma( 12 Inch ) 8 Mix Alstroemeria ( 12 Inch ) 30   3 Limonium + FF aschet</v>
          </cell>
        </row>
        <row r="10">
          <cell r="A10">
            <v>950</v>
          </cell>
          <cell r="B10" t="str">
            <v>Radhika</v>
          </cell>
          <cell r="C10">
            <v>9911818025</v>
          </cell>
          <cell r="D10" t="str">
            <v>Bacardi India, 805, 8th Floor, Time Tower</v>
          </cell>
          <cell r="E10" t="str">
            <v>M G Road</v>
          </cell>
          <cell r="F10" t="str">
            <v>Monday</v>
          </cell>
          <cell r="G10" t="str">
            <v>9 AM - 12 PM</v>
          </cell>
          <cell r="H10">
            <v>2750</v>
          </cell>
          <cell r="I10">
            <v>687.5</v>
          </cell>
          <cell r="J10" t="str">
            <v>Corporate</v>
          </cell>
          <cell r="K10" t="str">
            <v>Skip 2 weeks(20/03) Today hold-send Tom(15/08) Returned-send tom(26/10) Today returned (19/08) Hold today send tom (31/03) Send tom (26/01)</v>
          </cell>
          <cell r="N10" t="str">
            <v>4  del of this cycle   -  0-cycles pmnt   In Process - Collect 0</v>
          </cell>
          <cell r="O10" t="str">
            <v>R n W  Car ( 14 inch )  32     FF Sachet + Grass</v>
          </cell>
          <cell r="P10" t="str">
            <v>Asiatic  6     FF Sachet + Grass</v>
          </cell>
          <cell r="Q10" t="str">
            <v>O n P Spray Daisy ( 15 inch ) 10     FF Sachet + Grass</v>
          </cell>
          <cell r="R10" t="str">
            <v xml:space="preserve">Mix Alstroemeria ( 12 Inch ) 30     </v>
          </cell>
          <cell r="S10" t="str">
            <v>Sunflower ( 12 Inch ) 7     Grass</v>
          </cell>
          <cell r="T10" t="str">
            <v>P n W Glad ( 14 Inch ) 32     Grass</v>
          </cell>
        </row>
        <row r="11">
          <cell r="A11">
            <v>1583</v>
          </cell>
          <cell r="B11" t="str">
            <v>Sanjeev Saini</v>
          </cell>
          <cell r="C11">
            <v>8505816000</v>
          </cell>
          <cell r="D11" t="str">
            <v>H. No.951, Block -C, Sec 47</v>
          </cell>
          <cell r="E11" t="str">
            <v>Nirvana Country</v>
          </cell>
          <cell r="F11" t="str">
            <v>Monday</v>
          </cell>
          <cell r="G11" t="str">
            <v>9 AM to 2 PM</v>
          </cell>
          <cell r="H11">
            <v>999</v>
          </cell>
          <cell r="I11">
            <v>249.75</v>
          </cell>
          <cell r="J11" t="str">
            <v>Delight</v>
          </cell>
          <cell r="K11" t="str">
            <v>Today returned-send tom(15/08) Today Retirned (19/08) Today returned -send tom (26/01)</v>
          </cell>
          <cell r="N11" t="str">
            <v>1  del of this cycle   -  0-cycles pmnt   In Process - Collect 0</v>
          </cell>
          <cell r="O11" t="str">
            <v>Sunflower ( 15 inch ) 2     FF Sachet + Grass</v>
          </cell>
          <cell r="P11" t="str">
            <v>Mix car 9     Grass</v>
          </cell>
          <cell r="Q11" t="str">
            <v>Rajni ( 14 Inch ) 9     Grass</v>
          </cell>
          <cell r="R11" t="str">
            <v>R Asiatic ( 15 Inch ) 2     Grass</v>
          </cell>
          <cell r="S11" t="str">
            <v>Mix Alstroemeria ( 12 Inch ) 9     FF Sachet + Grass</v>
          </cell>
          <cell r="T11" t="str">
            <v>Pur n P Car ( 14 Inch ) 9     FF Sachet + Grass</v>
          </cell>
        </row>
        <row r="12">
          <cell r="A12">
            <v>1112</v>
          </cell>
          <cell r="B12" t="str">
            <v>Reet Gulati</v>
          </cell>
          <cell r="C12">
            <v>9910689598</v>
          </cell>
          <cell r="D12" t="str">
            <v>T-7/804, Uniworld Gardens</v>
          </cell>
          <cell r="E12" t="str">
            <v>Sohna Road 1</v>
          </cell>
          <cell r="F12" t="str">
            <v>Monday</v>
          </cell>
          <cell r="G12" t="str">
            <v>9:30 Am to 2 PM</v>
          </cell>
          <cell r="H12">
            <v>999</v>
          </cell>
          <cell r="I12">
            <v>249.75</v>
          </cell>
          <cell r="J12" t="str">
            <v>Delight</v>
          </cell>
          <cell r="K12" t="str">
            <v>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v>
          </cell>
          <cell r="L12" t="str">
            <v>ORCHID</v>
          </cell>
          <cell r="M12" t="str">
            <v>One Kind Flowers// Rajni next (16/10)</v>
          </cell>
          <cell r="N12" t="str">
            <v>4  del of this cycle   -  0-cycles pmnt   Completed - Collect 0</v>
          </cell>
          <cell r="O12" t="str">
            <v>R n W  Car ( 14 inch )  9     FF Sachet + Grass</v>
          </cell>
          <cell r="P12" t="str">
            <v>Sunflower ( 14 Inch ) 2     Grass</v>
          </cell>
          <cell r="Q12" t="str">
            <v>Y Asiatic ( 15 Inch ) 2     Grass</v>
          </cell>
          <cell r="R12" t="str">
            <v>Mix Alstroemeria ( 12 Inch ) 9     FF sachet + grass</v>
          </cell>
          <cell r="S12" t="str">
            <v>P n W Glad ( 14 Inch ) 9     Grass</v>
          </cell>
          <cell r="T12" t="str">
            <v>Pur n P Car ( 14 Inch ) 9     FF Sachet + Grass</v>
          </cell>
        </row>
        <row r="13">
          <cell r="A13">
            <v>435</v>
          </cell>
          <cell r="B13" t="str">
            <v>Rashee Sharma</v>
          </cell>
          <cell r="C13">
            <v>9911818025</v>
          </cell>
          <cell r="D13" t="str">
            <v>Bacardi, 8th Floor, Time Tower, M G Road</v>
          </cell>
          <cell r="E13" t="str">
            <v>Sohna Road 1</v>
          </cell>
          <cell r="F13" t="str">
            <v>Monday</v>
          </cell>
          <cell r="G13" t="str">
            <v>4 PM to 7PM</v>
          </cell>
          <cell r="H13">
            <v>1450</v>
          </cell>
          <cell r="I13">
            <v>362.5</v>
          </cell>
          <cell r="J13" t="str">
            <v>Corporate</v>
          </cell>
          <cell r="K13" t="str">
            <v>Hold today-send tom(02/09) Today Returned (20/08) Hold toda send tom (31/03) Send tom (26/01)</v>
          </cell>
          <cell r="N13" t="str">
            <v>4  del of this cycle   -  0-cycles pmnt   In Process - Collect 0</v>
          </cell>
          <cell r="O13" t="str">
            <v>R n W  Car ( 14 inch )  16     FF Sachet + Grass</v>
          </cell>
          <cell r="P13" t="str">
            <v>Asiatic  3     FF Sachet + Grass</v>
          </cell>
          <cell r="Q13" t="str">
            <v>O Spray Daisy ( 15 inch ) 5     FF Sachet + Grass</v>
          </cell>
          <cell r="R13" t="str">
            <v>Mix Alstroemeria ( 12 Inch ) 15     FF Sachet + Grass</v>
          </cell>
          <cell r="S13" t="str">
            <v>Sunflower ( 12 Inch ) 4     Grass</v>
          </cell>
          <cell r="T13" t="str">
            <v>P n W Glad ( 14 Inch ) 16     Grass</v>
          </cell>
        </row>
        <row r="14">
          <cell r="A14">
            <v>3374</v>
          </cell>
          <cell r="B14" t="str">
            <v>Geeta Garg</v>
          </cell>
          <cell r="C14">
            <v>9971005977</v>
          </cell>
          <cell r="D14" t="str">
            <v>T-A/4C, Central Park Resorts, Sec 48</v>
          </cell>
          <cell r="E14" t="str">
            <v>Sohna Road 2</v>
          </cell>
          <cell r="F14" t="str">
            <v>Monday</v>
          </cell>
          <cell r="G14" t="str">
            <v>9:30 Am to 2 PM</v>
          </cell>
          <cell r="H14">
            <v>1450</v>
          </cell>
          <cell r="I14">
            <v>362.5</v>
          </cell>
          <cell r="J14" t="str">
            <v>Bliss</v>
          </cell>
          <cell r="K14" t="str">
            <v xml:space="preserve">From Pankaj Garg </v>
          </cell>
          <cell r="N14" t="str">
            <v>4  del of this cycle   -  0-cycles pmnt   Completed - Collect 0</v>
          </cell>
          <cell r="O14" t="e">
            <v>#N/A</v>
          </cell>
          <cell r="P14" t="e">
            <v>#N/A</v>
          </cell>
          <cell r="Q14" t="str">
            <v>P n W Car ( 14 Inch ) 16     FF Sachet + Grass</v>
          </cell>
          <cell r="R14" t="str">
            <v>O Asiatic ( 15 Inch ) 3     Grass</v>
          </cell>
          <cell r="S14" t="str">
            <v>P n W Glad ( 14 Inch ) 16     Grass</v>
          </cell>
          <cell r="T14" t="str">
            <v>P n W Spray Daisy ( 14 Inch ) 5     FF Sachet + Grass</v>
          </cell>
        </row>
        <row r="15">
          <cell r="A15">
            <v>1005</v>
          </cell>
          <cell r="B15" t="str">
            <v>Pradeep Jain</v>
          </cell>
          <cell r="C15">
            <v>9810013570</v>
          </cell>
          <cell r="D15" t="str">
            <v>Bacardi India,8th Floor, Time Tower</v>
          </cell>
          <cell r="E15" t="str">
            <v>M G Road</v>
          </cell>
          <cell r="F15" t="str">
            <v>Monday</v>
          </cell>
          <cell r="G15" t="str">
            <v>9:30 AM to 2 PM</v>
          </cell>
          <cell r="H15">
            <v>1450</v>
          </cell>
          <cell r="I15">
            <v>362.5</v>
          </cell>
          <cell r="J15" t="str">
            <v>Corporate</v>
          </cell>
          <cell r="K15"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15" t="str">
            <v>3  del of this cycle   -  0-cycles pmnt   In Process - Collect 0</v>
          </cell>
          <cell r="O15" t="str">
            <v>R n W  Car ( 14 inch )  16     FF Sachet + Grass</v>
          </cell>
          <cell r="P15" t="str">
            <v>Asiatic  3     FF Sachet + Grass</v>
          </cell>
          <cell r="Q15" t="str">
            <v>O Spray Daisy ( 15 inch ) 5     FF Sachet + Grass</v>
          </cell>
          <cell r="R15" t="str">
            <v>P n W Glad ( 14 Inch )      Grass</v>
          </cell>
          <cell r="S15" t="str">
            <v>Sunflower ( 12 Inch ) 4     FF Sachet + Grass</v>
          </cell>
          <cell r="T15" t="str">
            <v>Pur n P Car ( 14 Inch ) 16     FF Sachet + Grass</v>
          </cell>
        </row>
        <row r="16">
          <cell r="A16">
            <v>1088</v>
          </cell>
          <cell r="B16" t="str">
            <v>Shivani Marwah</v>
          </cell>
          <cell r="C16">
            <v>9999028643</v>
          </cell>
          <cell r="D16" t="str">
            <v>The Legend apartments, tower D4, flat no 1302, sector 57</v>
          </cell>
          <cell r="E16" t="str">
            <v>Artemis</v>
          </cell>
          <cell r="F16" t="str">
            <v>Monday</v>
          </cell>
          <cell r="G16" t="str">
            <v>9 AM - 12 PM</v>
          </cell>
          <cell r="H16">
            <v>1450</v>
          </cell>
          <cell r="I16">
            <v>362.5</v>
          </cell>
          <cell r="J16" t="str">
            <v>Bliss</v>
          </cell>
          <cell r="K16" t="str">
            <v>Thursday and Monday//NO BOP(13/12Send out of Rose// Glad// Lily//Guldawari(06/02) Rose Next(09/02) Spray Daisy Next(22/12)Flower Food Next(17/07) Ski[ Rose petal next (04/09) Send on Thursday this week (01/01/2023)Flower Food necxt (14/04) Change to bliss after current cycle (27/04)</v>
          </cell>
          <cell r="N16" t="str">
            <v>3  del of this cycle   -  0-cycles pmnt   Completed - Collect 0</v>
          </cell>
          <cell r="O16" t="str">
            <v>R n W  Car ( 14 inch )  16     FF Sachet + Grass</v>
          </cell>
          <cell r="P16" t="str">
            <v>Mix Spary Daisy 5     FF Sachet + Grass</v>
          </cell>
          <cell r="Q16" t="str">
            <v>Y Asiatic ( 15 Inch ) 3     Grass</v>
          </cell>
          <cell r="R16" t="str">
            <v>Sunflower ( 14 Inch ) 4     FF Sachet + Grass</v>
          </cell>
          <cell r="S16" t="str">
            <v>P n W Glad ( 14 Inch ) 16     FF Sachet + Grass</v>
          </cell>
          <cell r="T16" t="str">
            <v>Pur n P Car ( 14 Inch ) 16     FF Sachet + Grass</v>
          </cell>
        </row>
        <row r="17">
          <cell r="A17">
            <v>1638</v>
          </cell>
          <cell r="B17" t="str">
            <v>Arvinder</v>
          </cell>
          <cell r="C17">
            <v>9717121144</v>
          </cell>
          <cell r="D17" t="str">
            <v>T-15/1202, Close South</v>
          </cell>
          <cell r="E17" t="str">
            <v>Nirvana Country</v>
          </cell>
          <cell r="F17" t="str">
            <v>Monday</v>
          </cell>
          <cell r="G17" t="str">
            <v>9 AM - 12 PM</v>
          </cell>
          <cell r="H17">
            <v>1450</v>
          </cell>
          <cell r="I17">
            <v>362.5</v>
          </cell>
          <cell r="J17" t="str">
            <v>Bliss</v>
          </cell>
          <cell r="K17" t="str">
            <v>Asiatic//Rajni//Guldawari//Gladioli(19/02) Received another Paytm of 750 today(18/07) No Rose n Rajni (26/12) Hold today (20/05) Change Add (20/05) Skip 1 week (28/08)</v>
          </cell>
          <cell r="L17" t="str">
            <v>Rose n Rajni</v>
          </cell>
          <cell r="N17" t="str">
            <v>1  del of this cycle   -  1-cycles pmnt   Pending - Collect 1450</v>
          </cell>
          <cell r="O17" t="str">
            <v>Pur n P car ( 14 inch ) 9     FF Sachet + Grass</v>
          </cell>
          <cell r="P17" t="str">
            <v>Rajni 9     Grass</v>
          </cell>
          <cell r="Q17" t="str">
            <v>Mix Alstroemeria ( 14 Inch ) 9     FF sachet + Grass</v>
          </cell>
          <cell r="R17" t="str">
            <v>P n W Glad ( 14 Inch ) 9     Grass</v>
          </cell>
          <cell r="S17" t="str">
            <v>P Asiatic ( 14 Inch ) 2     Grass</v>
          </cell>
          <cell r="T17" t="str">
            <v>R n W Car ( 14 Inch ) 16     FF Sachet + Grass</v>
          </cell>
        </row>
        <row r="18">
          <cell r="A18">
            <v>1618</v>
          </cell>
          <cell r="B18" t="str">
            <v>Nidhi Sharma Malhotra</v>
          </cell>
          <cell r="C18" t="str">
            <v>8130207722//9999016333</v>
          </cell>
          <cell r="D18" t="str">
            <v>Topaz-36, First Floor, Emaar Emerald Hills, Sec 65</v>
          </cell>
          <cell r="E18" t="str">
            <v>Badshahpur</v>
          </cell>
          <cell r="F18" t="str">
            <v>Friday</v>
          </cell>
          <cell r="G18" t="str">
            <v>9 AM to 2 PM</v>
          </cell>
          <cell r="H18">
            <v>3000</v>
          </cell>
          <cell r="I18">
            <v>375</v>
          </cell>
          <cell r="J18" t="str">
            <v>Charm</v>
          </cell>
          <cell r="K18"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18" t="str">
            <v>GLAD</v>
          </cell>
          <cell r="N18" t="str">
            <v>6  del of this cycle   -  0-cycles pmnt   Complimentary - Collect 0</v>
          </cell>
          <cell r="O18" t="str">
            <v>P n Y Spray Daisy ( 15 inch )  4     FF Sachet + Grass</v>
          </cell>
          <cell r="P18" t="str">
            <v>Rajni 15     Grass</v>
          </cell>
          <cell r="Q18" t="str">
            <v>O Asiatic ( 15 Inch ) 3     Grass</v>
          </cell>
          <cell r="R18" t="str">
            <v>W Oriental ( 15 inch ) 2     Grass</v>
          </cell>
          <cell r="S18" t="str">
            <v>Rajni ( 14 Inch ) 15     FF Sachet + Grass</v>
          </cell>
          <cell r="T18" t="str">
            <v>R n W Car ( 14 Inch ) 15     FF sachet + Grass</v>
          </cell>
        </row>
        <row r="19">
          <cell r="A19">
            <v>3368</v>
          </cell>
          <cell r="B19" t="str">
            <v>Sugandha Goyal</v>
          </cell>
          <cell r="C19">
            <v>9971681194</v>
          </cell>
          <cell r="D19" t="str">
            <v>T-15/3C, Central Park Resorts</v>
          </cell>
          <cell r="E19" t="str">
            <v>Sohna Road 2</v>
          </cell>
          <cell r="F19" t="str">
            <v>Monday</v>
          </cell>
          <cell r="G19" t="str">
            <v>9 AM - 12 PM</v>
          </cell>
          <cell r="H19">
            <v>2300</v>
          </cell>
          <cell r="I19">
            <v>287.5</v>
          </cell>
          <cell r="J19" t="str">
            <v>Felicity</v>
          </cell>
          <cell r="N19" t="str">
            <v>1  del of this cycle   -  1-cycles pmnt   Pending - Collect 2300</v>
          </cell>
          <cell r="O19" t="e">
            <v>#N/A</v>
          </cell>
          <cell r="P19" t="str">
            <v>P n W Car ( 14 inch ) 11     FF Sachet + Grass</v>
          </cell>
          <cell r="Q19" t="str">
            <v>Rajni ( 14 Inch ) 7     Grass</v>
          </cell>
          <cell r="R19" t="str">
            <v>P n Y Gerbera ( 12 Inch ) 11     FF sachet + Grass</v>
          </cell>
          <cell r="S19" t="str">
            <v>Pur n P Car ( 14 Inch ) 11     FF Sachet + Grass</v>
          </cell>
          <cell r="T19" t="str">
            <v>P n W Glad ( 14 Inch ) 11     Grass</v>
          </cell>
        </row>
        <row r="20">
          <cell r="A20">
            <v>380</v>
          </cell>
          <cell r="B20" t="str">
            <v xml:space="preserve">   Dr Mandeep Yadav 1 -- Before 12 PM</v>
          </cell>
          <cell r="C20" t="str">
            <v>9811090481 #</v>
          </cell>
          <cell r="D20" t="str">
            <v>Smile Plus Dental Clinic Shanti Nagar, Beriwala BaghBehind Mini Sectritariat Near Rajiv Chowk</v>
          </cell>
          <cell r="E20" t="str">
            <v>Sohna Road 2</v>
          </cell>
          <cell r="F20" t="str">
            <v>Monday</v>
          </cell>
          <cell r="G20" t="str">
            <v>9 AM - 12 PM</v>
          </cell>
          <cell r="H20">
            <v>999</v>
          </cell>
          <cell r="I20">
            <v>249.75</v>
          </cell>
          <cell r="J20" t="str">
            <v>Delight</v>
          </cell>
          <cell r="K20" t="str">
            <v>Never Send GLAD(02/08)Send always car(13/08)Glad next time(23/09)Replacement tom(04/10) Pls send daisy next and send 2 vase tom(31/12)No Glad-next Daisy(14/01) Upgrade to 650 Plan after currsnet cycle(15/04) NO ASIATIC--Always mixed car(10/06) FF Sold today(26/08) NO DAHELAI(02/03) Skip 1 week(06/11) Skiped 1 week due to HOLI(29/03) Return-send tom(15/11)</v>
          </cell>
          <cell r="N20" t="str">
            <v>2  del of this cycle   -  1-cycles pmnt   Pending - Collect 977</v>
          </cell>
          <cell r="O20" t="str">
            <v>Pur Car ( 14 inch ) 9     FF Sachet + Grass</v>
          </cell>
          <cell r="P20" t="str">
            <v>P Car ( 14 inch ) 9     FF Sachet + Grass</v>
          </cell>
          <cell r="Q20" t="str">
            <v>R Car ( 14 Inch ) 9     FF Sachet + Grass</v>
          </cell>
          <cell r="R20" t="str">
            <v>Pur Car ( 14 Inch ) 9     FF sachet + grass</v>
          </cell>
          <cell r="S20" t="str">
            <v>P Car ( 14 Inch ) 9     FF Sachet + Grass</v>
          </cell>
          <cell r="T20" t="str">
            <v>R Car ( 14 Inch ) 9     FF Sachet + Grass</v>
          </cell>
        </row>
        <row r="21">
          <cell r="A21">
            <v>2655</v>
          </cell>
          <cell r="B21" t="str">
            <v>Komal - Abante</v>
          </cell>
          <cell r="C21" t="str">
            <v>0124-4042908</v>
          </cell>
          <cell r="D21" t="str">
            <v>Abante,C-301-02, 3rd Floor, M3M Urbana, Sec 67</v>
          </cell>
          <cell r="E21" t="str">
            <v>Badshahpur</v>
          </cell>
          <cell r="F21" t="str">
            <v>Sunday</v>
          </cell>
          <cell r="G21" t="str">
            <v>By 12 PM</v>
          </cell>
          <cell r="H21">
            <v>2100</v>
          </cell>
          <cell r="I21">
            <v>525</v>
          </cell>
          <cell r="J21" t="str">
            <v>Corporate</v>
          </cell>
          <cell r="K21" t="str">
            <v>Day Changed to // Send tomorrow (02/10) Send tom (26/01)</v>
          </cell>
          <cell r="N21" t="str">
            <v>3  del of this cycle   -  0-cycles pmnt   In Process - Collect 0</v>
          </cell>
          <cell r="O21" t="str">
            <v xml:space="preserve">Arrangement 2     </v>
          </cell>
          <cell r="P21" t="str">
            <v xml:space="preserve">Arrangement 2     </v>
          </cell>
          <cell r="Q21" t="str">
            <v xml:space="preserve">Arrangement 1     </v>
          </cell>
          <cell r="R21" t="str">
            <v xml:space="preserve">Arrangement 1     </v>
          </cell>
          <cell r="S21" t="str">
            <v xml:space="preserve">Arrangement  1     </v>
          </cell>
          <cell r="T21" t="str">
            <v xml:space="preserve">Arrangement 1     </v>
          </cell>
        </row>
        <row r="22">
          <cell r="A22">
            <v>1262</v>
          </cell>
          <cell r="B22" t="str">
            <v>Manjusha Mishra</v>
          </cell>
          <cell r="C22">
            <v>9650513322</v>
          </cell>
          <cell r="D22" t="str">
            <v>T-12/001, CHD Avenue, Sec 71</v>
          </cell>
          <cell r="E22" t="str">
            <v>Badshahpur</v>
          </cell>
          <cell r="F22" t="str">
            <v>Monday</v>
          </cell>
          <cell r="G22" t="str">
            <v>4 Pm to 7 PM</v>
          </cell>
          <cell r="H22">
            <v>1950</v>
          </cell>
          <cell r="I22">
            <v>487.5</v>
          </cell>
          <cell r="J22" t="str">
            <v>Joy</v>
          </cell>
          <cell r="K22" t="str">
            <v>Rose/Guldawari/Lily/carnations(07/01) Skip 1 week(04/02) Send 1 stick extra next(12/02) send double del with rajni and 4 orchid with payment of 1 orchid of 60(11/03) Flower Food Next(16/04) NO RAJNI IN SUMMER(06/07) Send flowers on 6th instead of 5th(01/11)  Holy Change(16/03) NO GERBERA (01/08) 30th Del Returned (06/01) Skip 1 week (15/10) Send one del today and skip tom (29/03) Send tom n skip 0n 6th (04/04)</v>
          </cell>
          <cell r="L22" t="str">
            <v>GERBERA</v>
          </cell>
          <cell r="M22" t="str">
            <v xml:space="preserve"> Send tom n skip 0n 6th (04/04)</v>
          </cell>
          <cell r="N22" t="str">
            <v>2  del of this cycle   -  1-cycles pmnt   Pending - Collect 1950</v>
          </cell>
          <cell r="O22" t="str">
            <v>P n W Spray Daisy ( 15 inch ) 7     FF Sachet + Grass</v>
          </cell>
          <cell r="P22" t="str">
            <v>Sunflower ( 14 Inch ) 5     Grass</v>
          </cell>
          <cell r="Q22" t="str">
            <v>R n W Car ( 14 Inch ) 22     FF Sachet + Grass</v>
          </cell>
          <cell r="R22" t="str">
            <v>R Asiatic ( 15 Inch ) 4     Grass</v>
          </cell>
          <cell r="S22" t="str">
            <v>P n W Spray Daisy ( 14 Inch ) 7     FF Sachet + Grass</v>
          </cell>
          <cell r="T22" t="str">
            <v>P n W Glad ( 14 Inch ) 22     Grass</v>
          </cell>
        </row>
        <row r="23">
          <cell r="A23">
            <v>2363</v>
          </cell>
          <cell r="B23" t="str">
            <v>Radhika</v>
          </cell>
          <cell r="C23">
            <v>9911818025</v>
          </cell>
          <cell r="D23" t="str">
            <v>Bacardi India, 805, 8th Floor, Time Tower</v>
          </cell>
          <cell r="E23" t="str">
            <v>M G Road</v>
          </cell>
          <cell r="F23" t="str">
            <v>Monday</v>
          </cell>
          <cell r="G23" t="str">
            <v>9 AM - 12 PM</v>
          </cell>
          <cell r="H23">
            <v>2750</v>
          </cell>
          <cell r="I23">
            <v>687.5</v>
          </cell>
          <cell r="J23" t="str">
            <v>Corporate</v>
          </cell>
          <cell r="K23" t="str">
            <v>Hold today send tom (31/03) Send tom (26/01)</v>
          </cell>
          <cell r="N23" t="str">
            <v>3  del of this cycle   -  0-cycles pmnt   In Process - Collect 0</v>
          </cell>
          <cell r="O23" t="str">
            <v>R n W  Car ( 14 inch )  32     FF Sachet + Grass</v>
          </cell>
          <cell r="P23" t="str">
            <v>Asiatic  6     FF Sachet + Grass</v>
          </cell>
          <cell r="Q23" t="str">
            <v>O n P Spray Daisy ( 15 inch ) 10     FF Sachet + Grass</v>
          </cell>
          <cell r="R23" t="str">
            <v>Mix Alstroemeria ( 12 Inch ) 30     Grass</v>
          </cell>
          <cell r="S23" t="str">
            <v>Sunflower ( 12 Inch ) 7     Grass</v>
          </cell>
          <cell r="T23" t="str">
            <v>P n W Glad ( 14 Inch ) 32     Grass</v>
          </cell>
        </row>
        <row r="24">
          <cell r="A24">
            <v>2369</v>
          </cell>
          <cell r="B24" t="str">
            <v>Jaya - Bacardi</v>
          </cell>
          <cell r="D24" t="str">
            <v>Bacardi India,8th Floor, Time Tower</v>
          </cell>
          <cell r="E24" t="str">
            <v>M G Road</v>
          </cell>
          <cell r="F24" t="str">
            <v>Monday</v>
          </cell>
          <cell r="G24" t="str">
            <v>9 AM - 12 PM</v>
          </cell>
          <cell r="H24">
            <v>2750</v>
          </cell>
          <cell r="I24">
            <v>687.5</v>
          </cell>
          <cell r="J24" t="str">
            <v>Corporate</v>
          </cell>
          <cell r="K24" t="str">
            <v>Hold today send tom (31/03) Send tom (26/01)</v>
          </cell>
          <cell r="N24" t="str">
            <v>2  del of this cycle   -  0-cycles pmnt   In Process - Collect 0</v>
          </cell>
          <cell r="O24" t="str">
            <v>R n W  Car ( 14 inch )  32     FF Sachet + Grass</v>
          </cell>
          <cell r="P24" t="str">
            <v>Asiatic  6     FF Sachet + Grass</v>
          </cell>
          <cell r="Q24" t="str">
            <v>O n P Spray Daisy ( 15 inch ) 10     FF Sachet + Grass</v>
          </cell>
          <cell r="R24" t="str">
            <v>Mix Alstroemeria ( 12 Inch ) 30     Grass</v>
          </cell>
          <cell r="S24" t="str">
            <v>Sunflower ( 12 Inch ) 7     Grass</v>
          </cell>
          <cell r="T24" t="str">
            <v>P n W Glad ( 14 Inch ) 32     Grass</v>
          </cell>
        </row>
        <row r="25">
          <cell r="A25">
            <v>3330</v>
          </cell>
          <cell r="B25" t="str">
            <v>Radhika</v>
          </cell>
          <cell r="C25">
            <v>9911818025</v>
          </cell>
          <cell r="D25" t="str">
            <v>Bacardi India, 805, 8th Floor, Time Tower</v>
          </cell>
          <cell r="E25" t="str">
            <v>M G Road</v>
          </cell>
          <cell r="F25" t="str">
            <v>Monday</v>
          </cell>
          <cell r="G25" t="str">
            <v>9 AM - 12 PM</v>
          </cell>
          <cell r="H25">
            <v>2750</v>
          </cell>
          <cell r="I25">
            <v>687.5</v>
          </cell>
          <cell r="J25" t="str">
            <v>Corporate</v>
          </cell>
          <cell r="N25" t="str">
            <v>1  del of this cycle   -  0-cycles pmnt   In Process - Collect 0</v>
          </cell>
          <cell r="O25" t="str">
            <v>R n W  Car ( 14 inch )  32     FF Sachet + Grass</v>
          </cell>
          <cell r="P25" t="str">
            <v>Asiatic  6     FF Sachet + Grass</v>
          </cell>
          <cell r="Q25" t="str">
            <v>O n P Spray Daisy ( 15 inch ) 10     FF Sachet + Grass</v>
          </cell>
          <cell r="R25" t="str">
            <v xml:space="preserve">Mix Alstroemeria ( 12 Inch ) 30     </v>
          </cell>
          <cell r="S25" t="str">
            <v>Sunflower ( 12 Inch ) 7     Grass</v>
          </cell>
          <cell r="T25" t="str">
            <v>P n W Glad ( 14 Inch ) 32     Grass</v>
          </cell>
        </row>
        <row r="26">
          <cell r="A26">
            <v>1477</v>
          </cell>
          <cell r="B26" t="str">
            <v>Priyanka Agarwal</v>
          </cell>
          <cell r="C26">
            <v>9810745341</v>
          </cell>
          <cell r="D26" t="str">
            <v>624-A, Fairway East, Sector 65</v>
          </cell>
          <cell r="E26" t="str">
            <v>Badshahpur</v>
          </cell>
          <cell r="F26" t="str">
            <v>Friday</v>
          </cell>
          <cell r="G26" t="str">
            <v>9 AM to 2 PM</v>
          </cell>
          <cell r="H26">
            <v>1600</v>
          </cell>
          <cell r="I26">
            <v>200</v>
          </cell>
          <cell r="J26" t="str">
            <v>Bloom</v>
          </cell>
          <cell r="K26"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26" t="str">
            <v>3  del of this cycle   -  0-cycles pmnt   Completed - Collect 0</v>
          </cell>
          <cell r="O26" t="str">
            <v>R n W  Car ( 14 inch )  7     FF Sachet + Grass</v>
          </cell>
          <cell r="P26" t="str">
            <v>Rajni ( 14 inch ) 7     Grass</v>
          </cell>
          <cell r="Q26" t="e">
            <v>#N/A</v>
          </cell>
          <cell r="R26" t="str">
            <v>B Daisy 12 Inch ) 7     FF Sachet + grass</v>
          </cell>
          <cell r="S26" t="str">
            <v>Sunflower ( 12 Inch ) 2     FF Sachet + Grass</v>
          </cell>
          <cell r="T26" t="str">
            <v>P n W Glad ( 14 Inch ) 7     Grass</v>
          </cell>
        </row>
        <row r="27">
          <cell r="A27">
            <v>3002</v>
          </cell>
          <cell r="B27" t="str">
            <v>Mukesh Saluja</v>
          </cell>
          <cell r="C27" t="str">
            <v>98992 01188</v>
          </cell>
          <cell r="D27" t="str">
            <v xml:space="preserve">Electronic City, Phase IV, Udyog Vihar, Sector 18, Gurugram, Haryana 122022
</v>
          </cell>
          <cell r="E27" t="str">
            <v>Old Gurgaon</v>
          </cell>
          <cell r="F27" t="str">
            <v>Monday</v>
          </cell>
          <cell r="G27" t="str">
            <v>4 PM to 7 PM</v>
          </cell>
          <cell r="H27">
            <v>1450</v>
          </cell>
          <cell r="I27">
            <v>362.5</v>
          </cell>
          <cell r="J27" t="str">
            <v>Bliss</v>
          </cell>
          <cell r="K27" t="str">
            <v>Returned today-send next week (20/10) Upgraded to bliss (08/11) Hold ue to non payment (22/12) Today hold -send tom (26/01) HDTNP (23/02) HDTNP (09/03) HDTNP (16/03) HDTNP (23/02)</v>
          </cell>
          <cell r="M27" t="str">
            <v>No Del now till we get payment (09/06)</v>
          </cell>
          <cell r="N27" t="str">
            <v>3  del of this cycle   -  0-cycles pmnt   Completed - Collect 0</v>
          </cell>
          <cell r="O27" t="str">
            <v>R n W  Car ( 14 inch )  16     FF Sachet + Grass</v>
          </cell>
          <cell r="P27" t="str">
            <v>Rajni 5     FF Sachet + Grass</v>
          </cell>
          <cell r="Q27" t="str">
            <v>Y Asiatic ( 15 Inch ) 3     Grass</v>
          </cell>
          <cell r="R27" t="str">
            <v>P n W Glad ( 14 Inch ) 16     Grass</v>
          </cell>
          <cell r="S27" t="str">
            <v>P n Y Spray Daisy ( 14 Inch ) 5     FF Sachet + Grass</v>
          </cell>
          <cell r="T27" t="str">
            <v>Pur n P Car ( 14 Inch ) 16     FF Sachet + Grass</v>
          </cell>
        </row>
        <row r="28">
          <cell r="A28">
            <v>381</v>
          </cell>
          <cell r="B28" t="str">
            <v xml:space="preserve">   Dr Mandeep Yadav 1 -- Before 12 PM</v>
          </cell>
          <cell r="C28" t="str">
            <v>9811090481 #</v>
          </cell>
          <cell r="D28" t="str">
            <v>Smile Plus Dental Clinic Shanti Nagar, Beriwala BaghBehind Mini Sectritariat Near Rajiv Chowk</v>
          </cell>
          <cell r="E28" t="str">
            <v>Sohna Road 2</v>
          </cell>
          <cell r="F28" t="str">
            <v>Monday</v>
          </cell>
          <cell r="G28" t="str">
            <v>9 AM - 12 PM</v>
          </cell>
          <cell r="H28">
            <v>999</v>
          </cell>
          <cell r="I28">
            <v>249.75</v>
          </cell>
          <cell r="J28" t="str">
            <v>Delight</v>
          </cell>
          <cell r="K28" t="str">
            <v>Never Send GLAD(02/08)Send always car(13/08)Replacement Tom(19/09)No Glad-next Daisy(14/01) Upgrade to 650 Plan after currsnet cycle(15/04) NO ASIATIC--Always Mix Car(10/06) FF Sold today(22/07) NO DAHELIA(02/03) Sending 1st June Flowers on 30th may(30/05/2020) Skip 1 week(05/11) Send 2 vase tom(21/12) 1 stick extra next(01/02) Skiped 1 week due to HOLI(29/03) Return-send tom(15/11) Replace grass(18/04)</v>
          </cell>
          <cell r="N28" t="str">
            <v>2  del of this cycle   -  1-cycles pmnt   Pending - Collect 999</v>
          </cell>
          <cell r="O28" t="str">
            <v>P Car ( 14 inch ) 9     FF Sachet + Grass</v>
          </cell>
          <cell r="P28" t="str">
            <v>Y Car ( 14 inch ) 9     FF Sachet + Grass</v>
          </cell>
          <cell r="Q28" t="str">
            <v>W Car ( 14 Inch ) 9     FF Sachet + Grass</v>
          </cell>
          <cell r="R28" t="str">
            <v>Y Car ( 14 Inch ) 9     FF sachet + grass</v>
          </cell>
          <cell r="S28" t="str">
            <v>W Car ( 14 Inch ) 9     FF Sachet + Grass</v>
          </cell>
          <cell r="T28" t="str">
            <v>W Car ( 14 Inch ) 9     FF Sachet + Grass</v>
          </cell>
        </row>
        <row r="29">
          <cell r="A29">
            <v>1914</v>
          </cell>
          <cell r="B29" t="str">
            <v>Neelam Ahuja</v>
          </cell>
          <cell r="C29">
            <v>7011107486</v>
          </cell>
          <cell r="D29" t="str">
            <v>4002, M3m Latitude, Sec 65</v>
          </cell>
          <cell r="E29" t="str">
            <v>Badshahpur</v>
          </cell>
          <cell r="F29" t="str">
            <v>Friday</v>
          </cell>
          <cell r="G29" t="str">
            <v>9 AM - 12 PM</v>
          </cell>
          <cell r="H29">
            <v>3000</v>
          </cell>
          <cell r="I29">
            <v>375</v>
          </cell>
          <cell r="J29" t="str">
            <v>Charm</v>
          </cell>
          <cell r="K29"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v>
          </cell>
          <cell r="L29" t="str">
            <v>Spray Daisy n GERBERA n Statice</v>
          </cell>
          <cell r="N29" t="str">
            <v>8  del of this cycle   -  0-cycles pmnt   Completed - Collect 0</v>
          </cell>
          <cell r="O29" t="e">
            <v>#N/A</v>
          </cell>
          <cell r="P29" t="e">
            <v>#N/A</v>
          </cell>
          <cell r="Q29" t="str">
            <v>Rajni ( 14 Inch ) 15     Grass</v>
          </cell>
          <cell r="R29" t="str">
            <v>P n W Glad ( 14 Inch ) 15     Grass</v>
          </cell>
          <cell r="S29" t="str">
            <v>BOP ( 14 Inch ) 3     FF Sachet + Grass</v>
          </cell>
          <cell r="T29" t="str">
            <v>P Oriental ( 15 Inch ) 2     Grass</v>
          </cell>
        </row>
        <row r="30">
          <cell r="A30">
            <v>2672</v>
          </cell>
          <cell r="B30" t="str">
            <v>Anjali Chawla</v>
          </cell>
          <cell r="C30">
            <v>9810545028</v>
          </cell>
          <cell r="D30" t="str">
            <v>Cedar Drive 60, Malibu Town</v>
          </cell>
          <cell r="E30" t="str">
            <v>Sohna Road 1</v>
          </cell>
          <cell r="F30" t="str">
            <v>Monday</v>
          </cell>
          <cell r="G30" t="str">
            <v>9:30 Am to 2 PM</v>
          </cell>
          <cell r="H30">
            <v>999</v>
          </cell>
          <cell r="I30">
            <v>249.75</v>
          </cell>
          <cell r="J30" t="str">
            <v>Delight</v>
          </cell>
          <cell r="N30" t="str">
            <v>2  del of this cycle   -  0-cycles pmnt   Completed - Collect 0</v>
          </cell>
          <cell r="O30" t="str">
            <v>Pur n P car ( 14 inch ) 9     FF Sachet + Grass</v>
          </cell>
          <cell r="P30" t="str">
            <v>mix Car 9     Grass</v>
          </cell>
          <cell r="Q30" t="str">
            <v>Mix Alstroemeria ( 14 Inch ) 9     FF Sachet + Grass</v>
          </cell>
          <cell r="R30" t="str">
            <v>P asiatic ( 15 Inch ) 2     Grass</v>
          </cell>
          <cell r="S30" t="str">
            <v>P n W Glad ( 14 Inch ) 9     Grass</v>
          </cell>
          <cell r="T30" t="str">
            <v>R n W Car ( 14 Inch ) 9     FF Sachet + Grass</v>
          </cell>
        </row>
        <row r="31">
          <cell r="A31">
            <v>3223</v>
          </cell>
          <cell r="B31" t="str">
            <v>Gaurav Agarwal</v>
          </cell>
          <cell r="C31">
            <v>9650088297</v>
          </cell>
          <cell r="D31" t="str">
            <v>D-22/401, Ireo Victory Valley</v>
          </cell>
          <cell r="E31" t="str">
            <v>Badshahpur</v>
          </cell>
          <cell r="F31" t="str">
            <v>Monday</v>
          </cell>
          <cell r="G31" t="str">
            <v>9 AM - 12 PM</v>
          </cell>
          <cell r="H31">
            <v>1950</v>
          </cell>
          <cell r="I31">
            <v>487.5</v>
          </cell>
          <cell r="J31" t="str">
            <v>Joy</v>
          </cell>
          <cell r="K31" t="str">
            <v>One kInd // Skip 1 week (16/12) Skip 1 week (26/05)</v>
          </cell>
          <cell r="M31" t="str">
            <v>One Kind</v>
          </cell>
          <cell r="N31" t="str">
            <v>2  del of this cycle   -  0-cycles pmnt   Completed - Collect 0</v>
          </cell>
          <cell r="O31" t="str">
            <v>Mix Alstromia 22     Grass</v>
          </cell>
          <cell r="P31" t="str">
            <v>P n W Glad ( 14 inch ) 22     Grass</v>
          </cell>
          <cell r="Q31" t="str">
            <v>O n P Spray Daisy ( 15 inch ) 7     FF Sachet + Grass</v>
          </cell>
          <cell r="R31" t="str">
            <v>R n W car ( 14 Inch) 22     FF Sachet + Grass</v>
          </cell>
          <cell r="S31" t="str">
            <v>O Asiatic ( 14 inch ) 4     Grass</v>
          </cell>
          <cell r="T31" t="str">
            <v>Mix Alstroemeria ( 12 Inch ) 22     FF Sachet + Grass</v>
          </cell>
        </row>
        <row r="32">
          <cell r="A32">
            <v>3050</v>
          </cell>
          <cell r="B32" t="str">
            <v>Unnati Jain</v>
          </cell>
          <cell r="C32">
            <v>8999727355</v>
          </cell>
          <cell r="D32" t="str">
            <v>T-16/1003, Orchid Petals</v>
          </cell>
          <cell r="E32" t="str">
            <v>Sohna Road 1</v>
          </cell>
          <cell r="F32" t="str">
            <v>Monday</v>
          </cell>
          <cell r="G32" t="str">
            <v>9 AM - 12 PM</v>
          </cell>
          <cell r="H32">
            <v>1600</v>
          </cell>
          <cell r="I32">
            <v>200</v>
          </cell>
          <cell r="J32" t="str">
            <v>Bloom</v>
          </cell>
          <cell r="K32" t="str">
            <v>Hold n start From 7th Nov (16/10) Skip 1 week (13/11) Today retirned and skip next week also (28/11) Check in Feb to restart (20/12) Skip 1 week (31/05)</v>
          </cell>
          <cell r="N32" t="str">
            <v>3  del of this cycle   -  1-cycles pmnt   Pending - Collect 1600</v>
          </cell>
          <cell r="O32" t="str">
            <v>P n W Glad ( 14 inch ) 7     Grass</v>
          </cell>
          <cell r="P32" t="str">
            <v>Rajni ( 14 inch ) 7     Grass</v>
          </cell>
          <cell r="Q32" t="str">
            <v>Mix Alstroemeria ( 14 Inch ) 7     FF Sachet + Grass</v>
          </cell>
          <cell r="R32" t="str">
            <v>P n W Glad ( 14 Inch ) 7     Grass</v>
          </cell>
          <cell r="S32" t="str">
            <v>P n W Glad ( 14 Inch ) 7     Grass</v>
          </cell>
          <cell r="T32" t="str">
            <v>Y Spray Daisy ( 14 Inch ) 2     FF sachet + Grass</v>
          </cell>
        </row>
        <row r="33">
          <cell r="A33">
            <v>3249</v>
          </cell>
          <cell r="B33" t="str">
            <v>Nupur Bhatnagar</v>
          </cell>
          <cell r="C33">
            <v>9910985656</v>
          </cell>
          <cell r="D33" t="str">
            <v>A-001, Park View City 1</v>
          </cell>
          <cell r="E33" t="str">
            <v>Sohna Road 2</v>
          </cell>
          <cell r="F33" t="str">
            <v>Monday</v>
          </cell>
          <cell r="G33" t="str">
            <v>9 AM - 12 PM</v>
          </cell>
          <cell r="H33">
            <v>1450</v>
          </cell>
          <cell r="I33">
            <v>362.5</v>
          </cell>
          <cell r="J33" t="str">
            <v>Bliss</v>
          </cell>
          <cell r="K33" t="str">
            <v>Hold due to non payment (19/01) HDTNP (16/03) No Spray Daisy (14/06)</v>
          </cell>
          <cell r="L33" t="str">
            <v>Spray Daisy</v>
          </cell>
          <cell r="N33" t="str">
            <v>2  del of this cycle   -  0-cycles pmnt   Completed - Collect 0</v>
          </cell>
          <cell r="O33" t="str">
            <v>R n W  Car ( 14 inch )  16     FF Sachet + Grass</v>
          </cell>
          <cell r="P33" t="str">
            <v>B Orchid  5     Grass</v>
          </cell>
          <cell r="Q33" t="str">
            <v>P n W Glad ( 14 Inch ) 16     Grass</v>
          </cell>
          <cell r="R33" t="str">
            <v>O Asiatic ( 15 Inch ) 3     Grass</v>
          </cell>
          <cell r="S33" t="str">
            <v>P n W Spray Daisy ( 14 Inch ) 5     FF Sachet + Grass</v>
          </cell>
          <cell r="T33" t="str">
            <v>Pur n P Car ( 14 Inch ) 16     FF Sachet + Grass</v>
          </cell>
        </row>
        <row r="34">
          <cell r="A34">
            <v>3232</v>
          </cell>
          <cell r="B34" t="str">
            <v>Aditya -- Hexa Climate</v>
          </cell>
          <cell r="C34">
            <v>8351968881</v>
          </cell>
          <cell r="D34" t="str">
            <v>Hexa Climate Solutions , 9th Floor, Vatika Buisness Park</v>
          </cell>
          <cell r="E34" t="str">
            <v>Sohna Road 1</v>
          </cell>
          <cell r="F34" t="str">
            <v>Monday</v>
          </cell>
          <cell r="G34" t="str">
            <v>By 9 AM</v>
          </cell>
          <cell r="H34">
            <v>20000</v>
          </cell>
          <cell r="I34">
            <v>5000</v>
          </cell>
          <cell r="J34" t="str">
            <v>Corporate</v>
          </cell>
          <cell r="K34" t="str">
            <v>Visit -- 15 Square vase</v>
          </cell>
          <cell r="N34" t="str">
            <v>2  del of this cycle   -  0-cycles pmnt   In Process - Collect 0</v>
          </cell>
          <cell r="O34" t="str">
            <v xml:space="preserve">Square Arrangement 15     </v>
          </cell>
          <cell r="P34" t="str">
            <v xml:space="preserve">Square Arrangement 15     </v>
          </cell>
          <cell r="Q34" t="str">
            <v xml:space="preserve">Square Arrangement 15     </v>
          </cell>
          <cell r="R34" t="str">
            <v xml:space="preserve">Square Arrangement 15     </v>
          </cell>
          <cell r="S34" t="str">
            <v xml:space="preserve">Square Arrangement 15     </v>
          </cell>
          <cell r="T34" t="str">
            <v xml:space="preserve">Square arrangment 15     </v>
          </cell>
        </row>
        <row r="35">
          <cell r="A35">
            <v>2195</v>
          </cell>
          <cell r="B35" t="str">
            <v>Hema</v>
          </cell>
          <cell r="C35">
            <v>9971354440</v>
          </cell>
          <cell r="D35" t="str">
            <v>127 vipul trade center sohna road sector 48 gurgaon 122108</v>
          </cell>
          <cell r="E35" t="str">
            <v>Sohna Road 2</v>
          </cell>
          <cell r="F35" t="str">
            <v>Monday</v>
          </cell>
          <cell r="G35" t="str">
            <v>9 AM - 12 PM</v>
          </cell>
          <cell r="H35">
            <v>2400</v>
          </cell>
          <cell r="I35">
            <v>600</v>
          </cell>
          <cell r="J35" t="str">
            <v>Corporate</v>
          </cell>
          <cell r="K35" t="str">
            <v>Mix Flowers -- 12-15 flowers// Today office is closed (25/12) Today returned (19/08) Hold today sned tom (31/03) Send tom (26/01)</v>
          </cell>
          <cell r="N35" t="str">
            <v>3  del of this cycle   -  0-cycles pmnt   In Process - Collect 0</v>
          </cell>
          <cell r="O35" t="str">
            <v xml:space="preserve">Sunflower ( 15 inch ) 2 Mix Alstroemeria ( 14 inch ) 12   </v>
          </cell>
          <cell r="P35" t="str">
            <v>W Asiatic ( 15 Inch) 2 P n W Car ( 14 inch ) 12   Grass</v>
          </cell>
          <cell r="Q35" t="str">
            <v>O n P Spray Daisy ( 15 inch ) 4 P n W Glad ( 14 inch ) 12   FF Sachet + Grass</v>
          </cell>
          <cell r="R35" t="str">
            <v xml:space="preserve">Pur n P Eustoma 4 R n W Car 12   </v>
          </cell>
          <cell r="S35" t="str">
            <v>Sunflower ( 12 Inch ) 3 Mix Glad  ( 14 Inch ) 12   FF Sachet + Grass</v>
          </cell>
          <cell r="T35" t="str">
            <v>P Asiatic ( 14 Inch ) 2 Pur n P Car ( 14 Inch ) 12   Grass</v>
          </cell>
        </row>
        <row r="36">
          <cell r="A36">
            <v>2620</v>
          </cell>
          <cell r="B36" t="str">
            <v>Bhavna Newle-- Before 12 PM</v>
          </cell>
          <cell r="C36" t="str">
            <v>98736 93388</v>
          </cell>
          <cell r="D36" t="str">
            <v xml:space="preserve">37/101 Heritage City </v>
          </cell>
          <cell r="E36" t="str">
            <v>M G Road</v>
          </cell>
          <cell r="F36" t="str">
            <v>Monday</v>
          </cell>
          <cell r="G36" t="str">
            <v>Before 12 PM</v>
          </cell>
          <cell r="H36">
            <v>4160</v>
          </cell>
          <cell r="I36">
            <v>1040</v>
          </cell>
          <cell r="J36" t="str">
            <v>Customized</v>
          </cell>
          <cell r="K36"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36" t="str">
            <v>Skip 9th n 15th July (29/06)</v>
          </cell>
          <cell r="N36" t="str">
            <v>2  del of this cycle   -  0-cycles pmnt   Completed - Collect 0</v>
          </cell>
          <cell r="O36" t="str">
            <v>P n W Spray Daisy ( 15 inch ) 16     2 Limonium + FF Sachet</v>
          </cell>
          <cell r="P36" t="str">
            <v>P n Y Spray Daisy ( 15 inch ) 16     2 Gypsola + FF sachet</v>
          </cell>
          <cell r="Q36" t="str">
            <v>O n P Spray Daisy ( 15 inch ) 16     2 Limonium + FF Sachet</v>
          </cell>
          <cell r="R36" t="str">
            <v>P n W Spray Daisy ( 15 Inch ) 16     2 Gypsola + FF Sachet</v>
          </cell>
          <cell r="S36" t="str">
            <v>P n Y Spray Daisy ( 14 Inch ) 16     2 Limonium + FF Sachet</v>
          </cell>
          <cell r="T36" t="str">
            <v>Y n W Spray Daisy ( 14 Inch ) 16     2 Gypsola + FF sachet</v>
          </cell>
        </row>
        <row r="37">
          <cell r="A37">
            <v>2404</v>
          </cell>
          <cell r="B37" t="str">
            <v>Amitt Nenwani</v>
          </cell>
          <cell r="C37">
            <v>9810444444</v>
          </cell>
          <cell r="D37" t="str">
            <v>Villa 21, Z Block, Tatvam Villas</v>
          </cell>
          <cell r="E37" t="str">
            <v>Sohna Road 2</v>
          </cell>
          <cell r="F37" t="str">
            <v>Friday</v>
          </cell>
          <cell r="G37" t="str">
            <v>9 AM - 12 PM</v>
          </cell>
          <cell r="H37">
            <v>6350</v>
          </cell>
          <cell r="I37">
            <v>793.75</v>
          </cell>
          <cell r="J37" t="str">
            <v>Elegance</v>
          </cell>
          <cell r="K37" t="str">
            <v>Friday n Monday//Mixed // Skip 1 week (17/04) Skip this week (12/11) Skip this week and send on 03rd Jan (29/12) Skip tom (15/03) Skip 1 week (26/03)</v>
          </cell>
          <cell r="M37" t="str">
            <v>Mixed Flowers// Change to enchantement from next cycle (12/1)</v>
          </cell>
          <cell r="N37" t="str">
            <v>7  del of this cycle   -  0-cycles pmnt   In Process - Collect 0</v>
          </cell>
          <cell r="O37" t="str">
            <v>O Asiatic ( 15 inch )  3 G n Y Spray Daisy ( 15 Inch )  4 P n W Glad ( 14 inch ) 12 3 Areca Palm + 3 Gypsola</v>
          </cell>
          <cell r="P37" t="str">
            <v>W Asiatic ( 15 Inch) 3 Sunflower ( 15 inch ) 4 P n W Car ( 14 inch ) 12 3 Areca Palm + 3 Limonium</v>
          </cell>
          <cell r="Q37" t="str">
            <v>O Asiatic ( 15 Inch ) 3 P Eustoma ( 14 Inch ) 3 Rajni ( 14 Inch ) 12 3 Areca palm + 3 Gypsola</v>
          </cell>
          <cell r="R37" t="str">
            <v>O Asiatic ( 15 Inch ) 3 Sunflower ( 14 Inch ) 3 P n Y Gerbera ( 12 Inch ) 12 3 Areca palm + 3 Limonium</v>
          </cell>
          <cell r="S37" t="str">
            <v>P Asiatic ( 14 Inch ) 3 Pur n P Eustoma ( 12 Inch) 4 P n W Glad ( 14 Inch ) 12 FF Sachet + Grass</v>
          </cell>
          <cell r="T37" t="str">
            <v>W Asiatic + Sunflower 3+3 G n Y Spray Daisy ( 14 Inch ) 4 Rajni ( 14 Inch ) 12 FF sachet + Grass</v>
          </cell>
        </row>
        <row r="38">
          <cell r="A38">
            <v>2571</v>
          </cell>
          <cell r="B38" t="str">
            <v>Ghanendra</v>
          </cell>
          <cell r="C38">
            <v>9818829144</v>
          </cell>
          <cell r="D38" t="str">
            <v>H. No. 2, Bauganville Marg, First Floor, DLF Phase 2</v>
          </cell>
          <cell r="E38" t="str">
            <v>DLF Phase 2</v>
          </cell>
          <cell r="F38" t="str">
            <v>Monday</v>
          </cell>
          <cell r="G38" t="str">
            <v>9 AM - 12 PM</v>
          </cell>
          <cell r="H38">
            <v>1450</v>
          </cell>
          <cell r="I38">
            <v>362.5</v>
          </cell>
          <cell r="J38" t="str">
            <v>Bliss</v>
          </cell>
          <cell r="K38" t="str">
            <v>Complimentary Always // Day changed  to Monday (09/08) Today hold n send tom (26/010</v>
          </cell>
          <cell r="N38" t="str">
            <v>1  del of this cycle   -  0-cycles pmnt   Complimentary - Collect 0</v>
          </cell>
          <cell r="O38" t="str">
            <v>Y Spray Daisy ( 15 inch ) 3 Mix Alstroemeria ( 14 inch ) 7   FF Sachet + Grass</v>
          </cell>
          <cell r="P38" t="str">
            <v>Sunflower ( 14 Inch ) 2 Rajni 7   Grass</v>
          </cell>
          <cell r="Q38" t="str">
            <v>O Asiatic ( 15 Inch ) 2 P n W Glad ( 14 inch ) 7   Grass</v>
          </cell>
          <cell r="R38" t="str">
            <v>Pur Eustoma ( 12 Inch ) 2 P n W Car ( 14 Inch ) 7   FF Sachet + Grass</v>
          </cell>
          <cell r="S38" t="str">
            <v>Sunflower ( 12 Inch ) 4     FF Sachet + Grass</v>
          </cell>
          <cell r="T38" t="str">
            <v>P n W  Spray Daisy ( 14 Inch ) 5     FF Sachet + Grass</v>
          </cell>
        </row>
        <row r="39">
          <cell r="A39">
            <v>3353</v>
          </cell>
          <cell r="B39" t="str">
            <v>Niti Beri</v>
          </cell>
          <cell r="C39" t="str">
            <v xml:space="preserve"> 81304 32211</v>
          </cell>
          <cell r="D39" t="str">
            <v>Fountain Digital, 3rd Floor , AIHP Millennium, Plot number 92, 93, Phase IV, Udyog Vihar, Sector 18, Gurugram, Shahpur, Haryana 122015</v>
          </cell>
          <cell r="E39" t="str">
            <v>Old Gurgaon</v>
          </cell>
          <cell r="F39" t="str">
            <v>Monday</v>
          </cell>
          <cell r="G39" t="str">
            <v>9 AM - 12 PM</v>
          </cell>
          <cell r="H39">
            <v>1450</v>
          </cell>
          <cell r="I39">
            <v>362.5</v>
          </cell>
          <cell r="J39" t="str">
            <v>Bliss</v>
          </cell>
          <cell r="K39" t="str">
            <v>No Gerbera</v>
          </cell>
          <cell r="L39" t="str">
            <v>Gerbera</v>
          </cell>
          <cell r="N39" t="str">
            <v>1  del of this cycle   -  1-cycles pmnt   pending - Collect 1450</v>
          </cell>
          <cell r="O39" t="str">
            <v>P n Y Spray Daisy ( 15 inch )  5     FF Sachet + Grass</v>
          </cell>
          <cell r="P39" t="str">
            <v>P n W Glad ( 14 inch ) 16     Grass</v>
          </cell>
          <cell r="Q39" t="str">
            <v>O Asiatic ( 15 Inch ) 3     Grass</v>
          </cell>
          <cell r="R39" t="e">
            <v>#N/A</v>
          </cell>
          <cell r="S39" t="e">
            <v>#N/A</v>
          </cell>
          <cell r="T39" t="str">
            <v>Pur n P Car ( 14 Inch ) 16     FF Sachet + Grass</v>
          </cell>
        </row>
        <row r="40">
          <cell r="A40">
            <v>2448</v>
          </cell>
          <cell r="B40" t="str">
            <v>Sonali Srivastava</v>
          </cell>
          <cell r="C40">
            <v>8510051543</v>
          </cell>
          <cell r="D40" t="str">
            <v>T2/25A, SS, The Leaf, Sec 85</v>
          </cell>
          <cell r="E40" t="str">
            <v>Manesar</v>
          </cell>
          <cell r="F40" t="str">
            <v>Monday</v>
          </cell>
          <cell r="G40" t="str">
            <v>9:30 Am to 2 PM</v>
          </cell>
          <cell r="H40">
            <v>999</v>
          </cell>
          <cell r="I40">
            <v>249.75</v>
          </cell>
          <cell r="J40" t="str">
            <v>Delight</v>
          </cell>
          <cell r="K40" t="str">
            <v>Insta // 1st Del on Monday and then Friday morning (17/07) Skip tom n send on Monday (24/08) Hold due to non payment (16/01) HDTNP(20/02) HDTNP (24/04) Skip 2 week (13/05)</v>
          </cell>
          <cell r="N40" t="str">
            <v>3  del of this cycle   -  0-cycles pmnt   Completed - Collect 0</v>
          </cell>
          <cell r="O40" t="e">
            <v>#N/A</v>
          </cell>
          <cell r="P40" t="e">
            <v>#N/A</v>
          </cell>
          <cell r="Q40" t="e">
            <v>#N/A</v>
          </cell>
          <cell r="R40" t="str">
            <v>R n W car ( 14 Inch) 9     FF sachet + grass</v>
          </cell>
          <cell r="S40" t="str">
            <v>P Asiatic ( 14 Inch ) 2     Grass</v>
          </cell>
          <cell r="T40" t="str">
            <v>P n W Glad ( 14 Inch ) 9     Grass</v>
          </cell>
        </row>
        <row r="41">
          <cell r="A41">
            <v>2030</v>
          </cell>
          <cell r="B41" t="str">
            <v>Rashi Goel</v>
          </cell>
          <cell r="C41">
            <v>8828025877</v>
          </cell>
          <cell r="D41" t="str">
            <v>44 Tattvam Vila, Sohna Road</v>
          </cell>
          <cell r="E41" t="str">
            <v>Sohna Road 2</v>
          </cell>
          <cell r="F41" t="str">
            <v>Monday</v>
          </cell>
          <cell r="G41" t="str">
            <v>9 AM - 12 PM</v>
          </cell>
          <cell r="H41">
            <v>1450</v>
          </cell>
          <cell r="I41">
            <v>362.5</v>
          </cell>
          <cell r="J41" t="str">
            <v>Bliss</v>
          </cell>
          <cell r="K41" t="str">
            <v>No Heliconia// Skip 1 week (02/12) Skip 1 week (13/02) Sent Replacement today (12/12) Hold till 10th Dec (18/12) Hold n start from 2nd week of Mar (011/02) Skip 1 week (24/08) Today Hold *24/11) Paytm from Perform Monks Edu (01/03)</v>
          </cell>
          <cell r="L41" t="str">
            <v>HELICONIA</v>
          </cell>
          <cell r="N41" t="str">
            <v>4  del of this cycle   -  0-cycles pmnt   Completed - Collect 0</v>
          </cell>
          <cell r="O41" t="str">
            <v>W Asiatic ( 15 inch ) 3     Grass</v>
          </cell>
          <cell r="P41" t="str">
            <v>B Orchid  5     Grass</v>
          </cell>
          <cell r="Q41" t="str">
            <v>O Spray Daisy ( 15 inch ) 5     FF Sachet + Grass</v>
          </cell>
          <cell r="R41" t="str">
            <v>P n W Glad ( 14 Inch ) 16     Grass</v>
          </cell>
          <cell r="S41" t="str">
            <v>Pur n P Car ( 14 Inch ) 16     FF Sachet + Grass</v>
          </cell>
          <cell r="T41" t="str">
            <v>Mix Alstroemeria ( 12 Inch ) 16     FF Sachet + Grass</v>
          </cell>
        </row>
        <row r="42">
          <cell r="A42">
            <v>3376</v>
          </cell>
          <cell r="B42" t="str">
            <v>Swapna Reddy</v>
          </cell>
          <cell r="C42">
            <v>9311244914</v>
          </cell>
          <cell r="D42" t="str">
            <v>C 1403, Ireo Victory Valley, Sec 67</v>
          </cell>
          <cell r="E42" t="str">
            <v>Badshahpur</v>
          </cell>
          <cell r="F42" t="str">
            <v>Monday</v>
          </cell>
          <cell r="G42" t="str">
            <v>9 AM - 12 PM</v>
          </cell>
          <cell r="H42">
            <v>1450</v>
          </cell>
          <cell r="I42">
            <v>362.5</v>
          </cell>
          <cell r="J42" t="str">
            <v>Bliss</v>
          </cell>
          <cell r="N42" t="str">
            <v>2  del of this cycle   -  0-cycles pmnt   Completed - Collect 0</v>
          </cell>
          <cell r="O42" t="e">
            <v>#N/A</v>
          </cell>
          <cell r="P42" t="e">
            <v>#N/A</v>
          </cell>
          <cell r="Q42" t="e">
            <v>#N/A</v>
          </cell>
          <cell r="R42" t="e">
            <v>#N/A</v>
          </cell>
          <cell r="S42" t="str">
            <v>Pur n P Car ( 14 Inch ) 16     FF Sachet + Grass</v>
          </cell>
          <cell r="T42" t="str">
            <v>P Asiatic ( 14 Inch ) 3     Grass</v>
          </cell>
        </row>
        <row r="43">
          <cell r="A43">
            <v>3370</v>
          </cell>
          <cell r="B43" t="str">
            <v>Veenu Pareek</v>
          </cell>
          <cell r="C43">
            <v>7042202246</v>
          </cell>
          <cell r="D43" t="str">
            <v>D-1202, Bestech Park View Spa Next, Sec 67</v>
          </cell>
          <cell r="E43" t="str">
            <v>Badshahpur</v>
          </cell>
          <cell r="F43" t="str">
            <v>Monday</v>
          </cell>
          <cell r="G43" t="str">
            <v>9 AM - 12 PM</v>
          </cell>
          <cell r="H43">
            <v>1450</v>
          </cell>
          <cell r="I43">
            <v>487.5</v>
          </cell>
          <cell r="J43" t="str">
            <v>Bliss</v>
          </cell>
          <cell r="K43" t="str">
            <v>Paytm From Aditi Pareek //</v>
          </cell>
          <cell r="N43" t="str">
            <v>1  del of this cycle   -  1-cycles pmnt   Pending - Collect 1450</v>
          </cell>
          <cell r="O43" t="e">
            <v>#N/A</v>
          </cell>
          <cell r="P43" t="str">
            <v>P n W Car ( 14 inch ) 16     FF Sachet + Grass</v>
          </cell>
          <cell r="Q43" t="str">
            <v>O Spray Daisy ( 15 inch ) 5     FF Sachet + Grass</v>
          </cell>
          <cell r="R43" t="str">
            <v>P asiatic ( 15 Inch ) 3     Grass</v>
          </cell>
          <cell r="S43" t="str">
            <v>Mix Car  ( 14 Inch ) 16     FF Sachet + Grass</v>
          </cell>
          <cell r="T43" t="str">
            <v>Mix Alstroemeria ( 12 Inch ) 16     FF Sachet + Grass</v>
          </cell>
        </row>
        <row r="44">
          <cell r="A44">
            <v>2259</v>
          </cell>
          <cell r="B44" t="str">
            <v>Shivani Kapoor</v>
          </cell>
          <cell r="C44">
            <v>9818659010</v>
          </cell>
          <cell r="D44" t="str">
            <v>94, Tattvam Villa</v>
          </cell>
          <cell r="E44" t="str">
            <v>Sohna Road 2</v>
          </cell>
          <cell r="F44" t="str">
            <v>Monday</v>
          </cell>
          <cell r="G44" t="str">
            <v>9 AM - 12 PM</v>
          </cell>
          <cell r="H44">
            <v>3950</v>
          </cell>
          <cell r="I44">
            <v>493.75</v>
          </cell>
          <cell r="J44" t="str">
            <v>Grace</v>
          </cell>
          <cell r="K44" t="str">
            <v>Monday n Friday// Payment from Sanjeev K (05/05) Skip 1 week (26/07) Skip 1 week (04/11) Skip this Friday (26/12) Skip 1 week (01/01/25) Skip tom (02/02) No delivery on Monday (01/03) Skip 14th n send on 17th (11/03) Now start from 7th July (24/06)</v>
          </cell>
          <cell r="M44" t="str">
            <v>No White</v>
          </cell>
          <cell r="N44" t="str">
            <v>6  del of this cycle   -  0-cycles pmnt   Completed - Collect 0</v>
          </cell>
          <cell r="O44" t="str">
            <v>Mix Alstroemeria ( 14 Inch ) 20     FF Sachet + Grass</v>
          </cell>
          <cell r="P44" t="str">
            <v>P n Y Spray Daisy ( 15 inch ) 6     FF Sachet + Grass</v>
          </cell>
          <cell r="Q44" t="str">
            <v>O Asiatic ( 15 Inch ) 4     Grass</v>
          </cell>
          <cell r="R44" t="str">
            <v>B Daisy ( 12 Inch ) 20     FF Sachet + grass</v>
          </cell>
          <cell r="S44" t="str">
            <v>Sunflower ( 12 Inch ) 4     FF Sachet + Grass</v>
          </cell>
          <cell r="T44" t="str">
            <v>Rajni ( 14 Inch ) 20     Grass</v>
          </cell>
        </row>
        <row r="45">
          <cell r="A45">
            <v>3340</v>
          </cell>
          <cell r="B45" t="str">
            <v>Divya -- Parsvanath</v>
          </cell>
          <cell r="C45">
            <v>9910395905</v>
          </cell>
          <cell r="D45" t="str">
            <v>T-6/602, Parsvanath Greenville</v>
          </cell>
          <cell r="E45" t="str">
            <v>Sohna Road 1</v>
          </cell>
          <cell r="F45" t="str">
            <v>Monday</v>
          </cell>
          <cell r="G45" t="str">
            <v>9 AM - 12 PM</v>
          </cell>
          <cell r="H45">
            <v>1450</v>
          </cell>
          <cell r="I45">
            <v>362.5</v>
          </cell>
          <cell r="J45" t="str">
            <v>Bliss</v>
          </cell>
          <cell r="K45" t="str">
            <v>Return-send next week (27/04) Skip tom and Start from next week (03/05) Paytm From Divya Mishra (03/05) No Lily (07/06)</v>
          </cell>
          <cell r="L45" t="str">
            <v>Lily</v>
          </cell>
          <cell r="N45" t="str">
            <v>2  del of this cycle   -  0-cycles pmnt   Completed - Collect 0</v>
          </cell>
          <cell r="O45" t="str">
            <v>Pur n P car ( 14 inch ) 16     FF Sachet + Grass</v>
          </cell>
          <cell r="P45" t="str">
            <v>Mix Spary Daisy 5     Grass</v>
          </cell>
          <cell r="Q45" t="str">
            <v>Y Asiatic ( 15 Inch ) 3     Grass</v>
          </cell>
          <cell r="R45" t="str">
            <v>P n W Glad ( 14 Inch ) 16     Grass</v>
          </cell>
          <cell r="S45" t="str">
            <v>Mix Carnation  ( 12 Inch ) 16     FF Sachet + Grass</v>
          </cell>
          <cell r="T45" t="str">
            <v>R n W Car ( 14 Inch ) 16     FF Sachet + Grass</v>
          </cell>
        </row>
        <row r="46">
          <cell r="A46" t="str">
            <v>B56117</v>
          </cell>
          <cell r="B46" t="str">
            <v>Manish -- Shivtech Spechemi</v>
          </cell>
          <cell r="C46">
            <v>9220454117</v>
          </cell>
          <cell r="D46" t="str">
            <v>Shivtek Spechemi Industries, 24, 4th Floor, M3M Corner Walk, Sec 74</v>
          </cell>
          <cell r="E46" t="str">
            <v>Badshahpur</v>
          </cell>
          <cell r="F46" t="str">
            <v>Monday</v>
          </cell>
          <cell r="G46" t="str">
            <v>By 10 AM</v>
          </cell>
          <cell r="H46">
            <v>360</v>
          </cell>
          <cell r="I46">
            <v>360</v>
          </cell>
          <cell r="J46" t="str">
            <v>Bouquet</v>
          </cell>
          <cell r="K46" t="str">
            <v>6 Sponge</v>
          </cell>
          <cell r="N46" t="str">
            <v>1  del of this cycle   -  0-cycles pmnt   In Process - Collect 0</v>
          </cell>
          <cell r="O46" t="e">
            <v>#N/A</v>
          </cell>
          <cell r="P46" t="e">
            <v>#N/A</v>
          </cell>
          <cell r="Q46" t="e">
            <v>#N/A</v>
          </cell>
          <cell r="R46" t="e">
            <v>#N/A</v>
          </cell>
          <cell r="S46" t="e">
            <v>#N/A</v>
          </cell>
          <cell r="T46" t="str">
            <v xml:space="preserve">Sponge  6     </v>
          </cell>
        </row>
        <row r="47">
          <cell r="A47">
            <v>1470</v>
          </cell>
          <cell r="B47" t="str">
            <v>Ankit Goyal</v>
          </cell>
          <cell r="C47">
            <v>9582406060</v>
          </cell>
          <cell r="D47" t="str">
            <v>A-402, La Lagune</v>
          </cell>
          <cell r="E47" t="str">
            <v>Golf Course Road</v>
          </cell>
          <cell r="F47" t="str">
            <v>Sunday</v>
          </cell>
          <cell r="G47" t="str">
            <v>9 AM - 12 PM</v>
          </cell>
          <cell r="H47">
            <v>1950</v>
          </cell>
          <cell r="I47">
            <v>487.5</v>
          </cell>
          <cell r="J47" t="str">
            <v>Joy</v>
          </cell>
          <cell r="K47" t="str">
            <v>Sunday to Thurs//Monday and Thursday// Car 1st(07/08) Referred by Divya Grg// always diff flowers(07/08) Skip 1 week(16/08) Sunday Missed-sent today(13/09) No Rose til it survives(26/09) Received 850 in advance today(16/11) Flowers returned-skip 1 weeK30/11) Skip 1 week(18/12) REturned-send next week(10/03) Skuip 1 week (25/10) Today Returned and hold for next 8 days (03/11) Skip 1 week (25/01) Skip 1 week (06/03) Return today Skip 1 week (20/04) Today Returned (08/06) Skip 1 week (05/07) Hold due to non payment (19/07) hOLD AS PAYMENT NOT RECEIVED(13/10) Skip this sunday (20/7) Skip 1 week (17/08) Skip tom (23/11) Skip 1 week (16/12) Skip tom (08/03) Skip 1 week(11/04) Skip 2 week (18/06) Today Returned (19/10) Skip 1 week (0111) Skip 1 week (07/11) Send one del tom (09/11) Skip tom (20/12)</v>
          </cell>
          <cell r="N47" t="str">
            <v>1  del of this cycle   -  1-cycles pmnt   Pending - Collect 1950</v>
          </cell>
          <cell r="O47" t="e">
            <v>#N/A</v>
          </cell>
          <cell r="P47" t="e">
            <v>#N/A</v>
          </cell>
          <cell r="Q47" t="e">
            <v>#N/A</v>
          </cell>
          <cell r="R47" t="e">
            <v>#N/A</v>
          </cell>
          <cell r="S47" t="e">
            <v>#N/A</v>
          </cell>
          <cell r="T47" t="str">
            <v>Pur n P Car ( 14 Inch ) 22     FF Sachet + Grass</v>
          </cell>
        </row>
        <row r="48">
          <cell r="A48">
            <v>2648</v>
          </cell>
          <cell r="B48" t="str">
            <v>Vandana Mukherji</v>
          </cell>
          <cell r="C48">
            <v>9971590453</v>
          </cell>
          <cell r="D48" t="str">
            <v>Maplebear Canadian Preschool, Near Gate No.2, CHD Avanue, Sec 71</v>
          </cell>
          <cell r="E48" t="str">
            <v>Badshahpur</v>
          </cell>
          <cell r="F48" t="str">
            <v>Monday</v>
          </cell>
          <cell r="G48" t="str">
            <v>9:30 Am to 2 PM</v>
          </cell>
          <cell r="H48">
            <v>999</v>
          </cell>
          <cell r="I48">
            <v>249.75</v>
          </cell>
          <cell r="J48" t="str">
            <v>Delight</v>
          </cell>
          <cell r="K48" t="str">
            <v>Shift to Monday (08/06) Today returned-skip 1 week (20/10) Paytm from Pragati Parashar (01/12) Today hold -send tom (26/01) Hold due to non payment (02/02) Skip 1 week (22/03)</v>
          </cell>
          <cell r="N48" t="str">
            <v>4  del of this cycle   -  0-cycles pmnt   Completed - Collect 0</v>
          </cell>
          <cell r="O48" t="str">
            <v>R n W  Car ( 14 inch )  9     FF Sachet + Grass</v>
          </cell>
          <cell r="P48" t="str">
            <v>Sunflower ( 14 Inch ) 2     Grass</v>
          </cell>
          <cell r="Q48" t="str">
            <v>Rajni ( 14 Inch ) 9     Grass</v>
          </cell>
          <cell r="R48" t="str">
            <v>R Asiatic ( 15 Inch ) 2     Grass</v>
          </cell>
          <cell r="S48" t="str">
            <v>Mix Alstroemeria ( 12 Inch ) 9     FF Sachet + Grass</v>
          </cell>
          <cell r="T48" t="str">
            <v>Y Spray Daisy ( 14 Inch ) 3     FF Sachet + Grass</v>
          </cell>
        </row>
        <row r="49">
          <cell r="A49">
            <v>2483</v>
          </cell>
          <cell r="B49" t="str">
            <v>Manav</v>
          </cell>
          <cell r="C49" t="str">
            <v>9810068329 // 9810024711</v>
          </cell>
          <cell r="D49" t="str">
            <v>Pugudunee Safaris, Unit 404, Baani , Sector 56</v>
          </cell>
          <cell r="E49" t="str">
            <v>Sector 56</v>
          </cell>
          <cell r="F49" t="str">
            <v>Monday</v>
          </cell>
          <cell r="G49" t="str">
            <v>9 AM - 12 PM</v>
          </cell>
          <cell r="H49">
            <v>1450</v>
          </cell>
          <cell r="I49">
            <v>362.5</v>
          </cell>
          <cell r="J49" t="str">
            <v>Bliss</v>
          </cell>
          <cell r="K49" t="str">
            <v>Referred By Nandita Jain // Received one more payment (21/08) Today returned-send tom (20/10) Neft from Kanha Earth Lodge (21/01) Today hold -send tom (26/01)</v>
          </cell>
          <cell r="N49" t="str">
            <v>1  del of this cycle   -  0-cycles pmnt   Completed - Collect 0</v>
          </cell>
          <cell r="O49" t="str">
            <v>P Spray Daisy ( 15 inch ) 3 Mix Alstroemeria ( 14 inch ) 7   FF Sachet + Grass</v>
          </cell>
          <cell r="P49" t="str">
            <v>P Eustoma 2 P n W Car ( 14 inch ) 7   Grass</v>
          </cell>
          <cell r="Q49" t="str">
            <v>Y Asiatic ( 15 Inch ) 2 P n W Glad ( 14 inch ) 7   Grass</v>
          </cell>
          <cell r="R49" t="str">
            <v>Sunflower ( 14 Inch ) 2 Mix Alstroemeria ( 12 Inch ) 7   FF Sachet + Grass</v>
          </cell>
          <cell r="S49" t="str">
            <v>P Spray Daisy ( 14 Inch ) 3 Pur n P Car ( 14 inch ) 7   FF Sachet + Grass</v>
          </cell>
          <cell r="T49" t="str">
            <v>P Asiatic ( 14 Inch ) 2 P n W Glad ( 14 Inch ) 7   Grass</v>
          </cell>
        </row>
        <row r="50">
          <cell r="A50">
            <v>3379</v>
          </cell>
          <cell r="B50" t="str">
            <v>One Science Nutrition</v>
          </cell>
          <cell r="C50">
            <v>8802385651</v>
          </cell>
          <cell r="D50" t="str">
            <v>Splendor tower 1, 8th Floor, Sec 58</v>
          </cell>
          <cell r="E50" t="str">
            <v>Ghata</v>
          </cell>
          <cell r="F50" t="str">
            <v>Monday</v>
          </cell>
          <cell r="G50" t="str">
            <v>9:30 Am to 2 PM</v>
          </cell>
          <cell r="H50">
            <v>1450</v>
          </cell>
          <cell r="I50">
            <v>362.5</v>
          </cell>
          <cell r="J50" t="str">
            <v>Bliss</v>
          </cell>
          <cell r="K50" t="str">
            <v>From Namita Chaudhary</v>
          </cell>
          <cell r="N50" t="str">
            <v>2  del of this cycle   -  0-cycles pmnt   In Process - Collect 0</v>
          </cell>
          <cell r="O50" t="e">
            <v>#N/A</v>
          </cell>
          <cell r="P50" t="e">
            <v>#N/A</v>
          </cell>
          <cell r="Q50" t="e">
            <v>#N/A</v>
          </cell>
          <cell r="R50" t="e">
            <v>#N/A</v>
          </cell>
          <cell r="S50" t="e">
            <v>#N/A</v>
          </cell>
          <cell r="T50" t="str">
            <v>Pur Eustoma ( 12 Inch ) 2 P n W Glad ( 14 Inch ) 7   FF Sachet + Grass</v>
          </cell>
        </row>
        <row r="51">
          <cell r="A51">
            <v>3278</v>
          </cell>
          <cell r="B51" t="str">
            <v>Manish -- Shivtech Spechemi</v>
          </cell>
          <cell r="C51">
            <v>9220454117</v>
          </cell>
          <cell r="D51" t="str">
            <v>Shivtek Spechemi Industries, 24, 4th Floor, M3M Corner Walk, Sec 74</v>
          </cell>
          <cell r="E51" t="str">
            <v>Badshahpur</v>
          </cell>
          <cell r="F51" t="str">
            <v>Monday</v>
          </cell>
          <cell r="G51" t="str">
            <v>By 10 AM</v>
          </cell>
          <cell r="H51">
            <v>6350</v>
          </cell>
          <cell r="I51">
            <v>1587.5</v>
          </cell>
          <cell r="J51" t="str">
            <v>Corporate</v>
          </cell>
          <cell r="K51" t="str">
            <v>Flowers for 6 Vases // Hold today (05/03) Skip tom (29/03)</v>
          </cell>
          <cell r="N51" t="str">
            <v>1  del of this cycle   -  0-cycles pmnt   In Process - Collect 0</v>
          </cell>
          <cell r="O51" t="str">
            <v>W Asiatic ( 15 inch ) 6 Sunflower  ( 15 inch )  6 P n W Glad ( 14 inch ) 24 3 Areca Palm + 2 Gypsola + 2 Limonium</v>
          </cell>
          <cell r="P51" t="str">
            <v>P Asiatic + G n Y Spray Daisy + Mix Car  6 + 8 + 24     3 Areca Palm + 2 Gypsola + 2 Limonium</v>
          </cell>
          <cell r="Q51" t="str">
            <v>O Asiatic ( 15 Inch ) 6 P n W Eustoma ( 14 Inch ) 6 Mix Alstroemeria ( 12 Inch ) 24 4 Areca palm + 2 Gypsola + 2 Limonium</v>
          </cell>
          <cell r="R51" t="str">
            <v>Y Asiatic + Sunflower + P n W Glad 6 + 6 + 24     4 Areca Palm + 2 Gypsola + 2 Limonkum</v>
          </cell>
          <cell r="S51" t="str">
            <v>P Asiatic ( 14 Inch ) 6 P n W Spray Daisy ( 14 Inch ) 8 Pur n P Car ( 14 inch ) 24 4 Ateca Palm + 2 Gypsola + 2 Limonium</v>
          </cell>
          <cell r="T51" t="str">
            <v>W Asiatic + Spray Daisy  6 + 8 Rajni 24   4 Areca Palm + 2 Gypsola + 2 Limonium</v>
          </cell>
        </row>
        <row r="52">
          <cell r="A52" t="str">
            <v>B56158</v>
          </cell>
          <cell r="B52" t="str">
            <v>Pallavi Bannerji</v>
          </cell>
          <cell r="C52">
            <v>9810347724</v>
          </cell>
          <cell r="D52" t="str">
            <v>Google Office , Sec 15</v>
          </cell>
          <cell r="E52" t="str">
            <v>Old Gurgaon</v>
          </cell>
          <cell r="F52" t="str">
            <v>Monday</v>
          </cell>
          <cell r="G52" t="str">
            <v>By 10 AM</v>
          </cell>
          <cell r="H52">
            <v>730</v>
          </cell>
          <cell r="I52">
            <v>730</v>
          </cell>
          <cell r="J52" t="str">
            <v>Bouquet</v>
          </cell>
          <cell r="K52" t="str">
            <v>12 Yel Gerbera in Tissue Wrap</v>
          </cell>
          <cell r="N52" t="str">
            <v>1  del of this cycle   -  1-cycles pmnt   Pending - Collect 730</v>
          </cell>
          <cell r="O52" t="e">
            <v>#N/A</v>
          </cell>
          <cell r="P52" t="e">
            <v>#N/A</v>
          </cell>
          <cell r="Q52" t="e">
            <v>#N/A</v>
          </cell>
          <cell r="R52" t="e">
            <v>#N/A</v>
          </cell>
          <cell r="S52" t="e">
            <v>#N/A</v>
          </cell>
          <cell r="T52" t="str">
            <v xml:space="preserve">Y Gerbera  12 Full Tissue Wrap    </v>
          </cell>
        </row>
        <row r="53">
          <cell r="A53">
            <v>2895</v>
          </cell>
          <cell r="B53" t="str">
            <v>Aditya -- Hexa Climate</v>
          </cell>
          <cell r="C53">
            <v>8351968881</v>
          </cell>
          <cell r="D53" t="str">
            <v>Hexa Climate Solutions , 8th Floor, Vatika Buisness Park</v>
          </cell>
          <cell r="E53" t="str">
            <v>Sohna Road 1</v>
          </cell>
          <cell r="F53" t="str">
            <v>Monday</v>
          </cell>
          <cell r="G53" t="str">
            <v>By 9 AM</v>
          </cell>
          <cell r="H53">
            <v>20000</v>
          </cell>
          <cell r="I53">
            <v>5000</v>
          </cell>
          <cell r="J53" t="str">
            <v>Corporate</v>
          </cell>
          <cell r="K53" t="str">
            <v>Visit -- 15 Square vase</v>
          </cell>
          <cell r="N53" t="str">
            <v>1  del of this cycle   -  0-cycles pmnt   In Process - Collect 0</v>
          </cell>
          <cell r="O53" t="str">
            <v xml:space="preserve">Square Arrangement 15     </v>
          </cell>
          <cell r="P53" t="str">
            <v xml:space="preserve">Square Arrangement 15     </v>
          </cell>
          <cell r="Q53" t="str">
            <v xml:space="preserve">Square Arrangement 15     </v>
          </cell>
          <cell r="R53" t="str">
            <v xml:space="preserve">Square Arrangement 15     </v>
          </cell>
          <cell r="S53" t="str">
            <v xml:space="preserve">Square Arrangement 15     </v>
          </cell>
          <cell r="T53" t="str">
            <v xml:space="preserve">Square arrangment 15     </v>
          </cell>
        </row>
        <row r="54">
          <cell r="A54">
            <v>588</v>
          </cell>
          <cell r="B54" t="str">
            <v>Akiksha Mohan</v>
          </cell>
          <cell r="C54">
            <v>9810145564</v>
          </cell>
          <cell r="D54" t="str">
            <v>D-601, Emaar Plam Drive</v>
          </cell>
          <cell r="E54" t="str">
            <v>Badshahpur</v>
          </cell>
          <cell r="F54" t="str">
            <v>Friday</v>
          </cell>
          <cell r="G54" t="str">
            <v>9 AM - 12 PM</v>
          </cell>
          <cell r="H54">
            <v>1600</v>
          </cell>
          <cell r="I54">
            <v>200</v>
          </cell>
          <cell r="J54" t="str">
            <v>Bloom</v>
          </cell>
          <cell r="K54"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54" t="str">
            <v>GULDAWARI</v>
          </cell>
          <cell r="N54" t="str">
            <v>1  del of this cycle   -  1-cycles pmnt   Pending - Collect 1600</v>
          </cell>
          <cell r="O54" t="str">
            <v>Pur n P car ( 14 inch ) 7     FF Sachet + Grass</v>
          </cell>
          <cell r="P54" t="str">
            <v>Rajni ( 14 inch ) 7     Grass</v>
          </cell>
          <cell r="Q54" t="e">
            <v>#N/A</v>
          </cell>
          <cell r="R54" t="str">
            <v>Y Spray Daisy ( 15 inch ) 2     FF sachet + Grass</v>
          </cell>
          <cell r="S54" t="str">
            <v>Mix Car  ( 14 Inch ) 7     FF Sachet + Grass</v>
          </cell>
          <cell r="T54" t="str">
            <v>Rajni ( 14 Inch ) 7     Grass</v>
          </cell>
        </row>
        <row r="55">
          <cell r="A55">
            <v>3377</v>
          </cell>
          <cell r="B55" t="str">
            <v>Deepti Bajaj Taneja</v>
          </cell>
          <cell r="C55">
            <v>9873402620</v>
          </cell>
          <cell r="D55" t="str">
            <v>J-001, Emaar Palm Drive, Sec 66</v>
          </cell>
          <cell r="E55" t="str">
            <v>Badshahpur</v>
          </cell>
          <cell r="F55" t="str">
            <v>Monday</v>
          </cell>
          <cell r="G55" t="str">
            <v>9 AM - 12 PM</v>
          </cell>
          <cell r="H55">
            <v>1950</v>
          </cell>
          <cell r="I55">
            <v>487.5</v>
          </cell>
          <cell r="J55" t="str">
            <v>Joy</v>
          </cell>
          <cell r="K55" t="str">
            <v>Premium Necxt (09/06)</v>
          </cell>
          <cell r="M55" t="str">
            <v>Premium Necxt (09/06)</v>
          </cell>
          <cell r="N55" t="str">
            <v>2  del of this cycle   -  0-cycles pmnt   Completed - Collect 0</v>
          </cell>
          <cell r="O55" t="e">
            <v>#N/A</v>
          </cell>
          <cell r="P55" t="e">
            <v>#N/A</v>
          </cell>
          <cell r="Q55" t="e">
            <v>#N/A</v>
          </cell>
          <cell r="R55" t="e">
            <v>#N/A</v>
          </cell>
          <cell r="S55" t="str">
            <v>Pur n P Car ( 14 Inch ) 22     FF Sachet + Grass</v>
          </cell>
          <cell r="T55" t="str">
            <v>P Asiatic ( 14 Inch ) 4     Grass</v>
          </cell>
        </row>
        <row r="56">
          <cell r="A56">
            <v>2850</v>
          </cell>
          <cell r="B56" t="str">
            <v>Namita Chaudhary -- Before 11:30 AM</v>
          </cell>
          <cell r="C56">
            <v>9810002910</v>
          </cell>
          <cell r="D56" t="str">
            <v>403-406, Global Credit Solutions Splendour Spectrum one, 403 -406, T-2- 4th Floor, Sec 58</v>
          </cell>
          <cell r="E56" t="str">
            <v>Ghata</v>
          </cell>
          <cell r="F56" t="str">
            <v>Monday</v>
          </cell>
          <cell r="G56" t="str">
            <v>10 am to 12 PM</v>
          </cell>
          <cell r="H56">
            <v>1450</v>
          </cell>
          <cell r="I56">
            <v>362.5</v>
          </cell>
          <cell r="J56" t="str">
            <v>Corporate</v>
          </cell>
          <cell r="K56" t="str">
            <v>Skip 1 week (13/08) Start from or after 13th Oct (30/09) Skip 1 week (19/10) Skip 2 week (09/12) Skip 1 week (18/01) Send on 27th (26/01) Hold till 4th Apr (27/03)  No Yel n White (06/04)</v>
          </cell>
          <cell r="L56" t="str">
            <v xml:space="preserve"> No Yel n White (06/04)</v>
          </cell>
          <cell r="N56" t="str">
            <v>3  del of this cycle   -  0-cycles pmnt   In Process - Collect 0</v>
          </cell>
          <cell r="O56" t="str">
            <v>Sunflower ( 15 inch ) 2 Mix Alstroemeria ( 14 inch ) 7   Grass</v>
          </cell>
          <cell r="P56" t="str">
            <v>P Spray Daisy ( 15 inch ) 3 P n W Car ( 14 inch ) 7   FF Sachet + Grass</v>
          </cell>
          <cell r="Q56" t="str">
            <v>O Asiatic ( 15 Inch ) 2 P n W Glad ( 14 inch ) 7   Grass</v>
          </cell>
          <cell r="R56" t="str">
            <v>Pur Eustoma ( 12 Inch ) 2 Mix Alstroemeria ( 12 Inch ) 7   FF Sachet + Grass</v>
          </cell>
          <cell r="S56" t="str">
            <v>Sunflower ( 12 Inch ) 2 Pur n P Car ( 14 inch ) 7   FF Sachet + Grass</v>
          </cell>
          <cell r="T56" t="str">
            <v>P Asiatic ( 14 Inch ) 2 P n Y Glad ( 14 Inch ) 7   Grass</v>
          </cell>
        </row>
        <row r="57">
          <cell r="A57" t="str">
            <v>B56161</v>
          </cell>
          <cell r="B57" t="str">
            <v xml:space="preserve">From Ramesh Kapoor </v>
          </cell>
          <cell r="C57" t="str">
            <v> 98718 88498‬</v>
          </cell>
          <cell r="D57" t="str">
            <v xml:space="preserve">A 24 The Icon </v>
          </cell>
          <cell r="E57" t="str">
            <v>FLD Phase 5</v>
          </cell>
          <cell r="F57" t="str">
            <v>Sunday</v>
          </cell>
          <cell r="G57" t="str">
            <v>By 10 AM</v>
          </cell>
          <cell r="H57">
            <v>720</v>
          </cell>
          <cell r="I57">
            <v>720</v>
          </cell>
          <cell r="J57" t="str">
            <v>Bouquet</v>
          </cell>
          <cell r="K57" t="str">
            <v>8 W Car + 5 B Daosy in Fron Tissue Wrap // Happy Birthday Dear Bhaiya,      May Sai bless you with happiness and good health always….   With Love,    Ramesh and Anu (14/06)</v>
          </cell>
          <cell r="N57" t="str">
            <v>1  del of this cycle   -  1-cycles pmnt   Pending - Collect 720</v>
          </cell>
          <cell r="O57" t="e">
            <v>#N/A</v>
          </cell>
          <cell r="P57" t="e">
            <v>#N/A</v>
          </cell>
          <cell r="Q57" t="e">
            <v>#N/A</v>
          </cell>
          <cell r="R57" t="e">
            <v>#N/A</v>
          </cell>
          <cell r="S57" t="e">
            <v>#N/A</v>
          </cell>
          <cell r="T57" t="str">
            <v xml:space="preserve">W Car + B Daosy 8 + 5 Front Walkin Tissue Wtap Message   </v>
          </cell>
        </row>
        <row r="58">
          <cell r="A58">
            <v>2697</v>
          </cell>
          <cell r="B58" t="str">
            <v>Sumana Sarkar</v>
          </cell>
          <cell r="C58">
            <v>9599968479</v>
          </cell>
          <cell r="D58" t="str">
            <v>C-201, Heritage One</v>
          </cell>
          <cell r="E58" t="str">
            <v>Ghata</v>
          </cell>
          <cell r="F58" t="str">
            <v>Monday</v>
          </cell>
          <cell r="G58" t="str">
            <v>9 AM to 2 PM</v>
          </cell>
          <cell r="H58">
            <v>1450</v>
          </cell>
          <cell r="I58">
            <v>362.5</v>
          </cell>
          <cell r="J58" t="str">
            <v>Bliss</v>
          </cell>
          <cell r="K58" t="str">
            <v>Hold due to non payment (02/02) Today Returned (09/02) Send on 11th Feb (10/02) HDTNP (09/03)</v>
          </cell>
          <cell r="N58" t="str">
            <v>4  del of this cycle   -  0-cycles pmnt   Completed - Collect 0</v>
          </cell>
          <cell r="O58" t="str">
            <v>Y Spray Daisy ( 15 inch ) 3 Mix Alstroemeria ( 14 inch ) 7   FF Sachet + Grass</v>
          </cell>
          <cell r="P58" t="str">
            <v>Sunflower ( 14 Inch ) 2 B Daisy ( 12 inch ) 7   Grass</v>
          </cell>
          <cell r="Q58" t="str">
            <v>O Asiatic ( 15 Inch ) 2 R n W Car ( 14 Inch ) 7   Grass</v>
          </cell>
          <cell r="R58" t="str">
            <v>Pur Eustoma ( 12 Inch ) 2 P n W Glad ( 14 Inch ) 7   FF Sachet + Grass</v>
          </cell>
          <cell r="S58" t="str">
            <v>P Spray Daisy ( 14 Inch ) 3 Mix Alstroemeria ( 12 Inch ) 7   FF Sachet + Grass</v>
          </cell>
          <cell r="T58" t="str">
            <v>Sunflower ( 12 Inch ) 2 Pur n P Car ( 14 Inch ) 7   FF Sachet + Grass</v>
          </cell>
        </row>
        <row r="59">
          <cell r="A59">
            <v>2429</v>
          </cell>
          <cell r="B59" t="str">
            <v>Pramila Dutt</v>
          </cell>
          <cell r="C59">
            <v>9811735242</v>
          </cell>
          <cell r="D59" t="str">
            <v>S1-C/201, Palm Drive</v>
          </cell>
          <cell r="E59" t="str">
            <v>Badshahpur</v>
          </cell>
          <cell r="F59" t="str">
            <v>Monday</v>
          </cell>
          <cell r="G59" t="str">
            <v>9 AM - 12 PM</v>
          </cell>
          <cell r="H59">
            <v>999</v>
          </cell>
          <cell r="I59">
            <v>249.75</v>
          </cell>
          <cell r="J59" t="str">
            <v>Delight</v>
          </cell>
          <cell r="K59" t="str">
            <v>Referred By Radhika Neeraj Rathod // Rajni next (03/03) Rajni next (28/03) today hold (23/06) No Blue Daisy (09/07) Only Asiatic (31/07) Hold due to non payment (13/10)</v>
          </cell>
          <cell r="L59" t="str">
            <v>Blue Daisy (09/07)</v>
          </cell>
          <cell r="M59" t="str">
            <v>Diff Flowers  now (29/09)</v>
          </cell>
          <cell r="N59" t="str">
            <v>2  del of this cycle   -  1-cycles pmnt   Pending - Collect 999</v>
          </cell>
          <cell r="O59" t="str">
            <v>Sunflower ( 15 inch ) 2     Grass</v>
          </cell>
          <cell r="P59" t="str">
            <v>Rajni 9     Grass</v>
          </cell>
          <cell r="Q59" t="e">
            <v>#N/A</v>
          </cell>
          <cell r="R59" t="str">
            <v>P asiatic ( 15 Inch ) 2     Grass</v>
          </cell>
          <cell r="S59" t="str">
            <v>P n W Glad ( 14 Inch ) 9     Grass</v>
          </cell>
          <cell r="T59" t="str">
            <v>R n W Car ( 14 Inch ) 9     FF Sachet + Grass</v>
          </cell>
        </row>
        <row r="60">
          <cell r="A60">
            <v>2356</v>
          </cell>
          <cell r="B60" t="str">
            <v>Madhuri Sakata</v>
          </cell>
          <cell r="C60">
            <v>9953086833</v>
          </cell>
          <cell r="D60" t="str">
            <v>D-17, Infocity, Phase-2, Sec-33, Gurgaon</v>
          </cell>
          <cell r="E60" t="str">
            <v>Sohna Road 2</v>
          </cell>
          <cell r="F60" t="str">
            <v>Monday</v>
          </cell>
          <cell r="G60" t="str">
            <v>By 9 AM</v>
          </cell>
          <cell r="H60">
            <v>5200</v>
          </cell>
          <cell r="I60">
            <v>1300</v>
          </cell>
          <cell r="J60" t="str">
            <v>Corporate</v>
          </cell>
          <cell r="K60" t="str">
            <v>Send on Sunday in evebing (06/06) Send tom (26/01)</v>
          </cell>
          <cell r="N60" t="str">
            <v>1  del of this cycle   -  0-cycles pmnt   In Process - Collect 0</v>
          </cell>
          <cell r="O60" t="str">
            <v xml:space="preserve">Arrangement 2     </v>
          </cell>
          <cell r="P60" t="str">
            <v xml:space="preserve">Arrangement 2     </v>
          </cell>
          <cell r="Q60" t="str">
            <v xml:space="preserve">Arrangement 2     </v>
          </cell>
          <cell r="R60" t="str">
            <v xml:space="preserve">Arrangement 2     </v>
          </cell>
          <cell r="S60" t="str">
            <v xml:space="preserve">Arrangement  2     </v>
          </cell>
          <cell r="T60" t="str">
            <v xml:space="preserve">Arrangement 2     </v>
          </cell>
        </row>
        <row r="61">
          <cell r="A61">
            <v>2848</v>
          </cell>
          <cell r="B61" t="str">
            <v>Mitu Agarwal</v>
          </cell>
          <cell r="C61">
            <v>9973582427</v>
          </cell>
          <cell r="D61" t="str">
            <v>T-E/103, Shree Vardhman Victoria</v>
          </cell>
          <cell r="E61" t="str">
            <v>Badshahpur</v>
          </cell>
          <cell r="F61" t="str">
            <v>Monday</v>
          </cell>
          <cell r="G61" t="str">
            <v>9 AM to 2 PM</v>
          </cell>
          <cell r="H61">
            <v>1450</v>
          </cell>
          <cell r="I61">
            <v>362.5</v>
          </cell>
          <cell r="J61" t="str">
            <v>Bliss</v>
          </cell>
          <cell r="K61" t="str">
            <v>Skip 2 week (28/08) Today Returned (13/09) Skip 1 week (23/10) Send replacement of Gerbera Today (30/11) No Del between 14th to 18th (11/12) No lilies (11/05) today Hold (25/05) Sent one del today (27/05)</v>
          </cell>
          <cell r="L61" t="str">
            <v>Lily</v>
          </cell>
          <cell r="N61" t="str">
            <v>1  del of this cycle   -  1-cycles pmnt   Pending - Collect 1450</v>
          </cell>
          <cell r="O61" t="str">
            <v>O Asiatic ( 15 inch )  3     Grass</v>
          </cell>
          <cell r="P61" t="str">
            <v>mix car  16     Grass</v>
          </cell>
          <cell r="Q61" t="str">
            <v>Mix Alstroemeria ( 14 Inch ) 16     FF Sachet + Grass</v>
          </cell>
          <cell r="R61" t="str">
            <v>P n W Spray Daisy ( 15 Inch ) 5     FF Sachet + Grass</v>
          </cell>
          <cell r="S61" t="str">
            <v>P n W Glad ( 14 Inch ) 16     Grass</v>
          </cell>
          <cell r="T61" t="str">
            <v>P Asiatic ( 14 Inch ) 3     Grass</v>
          </cell>
        </row>
        <row r="62">
          <cell r="A62">
            <v>2239</v>
          </cell>
          <cell r="B62" t="str">
            <v>Divyangana -- 1450 Pack</v>
          </cell>
          <cell r="C62">
            <v>9646541636</v>
          </cell>
          <cell r="D62" t="str">
            <v>400-A, Ground Floor, Sec 57, Sushant Lok-2, Block-G</v>
          </cell>
          <cell r="E62" t="str">
            <v>M G Road</v>
          </cell>
          <cell r="F62" t="str">
            <v>Monday</v>
          </cell>
          <cell r="G62" t="str">
            <v>9 AM - 12 PM</v>
          </cell>
          <cell r="H62">
            <v>999</v>
          </cell>
          <cell r="I62">
            <v>249.75</v>
          </cell>
          <cell r="J62" t="str">
            <v>Delight</v>
          </cell>
          <cell r="K62" t="str">
            <v>Skip 2 week (03/03) Skip Monday and send on Tuesday after 5 PM (20/03) Return today (23/06) Return today (20/10) Hold due to non payment (26/01) Hold due to non pauyment (02/02) Hold due to non payment (09/02) HDTNP(16/02) HFTNP (23/02)</v>
          </cell>
          <cell r="N62" t="str">
            <v>2  del of this cycle   -  1-cycles pmnt   Pending - Collect 999</v>
          </cell>
          <cell r="O62" t="str">
            <v>Pur n P car ( 14 inch ) 9     FF Sachet + Grass</v>
          </cell>
          <cell r="P62" t="str">
            <v>B Orchid  3     Grass</v>
          </cell>
          <cell r="Q62" t="str">
            <v>Mix Alstroemeria ( 14 Inch ) 9     FF Sachet + Grass</v>
          </cell>
          <cell r="R62" t="str">
            <v>P asiatic ( 15 Inch ) 2     Grass</v>
          </cell>
          <cell r="S62" t="str">
            <v>P n W Glad ( 14 Inch ) 9     Grass</v>
          </cell>
          <cell r="T62" t="str">
            <v>Pur n P Car ( 14 Inch ) 9     FF Sachet + Grass</v>
          </cell>
        </row>
        <row r="63">
          <cell r="A63">
            <v>2396</v>
          </cell>
          <cell r="B63" t="str">
            <v>Reema</v>
          </cell>
          <cell r="C63">
            <v>9811281042</v>
          </cell>
          <cell r="D63" t="str">
            <v>24/02, Emilia b2, Vatika City</v>
          </cell>
          <cell r="E63" t="str">
            <v>Sohna Road 1</v>
          </cell>
          <cell r="F63" t="str">
            <v>Monday</v>
          </cell>
          <cell r="G63" t="str">
            <v>10 AM to 2:30 PM</v>
          </cell>
          <cell r="H63">
            <v>1450</v>
          </cell>
          <cell r="I63">
            <v>362.5</v>
          </cell>
          <cell r="J63" t="str">
            <v>Bliss</v>
          </cell>
          <cell r="K63" t="str">
            <v>No Guldawari (16/02) Send 1 Del today (29/05) No Gerbera (16/09) After 11th (02/10) Paytm From Reema makkar (23/11)</v>
          </cell>
          <cell r="L63" t="str">
            <v>Guldawari n Gerbera</v>
          </cell>
          <cell r="N63" t="str">
            <v>1  del of this cycle   -  1-cycles pmnt   Pending - Collect 1450</v>
          </cell>
          <cell r="O63" t="e">
            <v>#N/A</v>
          </cell>
          <cell r="P63" t="e">
            <v>#N/A</v>
          </cell>
          <cell r="Q63" t="str">
            <v>R n W Car ( 14 Inch ) 9     FF sachet + Grass</v>
          </cell>
          <cell r="R63" t="str">
            <v>P asiatic ( 15 Inch ) 2     Grass</v>
          </cell>
          <cell r="S63" t="str">
            <v>P n W Glad ( 14 Inch ) 9     Grass</v>
          </cell>
          <cell r="T63" t="str">
            <v>Mix Alstroemeria ( 12 Inch ) 16     FF Sachet + Grass</v>
          </cell>
        </row>
        <row r="64">
          <cell r="A64">
            <v>1571</v>
          </cell>
          <cell r="B64" t="str">
            <v>Mohar Ray Dahiya</v>
          </cell>
          <cell r="C64">
            <v>9910019898</v>
          </cell>
          <cell r="D64" t="str">
            <v>Sovereign-3/201, Vatika City</v>
          </cell>
          <cell r="E64" t="str">
            <v>Sohna Road 1</v>
          </cell>
          <cell r="F64" t="str">
            <v>Friday</v>
          </cell>
          <cell r="G64" t="str">
            <v>9 AM to 2 PM</v>
          </cell>
          <cell r="H64">
            <v>1600</v>
          </cell>
          <cell r="I64">
            <v>200</v>
          </cell>
          <cell r="J64" t="str">
            <v>Bloom</v>
          </cell>
          <cell r="K64"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64" t="str">
            <v>BOP n GERBERA</v>
          </cell>
          <cell r="N64" t="str">
            <v>6  del of this cycle   -  0-cycles pmnt   Completed - Collect 0</v>
          </cell>
          <cell r="O64" t="str">
            <v>P n W Glad ( 14 inch ) 7     Grass</v>
          </cell>
          <cell r="P64" t="str">
            <v>P Spray Daisy ( 15 inch ) 2     FF Sachet + Grass</v>
          </cell>
          <cell r="Q64" t="str">
            <v>Mix Alstroemeria ( 14 Inch ) 7     FF Sachet + Grass</v>
          </cell>
          <cell r="R64" t="str">
            <v>Sunflower ( 14 Inch ) 2     FF Sachet + grass</v>
          </cell>
          <cell r="S64" t="str">
            <v>P Spray Daisy ( 14 Inch ) 2     FF Sachet + Grass</v>
          </cell>
          <cell r="T64" t="str">
            <v>Mix Alstroemeria ( 12 Inch ) 7     FF sachet + Grass</v>
          </cell>
        </row>
        <row r="65">
          <cell r="A65">
            <v>3309</v>
          </cell>
          <cell r="B65" t="str">
            <v>Tahzeeb Mohammad</v>
          </cell>
          <cell r="C65">
            <v>9986608474</v>
          </cell>
          <cell r="D65" t="str">
            <v>Natura Tower -1, N 2105, M3M Marina, Sec 68</v>
          </cell>
          <cell r="E65" t="str">
            <v>Badshahpur</v>
          </cell>
          <cell r="F65" t="str">
            <v>Friday</v>
          </cell>
          <cell r="G65" t="str">
            <v>9 AM - 12 PM</v>
          </cell>
          <cell r="H65">
            <v>2550</v>
          </cell>
          <cell r="I65">
            <v>318.75</v>
          </cell>
          <cell r="J65" t="str">
            <v>Bi weekly Customised</v>
          </cell>
          <cell r="K65" t="str">
            <v>Gerbera // Rajni // Sunflowers // Eustoma // Orchid // Skip Monday (15/05)</v>
          </cell>
          <cell r="N65" t="str">
            <v>3  del of this cycle   -  0-cycles pmnt   Completed - Collect 0</v>
          </cell>
          <cell r="O65" t="str">
            <v>Sunflower ( 15 inch ) 3     Grass</v>
          </cell>
          <cell r="P65" t="e">
            <v>#N/A</v>
          </cell>
          <cell r="Q65" t="str">
            <v>Sunflower ( 14 inch ) 3     Grass</v>
          </cell>
          <cell r="R65" t="str">
            <v>P n Y Gerbera ( 12 Inch ) 11     FF sachet + Grass</v>
          </cell>
          <cell r="S65" t="str">
            <v>Rajni ( 14 Inch ) 11     Grass</v>
          </cell>
          <cell r="T65" t="str">
            <v>Sunflower ( 12 Inch ) 3     FF sachet + Grass</v>
          </cell>
        </row>
        <row r="66">
          <cell r="A66">
            <v>2926</v>
          </cell>
          <cell r="B66" t="str">
            <v>Parul Sharma</v>
          </cell>
          <cell r="C66">
            <v>9971048493</v>
          </cell>
          <cell r="D66" t="str">
            <v>D-20, 2nd Floor, South City 2</v>
          </cell>
          <cell r="E66" t="str">
            <v>Nirvana Country</v>
          </cell>
          <cell r="F66" t="str">
            <v>Monday</v>
          </cell>
          <cell r="G66" t="str">
            <v>9:30 Am to 2 PM</v>
          </cell>
          <cell r="H66">
            <v>999</v>
          </cell>
          <cell r="I66">
            <v>249.75</v>
          </cell>
          <cell r="J66" t="str">
            <v>Delight</v>
          </cell>
          <cell r="K66" t="str">
            <v>Rajni Next (27/08) Hold for 15 days (30/11) Now send after 9th Mar (23/02) Replacement tom (27/05)</v>
          </cell>
          <cell r="M66" t="str">
            <v>Rajni next (27/08) Car next (07/09)</v>
          </cell>
          <cell r="N66" t="str">
            <v>3  del of this cycle   -  0-cycles pmnt   Completed - Collect 0</v>
          </cell>
          <cell r="O66" t="str">
            <v>Pur n P car ( 14 inch ) 9     FF Sachet + Grass</v>
          </cell>
          <cell r="P66" t="str">
            <v>rajni 9     Grass</v>
          </cell>
          <cell r="Q66" t="str">
            <v>O Spray Daisy ( 15 inch ) 3     FF Sachet + Grass</v>
          </cell>
          <cell r="R66" t="str">
            <v>R Asiatic ( 15 Inch ) 2     Grass</v>
          </cell>
          <cell r="S66" t="str">
            <v>Mix Glad  ( 14 Inch ) 9     FF Sachet + Grass</v>
          </cell>
          <cell r="T66" t="str">
            <v>R n W Car ( 14 Inch ) 9     FF Sachet + Grass</v>
          </cell>
        </row>
        <row r="67">
          <cell r="A67" t="str">
            <v>G-00011</v>
          </cell>
          <cell r="B67" t="str">
            <v>Nainsee Garg</v>
          </cell>
          <cell r="C67">
            <v>9810561802</v>
          </cell>
          <cell r="D67" t="str">
            <v>A67 Rosewood City Sector 49 Gurgaon 122001</v>
          </cell>
          <cell r="E67" t="str">
            <v>Nirvana Country</v>
          </cell>
          <cell r="F67" t="str">
            <v>Friday</v>
          </cell>
          <cell r="G67" t="str">
            <v>9 AM to 2 PM</v>
          </cell>
          <cell r="H67">
            <v>2350</v>
          </cell>
          <cell r="I67">
            <v>293.75</v>
          </cell>
          <cell r="J67" t="str">
            <v>Felicity</v>
          </cell>
          <cell r="K67" t="str">
            <v>No Glad (15/-5) Skip tom n sned next del on Sunday (29/05) Skip 1 week (03/07) Skip 1 week (12/11) Send tom (01/04) Sent one del today (09/04) Skip 1 week (11/05) Skip this cdel n send on Sunday (12/06)</v>
          </cell>
          <cell r="L67" t="str">
            <v>Glad</v>
          </cell>
          <cell r="N67" t="str">
            <v>4  del of this cycle   -  0-cycles pmnt   Completed - Collect 0</v>
          </cell>
          <cell r="O67" t="e">
            <v>#N/A</v>
          </cell>
          <cell r="P67" t="e">
            <v>#N/A</v>
          </cell>
          <cell r="Q67" t="e">
            <v>#N/A</v>
          </cell>
          <cell r="R67" t="e">
            <v>#N/A</v>
          </cell>
          <cell r="S67" t="str">
            <v>Pur Eustoma ( 12 Inch ) 3     FF Sachet + Grass</v>
          </cell>
          <cell r="T67" t="str">
            <v>Pur n P Car ( 14 Inch ) 11     FF sachet + Grass</v>
          </cell>
        </row>
        <row r="68">
          <cell r="B68" t="str">
            <v>Madhvi Jain</v>
          </cell>
          <cell r="C68">
            <v>9876110939</v>
          </cell>
          <cell r="D68" t="str">
            <v xml:space="preserve"> 599 A, Sushant Lok B Block, Phase 1, gurgaon</v>
          </cell>
          <cell r="H68">
            <v>1490</v>
          </cell>
          <cell r="J68" t="str">
            <v>Bouquet</v>
          </cell>
          <cell r="K68" t="str">
            <v>Today from ‪+91 98761 41936‬
5 pink aaiatic lilies and 8 spray daisies (white and pink mixed) 
in tissue wrap 
1490 received via Paytm
To
To: Madhvi Jain
Address - 599 A, Sushant Lok B Block, Phase 1, gurgaon
9876110939
Message: 
Wish you a very happy 60th Birthday! 
With love, 
Nitin, Preeti, Saksham, Shreya &amp; Prabhav</v>
          </cell>
          <cell r="T68" t="str">
            <v xml:space="preserve">Pink aaiatic lilies and  spray daisies (white and pink mixed)  5+8 Tissue wrap +Massage    </v>
          </cell>
        </row>
        <row r="69">
          <cell r="B69" t="str">
            <v>6364463165‬</v>
          </cell>
          <cell r="C69" t="str">
            <v> 6364 463 165‬</v>
          </cell>
          <cell r="D69" t="str">
            <v>A-635 block A, Sushant lok 1, near labernum drive</v>
          </cell>
          <cell r="G69" t="str">
            <v xml:space="preserve">between 7 To -8 Pm </v>
          </cell>
          <cell r="H69">
            <v>600</v>
          </cell>
          <cell r="J69" t="str">
            <v>Bouquet</v>
          </cell>
          <cell r="K69" t="str">
            <v>Today between 2-4  from 
‪+91 6364 463 165‬
15 Rajnigandha in brown wrap 
To
A-635 block A, Sushant lok 1, near labernum drive
Message-
Happy Anniversary to the world's best mom and partner ❤️</v>
          </cell>
          <cell r="T69" t="str">
            <v xml:space="preserve">Rajnigandha  15 Brown Wrap+Massage    </v>
          </cell>
        </row>
        <row r="70">
          <cell r="B70" t="str">
            <v>Harvinder</v>
          </cell>
          <cell r="C70">
            <v>9910019898</v>
          </cell>
          <cell r="D70" t="str">
            <v>3/2 Aster 2, Vatika City, Sector 49</v>
          </cell>
          <cell r="H70">
            <v>620</v>
          </cell>
          <cell r="J70" t="str">
            <v>Bouquet</v>
          </cell>
          <cell r="K70" t="str">
            <v>From Mohan Rai Dahiya today 
3 asiatic and 8 carnations in walkin tissue wrap to 
Message: 
Dear Harvinder, best wishes for your birthday . 
From 
Mrs Nirmal Dahiya. 
Address: Mrs Harvinder. 3/2 Aster 2, Vatika City, Sector 49
Contact no: mine (9910019898)</v>
          </cell>
          <cell r="T70" t="str">
            <v xml:space="preserve">Asiatic and carnations 3+8 Walkin tissue wrap+Massage    </v>
          </cell>
        </row>
        <row r="71">
          <cell r="B71" t="str">
            <v xml:space="preserve">Uttam singh negi </v>
          </cell>
          <cell r="C71" t="str">
            <v>85959 25200</v>
          </cell>
          <cell r="D71" t="str">
            <v>M2K Corporate Park Shopping Plaza</v>
          </cell>
          <cell r="G71" t="str">
            <v xml:space="preserve">Before 1 Pm </v>
          </cell>
          <cell r="H71">
            <v>300</v>
          </cell>
          <cell r="J71" t="str">
            <v>Bouquet</v>
          </cell>
          <cell r="K71" t="str">
            <v>Pls send a bouquet with 6 carnations in walkin tissue wrap to M2k — uttam singh negi — +91 85959 25200 before 1pm</v>
          </cell>
          <cell r="T71" t="str">
            <v xml:space="preserve">carnations 6 Walkin tissue wrap    </v>
          </cell>
        </row>
        <row r="72">
          <cell r="B72" t="str">
            <v>Komal - Abante</v>
          </cell>
          <cell r="C72">
            <v>1244042908</v>
          </cell>
          <cell r="D72" t="str">
            <v>Abante,C-301-02, 3rd Floor, M3M Urbana, Sec 67</v>
          </cell>
          <cell r="J72" t="str">
            <v>Pls Collect cheque</v>
          </cell>
          <cell r="K72" t="str">
            <v>Pls Collect cheque</v>
          </cell>
          <cell r="N72" t="str">
            <v>Pls Collect cheque</v>
          </cell>
          <cell r="T72" t="str">
            <v xml:space="preserve">Cheque 1     </v>
          </cell>
        </row>
        <row r="73">
          <cell r="B73" t="str">
            <v>Komal</v>
          </cell>
          <cell r="C73" t="str">
            <v>84470 40747</v>
          </cell>
          <cell r="D73" t="str">
            <v>Bptp centra 1</v>
          </cell>
          <cell r="G73" t="str">
            <v>Before 1:30pm</v>
          </cell>
          <cell r="H73">
            <v>850</v>
          </cell>
          <cell r="J73" t="str">
            <v>Bouquet</v>
          </cell>
          <cell r="K73" t="str">
            <v>Pls send 3 semi bloom pink Asiatic and 10 pink n white car ations in walkin tissue wrap to Komal — +91 84470 40747, bptp centra 1 today before 1:30pm</v>
          </cell>
          <cell r="T73" t="str">
            <v xml:space="preserve">semi bloom Maroon  Asiatic and pink n white carnations  3+10 Walkin tissue wrap    </v>
          </cell>
        </row>
        <row r="74">
          <cell r="B74" t="str">
            <v>Neha Sharma</v>
          </cell>
          <cell r="C74">
            <v>9560913222</v>
          </cell>
          <cell r="D74" t="str">
            <v>A101 DLF Pinnacle 
Golf course road
Phase 5, opposite American Express</v>
          </cell>
          <cell r="G74" t="str">
            <v>Before 4.30 Pm</v>
          </cell>
          <cell r="H74">
            <v>855</v>
          </cell>
          <cell r="J74" t="str">
            <v>Bouquet</v>
          </cell>
          <cell r="K74" t="str">
            <v>From Saurabh Sharma bouquet today 
To
Delivery today
Recipient: Neha Sharma
9560913222
A101 DLF Pinnacle 
Golf course road
Phase 5, opposite American Express
Ok. So let's have a bunch with:
White carnations 6x 
Shaded Purple 6x
Orchids 3x
In walkin tissue wrap</v>
          </cell>
          <cell r="T74" t="str">
            <v xml:space="preserve">White carnations+ 
Shaded Purple+
Orchids 6+6+3 walkin tissue wrap    </v>
          </cell>
        </row>
        <row r="75">
          <cell r="B75" t="str">
            <v>85274 62830</v>
          </cell>
          <cell r="C75" t="str">
            <v>85274 62830</v>
          </cell>
          <cell r="D75" t="str">
            <v>S1E 302 The Palm drive Sector 66 golf course extension road Gurgaon</v>
          </cell>
          <cell r="G75" t="str">
            <v>Before 4.30 Pm</v>
          </cell>
          <cell r="H75">
            <v>640</v>
          </cell>
          <cell r="J75" t="str">
            <v>Bouquet</v>
          </cell>
          <cell r="K75" t="str">
            <v>Send today to 
+91 85274 62830
8 yellow spray daisies with greens 
Collect 640</v>
          </cell>
          <cell r="N75" t="str">
            <v>Collect 640</v>
          </cell>
          <cell r="T75" t="str">
            <v xml:space="preserve">yellow spray daisies 8 Arica+Grass    </v>
          </cell>
        </row>
        <row r="76">
          <cell r="B76" t="str">
            <v>Ankit Goyal</v>
          </cell>
          <cell r="C76">
            <v>9582406060</v>
          </cell>
          <cell r="D76" t="str">
            <v>A-402, La Lagune</v>
          </cell>
          <cell r="G76" t="str">
            <v>Pending Flr</v>
          </cell>
          <cell r="H76" t="str">
            <v>Pending Flr</v>
          </cell>
          <cell r="I76" t="str">
            <v>Pending Flr</v>
          </cell>
          <cell r="J76" t="str">
            <v>Pending Flr</v>
          </cell>
          <cell r="K76" t="str">
            <v>Pending Flr</v>
          </cell>
          <cell r="L76" t="str">
            <v>Pending Flr</v>
          </cell>
          <cell r="M76" t="str">
            <v>Pending Flr</v>
          </cell>
          <cell r="N76" t="str">
            <v>Pending Flr</v>
          </cell>
          <cell r="T76" t="str">
            <v xml:space="preserve">Pur n P Car ( 14 Inch ) 10 Greens    </v>
          </cell>
        </row>
        <row r="77">
          <cell r="B77" t="str">
            <v>Supriya Icon</v>
          </cell>
          <cell r="C77" t="str">
            <v>96508 02228</v>
          </cell>
          <cell r="D77" t="str">
            <v>address b-31, icon dlf phase</v>
          </cell>
          <cell r="G77" t="str">
            <v>t by 7:30 pm</v>
          </cell>
          <cell r="H77">
            <v>700</v>
          </cell>
          <cell r="J77" t="str">
            <v>Bouquet</v>
          </cell>
          <cell r="T77" t="str">
            <v xml:space="preserve">Sunflower+B Dassiy 3+5 Tissu Wrap    </v>
          </cell>
        </row>
      </sheetData>
      <sheetData sheetId="15"/>
      <sheetData sheetId="16"/>
      <sheetData sheetId="17"/>
      <sheetData sheetId="18"/>
      <sheetData sheetId="19"/>
      <sheetData sheetId="20"/>
      <sheetData sheetId="21">
        <row r="2">
          <cell r="A2">
            <v>1615</v>
          </cell>
          <cell r="B2" t="str">
            <v>Nandini Kar-- After 5 PM</v>
          </cell>
          <cell r="C2">
            <v>9971911162</v>
          </cell>
          <cell r="D2" t="str">
            <v>T-37/301, Emerald Floors Premier, Adjacent to Worldmark, Sec 65</v>
          </cell>
          <cell r="E2" t="str">
            <v>Badshahpur</v>
          </cell>
          <cell r="F2" t="str">
            <v>Monday</v>
          </cell>
          <cell r="G2" t="str">
            <v>4 PM to 7 PM</v>
          </cell>
          <cell r="H2">
            <v>1450</v>
          </cell>
          <cell r="I2">
            <v>362.5</v>
          </cell>
          <cell r="J2" t="str">
            <v>Bliss</v>
          </cell>
          <cell r="K2" t="str">
            <v>No Rose n ORCHID (23/08) Start after 2nd July (08/06) Upgrade to bliss with 5 Deliveries (24/08) Skip 1 week (01/09) Returned today (20/10) 27th Del Missed (02/11) Returned and hold for 2 weeks (03/06)</v>
          </cell>
          <cell r="L2" t="str">
            <v>ROSE n ORCHID n BOP</v>
          </cell>
          <cell r="M2" t="str">
            <v>Upgrade to Bliss with 5 Deliveries</v>
          </cell>
          <cell r="N2" t="str">
            <v>4  del of this cycle   -  0-cycles pmnt   Completed - Collect 0</v>
          </cell>
          <cell r="O2" t="str">
            <v>Sunflower ( 14 Inch ) 2 P n W Car ( 14 inch ) 7   Grass</v>
          </cell>
          <cell r="P2" t="str">
            <v>O Asiatic ( 15 Inch ) 2 P n W Glad ( 14 inch ) 7   Grass</v>
          </cell>
          <cell r="Q2" t="str">
            <v>Pur Eustoma ( 12 Inch ) 2 B Daisy 7   FF Sachet + Grass</v>
          </cell>
          <cell r="R2" t="e">
            <v>#N/A</v>
          </cell>
          <cell r="S2" t="e">
            <v>#N/A</v>
          </cell>
          <cell r="T2" t="str">
            <v>Sunflower ( 12 Inch ) 2 Pur n P Car ( 14 Inch ) 7   FF Sachet + Grass</v>
          </cell>
        </row>
        <row r="3">
          <cell r="A3">
            <v>1262</v>
          </cell>
          <cell r="B3" t="str">
            <v>Manjusha Mishra</v>
          </cell>
          <cell r="C3">
            <v>9650513322</v>
          </cell>
          <cell r="D3" t="str">
            <v>T-12/001, CHD Avenue, Sec 71</v>
          </cell>
          <cell r="E3" t="str">
            <v>Badshahpur</v>
          </cell>
          <cell r="F3" t="str">
            <v>Monday</v>
          </cell>
          <cell r="G3" t="str">
            <v>4 Pm to 7 PM</v>
          </cell>
          <cell r="H3">
            <v>1950</v>
          </cell>
          <cell r="I3">
            <v>487.5</v>
          </cell>
          <cell r="J3" t="str">
            <v>Joy</v>
          </cell>
          <cell r="K3" t="str">
            <v>Rose/Guldawari/Lily/carnations(07/01) Skip 1 week(04/02) Send 1 stick extra next(12/02) send double del with rajni and 4 orchid with payment of 1 orchid of 60(11/03) Flower Food Next(16/04) NO RAJNI IN SUMMER(06/07) Send flowers on 6th instead of 5th(01/11)  Holy Change(16/03) NO GERBERA (01/08) 30th Del Returned (06/01) Skip 1 week (15/10) Send one del today and skip tom (29/03) Send tom n skip 0n 6th (04/04)</v>
          </cell>
          <cell r="L3" t="str">
            <v>GERBERA</v>
          </cell>
          <cell r="M3" t="str">
            <v xml:space="preserve"> Send tom n skip 0n 6th (04/04)</v>
          </cell>
          <cell r="N3" t="str">
            <v>3  del of this cycle   -  1-cycles pmnt   Pending - Collect 1950</v>
          </cell>
          <cell r="O3" t="str">
            <v>Sunflower ( 14 Inch ) 5     Grass</v>
          </cell>
          <cell r="P3" t="str">
            <v>R n W Car ( 14 Inch ) 22     FF Sachet + Grass</v>
          </cell>
          <cell r="Q3" t="str">
            <v>R Asiatic ( 15 Inch ) 4     Grass</v>
          </cell>
          <cell r="R3" t="str">
            <v>P n W Spray Daisy ( 14 Inch ) 7     FF Sachet + Grass</v>
          </cell>
          <cell r="S3" t="str">
            <v>P n W Glad ( 14 Inch ) 22     Grass</v>
          </cell>
          <cell r="T3" t="str">
            <v>Rajni ( 14 Inch ) 22     Grass</v>
          </cell>
        </row>
        <row r="4">
          <cell r="A4">
            <v>2014</v>
          </cell>
          <cell r="B4" t="str">
            <v>Remfry</v>
          </cell>
          <cell r="C4">
            <v>9811343209</v>
          </cell>
          <cell r="D4" t="str">
            <v>Remfry House,Millenium Plaza,Tower-A,8th Floor</v>
          </cell>
          <cell r="E4" t="str">
            <v>M G Road</v>
          </cell>
          <cell r="F4" t="str">
            <v>Monday</v>
          </cell>
          <cell r="G4" t="str">
            <v>By 9 AM</v>
          </cell>
          <cell r="H4">
            <v>4750</v>
          </cell>
          <cell r="I4">
            <v>1187.5</v>
          </cell>
          <cell r="J4" t="str">
            <v>Corporate</v>
          </cell>
          <cell r="K4" t="str">
            <v>2 Arrangements every week (21/11) Due to Mar end, Cycle broken (29/03) Skip 2 weeks (18/12) Next 2 deliveries on Tuesday (19/12) Hold today send tom (31/03) Send bill on Thursday to Samta Mehra Ma'am (20/01) Now Send Arrangement (27/01)</v>
          </cell>
          <cell r="N4" t="str">
            <v>2  del of this cycle   -  0-cycles pmnt   In Process - Collect 0</v>
          </cell>
          <cell r="O4" t="str">
            <v>W Asiatic ( 15 Inch) 6 Mix Spary Dsisy  10   Grass</v>
          </cell>
          <cell r="P4" t="str">
            <v>O n P Spray Daisy ( 15 inch ) 15 Mix Alstroemeria 30   FF Sachet + Grass</v>
          </cell>
          <cell r="Q4" t="str">
            <v>Sunflower ( 14 Inch ) 6 P n W Glad ( 14 Inch ) 30   Ff Sachet + 3 Limoniu,</v>
          </cell>
          <cell r="R4" t="str">
            <v>O Asiatic ( 14 inch ) 6 P n W Car ( 14 Inch ) 30   3 Gypsola + FF sachet</v>
          </cell>
          <cell r="S4" t="str">
            <v>Pur n P Eustoma( 12 Inch ) 8 Mix Alstroemeria ( 12 Inch ) 30   3 Limonium + FF aschet</v>
          </cell>
          <cell r="T4" t="str">
            <v>Sunflower ( 12 Inch ) 6 Rajni ( 14 inch ) 30   2 Gypsola + ff Sachet</v>
          </cell>
        </row>
        <row r="5">
          <cell r="A5">
            <v>1088</v>
          </cell>
          <cell r="B5" t="str">
            <v>Shivani Marwah</v>
          </cell>
          <cell r="C5">
            <v>9999028643</v>
          </cell>
          <cell r="D5" t="str">
            <v>The Legend apartments, tower D4, flat no 1302, sector 57</v>
          </cell>
          <cell r="E5" t="str">
            <v>Artemis</v>
          </cell>
          <cell r="F5" t="str">
            <v>Monday</v>
          </cell>
          <cell r="G5" t="str">
            <v>9 AM - 12 PM</v>
          </cell>
          <cell r="H5">
            <v>1450</v>
          </cell>
          <cell r="I5">
            <v>362.5</v>
          </cell>
          <cell r="J5" t="str">
            <v>Bliss</v>
          </cell>
          <cell r="K5" t="str">
            <v>Thursday and Monday//NO BOP(13/12Send out of Rose// Glad// Lily//Guldawari(06/02) Rose Next(09/02) Spray Daisy Next(22/12)Flower Food Next(17/07) Ski[ Rose petal next (04/09) Send on Thursday this week (01/01/2023)Flower Food necxt (14/04) Change to bliss after current cycle (27/04)</v>
          </cell>
          <cell r="N5" t="str">
            <v>4  del of this cycle   -  0-cycles pmnt   Completed - Collect 0</v>
          </cell>
          <cell r="O5" t="str">
            <v>Mix Spary Daisy 5     FF Sachet + Grass</v>
          </cell>
          <cell r="P5" t="str">
            <v>Y Asiatic ( 15 Inch ) 3     Grass</v>
          </cell>
          <cell r="Q5" t="str">
            <v>Sunflower ( 14 Inch ) 4     FF Sachet + Grass</v>
          </cell>
          <cell r="R5" t="str">
            <v>P n W Glad ( 14 Inch ) 16     FF Sachet + Grass</v>
          </cell>
          <cell r="S5" t="str">
            <v>Pur n P Car ( 14 Inch ) 16     FF Sachet + Grass</v>
          </cell>
          <cell r="T5" t="str">
            <v>Pur Eustom ( 12 Inch ) 3     FF Sachet + Grass</v>
          </cell>
        </row>
        <row r="6">
          <cell r="A6">
            <v>1638</v>
          </cell>
          <cell r="B6" t="str">
            <v>Arvinder</v>
          </cell>
          <cell r="C6">
            <v>9717121144</v>
          </cell>
          <cell r="D6" t="str">
            <v>T-15/1202, Close South</v>
          </cell>
          <cell r="E6" t="str">
            <v>Nirvana Country</v>
          </cell>
          <cell r="F6" t="str">
            <v>Monday</v>
          </cell>
          <cell r="G6" t="str">
            <v>9 AM - 12 PM</v>
          </cell>
          <cell r="H6">
            <v>1450</v>
          </cell>
          <cell r="I6">
            <v>362.5</v>
          </cell>
          <cell r="J6" t="str">
            <v>Bliss</v>
          </cell>
          <cell r="K6" t="str">
            <v>Asiatic//Rajni//Guldawari//Gladioli(19/02) Received another Paytm of 750 today(18/07) No Rose n Rajni (26/12) Hold today (20/05) Change Add (20/05) Skip 1 week (28/08)</v>
          </cell>
          <cell r="L6" t="str">
            <v>Rose n Rajni</v>
          </cell>
          <cell r="N6" t="str">
            <v>2  del of this cycle   -  0-cycles pmnt   Completed - Collect 0</v>
          </cell>
          <cell r="O6" t="str">
            <v>Rajni 9     Grass</v>
          </cell>
          <cell r="P6" t="str">
            <v>Mix Alstroemeria ( 14 Inch ) 9     FF sachet + Grass</v>
          </cell>
          <cell r="Q6" t="str">
            <v>P n W Glad ( 14 Inch ) 9     Grass</v>
          </cell>
          <cell r="R6" t="str">
            <v>P Asiatic ( 14 Inch ) 2     Grass</v>
          </cell>
          <cell r="S6" t="str">
            <v>R n W Car ( 14 Inch ) 16     FF Sachet + Grass</v>
          </cell>
          <cell r="T6" t="str">
            <v>B Daisy ( 12 Inch ) 16     Grass</v>
          </cell>
        </row>
        <row r="7">
          <cell r="A7" t="str">
            <v>G-00011</v>
          </cell>
          <cell r="B7" t="str">
            <v>Nainsee Garg</v>
          </cell>
          <cell r="C7">
            <v>9810561802</v>
          </cell>
          <cell r="D7" t="str">
            <v>A67 Rosewood City Sector 49 Gurgaon 122001</v>
          </cell>
          <cell r="E7" t="str">
            <v>Nirvana Country</v>
          </cell>
          <cell r="F7" t="str">
            <v>Friday</v>
          </cell>
          <cell r="G7" t="str">
            <v>9 AM to 2 PM</v>
          </cell>
          <cell r="H7">
            <v>2350</v>
          </cell>
          <cell r="I7">
            <v>293.75</v>
          </cell>
          <cell r="J7" t="str">
            <v>Felicity</v>
          </cell>
          <cell r="K7" t="str">
            <v>No Glad (15/-5) Skip tom n sned next del on Sunday (29/05) Skip 1 week (03/07) Skip 1 week (12/11) Send tom (01/04) Sent one del today (09/04) Skip 1 week (11/05) Skip this cdel n send on Sunday (12/06)</v>
          </cell>
          <cell r="L7" t="str">
            <v>Glad</v>
          </cell>
          <cell r="N7" t="str">
            <v>6  del of this cycle   -  0-cycles pmnt   Completed - Collect 0</v>
          </cell>
          <cell r="O7" t="e">
            <v>#N/A</v>
          </cell>
          <cell r="P7" t="e">
            <v>#N/A</v>
          </cell>
          <cell r="Q7" t="e">
            <v>#N/A</v>
          </cell>
          <cell r="R7" t="str">
            <v>Pur Eustoma ( 12 Inch ) 3     FF Sachet + Grass</v>
          </cell>
          <cell r="S7" t="str">
            <v>Pur n P Car ( 14 Inch ) 11     FF sachet + Grass</v>
          </cell>
          <cell r="T7" t="str">
            <v>B Daisy ( 12 Inch ) 11     Grass</v>
          </cell>
        </row>
        <row r="8">
          <cell r="A8">
            <v>3278</v>
          </cell>
          <cell r="B8" t="str">
            <v>Manish -- Shivtech Spechemi</v>
          </cell>
          <cell r="C8">
            <v>9220454117</v>
          </cell>
          <cell r="D8" t="str">
            <v>Shivtek Spechemi Industries, 24, 4th Floor, M3M Corner Walk, Sec 74</v>
          </cell>
          <cell r="E8" t="str">
            <v>Badshahpur</v>
          </cell>
          <cell r="F8" t="str">
            <v>Monday</v>
          </cell>
          <cell r="G8" t="str">
            <v>By 10 AM</v>
          </cell>
          <cell r="H8">
            <v>6350</v>
          </cell>
          <cell r="I8">
            <v>1587.5</v>
          </cell>
          <cell r="J8" t="str">
            <v>Corporate</v>
          </cell>
          <cell r="K8" t="str">
            <v>Flowers for 6 Vases // Hold today (05/03) Skip tom (29/03)</v>
          </cell>
          <cell r="N8" t="str">
            <v>2  del of this cycle   -  0-cycles pmnt   In Process - Collect 0</v>
          </cell>
          <cell r="O8" t="str">
            <v>P Asiatic + G n Y Spray Daisy + Mix Car  6 + 8 + 24     3 Areca Palm + 2 Gypsola + 2 Limonium</v>
          </cell>
          <cell r="P8" t="str">
            <v>O Asiatic ( 15 Inch ) 6 P n W Eustoma ( 14 Inch ) 6 Mix Alstroemeria ( 12 Inch ) 24 4 Areca palm + 2 Gypsola + 2 Limonium</v>
          </cell>
          <cell r="Q8" t="str">
            <v>Y Asiatic + Sunflower + P n W Glad 6 + 6 + 24     4 Areca Palm + 2 Gypsola + 2 Limonkum</v>
          </cell>
          <cell r="R8" t="str">
            <v>P Asiatic ( 14 Inch ) 6 P n W Spray Daisy ( 14 Inch ) 8 Pur n P Car ( 14 inch ) 24 4 Ateca Palm + 2 Gypsola + 2 Limonium</v>
          </cell>
          <cell r="S8" t="str">
            <v>W Asiatic + Spray Daisy  6 + 8 Rajni 24   4 Areca Palm + 2 Gypsola + 2 Limonium</v>
          </cell>
          <cell r="T8" t="str">
            <v>O Aiatic (14 Inch) 6 P Eustoma ( 12 Inch ) 6 P n W Car ( 12 Inch ) 24 4 Areca Palm +2 Gypsola + 2 Limonium</v>
          </cell>
        </row>
        <row r="9">
          <cell r="A9">
            <v>2041</v>
          </cell>
          <cell r="B9" t="str">
            <v>Sanjeev Saini</v>
          </cell>
          <cell r="C9">
            <v>8505816000</v>
          </cell>
          <cell r="D9" t="str">
            <v>H. No.951, Block -C, Sec 47</v>
          </cell>
          <cell r="E9" t="str">
            <v>Sohna Road 1</v>
          </cell>
          <cell r="F9" t="str">
            <v>Monday</v>
          </cell>
          <cell r="G9" t="str">
            <v>9 AM - 12 PM</v>
          </cell>
          <cell r="H9">
            <v>999</v>
          </cell>
          <cell r="I9">
            <v>249.75</v>
          </cell>
          <cell r="J9" t="str">
            <v>Delight</v>
          </cell>
          <cell r="K9" t="str">
            <v>Today Returned (27/02) Today Returned (19/08) Scossor Next (24/05)</v>
          </cell>
          <cell r="M9" t="str">
            <v>Scissor Next</v>
          </cell>
          <cell r="N9" t="str">
            <v>3  del of this cycle   -  0-cycles pmnt   In Process - Collect 0</v>
          </cell>
          <cell r="O9" t="str">
            <v>Sunflower ( 14 Inch ) 2     Grass</v>
          </cell>
          <cell r="P9" t="str">
            <v>Rajni ( 14 Inch ) 9     Grass</v>
          </cell>
          <cell r="Q9" t="str">
            <v>O Asiatic ( 15 Inch ) 2     Grass</v>
          </cell>
          <cell r="R9" t="str">
            <v>Mix Alstroemeria ( 12 Inch ) 9     FF Sachet + Grass</v>
          </cell>
          <cell r="S9" t="str">
            <v>Pur n P Car ( 14 Inch ) 9     FF Sachet + Grass</v>
          </cell>
          <cell r="T9" t="str">
            <v>P n W Gerbera ( 12 Inch ) 9     FF Sachet + Grass</v>
          </cell>
        </row>
        <row r="10">
          <cell r="A10">
            <v>2655</v>
          </cell>
          <cell r="B10" t="str">
            <v>Komal - Abante</v>
          </cell>
          <cell r="C10" t="str">
            <v>0124-4042908</v>
          </cell>
          <cell r="D10" t="str">
            <v>Abante,C-301-02, 3rd Floor, M3M Urbana, Sec 67</v>
          </cell>
          <cell r="E10" t="str">
            <v>Badshahpur</v>
          </cell>
          <cell r="F10" t="str">
            <v>Sunday</v>
          </cell>
          <cell r="G10" t="str">
            <v>By 12 PM</v>
          </cell>
          <cell r="H10">
            <v>2100</v>
          </cell>
          <cell r="I10">
            <v>525</v>
          </cell>
          <cell r="J10" t="str">
            <v>Corporate</v>
          </cell>
          <cell r="K10" t="str">
            <v>Day Changed to // Send tomorrow (02/10) Send tom (26/01)</v>
          </cell>
          <cell r="N10" t="str">
            <v>4  del of this cycle   -  0-cycles pmnt   In Process - Collect 0</v>
          </cell>
          <cell r="O10" t="str">
            <v xml:space="preserve">Arrangement 2     </v>
          </cell>
          <cell r="P10" t="str">
            <v xml:space="preserve">Arrangement 1     </v>
          </cell>
          <cell r="Q10" t="str">
            <v xml:space="preserve">Arrangement 1     </v>
          </cell>
          <cell r="R10" t="str">
            <v xml:space="preserve">Arrangement  1     </v>
          </cell>
          <cell r="S10" t="str">
            <v xml:space="preserve">Arrangement 1     </v>
          </cell>
          <cell r="T10" t="str">
            <v xml:space="preserve">Arrangement 1     </v>
          </cell>
        </row>
        <row r="11">
          <cell r="A11">
            <v>3353</v>
          </cell>
          <cell r="B11" t="str">
            <v>Niti Beri</v>
          </cell>
          <cell r="C11" t="str">
            <v xml:space="preserve"> 81304 32211</v>
          </cell>
          <cell r="D11" t="str">
            <v>Fountain Digital, 3rd Floor , AIHP Millennium, Plot number 92, 93, Phase IV, Udyog Vihar, Sector 18, Gurugram, Shahpur, Haryana 122015</v>
          </cell>
          <cell r="E11" t="str">
            <v>Old Gurgaon</v>
          </cell>
          <cell r="F11" t="str">
            <v>Monday</v>
          </cell>
          <cell r="G11" t="str">
            <v>Before 4 Pm</v>
          </cell>
          <cell r="H11">
            <v>1450</v>
          </cell>
          <cell r="I11">
            <v>362.5</v>
          </cell>
          <cell r="J11" t="str">
            <v>Bliss</v>
          </cell>
          <cell r="K11" t="str">
            <v>No Gerbera</v>
          </cell>
          <cell r="L11" t="str">
            <v>Gerbera</v>
          </cell>
          <cell r="N11" t="str">
            <v>2  del of this cycle   -  1-cycles pmnt   pending - Collect 1450</v>
          </cell>
          <cell r="O11" t="str">
            <v>P n W Glad ( 14 inch ) 16     Grass</v>
          </cell>
          <cell r="P11" t="str">
            <v>O Asiatic ( 15 Inch ) 3     Grass</v>
          </cell>
          <cell r="Q11" t="e">
            <v>#N/A</v>
          </cell>
          <cell r="R11" t="e">
            <v>#N/A</v>
          </cell>
          <cell r="S11" t="str">
            <v>Pur n P Car ( 14 Inch ) 16     FF Sachet + Grass</v>
          </cell>
          <cell r="T11" t="str">
            <v>Rajni ( 14 Inch ) 16     Grass</v>
          </cell>
        </row>
        <row r="12">
          <cell r="A12" t="str">
            <v>G-00062</v>
          </cell>
          <cell r="B12" t="str">
            <v>Simran Minhas</v>
          </cell>
          <cell r="C12">
            <v>8469572508</v>
          </cell>
          <cell r="D12" t="str">
            <v>H. No. 738 - B, 1st Floor, Flat no. 104, Block C, Near Morpankh Park, Sushant Lok -1</v>
          </cell>
          <cell r="E12" t="str">
            <v>M G Road</v>
          </cell>
          <cell r="F12" t="str">
            <v>Saturday</v>
          </cell>
          <cell r="G12" t="str">
            <v>9:30 Am to 2 PM</v>
          </cell>
          <cell r="H12">
            <v>1450</v>
          </cell>
          <cell r="I12">
            <v>362.5</v>
          </cell>
          <cell r="J12" t="str">
            <v>Bliss</v>
          </cell>
          <cell r="K12" t="str">
            <v>From Nenwani Divya Chhaga //  9537708826// Happy Birthday, Shimirannnn! 🌸
Just like these flowers, may you always bloom, shine, and never forget how beautiful you truly are. Wishing you a year filled with love, laughter, endless adventures, and all the happiness you deserve.
Have the most wonderful birthday! 💖
Love,
Divya 🐼  // Do Not count last del (20/06)</v>
          </cell>
          <cell r="N12" t="str">
            <v>1  del of this cycle   -  0-cycles pmnt   Completed - Collect 0</v>
          </cell>
          <cell r="O12" t="e">
            <v>#N/A</v>
          </cell>
          <cell r="P12" t="e">
            <v>#N/A</v>
          </cell>
          <cell r="Q12" t="e">
            <v>#N/A</v>
          </cell>
          <cell r="R12" t="e">
            <v>#N/A</v>
          </cell>
          <cell r="S12" t="e">
            <v>#N/A</v>
          </cell>
          <cell r="T12" t="str">
            <v>Y Asiatic ( 14 Inch ) 3 Message Message   FF Sachet + Grass</v>
          </cell>
        </row>
        <row r="13">
          <cell r="A13">
            <v>3387</v>
          </cell>
          <cell r="B13" t="str">
            <v>Farah Singh</v>
          </cell>
          <cell r="C13">
            <v>9810713138</v>
          </cell>
          <cell r="D13" t="str">
            <v>H. No. 4528, Hibiscus Lane, DLF City Phase 4</v>
          </cell>
          <cell r="E13" t="str">
            <v>DLF Phase 4</v>
          </cell>
          <cell r="F13" t="str">
            <v>Saturday</v>
          </cell>
          <cell r="G13" t="str">
            <v>9 AM to 2 PM</v>
          </cell>
          <cell r="H13">
            <v>1950</v>
          </cell>
          <cell r="I13">
            <v>487.5</v>
          </cell>
          <cell r="J13" t="str">
            <v>Joy</v>
          </cell>
          <cell r="N13" t="str">
            <v>3  del of this cycle   -  0-cycles pmnt   Completed - Collect 0</v>
          </cell>
          <cell r="O13" t="e">
            <v>#N/A</v>
          </cell>
          <cell r="P13" t="e">
            <v>#N/A</v>
          </cell>
          <cell r="Q13" t="e">
            <v>#N/A</v>
          </cell>
          <cell r="R13" t="e">
            <v>#N/A</v>
          </cell>
          <cell r="S13" t="e">
            <v>#N/A</v>
          </cell>
          <cell r="T13" t="str">
            <v>P n W Gerbera ( 12 Inch ) 22     FF Sachet + Grass</v>
          </cell>
        </row>
        <row r="14">
          <cell r="A14">
            <v>1583</v>
          </cell>
          <cell r="B14" t="str">
            <v>Sanjeev Saini</v>
          </cell>
          <cell r="C14">
            <v>8505816000</v>
          </cell>
          <cell r="D14" t="str">
            <v>H. No.951, Block -C, Sec 47</v>
          </cell>
          <cell r="E14" t="str">
            <v>Nirvana Country</v>
          </cell>
          <cell r="F14" t="str">
            <v>Monday</v>
          </cell>
          <cell r="G14" t="str">
            <v>9 AM to 2 PM</v>
          </cell>
          <cell r="H14">
            <v>999</v>
          </cell>
          <cell r="I14">
            <v>249.75</v>
          </cell>
          <cell r="J14" t="str">
            <v>Delight</v>
          </cell>
          <cell r="K14" t="str">
            <v>Today returned-send tom(15/08) Today Retirned (19/08) Today returned -send tom (26/01)</v>
          </cell>
          <cell r="N14" t="str">
            <v>2  del of this cycle   -  0-cycles pmnt   In Process - Collect 0</v>
          </cell>
          <cell r="O14" t="str">
            <v>Mix car 9     Grass</v>
          </cell>
          <cell r="P14" t="str">
            <v>Rajni ( 14 Inch ) 9     Grass</v>
          </cell>
          <cell r="Q14" t="str">
            <v>R Asiatic ( 15 Inch ) 2     Grass</v>
          </cell>
          <cell r="R14" t="str">
            <v>Mix Alstroemeria ( 12 Inch ) 9     FF Sachet + Grass</v>
          </cell>
          <cell r="S14" t="str">
            <v>Pur n P Car ( 14 Inch ) 9     FF Sachet + Grass</v>
          </cell>
          <cell r="T14" t="str">
            <v>P n W Gerbera ( 12 Inch ) 9     FF Sachet + Grass</v>
          </cell>
        </row>
        <row r="15">
          <cell r="A15">
            <v>1005</v>
          </cell>
          <cell r="B15" t="str">
            <v>Pradeep Jain</v>
          </cell>
          <cell r="C15">
            <v>9810013570</v>
          </cell>
          <cell r="D15" t="str">
            <v>Bacardi India,8th Floor, Time Tower</v>
          </cell>
          <cell r="E15" t="str">
            <v>M G Road</v>
          </cell>
          <cell r="F15" t="str">
            <v>Monday</v>
          </cell>
          <cell r="G15" t="str">
            <v>9:30 AM to 2 PM</v>
          </cell>
          <cell r="H15">
            <v>1450</v>
          </cell>
          <cell r="I15">
            <v>362.5</v>
          </cell>
          <cell r="J15" t="str">
            <v>Corporate</v>
          </cell>
          <cell r="K15"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15" t="str">
            <v>4  del of this cycle   -  0-cycles pmnt   In Process - Collect 0</v>
          </cell>
          <cell r="O15" t="str">
            <v>Asiatic  3     FF Sachet + Grass</v>
          </cell>
          <cell r="P15" t="str">
            <v>O Spray Daisy ( 15 inch ) 5     FF Sachet + Grass</v>
          </cell>
          <cell r="Q15" t="str">
            <v>P n W Glad ( 14 Inch )      Grass</v>
          </cell>
          <cell r="R15" t="str">
            <v>Sunflower ( 12 Inch ) 4     FF Sachet + Grass</v>
          </cell>
          <cell r="S15" t="str">
            <v>Pur n P Car ( 14 Inch ) 16     FF Sachet + Grass</v>
          </cell>
          <cell r="T15" t="str">
            <v>Pur Eustom ( 12 Inch ) 3     Grass</v>
          </cell>
        </row>
        <row r="16">
          <cell r="A16">
            <v>1618</v>
          </cell>
          <cell r="B16" t="str">
            <v>Nidhi Sharma Malhotra</v>
          </cell>
          <cell r="C16" t="str">
            <v>8130207722//9999016333</v>
          </cell>
          <cell r="D16" t="str">
            <v>Topaz-36, First Floor, Emaar Emerald Hills, Sec 65</v>
          </cell>
          <cell r="E16" t="str">
            <v>Badshahpur</v>
          </cell>
          <cell r="F16" t="str">
            <v>Friday</v>
          </cell>
          <cell r="G16" t="str">
            <v>9 AM to 2 PM</v>
          </cell>
          <cell r="H16">
            <v>3000</v>
          </cell>
          <cell r="I16">
            <v>375</v>
          </cell>
          <cell r="J16" t="str">
            <v>Charm</v>
          </cell>
          <cell r="K16"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16" t="str">
            <v>GLAD</v>
          </cell>
          <cell r="N16" t="str">
            <v>8  del of this cycle   -  0-cycles pmnt   Complimentary - Collect 0</v>
          </cell>
          <cell r="O16" t="str">
            <v>Rajni 15     Grass</v>
          </cell>
          <cell r="P16" t="str">
            <v>O Asiatic ( 15 Inch ) 3     Grass</v>
          </cell>
          <cell r="Q16" t="str">
            <v>W Oriental ( 15 inch ) 2     Grass</v>
          </cell>
          <cell r="R16" t="str">
            <v>Rajni ( 14 Inch ) 15     FF Sachet + Grass</v>
          </cell>
          <cell r="S16" t="str">
            <v>R n W Car ( 14 Inch ) 15     FF sachet + Grass</v>
          </cell>
          <cell r="T16" t="str">
            <v>G Anthurium 3     Grass</v>
          </cell>
        </row>
        <row r="17">
          <cell r="A17">
            <v>1908</v>
          </cell>
          <cell r="B17" t="str">
            <v>Subhadra Chatterjee</v>
          </cell>
          <cell r="C17">
            <v>8826368500</v>
          </cell>
          <cell r="D17" t="str">
            <v>Tower -E, Flat 10B, Central Park Resort</v>
          </cell>
          <cell r="E17" t="str">
            <v>Sohna Road 2</v>
          </cell>
          <cell r="F17" t="str">
            <v>Monday</v>
          </cell>
          <cell r="G17" t="str">
            <v>4 Pm to 7 PM</v>
          </cell>
          <cell r="H17">
            <v>1450</v>
          </cell>
          <cell r="I17">
            <v>362.5</v>
          </cell>
          <cell r="J17" t="str">
            <v>Bliss</v>
          </cell>
          <cell r="K17"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L17" t="str">
            <v>GULDAWARI n ROSE</v>
          </cell>
          <cell r="N17" t="str">
            <v>3  del of this cycle   -  1-cycles pmnt   Pending - Collect 1450</v>
          </cell>
          <cell r="O17" t="str">
            <v>Mix Car 16     Grass</v>
          </cell>
          <cell r="P17" t="str">
            <v>O n P Spray Daisy ( 15 inch ) 5     FF Sachet + Grass</v>
          </cell>
          <cell r="Q17" t="str">
            <v>Asiatic 3     FF Sachet + Grass</v>
          </cell>
          <cell r="R17" t="e">
            <v>#N/A</v>
          </cell>
          <cell r="S17" t="str">
            <v>Mix Alstroemeria ( 12 Inch ) 16     FF Sachet + Grass</v>
          </cell>
          <cell r="T17" t="str">
            <v>Pur Eustom ( 12 Inch ) 3     FF Sachet + Grass</v>
          </cell>
        </row>
        <row r="18">
          <cell r="A18">
            <v>1477</v>
          </cell>
          <cell r="B18" t="str">
            <v>Priyanka Agarwal</v>
          </cell>
          <cell r="C18">
            <v>9810745341</v>
          </cell>
          <cell r="D18" t="str">
            <v>624-A, Fairway East, Sector 65</v>
          </cell>
          <cell r="E18" t="str">
            <v>Badshahpur</v>
          </cell>
          <cell r="F18" t="str">
            <v>Friday</v>
          </cell>
          <cell r="G18" t="str">
            <v>9 AM to 2 PM</v>
          </cell>
          <cell r="H18">
            <v>1600</v>
          </cell>
          <cell r="I18">
            <v>200</v>
          </cell>
          <cell r="J18" t="str">
            <v>Bloom</v>
          </cell>
          <cell r="K18"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8" t="str">
            <v>5  del of this cycle   -  0-cycles pmnt   Completed - Collect 0</v>
          </cell>
          <cell r="O18" t="str">
            <v>Rajni ( 14 inch ) 7     Grass</v>
          </cell>
          <cell r="P18" t="e">
            <v>#N/A</v>
          </cell>
          <cell r="Q18" t="str">
            <v>B Daisy 12 Inch ) 7     FF Sachet + grass</v>
          </cell>
          <cell r="R18" t="str">
            <v>Sunflower ( 12 Inch ) 2     FF Sachet + Grass</v>
          </cell>
          <cell r="S18" t="str">
            <v>P n W Glad ( 14 Inch ) 7     Grass</v>
          </cell>
          <cell r="T18" t="str">
            <v>B Daisy ( 12 Inch ) 7     Grass</v>
          </cell>
        </row>
        <row r="19">
          <cell r="A19">
            <v>3223</v>
          </cell>
          <cell r="B19" t="str">
            <v>Gaurav Agarwal</v>
          </cell>
          <cell r="C19">
            <v>9650088297</v>
          </cell>
          <cell r="D19" t="str">
            <v>D-22/401, Ireo Victory Valley</v>
          </cell>
          <cell r="E19" t="str">
            <v>Badshahpur</v>
          </cell>
          <cell r="F19" t="str">
            <v>Monday</v>
          </cell>
          <cell r="G19" t="str">
            <v>9 AM - 12 PM</v>
          </cell>
          <cell r="H19">
            <v>1950</v>
          </cell>
          <cell r="I19">
            <v>487.5</v>
          </cell>
          <cell r="J19" t="str">
            <v>Joy</v>
          </cell>
          <cell r="K19" t="str">
            <v>One kInd // Skip 1 week (16/12) Skip 1 week (26/05)</v>
          </cell>
          <cell r="M19" t="str">
            <v>One Kind</v>
          </cell>
          <cell r="N19" t="str">
            <v>3  del of this cycle   -  0-cycles pmnt   Completed - Collect 0</v>
          </cell>
          <cell r="O19" t="str">
            <v>P n W Glad ( 14 inch ) 22     Grass</v>
          </cell>
          <cell r="P19" t="str">
            <v>O n P Spray Daisy ( 15 inch ) 7     FF Sachet + Grass</v>
          </cell>
          <cell r="Q19" t="str">
            <v>R n W car ( 14 Inch) 22     FF Sachet + Grass</v>
          </cell>
          <cell r="R19" t="str">
            <v>O Asiatic ( 14 inch ) 4     Grass</v>
          </cell>
          <cell r="S19" t="str">
            <v>Mix Alstroemeria ( 12 Inch ) 22     FF Sachet + Grass</v>
          </cell>
          <cell r="T19" t="str">
            <v>Rajni ( 14 Inch ) 22     Grass</v>
          </cell>
        </row>
        <row r="20">
          <cell r="A20">
            <v>3376</v>
          </cell>
          <cell r="B20" t="str">
            <v>Swapna Reddy</v>
          </cell>
          <cell r="C20">
            <v>9311244914</v>
          </cell>
          <cell r="D20" t="str">
            <v>C=1403, Ireo Victory Valley, Sec 67</v>
          </cell>
          <cell r="E20" t="str">
            <v>Badshahpur</v>
          </cell>
          <cell r="F20" t="str">
            <v>Monday</v>
          </cell>
          <cell r="G20" t="str">
            <v>9 AM - 12 PM</v>
          </cell>
          <cell r="H20">
            <v>1450</v>
          </cell>
          <cell r="I20">
            <v>362.5</v>
          </cell>
          <cell r="J20" t="str">
            <v>Bliss</v>
          </cell>
          <cell r="N20" t="str">
            <v>3  del of this cycle   -  0-cycles pmnt   Completed - Collect 0</v>
          </cell>
          <cell r="O20" t="e">
            <v>#N/A</v>
          </cell>
          <cell r="P20" t="e">
            <v>#N/A</v>
          </cell>
          <cell r="Q20" t="e">
            <v>#N/A</v>
          </cell>
          <cell r="R20" t="str">
            <v>Pur n P Car ( 14 Inch ) 16     FF Sachet + Grass</v>
          </cell>
          <cell r="S20" t="str">
            <v>P Asiatic ( 14 Inch ) 3     Grass</v>
          </cell>
          <cell r="T20" t="str">
            <v>P n W Glad ( 14 Inch ) 16     FF Sachet + Grass</v>
          </cell>
        </row>
        <row r="21">
          <cell r="A21">
            <v>2363</v>
          </cell>
          <cell r="B21" t="str">
            <v>Radhika</v>
          </cell>
          <cell r="C21">
            <v>9911818025</v>
          </cell>
          <cell r="D21" t="str">
            <v>Bacardi India, 805, 8th Floor, Time Tower</v>
          </cell>
          <cell r="E21" t="str">
            <v>M G Road</v>
          </cell>
          <cell r="F21" t="str">
            <v>Monday</v>
          </cell>
          <cell r="G21" t="str">
            <v>9 AM - 12 PM</v>
          </cell>
          <cell r="H21">
            <v>2750</v>
          </cell>
          <cell r="I21">
            <v>687.5</v>
          </cell>
          <cell r="J21" t="str">
            <v>Corporate</v>
          </cell>
          <cell r="K21" t="str">
            <v>Hold today send tom (31/03) Send tom (26/01)</v>
          </cell>
          <cell r="N21" t="str">
            <v>4  del of this cycle   -  0-cycles pmnt   In Process - Collect 0</v>
          </cell>
          <cell r="O21" t="str">
            <v>Asiatic  6     FF Sachet + Grass</v>
          </cell>
          <cell r="P21" t="str">
            <v>O n P Spray Daisy ( 15 inch ) 10     FF Sachet + Grass</v>
          </cell>
          <cell r="Q21" t="str">
            <v>Mix Alstroemeria ( 12 Inch ) 30     Grass</v>
          </cell>
          <cell r="R21" t="str">
            <v>Sunflower ( 12 Inch ) 7     Grass</v>
          </cell>
          <cell r="S21" t="str">
            <v>P n W Glad ( 14 Inch ) 32     Grass</v>
          </cell>
          <cell r="T21" t="str">
            <v>Pur n W Eustoma ( 12 Inch) 6     Grass</v>
          </cell>
        </row>
        <row r="22">
          <cell r="A22">
            <v>2733</v>
          </cell>
          <cell r="B22" t="str">
            <v>Ranjana Yadav -- 1450 Pack</v>
          </cell>
          <cell r="C22">
            <v>9810475164</v>
          </cell>
          <cell r="D22" t="str">
            <v>T-11/102, Vipul Greens</v>
          </cell>
          <cell r="E22" t="str">
            <v>Sohna Road 2</v>
          </cell>
          <cell r="F22" t="str">
            <v>Monday</v>
          </cell>
          <cell r="G22" t="str">
            <v>9 AM - 12 PM</v>
          </cell>
          <cell r="H22">
            <v>999</v>
          </cell>
          <cell r="I22">
            <v>249.75</v>
          </cell>
          <cell r="J22" t="str">
            <v>Delight</v>
          </cell>
          <cell r="K22" t="str">
            <v>From Kiran yadav // Skip Next (27/09)</v>
          </cell>
          <cell r="N22" t="str">
            <v>2  del of this cycle   -  0-cycles pmnt   Completed - Collect 0</v>
          </cell>
          <cell r="O22" t="str">
            <v>Rajni ( 14 inch ) 9     Grass</v>
          </cell>
          <cell r="P22" t="str">
            <v>O Asiatic ( 15 Inch ) 2     Grass</v>
          </cell>
          <cell r="Q22" t="str">
            <v>Mix Alstroemeria ( 12 Inch ) 9     FF sachet + grass</v>
          </cell>
          <cell r="R22" t="str">
            <v>P n W Glad ( 14 Inch ) 9     Grass</v>
          </cell>
          <cell r="S22" t="str">
            <v>Pur n P Car ( 14 Inch ) 9     FF Sachet + Grass</v>
          </cell>
          <cell r="T22" t="str">
            <v>B Daisy ( 12 Inch ) 9     Grass</v>
          </cell>
        </row>
        <row r="23">
          <cell r="A23">
            <v>3374</v>
          </cell>
          <cell r="B23" t="str">
            <v>Geeta Garg</v>
          </cell>
          <cell r="C23">
            <v>9971005977</v>
          </cell>
          <cell r="D23" t="str">
            <v>T-A/4C, Central Park Resorts, Sec 48</v>
          </cell>
          <cell r="E23" t="str">
            <v>Sohna Road 2</v>
          </cell>
          <cell r="F23" t="str">
            <v>Monday</v>
          </cell>
          <cell r="G23" t="str">
            <v>9:30 Am to 2 PM</v>
          </cell>
          <cell r="H23">
            <v>1450</v>
          </cell>
          <cell r="I23">
            <v>362.5</v>
          </cell>
          <cell r="J23" t="str">
            <v>Bliss</v>
          </cell>
          <cell r="K23" t="str">
            <v xml:space="preserve">From Pankaj Garg </v>
          </cell>
          <cell r="N23" t="str">
            <v>1  del of this cycle   -  1-cycles pmnt   Pending - Collect 1450</v>
          </cell>
          <cell r="O23" t="e">
            <v>#N/A</v>
          </cell>
          <cell r="P23" t="str">
            <v>P n W Car ( 14 Inch ) 16     FF Sachet + Grass</v>
          </cell>
          <cell r="Q23" t="str">
            <v>O Asiatic ( 15 Inch ) 3     Grass</v>
          </cell>
          <cell r="R23" t="str">
            <v>P n W Glad ( 14 Inch ) 16     Grass</v>
          </cell>
          <cell r="S23" t="str">
            <v>P n W Spray Daisy ( 14 Inch ) 5     FF Sachet + Grass</v>
          </cell>
          <cell r="T23" t="str">
            <v>Rajni ( 14 Inch ) 16     Grass</v>
          </cell>
        </row>
        <row r="24">
          <cell r="A24">
            <v>3232</v>
          </cell>
          <cell r="B24" t="str">
            <v>Aditya -- Hexa Climate</v>
          </cell>
          <cell r="C24">
            <v>8351968881</v>
          </cell>
          <cell r="D24" t="str">
            <v>Hexa Climate Solutions , 9th Floor, Vatika Buisness Park</v>
          </cell>
          <cell r="E24" t="str">
            <v>Sohna Road 1</v>
          </cell>
          <cell r="F24" t="str">
            <v>Monday</v>
          </cell>
          <cell r="G24" t="str">
            <v>By 9 AM</v>
          </cell>
          <cell r="H24">
            <v>20000</v>
          </cell>
          <cell r="I24">
            <v>5000</v>
          </cell>
          <cell r="J24" t="str">
            <v>Corporate</v>
          </cell>
          <cell r="K24" t="str">
            <v>Visit -- 15 Square vase</v>
          </cell>
          <cell r="N24" t="str">
            <v>3  del of this cycle   -  0-cycles pmnt   In Process - Collect 0</v>
          </cell>
          <cell r="O24" t="str">
            <v xml:space="preserve">Square Arrangement 15     </v>
          </cell>
          <cell r="P24" t="str">
            <v xml:space="preserve">Square Arrangement 15     </v>
          </cell>
          <cell r="Q24" t="str">
            <v xml:space="preserve">Square Arrangement 15     </v>
          </cell>
          <cell r="R24" t="str">
            <v xml:space="preserve">Square Arrangement 15     </v>
          </cell>
          <cell r="S24" t="str">
            <v xml:space="preserve">Square arrangment 15     </v>
          </cell>
          <cell r="T24" t="str">
            <v xml:space="preserve">Square Arrangement  15     </v>
          </cell>
        </row>
        <row r="25">
          <cell r="A25">
            <v>3368</v>
          </cell>
          <cell r="B25" t="str">
            <v>Sugandha Goyal</v>
          </cell>
          <cell r="C25">
            <v>9971681194</v>
          </cell>
          <cell r="D25" t="str">
            <v>T-15/3C, Central Park Resorts</v>
          </cell>
          <cell r="E25" t="str">
            <v>Sohna Road 2</v>
          </cell>
          <cell r="F25" t="str">
            <v>Monday</v>
          </cell>
          <cell r="G25" t="str">
            <v>9 AM - 12 PM</v>
          </cell>
          <cell r="H25">
            <v>2300</v>
          </cell>
          <cell r="I25">
            <v>287.5</v>
          </cell>
          <cell r="J25" t="str">
            <v>Felicity</v>
          </cell>
          <cell r="N25" t="str">
            <v>3  del of this cycle   -  1-cycles pmnt   Pending - Collect 2300</v>
          </cell>
          <cell r="O25" t="str">
            <v>P n W Car ( 14 inch ) 11     FF Sachet + Grass</v>
          </cell>
          <cell r="P25" t="str">
            <v>Rajni ( 14 Inch ) 7     Grass</v>
          </cell>
          <cell r="Q25" t="str">
            <v>P n Y Gerbera ( 12 Inch ) 11     FF sachet + Grass</v>
          </cell>
          <cell r="R25" t="str">
            <v>Pur n P Car ( 14 Inch ) 11     FF Sachet + Grass</v>
          </cell>
          <cell r="S25" t="str">
            <v>P n W Glad ( 14 Inch ) 11     Grass</v>
          </cell>
          <cell r="T25" t="str">
            <v>Rajni ( 14 Inch ) 11     Grass</v>
          </cell>
        </row>
        <row r="26">
          <cell r="A26">
            <v>2369</v>
          </cell>
          <cell r="B26" t="str">
            <v>Jaya - Bacardi</v>
          </cell>
          <cell r="D26" t="str">
            <v>Bacardi India,8th Floor, Time Tower</v>
          </cell>
          <cell r="E26" t="str">
            <v>M G Road</v>
          </cell>
          <cell r="F26" t="str">
            <v>Monday</v>
          </cell>
          <cell r="G26" t="str">
            <v>9 AM - 12 PM</v>
          </cell>
          <cell r="H26">
            <v>2750</v>
          </cell>
          <cell r="I26">
            <v>687.5</v>
          </cell>
          <cell r="J26" t="str">
            <v>Corporate</v>
          </cell>
          <cell r="K26" t="str">
            <v>Hold today send tom (31/03) Send tom (26/01)</v>
          </cell>
          <cell r="N26" t="str">
            <v>3  del of this cycle   -  0-cycles pmnt   In Process - Collect 0</v>
          </cell>
          <cell r="O26" t="str">
            <v>Asiatic  6     FF Sachet + Grass</v>
          </cell>
          <cell r="P26" t="str">
            <v>O n P Spray Daisy ( 15 inch ) 10     FF Sachet + Grass</v>
          </cell>
          <cell r="Q26" t="str">
            <v>Mix Alstroemeria ( 12 Inch ) 30     Grass</v>
          </cell>
          <cell r="R26" t="str">
            <v>Sunflower ( 12 Inch ) 7     Grass</v>
          </cell>
          <cell r="S26" t="str">
            <v>P n W Glad ( 14 Inch ) 32     Grass</v>
          </cell>
          <cell r="T26" t="str">
            <v>Pur n W Eustoma ( 12 Inch) 6     Grass</v>
          </cell>
        </row>
        <row r="27">
          <cell r="A27">
            <v>3370</v>
          </cell>
          <cell r="B27" t="str">
            <v>Veenu Pareek</v>
          </cell>
          <cell r="C27">
            <v>7042202246</v>
          </cell>
          <cell r="D27" t="str">
            <v>D-1202, Bestech Park View Spa Next, Sec 67</v>
          </cell>
          <cell r="E27" t="str">
            <v>Badshahpur</v>
          </cell>
          <cell r="F27" t="str">
            <v>Monday</v>
          </cell>
          <cell r="G27" t="str">
            <v>9 AM - 12 PM</v>
          </cell>
          <cell r="H27">
            <v>1450</v>
          </cell>
          <cell r="I27">
            <v>487.5</v>
          </cell>
          <cell r="J27" t="str">
            <v>Bliss</v>
          </cell>
          <cell r="K27" t="str">
            <v>Paytm From Aditi Pareek //</v>
          </cell>
          <cell r="N27" t="str">
            <v>2  del of this cycle   -  1-cycles pmnt   Pending - Collect 1450</v>
          </cell>
          <cell r="O27" t="str">
            <v>P n W Car ( 14 inch ) 16     FF Sachet + Grass</v>
          </cell>
          <cell r="P27" t="str">
            <v>O Spray Daisy ( 15 inch ) 5     FF Sachet + Grass</v>
          </cell>
          <cell r="Q27" t="str">
            <v>P asiatic ( 15 Inch ) 3     Grass</v>
          </cell>
          <cell r="R27" t="str">
            <v>Mix Car  ( 14 Inch ) 16     FF Sachet + Grass</v>
          </cell>
          <cell r="S27" t="str">
            <v>Mix Alstroemeria ( 12 Inch ) 16     FF Sachet + Grass</v>
          </cell>
          <cell r="T27" t="str">
            <v>Rajni ( 14 Inch ) 16     Grass</v>
          </cell>
        </row>
        <row r="28">
          <cell r="A28">
            <v>3330</v>
          </cell>
          <cell r="B28" t="str">
            <v>Radhika</v>
          </cell>
          <cell r="C28">
            <v>9911818025</v>
          </cell>
          <cell r="D28" t="str">
            <v>Bacardi India, 805, 8th Floor, Time Tower</v>
          </cell>
          <cell r="E28" t="str">
            <v>M G Road</v>
          </cell>
          <cell r="F28" t="str">
            <v>Monday</v>
          </cell>
          <cell r="G28" t="str">
            <v>9 AM - 12 PM</v>
          </cell>
          <cell r="H28">
            <v>2750</v>
          </cell>
          <cell r="I28">
            <v>687.5</v>
          </cell>
          <cell r="J28" t="str">
            <v>Corporate</v>
          </cell>
          <cell r="N28" t="str">
            <v>2  del of this cycle   -  0-cycles pmnt   In Process - Collect 0</v>
          </cell>
          <cell r="O28" t="str">
            <v>Asiatic  6     FF Sachet + Grass</v>
          </cell>
          <cell r="P28" t="str">
            <v>O n P Spray Daisy ( 15 inch ) 10     FF Sachet + Grass</v>
          </cell>
          <cell r="Q28" t="str">
            <v xml:space="preserve">Mix Alstroemeria ( 12 Inch ) 30     </v>
          </cell>
          <cell r="R28" t="str">
            <v>Sunflower ( 12 Inch ) 7     Grass</v>
          </cell>
          <cell r="S28" t="str">
            <v>P n W Glad ( 14 Inch ) 32     Grass</v>
          </cell>
          <cell r="T28" t="str">
            <v>Pur n W Eustoma ( 12 Inch) 6     Grass</v>
          </cell>
        </row>
        <row r="29">
          <cell r="A29">
            <v>3286</v>
          </cell>
          <cell r="B29" t="str">
            <v>Megha Attray</v>
          </cell>
          <cell r="C29">
            <v>9891818933</v>
          </cell>
          <cell r="D29" t="str">
            <v>Lemon Street -01, Malibu town</v>
          </cell>
          <cell r="E29" t="str">
            <v>Sohna Road</v>
          </cell>
          <cell r="F29" t="str">
            <v>Monday</v>
          </cell>
          <cell r="G29" t="str">
            <v>4 PM to 7PM</v>
          </cell>
          <cell r="H29">
            <v>2750</v>
          </cell>
          <cell r="I29">
            <v>687.5</v>
          </cell>
          <cell r="J29" t="str">
            <v>Elation</v>
          </cell>
          <cell r="K29" t="str">
            <v>Returned - not at home (13/04) Skip 1 week (03/05) Today Returned (25/05)</v>
          </cell>
          <cell r="N29" t="str">
            <v>4  del of this cycle   -  0-cycles pmnt   Completed - Collect 0</v>
          </cell>
          <cell r="O29" t="str">
            <v>P Asiatic 6     Grass</v>
          </cell>
          <cell r="P29" t="str">
            <v>O n P Spray Daisy ( 15 inch ) 10     FF Sachet + Grass</v>
          </cell>
          <cell r="Q29" t="str">
            <v>P n W Glad ( 14 Inch ) 32     Grass</v>
          </cell>
          <cell r="R29" t="str">
            <v>Pur n P Car ( 14 Inch ) 32     2 Gypsola + FF sachet</v>
          </cell>
          <cell r="S29" t="str">
            <v>Sunflower ( 12 Inch ) 7     2 Limonium + FF Sachet</v>
          </cell>
          <cell r="T29" t="str">
            <v>Pur n W Eustoma ( 12 Inch) 6     2 Gypsola + ff Sachet</v>
          </cell>
        </row>
        <row r="30">
          <cell r="A30">
            <v>381</v>
          </cell>
          <cell r="B30" t="str">
            <v xml:space="preserve">   Dr Mandeep Yadav 1 -- Before 12 PM</v>
          </cell>
          <cell r="C30" t="str">
            <v>9811090481 #</v>
          </cell>
          <cell r="D30" t="str">
            <v>Smile Plus Dental Clinic Shanti Nagar, Beriwala BaghBehind Mini Sectritariat Near Rajiv Chowk</v>
          </cell>
          <cell r="E30" t="str">
            <v>Sohna Road 2</v>
          </cell>
          <cell r="F30" t="str">
            <v>Monday</v>
          </cell>
          <cell r="G30" t="str">
            <v>9 AM - 12 PM</v>
          </cell>
          <cell r="H30">
            <v>999</v>
          </cell>
          <cell r="I30">
            <v>249.75</v>
          </cell>
          <cell r="J30" t="str">
            <v>Delight</v>
          </cell>
          <cell r="K30" t="str">
            <v>Never Send GLAD(02/08)Send always car(13/08)Replacement Tom(19/09)No Glad-next Daisy(14/01) Upgrade to 650 Plan after currsnet cycle(15/04) NO ASIATIC--Always Mix Car(10/06) FF Sold today(22/07) NO DAHELIA(02/03) Sending 1st June Flowers on 30th may(30/05/2020) Skip 1 week(05/11) Send 2 vase tom(21/12) 1 stick extra next(01/02) Skiped 1 week due to HOLI(29/03) Return-send tom(15/11) Replace grass(18/04)</v>
          </cell>
          <cell r="N30" t="str">
            <v>3  del of this cycle   -  1-cycles pmnt   Pending - Collect 999</v>
          </cell>
          <cell r="O30" t="str">
            <v>Y Car ( 14 inch ) 9     FF Sachet + Grass</v>
          </cell>
          <cell r="P30" t="str">
            <v>W Car ( 14 Inch ) 9     FF Sachet + Grass</v>
          </cell>
          <cell r="Q30" t="str">
            <v>Y Car ( 14 Inch ) 9     FF sachet + grass</v>
          </cell>
          <cell r="R30" t="str">
            <v>W Car ( 14 Inch ) 9     FF Sachet + Grass</v>
          </cell>
          <cell r="S30" t="str">
            <v>W Car ( 14 Inch ) 9     FF Sachet + Grass</v>
          </cell>
          <cell r="T30" t="str">
            <v>Y Car ( 14 Inch ) 9     FF Sachet + Grass</v>
          </cell>
        </row>
        <row r="31">
          <cell r="A31">
            <v>3309</v>
          </cell>
          <cell r="B31" t="str">
            <v>Tahzeeb Mohammad</v>
          </cell>
          <cell r="C31">
            <v>9986608474</v>
          </cell>
          <cell r="D31" t="str">
            <v>Natura Tower -1, N 2105, M3M Marina, Sec 68</v>
          </cell>
          <cell r="E31" t="str">
            <v>Badshahpur</v>
          </cell>
          <cell r="F31" t="str">
            <v>Friday</v>
          </cell>
          <cell r="G31" t="str">
            <v>9 AM - 12 PM</v>
          </cell>
          <cell r="H31">
            <v>2550</v>
          </cell>
          <cell r="I31">
            <v>318.75</v>
          </cell>
          <cell r="J31" t="str">
            <v>Bi weekly Customised</v>
          </cell>
          <cell r="K31" t="str">
            <v>Gerbera // Rajni // Sunflowers // Eustoma // Orchid // Skip Monday (15/05)</v>
          </cell>
          <cell r="N31" t="str">
            <v>5  del of this cycle   -  0-cycles pmnt   Completed - Collect 0</v>
          </cell>
          <cell r="O31" t="e">
            <v>#N/A</v>
          </cell>
          <cell r="P31" t="str">
            <v>Sunflower ( 14 inch ) 3     Grass</v>
          </cell>
          <cell r="Q31" t="str">
            <v>P n Y Gerbera ( 12 Inch ) 11     FF sachet + Grass</v>
          </cell>
          <cell r="R31" t="str">
            <v>Rajni ( 14 Inch ) 11     Grass</v>
          </cell>
          <cell r="S31" t="str">
            <v>Sunflower ( 12 Inch ) 3     FF sachet + Grass</v>
          </cell>
          <cell r="T31" t="str">
            <v>P n W Gerbera ( 12 Inch ) 11     Grass</v>
          </cell>
        </row>
        <row r="32">
          <cell r="A32">
            <v>380</v>
          </cell>
          <cell r="B32" t="str">
            <v xml:space="preserve">   Dr Mandeep Yadav 1 -- Before 12 PM</v>
          </cell>
          <cell r="C32" t="str">
            <v>9811090481 #</v>
          </cell>
          <cell r="D32" t="str">
            <v>Smile Plus Dental Clinic Shanti Nagar, Beriwala BaghBehind Mini Sectritariat Near Rajiv Chowk</v>
          </cell>
          <cell r="E32" t="str">
            <v>Sohna Road 2</v>
          </cell>
          <cell r="F32" t="str">
            <v>Monday</v>
          </cell>
          <cell r="G32" t="str">
            <v>9 AM - 12 PM</v>
          </cell>
          <cell r="H32">
            <v>999</v>
          </cell>
          <cell r="I32">
            <v>249.75</v>
          </cell>
          <cell r="J32" t="str">
            <v>Delight</v>
          </cell>
          <cell r="K32" t="str">
            <v>Never Send GLAD(02/08)Send always car(13/08)Glad next time(23/09)Replacement tom(04/10) Pls send daisy next and send 2 vase tom(31/12)No Glad-next Daisy(14/01) Upgrade to 650 Plan after currsnet cycle(15/04) NO ASIATIC--Always mixed car(10/06) FF Sold today(26/08) NO DAHELAI(02/03) Skip 1 week(06/11) Skiped 1 week due to HOLI(29/03) Return-send tom(15/11)</v>
          </cell>
          <cell r="N32" t="str">
            <v>3  del of this cycle   -  1-cycles pmnt   Pending - Collect 977</v>
          </cell>
          <cell r="O32" t="str">
            <v>P Car ( 14 inch ) 9     FF Sachet + Grass</v>
          </cell>
          <cell r="P32" t="str">
            <v>R Car ( 14 Inch ) 9     FF Sachet + Grass</v>
          </cell>
          <cell r="Q32" t="str">
            <v>Pur Car ( 14 Inch ) 9     FF sachet + grass</v>
          </cell>
          <cell r="R32" t="str">
            <v>P Car ( 14 Inch ) 9     FF Sachet + Grass</v>
          </cell>
          <cell r="S32" t="str">
            <v>R Car ( 14 Inch ) 9     FF Sachet + Grass</v>
          </cell>
          <cell r="T32" t="str">
            <v>Pur Car ( 14 Inch ) 9     FF Sachet + Grass</v>
          </cell>
        </row>
        <row r="33">
          <cell r="A33">
            <v>2672</v>
          </cell>
          <cell r="B33" t="str">
            <v>Anjali Chawla</v>
          </cell>
          <cell r="C33">
            <v>9810545028</v>
          </cell>
          <cell r="D33" t="str">
            <v>Cedar Drive 60, Malibu Town</v>
          </cell>
          <cell r="E33" t="str">
            <v>Sohna Road 1</v>
          </cell>
          <cell r="F33" t="str">
            <v>Monday</v>
          </cell>
          <cell r="G33" t="str">
            <v>9:30 Am to 2 PM</v>
          </cell>
          <cell r="H33">
            <v>999</v>
          </cell>
          <cell r="I33">
            <v>249.75</v>
          </cell>
          <cell r="J33" t="str">
            <v>Delight</v>
          </cell>
          <cell r="N33" t="str">
            <v>3  del of this cycle   -  0-cycles pmnt   Completed - Collect 0</v>
          </cell>
          <cell r="O33" t="str">
            <v>mix Car 9     Grass</v>
          </cell>
          <cell r="P33" t="str">
            <v>Mix Alstroemeria ( 14 Inch ) 9     FF Sachet + Grass</v>
          </cell>
          <cell r="Q33" t="str">
            <v>P asiatic ( 15 Inch ) 2     Grass</v>
          </cell>
          <cell r="R33" t="str">
            <v>P n W Glad ( 14 Inch ) 9     Grass</v>
          </cell>
          <cell r="S33" t="str">
            <v>R n W Car ( 14 Inch ) 9     FF Sachet + Grass</v>
          </cell>
          <cell r="T33" t="str">
            <v>Sunflower ( 12 Inch ) 2     FF Sachet + Grass</v>
          </cell>
        </row>
        <row r="34">
          <cell r="A34">
            <v>2926</v>
          </cell>
          <cell r="B34" t="str">
            <v>Parul Sharma</v>
          </cell>
          <cell r="C34">
            <v>9971048493</v>
          </cell>
          <cell r="D34" t="str">
            <v>D-20, 2nd Floor, South City 2</v>
          </cell>
          <cell r="E34" t="str">
            <v>Nirvana Country</v>
          </cell>
          <cell r="F34" t="str">
            <v>Monday</v>
          </cell>
          <cell r="G34" t="str">
            <v>9:30 Am to 2 PM</v>
          </cell>
          <cell r="H34">
            <v>999</v>
          </cell>
          <cell r="I34">
            <v>249.75</v>
          </cell>
          <cell r="J34" t="str">
            <v>Delight</v>
          </cell>
          <cell r="K34" t="str">
            <v>Rajni Next (27/08) Hold for 15 days (30/11) Now send after 9th Mar (23/02) Replacement tom (27/05)</v>
          </cell>
          <cell r="M34" t="str">
            <v>Rajni next (27/08) Car next (07/09)</v>
          </cell>
          <cell r="N34" t="str">
            <v>4  del of this cycle   -  0-cycles pmnt   Completed - Collect 0</v>
          </cell>
          <cell r="O34" t="str">
            <v>rajni 9     Grass</v>
          </cell>
          <cell r="P34" t="str">
            <v>O Spray Daisy ( 15 inch ) 3     FF Sachet + Grass</v>
          </cell>
          <cell r="Q34" t="str">
            <v>R Asiatic ( 15 Inch ) 2     Grass</v>
          </cell>
          <cell r="R34" t="str">
            <v>Mix Glad  ( 14 Inch ) 9     FF Sachet + Grass</v>
          </cell>
          <cell r="S34" t="str">
            <v>R n W Car ( 14 Inch ) 9     FF Sachet + Grass</v>
          </cell>
          <cell r="T34" t="str">
            <v>Rajni ( 14 Inch ) 9     Grass</v>
          </cell>
        </row>
        <row r="35">
          <cell r="A35">
            <v>950</v>
          </cell>
          <cell r="B35" t="str">
            <v>Radhika</v>
          </cell>
          <cell r="C35">
            <v>9911818025</v>
          </cell>
          <cell r="D35" t="str">
            <v>Bacardi India, 805, 8th Floor, Time Tower</v>
          </cell>
          <cell r="E35" t="str">
            <v>M G Road</v>
          </cell>
          <cell r="F35" t="str">
            <v>Monday</v>
          </cell>
          <cell r="G35" t="str">
            <v>9 AM - 12 PM</v>
          </cell>
          <cell r="H35">
            <v>2750</v>
          </cell>
          <cell r="I35">
            <v>687.5</v>
          </cell>
          <cell r="J35" t="str">
            <v>Corporate</v>
          </cell>
          <cell r="K35" t="str">
            <v>Skip 2 weeks(20/03) Today hold-send Tom(15/08) Returned-send tom(26/10) Today returned (19/08) Hold today send tom (31/03) Send tom (26/01)</v>
          </cell>
          <cell r="N35" t="str">
            <v>1  del of this cycle   -  0-cycles pmnt   In Process - Collect 0</v>
          </cell>
          <cell r="O35" t="str">
            <v>Asiatic  6     FF Sachet + Grass</v>
          </cell>
          <cell r="P35" t="str">
            <v>O n P Spray Daisy ( 15 inch ) 10     FF Sachet + Grass</v>
          </cell>
          <cell r="Q35" t="str">
            <v xml:space="preserve">Mix Alstroemeria ( 12 Inch ) 30     </v>
          </cell>
          <cell r="R35" t="str">
            <v>Sunflower ( 12 Inch ) 7     Grass</v>
          </cell>
          <cell r="S35" t="str">
            <v>P n W Glad ( 14 Inch ) 32     Grass</v>
          </cell>
          <cell r="T35" t="str">
            <v>Pur n W Eustoma ( 12 Inch) 6     Grass</v>
          </cell>
        </row>
        <row r="36">
          <cell r="A36">
            <v>435</v>
          </cell>
          <cell r="B36" t="str">
            <v>Rashee Sharma</v>
          </cell>
          <cell r="C36">
            <v>9911818025</v>
          </cell>
          <cell r="D36" t="str">
            <v>Bacardi, 8th Floor, Time Tower, M G Road</v>
          </cell>
          <cell r="E36" t="str">
            <v>Sohna Road 1</v>
          </cell>
          <cell r="F36" t="str">
            <v>Monday</v>
          </cell>
          <cell r="G36" t="str">
            <v>9 AM - 12 PM</v>
          </cell>
          <cell r="H36">
            <v>1450</v>
          </cell>
          <cell r="I36">
            <v>362.5</v>
          </cell>
          <cell r="J36" t="str">
            <v>Corporate</v>
          </cell>
          <cell r="K36" t="str">
            <v>Hold today-send tom(02/09) Today Returned (20/08) Hold toda send tom (31/03) Send tom (26/01)</v>
          </cell>
          <cell r="N36" t="str">
            <v>1  del of this cycle   -  0-cycles pmnt   In Process - Collect 0</v>
          </cell>
          <cell r="O36" t="str">
            <v>Asiatic  3     FF Sachet + Grass</v>
          </cell>
          <cell r="P36" t="str">
            <v>O Spray Daisy ( 15 inch ) 5     FF Sachet + Grass</v>
          </cell>
          <cell r="Q36" t="str">
            <v>Mix Alstroemeria ( 12 Inch ) 15     FF Sachet + Grass</v>
          </cell>
          <cell r="R36" t="str">
            <v>Sunflower ( 12 Inch ) 4     Grass</v>
          </cell>
          <cell r="S36" t="str">
            <v>P n W Glad ( 14 Inch ) 16     Grass</v>
          </cell>
          <cell r="T36" t="str">
            <v>Pur Eustom ( 12 Inch ) 3     FF Sachet + Grass</v>
          </cell>
        </row>
        <row r="37">
          <cell r="A37">
            <v>3249</v>
          </cell>
          <cell r="B37" t="str">
            <v>Nupur Bhatnagar</v>
          </cell>
          <cell r="C37">
            <v>9910985656</v>
          </cell>
          <cell r="D37" t="str">
            <v>A-001, Park View City 1</v>
          </cell>
          <cell r="E37" t="str">
            <v>Sohna Road 2</v>
          </cell>
          <cell r="F37" t="str">
            <v>Monday</v>
          </cell>
          <cell r="G37" t="str">
            <v>9 AM - 12 PM</v>
          </cell>
          <cell r="H37">
            <v>1450</v>
          </cell>
          <cell r="I37">
            <v>362.5</v>
          </cell>
          <cell r="J37" t="str">
            <v>Bliss</v>
          </cell>
          <cell r="K37" t="str">
            <v>Hold due to non payment (19/01) HDTNP (16/03) No Spray Daisy (14/06)</v>
          </cell>
          <cell r="L37" t="str">
            <v>Spray Daisy</v>
          </cell>
          <cell r="N37" t="str">
            <v>3  del of this cycle   -  0-cycles pmnt   Completed - Collect 0</v>
          </cell>
          <cell r="O37" t="str">
            <v>B Orchid  5     Grass</v>
          </cell>
          <cell r="P37" t="str">
            <v>P n W Glad ( 14 Inch ) 16     Grass</v>
          </cell>
          <cell r="Q37" t="str">
            <v>O Asiatic ( 15 Inch ) 3     Grass</v>
          </cell>
          <cell r="R37" t="str">
            <v>P n W Spray Daisy ( 14 Inch ) 5     FF Sachet + Grass</v>
          </cell>
          <cell r="S37" t="str">
            <v>Pur n P Car ( 14 Inch ) 16     FF Sachet + Grass</v>
          </cell>
          <cell r="T37" t="str">
            <v>Rajni ( 14 Inch ) 16     Grass</v>
          </cell>
        </row>
        <row r="38">
          <cell r="A38">
            <v>2620</v>
          </cell>
          <cell r="B38" t="str">
            <v>Bhavna Newle-- Before 12 PM</v>
          </cell>
          <cell r="C38" t="str">
            <v>98736 93388</v>
          </cell>
          <cell r="D38" t="str">
            <v xml:space="preserve">37/101 Heritage City </v>
          </cell>
          <cell r="E38" t="str">
            <v>M G Road</v>
          </cell>
          <cell r="F38" t="str">
            <v>Monday</v>
          </cell>
          <cell r="G38" t="str">
            <v>Before 12 PM</v>
          </cell>
          <cell r="H38">
            <v>4160</v>
          </cell>
          <cell r="I38">
            <v>1040</v>
          </cell>
          <cell r="J38" t="str">
            <v>Customized</v>
          </cell>
          <cell r="K38"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38" t="str">
            <v>Skip 9th n 15th July (29/06)</v>
          </cell>
          <cell r="N38" t="str">
            <v>3  del of this cycle   -  0-cycles pmnt   Completed - Collect 0</v>
          </cell>
          <cell r="O38" t="str">
            <v>P n Y Spray Daisy ( 15 inch ) 16     2 Gypsola + FF sachet</v>
          </cell>
          <cell r="P38" t="str">
            <v>O n P Spray Daisy ( 15 inch ) 16     2 Limonium + FF Sachet</v>
          </cell>
          <cell r="Q38" t="str">
            <v>P n W Spray Daisy ( 15 Inch ) 16     2 Gypsola + FF Sachet</v>
          </cell>
          <cell r="R38" t="str">
            <v>P n Y Spray Daisy ( 14 Inch ) 16     2 Limonium + FF Sachet</v>
          </cell>
          <cell r="S38" t="str">
            <v>Y n W Spray Daisy ( 14 Inch ) 16     2 Gypsola + FF sachet</v>
          </cell>
          <cell r="T38" t="str">
            <v>P n W Spray Daisy 16     2 Limonoum + FF sachet</v>
          </cell>
        </row>
        <row r="39">
          <cell r="A39">
            <v>2571</v>
          </cell>
          <cell r="B39" t="str">
            <v>Ghanendra</v>
          </cell>
          <cell r="C39">
            <v>9818829144</v>
          </cell>
          <cell r="D39" t="str">
            <v>H. No. 2, Bauganville Marg, First Floor, DLF Phase 2</v>
          </cell>
          <cell r="E39" t="str">
            <v>DLF Phase 2</v>
          </cell>
          <cell r="F39" t="str">
            <v>Monday</v>
          </cell>
          <cell r="G39" t="str">
            <v>9 AM - 12 PM</v>
          </cell>
          <cell r="H39">
            <v>1450</v>
          </cell>
          <cell r="I39">
            <v>362.5</v>
          </cell>
          <cell r="J39" t="str">
            <v>Bliss</v>
          </cell>
          <cell r="K39" t="str">
            <v>Complimentary Always // Day changed  to Monday (09/08) Today hold n send tom (26/010</v>
          </cell>
          <cell r="N39" t="str">
            <v>2  del of this cycle   -  0-cycles pmnt   Complimentary - Collect 0</v>
          </cell>
          <cell r="O39" t="str">
            <v>Sunflower ( 14 Inch ) 2 Rajni 7   Grass</v>
          </cell>
          <cell r="P39" t="str">
            <v>O Asiatic ( 15 Inch ) 2 P n W Glad ( 14 inch ) 7   Grass</v>
          </cell>
          <cell r="Q39" t="str">
            <v>Pur Eustoma ( 12 Inch ) 2 P n W Car ( 14 Inch ) 7   FF Sachet + Grass</v>
          </cell>
          <cell r="R39" t="str">
            <v>Sunflower ( 12 Inch ) 4     FF Sachet + Grass</v>
          </cell>
          <cell r="S39" t="str">
            <v>P n W  Spray Daisy ( 14 Inch ) 5     FF Sachet + Grass</v>
          </cell>
          <cell r="T39" t="str">
            <v>Y Asiatic ( 14 Inch ) 3     Grass</v>
          </cell>
        </row>
        <row r="40">
          <cell r="A40">
            <v>2895</v>
          </cell>
          <cell r="B40" t="str">
            <v>Aditya -- Hexa Climate</v>
          </cell>
          <cell r="C40">
            <v>8351968881</v>
          </cell>
          <cell r="D40" t="str">
            <v>Hexa Climate Solutions , 8th Floor, Vatika Buisness Park</v>
          </cell>
          <cell r="E40" t="str">
            <v>Sohna Road 1</v>
          </cell>
          <cell r="F40" t="str">
            <v>Monday</v>
          </cell>
          <cell r="G40" t="str">
            <v>By 9 AM</v>
          </cell>
          <cell r="H40">
            <v>20000</v>
          </cell>
          <cell r="I40">
            <v>5000</v>
          </cell>
          <cell r="J40" t="str">
            <v>Corporate</v>
          </cell>
          <cell r="K40" t="str">
            <v>Visit -- 15 Square vase</v>
          </cell>
          <cell r="N40" t="str">
            <v>2  del of this cycle   -  0-cycles pmnt   In Process - Collect 0</v>
          </cell>
          <cell r="O40" t="str">
            <v xml:space="preserve">Square Arrangement 15     </v>
          </cell>
          <cell r="P40" t="str">
            <v xml:space="preserve">Square Arrangement 15     </v>
          </cell>
          <cell r="Q40" t="str">
            <v xml:space="preserve">Square Arrangement 15     </v>
          </cell>
          <cell r="R40" t="str">
            <v xml:space="preserve">Square Arrangement 15     </v>
          </cell>
          <cell r="S40" t="str">
            <v xml:space="preserve">Square arrangment 15     </v>
          </cell>
          <cell r="T40" t="str">
            <v xml:space="preserve">Square Arrangement  15     </v>
          </cell>
        </row>
        <row r="41">
          <cell r="A41">
            <v>1571</v>
          </cell>
          <cell r="B41" t="str">
            <v>Mohar Ray Dahiya</v>
          </cell>
          <cell r="C41">
            <v>9910019898</v>
          </cell>
          <cell r="D41" t="str">
            <v>Sovereign-3/201, Vatika City</v>
          </cell>
          <cell r="E41" t="str">
            <v>Sohna Road 1</v>
          </cell>
          <cell r="F41" t="str">
            <v>Friday</v>
          </cell>
          <cell r="G41" t="str">
            <v>9 AM to 2 PM</v>
          </cell>
          <cell r="H41">
            <v>1600</v>
          </cell>
          <cell r="I41">
            <v>200</v>
          </cell>
          <cell r="J41" t="str">
            <v>Bloom</v>
          </cell>
          <cell r="K41"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41" t="str">
            <v>BOP n GERBERA</v>
          </cell>
          <cell r="N41" t="str">
            <v>8  del of this cycle   -  0-cycles pmnt   Completed - Collect 0</v>
          </cell>
          <cell r="O41" t="str">
            <v>P Spray Daisy ( 15 inch ) 2     FF Sachet + Grass</v>
          </cell>
          <cell r="P41" t="str">
            <v>Mix Alstroemeria ( 14 Inch ) 7     FF Sachet + Grass</v>
          </cell>
          <cell r="Q41" t="str">
            <v>Sunflower ( 14 Inch ) 2     FF Sachet + grass</v>
          </cell>
          <cell r="R41" t="str">
            <v>P Spray Daisy ( 14 Inch ) 2     FF Sachet + Grass</v>
          </cell>
          <cell r="S41" t="str">
            <v>Mix Alstroemeria ( 12 Inch ) 7     FF sachet + Grass</v>
          </cell>
          <cell r="T41" t="str">
            <v>Sunflower ( 12 Inch ) 2     Grass</v>
          </cell>
        </row>
        <row r="42">
          <cell r="A42">
            <v>2396</v>
          </cell>
          <cell r="B42" t="str">
            <v>Reema</v>
          </cell>
          <cell r="C42">
            <v>9811281042</v>
          </cell>
          <cell r="D42" t="str">
            <v>24/02, Emilia b2, Vatika City</v>
          </cell>
          <cell r="E42" t="str">
            <v>Sohna Road 1</v>
          </cell>
          <cell r="F42" t="str">
            <v>Monday</v>
          </cell>
          <cell r="G42" t="str">
            <v>10 AM to 2:30 PM</v>
          </cell>
          <cell r="H42">
            <v>1450</v>
          </cell>
          <cell r="I42">
            <v>362.5</v>
          </cell>
          <cell r="J42" t="str">
            <v>Bliss</v>
          </cell>
          <cell r="K42" t="str">
            <v>No Guldawari (16/02) Send 1 Del today (29/05) No Gerbera (16/09) After 11th (02/10) Paytm From Reema makkar (23/11)</v>
          </cell>
          <cell r="L42" t="str">
            <v>Guldawari n Gerbera</v>
          </cell>
          <cell r="N42" t="str">
            <v>2  del of this cycle   -  1-cycles pmnt   Pending - Collect 1450</v>
          </cell>
          <cell r="O42" t="e">
            <v>#N/A</v>
          </cell>
          <cell r="P42" t="str">
            <v>R n W Car ( 14 Inch ) 9     FF sachet + Grass</v>
          </cell>
          <cell r="Q42" t="str">
            <v>P asiatic ( 15 Inch ) 2     Grass</v>
          </cell>
          <cell r="R42" t="str">
            <v>P n W Glad ( 14 Inch ) 9     Grass</v>
          </cell>
          <cell r="S42" t="str">
            <v>Mix Alstroemeria ( 12 Inch ) 16     FF Sachet + Grass</v>
          </cell>
          <cell r="T42" t="str">
            <v>Rajni ( 14 Inch ) 16     Grass</v>
          </cell>
        </row>
        <row r="43">
          <cell r="A43">
            <v>221</v>
          </cell>
          <cell r="B43" t="str">
            <v>Convinience Enterprises-Sonali anand</v>
          </cell>
          <cell r="C43">
            <v>9810524040</v>
          </cell>
          <cell r="D43" t="str">
            <v>E-243 belaire apartments</v>
          </cell>
          <cell r="E43" t="str">
            <v>Golf Course Road</v>
          </cell>
          <cell r="F43" t="str">
            <v>Thursday</v>
          </cell>
          <cell r="G43" t="str">
            <v>9 AM - 12 PM</v>
          </cell>
          <cell r="H43">
            <v>2750</v>
          </cell>
          <cell r="I43">
            <v>687.5</v>
          </cell>
          <cell r="J43" t="str">
            <v>Corporate</v>
          </cell>
          <cell r="K43" t="str">
            <v>No Roses (21/06) Pls send red glad to her in next del(07/07) Never send Glad(13/07)  Skip 1 week(01/06) Collect cheque tom(10/06) Send Replacement tom(23/06) Skip this week(23/08) Skip 1 week (16/11) Skip this week and send on 8th (27/12) Don’t send on 9th-send on 13th (07/02) Skip this week and send on Tuesday(26/02) Due to Mar end Cycle broken (20/03) Hold today send on sunday (06/04) Skip 1 week (09/05) Hold till 26th June (07/06) Skip 1 week (24/10) Skip 2 week (21/11) Skip 2 week (02/01) Skip 1 week (26/03) Skip Tom (22/05) No Flowers till 9th July (23/06) Skip 1 week (04/11) Hold n sned on 12th now (31/12) Hold n start from // Skip 1 week (19/08) Skip this thursday and send on sunday (12/11) Skip 1 week (30/03) Next del on 21st and then every thursday (08/06)</v>
          </cell>
          <cell r="N43" t="str">
            <v>2  del of this cycle   -  0-cycles pmnt   In Process - Collect 0</v>
          </cell>
          <cell r="O43" t="e">
            <v>#N/A</v>
          </cell>
          <cell r="P43" t="e">
            <v>#N/A</v>
          </cell>
          <cell r="Q43" t="e">
            <v>#N/A</v>
          </cell>
          <cell r="R43" t="e">
            <v>#N/A</v>
          </cell>
          <cell r="S43" t="e">
            <v>#N/A</v>
          </cell>
          <cell r="T43" t="str">
            <v>Rajni ( 14 Inch ) 32     Grass</v>
          </cell>
        </row>
        <row r="44">
          <cell r="A44">
            <v>3299</v>
          </cell>
          <cell r="B44" t="str">
            <v>Applicate It Solutions Pvt. Ltd.</v>
          </cell>
          <cell r="C44" t="str">
            <v>6295854656 // 9871456569</v>
          </cell>
          <cell r="D44" t="str">
            <v>Tower-B, 16th Floor, M3M Urbana Premium, Business Park</v>
          </cell>
          <cell r="E44" t="str">
            <v>Badshahpur</v>
          </cell>
          <cell r="F44" t="str">
            <v>Monday</v>
          </cell>
          <cell r="G44" t="str">
            <v>By 10 AM</v>
          </cell>
          <cell r="H44">
            <v>3400</v>
          </cell>
          <cell r="I44">
            <v>850</v>
          </cell>
          <cell r="J44" t="str">
            <v>Corporate</v>
          </cell>
          <cell r="N44" t="str">
            <v>1  del of this cycle   -  0-cycles pmnt   In Process - Collect 0</v>
          </cell>
          <cell r="O44" t="str">
            <v xml:space="preserve">Arrangement 1 Min 18 inch Height    </v>
          </cell>
          <cell r="P44" t="str">
            <v xml:space="preserve">Arrangement 1 Min 18 inch Height    </v>
          </cell>
          <cell r="Q44" t="str">
            <v xml:space="preserve">Arrangement 1 18 Inch    </v>
          </cell>
          <cell r="R44" t="str">
            <v xml:space="preserve">Arrangement  1     </v>
          </cell>
          <cell r="S44" t="str">
            <v xml:space="preserve">Arrangement 1 18 Inch    </v>
          </cell>
          <cell r="T44" t="str">
            <v xml:space="preserve">Arrangement ( 18 Inch ) 1     </v>
          </cell>
        </row>
        <row r="45">
          <cell r="A45">
            <v>2259</v>
          </cell>
          <cell r="B45" t="str">
            <v>Shivani Kapoor</v>
          </cell>
          <cell r="C45">
            <v>9818659010</v>
          </cell>
          <cell r="D45" t="str">
            <v>94, Tattvam Villa</v>
          </cell>
          <cell r="E45" t="str">
            <v>Sohna Road 2</v>
          </cell>
          <cell r="F45" t="str">
            <v>Monday</v>
          </cell>
          <cell r="G45" t="str">
            <v>9 AM - 12 PM</v>
          </cell>
          <cell r="H45">
            <v>3950</v>
          </cell>
          <cell r="I45">
            <v>493.75</v>
          </cell>
          <cell r="J45" t="str">
            <v>Grace</v>
          </cell>
          <cell r="K45" t="str">
            <v>Monday n Friday// Payment from Sanjeev K (05/05) Skip 1 week (26/07) Skip 1 week (04/11) Skip this Friday (26/12) Skip 1 week (01/01/25) Skip tom (02/02) No delivery on Monday (01/03) Skip 14th n send on 17th (11/03) Now start from 7th July (24/06)</v>
          </cell>
          <cell r="M45" t="str">
            <v>No White</v>
          </cell>
          <cell r="N45" t="str">
            <v>8  del of this cycle   -  0-cycles pmnt   Completed - Collect 0</v>
          </cell>
          <cell r="O45" t="str">
            <v>P n Y Spray Daisy ( 15 inch ) 6     FF Sachet + Grass</v>
          </cell>
          <cell r="P45" t="str">
            <v>O Asiatic ( 15 Inch ) 4     Grass</v>
          </cell>
          <cell r="Q45" t="str">
            <v>B Daisy ( 12 Inch ) 20     FF Sachet + grass</v>
          </cell>
          <cell r="R45" t="str">
            <v>Sunflower ( 12 Inch ) 4     FF Sachet + Grass</v>
          </cell>
          <cell r="S45" t="str">
            <v>Rajni ( 14 Inch ) 20     Grass</v>
          </cell>
          <cell r="T45" t="str">
            <v>B Daisy ( 12 Inch ) 20     Grass</v>
          </cell>
        </row>
        <row r="46">
          <cell r="A46">
            <v>2404</v>
          </cell>
          <cell r="B46" t="str">
            <v>Amitt Nenwani</v>
          </cell>
          <cell r="C46">
            <v>9810444444</v>
          </cell>
          <cell r="D46" t="str">
            <v>Villa 21, Z Block, Tatvam Villas</v>
          </cell>
          <cell r="E46" t="str">
            <v>Sohna Road 2</v>
          </cell>
          <cell r="F46" t="str">
            <v>Friday</v>
          </cell>
          <cell r="G46" t="str">
            <v>9 AM - 12 PM</v>
          </cell>
          <cell r="H46">
            <v>6350</v>
          </cell>
          <cell r="I46">
            <v>793.75</v>
          </cell>
          <cell r="J46" t="str">
            <v>Elegance</v>
          </cell>
          <cell r="K46" t="str">
            <v>Friday n Monday//Mixed // Skip 1 week (17/04) Skip this week (12/11) Skip this week and send on 03rd Jan (29/12) Skip tom (15/03) Skip 1 week (26/03)</v>
          </cell>
          <cell r="M46" t="str">
            <v>Mixed Flowers// Change to enchantement from next cycle (12/1)</v>
          </cell>
          <cell r="N46" t="str">
            <v>1  del of this cycle   -  0-cycles pmnt   In Process - Collect 0</v>
          </cell>
          <cell r="O46" t="str">
            <v>W Asiatic ( 15 Inch) 3 Sunflower ( 15 inch ) 4 P n W Car ( 14 inch ) 12 3 Areca Palm + 3 Limonium</v>
          </cell>
          <cell r="P46" t="str">
            <v>O Asiatic ( 15 Inch ) 3 P Eustoma ( 14 Inch ) 3 Rajni ( 14 Inch ) 12 3 Areca palm + 3 Gypsola</v>
          </cell>
          <cell r="Q46" t="str">
            <v>O Asiatic ( 15 Inch ) 3 Sunflower ( 14 Inch ) 3 P n Y Gerbera ( 12 Inch ) 12 3 Areca palm + 3 Limonium</v>
          </cell>
          <cell r="R46" t="str">
            <v>P Asiatic ( 14 Inch ) 3 Pur n P Eustoma ( 12 Inch) 4 P n W Glad ( 14 Inch ) 12 FF Sachet + Grass</v>
          </cell>
          <cell r="S46" t="str">
            <v>W Asiatic + Sunflower 3+3 G n Y Spray Daisy ( 14 Inch ) 4 Rajni ( 14 Inch ) 12 FF sachet + Grass</v>
          </cell>
          <cell r="T46" t="str">
            <v xml:space="preserve">Y Asiatic ( 14 Inch ) 3 Mix Anthurium  3 P n W Car ( 12 Inch ) 12 </v>
          </cell>
        </row>
        <row r="47">
          <cell r="A47">
            <v>2483</v>
          </cell>
          <cell r="B47" t="str">
            <v>Manav</v>
          </cell>
          <cell r="C47" t="str">
            <v>9810068329 // 9810024711</v>
          </cell>
          <cell r="D47" t="str">
            <v>Pugudunee Safaris, Unit 404, Baani , Sector 56</v>
          </cell>
          <cell r="E47" t="str">
            <v>Sector 56</v>
          </cell>
          <cell r="F47" t="str">
            <v>Monday</v>
          </cell>
          <cell r="G47" t="str">
            <v>9 AM - 12 PM</v>
          </cell>
          <cell r="H47">
            <v>1450</v>
          </cell>
          <cell r="I47">
            <v>362.5</v>
          </cell>
          <cell r="J47" t="str">
            <v>Bliss</v>
          </cell>
          <cell r="K47" t="str">
            <v>Referred By Nandita Jain // Received one more payment (21/08) Today returned-send tom (20/10) Neft from Kanha Earth Lodge (21/01) Today hold -send tom (26/01)</v>
          </cell>
          <cell r="N47" t="str">
            <v>2  del of this cycle   -  0-cycles pmnt   Completed - Collect 0</v>
          </cell>
          <cell r="O47" t="str">
            <v>P Eustoma 2 P n W Car ( 14 inch ) 7   Grass</v>
          </cell>
          <cell r="P47" t="str">
            <v>Y Asiatic ( 15 Inch ) 2 P n W Glad ( 14 inch ) 7   Grass</v>
          </cell>
          <cell r="Q47" t="str">
            <v>Sunflower ( 14 Inch ) 2 Mix Alstroemeria ( 12 Inch ) 7   FF Sachet + Grass</v>
          </cell>
          <cell r="R47" t="str">
            <v>P Spray Daisy ( 14 Inch ) 3 Pur n P Car ( 14 inch ) 7   FF Sachet + Grass</v>
          </cell>
          <cell r="S47" t="str">
            <v>P Asiatic ( 14 Inch ) 2 P n W Glad ( 14 Inch ) 7   Grass</v>
          </cell>
          <cell r="T47" t="str">
            <v>Pur Eustom ( 12 Inch ) 2 Rajni ( 14 inch ) 7   FF Sachet + Grass</v>
          </cell>
        </row>
        <row r="48">
          <cell r="A48">
            <v>2083</v>
          </cell>
          <cell r="B48" t="str">
            <v>Neeraj Rathore</v>
          </cell>
          <cell r="C48">
            <v>9810570666</v>
          </cell>
          <cell r="D48" t="str">
            <v>A-1302, PalM Drive, Sec 66</v>
          </cell>
          <cell r="E48" t="str">
            <v>Badshahpur</v>
          </cell>
          <cell r="F48" t="str">
            <v>Friday</v>
          </cell>
          <cell r="G48" t="str">
            <v>9 AM - 12 PM</v>
          </cell>
          <cell r="H48">
            <v>2300</v>
          </cell>
          <cell r="I48">
            <v>287.5</v>
          </cell>
          <cell r="J48" t="str">
            <v>Felicity</v>
          </cell>
          <cell r="K48"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48" t="str">
            <v>GERBERA  n BOP</v>
          </cell>
          <cell r="M48" t="str">
            <v>One Kind (30/01)  Rajni next (18/02)</v>
          </cell>
          <cell r="N48" t="str">
            <v>1  del of this cycle   -  1-cycles pmnt   Pending - Collect 2300</v>
          </cell>
          <cell r="O48" t="e">
            <v>#N/A</v>
          </cell>
          <cell r="P48" t="e">
            <v>#N/A</v>
          </cell>
          <cell r="Q48" t="e">
            <v>#N/A</v>
          </cell>
          <cell r="R48" t="e">
            <v>#N/A</v>
          </cell>
          <cell r="S48" t="e">
            <v>#N/A</v>
          </cell>
          <cell r="T48" t="str">
            <v>B Daisy ( 12 Inch ) 11     Grass</v>
          </cell>
        </row>
        <row r="49">
          <cell r="A49">
            <v>3379</v>
          </cell>
          <cell r="B49" t="str">
            <v>One Science Nutrition</v>
          </cell>
          <cell r="C49">
            <v>8802385651</v>
          </cell>
          <cell r="D49" t="str">
            <v>Splendor tower 1, 8th Floor, Sec 58</v>
          </cell>
          <cell r="E49" t="str">
            <v>Ghata</v>
          </cell>
          <cell r="F49" t="str">
            <v>Monday</v>
          </cell>
          <cell r="G49" t="str">
            <v>9:30 Am to 2 PM</v>
          </cell>
          <cell r="H49">
            <v>1450</v>
          </cell>
          <cell r="I49">
            <v>362.5</v>
          </cell>
          <cell r="J49" t="str">
            <v>Bliss</v>
          </cell>
          <cell r="K49" t="str">
            <v>From Namita Chaudhary</v>
          </cell>
          <cell r="N49" t="str">
            <v>3  del of this cycle   -  0-cycles pmnt   In Process - Collect 0</v>
          </cell>
          <cell r="O49" t="e">
            <v>#N/A</v>
          </cell>
          <cell r="P49" t="e">
            <v>#N/A</v>
          </cell>
          <cell r="Q49" t="e">
            <v>#N/A</v>
          </cell>
          <cell r="R49" t="e">
            <v>#N/A</v>
          </cell>
          <cell r="S49" t="str">
            <v>Pur Eustoma ( 12 Inch ) 2 P n W Glad ( 14 Inch ) 7   FF Sachet + Grass</v>
          </cell>
          <cell r="T49" t="str">
            <v>Y Spray Daisy ( 14 Inch ) 3 Rajni ( 14 inch ) 7   FF Sachet + Grass</v>
          </cell>
        </row>
        <row r="50">
          <cell r="A50">
            <v>2030</v>
          </cell>
          <cell r="B50" t="str">
            <v>Rashi Goel</v>
          </cell>
          <cell r="C50">
            <v>8828025877</v>
          </cell>
          <cell r="D50" t="str">
            <v>44 Tattvam Vila, Sohna Road</v>
          </cell>
          <cell r="E50" t="str">
            <v>Sohna Road 2</v>
          </cell>
          <cell r="F50" t="str">
            <v>Monday</v>
          </cell>
          <cell r="G50" t="str">
            <v>9 AM - 12 PM</v>
          </cell>
          <cell r="H50">
            <v>1450</v>
          </cell>
          <cell r="I50">
            <v>362.5</v>
          </cell>
          <cell r="J50" t="str">
            <v>Bliss</v>
          </cell>
          <cell r="K50" t="str">
            <v>No Heliconia// Skip 1 week (02/12) Skip 1 week (13/02) Sent Replacement today (12/12) Hold till 10th Dec (18/12) Hold n start from 2nd week of Mar (011/02) Skip 1 week (24/08) Today Hold *24/11) Paytm from Perform Monks Edu (01/03)</v>
          </cell>
          <cell r="L50" t="str">
            <v>HELICONIA</v>
          </cell>
          <cell r="N50" t="str">
            <v>1  del of this cycle   -  1-cycles pmnt   Pending - Collect 1450</v>
          </cell>
          <cell r="O50" t="str">
            <v>B Orchid  5     Grass</v>
          </cell>
          <cell r="P50" t="str">
            <v>O Spray Daisy ( 15 inch ) 5     FF Sachet + Grass</v>
          </cell>
          <cell r="Q50" t="str">
            <v>P n W Glad ( 14 Inch ) 16     Grass</v>
          </cell>
          <cell r="R50" t="str">
            <v>Pur n P Car ( 14 Inch ) 16     FF Sachet + Grass</v>
          </cell>
          <cell r="S50" t="str">
            <v>Mix Alstroemeria ( 12 Inch ) 16     FF Sachet + Grass</v>
          </cell>
          <cell r="T50" t="str">
            <v>B Orchid 5     Grass</v>
          </cell>
        </row>
        <row r="51">
          <cell r="A51">
            <v>2896</v>
          </cell>
          <cell r="B51" t="str">
            <v>Priyanka -- Southern</v>
          </cell>
          <cell r="C51">
            <v>9870161122</v>
          </cell>
          <cell r="D51" t="str">
            <v>T-4/2504,  Tata Primanti,Southrn Peripheral, Near Vatika Chowk</v>
          </cell>
          <cell r="E51" t="str">
            <v>Sohna Road 2</v>
          </cell>
          <cell r="F51" t="str">
            <v>Monday</v>
          </cell>
          <cell r="G51" t="str">
            <v>9 AM - 12 PM</v>
          </cell>
          <cell r="H51">
            <v>1450</v>
          </cell>
          <cell r="I51">
            <v>362.5</v>
          </cell>
          <cell r="J51" t="str">
            <v>Bliss</v>
          </cell>
          <cell r="K51" t="str">
            <v>Paytm From Priyanka Seth (11/11) Hold due to non payment (02/02) Hold today and send on Friday (23/03)</v>
          </cell>
          <cell r="N51" t="str">
            <v>4  del of this cycle   -  0-cycles pmnt   Completed - Collect 0</v>
          </cell>
          <cell r="O51" t="e">
            <v>#N/A</v>
          </cell>
          <cell r="P51" t="e">
            <v>#N/A</v>
          </cell>
          <cell r="Q51" t="e">
            <v>#N/A</v>
          </cell>
          <cell r="R51" t="e">
            <v>#N/A</v>
          </cell>
          <cell r="S51" t="e">
            <v>#N/A</v>
          </cell>
          <cell r="T51" t="str">
            <v>Pur Eustom ( 12 Inch ) 2 Rajni ( 14 inch ) 7   FF Sachet + Grass</v>
          </cell>
        </row>
        <row r="52">
          <cell r="A52">
            <v>588</v>
          </cell>
          <cell r="B52" t="str">
            <v>Akiksha Mohan</v>
          </cell>
          <cell r="C52">
            <v>9810145564</v>
          </cell>
          <cell r="D52" t="str">
            <v>D-601, Emaar Plam Drive</v>
          </cell>
          <cell r="E52" t="str">
            <v>Badshahpur</v>
          </cell>
          <cell r="F52" t="str">
            <v>Friday</v>
          </cell>
          <cell r="G52" t="str">
            <v>9 AM - 12 PM</v>
          </cell>
          <cell r="H52">
            <v>1600</v>
          </cell>
          <cell r="I52">
            <v>200</v>
          </cell>
          <cell r="J52" t="str">
            <v>Bloom</v>
          </cell>
          <cell r="K52"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52" t="str">
            <v>GULDAWARI</v>
          </cell>
          <cell r="N52" t="str">
            <v>3  del of this cycle   -  1-cycles pmnt   Pending - Collect 1600</v>
          </cell>
          <cell r="O52" t="str">
            <v>Rajni ( 14 inch ) 7     Grass</v>
          </cell>
          <cell r="P52" t="e">
            <v>#N/A</v>
          </cell>
          <cell r="Q52" t="str">
            <v>Y Spray Daisy ( 15 inch ) 2     FF sachet + Grass</v>
          </cell>
          <cell r="R52" t="str">
            <v>Mix Car  ( 14 Inch ) 7     FF Sachet + Grass</v>
          </cell>
          <cell r="S52" t="str">
            <v>Rajni ( 14 Inch ) 7     Grass</v>
          </cell>
          <cell r="T52" t="str">
            <v>B Daisy ( 12 Inch ) 7     Grass</v>
          </cell>
        </row>
        <row r="53">
          <cell r="A53">
            <v>2195</v>
          </cell>
          <cell r="B53" t="str">
            <v>Hema</v>
          </cell>
          <cell r="C53">
            <v>9971354440</v>
          </cell>
          <cell r="D53" t="str">
            <v>127 vipul trade center sohna road sector 48 gurgaon 122108</v>
          </cell>
          <cell r="E53" t="str">
            <v>Sohna Road 2</v>
          </cell>
          <cell r="F53" t="str">
            <v>Monday</v>
          </cell>
          <cell r="G53" t="str">
            <v>9 AM - 12 PM</v>
          </cell>
          <cell r="H53">
            <v>2400</v>
          </cell>
          <cell r="I53">
            <v>600</v>
          </cell>
          <cell r="J53" t="str">
            <v>Corporate</v>
          </cell>
          <cell r="K53" t="str">
            <v>Mix Flowers -- 12-15 flowers// Today office is closed (25/12) Today returned (19/08) Hold today sned tom (31/03) Send tom (26/01)</v>
          </cell>
          <cell r="N53" t="str">
            <v>4  del of this cycle   -  0-cycles pmnt   In Process - Collect 0</v>
          </cell>
          <cell r="O53" t="str">
            <v>W Asiatic ( 15 Inch) 2 P n W Car ( 14 inch ) 12   Grass</v>
          </cell>
          <cell r="P53" t="str">
            <v>O n P Spray Daisy ( 15 inch ) 4 P n W Glad ( 14 inch ) 12   FF Sachet + Grass</v>
          </cell>
          <cell r="Q53" t="str">
            <v xml:space="preserve">Pur n P Eustoma 4 R n W Car 12   </v>
          </cell>
          <cell r="R53" t="str">
            <v>Sunflower ( 12 Inch ) 3 Mix Glad  ( 14 Inch ) 12   FF Sachet + Grass</v>
          </cell>
          <cell r="S53" t="str">
            <v>P Asiatic ( 14 Inch ) 2 Pur n P Car ( 14 Inch ) 12   Grass</v>
          </cell>
          <cell r="T53" t="str">
            <v>Pur n W Eustoma ( 12 Inch) 4 Rajni ( 14 inch ) 12   Grass</v>
          </cell>
        </row>
        <row r="54">
          <cell r="A54">
            <v>2850</v>
          </cell>
          <cell r="B54" t="str">
            <v>Namita Chaudhary -- Before 11:30 AM</v>
          </cell>
          <cell r="C54">
            <v>9810002910</v>
          </cell>
          <cell r="D54" t="str">
            <v>403-406, Global Credit Solutions Splendour Spectrum one, 403 -406, T-2- 4th Floor, Sec 58</v>
          </cell>
          <cell r="E54" t="str">
            <v>Ghata</v>
          </cell>
          <cell r="F54" t="str">
            <v>Monday</v>
          </cell>
          <cell r="G54" t="str">
            <v>10 am to 12 PM</v>
          </cell>
          <cell r="H54">
            <v>1450</v>
          </cell>
          <cell r="I54">
            <v>362.5</v>
          </cell>
          <cell r="J54" t="str">
            <v>Corporate</v>
          </cell>
          <cell r="K54" t="str">
            <v>Skip 1 week (13/08) Start from or after 13th Oct (30/09) Skip 1 week (19/10) Skip 2 week (09/12) Skip 1 week (18/01) Send on 27th (26/01) Hold till 4th Apr (27/03)  No Yel n White (06/04)</v>
          </cell>
          <cell r="L54" t="str">
            <v xml:space="preserve"> No Yel n White (06/04)</v>
          </cell>
          <cell r="N54" t="str">
            <v>4  del of this cycle   -  0-cycles pmnt   In Process - Collect 0</v>
          </cell>
          <cell r="O54" t="str">
            <v>P Spray Daisy ( 15 inch ) 3 P n W Car ( 14 inch ) 7   FF Sachet + Grass</v>
          </cell>
          <cell r="P54" t="str">
            <v>O Asiatic ( 15 Inch ) 2 P n W Glad ( 14 inch ) 7   Grass</v>
          </cell>
          <cell r="Q54" t="str">
            <v>Pur Eustoma ( 12 Inch ) 2 Mix Alstroemeria ( 12 Inch ) 7   FF Sachet + Grass</v>
          </cell>
          <cell r="R54" t="str">
            <v>Sunflower ( 12 Inch ) 2 Pur n P Car ( 14 inch ) 7   FF Sachet + Grass</v>
          </cell>
          <cell r="S54" t="str">
            <v>P Asiatic ( 14 Inch ) 2 P n Y Glad ( 14 Inch ) 7   Grass</v>
          </cell>
          <cell r="T54" t="str">
            <v>P Spray Daisy ( 14 Inch ) 3 Rajni ( 14 inch ) 7   FF Sachet + Grass</v>
          </cell>
        </row>
        <row r="55">
          <cell r="A55">
            <v>3377</v>
          </cell>
          <cell r="B55" t="str">
            <v>Deepti Bajaj Taneja</v>
          </cell>
          <cell r="C55">
            <v>9873402620</v>
          </cell>
          <cell r="D55" t="str">
            <v>J-001, Emaar Palm Drive, Sec 66</v>
          </cell>
          <cell r="E55" t="str">
            <v>Badshahpur</v>
          </cell>
          <cell r="F55" t="str">
            <v>Monday</v>
          </cell>
          <cell r="G55" t="str">
            <v>9 AM - 12 PM</v>
          </cell>
          <cell r="H55">
            <v>1950</v>
          </cell>
          <cell r="I55">
            <v>487.5</v>
          </cell>
          <cell r="J55" t="str">
            <v>Joy</v>
          </cell>
          <cell r="K55" t="str">
            <v>Premium Necxt (09/06)</v>
          </cell>
          <cell r="M55" t="str">
            <v>Premium Necxt (09/06)</v>
          </cell>
          <cell r="N55" t="str">
            <v>3  del of this cycle   -  0-cycles pmnt   Completed - Collect 0</v>
          </cell>
          <cell r="O55" t="e">
            <v>#N/A</v>
          </cell>
          <cell r="P55" t="e">
            <v>#N/A</v>
          </cell>
          <cell r="Q55" t="e">
            <v>#N/A</v>
          </cell>
          <cell r="R55" t="str">
            <v>Pur n P Car ( 14 Inch ) 22     FF Sachet + Grass</v>
          </cell>
          <cell r="S55" t="str">
            <v>P Asiatic ( 14 Inch ) 4     Grass</v>
          </cell>
          <cell r="T55" t="str">
            <v>Rajni ( 14 Inch ) 22     Grass</v>
          </cell>
        </row>
        <row r="56">
          <cell r="A56">
            <v>2648</v>
          </cell>
          <cell r="B56" t="str">
            <v>Vandana Mukherji</v>
          </cell>
          <cell r="C56">
            <v>9971590453</v>
          </cell>
          <cell r="D56" t="str">
            <v>Maplebear Canadian Preschool, Near Gate No.2, CHD Avanue, Sec 71</v>
          </cell>
          <cell r="E56" t="str">
            <v>Badshahpur</v>
          </cell>
          <cell r="F56" t="str">
            <v>Monday</v>
          </cell>
          <cell r="G56" t="str">
            <v>9:30 Am to 2 PM</v>
          </cell>
          <cell r="H56">
            <v>1450</v>
          </cell>
          <cell r="I56">
            <v>362.5</v>
          </cell>
          <cell r="J56" t="str">
            <v>Bliss</v>
          </cell>
          <cell r="K56" t="str">
            <v>Shift to Monday (08/06) Today returned-skip 1 week (20/10) Paytm from Pragati Parashar (01/12) Today hold -send tom (26/01) Hold due to non payment (02/02) Skip 1 week (22/03)</v>
          </cell>
          <cell r="N56" t="str">
            <v>1  del of this cycle   -  1-cycles pmnt   Pending - Collect 1450</v>
          </cell>
          <cell r="O56" t="str">
            <v>Sunflower ( 14 Inch ) 2     Grass</v>
          </cell>
          <cell r="P56" t="str">
            <v>Rajni ( 14 Inch ) 9     Grass</v>
          </cell>
          <cell r="Q56" t="str">
            <v>R Asiatic ( 15 Inch ) 2     Grass</v>
          </cell>
          <cell r="R56" t="str">
            <v>Mix Alstroemeria ( 12 Inch ) 9     FF Sachet + Grass</v>
          </cell>
          <cell r="S56" t="str">
            <v>Y Spray Daisy ( 14 Inch ) 3     FF Sachet + Grass</v>
          </cell>
          <cell r="T56" t="str">
            <v>P n W Glad ( 14 Inch ) 16     FF Sachet + Grass</v>
          </cell>
        </row>
        <row r="57">
          <cell r="A57" t="str">
            <v>B56251</v>
          </cell>
          <cell r="B57" t="str">
            <v>Meghaa/Dhruv Gupta</v>
          </cell>
          <cell r="C57" t="str">
            <v>7838039095 // 9650853112</v>
          </cell>
          <cell r="D57" t="str">
            <v>64, Cedar Crest, Nirvana Country</v>
          </cell>
          <cell r="E57" t="str">
            <v>Nirvana Country</v>
          </cell>
          <cell r="F57" t="str">
            <v>Monday</v>
          </cell>
          <cell r="G57" t="str">
            <v>By 10 AM</v>
          </cell>
          <cell r="H57">
            <v>1600</v>
          </cell>
          <cell r="I57">
            <v>1600</v>
          </cell>
          <cell r="J57" t="str">
            <v>Bouquet</v>
          </cell>
          <cell r="K57" t="str">
            <v>From 9873075887//Dear Meghaa and Dhruv,
Wishing you both a very happy Anniversary!
May both your dreams be fulfilled this year and our prayers for a wonderful year ahead!
Lots of love-
Baba, Maa, Didu, Dudu &amp; Anmol.</v>
          </cell>
          <cell r="S57" t="e">
            <v>#N/A</v>
          </cell>
          <cell r="T57" t="str">
            <v xml:space="preserve">R n Shd P Rose  22 Basket Arrangement Message   </v>
          </cell>
        </row>
        <row r="58">
          <cell r="A58">
            <v>2848</v>
          </cell>
          <cell r="B58" t="str">
            <v>Mitu Agarwal</v>
          </cell>
          <cell r="C58">
            <v>9973582427</v>
          </cell>
          <cell r="D58" t="str">
            <v>T-E/103, Shree Vardhman Victoria</v>
          </cell>
          <cell r="E58" t="str">
            <v>Badshahpur</v>
          </cell>
          <cell r="F58" t="str">
            <v>Monday</v>
          </cell>
          <cell r="G58" t="str">
            <v>9 AM to 2 PM</v>
          </cell>
          <cell r="H58">
            <v>1450</v>
          </cell>
          <cell r="I58">
            <v>362.5</v>
          </cell>
          <cell r="J58" t="str">
            <v>Bliss</v>
          </cell>
          <cell r="K58" t="str">
            <v>Skip 2 week (28/08) Today Returned (13/09) Skip 1 week (23/10) Send replacement of Gerbera Today (30/11) No Del between 14th to 18th (11/12) No lilies (11/05) today Hold (25/05) Sent one del today (27/05)</v>
          </cell>
          <cell r="L58" t="str">
            <v>Lily</v>
          </cell>
          <cell r="N58" t="str">
            <v>2  del of this cycle   -  0-cycles pmnt   Completed - Collect 0</v>
          </cell>
          <cell r="O58" t="str">
            <v>mix car  16     Grass</v>
          </cell>
          <cell r="P58" t="str">
            <v>Mix Alstroemeria ( 14 Inch ) 16     FF Sachet + Grass</v>
          </cell>
          <cell r="Q58" t="str">
            <v>P n W Spray Daisy ( 15 Inch ) 5     FF Sachet + Grass</v>
          </cell>
          <cell r="R58" t="str">
            <v>P n W Glad ( 14 Inch ) 16     Grass</v>
          </cell>
          <cell r="S58" t="str">
            <v>P Asiatic ( 14 Inch ) 3     Grass</v>
          </cell>
          <cell r="T58" t="str">
            <v>Rajni ( 14 Inch ) 16     Grass</v>
          </cell>
        </row>
        <row r="59">
          <cell r="A59">
            <v>2697</v>
          </cell>
          <cell r="B59" t="str">
            <v>Sumana Sarkar</v>
          </cell>
          <cell r="C59">
            <v>9599968479</v>
          </cell>
          <cell r="D59" t="str">
            <v>C-201, Heritage One</v>
          </cell>
          <cell r="E59" t="str">
            <v>Ghata</v>
          </cell>
          <cell r="F59" t="str">
            <v>Monday</v>
          </cell>
          <cell r="G59" t="str">
            <v>9 AM to 2 PM</v>
          </cell>
          <cell r="H59">
            <v>1450</v>
          </cell>
          <cell r="I59">
            <v>362.5</v>
          </cell>
          <cell r="J59" t="str">
            <v>Bliss</v>
          </cell>
          <cell r="K59" t="str">
            <v>Hold due to non payment (02/02) Today Returned (09/02) Send on 11th Feb (10/02) HDTNP (09/03)</v>
          </cell>
          <cell r="N59" t="str">
            <v>1  del of this cycle   -  1-cycles pmnt   Pending - Collect 1450</v>
          </cell>
          <cell r="O59" t="str">
            <v>Sunflower ( 14 Inch ) 2 B Daisy ( 12 inch ) 7   Grass</v>
          </cell>
          <cell r="P59" t="str">
            <v>O Asiatic ( 15 Inch ) 2 R n W Car ( 14 Inch ) 7   Grass</v>
          </cell>
          <cell r="Q59" t="str">
            <v>Pur Eustoma ( 12 Inch ) 2 P n W Glad ( 14 Inch ) 7   FF Sachet + Grass</v>
          </cell>
          <cell r="R59" t="str">
            <v>P Spray Daisy ( 14 Inch ) 3 Mix Alstroemeria ( 12 Inch ) 7   FF Sachet + Grass</v>
          </cell>
          <cell r="S59" t="str">
            <v>Sunflower ( 12 Inch ) 2 Pur n P Car ( 14 Inch ) 7   FF Sachet + Grass</v>
          </cell>
          <cell r="T59" t="str">
            <v>P Asiatic ( 14 Inch ) 2 Rajni ( 14 inch ) 7   Grass</v>
          </cell>
        </row>
        <row r="60">
          <cell r="A60">
            <v>2619</v>
          </cell>
          <cell r="B60" t="str">
            <v>Megha Bhatt</v>
          </cell>
          <cell r="C60">
            <v>8297925970</v>
          </cell>
          <cell r="D60" t="str">
            <v>D-1902, Pioneer Park</v>
          </cell>
          <cell r="E60" t="str">
            <v>Ghata</v>
          </cell>
          <cell r="F60" t="str">
            <v>Monday</v>
          </cell>
          <cell r="G60" t="str">
            <v>9 AM - 12 PM</v>
          </cell>
          <cell r="H60">
            <v>2750</v>
          </cell>
          <cell r="I60">
            <v>687.5</v>
          </cell>
          <cell r="J60" t="str">
            <v>Elation</v>
          </cell>
          <cell r="K60"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L60" t="str">
            <v>Car n Sunflower</v>
          </cell>
          <cell r="M60" t="str">
            <v>Blue Daisy</v>
          </cell>
          <cell r="N60" t="str">
            <v>1  del of this cycle   -  1-cycles pmnt   Pending - Collect 2750</v>
          </cell>
          <cell r="O60" t="e">
            <v>#N/A</v>
          </cell>
          <cell r="P60" t="str">
            <v>O n P Spray Daisy ( 15 inch ) 5     FF Sachet + Grass</v>
          </cell>
          <cell r="Q60" t="str">
            <v>O Asiatic ( 15 Inch ) 3     Grass</v>
          </cell>
          <cell r="R60" t="e">
            <v>#N/A</v>
          </cell>
          <cell r="S60" t="str">
            <v>Pur n P Car ( 14 Inch ) 16     FF Sachet + Grass</v>
          </cell>
          <cell r="T60" t="str">
            <v>Pur n P Car ) 14 Imch) 32     2 Gypsola + ff Sachet</v>
          </cell>
        </row>
        <row r="61">
          <cell r="A61">
            <v>2239</v>
          </cell>
          <cell r="B61" t="str">
            <v>Divyangana -- 1450 Pack</v>
          </cell>
          <cell r="C61">
            <v>9646541636</v>
          </cell>
          <cell r="D61" t="str">
            <v>400-A, Ground Floor, Sec 57, Sushant Lok-2, Block-G</v>
          </cell>
          <cell r="E61" t="str">
            <v>M G Road</v>
          </cell>
          <cell r="F61" t="str">
            <v>Monday</v>
          </cell>
          <cell r="G61" t="str">
            <v>9 AM - 12 PM</v>
          </cell>
          <cell r="H61">
            <v>999</v>
          </cell>
          <cell r="I61">
            <v>249.75</v>
          </cell>
          <cell r="J61" t="str">
            <v>Delight</v>
          </cell>
          <cell r="K61" t="str">
            <v>Skip 2 week (03/03) Skip Monday and send on Tuesday after 5 PM (20/03) Return today (23/06) Return today (20/10) Hold due to non payment (26/01) Hold due to non pauyment (02/02) Hold due to non payment (09/02) HDTNP(16/02) HFTNP (23/02)</v>
          </cell>
          <cell r="N61" t="str">
            <v>3  del of this cycle   -  1-cycles pmnt   Pending - Collect 999</v>
          </cell>
          <cell r="O61" t="str">
            <v>B Orchid  3     Grass</v>
          </cell>
          <cell r="P61" t="str">
            <v>Mix Alstroemeria ( 14 Inch ) 9     FF Sachet + Grass</v>
          </cell>
          <cell r="Q61" t="str">
            <v>P asiatic ( 15 Inch ) 2     Grass</v>
          </cell>
          <cell r="R61" t="str">
            <v>P n W Glad ( 14 Inch ) 9     Grass</v>
          </cell>
          <cell r="S61" t="str">
            <v>Pur n P Car ( 14 Inch ) 9     FF Sachet + Grass</v>
          </cell>
          <cell r="T61" t="str">
            <v>B Daisy ( 12 Inch ) 9     Grass</v>
          </cell>
        </row>
        <row r="62">
          <cell r="A62">
            <v>2429</v>
          </cell>
          <cell r="B62" t="str">
            <v>Pramila Dutt</v>
          </cell>
          <cell r="C62">
            <v>9811735242</v>
          </cell>
          <cell r="D62" t="str">
            <v>S1-C/201, Palm Drive</v>
          </cell>
          <cell r="E62" t="str">
            <v>Badshahpur</v>
          </cell>
          <cell r="F62" t="str">
            <v>Monday</v>
          </cell>
          <cell r="G62" t="str">
            <v>9 AM - 12 PM</v>
          </cell>
          <cell r="H62">
            <v>999</v>
          </cell>
          <cell r="I62">
            <v>249.75</v>
          </cell>
          <cell r="J62" t="str">
            <v>Delight</v>
          </cell>
          <cell r="K62" t="str">
            <v>Referred By Radhika Neeraj Rathod // Rajni next (03/03) Rajni next (28/03) today hold (23/06) No Blue Daisy (09/07) Only Asiatic (31/07) Hold due to non payment (13/10)</v>
          </cell>
          <cell r="L62" t="str">
            <v>Blue Daisy (09/07)</v>
          </cell>
          <cell r="M62" t="str">
            <v>Diff Flowers  now (29/09)</v>
          </cell>
          <cell r="N62" t="str">
            <v>3  del of this cycle   -  0-cycles pmnt   Completed - Collect 0</v>
          </cell>
          <cell r="O62" t="str">
            <v>Rajni 9     Grass</v>
          </cell>
          <cell r="P62" t="e">
            <v>#N/A</v>
          </cell>
          <cell r="Q62" t="str">
            <v>P asiatic ( 15 Inch ) 2     Grass</v>
          </cell>
          <cell r="R62" t="str">
            <v>P n W Glad ( 14 Inch ) 9     Grass</v>
          </cell>
          <cell r="S62" t="str">
            <v>R n W Car ( 14 Inch ) 9     FF Sachet + Grass</v>
          </cell>
          <cell r="T62" t="str">
            <v>Sunflower ( 12 Inch ) 2     FF Sachet + Grass</v>
          </cell>
        </row>
        <row r="63">
          <cell r="A63">
            <v>3002</v>
          </cell>
          <cell r="B63" t="str">
            <v>Mukesh Saluja</v>
          </cell>
          <cell r="C63" t="str">
            <v>98992 01188</v>
          </cell>
          <cell r="D63" t="str">
            <v xml:space="preserve">Electronic City, Phase IV, Udyog Vihar, Sector 18, Gurugram, Haryana 122022
</v>
          </cell>
          <cell r="E63" t="str">
            <v>Old Gurgaon</v>
          </cell>
          <cell r="F63" t="str">
            <v>Monday</v>
          </cell>
          <cell r="G63" t="str">
            <v>4 PM to 7 PM</v>
          </cell>
          <cell r="H63">
            <v>1450</v>
          </cell>
          <cell r="I63">
            <v>362.5</v>
          </cell>
          <cell r="J63" t="str">
            <v>Bliss</v>
          </cell>
          <cell r="K63" t="str">
            <v>Returned today-send next week (20/10) Upgraded to bliss (08/11) Hold ue to non payment (22/12) Today hold -send tom (26/01) HDTNP (23/02) HDTNP (09/03) HDTNP (16/03) HDTNP (23/02)</v>
          </cell>
          <cell r="M63" t="str">
            <v>No Del now till we get payment (09/06)</v>
          </cell>
          <cell r="N63" t="str">
            <v>4  del of this cycle   -  0-cycles pmnt   Completed - Collect 0</v>
          </cell>
          <cell r="O63" t="str">
            <v>Rajni 5     FF Sachet + Grass</v>
          </cell>
          <cell r="P63" t="str">
            <v>Y Asiatic ( 15 Inch ) 3     Grass</v>
          </cell>
          <cell r="Q63" t="str">
            <v>P n W Glad ( 14 Inch ) 16     Grass</v>
          </cell>
          <cell r="R63" t="str">
            <v>P n Y Spray Daisy ( 14 Inch ) 5     FF Sachet + Grass</v>
          </cell>
          <cell r="S63" t="str">
            <v>Pur n P Car ( 14 Inch ) 16     FF Sachet + Grass</v>
          </cell>
          <cell r="T63" t="str">
            <v>Sunflower ( 12 Inch ) 4     FF Sachet + Grass</v>
          </cell>
        </row>
        <row r="64">
          <cell r="A64" t="str">
            <v>B56233</v>
          </cell>
          <cell r="B64" t="str">
            <v>Jasbir singh</v>
          </cell>
          <cell r="C64">
            <v>9997092561</v>
          </cell>
          <cell r="D64" t="str">
            <v>514-A, The Camellias</v>
          </cell>
          <cell r="E64" t="str">
            <v>Golf Course Road</v>
          </cell>
          <cell r="F64" t="str">
            <v>Monday</v>
          </cell>
          <cell r="G64" t="str">
            <v>By 11 AM</v>
          </cell>
          <cell r="H64">
            <v>30000</v>
          </cell>
          <cell r="I64">
            <v>30000</v>
          </cell>
          <cell r="J64" t="str">
            <v>Special Project</v>
          </cell>
          <cell r="T64" t="str">
            <v xml:space="preserve">      </v>
          </cell>
        </row>
        <row r="65">
          <cell r="A65">
            <v>2356</v>
          </cell>
          <cell r="B65" t="str">
            <v>Madhuri Sakata</v>
          </cell>
          <cell r="C65">
            <v>9953086833</v>
          </cell>
          <cell r="D65" t="str">
            <v>D-17, Infocity, Phase-2, Sec-33, Gurgaon</v>
          </cell>
          <cell r="E65" t="str">
            <v>Sohna Road 2</v>
          </cell>
          <cell r="F65" t="str">
            <v>Monday</v>
          </cell>
          <cell r="G65" t="str">
            <v>By 9 AM</v>
          </cell>
          <cell r="H65">
            <v>5200</v>
          </cell>
          <cell r="I65">
            <v>1300</v>
          </cell>
          <cell r="J65" t="str">
            <v>Corporate</v>
          </cell>
          <cell r="K65" t="str">
            <v>Send on Sunday in evebing (06/06) Send tom (26/01)</v>
          </cell>
          <cell r="N65" t="str">
            <v>2  del of this cycle   -  0-cycles pmnt   In Process - Collect 0</v>
          </cell>
          <cell r="O65" t="str">
            <v xml:space="preserve">Arrangement 2     </v>
          </cell>
          <cell r="P65" t="str">
            <v xml:space="preserve">Arrangement 2     </v>
          </cell>
          <cell r="Q65" t="str">
            <v xml:space="preserve">Arrangement 2     </v>
          </cell>
          <cell r="R65" t="str">
            <v xml:space="preserve">Arrangement  2     </v>
          </cell>
          <cell r="S65" t="str">
            <v xml:space="preserve">Arrangement 2     </v>
          </cell>
          <cell r="T65" t="str">
            <v xml:space="preserve">Arrangement 2     </v>
          </cell>
        </row>
        <row r="66">
          <cell r="B66" t="str">
            <v>Sanila Yadav</v>
          </cell>
          <cell r="C66" t="str">
            <v xml:space="preserve"> 98186 44893</v>
          </cell>
          <cell r="D66" t="str">
            <v xml:space="preserve">BC 136 </v>
          </cell>
          <cell r="G66" t="str">
            <v xml:space="preserve">Only Stand </v>
          </cell>
          <cell r="H66" t="str">
            <v xml:space="preserve">Only Stand </v>
          </cell>
          <cell r="I66" t="str">
            <v xml:space="preserve">Only Stand </v>
          </cell>
          <cell r="J66" t="str">
            <v xml:space="preserve">Only Stand </v>
          </cell>
          <cell r="K66" t="str">
            <v xml:space="preserve">Only Stand </v>
          </cell>
          <cell r="L66" t="str">
            <v xml:space="preserve">Only Stand </v>
          </cell>
          <cell r="M66" t="str">
            <v xml:space="preserve">Only Stand </v>
          </cell>
          <cell r="N66" t="str">
            <v>Pls Collect  5170</v>
          </cell>
          <cell r="T66" t="str">
            <v xml:space="preserve">Pls Call And Pick Cash And Stand      </v>
          </cell>
        </row>
        <row r="67">
          <cell r="B67" t="str">
            <v>Parth Piplani</v>
          </cell>
          <cell r="C67" t="str">
            <v>9650411845/7409908808</v>
          </cell>
          <cell r="D67" t="str">
            <v>Flat 603- 6th floor, B10 tower, Tulip Violet Society, Sector 69
Gurugram 122101</v>
          </cell>
          <cell r="G67" t="str">
            <v>By 5 Pm</v>
          </cell>
          <cell r="H67">
            <v>1950</v>
          </cell>
          <cell r="J67" t="str">
            <v>Bouquet</v>
          </cell>
          <cell r="K67" t="str">
            <v>Mix of pink and red 
Order #108032440 
Parth Piplani
Flat 603- 6th floor, B10 tower, Tulip Violet Society, Sector 69
Gurugram 122101
Haryana, India
Phone:
9650411845/7409908808
Customer provided note:
Happy Anniversary
Select Delivery Date: Monday 22-06-2026
Delivery Time: 05:00 PM - 09:00 PM</v>
          </cell>
          <cell r="T67" t="str">
            <v xml:space="preserve">P n R Rose 50  Message   </v>
          </cell>
        </row>
        <row r="68">
          <cell r="B68" t="str">
            <v>Maneesha Chaturvedi</v>
          </cell>
          <cell r="C68">
            <v>9971153076</v>
          </cell>
          <cell r="D68" t="str">
            <v>C-614, Sushant Lok I, Gurgaon 122009    Sushant Lok 1 Gurgaon  122009</v>
          </cell>
          <cell r="G68" t="str">
            <v>Before 5.30 Pm</v>
          </cell>
          <cell r="H68">
            <v>1100</v>
          </cell>
          <cell r="J68" t="str">
            <v>Bouquet</v>
          </cell>
          <cell r="K68" t="str">
            <v>Blue daisy - 6
Button Daisy — 4 — pink n yellow
Spray daisy 4 — pink n white
3 gypsola  - don’t want any foliage
For 1100 — send to Maneesha Chaturvedi today before 5:30pm</v>
          </cell>
          <cell r="T68" t="str">
            <v xml:space="preserve">B Daisy+P n Y Button Daisy+ P n W Spray Daisy 6+4+4 Gypsola 3   </v>
          </cell>
        </row>
        <row r="69">
          <cell r="B69" t="str">
            <v>Anita kaushik</v>
          </cell>
          <cell r="C69" t="str">
            <v>92508 92340‬</v>
          </cell>
          <cell r="D69" t="str">
            <v>H no 1322 sect 52 Near central park Gurugram</v>
          </cell>
          <cell r="H69">
            <v>1000</v>
          </cell>
          <cell r="J69" t="str">
            <v>Bouquet</v>
          </cell>
          <cell r="K69" t="str">
            <v>Anita kaushik
H no 1322 sect 52 Near central park Gurugram
‪+91 92508 92340‬
Message 
प्रिय अनीता जी,
जन्मदिन की हार्दिक शुभकामनाएँ। ईश्वर आपके जीवन को खुशियों, स्वास्थ्य, प्रेम से भर दे। आपकी मुस्कान हमेशा यूँ ही बनी रहे और हर नया दिन आपके लिए नई उम्मीदें और नई खुशियाँ लेकर आए।
आपका स्नेह, आपकी सरलता और आपका सकारात्मक स्वभाव हर किसी के जीवन को सुंदर बनाता है। आने वाला वर्ष आपके सभी सपनों को साकार करे और जीवन में अनगिनत सुखद पल लेकर आए।
ईश्वर आपको लंबी आयु, उत्तम स्वास्थ्य और अपार आनंद प्रदान करें।
जन्मदिन की ढेरों शुभकामनाएँ।
Loads of love,
Isha ♥️
Pls send a bouquet with 3 semi bloom Aaiatic lily and 10 mix carnations in walkin tissue wrap today from Isha Tyagi ..</v>
          </cell>
          <cell r="T69" t="str">
            <v xml:space="preserve">semi bloom Aaiatic +Mix Car 3+10  walkin tissue wrap msg   </v>
          </cell>
        </row>
        <row r="70">
          <cell r="B70" t="str">
            <v>Anita</v>
          </cell>
          <cell r="C70" t="str">
            <v> 96540 67967‬</v>
          </cell>
          <cell r="D70" t="str">
            <v xml:space="preserve">Fair view drive 10 
First floor 
Malibue town 
Sec 47 </v>
          </cell>
          <cell r="H70">
            <v>1000</v>
          </cell>
          <cell r="J70" t="str">
            <v>Bouquet</v>
          </cell>
          <cell r="K70" t="str">
            <v>From ‪+91 98997 99422‬
Today 
8 blue orchids in front brown wrap to 
Fair view drive 10 
First floor 
Malibue town 
Sec 47 
Gurugram
‪+91 96540 67967‬
Message 
Dear Anita, 
Happy Birthday!</v>
          </cell>
          <cell r="T70" t="str">
            <v xml:space="preserve">blue orchid 8  front brown wrap   msg  </v>
          </cell>
        </row>
      </sheetData>
      <sheetData sheetId="22"/>
      <sheetData sheetId="23"/>
      <sheetData sheetId="24"/>
      <sheetData sheetId="25"/>
      <sheetData sheetId="26"/>
      <sheetData sheetId="27"/>
      <sheetData sheetId="28">
        <row r="2">
          <cell r="A2">
            <v>366</v>
          </cell>
          <cell r="B2" t="str">
            <v>Dr. Arti Gupta 1</v>
          </cell>
          <cell r="C2">
            <v>8860079525</v>
          </cell>
          <cell r="D2" t="str">
            <v>Mayom Hospital, D block south city 1</v>
          </cell>
          <cell r="H2">
            <v>1450</v>
          </cell>
          <cell r="I2">
            <v>362.5</v>
          </cell>
          <cell r="J2" t="str">
            <v>Corporate</v>
          </cell>
          <cell r="K2" t="str">
            <v>Send one set of flowers to dr. Arti gupta today as subscription flowers</v>
          </cell>
          <cell r="T2" t="str">
            <v>Mix Carnation  16     FF Sachet + Grass</v>
          </cell>
        </row>
        <row r="3">
          <cell r="A3">
            <v>2014</v>
          </cell>
          <cell r="B3" t="str">
            <v>Remfry</v>
          </cell>
          <cell r="C3">
            <v>9811343209</v>
          </cell>
          <cell r="D3" t="str">
            <v>Remfry House,Millenium Plaza,Tower-A,8th Floor</v>
          </cell>
          <cell r="E3" t="str">
            <v>M G Road</v>
          </cell>
          <cell r="F3" t="str">
            <v>Monday</v>
          </cell>
          <cell r="G3" t="str">
            <v>By 9 AM</v>
          </cell>
          <cell r="H3">
            <v>4750</v>
          </cell>
          <cell r="I3">
            <v>1187.5</v>
          </cell>
          <cell r="J3" t="str">
            <v>Corporate</v>
          </cell>
          <cell r="K3" t="str">
            <v>2 Arrangements every week (21/11) Due to Mar end, Cycle broken (29/03) Skip 2 weeks (18/12) Next 2 deliveries on Tuesday (19/12) Hold today send tom (31/03) Send bill on Thursday to Samta Mehra Ma'am (20/01) Now Send Arrangement (27/01)</v>
          </cell>
          <cell r="N3" t="str">
            <v>3  del of this cycle   -  0-cycles pmnt   In Process - Collect 0</v>
          </cell>
          <cell r="O3" t="str">
            <v>O n P Spray Daisy ( 15 inch ) 15 Mix Alstroemeria 30   FF Sachet + Grass</v>
          </cell>
          <cell r="P3" t="str">
            <v>Sunflower ( 14 Inch ) 6 P n W Glad ( 14 Inch ) 30   Ff Sachet + 3 Limoniu,</v>
          </cell>
          <cell r="Q3" t="str">
            <v>O Asiatic ( 14 inch ) 6 P n W Car ( 14 Inch ) 30   3 Gypsola + FF sachet</v>
          </cell>
          <cell r="R3" t="str">
            <v>Pur n P Eustoma( 12 Inch ) 8 Mix Alstroemeria ( 12 Inch ) 30   3 Limonium + FF aschet</v>
          </cell>
          <cell r="S3" t="str">
            <v>Sunflower ( 12 Inch ) 6 Rajni ( 14 inch ) 30   2 Gypsola + ff Sachet</v>
          </cell>
          <cell r="T3" t="str">
            <v>P Asiatic ( 14 Inch ) 6 P n W Glad ( 14 Inch ) 30   3 Limonium</v>
          </cell>
        </row>
        <row r="4">
          <cell r="A4">
            <v>366</v>
          </cell>
          <cell r="B4" t="str">
            <v>Dr. Arti Gupta 1</v>
          </cell>
          <cell r="C4">
            <v>8860079525</v>
          </cell>
          <cell r="D4" t="str">
            <v>Mayom Hospital, D block south city 1</v>
          </cell>
          <cell r="H4">
            <v>1450</v>
          </cell>
          <cell r="I4">
            <v>362.5</v>
          </cell>
          <cell r="J4" t="str">
            <v>Corporate</v>
          </cell>
          <cell r="K4" t="str">
            <v>Send one set of flowers to dr. Arti gupta today as subscription flowers</v>
          </cell>
          <cell r="T4" t="str">
            <v>Mix Spray Daisy 5     FF Sachet + Grass</v>
          </cell>
        </row>
        <row r="5">
          <cell r="A5">
            <v>2371</v>
          </cell>
          <cell r="B5" t="str">
            <v>Namrata Das Adhikary -- 1450 Pack</v>
          </cell>
          <cell r="C5" t="str">
            <v xml:space="preserve"> 8587955990 // 9910285192</v>
          </cell>
          <cell r="D5" t="str">
            <v>C-922-A, 1st floor, Sushant Lok Phase-1, Gurgaon, Haryana-122002</v>
          </cell>
          <cell r="E5" t="str">
            <v>M G Road</v>
          </cell>
          <cell r="F5" t="str">
            <v>Saturday</v>
          </cell>
          <cell r="G5" t="str">
            <v>4 Pm to 7 PM</v>
          </cell>
          <cell r="H5">
            <v>999</v>
          </cell>
          <cell r="I5">
            <v>249.75</v>
          </cell>
          <cell r="J5" t="str">
            <v>Delight</v>
          </cell>
          <cell r="K5" t="str">
            <v>Vase Pls (01/12) Skip from 7th Feb to 15th Feb (31/01) Skip 1 week (14/03) Skip 1 week (19/01) Skip 1 week (30/01) Skip 2 week (28/02) Skip 1 week (12/04) Send one del tom (22/04) Skip bet ween 19th and 27th June (03/06)</v>
          </cell>
          <cell r="N5" t="str">
            <v>3  del of this cycle   -  0-cycles pmnt   Completed - Collect 0</v>
          </cell>
          <cell r="O5" t="e">
            <v>#N/A</v>
          </cell>
          <cell r="P5" t="e">
            <v>#N/A</v>
          </cell>
          <cell r="Q5" t="e">
            <v>#N/A</v>
          </cell>
          <cell r="R5" t="e">
            <v>#N/A</v>
          </cell>
          <cell r="S5" t="e">
            <v>#N/A</v>
          </cell>
          <cell r="T5" t="str">
            <v>Pur n P Car ( 14 Inch ) 9     FF Sachet + Grass</v>
          </cell>
        </row>
        <row r="6">
          <cell r="A6">
            <v>1638</v>
          </cell>
          <cell r="B6" t="str">
            <v>Arvinder</v>
          </cell>
          <cell r="C6">
            <v>9717121144</v>
          </cell>
          <cell r="D6" t="str">
            <v>T-15/1202, Close South</v>
          </cell>
          <cell r="E6" t="str">
            <v>Nirvana Country</v>
          </cell>
          <cell r="F6" t="str">
            <v>Monday</v>
          </cell>
          <cell r="G6" t="str">
            <v>9 AM - 12 PM</v>
          </cell>
          <cell r="H6">
            <v>1450</v>
          </cell>
          <cell r="I6">
            <v>362.5</v>
          </cell>
          <cell r="J6" t="str">
            <v>Bliss</v>
          </cell>
          <cell r="K6" t="str">
            <v>Asiatic//Rajni//Guldawari//Gladioli(19/02) Received another Paytm of 750 today(18/07) No Rose n Rajni (26/12) Hold today (20/05) Change Add (20/05) Skip 1 week (28/08)</v>
          </cell>
          <cell r="L6" t="str">
            <v>Rose n Rajni</v>
          </cell>
          <cell r="N6" t="str">
            <v>3  del of this cycle   -  0-cycles pmnt   Completed - Collect 0</v>
          </cell>
          <cell r="O6" t="str">
            <v>Mix Alstroemeria ( 14 Inch ) 9     FF sachet + Grass</v>
          </cell>
          <cell r="P6" t="str">
            <v>P n W Glad ( 14 Inch ) 9     Grass</v>
          </cell>
          <cell r="Q6" t="str">
            <v>P Asiatic ( 14 Inch ) 2     Grass</v>
          </cell>
          <cell r="R6" t="str">
            <v>R n W Car ( 14 Inch ) 16     FF Sachet + Grass</v>
          </cell>
          <cell r="S6" t="str">
            <v>B Daisy ( 12 Inch ) 16     Grass</v>
          </cell>
          <cell r="T6" t="str">
            <v>Rajni ( 14 Inch ) 16     Grass</v>
          </cell>
        </row>
        <row r="7">
          <cell r="A7">
            <v>1618</v>
          </cell>
          <cell r="B7" t="str">
            <v>Nidhi Sharma Malhotra</v>
          </cell>
          <cell r="C7" t="str">
            <v>8130207722//9999016333</v>
          </cell>
          <cell r="D7" t="str">
            <v>Topaz-36, First Floor, Emaar Emerald Hills, Sec 65</v>
          </cell>
          <cell r="E7" t="str">
            <v>Badshahpur</v>
          </cell>
          <cell r="F7" t="str">
            <v>Friday</v>
          </cell>
          <cell r="G7" t="str">
            <v>9 AM to 2 PM</v>
          </cell>
          <cell r="H7">
            <v>3000</v>
          </cell>
          <cell r="I7">
            <v>375</v>
          </cell>
          <cell r="J7" t="str">
            <v>Charm</v>
          </cell>
          <cell r="K7"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7" t="str">
            <v>GLAD</v>
          </cell>
          <cell r="N7" t="str">
            <v>2  del of this cycle   -  0-cycles pmnt   Complimentary - Collect 0</v>
          </cell>
          <cell r="O7" t="str">
            <v>O Asiatic ( 15 Inch ) 3     Grass</v>
          </cell>
          <cell r="P7" t="str">
            <v>W Oriental ( 15 inch ) 2     Grass</v>
          </cell>
          <cell r="Q7" t="str">
            <v>Rajni ( 14 Inch ) 15     FF Sachet + Grass</v>
          </cell>
          <cell r="R7" t="str">
            <v>R n W Car ( 14 Inch ) 15     FF sachet + Grass</v>
          </cell>
          <cell r="S7" t="str">
            <v>G Anthurium 3     Grass</v>
          </cell>
          <cell r="T7" t="str">
            <v>Rajni ( 14 Inch ) 15     Grass</v>
          </cell>
        </row>
        <row r="8">
          <cell r="A8">
            <v>2356</v>
          </cell>
          <cell r="B8" t="str">
            <v>Madhuri Sakata</v>
          </cell>
          <cell r="C8">
            <v>9953086833</v>
          </cell>
          <cell r="D8" t="str">
            <v>D-17, Infocity, Phase-2, Sec-33, Gurgaon</v>
          </cell>
          <cell r="E8" t="str">
            <v>Sohna Road 2</v>
          </cell>
          <cell r="F8" t="str">
            <v>Monday</v>
          </cell>
          <cell r="G8" t="str">
            <v>By 9 AM</v>
          </cell>
          <cell r="H8">
            <v>5200</v>
          </cell>
          <cell r="I8">
            <v>1300</v>
          </cell>
          <cell r="J8" t="str">
            <v>Corporate</v>
          </cell>
          <cell r="K8" t="str">
            <v>Send on Sunday in evebing (06/06) Send tom (26/01)</v>
          </cell>
          <cell r="N8" t="str">
            <v>3  del of this cycle   -  0-cycles pmnt   In Process - Collect 0</v>
          </cell>
          <cell r="O8" t="str">
            <v xml:space="preserve">Arrangement 2     </v>
          </cell>
          <cell r="P8" t="str">
            <v xml:space="preserve">Arrangement 2     </v>
          </cell>
          <cell r="Q8" t="str">
            <v xml:space="preserve">Arrangement  2     </v>
          </cell>
          <cell r="R8" t="str">
            <v xml:space="preserve">Arrangement 2     </v>
          </cell>
          <cell r="S8" t="str">
            <v xml:space="preserve">Arrangement 2     </v>
          </cell>
          <cell r="T8" t="str">
            <v xml:space="preserve">Arrangement 2     </v>
          </cell>
        </row>
        <row r="9">
          <cell r="A9">
            <v>2041</v>
          </cell>
          <cell r="B9" t="str">
            <v>Sanjeev Saini</v>
          </cell>
          <cell r="C9">
            <v>8505816000</v>
          </cell>
          <cell r="D9" t="str">
            <v>H. No.951, Block -C, Sec 47</v>
          </cell>
          <cell r="E9" t="str">
            <v>Sohna Road 1</v>
          </cell>
          <cell r="F9" t="str">
            <v>Monday</v>
          </cell>
          <cell r="G9" t="str">
            <v>9 AM - 12 PM</v>
          </cell>
          <cell r="H9">
            <v>999</v>
          </cell>
          <cell r="I9">
            <v>249.75</v>
          </cell>
          <cell r="J9" t="str">
            <v>Delight</v>
          </cell>
          <cell r="K9" t="str">
            <v>Today Returned (27/02) Today Returned (19/08) Scossor Next (24/05)</v>
          </cell>
          <cell r="M9" t="str">
            <v>Scissor Next</v>
          </cell>
          <cell r="N9" t="str">
            <v>4  del of this cycle   -  0-cycles pmnt   In Process - Collect 0</v>
          </cell>
          <cell r="O9" t="str">
            <v>Rajni ( 14 Inch ) 9     Grass</v>
          </cell>
          <cell r="P9" t="str">
            <v>O Asiatic ( 15 Inch ) 2     Grass</v>
          </cell>
          <cell r="Q9" t="str">
            <v>Mix Alstroemeria ( 12 Inch ) 9     FF Sachet + Grass</v>
          </cell>
          <cell r="R9" t="str">
            <v>Pur n P Car ( 14 Inch ) 9     FF Sachet + Grass</v>
          </cell>
          <cell r="S9" t="str">
            <v>P n W Gerbera ( 12 Inch ) 9     FF Sachet + Grass</v>
          </cell>
          <cell r="T9" t="str">
            <v>Rajni ( 14 Inch ) 9     Grass</v>
          </cell>
        </row>
        <row r="10">
          <cell r="A10">
            <v>3232</v>
          </cell>
          <cell r="B10" t="str">
            <v>Aditya -- Hexa Climate</v>
          </cell>
          <cell r="C10">
            <v>8351968881</v>
          </cell>
          <cell r="D10" t="str">
            <v>Hexa Climate Solutions , 9th Floor, Vatika Buisness Park</v>
          </cell>
          <cell r="E10" t="str">
            <v>Sohna Road 1</v>
          </cell>
          <cell r="F10" t="str">
            <v>Monday</v>
          </cell>
          <cell r="G10" t="str">
            <v>By 9 AM</v>
          </cell>
          <cell r="H10">
            <v>20000</v>
          </cell>
          <cell r="I10">
            <v>5000</v>
          </cell>
          <cell r="J10" t="str">
            <v>Corporate</v>
          </cell>
          <cell r="K10" t="str">
            <v>Visit -- 15 Square vase</v>
          </cell>
          <cell r="N10" t="str">
            <v>4  del of this cycle   -  0-cycles pmnt   In Process - Collect 0</v>
          </cell>
          <cell r="O10" t="str">
            <v xml:space="preserve">Square Arrangement 15     </v>
          </cell>
          <cell r="P10" t="str">
            <v xml:space="preserve">Square Arrangement 15     </v>
          </cell>
          <cell r="Q10" t="str">
            <v xml:space="preserve">Square Arrangement 15     </v>
          </cell>
          <cell r="R10" t="str">
            <v xml:space="preserve">Square arrangment 15     </v>
          </cell>
          <cell r="S10" t="str">
            <v xml:space="preserve">Square Arrangement  15     </v>
          </cell>
          <cell r="T10" t="str">
            <v xml:space="preserve">Square Arrangement 15     </v>
          </cell>
        </row>
        <row r="11">
          <cell r="A11">
            <v>1583</v>
          </cell>
          <cell r="B11" t="str">
            <v>Sanjeev Saini</v>
          </cell>
          <cell r="C11">
            <v>8505816000</v>
          </cell>
          <cell r="D11" t="str">
            <v>H. No.951, Block -C, Sec 47</v>
          </cell>
          <cell r="E11" t="str">
            <v>Nirvana Country</v>
          </cell>
          <cell r="F11" t="str">
            <v>Monday</v>
          </cell>
          <cell r="G11" t="str">
            <v>9 AM to 2 PM</v>
          </cell>
          <cell r="H11">
            <v>999</v>
          </cell>
          <cell r="I11">
            <v>249.75</v>
          </cell>
          <cell r="J11" t="str">
            <v>Delight</v>
          </cell>
          <cell r="K11" t="str">
            <v>Today returned-send tom(15/08) Today Retirned (19/08) Today returned -send tom (26/01)</v>
          </cell>
          <cell r="N11" t="str">
            <v>3  del of this cycle   -  0-cycles pmnt   In Process - Collect 0</v>
          </cell>
          <cell r="O11" t="str">
            <v>Rajni ( 14 Inch ) 9     Grass</v>
          </cell>
          <cell r="P11" t="str">
            <v>R Asiatic ( 15 Inch ) 2     Grass</v>
          </cell>
          <cell r="Q11" t="str">
            <v>Mix Alstroemeria ( 12 Inch ) 9     FF Sachet + Grass</v>
          </cell>
          <cell r="R11" t="str">
            <v>Pur n P Car ( 14 Inch ) 9     FF Sachet + Grass</v>
          </cell>
          <cell r="S11" t="str">
            <v>P n W Gerbera ( 12 Inch ) 9     FF Sachet + Grass</v>
          </cell>
          <cell r="T11" t="str">
            <v>Rajni ( 14 Inch ) 9     Grass</v>
          </cell>
        </row>
        <row r="12">
          <cell r="A12">
            <v>2369</v>
          </cell>
          <cell r="B12" t="str">
            <v>Jaya - Bacardi</v>
          </cell>
          <cell r="D12" t="str">
            <v>Bacardi India,8th Floor, Time Tower</v>
          </cell>
          <cell r="E12" t="str">
            <v>M G Road</v>
          </cell>
          <cell r="F12" t="str">
            <v>Monday</v>
          </cell>
          <cell r="G12" t="str">
            <v>9 AM - 12 PM</v>
          </cell>
          <cell r="H12">
            <v>2750</v>
          </cell>
          <cell r="I12">
            <v>687.5</v>
          </cell>
          <cell r="J12" t="str">
            <v>Corporate</v>
          </cell>
          <cell r="K12" t="str">
            <v>Hold today send tom (31/03) Send tom (26/01)</v>
          </cell>
          <cell r="N12" t="str">
            <v>4  del of this cycle   -  0-cycles pmnt   In Process - Collect 0</v>
          </cell>
          <cell r="O12" t="str">
            <v>O n P Spray Daisy ( 15 inch ) 10     FF Sachet + Grass</v>
          </cell>
          <cell r="P12" t="str">
            <v>Mix Alstroemeria ( 12 Inch ) 30     Grass</v>
          </cell>
          <cell r="Q12" t="str">
            <v>Sunflower ( 12 Inch ) 7     Grass</v>
          </cell>
          <cell r="R12" t="str">
            <v>P n W Glad ( 14 Inch ) 32     Grass</v>
          </cell>
          <cell r="S12" t="str">
            <v>Pur n W Eustoma ( 12 Inch) 6     Grass</v>
          </cell>
          <cell r="T12" t="str">
            <v>Pur n P Car ( 14 Inch ) 32     FF Sachet + Grass</v>
          </cell>
        </row>
        <row r="13">
          <cell r="A13">
            <v>1477</v>
          </cell>
          <cell r="B13" t="str">
            <v>Priyanka Agarwal</v>
          </cell>
          <cell r="C13">
            <v>9810745341</v>
          </cell>
          <cell r="D13" t="str">
            <v>624-A, Fairway East, Sector 65</v>
          </cell>
          <cell r="E13" t="str">
            <v>Badshahpur</v>
          </cell>
          <cell r="F13" t="str">
            <v>Friday</v>
          </cell>
          <cell r="G13" t="str">
            <v>9 AM to 2 PM</v>
          </cell>
          <cell r="H13">
            <v>1600</v>
          </cell>
          <cell r="I13">
            <v>200</v>
          </cell>
          <cell r="J13" t="str">
            <v>Bloom</v>
          </cell>
          <cell r="K13"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3" t="str">
            <v>7  del of this cycle   -  0-cycles pmnt   Completed - Collect 0</v>
          </cell>
          <cell r="O13" t="e">
            <v>#N/A</v>
          </cell>
          <cell r="P13" t="str">
            <v>B Daisy 12 Inch ) 7     FF Sachet + grass</v>
          </cell>
          <cell r="Q13" t="str">
            <v>Sunflower ( 12 Inch ) 2     FF Sachet + Grass</v>
          </cell>
          <cell r="R13" t="str">
            <v>P n W Glad ( 14 Inch ) 7     Grass</v>
          </cell>
          <cell r="S13" t="str">
            <v>B Daisy ( 12 Inch ) 7     Grass</v>
          </cell>
          <cell r="T13" t="str">
            <v>Sunflower ( 12 Inch ) 2     FF Sachet + Grass</v>
          </cell>
        </row>
        <row r="14">
          <cell r="A14">
            <v>3330</v>
          </cell>
          <cell r="B14" t="str">
            <v>Radhika</v>
          </cell>
          <cell r="C14">
            <v>9911818025</v>
          </cell>
          <cell r="D14" t="str">
            <v>Bacardi India, 805, 8th Floor, Time Tower</v>
          </cell>
          <cell r="E14" t="str">
            <v>M G Road</v>
          </cell>
          <cell r="F14" t="str">
            <v>Monday</v>
          </cell>
          <cell r="G14" t="str">
            <v>9 AM - 12 PM</v>
          </cell>
          <cell r="H14">
            <v>2750</v>
          </cell>
          <cell r="I14">
            <v>687.5</v>
          </cell>
          <cell r="J14" t="str">
            <v>Corporate</v>
          </cell>
          <cell r="N14" t="str">
            <v>3  del of this cycle   -  0-cycles pmnt   In Process - Collect 0</v>
          </cell>
          <cell r="O14" t="str">
            <v>O n P Spray Daisy ( 15 inch ) 10     FF Sachet + Grass</v>
          </cell>
          <cell r="P14" t="str">
            <v xml:space="preserve">Mix Alstroemeria ( 12 Inch ) 30     </v>
          </cell>
          <cell r="Q14" t="str">
            <v>Sunflower ( 12 Inch ) 7     Grass</v>
          </cell>
          <cell r="R14" t="str">
            <v>P n W Glad ( 14 Inch ) 32     Grass</v>
          </cell>
          <cell r="S14" t="str">
            <v>Pur n W Eustoma ( 12 Inch) 6     Grass</v>
          </cell>
          <cell r="T14" t="str">
            <v>Pur n P Car ( 14 Inch ) 32     FF Sachet + Grass</v>
          </cell>
        </row>
        <row r="15">
          <cell r="A15">
            <v>3002</v>
          </cell>
          <cell r="B15" t="str">
            <v>Mukesh Saluja</v>
          </cell>
          <cell r="C15" t="str">
            <v>98992 01188</v>
          </cell>
          <cell r="D15" t="str">
            <v xml:space="preserve">Electronic City, Phase IV, Udyog Vihar, Sector 18, Gurugram, Haryana 122022
</v>
          </cell>
          <cell r="E15" t="str">
            <v>Old Gurgaon</v>
          </cell>
          <cell r="F15" t="str">
            <v>Monday</v>
          </cell>
          <cell r="G15" t="str">
            <v>4 PM to 7PM</v>
          </cell>
          <cell r="H15">
            <v>1450</v>
          </cell>
          <cell r="I15">
            <v>362.5</v>
          </cell>
          <cell r="J15" t="str">
            <v>Bliss</v>
          </cell>
          <cell r="K15" t="str">
            <v>Returned today-send next week (20/10) Upgraded to bliss (08/11) Hold ue to non payment (22/12) Today hold -send tom (26/01) HDTNP (23/02) HDTNP (09/03) HDTNP (16/03) HDTNP (23/02)</v>
          </cell>
          <cell r="M15" t="str">
            <v>No Del now till we get payment (09/06)</v>
          </cell>
          <cell r="N15" t="str">
            <v>1  del of this cycle   -  1-cycles pmnt   Pending - Collect 1450</v>
          </cell>
          <cell r="O15" t="str">
            <v>Y Asiatic ( 15 Inch ) 3     Grass</v>
          </cell>
          <cell r="P15" t="str">
            <v>P n W Glad ( 14 Inch ) 16     Grass</v>
          </cell>
          <cell r="Q15" t="str">
            <v>P n Y Spray Daisy ( 14 Inch ) 5     FF Sachet + Grass</v>
          </cell>
          <cell r="R15" t="str">
            <v>Pur n P Car ( 14 Inch ) 16     FF Sachet + Grass</v>
          </cell>
          <cell r="S15" t="str">
            <v>Sunflower ( 12 Inch ) 4     FF Sachet + Grass</v>
          </cell>
          <cell r="T15" t="str">
            <v>Glad 16     Grass</v>
          </cell>
        </row>
        <row r="16">
          <cell r="A16">
            <v>1112</v>
          </cell>
          <cell r="B16" t="str">
            <v>Reet Gulati</v>
          </cell>
          <cell r="C16">
            <v>9910689598</v>
          </cell>
          <cell r="D16" t="str">
            <v>T-7/804, Uniworld Gardens</v>
          </cell>
          <cell r="E16" t="str">
            <v>Sohna Road 1</v>
          </cell>
          <cell r="F16" t="str">
            <v>Monday</v>
          </cell>
          <cell r="G16" t="str">
            <v>9:30 Am to 2 PM</v>
          </cell>
          <cell r="H16">
            <v>1450</v>
          </cell>
          <cell r="I16">
            <v>362.5</v>
          </cell>
          <cell r="J16" t="str">
            <v>Bliss</v>
          </cell>
          <cell r="K16" t="str">
            <v>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 Skip 1 week (16/06)</v>
          </cell>
          <cell r="L16" t="str">
            <v>ORCHID</v>
          </cell>
          <cell r="M16" t="str">
            <v>One Kind Flowers// Rajni next (16/10)</v>
          </cell>
          <cell r="N16" t="str">
            <v>1  del of this cycle   -  1-cycles pmnt   Pending - Collect 1450</v>
          </cell>
          <cell r="O16" t="str">
            <v>Y Asiatic ( 15 Inch ) 2     Grass</v>
          </cell>
          <cell r="P16" t="str">
            <v>Mix Alstroemeria ( 12 Inch ) 9     FF sachet + grass</v>
          </cell>
          <cell r="Q16" t="str">
            <v>P n W Glad ( 14 Inch ) 9     Grass</v>
          </cell>
          <cell r="R16" t="str">
            <v>Pur n P Car ( 14 Inch ) 9     FF Sachet + Grass</v>
          </cell>
          <cell r="S16" t="e">
            <v>#N/A</v>
          </cell>
          <cell r="T16" t="str">
            <v>O Asiatic ( 14 Inch ) 3     Grass</v>
          </cell>
        </row>
        <row r="17">
          <cell r="A17">
            <v>3223</v>
          </cell>
          <cell r="B17" t="str">
            <v>Gaurav Agarwal</v>
          </cell>
          <cell r="C17">
            <v>9650088297</v>
          </cell>
          <cell r="D17" t="str">
            <v>D-22/401, Ireo Victory Valley</v>
          </cell>
          <cell r="E17" t="str">
            <v>Badshahpur</v>
          </cell>
          <cell r="F17" t="str">
            <v>Monday</v>
          </cell>
          <cell r="G17" t="str">
            <v>9 AM - 12 PM</v>
          </cell>
          <cell r="H17">
            <v>1950</v>
          </cell>
          <cell r="I17">
            <v>487.5</v>
          </cell>
          <cell r="J17" t="str">
            <v>Joy</v>
          </cell>
          <cell r="K17" t="str">
            <v>One kInd // Skip 1 week (16/12) Skip 1 week (26/05)</v>
          </cell>
          <cell r="M17" t="str">
            <v>One Kind</v>
          </cell>
          <cell r="N17" t="str">
            <v>4  del of this cycle   -  0-cycles pmnt   Completed - Collect 0</v>
          </cell>
          <cell r="O17" t="str">
            <v>O n P Spray Daisy ( 15 inch ) 7     FF Sachet + Grass</v>
          </cell>
          <cell r="P17" t="str">
            <v>R n W car ( 14 Inch) 22     FF Sachet + Grass</v>
          </cell>
          <cell r="Q17" t="str">
            <v>O Asiatic ( 14 inch ) 4     Grass</v>
          </cell>
          <cell r="R17" t="str">
            <v>Mix Alstroemeria ( 12 Inch ) 22     FF Sachet + Grass</v>
          </cell>
          <cell r="S17" t="str">
            <v>Rajni ( 14 Inch ) 22     Grass</v>
          </cell>
          <cell r="T17" t="str">
            <v>Pur n P Eustoma ( 12 Inch ) 4     FF Sachet + Grass</v>
          </cell>
        </row>
        <row r="18">
          <cell r="A18">
            <v>3368</v>
          </cell>
          <cell r="B18" t="str">
            <v>Sugandha Goyal</v>
          </cell>
          <cell r="C18">
            <v>9971681194</v>
          </cell>
          <cell r="D18" t="str">
            <v>T-15/3C, Central Park Resorts</v>
          </cell>
          <cell r="E18" t="str">
            <v>Sohna Road 2</v>
          </cell>
          <cell r="F18" t="str">
            <v>Monday</v>
          </cell>
          <cell r="G18" t="str">
            <v>9 AM - 12 PM</v>
          </cell>
          <cell r="H18">
            <v>2300</v>
          </cell>
          <cell r="I18">
            <v>287.5</v>
          </cell>
          <cell r="J18" t="str">
            <v>Felicity</v>
          </cell>
          <cell r="K18" t="str">
            <v>HDTNP (26/06)</v>
          </cell>
          <cell r="N18" t="str">
            <v>4  del of this cycle   -  0-cycles pmnt   Completed - Collect 0</v>
          </cell>
          <cell r="O18" t="str">
            <v>Rajni ( 14 Inch ) 7     Grass</v>
          </cell>
          <cell r="P18" t="str">
            <v>P n Y Gerbera ( 12 Inch ) 11     FF sachet + Grass</v>
          </cell>
          <cell r="Q18" t="str">
            <v>Pur n P Car ( 14 Inch ) 11     FF Sachet + Grass</v>
          </cell>
          <cell r="R18" t="str">
            <v>P n W Glad ( 14 Inch ) 11     Grass</v>
          </cell>
          <cell r="S18" t="str">
            <v>Rajni ( 14 Inch ) 11     Grass</v>
          </cell>
          <cell r="T18" t="str">
            <v>Y Spray Daisy ( 14 Inch ) 3     FF Sachet + Grass</v>
          </cell>
        </row>
        <row r="19">
          <cell r="A19">
            <v>3376</v>
          </cell>
          <cell r="B19" t="str">
            <v>Swapna Reddy</v>
          </cell>
          <cell r="C19">
            <v>9311244914</v>
          </cell>
          <cell r="D19" t="str">
            <v>C=1403, Ireo Victory Valley, Sec 67</v>
          </cell>
          <cell r="E19" t="str">
            <v>Badshahpur</v>
          </cell>
          <cell r="F19" t="str">
            <v>Monday</v>
          </cell>
          <cell r="G19" t="str">
            <v>9 AM - 12 PM</v>
          </cell>
          <cell r="H19">
            <v>1450</v>
          </cell>
          <cell r="I19">
            <v>362.5</v>
          </cell>
          <cell r="J19" t="str">
            <v>Bliss</v>
          </cell>
          <cell r="N19" t="str">
            <v>4  del of this cycle   -  0-cycles pmnt   Completed - Collect 0</v>
          </cell>
          <cell r="O19" t="e">
            <v>#N/A</v>
          </cell>
          <cell r="P19" t="e">
            <v>#N/A</v>
          </cell>
          <cell r="Q19" t="str">
            <v>Pur n P Car ( 14 Inch ) 16     FF Sachet + Grass</v>
          </cell>
          <cell r="R19" t="str">
            <v>P Asiatic ( 14 Inch ) 3     Grass</v>
          </cell>
          <cell r="S19" t="str">
            <v>P n W Glad ( 14 Inch ) 16     FF Sachet + Grass</v>
          </cell>
          <cell r="T19" t="str">
            <v>Pur Eustoma ( 12 Inch ) 3     FF Sachet + Grass</v>
          </cell>
        </row>
        <row r="20">
          <cell r="A20">
            <v>950</v>
          </cell>
          <cell r="B20" t="str">
            <v>Radhika</v>
          </cell>
          <cell r="C20">
            <v>9911818025</v>
          </cell>
          <cell r="D20" t="str">
            <v>Bacardi India, 805, 8th Floor, Time Tower</v>
          </cell>
          <cell r="E20" t="str">
            <v>M G Road</v>
          </cell>
          <cell r="F20" t="str">
            <v>Monday</v>
          </cell>
          <cell r="G20" t="str">
            <v>9 AM - 12 PM</v>
          </cell>
          <cell r="H20">
            <v>2750</v>
          </cell>
          <cell r="I20">
            <v>687.5</v>
          </cell>
          <cell r="J20" t="str">
            <v>Corporate</v>
          </cell>
          <cell r="K20" t="str">
            <v>Skip 2 weeks(20/03) Today hold-send Tom(15/08) Returned-send tom(26/10) Today returned (19/08) Hold today send tom (31/03) Send tom (26/01)</v>
          </cell>
          <cell r="N20" t="str">
            <v>2  del of this cycle   -  0-cycles pmnt   In Process - Collect 0</v>
          </cell>
          <cell r="O20" t="str">
            <v>O n P Spray Daisy ( 15 inch ) 10     FF Sachet + Grass</v>
          </cell>
          <cell r="P20" t="str">
            <v xml:space="preserve">Mix Alstroemeria ( 12 Inch ) 30     </v>
          </cell>
          <cell r="Q20" t="str">
            <v>Sunflower ( 12 Inch ) 7     Grass</v>
          </cell>
          <cell r="R20" t="str">
            <v>P n W Glad ( 14 Inch ) 32     Grass</v>
          </cell>
          <cell r="S20" t="str">
            <v>Pur n W Eustoma ( 12 Inch) 6     Grass</v>
          </cell>
          <cell r="T20" t="str">
            <v>Pur n P Car ( 14 Inch ) 32     FF Sachet + Grass</v>
          </cell>
        </row>
        <row r="21">
          <cell r="A21">
            <v>3374</v>
          </cell>
          <cell r="B21" t="str">
            <v>Geeta Garg</v>
          </cell>
          <cell r="C21">
            <v>9971005977</v>
          </cell>
          <cell r="D21" t="str">
            <v>T-A/4C, Central Park Resorts, Sec 48</v>
          </cell>
          <cell r="E21" t="str">
            <v>Sohna Road 2</v>
          </cell>
          <cell r="F21" t="str">
            <v>Monday</v>
          </cell>
          <cell r="G21" t="str">
            <v>9:30 Am to 2 PM</v>
          </cell>
          <cell r="H21">
            <v>1450</v>
          </cell>
          <cell r="I21">
            <v>362.5</v>
          </cell>
          <cell r="J21" t="str">
            <v>Bliss</v>
          </cell>
          <cell r="K21" t="str">
            <v xml:space="preserve">From Pankaj Garg </v>
          </cell>
          <cell r="N21" t="str">
            <v>2  del of this cycle   -  1-cycles pmnt   Pending - Collect 1450</v>
          </cell>
          <cell r="O21" t="str">
            <v>P n W Car ( 14 Inch ) 16     FF Sachet + Grass</v>
          </cell>
          <cell r="P21" t="str">
            <v>O Asiatic ( 15 Inch ) 3     Grass</v>
          </cell>
          <cell r="Q21" t="str">
            <v>P n W Glad ( 14 Inch ) 16     Grass</v>
          </cell>
          <cell r="R21" t="str">
            <v>P n W Spray Daisy ( 14 Inch ) 5     FF Sachet + Grass</v>
          </cell>
          <cell r="S21" t="str">
            <v>Rajni ( 14 Inch ) 16     Grass</v>
          </cell>
          <cell r="T21" t="str">
            <v>Pur n P Car ( 14 Inch ) 16     FF Sachet + Grass</v>
          </cell>
        </row>
        <row r="22">
          <cell r="A22">
            <v>435</v>
          </cell>
          <cell r="B22" t="str">
            <v>Rashee Sharma</v>
          </cell>
          <cell r="C22">
            <v>9911818025</v>
          </cell>
          <cell r="D22" t="str">
            <v>Bacardi, 8th Floor, Time Tower, M G Road</v>
          </cell>
          <cell r="E22" t="str">
            <v>Sohna Road 1</v>
          </cell>
          <cell r="F22" t="str">
            <v>Monday</v>
          </cell>
          <cell r="G22" t="str">
            <v>4 PM to 7PM</v>
          </cell>
          <cell r="H22">
            <v>1450</v>
          </cell>
          <cell r="I22">
            <v>362.5</v>
          </cell>
          <cell r="J22" t="str">
            <v>Corporate</v>
          </cell>
          <cell r="K22" t="str">
            <v>Hold today-send tom(02/09) Today Returned (20/08) Hold toda send tom (31/03) Send tom (26/01)</v>
          </cell>
          <cell r="N22" t="str">
            <v>2  del of this cycle   -  0-cycles pmnt   In Process - Collect 0</v>
          </cell>
          <cell r="O22" t="str">
            <v>O Spray Daisy ( 15 inch ) 5     FF Sachet + Grass</v>
          </cell>
          <cell r="P22" t="str">
            <v>Mix Alstroemeria ( 12 Inch ) 15     FF Sachet + Grass</v>
          </cell>
          <cell r="Q22" t="str">
            <v>Sunflower ( 12 Inch ) 4     Grass</v>
          </cell>
          <cell r="R22" t="str">
            <v>P n W Glad ( 14 Inch ) 16     Grass</v>
          </cell>
          <cell r="S22" t="str">
            <v>Pur Eustom ( 12 Inch ) 3     FF Sachet + Grass</v>
          </cell>
          <cell r="T22" t="str">
            <v>Pur n P Car ( 14 Inch ) 16     FF Sachet + Grass</v>
          </cell>
        </row>
        <row r="23">
          <cell r="A23">
            <v>2895</v>
          </cell>
          <cell r="B23" t="str">
            <v>Aditya -- Hexa Climate</v>
          </cell>
          <cell r="C23">
            <v>8351968881</v>
          </cell>
          <cell r="D23" t="str">
            <v>Hexa Climate Solutions , 8th Floor, Vatika Buisness Park</v>
          </cell>
          <cell r="E23" t="str">
            <v>Sohna Road 1</v>
          </cell>
          <cell r="F23" t="str">
            <v>Monday</v>
          </cell>
          <cell r="G23" t="str">
            <v>By 9 AM</v>
          </cell>
          <cell r="H23">
            <v>20000</v>
          </cell>
          <cell r="I23">
            <v>5000</v>
          </cell>
          <cell r="J23" t="str">
            <v>Corporate</v>
          </cell>
          <cell r="K23" t="str">
            <v>Visit -- 15 Square vase</v>
          </cell>
          <cell r="N23" t="str">
            <v>3  del of this cycle   -  0-cycles pmnt   In Process - Collect 0</v>
          </cell>
          <cell r="O23" t="str">
            <v xml:space="preserve">Square Arrangement 15     </v>
          </cell>
          <cell r="P23" t="str">
            <v xml:space="preserve">Square Arrangement 15     </v>
          </cell>
          <cell r="Q23" t="str">
            <v xml:space="preserve">Square Arrangement 15     </v>
          </cell>
          <cell r="R23" t="str">
            <v xml:space="preserve">Square arrangment 15     </v>
          </cell>
          <cell r="S23" t="str">
            <v xml:space="preserve">Square Arrangement  15     </v>
          </cell>
          <cell r="T23" t="str">
            <v xml:space="preserve">Square Arrangement 15     </v>
          </cell>
        </row>
        <row r="24">
          <cell r="A24">
            <v>3370</v>
          </cell>
          <cell r="B24" t="str">
            <v>Veenu Pareek</v>
          </cell>
          <cell r="C24">
            <v>7042202246</v>
          </cell>
          <cell r="D24" t="str">
            <v>D-1202, Bestech Park View Spa Next, Sec 67</v>
          </cell>
          <cell r="E24" t="str">
            <v>Badshahpur</v>
          </cell>
          <cell r="F24" t="str">
            <v>Monday</v>
          </cell>
          <cell r="G24" t="str">
            <v>9 AM - 12 PM</v>
          </cell>
          <cell r="H24">
            <v>1450</v>
          </cell>
          <cell r="I24">
            <v>487.5</v>
          </cell>
          <cell r="J24" t="str">
            <v>Bliss</v>
          </cell>
          <cell r="K24" t="str">
            <v>Paytm From Aditi Pareek //</v>
          </cell>
          <cell r="N24" t="str">
            <v>3  del of this cycle   -  0-cycles pmnt   Completed - Collect 0</v>
          </cell>
          <cell r="O24" t="str">
            <v>O Spray Daisy ( 15 inch ) 5     FF Sachet + Grass</v>
          </cell>
          <cell r="P24" t="str">
            <v>P asiatic ( 15 Inch ) 3     Grass</v>
          </cell>
          <cell r="Q24" t="str">
            <v>Mix Car  ( 14 Inch ) 16     FF Sachet + Grass</v>
          </cell>
          <cell r="R24" t="str">
            <v>Mix Alstroemeria ( 12 Inch ) 16     FF Sachet + Grass</v>
          </cell>
          <cell r="S24" t="str">
            <v>Rajni ( 14 Inch ) 16     Grass</v>
          </cell>
          <cell r="T24" t="str">
            <v>P n W Glad ( 14 Inch ) 16     Grass</v>
          </cell>
        </row>
        <row r="25">
          <cell r="A25">
            <v>3309</v>
          </cell>
          <cell r="B25" t="str">
            <v>Tahzeeb Mohammad</v>
          </cell>
          <cell r="C25">
            <v>9986608474</v>
          </cell>
          <cell r="D25" t="str">
            <v>Natura Tower -1, N 2105, M3M Marina, Sec 68</v>
          </cell>
          <cell r="E25" t="str">
            <v>Badshahpur</v>
          </cell>
          <cell r="F25" t="str">
            <v>Friday</v>
          </cell>
          <cell r="G25" t="str">
            <v>9 AM - 12 PM</v>
          </cell>
          <cell r="H25">
            <v>2550</v>
          </cell>
          <cell r="I25">
            <v>318.75</v>
          </cell>
          <cell r="J25" t="str">
            <v>Bi weekly Customised</v>
          </cell>
          <cell r="K25" t="str">
            <v>Gerbera // Rajni // Sunflowers // Eustoma // Orchid // Skip Monday (15/05)</v>
          </cell>
          <cell r="N25" t="str">
            <v>7  del of this cycle   -  0-cycles pmnt   Completed - Collect 0</v>
          </cell>
          <cell r="O25" t="str">
            <v>Sunflower ( 14 inch ) 3     Grass</v>
          </cell>
          <cell r="P25" t="str">
            <v>P n Y Gerbera ( 12 Inch ) 11     FF sachet + Grass</v>
          </cell>
          <cell r="Q25" t="str">
            <v>Rajni ( 14 Inch ) 11     Grass</v>
          </cell>
          <cell r="R25" t="str">
            <v>Sunflower ( 12 Inch ) 3     FF sachet + Grass</v>
          </cell>
          <cell r="S25" t="str">
            <v>P n W Gerbera ( 12 Inch ) 11     Grass</v>
          </cell>
          <cell r="T25" t="str">
            <v>B Orchid  4     FF Sachet + Grass</v>
          </cell>
        </row>
        <row r="26">
          <cell r="A26">
            <v>1005</v>
          </cell>
          <cell r="B26" t="str">
            <v>Pradeep Jain</v>
          </cell>
          <cell r="C26">
            <v>9810013570</v>
          </cell>
          <cell r="D26" t="str">
            <v>Bacardi India,8th Floor, Time Tower</v>
          </cell>
          <cell r="E26" t="str">
            <v>M G Road</v>
          </cell>
          <cell r="F26" t="str">
            <v>Monday</v>
          </cell>
          <cell r="G26" t="str">
            <v>9:30 AM to 2 PM</v>
          </cell>
          <cell r="H26">
            <v>1450</v>
          </cell>
          <cell r="I26">
            <v>362.5</v>
          </cell>
          <cell r="J26" t="str">
            <v>Corporate</v>
          </cell>
          <cell r="K26"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26" t="str">
            <v>1  del of this cycle   -  0-cycles pmnt   In Process - Collect 0</v>
          </cell>
          <cell r="O26" t="str">
            <v>O Spray Daisy ( 15 inch ) 5     FF Sachet + Grass</v>
          </cell>
          <cell r="P26" t="str">
            <v>P n W Glad ( 14 Inch )      Grass</v>
          </cell>
          <cell r="Q26" t="str">
            <v>Sunflower ( 12 Inch ) 4     FF Sachet + Grass</v>
          </cell>
          <cell r="R26" t="str">
            <v>Pur n P Car ( 14 Inch ) 16     FF Sachet + Grass</v>
          </cell>
          <cell r="S26" t="str">
            <v>Pur Eustom ( 12 Inch ) 3     Grass</v>
          </cell>
          <cell r="T26" t="str">
            <v>O Asiatic ( 14 Inch ) 3     Grass</v>
          </cell>
        </row>
        <row r="27">
          <cell r="A27">
            <v>380</v>
          </cell>
          <cell r="B27" t="str">
            <v xml:space="preserve">   Dr Mandeep Yadav 1 -- Before 12 PM</v>
          </cell>
          <cell r="C27" t="str">
            <v>9811090481 #</v>
          </cell>
          <cell r="D27" t="str">
            <v>Smile Plus Dental Clinic Shanti Nagar, Beriwala BaghBehind Mini Sectritariat Near Rajiv Chowk</v>
          </cell>
          <cell r="E27" t="str">
            <v>Sohna Road 2</v>
          </cell>
          <cell r="F27" t="str">
            <v>Monday</v>
          </cell>
          <cell r="G27" t="str">
            <v>9 AM - 12 PM</v>
          </cell>
          <cell r="H27">
            <v>999</v>
          </cell>
          <cell r="I27">
            <v>249.75</v>
          </cell>
          <cell r="J27" t="str">
            <v>Delight</v>
          </cell>
          <cell r="K27" t="str">
            <v>Never Send GLAD(02/08)Send always car(13/08)Glad next time(23/09)Replacement tom(04/10) Pls send daisy next and send 2 vase tom(31/12)No Glad-next Daisy(14/01) Upgrade to 650 Plan after currsnet cycle(15/04) NO ASIATIC--Always mixed car(10/06) FF Sold today(26/08) NO DAHELAI(02/03) Skip 1 week(06/11) Skiped 1 week due to HOLI(29/03) Return-send tom(15/11)</v>
          </cell>
          <cell r="N27" t="str">
            <v>4  del of this cycle   -  1-cycles pmnt   Pending - Collect 977</v>
          </cell>
          <cell r="O27" t="str">
            <v>R Car ( 14 Inch ) 9     FF Sachet + Grass</v>
          </cell>
          <cell r="P27" t="str">
            <v>Pur Car ( 14 Inch ) 9     FF sachet + grass</v>
          </cell>
          <cell r="Q27" t="str">
            <v>P Car ( 14 Inch ) 9     FF Sachet + Grass</v>
          </cell>
          <cell r="R27" t="str">
            <v>R Car ( 14 Inch ) 9     FF Sachet + Grass</v>
          </cell>
          <cell r="S27" t="str">
            <v>Pur Car ( 14 Inch ) 9     FF Sachet + Grass</v>
          </cell>
          <cell r="T27" t="str">
            <v>P Car ( 14 Inch ) 9     FF Sachet + Grass</v>
          </cell>
        </row>
        <row r="28">
          <cell r="A28">
            <v>3278</v>
          </cell>
          <cell r="B28" t="str">
            <v>Manish -- Shivtech Spechemi</v>
          </cell>
          <cell r="C28">
            <v>9220454117</v>
          </cell>
          <cell r="D28" t="str">
            <v>Shivtek Spechemi Industries, 24, 4th Floor, M3M Corner Walk, Sec 74</v>
          </cell>
          <cell r="E28" t="str">
            <v>Badshahpur</v>
          </cell>
          <cell r="F28" t="str">
            <v>Monday</v>
          </cell>
          <cell r="G28" t="str">
            <v>By 10 AM</v>
          </cell>
          <cell r="H28">
            <v>6350</v>
          </cell>
          <cell r="I28">
            <v>1587.5</v>
          </cell>
          <cell r="J28" t="str">
            <v>Corporate</v>
          </cell>
          <cell r="K28" t="str">
            <v>Flowers for 6 Vases // Hold today (05/03) Skip tom (29/03)</v>
          </cell>
          <cell r="N28" t="str">
            <v>3  del of this cycle   -  0-cycles pmnt   In Process - Collect 0</v>
          </cell>
          <cell r="O28" t="str">
            <v>O Asiatic ( 15 Inch ) 6 P n W Eustoma ( 14 Inch ) 6 Mix Alstroemeria ( 12 Inch ) 24 4 Areca palm + 2 Gypsola + 2 Limonium</v>
          </cell>
          <cell r="P28" t="str">
            <v>Y Asiatic + Sunflower + P n W Glad 6 + 6 + 24     4 Areca Palm + 2 Gypsola + 2 Limonkum</v>
          </cell>
          <cell r="Q28" t="str">
            <v>P Asiatic ( 14 Inch ) 6 P n W Spray Daisy ( 14 Inch ) 8 Pur n P Car ( 14 inch ) 24 4 Ateca Palm + 2 Gypsola + 2 Limonium</v>
          </cell>
          <cell r="R28" t="str">
            <v>W Asiatic + Spray Daisy  6 + 8 Rajni 24   4 Areca Palm + 2 Gypsola + 2 Limonium</v>
          </cell>
          <cell r="S28" t="str">
            <v>O Aiatic (14 Inch) 6 P Eustoma ( 12 Inch ) 6 P n W Car ( 12 Inch ) 24 4 Areca Palm +2 Gypsola + 2 Limonium</v>
          </cell>
          <cell r="T28" t="str">
            <v>P Asiatic ( 14 Inch ) + Sunflower  ( 12 Inch ) 6 + 6 P n W Glad ( 14 Inch ) 24   4 Areca Palm + 2 Gypsola + 2 Limonium</v>
          </cell>
        </row>
        <row r="29">
          <cell r="A29" t="str">
            <v>G-00065</v>
          </cell>
          <cell r="B29" t="str">
            <v>Shilpa Tambi</v>
          </cell>
          <cell r="C29">
            <v>9993806367</v>
          </cell>
          <cell r="D29" t="str">
            <v>A4/1603, Yulip Yellow, Sec 69</v>
          </cell>
          <cell r="E29" t="str">
            <v>Badshahpur</v>
          </cell>
          <cell r="F29" t="str">
            <v>Monday</v>
          </cell>
          <cell r="G29" t="str">
            <v>9 AM - 12 PM</v>
          </cell>
          <cell r="H29">
            <v>1450</v>
          </cell>
          <cell r="I29">
            <v>362.5</v>
          </cell>
          <cell r="J29" t="str">
            <v>Bliss</v>
          </cell>
          <cell r="K29" t="str">
            <v>Gift From 9993806367</v>
          </cell>
          <cell r="N29" t="str">
            <v>1  del of this cycle   -  0-cycles pmnt   Completed - Collect 0</v>
          </cell>
          <cell r="O29" t="e">
            <v>#N/A</v>
          </cell>
          <cell r="P29" t="e">
            <v>#N/A</v>
          </cell>
          <cell r="Q29" t="e">
            <v>#N/A</v>
          </cell>
          <cell r="R29" t="e">
            <v>#N/A</v>
          </cell>
          <cell r="S29" t="e">
            <v>#N/A</v>
          </cell>
          <cell r="T29" t="str">
            <v>Pur n P Car ( 14 Inch ) 16     FF Sachet + Grass</v>
          </cell>
        </row>
        <row r="30">
          <cell r="A30">
            <v>2363</v>
          </cell>
          <cell r="B30" t="str">
            <v>Radhika</v>
          </cell>
          <cell r="C30">
            <v>9911818025</v>
          </cell>
          <cell r="D30" t="str">
            <v>Bacardi India, 805, 8th Floor, Time Tower</v>
          </cell>
          <cell r="E30" t="str">
            <v>M G Road</v>
          </cell>
          <cell r="F30" t="str">
            <v>Monday</v>
          </cell>
          <cell r="G30" t="str">
            <v>9 AM - 12 PM</v>
          </cell>
          <cell r="H30">
            <v>2750</v>
          </cell>
          <cell r="I30">
            <v>687.5</v>
          </cell>
          <cell r="J30" t="str">
            <v>Corporate</v>
          </cell>
          <cell r="K30" t="str">
            <v>Hold today send tom (31/03) Send tom (26/01)</v>
          </cell>
          <cell r="N30" t="str">
            <v>1  del of this cycle   -  0-cycles pmnt   In Process - Collect 0</v>
          </cell>
          <cell r="O30" t="str">
            <v>O n P Spray Daisy ( 15 inch ) 10     FF Sachet + Grass</v>
          </cell>
          <cell r="P30" t="str">
            <v>Mix Alstroemeria ( 12 Inch ) 30     Grass</v>
          </cell>
          <cell r="Q30" t="str">
            <v>Sunflower ( 12 Inch ) 7     Grass</v>
          </cell>
          <cell r="R30" t="str">
            <v>P n W Glad ( 14 Inch ) 32     Grass</v>
          </cell>
          <cell r="S30" t="str">
            <v>Pur n W Eustoma ( 12 Inch) 6     Grass</v>
          </cell>
          <cell r="T30" t="str">
            <v>Pur n P Car ( 14 Inch ) 32     FF Sachet + Grass</v>
          </cell>
        </row>
        <row r="31">
          <cell r="A31">
            <v>2848</v>
          </cell>
          <cell r="B31" t="str">
            <v>Mitu Agarwal</v>
          </cell>
          <cell r="C31">
            <v>9973582427</v>
          </cell>
          <cell r="D31" t="str">
            <v>T-E/103, Shree Vardhman Victoria</v>
          </cell>
          <cell r="E31" t="str">
            <v>Badshahpur</v>
          </cell>
          <cell r="F31" t="str">
            <v>Monday</v>
          </cell>
          <cell r="G31" t="str">
            <v>9 AM to 2 PM</v>
          </cell>
          <cell r="H31">
            <v>1450</v>
          </cell>
          <cell r="I31">
            <v>362.5</v>
          </cell>
          <cell r="J31" t="str">
            <v>Bliss</v>
          </cell>
          <cell r="K31" t="str">
            <v>Skip 2 week (28/08) Today Returned (13/09) Skip 1 week (23/10) Send replacement of Gerbera Today (30/11) No Del between 14th to 18th (11/12) No lilies (11/05) today Hold (25/05) Sent one del today (27/05)</v>
          </cell>
          <cell r="L31" t="str">
            <v>Lily</v>
          </cell>
          <cell r="N31" t="str">
            <v>3  del of this cycle   -  0-cycles pmnt   Completed - Collect 0</v>
          </cell>
          <cell r="O31" t="str">
            <v>Mix Alstroemeria ( 14 Inch ) 16     FF Sachet + Grass</v>
          </cell>
          <cell r="P31" t="str">
            <v>P n W Spray Daisy ( 15 Inch ) 5     FF Sachet + Grass</v>
          </cell>
          <cell r="Q31" t="str">
            <v>P n W Glad ( 14 Inch ) 16     Grass</v>
          </cell>
          <cell r="R31" t="str">
            <v>P Asiatic ( 14 Inch ) 3     Grass</v>
          </cell>
          <cell r="S31" t="str">
            <v>Rajni ( 14 Inch ) 16     Grass</v>
          </cell>
          <cell r="T31" t="str">
            <v>Pur n P Car ( 14 Inch ) 16     FF Sachet + Grass</v>
          </cell>
        </row>
        <row r="32">
          <cell r="A32">
            <v>2620</v>
          </cell>
          <cell r="B32" t="str">
            <v>Bhavna Newle-- Before 12 PM</v>
          </cell>
          <cell r="C32" t="str">
            <v>98736 93388</v>
          </cell>
          <cell r="D32" t="str">
            <v xml:space="preserve">37/101 Heritage City </v>
          </cell>
          <cell r="E32" t="str">
            <v>M G Road</v>
          </cell>
          <cell r="F32" t="str">
            <v>Monday</v>
          </cell>
          <cell r="G32" t="str">
            <v>Before 12 PM</v>
          </cell>
          <cell r="H32">
            <v>4160</v>
          </cell>
          <cell r="I32">
            <v>1040</v>
          </cell>
          <cell r="J32" t="str">
            <v>Customized</v>
          </cell>
          <cell r="K32"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32" t="str">
            <v>Skip 9th n 15th July (29/06)</v>
          </cell>
          <cell r="N32" t="str">
            <v>4  del of this cycle   -  0-cycles pmnt   Completed - Collect 0</v>
          </cell>
          <cell r="O32" t="str">
            <v>O n P Spray Daisy ( 15 inch ) 16     2 Limonium + FF Sachet</v>
          </cell>
          <cell r="P32" t="str">
            <v>P n W Spray Daisy ( 15 Inch ) 16     2 Gypsola + FF Sachet</v>
          </cell>
          <cell r="Q32" t="str">
            <v>P n Y Spray Daisy ( 14 Inch ) 16     2 Limonium + FF Sachet</v>
          </cell>
          <cell r="R32" t="str">
            <v>Y n W Spray Daisy ( 14 Inch ) 16     2 Gypsola + FF sachet</v>
          </cell>
          <cell r="S32" t="str">
            <v>P n W Spray Daisy 16     2 Limonoum + FF sachet</v>
          </cell>
          <cell r="T32" t="str">
            <v>P n Y Spray Daisy ( 14 Inch ) 16     2 Gypsola + FF Sachet</v>
          </cell>
        </row>
        <row r="33">
          <cell r="A33">
            <v>381</v>
          </cell>
          <cell r="B33" t="str">
            <v xml:space="preserve">   Dr Mandeep Yadav 1 -- Before 12 PM</v>
          </cell>
          <cell r="C33" t="str">
            <v>9811090481 #</v>
          </cell>
          <cell r="D33" t="str">
            <v>Smile Plus Dental Clinic Shanti Nagar, Beriwala BaghBehind Mini Sectritariat Near Rajiv Chowk</v>
          </cell>
          <cell r="E33" t="str">
            <v>Sohna Road 2</v>
          </cell>
          <cell r="F33" t="str">
            <v>Monday</v>
          </cell>
          <cell r="G33" t="str">
            <v>9 AM - 12 PM</v>
          </cell>
          <cell r="H33">
            <v>999</v>
          </cell>
          <cell r="I33">
            <v>249.75</v>
          </cell>
          <cell r="J33" t="str">
            <v>Delight</v>
          </cell>
          <cell r="K33" t="str">
            <v>Never Send GLAD(02/08)Send always car(13/08)Replacement Tom(19/09)No Glad-next Daisy(14/01) Upgrade to 650 Plan after currsnet cycle(15/04) NO ASIATIC--Always Mix Car(10/06) FF Sold today(22/07) NO DAHELIA(02/03) Sending 1st June Flowers on 30th may(30/05/2020) Skip 1 week(05/11) Send 2 vase tom(21/12) 1 stick extra next(01/02) Skiped 1 week due to HOLI(29/03) Return-send tom(15/11) Replace grass(18/04)</v>
          </cell>
          <cell r="N33" t="str">
            <v>4  del of this cycle   -  1-cycles pmnt   Pending - Collect 999</v>
          </cell>
          <cell r="O33" t="str">
            <v>W Car ( 14 Inch ) 9     FF Sachet + Grass</v>
          </cell>
          <cell r="P33" t="str">
            <v>Y Car ( 14 Inch ) 9     FF sachet + grass</v>
          </cell>
          <cell r="Q33" t="str">
            <v>W Car ( 14 Inch ) 9     FF Sachet + Grass</v>
          </cell>
          <cell r="R33" t="str">
            <v>W Car ( 14 Inch ) 9     FF Sachet + Grass</v>
          </cell>
          <cell r="S33" t="str">
            <v>Y Car ( 14 Inch ) 9     FF Sachet + Grass</v>
          </cell>
          <cell r="T33" t="str">
            <v>W Car ( 14 Inch ) 9     FF Sachet + Grass</v>
          </cell>
        </row>
        <row r="34">
          <cell r="A34">
            <v>2672</v>
          </cell>
          <cell r="B34" t="str">
            <v>Anjali Chawla</v>
          </cell>
          <cell r="C34">
            <v>9810545028</v>
          </cell>
          <cell r="D34" t="str">
            <v>Cedar Drive 60, Malibu Town</v>
          </cell>
          <cell r="E34" t="str">
            <v>Sohna Road 1</v>
          </cell>
          <cell r="F34" t="str">
            <v>Monday</v>
          </cell>
          <cell r="G34" t="str">
            <v>9:30 Am to 2 PM</v>
          </cell>
          <cell r="H34">
            <v>999</v>
          </cell>
          <cell r="I34">
            <v>249.75</v>
          </cell>
          <cell r="J34" t="str">
            <v>Delight</v>
          </cell>
          <cell r="N34" t="str">
            <v>4  del of this cycle   -  0-cycles pmnt   Completed - Collect 0</v>
          </cell>
          <cell r="O34" t="str">
            <v>Mix Alstroemeria ( 14 Inch ) 9     FF Sachet + Grass</v>
          </cell>
          <cell r="P34" t="str">
            <v>P asiatic ( 15 Inch ) 2     Grass</v>
          </cell>
          <cell r="Q34" t="str">
            <v>P n W Glad ( 14 Inch ) 9     Grass</v>
          </cell>
          <cell r="R34" t="str">
            <v>R n W Car ( 14 Inch ) 9     FF Sachet + Grass</v>
          </cell>
          <cell r="S34" t="str">
            <v>Sunflower ( 12 Inch ) 2     FF Sachet + Grass</v>
          </cell>
          <cell r="T34" t="str">
            <v>W Asiatic ( 14 Inch ) 2     Grass</v>
          </cell>
        </row>
        <row r="35">
          <cell r="A35">
            <v>2896</v>
          </cell>
          <cell r="B35" t="str">
            <v>Priyanka -- Southern</v>
          </cell>
          <cell r="C35">
            <v>9870161122</v>
          </cell>
          <cell r="D35" t="str">
            <v>T-4/2504,  Tata Primanti,Southrn Peripheral, Near Vatika Chowk</v>
          </cell>
          <cell r="E35" t="str">
            <v>Sohna Road 2</v>
          </cell>
          <cell r="F35" t="str">
            <v>Monday</v>
          </cell>
          <cell r="G35" t="str">
            <v>9 AM - 12 PM</v>
          </cell>
          <cell r="H35">
            <v>1450</v>
          </cell>
          <cell r="I35">
            <v>362.5</v>
          </cell>
          <cell r="J35" t="str">
            <v>Bliss</v>
          </cell>
          <cell r="K35" t="str">
            <v>Paytm From Priyanka Seth (11/11) Hold due to non payment (02/02) Hold today and send on Friday (23/03)</v>
          </cell>
          <cell r="N35" t="str">
            <v>1  del of this cycle   -  1-cycles pmnt   Pending - Collect 1450</v>
          </cell>
          <cell r="O35" t="e">
            <v>#N/A</v>
          </cell>
          <cell r="P35" t="e">
            <v>#N/A</v>
          </cell>
          <cell r="Q35" t="e">
            <v>#N/A</v>
          </cell>
          <cell r="R35" t="e">
            <v>#N/A</v>
          </cell>
          <cell r="S35" t="str">
            <v>Pur Eustom ( 12 Inch ) 2 Rajni ( 14 inch ) 7   FF Sachet + Grass</v>
          </cell>
          <cell r="T35" t="str">
            <v>P n W Glad ( 14 Inch ) 16     Grass</v>
          </cell>
        </row>
        <row r="36">
          <cell r="A36">
            <v>3249</v>
          </cell>
          <cell r="B36" t="str">
            <v>Nupur Bhatnagar</v>
          </cell>
          <cell r="C36">
            <v>9910985656</v>
          </cell>
          <cell r="D36" t="str">
            <v>A-001, Park View City 1</v>
          </cell>
          <cell r="E36" t="str">
            <v>Sohna Road 2</v>
          </cell>
          <cell r="F36" t="str">
            <v>Monday</v>
          </cell>
          <cell r="G36" t="str">
            <v>9 AM - 12 PM</v>
          </cell>
          <cell r="H36">
            <v>1450</v>
          </cell>
          <cell r="I36">
            <v>362.5</v>
          </cell>
          <cell r="J36" t="str">
            <v>Bliss</v>
          </cell>
          <cell r="K36" t="str">
            <v>Hold due to non payment (19/01) HDTNP (16/03) No Spray Daisy (14/06)</v>
          </cell>
          <cell r="L36" t="str">
            <v>Spray Daisy</v>
          </cell>
          <cell r="N36" t="str">
            <v>4  del of this cycle   -  0-cycles pmnt   Completed - Collect 0</v>
          </cell>
          <cell r="O36" t="str">
            <v>P n W Glad ( 14 Inch ) 16     Grass</v>
          </cell>
          <cell r="P36" t="str">
            <v>O Asiatic ( 15 Inch ) 3     Grass</v>
          </cell>
          <cell r="Q36" t="str">
            <v>P n W Spray Daisy ( 14 Inch ) 5     FF Sachet + Grass</v>
          </cell>
          <cell r="R36" t="str">
            <v>Pur n P Car ( 14 Inch ) 16     FF Sachet + Grass</v>
          </cell>
          <cell r="S36" t="str">
            <v>Rajni ( 14 Inch ) 16     Grass</v>
          </cell>
          <cell r="T36" t="str">
            <v>P n W Glad ( 14 Inch ) 16     Grass</v>
          </cell>
        </row>
        <row r="37">
          <cell r="A37">
            <v>2396</v>
          </cell>
          <cell r="B37" t="str">
            <v>Reema</v>
          </cell>
          <cell r="C37">
            <v>9811281042</v>
          </cell>
          <cell r="D37" t="str">
            <v>24/02, Emilia b2, Vatika City</v>
          </cell>
          <cell r="E37" t="str">
            <v>Sohna Road 1</v>
          </cell>
          <cell r="F37" t="str">
            <v>Monday</v>
          </cell>
          <cell r="G37" t="str">
            <v>10 AM to 2:30 PM</v>
          </cell>
          <cell r="H37">
            <v>1450</v>
          </cell>
          <cell r="I37">
            <v>362.5</v>
          </cell>
          <cell r="J37" t="str">
            <v>Bliss</v>
          </cell>
          <cell r="K37" t="str">
            <v>No Guldawari (16/02) Send 1 Del today (29/05) No Gerbera (16/09) After 11th (02/10) Paytm From Reema makkar (23/11) Paytm from Sharda Sethi (22/06)</v>
          </cell>
          <cell r="L37" t="str">
            <v>Guldawari n Gerbera</v>
          </cell>
          <cell r="N37" t="str">
            <v>3  del of this cycle   -  0-cycles pmnt   Completed - Collect 0</v>
          </cell>
          <cell r="O37" t="str">
            <v>R n W Car ( 14 Inch ) 9     FF sachet + Grass</v>
          </cell>
          <cell r="P37" t="str">
            <v>P asiatic ( 15 Inch ) 2     Grass</v>
          </cell>
          <cell r="Q37" t="str">
            <v>P n W Glad ( 14 Inch ) 9     Grass</v>
          </cell>
          <cell r="R37" t="str">
            <v>Mix Alstroemeria ( 12 Inch ) 16     FF Sachet + Grass</v>
          </cell>
          <cell r="S37" t="str">
            <v>Rajni ( 14 Inch ) 16     Grass</v>
          </cell>
          <cell r="T37" t="str">
            <v>Pur n P Car ( 14 Inch ) 16     FF Sachet + Grass</v>
          </cell>
        </row>
        <row r="38">
          <cell r="A38">
            <v>2195</v>
          </cell>
          <cell r="B38" t="str">
            <v>Hema</v>
          </cell>
          <cell r="C38">
            <v>9971354440</v>
          </cell>
          <cell r="D38" t="str">
            <v>127 vipul trade center sohna road sector 48 gurgaon 122108</v>
          </cell>
          <cell r="E38" t="str">
            <v>Sohna Road 2</v>
          </cell>
          <cell r="F38" t="str">
            <v>Monday</v>
          </cell>
          <cell r="G38" t="str">
            <v>9 AM - 12 PM</v>
          </cell>
          <cell r="H38">
            <v>2400</v>
          </cell>
          <cell r="I38">
            <v>600</v>
          </cell>
          <cell r="J38" t="str">
            <v>Corporate</v>
          </cell>
          <cell r="K38" t="str">
            <v>Mix Flowers -- 12-15 flowers// Today office is closed (25/12) Today returned (19/08) Hold today sned tom (31/03) Send tom (26/01)</v>
          </cell>
          <cell r="N38" t="str">
            <v>1  del of this cycle   -  0-cycles pmnt   In Process - Collect 0</v>
          </cell>
          <cell r="O38" t="str">
            <v>O n P Spray Daisy ( 15 inch ) 4 P n W Glad ( 14 inch ) 12   FF Sachet + Grass</v>
          </cell>
          <cell r="P38" t="str">
            <v xml:space="preserve">Pur n P Eustoma 4 R n W Car 12   </v>
          </cell>
          <cell r="Q38" t="str">
            <v>Sunflower ( 12 Inch ) 3 Mix Glad  ( 14 Inch ) 12   FF Sachet + Grass</v>
          </cell>
          <cell r="R38" t="str">
            <v>P Asiatic ( 14 Inch ) 2 Pur n P Car ( 14 Inch ) 12   Grass</v>
          </cell>
          <cell r="S38" t="str">
            <v>Pur n W Eustoma ( 12 Inch) 4 Rajni ( 14 inch ) 12   Grass</v>
          </cell>
          <cell r="T38" t="str">
            <v>Sunflower ( 12 Inch ) 3 P n W Glad ( 14 Inch ) 12   FF Sachet + Grass</v>
          </cell>
        </row>
        <row r="39">
          <cell r="A39">
            <v>3299</v>
          </cell>
          <cell r="B39" t="str">
            <v>Applicate It Solutions Pvt. Ltd.</v>
          </cell>
          <cell r="C39" t="str">
            <v>6295854656 // 9871456569</v>
          </cell>
          <cell r="D39" t="str">
            <v>Tower-B, 16th Floor, M3M Urbana Premium, Business Park</v>
          </cell>
          <cell r="E39" t="str">
            <v>Badshahpur</v>
          </cell>
          <cell r="F39" t="str">
            <v>Monday</v>
          </cell>
          <cell r="G39" t="str">
            <v>By 10 AM</v>
          </cell>
          <cell r="H39">
            <v>3400</v>
          </cell>
          <cell r="I39">
            <v>850</v>
          </cell>
          <cell r="J39" t="str">
            <v>Corporate</v>
          </cell>
          <cell r="N39" t="str">
            <v>2  del of this cycle   -  0-cycles pmnt   In Process - Collect 0</v>
          </cell>
          <cell r="O39" t="str">
            <v xml:space="preserve">Arrangement 1 Min 18 inch Height    </v>
          </cell>
          <cell r="P39" t="str">
            <v xml:space="preserve">Arrangement 1 18 Inch    </v>
          </cell>
          <cell r="Q39" t="str">
            <v xml:space="preserve">Arrangement  1     </v>
          </cell>
          <cell r="R39" t="str">
            <v xml:space="preserve">Arrangement 1 18 Inch    </v>
          </cell>
          <cell r="S39" t="str">
            <v xml:space="preserve">Arrangement ( 18 Inch ) 1     </v>
          </cell>
          <cell r="T39" t="str">
            <v xml:space="preserve">Arrangement 1     </v>
          </cell>
        </row>
        <row r="40">
          <cell r="A40">
            <v>2404</v>
          </cell>
          <cell r="B40" t="str">
            <v>Amitt Nenwani</v>
          </cell>
          <cell r="C40">
            <v>9810444444</v>
          </cell>
          <cell r="D40" t="str">
            <v>Villa 21, Z Block, Tatvam Villas</v>
          </cell>
          <cell r="E40" t="str">
            <v>Sohna Road 2</v>
          </cell>
          <cell r="F40" t="str">
            <v>Friday</v>
          </cell>
          <cell r="G40" t="str">
            <v>9 AM - 12 PM</v>
          </cell>
          <cell r="H40">
            <v>6350</v>
          </cell>
          <cell r="I40">
            <v>793.75</v>
          </cell>
          <cell r="J40" t="str">
            <v>Elegance</v>
          </cell>
          <cell r="K40" t="str">
            <v>Friday n Monday//Mixed // Skip 1 week (17/04) Skip this week (12/11) Skip this week and send on 03rd Jan (29/12) Skip tom (15/03) Skip 1 week (26/03)</v>
          </cell>
          <cell r="M40" t="str">
            <v>Mixed Flowers// Change to enchantement from next cycle (12/1)</v>
          </cell>
          <cell r="N40" t="str">
            <v>3  del of this cycle   -  0-cycles pmnt   In Process - Collect 0</v>
          </cell>
          <cell r="O40" t="str">
            <v>O Asiatic ( 15 Inch ) 3 P Eustoma ( 14 Inch ) 3 Rajni ( 14 Inch ) 12 3 Areca palm + 3 Gypsola</v>
          </cell>
          <cell r="P40" t="str">
            <v>O Asiatic ( 15 Inch ) 3 Sunflower ( 14 Inch ) 3 P n Y Gerbera ( 12 Inch ) 12 3 Areca palm + 3 Limonium</v>
          </cell>
          <cell r="Q40" t="str">
            <v>P Asiatic ( 14 Inch ) 3 Pur n P Eustoma ( 12 Inch) 4 P n W Glad ( 14 Inch ) 12 FF Sachet + Grass</v>
          </cell>
          <cell r="R40" t="str">
            <v>W Asiatic + Sunflower 3+3 G n Y Spray Daisy ( 14 Inch ) 4 Rajni ( 14 Inch ) 12 FF sachet + Grass</v>
          </cell>
          <cell r="S40" t="str">
            <v xml:space="preserve">Y Asiatic ( 14 Inch ) 3 Mix Anthurium  3 P n W Car ( 12 Inch ) 12 </v>
          </cell>
          <cell r="T40" t="str">
            <v>O Asiatic ( 14 Inch ) 3 Sunflower ( 12 Inch ) 4 P n W Glad ( 14 Inch ) 12 3 Gypsola</v>
          </cell>
        </row>
        <row r="41">
          <cell r="A41">
            <v>2571</v>
          </cell>
          <cell r="B41" t="str">
            <v>Ghanendra</v>
          </cell>
          <cell r="C41">
            <v>9818829144</v>
          </cell>
          <cell r="D41" t="str">
            <v>H. No. 2, Bauganville Marg, First Floor, DLF Phase 2</v>
          </cell>
          <cell r="E41" t="str">
            <v>DLF Phase 2</v>
          </cell>
          <cell r="F41" t="str">
            <v>Monday</v>
          </cell>
          <cell r="G41" t="str">
            <v>9 AM - 12 PM</v>
          </cell>
          <cell r="H41">
            <v>1450</v>
          </cell>
          <cell r="I41">
            <v>362.5</v>
          </cell>
          <cell r="J41" t="str">
            <v>Bliss</v>
          </cell>
          <cell r="K41" t="str">
            <v>Complimentary Always // Day changed  to Monday (09/08) Today hold n send tom (26/010</v>
          </cell>
          <cell r="N41" t="str">
            <v>3  del of this cycle   -  0-cycles pmnt   Complimentary - Collect 0</v>
          </cell>
          <cell r="O41" t="str">
            <v>O Asiatic ( 15 Inch ) 2 P n W Glad ( 14 inch ) 7   Grass</v>
          </cell>
          <cell r="P41" t="str">
            <v>Pur Eustoma ( 12 Inch ) 2 P n W Car ( 14 Inch ) 7   FF Sachet + Grass</v>
          </cell>
          <cell r="Q41" t="str">
            <v>Sunflower ( 12 Inch ) 4     FF Sachet + Grass</v>
          </cell>
          <cell r="R41" t="str">
            <v>P n W  Spray Daisy ( 14 Inch ) 5     FF Sachet + Grass</v>
          </cell>
          <cell r="S41" t="str">
            <v>Y Asiatic ( 14 Inch ) 3     Grass</v>
          </cell>
          <cell r="T41" t="str">
            <v>P Eustoma ( 12 Inch ) 2 Rajni ( 14 Inch ) 7   FF Sachet + Grass</v>
          </cell>
        </row>
        <row r="42">
          <cell r="A42">
            <v>3353</v>
          </cell>
          <cell r="B42" t="str">
            <v>Niti Beri</v>
          </cell>
          <cell r="C42" t="str">
            <v xml:space="preserve"> 81304 32211</v>
          </cell>
          <cell r="D42" t="str">
            <v>Fountain Digital, 3rd Floor , AIHP Millennium, Plot number 92, 93, Phase IV, Udyog Vihar, Sector 18, Gurugram, Shahpur, Haryana 122015</v>
          </cell>
          <cell r="E42" t="str">
            <v>Old Gurgaon</v>
          </cell>
          <cell r="F42" t="str">
            <v>Monday</v>
          </cell>
          <cell r="G42" t="str">
            <v>9 AM - 12 PM</v>
          </cell>
          <cell r="H42">
            <v>1450</v>
          </cell>
          <cell r="I42">
            <v>362.5</v>
          </cell>
          <cell r="J42" t="str">
            <v>Bliss</v>
          </cell>
          <cell r="K42" t="str">
            <v>No Gerbera</v>
          </cell>
          <cell r="L42" t="str">
            <v>Gerbera</v>
          </cell>
          <cell r="N42" t="str">
            <v>3  del of this cycle   -  0-cycles pmnt   Completed - Collect 0</v>
          </cell>
          <cell r="O42" t="str">
            <v>O Asiatic ( 15 Inch ) 3     Grass</v>
          </cell>
          <cell r="P42" t="e">
            <v>#N/A</v>
          </cell>
          <cell r="Q42" t="e">
            <v>#N/A</v>
          </cell>
          <cell r="R42" t="str">
            <v>Pur n P Car ( 14 Inch ) 16     FF Sachet + Grass</v>
          </cell>
          <cell r="S42" t="str">
            <v>Rajni ( 14 Inch ) 16     Grass</v>
          </cell>
          <cell r="T42" t="str">
            <v>P n W Glad ( 14 Inch ) 16     Grass</v>
          </cell>
        </row>
        <row r="43">
          <cell r="A43">
            <v>2483</v>
          </cell>
          <cell r="B43" t="str">
            <v>Manav</v>
          </cell>
          <cell r="C43" t="str">
            <v>9810068329 // 9810024711</v>
          </cell>
          <cell r="D43" t="str">
            <v>Pugudunee Safaris, Unit 404, Baani , Sector 56</v>
          </cell>
          <cell r="E43" t="str">
            <v>Sector 56</v>
          </cell>
          <cell r="F43" t="str">
            <v>Monday</v>
          </cell>
          <cell r="G43" t="str">
            <v>9 AM - 12 PM</v>
          </cell>
          <cell r="H43">
            <v>1450</v>
          </cell>
          <cell r="I43">
            <v>362.5</v>
          </cell>
          <cell r="J43" t="str">
            <v>Bliss</v>
          </cell>
          <cell r="K43" t="str">
            <v>Referred By Nandita Jain // Received one more payment (21/08) Today returned-send tom (20/10) Neft from Kanha Earth Lodge (21/01) Today hold -send tom (26/01)</v>
          </cell>
          <cell r="N43" t="str">
            <v>3  del of this cycle   -  0-cycles pmnt   Completed - Collect 0</v>
          </cell>
          <cell r="O43" t="str">
            <v>Y Asiatic ( 15 Inch ) 2 P n W Glad ( 14 inch ) 7   Grass</v>
          </cell>
          <cell r="P43" t="str">
            <v>Sunflower ( 14 Inch ) 2 Mix Alstroemeria ( 12 Inch ) 7   FF Sachet + Grass</v>
          </cell>
          <cell r="Q43" t="str">
            <v>P Spray Daisy ( 14 Inch ) 3 Pur n P Car ( 14 inch ) 7   FF Sachet + Grass</v>
          </cell>
          <cell r="R43" t="str">
            <v>P Asiatic ( 14 Inch ) 2 P n W Glad ( 14 Inch ) 7   Grass</v>
          </cell>
          <cell r="S43" t="str">
            <v>Pur Eustom ( 12 Inch ) 2 Rajni ( 14 inch ) 7   FF Sachet + Grass</v>
          </cell>
          <cell r="T43" t="str">
            <v>Sunflower ( 12 Inch ) 2 P n W Car ( 14 Inch ) 7   FF Sachet + Grass</v>
          </cell>
        </row>
        <row r="44">
          <cell r="A44">
            <v>2030</v>
          </cell>
          <cell r="B44" t="str">
            <v>Rashi Goel</v>
          </cell>
          <cell r="C44">
            <v>8828025877</v>
          </cell>
          <cell r="D44" t="str">
            <v>44 Tattvam Vila, Sohna Road</v>
          </cell>
          <cell r="E44" t="str">
            <v>Sohna Road 2</v>
          </cell>
          <cell r="F44" t="str">
            <v>Monday</v>
          </cell>
          <cell r="G44" t="str">
            <v>9 AM - 12 PM</v>
          </cell>
          <cell r="H44">
            <v>1450</v>
          </cell>
          <cell r="I44">
            <v>362.5</v>
          </cell>
          <cell r="J44" t="str">
            <v>Bliss</v>
          </cell>
          <cell r="K44" t="str">
            <v>No Heliconia// Skip 1 week (02/12) Skip 1 week (13/02) Sent Replacement today (12/12) Hold till 10th Dec (18/12) Hold n start from 2nd week of Mar (011/02) Skip 1 week (24/08) Today Hold *24/11) Paytm from Perform Monks Edu (01/03)</v>
          </cell>
          <cell r="L44" t="str">
            <v>HELICONIA</v>
          </cell>
          <cell r="N44" t="str">
            <v>2  del of this cycle   -  1-cycles pmnt   Pending - Collect 1450</v>
          </cell>
          <cell r="O44" t="str">
            <v>O Spray Daisy ( 15 inch ) 5     FF Sachet + Grass</v>
          </cell>
          <cell r="P44" t="str">
            <v>P n W Glad ( 14 Inch ) 16     Grass</v>
          </cell>
          <cell r="Q44" t="str">
            <v>Pur n P Car ( 14 Inch ) 16     FF Sachet + Grass</v>
          </cell>
          <cell r="R44" t="str">
            <v>Mix Alstroemeria ( 12 Inch ) 16     FF Sachet + Grass</v>
          </cell>
          <cell r="S44" t="str">
            <v>B Orchid 5     Grass</v>
          </cell>
          <cell r="T44" t="str">
            <v>W Asiatic ( 14 Inch ) 3     Grass</v>
          </cell>
        </row>
        <row r="45">
          <cell r="A45">
            <v>3379</v>
          </cell>
          <cell r="B45" t="str">
            <v>One Science Nutrition</v>
          </cell>
          <cell r="C45">
            <v>8802385651</v>
          </cell>
          <cell r="D45" t="str">
            <v>Splendor tower 1, 8th Floor, Sec 58</v>
          </cell>
          <cell r="E45" t="str">
            <v>Ghata</v>
          </cell>
          <cell r="F45" t="str">
            <v>Monday</v>
          </cell>
          <cell r="G45" t="str">
            <v>9:30 Am to 2 PM</v>
          </cell>
          <cell r="H45">
            <v>1450</v>
          </cell>
          <cell r="I45">
            <v>362.5</v>
          </cell>
          <cell r="J45" t="str">
            <v>Bliss</v>
          </cell>
          <cell r="K45" t="str">
            <v>From Namita Chaudhary</v>
          </cell>
          <cell r="N45" t="str">
            <v>4  del of this cycle   -  0-cycles pmnt   In Process - Collect 0</v>
          </cell>
          <cell r="O45" t="e">
            <v>#N/A</v>
          </cell>
          <cell r="P45" t="e">
            <v>#N/A</v>
          </cell>
          <cell r="Q45" t="e">
            <v>#N/A</v>
          </cell>
          <cell r="R45" t="str">
            <v>Pur Eustoma ( 12 Inch ) 2 P n W Glad ( 14 Inch ) 7   FF Sachet + Grass</v>
          </cell>
          <cell r="S45" t="str">
            <v>Y Spray Daisy ( 14 Inch ) 3 Rajni ( 14 inch ) 7   FF Sachet + Grass</v>
          </cell>
          <cell r="T45" t="str">
            <v>P Asiatic ( 14 Inch ) 2 Pur n P Car ( 14 Inch ) 7   Grass</v>
          </cell>
        </row>
        <row r="46">
          <cell r="A46">
            <v>1571</v>
          </cell>
          <cell r="B46" t="str">
            <v>Mohar Ray Dahiya</v>
          </cell>
          <cell r="C46">
            <v>9910019898</v>
          </cell>
          <cell r="D46" t="str">
            <v>Sovereign-3/201, Vatika City</v>
          </cell>
          <cell r="E46" t="str">
            <v>Sohna Road 1</v>
          </cell>
          <cell r="F46" t="str">
            <v>Friday</v>
          </cell>
          <cell r="G46" t="str">
            <v>9 AM to 2 PM</v>
          </cell>
          <cell r="H46">
            <v>1600</v>
          </cell>
          <cell r="I46">
            <v>200</v>
          </cell>
          <cell r="J46" t="str">
            <v>Bloom</v>
          </cell>
          <cell r="K46"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46" t="str">
            <v>BOP n GERBERA</v>
          </cell>
          <cell r="N46" t="str">
            <v>2  del of this cycle   -  1-cycles pmnt   Pending - Collect 1600</v>
          </cell>
          <cell r="O46" t="str">
            <v>Mix Alstroemeria ( 14 Inch ) 7     FF Sachet + Grass</v>
          </cell>
          <cell r="P46" t="str">
            <v>Sunflower ( 14 Inch ) 2     FF Sachet + grass</v>
          </cell>
          <cell r="Q46" t="str">
            <v>P Spray Daisy ( 14 Inch ) 2     FF Sachet + Grass</v>
          </cell>
          <cell r="R46" t="str">
            <v>Mix Alstroemeria ( 12 Inch ) 7     FF sachet + Grass</v>
          </cell>
          <cell r="S46" t="str">
            <v>Sunflower ( 12 Inch ) 2     Grass</v>
          </cell>
          <cell r="T46" t="str">
            <v>Y Spray Daisy ( 14 Inch ) 2     FF Sachet + Grass</v>
          </cell>
        </row>
        <row r="47">
          <cell r="A47">
            <v>2083</v>
          </cell>
          <cell r="B47" t="str">
            <v>Neeraj Rathore</v>
          </cell>
          <cell r="C47">
            <v>9810570666</v>
          </cell>
          <cell r="D47" t="str">
            <v>A-1302, PalM Drive, Sec 66</v>
          </cell>
          <cell r="E47" t="str">
            <v>Badshahpur</v>
          </cell>
          <cell r="F47" t="str">
            <v>Friday</v>
          </cell>
          <cell r="G47" t="str">
            <v>9 AM - 12 PM</v>
          </cell>
          <cell r="H47">
            <v>2300</v>
          </cell>
          <cell r="I47">
            <v>287.5</v>
          </cell>
          <cell r="J47" t="str">
            <v>Felicity</v>
          </cell>
          <cell r="K47"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47" t="str">
            <v>GERBERA  n BOP</v>
          </cell>
          <cell r="M47" t="str">
            <v>One Kind (30/01)  Rajni next (18/02)</v>
          </cell>
          <cell r="N47" t="str">
            <v>3  del of this cycle   -  1-cycles pmnt   Pending - Collect 2300</v>
          </cell>
          <cell r="O47" t="e">
            <v>#N/A</v>
          </cell>
          <cell r="P47" t="e">
            <v>#N/A</v>
          </cell>
          <cell r="Q47" t="e">
            <v>#N/A</v>
          </cell>
          <cell r="R47" t="e">
            <v>#N/A</v>
          </cell>
          <cell r="S47" t="str">
            <v>B Daisy ( 12 Inch ) 11     Grass</v>
          </cell>
          <cell r="T47" t="str">
            <v>Rajni ( 14 Inch ) 11     Grass</v>
          </cell>
        </row>
        <row r="48">
          <cell r="A48">
            <v>588</v>
          </cell>
          <cell r="B48" t="str">
            <v>Akiksha Mohan</v>
          </cell>
          <cell r="C48">
            <v>9810145564</v>
          </cell>
          <cell r="D48" t="str">
            <v>D-601, Emaar Plam Drive</v>
          </cell>
          <cell r="E48" t="str">
            <v>Badshahpur</v>
          </cell>
          <cell r="F48" t="str">
            <v>Friday</v>
          </cell>
          <cell r="G48" t="str">
            <v>9 AM - 12 PM</v>
          </cell>
          <cell r="H48">
            <v>1600</v>
          </cell>
          <cell r="I48">
            <v>200</v>
          </cell>
          <cell r="J48" t="str">
            <v>Bloom</v>
          </cell>
          <cell r="K48"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48" t="str">
            <v>GULDAWARI</v>
          </cell>
          <cell r="N48" t="str">
            <v>5  del of this cycle   -  0-cycles pmnt   Completed - Collect 0</v>
          </cell>
          <cell r="O48" t="e">
            <v>#N/A</v>
          </cell>
          <cell r="P48" t="str">
            <v>Y Spray Daisy ( 15 inch ) 2     FF sachet + Grass</v>
          </cell>
          <cell r="Q48" t="str">
            <v>Mix Car  ( 14 Inch ) 7     FF Sachet + Grass</v>
          </cell>
          <cell r="R48" t="str">
            <v>Rajni ( 14 Inch ) 7     Grass</v>
          </cell>
          <cell r="S48" t="str">
            <v>B Daisy ( 12 Inch ) 7     Grass</v>
          </cell>
          <cell r="T48" t="str">
            <v>P n W Car ( 14 Inch ) 7     FF Sachet + Grass</v>
          </cell>
        </row>
        <row r="49">
          <cell r="B49" t="str">
            <v>Navpreet Gill</v>
          </cell>
          <cell r="C49">
            <v>8076406029</v>
          </cell>
          <cell r="D49" t="str">
            <v>H. No. 1662, 2nd Floor. Near Oil Indian Petrol Pump, Wazirabad</v>
          </cell>
          <cell r="G49" t="str">
            <v>Replacement</v>
          </cell>
          <cell r="H49" t="str">
            <v>Replacement</v>
          </cell>
          <cell r="I49" t="str">
            <v>Replacement</v>
          </cell>
          <cell r="J49" t="str">
            <v>Replacement</v>
          </cell>
          <cell r="K49" t="str">
            <v>Replacement</v>
          </cell>
          <cell r="L49" t="str">
            <v>Replacement</v>
          </cell>
          <cell r="M49" t="str">
            <v>Replacement</v>
          </cell>
          <cell r="N49" t="str">
            <v>collect back old sunflowers positively</v>
          </cell>
          <cell r="T49" t="str">
            <v>Pink n Yellow Carnation  16     FF Sachet + Grass</v>
          </cell>
        </row>
        <row r="50">
          <cell r="A50">
            <v>2259</v>
          </cell>
          <cell r="B50" t="str">
            <v>Shivani Kapoor</v>
          </cell>
          <cell r="C50">
            <v>9818659010</v>
          </cell>
          <cell r="D50" t="str">
            <v>94, Tattvam Villa</v>
          </cell>
          <cell r="E50" t="str">
            <v>Sohna Road 2</v>
          </cell>
          <cell r="F50" t="str">
            <v>Monday</v>
          </cell>
          <cell r="G50" t="str">
            <v>9 AM - 12 PM</v>
          </cell>
          <cell r="H50">
            <v>3950</v>
          </cell>
          <cell r="I50">
            <v>493.75</v>
          </cell>
          <cell r="J50" t="str">
            <v>Grace</v>
          </cell>
          <cell r="K50" t="str">
            <v>Monday n Friday// Payment from Sanjeev K (05/05) Skip 1 week (26/07) Skip 1 week (04/11) Skip this Friday (26/12) Skip 1 week (01/01/25) Skip tom (02/02) No delivery on Monday (01/03) Skip 14th n send on 17th (11/03) Now start from 7th July (24/06)</v>
          </cell>
          <cell r="M50" t="str">
            <v>No White</v>
          </cell>
          <cell r="N50" t="str">
            <v>2  del of this cycle   -  1-cycles pmnt   Pending - Collect 3950</v>
          </cell>
          <cell r="O50" t="str">
            <v>O Asiatic ( 15 Inch ) 4     Grass</v>
          </cell>
          <cell r="P50" t="str">
            <v>B Daisy ( 12 Inch ) 20     FF Sachet + grass</v>
          </cell>
          <cell r="Q50" t="str">
            <v>Sunflower ( 12 Inch ) 4     FF Sachet + Grass</v>
          </cell>
          <cell r="R50" t="str">
            <v>Rajni ( 14 Inch ) 20     Grass</v>
          </cell>
          <cell r="S50" t="str">
            <v>B Daisy ( 12 Inch ) 20     Grass</v>
          </cell>
          <cell r="T50" t="str">
            <v>O Asiatic ( 14 Inch ) 4     Grass</v>
          </cell>
        </row>
        <row r="51">
          <cell r="A51">
            <v>3222</v>
          </cell>
          <cell r="B51" t="str">
            <v>Bibhuti Vikram Singh</v>
          </cell>
          <cell r="C51">
            <v>9811912776</v>
          </cell>
          <cell r="D51" t="str">
            <v>T-6A/104, Valley View Estate, Gwal pahari</v>
          </cell>
          <cell r="E51" t="str">
            <v>Ghata</v>
          </cell>
          <cell r="F51" t="str">
            <v>Sunday</v>
          </cell>
          <cell r="G51" t="str">
            <v>9 AM - 12 PM</v>
          </cell>
          <cell r="H51">
            <v>1450</v>
          </cell>
          <cell r="I51">
            <v>362.5</v>
          </cell>
          <cell r="J51" t="str">
            <v>Bliss</v>
          </cell>
          <cell r="K51" t="str">
            <v>One Kind</v>
          </cell>
          <cell r="M51" t="str">
            <v>One Kind</v>
          </cell>
          <cell r="N51" t="str">
            <v>1  del of this cycle   -   0 -cycles pmnt   Completed - Collect 0</v>
          </cell>
          <cell r="O51" t="e">
            <v>#N/A</v>
          </cell>
          <cell r="P51" t="e">
            <v>#N/A</v>
          </cell>
          <cell r="Q51" t="e">
            <v>#N/A</v>
          </cell>
          <cell r="R51" t="e">
            <v>#N/A</v>
          </cell>
          <cell r="S51" t="e">
            <v>#N/A</v>
          </cell>
          <cell r="T51" t="str">
            <v>Pur n P Car ( 14 Inch ) 16     FF Sachet + Grass</v>
          </cell>
        </row>
        <row r="52">
          <cell r="A52" t="str">
            <v>B56298</v>
          </cell>
          <cell r="B52" t="str">
            <v>Bibhuti Vikram Singh</v>
          </cell>
          <cell r="C52">
            <v>9811912776</v>
          </cell>
          <cell r="D52" t="str">
            <v>T-6A/104, Valley View Estate, Gwal pahari</v>
          </cell>
          <cell r="E52" t="str">
            <v>Ghata</v>
          </cell>
          <cell r="F52" t="str">
            <v>Sunday</v>
          </cell>
          <cell r="G52" t="str">
            <v>9 AM - 12 PM</v>
          </cell>
          <cell r="H52">
            <v>600</v>
          </cell>
          <cell r="I52">
            <v>600</v>
          </cell>
          <cell r="J52" t="str">
            <v>Bouquet</v>
          </cell>
          <cell r="K52" t="str">
            <v>1 Heliconia and 2 Pur Eustoma</v>
          </cell>
          <cell r="N52" t="str">
            <v>1  del of this cycle   -  1-cycles pmnt   Pending - Collect 600</v>
          </cell>
          <cell r="O52" t="e">
            <v>#N/A</v>
          </cell>
          <cell r="P52" t="e">
            <v>#N/A</v>
          </cell>
          <cell r="Q52" t="e">
            <v>#N/A</v>
          </cell>
          <cell r="R52" t="e">
            <v>#N/A</v>
          </cell>
          <cell r="S52" t="e">
            <v>#N/A</v>
          </cell>
          <cell r="T52" t="str">
            <v xml:space="preserve">Heliconia + Shd Pur Eustoma 1 + 2 Walkin Tissue Wrap    </v>
          </cell>
        </row>
        <row r="53">
          <cell r="A53" t="str">
            <v>B56305</v>
          </cell>
          <cell r="B53" t="str">
            <v>Devika Tulsi</v>
          </cell>
          <cell r="C53">
            <v>9711555102</v>
          </cell>
          <cell r="D53" t="str">
            <v>2PBH, Laburnum, Sushant Lok 1</v>
          </cell>
          <cell r="E53" t="str">
            <v>M G Road</v>
          </cell>
          <cell r="F53" t="str">
            <v>Saturday</v>
          </cell>
          <cell r="G53" t="str">
            <v>By 10 AM</v>
          </cell>
          <cell r="H53">
            <v>4800</v>
          </cell>
          <cell r="I53">
            <v>4800</v>
          </cell>
          <cell r="J53" t="str">
            <v>Bouquet</v>
          </cell>
          <cell r="K53" t="str">
            <v>30 Agapanthus From Satya// I am so proud of you. I love you.   Satya (28/06)</v>
          </cell>
          <cell r="N53" t="str">
            <v>1  del of this cycle   -  0-cycles pmnt   Completed - Collect 0</v>
          </cell>
          <cell r="O53" t="e">
            <v>#N/A</v>
          </cell>
          <cell r="P53" t="e">
            <v>#N/A</v>
          </cell>
          <cell r="Q53" t="e">
            <v>#N/A</v>
          </cell>
          <cell r="R53" t="e">
            <v>#N/A</v>
          </cell>
          <cell r="S53" t="e">
            <v>#N/A</v>
          </cell>
          <cell r="T53" t="str">
            <v xml:space="preserve">Agapanthus + Gypsola 30 + 5 Walkin Tissue Wrap Message   </v>
          </cell>
        </row>
        <row r="54">
          <cell r="A54">
            <v>2733</v>
          </cell>
          <cell r="B54" t="str">
            <v>Ranjana Yadav -- 1450 Pack</v>
          </cell>
          <cell r="C54">
            <v>9810475164</v>
          </cell>
          <cell r="D54" t="str">
            <v>T-11/102, Vipul Greens</v>
          </cell>
          <cell r="E54" t="str">
            <v>Sohna Road 2</v>
          </cell>
          <cell r="F54" t="str">
            <v>Monday</v>
          </cell>
          <cell r="G54" t="str">
            <v>9 AM - 12 PM</v>
          </cell>
          <cell r="H54">
            <v>999</v>
          </cell>
          <cell r="I54">
            <v>249.75</v>
          </cell>
          <cell r="J54" t="str">
            <v>Delight</v>
          </cell>
          <cell r="K54" t="str">
            <v>From Kiran yadav // Skip Next (27/09)</v>
          </cell>
          <cell r="N54" t="str">
            <v>3  del of this cycle   -  0-cycles pmnt   Completed - Collect 0</v>
          </cell>
          <cell r="O54" t="str">
            <v>O Asiatic ( 15 Inch ) 2     Grass</v>
          </cell>
          <cell r="P54" t="str">
            <v>Mix Alstroemeria ( 12 Inch ) 9     FF sachet + grass</v>
          </cell>
          <cell r="Q54" t="str">
            <v>P n W Glad ( 14 Inch ) 9     Grass</v>
          </cell>
          <cell r="R54" t="str">
            <v>Pur n P Car ( 14 Inch ) 9     FF Sachet + Grass</v>
          </cell>
          <cell r="S54" t="str">
            <v>B Daisy ( 12 Inch ) 9     Grass</v>
          </cell>
          <cell r="T54" t="str">
            <v>P Asiatic ( 14 Inch ) 2     Grass</v>
          </cell>
        </row>
        <row r="55">
          <cell r="A55">
            <v>2655</v>
          </cell>
          <cell r="B55" t="str">
            <v>Komal - Abante</v>
          </cell>
          <cell r="C55" t="str">
            <v>0124-4042908</v>
          </cell>
          <cell r="D55" t="str">
            <v>Abante,C-301-02, 3rd Floor, M3M Urbana, Sec 67</v>
          </cell>
          <cell r="E55" t="str">
            <v>Badshahpur</v>
          </cell>
          <cell r="F55" t="str">
            <v>Sunday</v>
          </cell>
          <cell r="G55" t="str">
            <v>By 12 PM</v>
          </cell>
          <cell r="H55">
            <v>4000</v>
          </cell>
          <cell r="I55">
            <v>500</v>
          </cell>
          <cell r="J55" t="str">
            <v>Corporate</v>
          </cell>
          <cell r="K55" t="str">
            <v>Day Changed to // Send tomorrow (02/10) Send tom (26/01)</v>
          </cell>
          <cell r="N55" t="str">
            <v>1  del of this cycle   -  0-cycles pmnt   In Process - Collect 0</v>
          </cell>
          <cell r="O55" t="str">
            <v xml:space="preserve">Arrangement 1     </v>
          </cell>
          <cell r="P55" t="str">
            <v xml:space="preserve">Arrangement 1     </v>
          </cell>
          <cell r="Q55" t="str">
            <v xml:space="preserve">Arrangement  1     </v>
          </cell>
          <cell r="R55" t="str">
            <v xml:space="preserve">Arrangement 1     </v>
          </cell>
          <cell r="S55" t="str">
            <v xml:space="preserve">Arrangement 1     </v>
          </cell>
          <cell r="T55" t="str">
            <v xml:space="preserve">Arrangement 1     </v>
          </cell>
        </row>
        <row r="56">
          <cell r="A56">
            <v>1615</v>
          </cell>
          <cell r="B56" t="str">
            <v>Nandini Kar-- After 5 PM</v>
          </cell>
          <cell r="C56">
            <v>9971911162</v>
          </cell>
          <cell r="D56" t="str">
            <v>T-37/301, Emerald Floors Premier, Adjacent to Worldmark, Sec 65</v>
          </cell>
          <cell r="E56" t="str">
            <v>Badshahpur</v>
          </cell>
          <cell r="F56" t="str">
            <v>Monday</v>
          </cell>
          <cell r="G56" t="str">
            <v>4 PM to 7 PM</v>
          </cell>
          <cell r="H56">
            <v>1450</v>
          </cell>
          <cell r="I56">
            <v>362.5</v>
          </cell>
          <cell r="J56" t="str">
            <v>Bliss</v>
          </cell>
          <cell r="K56" t="str">
            <v>No Rose n ORCHID (23/08) Start after 2nd July (08/06) Upgrade to bliss with 5 Deliveries (24/08) Skip 1 week (01/09) Returned today (20/10) 27th Del Missed (02/11) Returned and hold for 2 weeks (03/06)</v>
          </cell>
          <cell r="L56" t="str">
            <v>ROSE n ORCHID n BOP</v>
          </cell>
          <cell r="M56" t="str">
            <v>Upgrade to Bliss with 5 Deliveries</v>
          </cell>
          <cell r="N56" t="str">
            <v>4  del of this cycle   -  0-cycles pmnt   Completed - Collect 0</v>
          </cell>
          <cell r="O56" t="str">
            <v>O Asiatic ( 15 Inch ) 2 P n W Glad ( 14 inch ) 7   Grass</v>
          </cell>
          <cell r="P56" t="str">
            <v>Pur Eustoma ( 12 Inch ) 2 B Daisy 7   FF Sachet + Grass</v>
          </cell>
          <cell r="Q56" t="e">
            <v>#N/A</v>
          </cell>
          <cell r="R56" t="e">
            <v>#N/A</v>
          </cell>
          <cell r="S56" t="str">
            <v>Sunflower ( 12 Inch ) 2 Pur n P Car ( 14 Inch ) 7   FF Sachet + Grass</v>
          </cell>
          <cell r="T56" t="str">
            <v>P Asiatic ( 14 Inch ) 2 P n W Glad ( 14 Inch ) 7   Grass</v>
          </cell>
        </row>
        <row r="57">
          <cell r="A57">
            <v>3293</v>
          </cell>
          <cell r="B57" t="str">
            <v>Asha Esther Jai Kishan</v>
          </cell>
          <cell r="C57">
            <v>9871533860</v>
          </cell>
          <cell r="D57" t="str">
            <v>T-B/103, Ireo Victory Valley</v>
          </cell>
          <cell r="H57">
            <v>1950</v>
          </cell>
          <cell r="J57" t="str">
            <v>Joy</v>
          </cell>
          <cell r="K57" t="str">
            <v>Asha Esther 
+91 98715 33860
Start from today and send her flowers in evening slot today.</v>
          </cell>
          <cell r="T57" t="str">
            <v>Eustoma 4     Grass</v>
          </cell>
        </row>
        <row r="58">
          <cell r="A58">
            <v>2850</v>
          </cell>
          <cell r="B58" t="str">
            <v>Namita Chaudhary -- Before 11:30 AM</v>
          </cell>
          <cell r="C58">
            <v>9810002910</v>
          </cell>
          <cell r="D58" t="str">
            <v>403-406, Global Credit Solutions Splendour Spectrum one, 403 -406, T-2- 4th Floor, Sec 58</v>
          </cell>
          <cell r="E58" t="str">
            <v>Ghata</v>
          </cell>
          <cell r="F58" t="str">
            <v>Monday</v>
          </cell>
          <cell r="G58" t="str">
            <v>10 am to 12 PM</v>
          </cell>
          <cell r="H58">
            <v>1450</v>
          </cell>
          <cell r="I58">
            <v>362.5</v>
          </cell>
          <cell r="J58" t="str">
            <v>Corporate</v>
          </cell>
          <cell r="K58" t="str">
            <v>Skip 1 week (13/08) Start from or after 13th Oct (30/09) Skip 1 week (19/10) Skip 2 week (09/12) Skip 1 week (18/01) Send on 27th (26/01) Hold till 4th Apr (27/03)  No Yel n White (06/04)</v>
          </cell>
          <cell r="L58" t="str">
            <v xml:space="preserve"> No Yel n White (06/04)</v>
          </cell>
          <cell r="N58" t="str">
            <v>1  del of this cycle   -  0-cycles pmnt   In Process - Collect 0</v>
          </cell>
          <cell r="O58" t="str">
            <v>O Asiatic ( 15 Inch ) 2 P n W Glad ( 14 inch ) 7   Grass</v>
          </cell>
          <cell r="P58" t="str">
            <v>Pur Eustoma ( 12 Inch ) 2 Mix Alstroemeria ( 12 Inch ) 7   FF Sachet + Grass</v>
          </cell>
          <cell r="Q58" t="str">
            <v>Sunflower ( 12 Inch ) 2 Pur n P Car ( 14 inch ) 7   FF Sachet + Grass</v>
          </cell>
          <cell r="R58" t="str">
            <v>P Asiatic ( 14 Inch ) 2 P n Y Glad ( 14 Inch ) 7   Grass</v>
          </cell>
          <cell r="S58" t="str">
            <v>P Spray Daisy ( 14 Inch ) 3 Rajni ( 14 inch ) 7   FF Sachet + Grass</v>
          </cell>
          <cell r="T58" t="str">
            <v>P Eustoma ( 12 Inch ) 2 P n W Car ( 14 Inch ) 7   FF Sachet + Grass</v>
          </cell>
        </row>
        <row r="59">
          <cell r="A59">
            <v>2926</v>
          </cell>
          <cell r="B59" t="str">
            <v>Parul Sharma</v>
          </cell>
          <cell r="C59">
            <v>9971048493</v>
          </cell>
          <cell r="D59" t="str">
            <v>D-20, 2nd Floor, South City 2</v>
          </cell>
          <cell r="E59" t="str">
            <v>Nirvana Country</v>
          </cell>
          <cell r="F59" t="str">
            <v>Monday</v>
          </cell>
          <cell r="G59" t="str">
            <v>9:30 Am to 2 PM</v>
          </cell>
          <cell r="H59">
            <v>1450</v>
          </cell>
          <cell r="I59">
            <v>362.5</v>
          </cell>
          <cell r="J59" t="str">
            <v>Bliss</v>
          </cell>
          <cell r="K59" t="str">
            <v>Rajni Next (27/08) Hold for 15 days (30/11) Now send after 9th Mar (23/02) Replacement tom (27/05)</v>
          </cell>
          <cell r="M59" t="str">
            <v>Rajni next (27/08) Car next (07/09)</v>
          </cell>
          <cell r="N59" t="str">
            <v>1  del of this cycle   -  1-cycles pmnt   Pending - Collect 1450</v>
          </cell>
          <cell r="O59" t="str">
            <v>O Spray Daisy ( 15 inch ) 3     FF Sachet + Grass</v>
          </cell>
          <cell r="P59" t="str">
            <v>R Asiatic ( 15 Inch ) 2     Grass</v>
          </cell>
          <cell r="Q59" t="str">
            <v>Mix Glad  ( 14 Inch ) 9     FF Sachet + Grass</v>
          </cell>
          <cell r="R59" t="str">
            <v>R n W Car ( 14 Inch ) 9     FF Sachet + Grass</v>
          </cell>
          <cell r="S59" t="str">
            <v>Rajni ( 14 Inch ) 9     Grass</v>
          </cell>
          <cell r="T59" t="str">
            <v>P n Y Spray Daisy ( 14 Inch ) 5     FF Sachet + Grass</v>
          </cell>
        </row>
        <row r="60">
          <cell r="A60">
            <v>2697</v>
          </cell>
          <cell r="B60" t="str">
            <v>Sumana Sarkar</v>
          </cell>
          <cell r="C60">
            <v>9599968479</v>
          </cell>
          <cell r="D60" t="str">
            <v>C-201, Heritage One</v>
          </cell>
          <cell r="E60" t="str">
            <v>Ghata</v>
          </cell>
          <cell r="F60" t="str">
            <v>Monday</v>
          </cell>
          <cell r="G60" t="str">
            <v>9 AM to 2 PM</v>
          </cell>
          <cell r="H60">
            <v>1450</v>
          </cell>
          <cell r="I60">
            <v>362.5</v>
          </cell>
          <cell r="J60" t="str">
            <v>Bliss</v>
          </cell>
          <cell r="K60" t="str">
            <v>Hold due to non payment (02/02) Today Returned (09/02) Send on 11th Feb (10/02) HDTNP (09/03)</v>
          </cell>
          <cell r="N60" t="str">
            <v>2  del of this cycle   -  1-cycles pmnt   Pending - Collect 1450</v>
          </cell>
          <cell r="O60" t="str">
            <v>O Asiatic ( 15 Inch ) 2 R n W Car ( 14 Inch ) 7   Grass</v>
          </cell>
          <cell r="P60" t="str">
            <v>Pur Eustoma ( 12 Inch ) 2 P n W Glad ( 14 Inch ) 7   FF Sachet + Grass</v>
          </cell>
          <cell r="Q60" t="str">
            <v>P Spray Daisy ( 14 Inch ) 3 Mix Alstroemeria ( 12 Inch ) 7   FF Sachet + Grass</v>
          </cell>
          <cell r="R60" t="str">
            <v>Sunflower ( 12 Inch ) 2 Pur n P Car ( 14 Inch ) 7   FF Sachet + Grass</v>
          </cell>
          <cell r="S60" t="str">
            <v>P Asiatic ( 14 Inch ) 2 Rajni ( 14 inch ) 7   Grass</v>
          </cell>
          <cell r="T60" t="str">
            <v>P Eustoma ( 12 Inch ) 2 P n W Glad ( 14 Inch ) 7   FF Sachet + Grass</v>
          </cell>
        </row>
        <row r="61">
          <cell r="A61" t="str">
            <v>G-00011</v>
          </cell>
          <cell r="B61" t="str">
            <v>Nainsee Garg</v>
          </cell>
          <cell r="C61">
            <v>9810561802</v>
          </cell>
          <cell r="D61" t="str">
            <v>A67 Rosewood City Sector 49 Gurgaon 122001</v>
          </cell>
          <cell r="E61" t="str">
            <v>Nirvana Country</v>
          </cell>
          <cell r="F61" t="str">
            <v>Friday</v>
          </cell>
          <cell r="G61" t="str">
            <v>9 AM to 2 PM</v>
          </cell>
          <cell r="H61">
            <v>2350</v>
          </cell>
          <cell r="I61">
            <v>293.75</v>
          </cell>
          <cell r="J61" t="str">
            <v>Felicity</v>
          </cell>
          <cell r="K61" t="str">
            <v>No Glad (15/-5) Skip tom n sned next del on Sunday (29/05) Skip 1 week (03/07) Skip 1 week (12/11) Send tom (01/04) Sent one del today (09/04) Skip 1 week (11/05) Skip this cdel n send on Sunday (12/06)</v>
          </cell>
          <cell r="L61" t="str">
            <v>Glad</v>
          </cell>
          <cell r="N61" t="str">
            <v>8  del of this cycle   -  0-cycles pmnt   Completed - Collect 0</v>
          </cell>
          <cell r="O61" t="e">
            <v>#N/A</v>
          </cell>
          <cell r="P61" t="e">
            <v>#N/A</v>
          </cell>
          <cell r="Q61" t="str">
            <v>Pur Eustoma ( 12 Inch ) 3     FF Sachet + Grass</v>
          </cell>
          <cell r="R61" t="str">
            <v>Pur n P Car ( 14 Inch ) 11     FF sachet + Grass</v>
          </cell>
          <cell r="S61" t="str">
            <v>B Daisy ( 12 Inch ) 11     Grass</v>
          </cell>
          <cell r="T61" t="str">
            <v>P n W Car ( 14 Inch ) 11     FF Sachet + Grass</v>
          </cell>
        </row>
        <row r="62">
          <cell r="A62">
            <v>2619</v>
          </cell>
          <cell r="B62" t="str">
            <v>Megha Bhatt</v>
          </cell>
          <cell r="C62">
            <v>8297925970</v>
          </cell>
          <cell r="D62" t="str">
            <v>D-1902, Pioneer Park</v>
          </cell>
          <cell r="E62" t="str">
            <v>Ghata</v>
          </cell>
          <cell r="F62" t="str">
            <v>Monday</v>
          </cell>
          <cell r="G62" t="str">
            <v>9 AM - 12 PM</v>
          </cell>
          <cell r="H62">
            <v>2750</v>
          </cell>
          <cell r="I62">
            <v>687.5</v>
          </cell>
          <cell r="J62" t="str">
            <v>Elation</v>
          </cell>
          <cell r="K62"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L62" t="str">
            <v>Car n Sunflower</v>
          </cell>
          <cell r="M62" t="str">
            <v>Blue Daisy</v>
          </cell>
          <cell r="N62" t="str">
            <v>2  del of this cycle   -  1-cycles pmnt   Pending - Collect 2750</v>
          </cell>
          <cell r="O62" t="str">
            <v>O n P Spray Daisy ( 15 inch ) 5     FF Sachet + Grass</v>
          </cell>
          <cell r="P62" t="str">
            <v>O Asiatic ( 15 Inch ) 3     Grass</v>
          </cell>
          <cell r="Q62" t="e">
            <v>#N/A</v>
          </cell>
          <cell r="R62" t="str">
            <v>Pur n P Car ( 14 Inch ) 16     FF Sachet + Grass</v>
          </cell>
          <cell r="S62" t="str">
            <v>Pur n P Car ) 14 Imch) 32     2 Gypsola + ff Sachet</v>
          </cell>
          <cell r="T62" t="str">
            <v>Pur n P Eustoma ( 12 Inch ) 6     2 Limonium + FF Sachet</v>
          </cell>
        </row>
        <row r="63">
          <cell r="A63">
            <v>1088</v>
          </cell>
          <cell r="B63" t="str">
            <v>Shivani Marwah</v>
          </cell>
          <cell r="C63">
            <v>9999028643</v>
          </cell>
          <cell r="D63" t="str">
            <v>The Legend apartments, tower D4, flat no 1302, sector 57</v>
          </cell>
          <cell r="E63" t="str">
            <v>Artemis</v>
          </cell>
          <cell r="F63" t="str">
            <v>Monday</v>
          </cell>
          <cell r="G63" t="str">
            <v>9 AM - 12 PM</v>
          </cell>
          <cell r="H63">
            <v>1450</v>
          </cell>
          <cell r="I63">
            <v>362.5</v>
          </cell>
          <cell r="J63" t="str">
            <v>Bliss</v>
          </cell>
          <cell r="K63" t="str">
            <v>Thursday and Monday//NO BOP(13/12Send out of Rose// Glad// Lily//Guldawari(06/02) Rose Next(09/02) Spray Daisy Next(22/12)Flower Food Next(17/07) Ski[ Rose petal next (04/09) Send on Thursday this week (01/01/2023)Flower Food necxt (14/04) Change to bliss after current cycle (27/04)</v>
          </cell>
          <cell r="N63" t="str">
            <v>1  del of this cycle   -  0-cycles pmnt   Completed - Collect 0</v>
          </cell>
          <cell r="O63" t="str">
            <v>Y Asiatic ( 15 Inch ) 3     Grass</v>
          </cell>
          <cell r="P63" t="str">
            <v>Sunflower ( 14 Inch ) 4     FF Sachet + Grass</v>
          </cell>
          <cell r="Q63" t="str">
            <v>P n W Glad ( 14 Inch ) 16     FF Sachet + Grass</v>
          </cell>
          <cell r="R63" t="str">
            <v>Pur n P Car ( 14 Inch ) 16     FF Sachet + Grass</v>
          </cell>
          <cell r="S63" t="str">
            <v>Pur Eustom ( 12 Inch ) 3     FF Sachet + Grass</v>
          </cell>
          <cell r="T63" t="str">
            <v>P Asiatic ( 14 Inch ) 3     Grass</v>
          </cell>
        </row>
        <row r="64">
          <cell r="B64" t="str">
            <v>6364 463 165‬</v>
          </cell>
          <cell r="C64" t="str">
            <v>6364 463 165‬</v>
          </cell>
          <cell r="D64" t="str">
            <v>A-635 block A, Sushant lok 1, near labernum drive</v>
          </cell>
          <cell r="H64">
            <v>600</v>
          </cell>
          <cell r="J64" t="str">
            <v>Bouquet</v>
          </cell>
          <cell r="K64" t="str">
            <v>6364 463 165‬
A-635 block A, Sushant lok 1, near labernum drive
Message: 
Even the strongest can feel a little sick, I'm always going to be there to take care of you so you feel the strongest again ❤️
Please send 10 Rajnigandha and 2 pink spray daisy in single wrap today for 600, payment already received..</v>
          </cell>
          <cell r="T64" t="str">
            <v xml:space="preserve">Rajni+P Spray Daisy 10+2 Single Wrap Message   </v>
          </cell>
        </row>
        <row r="65">
          <cell r="A65">
            <v>2918</v>
          </cell>
          <cell r="B65" t="str">
            <v>Tina</v>
          </cell>
          <cell r="C65">
            <v>9212408077</v>
          </cell>
          <cell r="D65" t="str">
            <v>J-1603, Palm Drive</v>
          </cell>
          <cell r="H65">
            <v>999</v>
          </cell>
          <cell r="J65" t="str">
            <v>Delight</v>
          </cell>
          <cell r="T65" t="str">
            <v>Sunflower ( 12 Inch ) 2     FF Sachet + Grass</v>
          </cell>
        </row>
        <row r="66">
          <cell r="B66" t="str">
            <v>Madhuri Sakata</v>
          </cell>
          <cell r="C66">
            <v>9953086833</v>
          </cell>
          <cell r="D66" t="str">
            <v>D-17, Infocity, Phase-2, Sec-33, Gurgaon</v>
          </cell>
          <cell r="G66" t="str">
            <v>2 to 2:30pm</v>
          </cell>
          <cell r="H66">
            <v>1500</v>
          </cell>
          <cell r="J66" t="str">
            <v>Bouquet</v>
          </cell>
          <cell r="T66" t="str">
            <v xml:space="preserve">Mix Semi Bloom Oriental+ P n W Car 4+10  korean sheet wrap    </v>
          </cell>
        </row>
        <row r="67">
          <cell r="A67">
            <v>3377</v>
          </cell>
          <cell r="B67" t="str">
            <v>Deepti Bajaj Taneja</v>
          </cell>
          <cell r="C67">
            <v>9873402620</v>
          </cell>
          <cell r="D67" t="str">
            <v>J-001, Emaar Palm Drive, Sec 66</v>
          </cell>
          <cell r="E67" t="str">
            <v>Badshahpur</v>
          </cell>
          <cell r="F67" t="str">
            <v>Monday</v>
          </cell>
          <cell r="G67" t="str">
            <v>9 AM - 12 PM</v>
          </cell>
          <cell r="H67">
            <v>1950</v>
          </cell>
          <cell r="I67">
            <v>487.5</v>
          </cell>
          <cell r="J67" t="str">
            <v>Joy</v>
          </cell>
          <cell r="K67" t="str">
            <v>Premium Necxt (09/06)</v>
          </cell>
          <cell r="M67" t="str">
            <v>Premium Necxt (09/06)</v>
          </cell>
          <cell r="N67" t="str">
            <v>4  del of this cycle   -  0-cycles pmnt   Completed - Collect 0</v>
          </cell>
          <cell r="O67" t="e">
            <v>#N/A</v>
          </cell>
          <cell r="P67" t="e">
            <v>#N/A</v>
          </cell>
          <cell r="Q67" t="str">
            <v>Pur n P Car ( 14 Inch ) 22     FF Sachet + Grass</v>
          </cell>
          <cell r="R67" t="str">
            <v>P Asiatic ( 14 Inch ) 4     Grass</v>
          </cell>
          <cell r="S67" t="str">
            <v>Rajni ( 14 Inch ) 22     Grass</v>
          </cell>
          <cell r="T67" t="str">
            <v>Pur n P Eustoma ( 12 Inch ) 4     FF Sachet + Grass</v>
          </cell>
        </row>
        <row r="68">
          <cell r="A68">
            <v>2429</v>
          </cell>
          <cell r="B68" t="str">
            <v>Pramila Dutt</v>
          </cell>
          <cell r="C68">
            <v>9811735242</v>
          </cell>
          <cell r="D68" t="str">
            <v>S1-C/201, Palm Drive</v>
          </cell>
          <cell r="H68">
            <v>999</v>
          </cell>
          <cell r="J68" t="str">
            <v>Delight</v>
          </cell>
          <cell r="T68" t="str">
            <v>R n W Car 9     FF Sachet + Grass</v>
          </cell>
        </row>
        <row r="69">
          <cell r="A69">
            <v>1262</v>
          </cell>
          <cell r="B69" t="str">
            <v>Manjusha Mishra</v>
          </cell>
          <cell r="C69">
            <v>9650513322</v>
          </cell>
          <cell r="D69" t="str">
            <v>T-12/001, CHD Avenue, Sec 71</v>
          </cell>
          <cell r="E69" t="str">
            <v>Badshahpur</v>
          </cell>
          <cell r="F69" t="str">
            <v>Monday</v>
          </cell>
          <cell r="G69" t="str">
            <v>4 Pm to 7 PM</v>
          </cell>
          <cell r="H69">
            <v>1950</v>
          </cell>
          <cell r="I69">
            <v>487.5</v>
          </cell>
          <cell r="J69" t="str">
            <v>Joy</v>
          </cell>
          <cell r="K69" t="str">
            <v>Rose/Guldawari/Lily/carnations(07/01) Skip 1 week(04/02) Send 1 stick extra next(12/02) send double del with rajni and 4 orchid with payment of 1 orchid of 60(11/03) Flower Food Next(16/04) NO RAJNI IN SUMMER(06/07) Send flowers on 6th instead of 5th(01/11)  Holy Change(16/03) NO GERBERA (01/08) 30th Del Returned (06/01) Skip 1 week (15/10) Send one del today and skip tom (29/03) Send tom n skip 0n 6th (04/04)</v>
          </cell>
          <cell r="L69" t="str">
            <v>GERBERA</v>
          </cell>
          <cell r="M69" t="str">
            <v xml:space="preserve"> Send tom n skip 0n 6th (04/04)</v>
          </cell>
          <cell r="N69" t="str">
            <v>4  del of this cycle   -  0-cycles pmnt   Completed - Collect 0</v>
          </cell>
          <cell r="O69" t="str">
            <v>R n W Car ( 14 Inch ) 22     FF Sachet + Grass</v>
          </cell>
          <cell r="P69" t="str">
            <v>R Asiatic ( 15 Inch ) 4     Grass</v>
          </cell>
          <cell r="Q69" t="str">
            <v>P n W Spray Daisy ( 14 Inch ) 7     FF Sachet + Grass</v>
          </cell>
          <cell r="R69" t="str">
            <v>P n W Glad ( 14 Inch ) 22     Grass</v>
          </cell>
          <cell r="S69" t="str">
            <v>Rajni ( 14 Inch ) 22     Grass</v>
          </cell>
          <cell r="T69" t="str">
            <v>O Asiatic ( 14 Inch ) 4     Grass</v>
          </cell>
        </row>
        <row r="70">
          <cell r="A70">
            <v>1908</v>
          </cell>
          <cell r="B70" t="str">
            <v>Subhadra Chatterjee</v>
          </cell>
          <cell r="C70">
            <v>8826368500</v>
          </cell>
          <cell r="D70" t="str">
            <v>Tower -E, Flat 10B, Central Park Resort</v>
          </cell>
          <cell r="E70" t="str">
            <v>Sohna Road 2</v>
          </cell>
          <cell r="F70" t="str">
            <v>Monday</v>
          </cell>
          <cell r="G70" t="str">
            <v>4 Pm to 7 PM</v>
          </cell>
          <cell r="H70">
            <v>1450</v>
          </cell>
          <cell r="I70">
            <v>362.5</v>
          </cell>
          <cell r="J70" t="str">
            <v>Bliss</v>
          </cell>
          <cell r="K70"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L70" t="str">
            <v>GULDAWARI n ROSE</v>
          </cell>
          <cell r="N70" t="str">
            <v>4  del of this cycle   -  0-cycles pmnt   Completed - Collect 0</v>
          </cell>
          <cell r="O70" t="str">
            <v>O n P Spray Daisy ( 15 inch ) 5     FF Sachet + Grass</v>
          </cell>
          <cell r="P70" t="str">
            <v>Asiatic 3     FF Sachet + Grass</v>
          </cell>
          <cell r="Q70" t="e">
            <v>#N/A</v>
          </cell>
          <cell r="R70" t="str">
            <v>Mix Alstroemeria ( 12 Inch ) 16     FF Sachet + Grass</v>
          </cell>
          <cell r="S70" t="str">
            <v>Pur Eustom ( 12 Inch ) 3     FF Sachet + Grass</v>
          </cell>
          <cell r="T70" t="str">
            <v>Pur n P Car ( 14 Inch ) 16     FF Sachet + Grass</v>
          </cell>
        </row>
        <row r="71">
          <cell r="A71">
            <v>3286</v>
          </cell>
          <cell r="B71" t="str">
            <v>Megha Attray</v>
          </cell>
          <cell r="C71">
            <v>9891818933</v>
          </cell>
          <cell r="D71" t="str">
            <v>Lemon Street -01, Malibu town</v>
          </cell>
          <cell r="E71" t="str">
            <v>Sohna Road</v>
          </cell>
          <cell r="F71" t="str">
            <v>Monday</v>
          </cell>
          <cell r="G71" t="str">
            <v>4 PM to 7PM</v>
          </cell>
          <cell r="H71">
            <v>2750</v>
          </cell>
          <cell r="I71">
            <v>687.5</v>
          </cell>
          <cell r="J71" t="str">
            <v>Elation</v>
          </cell>
          <cell r="K71" t="str">
            <v>Returned - not at home (13/04) Skip 1 week (03/05) Today Returned (25/05)</v>
          </cell>
          <cell r="N71" t="str">
            <v>1  del of this cycle   -  1-cycles pmnt   Pending - Collect 2750</v>
          </cell>
          <cell r="O71" t="str">
            <v>O n P Spray Daisy ( 15 inch ) 10     FF Sachet + Grass</v>
          </cell>
          <cell r="P71" t="str">
            <v>P n W Glad ( 14 Inch ) 32     Grass</v>
          </cell>
          <cell r="Q71" t="str">
            <v>Pur n P Car ( 14 Inch ) 32     2 Gypsola + FF sachet</v>
          </cell>
          <cell r="R71" t="str">
            <v>Sunflower ( 12 Inch ) 7     2 Limonium + FF Sachet</v>
          </cell>
          <cell r="S71" t="str">
            <v>Pur n W Eustoma ( 12 Inch) 6     2 Gypsola + ff Sachet</v>
          </cell>
          <cell r="T71" t="str">
            <v>O Asiatic ( 14 Inch ) 6     2 Limonium</v>
          </cell>
        </row>
      </sheetData>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s>
    <sheetDataSet>
      <sheetData sheetId="0"/>
      <sheetData sheetId="1"/>
      <sheetData sheetId="2"/>
      <sheetData sheetId="3"/>
      <sheetData sheetId="4"/>
      <sheetData sheetId="5">
        <row r="2">
          <cell r="A2">
            <v>1618</v>
          </cell>
          <cell r="B2" t="str">
            <v>Nidhi Sharma Malhotra</v>
          </cell>
          <cell r="C2" t="str">
            <v>8130207722//9999016333</v>
          </cell>
          <cell r="D2" t="str">
            <v>Topaz-36, First Floor, Emaar Emerald Hills, Sec 65</v>
          </cell>
          <cell r="E2" t="str">
            <v>Badshahpur</v>
          </cell>
          <cell r="F2" t="str">
            <v>Friday</v>
          </cell>
          <cell r="G2" t="str">
            <v>9 AM to 2 PM</v>
          </cell>
          <cell r="H2">
            <v>3000</v>
          </cell>
          <cell r="I2">
            <v>375</v>
          </cell>
          <cell r="J2" t="str">
            <v>Charm</v>
          </cell>
          <cell r="K2"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2" t="str">
            <v>GLAD</v>
          </cell>
          <cell r="N2" t="str">
            <v>4  del of this cycle   -  0-cycles pmnt   Complimentary - Collect 0</v>
          </cell>
          <cell r="O2" t="str">
            <v>W Oriental ( 15 inch ) 2     Grass</v>
          </cell>
          <cell r="P2" t="str">
            <v>Rajni ( 14 Inch ) 15     FF Sachet + Grass</v>
          </cell>
          <cell r="Q2" t="str">
            <v>R n W Car ( 14 Inch ) 15     FF sachet + Grass</v>
          </cell>
          <cell r="R2" t="str">
            <v>G Anthurium 3     Grass</v>
          </cell>
          <cell r="S2" t="str">
            <v>Rajni ( 14 Inch ) 15     Grass</v>
          </cell>
          <cell r="T2" t="str">
            <v>Asiatic 3     Grass</v>
          </cell>
        </row>
        <row r="3">
          <cell r="A3">
            <v>2014</v>
          </cell>
          <cell r="B3" t="str">
            <v>Remfry</v>
          </cell>
          <cell r="C3">
            <v>9811343209</v>
          </cell>
          <cell r="D3" t="str">
            <v>Remfry House,Millenium Plaza,Tower-A,8th Floor</v>
          </cell>
          <cell r="E3" t="str">
            <v>M G Road</v>
          </cell>
          <cell r="F3" t="str">
            <v>Monday</v>
          </cell>
          <cell r="G3" t="str">
            <v>By 9 AM</v>
          </cell>
          <cell r="H3">
            <v>4750</v>
          </cell>
          <cell r="I3">
            <v>1187.5</v>
          </cell>
          <cell r="J3" t="str">
            <v>Corporate</v>
          </cell>
          <cell r="K3" t="str">
            <v>2 Arrangements every week (21/11) Due to Mar end, Cycle broken (29/03) Skip 2 weeks (18/12) Next 2 deliveries on Tuesday (19/12) Hold today send tom (31/03) Send bill on Thursday to Samta Mehra Ma'am (20/01) Now Send Arrangement (27/01)</v>
          </cell>
          <cell r="N3" t="str">
            <v>4  del of this cycle   -  0-cycles pmnt   In Process - Collect 0</v>
          </cell>
          <cell r="O3" t="str">
            <v>Sunflower ( 14 Inch ) 6 P n W Glad ( 14 Inch ) 30   Ff Sachet + 3 Limoniu,</v>
          </cell>
          <cell r="P3" t="str">
            <v>O Asiatic ( 14 inch ) 6 P n W Car ( 14 Inch ) 30   3 Gypsola + FF sachet</v>
          </cell>
          <cell r="Q3" t="str">
            <v>Pur n P Eustoma( 12 Inch ) 8 Mix Alstroemeria ( 12 Inch ) 30   3 Limonium + FF aschet</v>
          </cell>
          <cell r="R3" t="str">
            <v>Sunflower ( 12 Inch ) 6 Rajni ( 14 inch ) 30   2 Gypsola + ff Sachet</v>
          </cell>
          <cell r="S3" t="str">
            <v>P Asiatic ( 14 Inch ) 6 P n W Glad ( 14 Inch ) 30   3 Limonium</v>
          </cell>
          <cell r="T3" t="str">
            <v>P n Y Spray Daisy ( 14 Inch ) 10 Pur n P Car ( 14 inch ) 30   3 Gyposla + FF Sachet</v>
          </cell>
        </row>
        <row r="4">
          <cell r="A4">
            <v>2801</v>
          </cell>
          <cell r="B4" t="str">
            <v>Noopur Gupta</v>
          </cell>
          <cell r="C4">
            <v>9810130319</v>
          </cell>
          <cell r="D4" t="str">
            <v>Topaz-186, GF, Emaar Emerald Hills</v>
          </cell>
          <cell r="E4" t="str">
            <v>Badshahpur</v>
          </cell>
          <cell r="F4" t="str">
            <v>Friday</v>
          </cell>
          <cell r="G4" t="str">
            <v>9:30 Am to 2 PM</v>
          </cell>
          <cell r="H4">
            <v>1600</v>
          </cell>
          <cell r="I4">
            <v>200</v>
          </cell>
          <cell r="J4" t="str">
            <v>Bloom</v>
          </cell>
          <cell r="K4" t="str">
            <v>Friday n Monday // Send replacement of Eustoma tom (08/09) No Orchids (23/01) Hold n start from July (27/05)</v>
          </cell>
          <cell r="L4" t="str">
            <v>Orchid</v>
          </cell>
          <cell r="M4" t="str">
            <v>Seasonal with 9 Del Only (02/04)</v>
          </cell>
          <cell r="N4" t="str">
            <v>2  del of this cycle   -  0-cycles pmnt   Completed - Collect 0</v>
          </cell>
          <cell r="O4" t="e">
            <v>#N/A</v>
          </cell>
          <cell r="P4" t="e">
            <v>#N/A</v>
          </cell>
          <cell r="Q4" t="e">
            <v>#N/A</v>
          </cell>
          <cell r="R4" t="e">
            <v>#N/A</v>
          </cell>
          <cell r="S4" t="e">
            <v>#N/A</v>
          </cell>
          <cell r="T4" t="str">
            <v>Mix Alstroemeria ( 12 Inch ) 7     FF Sachet + Grass</v>
          </cell>
        </row>
        <row r="5">
          <cell r="A5">
            <v>1583</v>
          </cell>
          <cell r="B5" t="str">
            <v>Sanjeev Saini</v>
          </cell>
          <cell r="C5">
            <v>8505816000</v>
          </cell>
          <cell r="D5" t="str">
            <v>H. No.951, Block -C, Sec 47</v>
          </cell>
          <cell r="E5" t="str">
            <v>Nirvana Country</v>
          </cell>
          <cell r="F5" t="str">
            <v>Monday</v>
          </cell>
          <cell r="G5" t="str">
            <v>9 AM to 2 PM</v>
          </cell>
          <cell r="H5">
            <v>999</v>
          </cell>
          <cell r="I5">
            <v>249.75</v>
          </cell>
          <cell r="J5" t="str">
            <v>Delight</v>
          </cell>
          <cell r="K5" t="str">
            <v>Today returned-send tom(15/08) Today Retirned (19/08) Today returned -send tom (26/01)</v>
          </cell>
          <cell r="N5" t="str">
            <v>4  del of this cycle   -  0-cycles pmnt   In Process - Collect 0</v>
          </cell>
          <cell r="O5" t="str">
            <v>R Asiatic ( 15 Inch ) 2     Grass</v>
          </cell>
          <cell r="P5" t="str">
            <v>Mix Alstroemeria ( 12 Inch ) 9     FF Sachet + Grass</v>
          </cell>
          <cell r="Q5" t="str">
            <v>Pur n P Car ( 14 Inch ) 9     FF Sachet + Grass</v>
          </cell>
          <cell r="R5" t="str">
            <v>P n W Gerbera ( 12 Inch ) 9     FF Sachet + Grass</v>
          </cell>
          <cell r="S5" t="str">
            <v>Rajni ( 14 Inch ) 9     Grass</v>
          </cell>
          <cell r="T5" t="str">
            <v>Sunflower ( 12 Inch ) 2     Grass</v>
          </cell>
        </row>
        <row r="6">
          <cell r="A6">
            <v>2041</v>
          </cell>
          <cell r="B6" t="str">
            <v>Sanjeev Saini</v>
          </cell>
          <cell r="C6">
            <v>8505816000</v>
          </cell>
          <cell r="D6" t="str">
            <v>H. No.951, Block -C, Sec 47</v>
          </cell>
          <cell r="E6" t="str">
            <v>Sohna Road 1</v>
          </cell>
          <cell r="F6" t="str">
            <v>Monday</v>
          </cell>
          <cell r="G6" t="str">
            <v>9 AM - 12 PM</v>
          </cell>
          <cell r="H6">
            <v>999</v>
          </cell>
          <cell r="I6">
            <v>249.75</v>
          </cell>
          <cell r="J6" t="str">
            <v>Delight</v>
          </cell>
          <cell r="K6" t="str">
            <v>Today Returned (27/02) Today Returned (19/08) Scossor Next (24/05)</v>
          </cell>
          <cell r="M6" t="str">
            <v>Scissor Next</v>
          </cell>
          <cell r="N6" t="str">
            <v>1  del of this cycle   -  0-cycles pmnt   In Process - Collect 0</v>
          </cell>
          <cell r="O6" t="str">
            <v>O Asiatic ( 15 Inch ) 2     Grass</v>
          </cell>
          <cell r="P6" t="str">
            <v>Mix Alstroemeria ( 12 Inch ) 9     FF Sachet + Grass</v>
          </cell>
          <cell r="Q6" t="str">
            <v>Pur n P Car ( 14 Inch ) 9     FF Sachet + Grass</v>
          </cell>
          <cell r="R6" t="str">
            <v>P n W Gerbera ( 12 Inch ) 9     FF Sachet + Grass</v>
          </cell>
          <cell r="S6" t="str">
            <v>Rajni ( 14 Inch ) 9     Grass</v>
          </cell>
          <cell r="T6" t="str">
            <v>Sunflower ( 12 Inch ) 2     Grass</v>
          </cell>
        </row>
        <row r="7">
          <cell r="A7">
            <v>1477</v>
          </cell>
          <cell r="B7" t="str">
            <v>Priyanka Agarwal</v>
          </cell>
          <cell r="C7">
            <v>9810745341</v>
          </cell>
          <cell r="D7" t="str">
            <v>624-A, Fairway East, Sector 65</v>
          </cell>
          <cell r="E7" t="str">
            <v>Badshahpur</v>
          </cell>
          <cell r="F7" t="str">
            <v>Friday</v>
          </cell>
          <cell r="G7" t="str">
            <v>9 AM to 2 PM</v>
          </cell>
          <cell r="H7">
            <v>1600</v>
          </cell>
          <cell r="I7">
            <v>200</v>
          </cell>
          <cell r="J7" t="str">
            <v>Bloom</v>
          </cell>
          <cell r="K7"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7" t="str">
            <v>1  del of this cycle   -  1-cycles pmnt   Pending - Collect 1600</v>
          </cell>
          <cell r="O7" t="str">
            <v>B Daisy 12 Inch ) 7     FF Sachet + grass</v>
          </cell>
          <cell r="P7" t="str">
            <v>Sunflower ( 12 Inch ) 2     FF Sachet + Grass</v>
          </cell>
          <cell r="Q7" t="str">
            <v>P n W Glad ( 14 Inch ) 7     Grass</v>
          </cell>
          <cell r="R7" t="str">
            <v>B Daisy ( 12 Inch ) 7     Grass</v>
          </cell>
          <cell r="S7" t="str">
            <v>Sunflower ( 12 Inch ) 2     FF Sachet + Grass</v>
          </cell>
          <cell r="T7" t="str">
            <v>Mix Alstroemeria ( 12 Inch ) 7     FF Sachet + Grass</v>
          </cell>
        </row>
        <row r="8">
          <cell r="A8">
            <v>1112</v>
          </cell>
          <cell r="B8" t="str">
            <v>Reet Gulati</v>
          </cell>
          <cell r="C8">
            <v>9910689598</v>
          </cell>
          <cell r="D8" t="str">
            <v>T-7/804, Uniworld Gardens</v>
          </cell>
          <cell r="E8" t="str">
            <v>Sohna Road 1</v>
          </cell>
          <cell r="F8" t="str">
            <v>Monday</v>
          </cell>
          <cell r="G8" t="str">
            <v>9:30 Am to 2 PM</v>
          </cell>
          <cell r="H8">
            <v>1450</v>
          </cell>
          <cell r="I8">
            <v>362.5</v>
          </cell>
          <cell r="J8" t="str">
            <v>Bliss</v>
          </cell>
          <cell r="K8" t="str">
            <v>Friday n Monday//Send 1 del tom(27/09/20) Skip 1 week(25/11) Y Guldawari Next(10/12) Boquet payment added against bouquet sent to Neeta Gulati(15/12) NO BOP--send R n P Car Tom(17/12) White and Pink/Red Glad Next(22/12) Mix glad next(06/01) Skip 1 week(13/01) Glad Next(28/01) Glad Next(03/02) Dahelia Next(03/03) Shift Day to Friday(10/03) dark Pink with Yellow Glad(18/03) Dark Pink and 1 other color glad Next(08/04) Hold n skip 2 weeks(23/04) Send mixed flowers tom(10/06) Skip 1 week(01/07) No flowers in buds(02/11) Don not sned on 11th -- already sent on 9th(09/11) Skip 1 weeK16/12) 2 dark color Glad Next(28/01) P Rose Next(08/02) Send Replacement tom(24/02) Send Mix color flower -- preferably either red or pink with other color(03/03) Day Change on Friday (15/11) Skip 1 week (05/12) Send tom in evening slot and do not send on 4th (31/03) Send remaining flowers of in next del (18/08) Sent replacement today (07/10) skip 1 week (25/03) No Orchid (14/04) Car or Glad tom (29/09) Skip 1 week after 23rd (16/12) Skip 1 week (29/01) Paytm From Neelima Arora (30/01) Hold n start from 3rd week of june (18/05) 15% Discount (26/07) Collect cash and carry Change(24/08) Paytm from Suman Jain (03/11) Paytm From Vipin Gulati (20/05) Skip 1 week (16/06)</v>
          </cell>
          <cell r="L8" t="str">
            <v>ORCHID</v>
          </cell>
          <cell r="M8" t="str">
            <v>One Kind Flowers// Rajni next (16/10)</v>
          </cell>
          <cell r="N8" t="str">
            <v>2  del of this cycle   -  1-cycles pmnt   Pending - Collect 1450</v>
          </cell>
          <cell r="O8" t="str">
            <v>Mix Alstroemeria ( 12 Inch ) 9     FF sachet + grass</v>
          </cell>
          <cell r="P8" t="str">
            <v>P n W Glad ( 14 Inch ) 9     Grass</v>
          </cell>
          <cell r="Q8" t="str">
            <v>Pur n P Car ( 14 Inch ) 9     FF Sachet + Grass</v>
          </cell>
          <cell r="R8" t="e">
            <v>#N/A</v>
          </cell>
          <cell r="S8" t="str">
            <v>O Asiatic ( 14 Inch ) 3     Grass</v>
          </cell>
          <cell r="T8" t="str">
            <v>Rajni ( 14 Inch ) 16     Grass</v>
          </cell>
        </row>
        <row r="9">
          <cell r="A9">
            <v>3330</v>
          </cell>
          <cell r="B9" t="str">
            <v>Radhika</v>
          </cell>
          <cell r="C9">
            <v>9911818025</v>
          </cell>
          <cell r="D9" t="str">
            <v>Bacardi India, 805, 8th Floor, Time Tower</v>
          </cell>
          <cell r="E9" t="str">
            <v>M G Road</v>
          </cell>
          <cell r="F9" t="str">
            <v>Monday</v>
          </cell>
          <cell r="G9" t="str">
            <v>9 AM - 12 PM</v>
          </cell>
          <cell r="H9">
            <v>2750</v>
          </cell>
          <cell r="I9">
            <v>687.5</v>
          </cell>
          <cell r="J9" t="str">
            <v>Corporate</v>
          </cell>
          <cell r="N9" t="str">
            <v>4  del of this cycle   -  0-cycles pmnt   In Process - Collect 0</v>
          </cell>
          <cell r="O9" t="str">
            <v xml:space="preserve">Mix Alstroemeria ( 12 Inch ) 30     </v>
          </cell>
          <cell r="P9" t="str">
            <v>Sunflower ( 12 Inch ) 7     Grass</v>
          </cell>
          <cell r="Q9" t="str">
            <v>P n W Glad ( 14 Inch ) 32     Grass</v>
          </cell>
          <cell r="R9" t="str">
            <v>Pur n W Eustoma ( 12 Inch) 6     Grass</v>
          </cell>
          <cell r="S9" t="str">
            <v>Pur n P Car ( 14 Inch ) 32     FF Sachet + Grass</v>
          </cell>
          <cell r="T9" t="str">
            <v>Rajni ( 14 Inch ) 32     2 Limonium</v>
          </cell>
        </row>
        <row r="10">
          <cell r="A10">
            <v>3390</v>
          </cell>
          <cell r="B10" t="str">
            <v>Rajpal Singh</v>
          </cell>
          <cell r="C10">
            <v>8800344225</v>
          </cell>
          <cell r="D10" t="str">
            <v>F-2, Greenwood City, Sec 46</v>
          </cell>
          <cell r="G10" t="str">
            <v>Replacment</v>
          </cell>
          <cell r="H10" t="str">
            <v>Replacment</v>
          </cell>
          <cell r="I10" t="str">
            <v>Replacment</v>
          </cell>
          <cell r="J10" t="str">
            <v>Replacment</v>
          </cell>
          <cell r="K10" t="str">
            <v>Replacment</v>
          </cell>
          <cell r="L10" t="str">
            <v>Replacment</v>
          </cell>
          <cell r="M10" t="str">
            <v>Replacment</v>
          </cell>
          <cell r="N10" t="str">
            <v>Pls  Old Asiatic-3</v>
          </cell>
          <cell r="O10" t="str">
            <v>Replacment</v>
          </cell>
          <cell r="P10" t="str">
            <v>Replacment</v>
          </cell>
          <cell r="Q10" t="str">
            <v>Replacment</v>
          </cell>
          <cell r="R10" t="str">
            <v>Replacment</v>
          </cell>
          <cell r="S10" t="str">
            <v>Replacment</v>
          </cell>
          <cell r="T10" t="str">
            <v xml:space="preserve">Rajni ( 14 Inch ) 16     </v>
          </cell>
        </row>
        <row r="11">
          <cell r="A11">
            <v>950</v>
          </cell>
          <cell r="B11" t="str">
            <v>Radhika</v>
          </cell>
          <cell r="C11">
            <v>9911818025</v>
          </cell>
          <cell r="D11" t="str">
            <v>Bacardi India, 805, 8th Floor, Time Tower</v>
          </cell>
          <cell r="E11" t="str">
            <v>M G Road</v>
          </cell>
          <cell r="F11" t="str">
            <v>Monday</v>
          </cell>
          <cell r="G11" t="str">
            <v>9 AM - 12 PM</v>
          </cell>
          <cell r="H11">
            <v>2750</v>
          </cell>
          <cell r="I11">
            <v>687.5</v>
          </cell>
          <cell r="J11" t="str">
            <v>Corporate</v>
          </cell>
          <cell r="K11" t="str">
            <v>Skip 2 weeks(20/03) Today hold-send Tom(15/08) Returned-send tom(26/10) Today returned (19/08) Hold today send tom (31/03) Send tom (26/01)</v>
          </cell>
          <cell r="N11" t="str">
            <v>3  del of this cycle   -  0-cycles pmnt   In Process - Collect 0</v>
          </cell>
          <cell r="O11" t="str">
            <v xml:space="preserve">Mix Alstroemeria ( 12 Inch ) 30     </v>
          </cell>
          <cell r="P11" t="str">
            <v>Sunflower ( 12 Inch ) 7     Grass</v>
          </cell>
          <cell r="Q11" t="str">
            <v>P n W Glad ( 14 Inch ) 32     Grass</v>
          </cell>
          <cell r="R11" t="str">
            <v>Pur n W Eustoma ( 12 Inch) 6     Grass</v>
          </cell>
          <cell r="S11" t="str">
            <v>Pur n P Car ( 14 Inch ) 32     FF Sachet + Grass</v>
          </cell>
          <cell r="T11" t="str">
            <v>Rajni ( 14 Inch ) 32     2 Limonium</v>
          </cell>
        </row>
        <row r="12">
          <cell r="A12">
            <v>2895</v>
          </cell>
          <cell r="B12" t="str">
            <v>Aditya -- Hexa Climate</v>
          </cell>
          <cell r="C12">
            <v>8351968881</v>
          </cell>
          <cell r="D12" t="str">
            <v>Hexa Climate Solutions , 8th Floor, Vatika Buisness Park</v>
          </cell>
          <cell r="E12" t="str">
            <v>Sohna Road 1</v>
          </cell>
          <cell r="F12" t="str">
            <v>Monday</v>
          </cell>
          <cell r="G12" t="str">
            <v>By 9 AM</v>
          </cell>
          <cell r="H12">
            <v>20000</v>
          </cell>
          <cell r="I12">
            <v>5000</v>
          </cell>
          <cell r="J12" t="str">
            <v>Corporate</v>
          </cell>
          <cell r="K12" t="str">
            <v>Visit -- 15 Square vase</v>
          </cell>
          <cell r="N12" t="str">
            <v>4  del of this cycle   -  0-cycles pmnt   In Process - Collect 0</v>
          </cell>
          <cell r="O12" t="str">
            <v xml:space="preserve">Square Arrangement 15     </v>
          </cell>
          <cell r="P12" t="str">
            <v xml:space="preserve">Square Arrangement 15     </v>
          </cell>
          <cell r="Q12" t="str">
            <v xml:space="preserve">Square arrangment 15     </v>
          </cell>
          <cell r="R12" t="str">
            <v xml:space="preserve">Square Arrangement  15     </v>
          </cell>
          <cell r="S12" t="str">
            <v xml:space="preserve">Square Arrangement 15     </v>
          </cell>
          <cell r="T12" t="str">
            <v xml:space="preserve">Square Arrangement 15     </v>
          </cell>
        </row>
        <row r="13">
          <cell r="A13">
            <v>3278</v>
          </cell>
          <cell r="B13" t="str">
            <v>Manish -- Shivtech Spechemi</v>
          </cell>
          <cell r="C13">
            <v>9220454117</v>
          </cell>
          <cell r="D13" t="str">
            <v>Shivtek Spechemi Industries, 24, 4th Floor, M3M Corner Walk, Sec 74</v>
          </cell>
          <cell r="E13" t="str">
            <v>Badshahpur</v>
          </cell>
          <cell r="F13" t="str">
            <v>Monday</v>
          </cell>
          <cell r="G13" t="str">
            <v>By 10 AM</v>
          </cell>
          <cell r="H13">
            <v>6350</v>
          </cell>
          <cell r="I13">
            <v>1587.5</v>
          </cell>
          <cell r="J13" t="str">
            <v>Corporate</v>
          </cell>
          <cell r="K13" t="str">
            <v>Flowers for 6 Vases // Hold today (05/03) Skip tom (29/03)</v>
          </cell>
          <cell r="N13" t="str">
            <v>4  del of this cycle   -  0-cycles pmnt   In Process - Collect 0</v>
          </cell>
          <cell r="O13" t="str">
            <v>Y Asiatic + Sunflower + P n W Glad 6 + 6 + 24     4 Areca Palm + 2 Gypsola + 2 Limonkum</v>
          </cell>
          <cell r="P13" t="str">
            <v>P Asiatic ( 14 Inch ) 6 P n W Spray Daisy ( 14 Inch ) 8 Pur n P Car ( 14 inch ) 24 4 Ateca Palm + 2 Gypsola + 2 Limonium</v>
          </cell>
          <cell r="Q13" t="str">
            <v>W Asiatic + Spray Daisy  6 + 8 Rajni 24   4 Areca Palm + 2 Gypsola + 2 Limonium</v>
          </cell>
          <cell r="R13" t="str">
            <v>O Aiatic (14 Inch) 6 P Eustoma ( 12 Inch ) 6 P n W Car ( 12 Inch ) 24 4 Areca Palm +2 Gypsola + 2 Limonium</v>
          </cell>
          <cell r="S13" t="str">
            <v>P Asiatic ( 14 Inch ) + Sunflower  ( 12 Inch ) 6 + 6 P n W Glad ( 14 Inch ) 24   4 Areca Palm + 2 Gypsola + 2 Limonium</v>
          </cell>
          <cell r="T13" t="str">
            <v>W Asiatic + O n W Spray Daisy 3 + 6 Mix Alstroemeria 24   4 Areca palm + 2 Gypsola + 2 Limonium</v>
          </cell>
        </row>
        <row r="14">
          <cell r="A14">
            <v>3286</v>
          </cell>
          <cell r="B14" t="str">
            <v>Megha Attray</v>
          </cell>
          <cell r="C14">
            <v>9891818933</v>
          </cell>
          <cell r="D14" t="str">
            <v>Lemon Street -01, Malibu town</v>
          </cell>
          <cell r="E14" t="str">
            <v>Sohna Road</v>
          </cell>
          <cell r="F14" t="str">
            <v>Monday</v>
          </cell>
          <cell r="G14" t="str">
            <v>4 PM to 7PM</v>
          </cell>
          <cell r="H14">
            <v>2750</v>
          </cell>
          <cell r="I14">
            <v>687.5</v>
          </cell>
          <cell r="J14" t="str">
            <v>Elation</v>
          </cell>
          <cell r="K14" t="str">
            <v>Returned - not at home (13/04) Skip 1 week (03/05) Today Returned (25/05)</v>
          </cell>
          <cell r="N14" t="str">
            <v>2  del of this cycle   -  0-cycles pmnt   Completed - Collect 0</v>
          </cell>
          <cell r="O14" t="str">
            <v>P n W Glad ( 14 Inch ) 32     Grass</v>
          </cell>
          <cell r="P14" t="str">
            <v>Pur n P Car ( 14 Inch ) 32     2 Gypsola + FF sachet</v>
          </cell>
          <cell r="Q14" t="str">
            <v>Sunflower ( 12 Inch ) 7     2 Limonium + FF Sachet</v>
          </cell>
          <cell r="R14" t="str">
            <v>Pur n W Eustoma ( 12 Inch) 6     2 Gypsola + ff Sachet</v>
          </cell>
          <cell r="S14" t="str">
            <v>O Asiatic ( 14 Inch ) 6     2 Limonium</v>
          </cell>
          <cell r="T14" t="str">
            <v>Rajni ( 14 Inch ) 32     2 Limonium</v>
          </cell>
        </row>
        <row r="15">
          <cell r="A15">
            <v>435</v>
          </cell>
          <cell r="B15" t="str">
            <v>Rashee Sharma</v>
          </cell>
          <cell r="C15">
            <v>9911818025</v>
          </cell>
          <cell r="D15" t="str">
            <v>Bacardi, 8th Floor, Time Tower, M G Road</v>
          </cell>
          <cell r="E15" t="str">
            <v>Sohna Road 1</v>
          </cell>
          <cell r="F15" t="str">
            <v>Monday</v>
          </cell>
          <cell r="G15" t="str">
            <v>4 PM to 7PM</v>
          </cell>
          <cell r="H15">
            <v>1450</v>
          </cell>
          <cell r="I15">
            <v>362.5</v>
          </cell>
          <cell r="J15" t="str">
            <v>Corporate</v>
          </cell>
          <cell r="K15" t="str">
            <v>Hold today-send tom(02/09) Today Returned (20/08) Hold toda send tom (31/03) Send tom (26/01)</v>
          </cell>
          <cell r="N15" t="str">
            <v>3  del of this cycle   -  0-cycles pmnt   In Process - Collect 0</v>
          </cell>
          <cell r="O15" t="str">
            <v>Mix Alstroemeria ( 12 Inch ) 15     FF Sachet + Grass</v>
          </cell>
          <cell r="P15" t="str">
            <v>Sunflower ( 12 Inch ) 4     Grass</v>
          </cell>
          <cell r="Q15" t="str">
            <v>P n W Glad ( 14 Inch ) 16     Grass</v>
          </cell>
          <cell r="R15" t="str">
            <v>Pur Eustom ( 12 Inch ) 3     FF Sachet + Grass</v>
          </cell>
          <cell r="S15" t="str">
            <v>Pur n P Car ( 14 Inch ) 16     FF Sachet + Grass</v>
          </cell>
          <cell r="T15" t="str">
            <v>Rajni ( 14 Inch ) 16     Grass</v>
          </cell>
        </row>
        <row r="16">
          <cell r="A16" t="str">
            <v>B56362</v>
          </cell>
          <cell r="B16" t="str">
            <v>Garima Kumar</v>
          </cell>
          <cell r="C16">
            <v>7015923583</v>
          </cell>
          <cell r="D16" t="str">
            <v>T-12/1201, Fresco</v>
          </cell>
          <cell r="E16" t="str">
            <v>Nirvana Country</v>
          </cell>
          <cell r="F16" t="str">
            <v>Monday</v>
          </cell>
          <cell r="G16" t="str">
            <v>By 10 AM</v>
          </cell>
          <cell r="H16">
            <v>2800</v>
          </cell>
          <cell r="I16">
            <v>2800</v>
          </cell>
          <cell r="J16" t="str">
            <v>Bouquet</v>
          </cell>
          <cell r="K16" t="str">
            <v>Open 6 P Oriental + 15 Pink n Peach Rose + 6 B Daisy in Pink n White Tissue Wrap</v>
          </cell>
          <cell r="N16" t="str">
            <v>1  del of this cycle   -  0-cycles pmnt   Completed - Collect 0</v>
          </cell>
          <cell r="O16" t="e">
            <v>#N/A</v>
          </cell>
          <cell r="P16" t="e">
            <v>#N/A</v>
          </cell>
          <cell r="Q16" t="e">
            <v>#N/A</v>
          </cell>
          <cell r="R16" t="e">
            <v>#N/A</v>
          </cell>
          <cell r="S16" t="e">
            <v>#N/A</v>
          </cell>
          <cell r="T16" t="str">
            <v xml:space="preserve">Open P Oriental + Pink n Peach Rose + B Daisy 6 + 15 + 6 Pink n W Tissue Wrap    </v>
          </cell>
        </row>
        <row r="17">
          <cell r="A17" t="str">
            <v>B56374</v>
          </cell>
          <cell r="B17" t="str">
            <v>Smridhi</v>
          </cell>
          <cell r="C17">
            <v>9819179941</v>
          </cell>
          <cell r="D17" t="str">
            <v>A3/501, uniworld City, Sec 30</v>
          </cell>
          <cell r="E17" t="str">
            <v>South City 1</v>
          </cell>
          <cell r="F17" t="str">
            <v>Monday</v>
          </cell>
          <cell r="G17" t="str">
            <v>By 10 AM</v>
          </cell>
          <cell r="H17">
            <v>1850</v>
          </cell>
          <cell r="I17">
            <v>1850</v>
          </cell>
          <cell r="J17" t="str">
            <v>Bouquet</v>
          </cell>
          <cell r="K17" t="str">
            <v>From Neha N Kohli</v>
          </cell>
          <cell r="N17" t="str">
            <v>1  del of this cycle   -  0-cycles pmnt   In Process - Collect 0</v>
          </cell>
          <cell r="O17" t="e">
            <v>#N/A</v>
          </cell>
          <cell r="P17" t="e">
            <v>#N/A</v>
          </cell>
          <cell r="Q17" t="e">
            <v>#N/A</v>
          </cell>
          <cell r="R17" t="e">
            <v>#N/A</v>
          </cell>
          <cell r="S17" t="e">
            <v>#N/A</v>
          </cell>
          <cell r="T17" t="str">
            <v xml:space="preserve">Red n W Asiatic  8 Single Wrap + Message    </v>
          </cell>
        </row>
        <row r="18">
          <cell r="A18">
            <v>1914</v>
          </cell>
          <cell r="B18" t="str">
            <v>Neelam Ahuja</v>
          </cell>
          <cell r="C18">
            <v>7011107486</v>
          </cell>
          <cell r="D18" t="str">
            <v>4002, M3m Latitude, Sec 65</v>
          </cell>
          <cell r="E18" t="str">
            <v>Badshahpur</v>
          </cell>
          <cell r="F18" t="str">
            <v>Friday</v>
          </cell>
          <cell r="G18" t="str">
            <v>9 AM - 12 PM</v>
          </cell>
          <cell r="H18">
            <v>3000</v>
          </cell>
          <cell r="I18">
            <v>375</v>
          </cell>
          <cell r="J18" t="str">
            <v>Charm</v>
          </cell>
          <cell r="K18"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18" t="str">
            <v>Spray Daisy n GERBERA n Statice</v>
          </cell>
          <cell r="N18" t="str">
            <v>3  del of this cycle   -  0-cycles pmnt   Completed - Collect 0</v>
          </cell>
          <cell r="O18" t="str">
            <v>P n W Glad ( 14 Inch ) 15     Grass</v>
          </cell>
          <cell r="P18" t="str">
            <v>BOP ( 14 Inch ) 3     FF Sachet + Grass</v>
          </cell>
          <cell r="Q18" t="str">
            <v>P Oriental ( 15 Inch ) 2     Grass</v>
          </cell>
          <cell r="R18" t="e">
            <v>#N/A</v>
          </cell>
          <cell r="S18" t="e">
            <v>#N/A</v>
          </cell>
          <cell r="T18" t="str">
            <v>B Daisy 15     Grass</v>
          </cell>
        </row>
        <row r="19">
          <cell r="A19">
            <v>1005</v>
          </cell>
          <cell r="B19" t="str">
            <v>Pradeep Jain</v>
          </cell>
          <cell r="C19">
            <v>9810013570</v>
          </cell>
          <cell r="D19" t="str">
            <v>Bacardi India,8th Floor, Time Tower</v>
          </cell>
          <cell r="E19" t="str">
            <v>M G Road</v>
          </cell>
          <cell r="F19" t="str">
            <v>Monday</v>
          </cell>
          <cell r="G19" t="str">
            <v>9:30 AM to 2 PM</v>
          </cell>
          <cell r="H19">
            <v>1450</v>
          </cell>
          <cell r="I19">
            <v>362.5</v>
          </cell>
          <cell r="J19" t="str">
            <v>Corporate</v>
          </cell>
          <cell r="K19" t="str">
            <v>Paytm from Vinod and Received 100 via cash today(15/02) 2 Sticks extra next week(20/02) Skip 1 week(20/03) START FROM JUNE (19/05/20) Today returned-send tom(30/11) Return-skip 1 week(24/01) Skiped 1 week due to HOLI(29/03) Hold n send tom(08/11) Skip 1 week(26/12) Sent 1 del today this week(22/04) REturn-send next week(18/07) Today hold-send Tom(15/08) Returne-send next week (26/10) Hold today and send after 1st Jan (26/12)  Send in Thursday (21/10) Send on thursday this week (13/11) Today Retyrned (19/08) Hold today send tom (31/03) Send Tom (26/01)</v>
          </cell>
          <cell r="N19" t="str">
            <v>2  del of this cycle   -  0-cycles pmnt   In Process - Collect 0</v>
          </cell>
          <cell r="O19" t="str">
            <v>P n W Glad ( 14 Inch )      Grass</v>
          </cell>
          <cell r="P19" t="str">
            <v>Sunflower ( 12 Inch ) 4     FF Sachet + Grass</v>
          </cell>
          <cell r="Q19" t="str">
            <v>Pur n P Car ( 14 Inch ) 16     FF Sachet + Grass</v>
          </cell>
          <cell r="R19" t="str">
            <v>Pur Eustom ( 12 Inch ) 3     Grass</v>
          </cell>
          <cell r="S19" t="str">
            <v>O Asiatic ( 14 Inch ) 3     Grass</v>
          </cell>
          <cell r="T19" t="str">
            <v>Rajni ( 14 Inch ) 16     Grass</v>
          </cell>
        </row>
        <row r="20">
          <cell r="A20">
            <v>2323</v>
          </cell>
          <cell r="B20" t="str">
            <v>Chhavi Chugh</v>
          </cell>
          <cell r="C20">
            <v>9632045533</v>
          </cell>
          <cell r="D20" t="str">
            <v>FE-01-1B, M3M Golfestate, Sec 65</v>
          </cell>
          <cell r="E20" t="str">
            <v>Badshahpur</v>
          </cell>
          <cell r="F20" t="str">
            <v>Friday</v>
          </cell>
          <cell r="G20" t="str">
            <v>9 AM - 12 PM</v>
          </cell>
          <cell r="H20">
            <v>3950</v>
          </cell>
          <cell r="I20">
            <v>493.75</v>
          </cell>
          <cell r="J20" t="str">
            <v>Grace</v>
          </cell>
          <cell r="K20" t="str">
            <v>Send 1 Del Tom (17/10) Skip 1 week (14/11) Skip tom n send on Monday (23/10) Replacement of 1 sunflower tom (07/11) Skip n sned on Monday (16/02) Skip 10th and send on 12th Apr (008/04)</v>
          </cell>
          <cell r="N20" t="str">
            <v>1  del of this cycle   -  1-cycles pmnt   Pending - Collect 3950</v>
          </cell>
          <cell r="O20" t="e">
            <v>#N/A</v>
          </cell>
          <cell r="P20" t="e">
            <v>#N/A</v>
          </cell>
          <cell r="Q20" t="e">
            <v>#N/A</v>
          </cell>
          <cell r="R20" t="e">
            <v>#N/A</v>
          </cell>
          <cell r="S20" t="e">
            <v>#N/A</v>
          </cell>
          <cell r="T20" t="str">
            <v>Pur n P Car ( 14 Inch ) 20     FF Sachet + Grass</v>
          </cell>
        </row>
        <row r="21">
          <cell r="A21">
            <v>2363</v>
          </cell>
          <cell r="B21" t="str">
            <v>Radhika</v>
          </cell>
          <cell r="C21">
            <v>9911818025</v>
          </cell>
          <cell r="D21" t="str">
            <v>Bacardi India, 805, 8th Floor, Time Tower</v>
          </cell>
          <cell r="E21" t="str">
            <v>M G Road</v>
          </cell>
          <cell r="F21" t="str">
            <v>Monday</v>
          </cell>
          <cell r="G21" t="str">
            <v>9 AM - 12 PM</v>
          </cell>
          <cell r="H21">
            <v>2750</v>
          </cell>
          <cell r="I21">
            <v>687.5</v>
          </cell>
          <cell r="J21" t="str">
            <v>Corporate</v>
          </cell>
          <cell r="K21" t="str">
            <v>Hold today send tom (31/03) Send tom (26/01)</v>
          </cell>
          <cell r="N21" t="str">
            <v>2  del of this cycle   -  0-cycles pmnt   In Process - Collect 0</v>
          </cell>
          <cell r="O21" t="str">
            <v>Mix Alstroemeria ( 12 Inch ) 30     Grass</v>
          </cell>
          <cell r="P21" t="str">
            <v>Sunflower ( 12 Inch ) 7     Grass</v>
          </cell>
          <cell r="Q21" t="str">
            <v>P n W Glad ( 14 Inch ) 32     Grass</v>
          </cell>
          <cell r="R21" t="str">
            <v>Pur n W Eustoma ( 12 Inch) 6     Grass</v>
          </cell>
          <cell r="S21" t="str">
            <v>Pur n P Car ( 14 Inch ) 32     FF Sachet + Grass</v>
          </cell>
          <cell r="T21" t="str">
            <v>Rajni ( 14 Inch ) 32     2 Limonium</v>
          </cell>
        </row>
        <row r="22">
          <cell r="A22">
            <v>3399</v>
          </cell>
          <cell r="B22" t="str">
            <v>Ana Rizvi</v>
          </cell>
          <cell r="C22">
            <v>7355245955</v>
          </cell>
          <cell r="D22" t="str">
            <v>A-4/202, Uniworld Gardens 2</v>
          </cell>
          <cell r="E22" t="str">
            <v>Sohna Road 1</v>
          </cell>
          <cell r="F22" t="str">
            <v>Monday</v>
          </cell>
          <cell r="G22" t="str">
            <v>9 AM - 12 PM</v>
          </cell>
          <cell r="H22">
            <v>1450</v>
          </cell>
          <cell r="I22">
            <v>181.25</v>
          </cell>
          <cell r="J22" t="str">
            <v>Bliss</v>
          </cell>
          <cell r="N22" t="str">
            <v>1  del of this cycle   -  0-cycles pmnt   Completed - Collect 0</v>
          </cell>
          <cell r="O22" t="e">
            <v>#N/A</v>
          </cell>
          <cell r="P22" t="e">
            <v>#N/A</v>
          </cell>
          <cell r="Q22" t="e">
            <v>#N/A</v>
          </cell>
          <cell r="R22" t="e">
            <v>#N/A</v>
          </cell>
          <cell r="S22" t="e">
            <v>#N/A</v>
          </cell>
          <cell r="T22" t="str">
            <v>Pur n P Car ( 14 Inch ) 16     FF Sachet + Grass</v>
          </cell>
        </row>
        <row r="23">
          <cell r="A23" t="str">
            <v>M0006</v>
          </cell>
          <cell r="B23" t="str">
            <v>Divya Sabharwal</v>
          </cell>
          <cell r="C23">
            <v>9560068750</v>
          </cell>
          <cell r="D23" t="str">
            <v>Tower 15, flat 1401, Vipul Greens , Sohna Road</v>
          </cell>
          <cell r="E23" t="str">
            <v>Sohna Road 2</v>
          </cell>
          <cell r="F23" t="str">
            <v>Friday</v>
          </cell>
          <cell r="G23" t="str">
            <v>9 AM - 12 PM</v>
          </cell>
          <cell r="H23">
            <v>3950</v>
          </cell>
          <cell r="I23">
            <v>493.75</v>
          </cell>
          <cell r="J23" t="str">
            <v>Grace</v>
          </cell>
          <cell r="K23"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v>
          </cell>
          <cell r="L23" t="str">
            <v>CAR n Orchid</v>
          </cell>
          <cell r="N23" t="str">
            <v>2  del of this cycle   -  1-cycles pmnt   Pending - Collect 3950</v>
          </cell>
          <cell r="O23" t="e">
            <v>#N/A</v>
          </cell>
          <cell r="P23" t="e">
            <v>#N/A</v>
          </cell>
          <cell r="Q23" t="e">
            <v>#N/A</v>
          </cell>
          <cell r="R23" t="e">
            <v>#N/A</v>
          </cell>
          <cell r="S23" t="e">
            <v>#N/A</v>
          </cell>
          <cell r="T23" t="str">
            <v>B Daisy 20     Grass</v>
          </cell>
        </row>
        <row r="24">
          <cell r="A24">
            <v>3280</v>
          </cell>
          <cell r="B24" t="str">
            <v>Priti Sarsaswat</v>
          </cell>
          <cell r="C24">
            <v>9717283344</v>
          </cell>
          <cell r="D24" t="str">
            <v>C-1170, 2nd Floor, Ansal Essecia, C Block, Sec 67</v>
          </cell>
          <cell r="E24" t="str">
            <v>Badshahpur</v>
          </cell>
          <cell r="F24" t="str">
            <v>Monday</v>
          </cell>
          <cell r="G24" t="str">
            <v>9 AM - 12 PM</v>
          </cell>
          <cell r="H24">
            <v>1450</v>
          </cell>
          <cell r="I24">
            <v>362.5</v>
          </cell>
          <cell r="J24" t="str">
            <v>Bliss</v>
          </cell>
          <cell r="K24" t="str">
            <v>Rose In this Cycle (03/03) Day Change to Monday and skip 2 weeks (02/04) Start From Tom (16/04) HDTNP (22/05) Today returned (29/05) Skip 1 week (21/06)</v>
          </cell>
          <cell r="M24" t="str">
            <v>One Kind and seasonal Next (03/03)</v>
          </cell>
          <cell r="N24" t="str">
            <v>3  del of this cycle   -  0-cycles pmnt   Completed - Collect 0</v>
          </cell>
          <cell r="O24" t="e">
            <v>#N/A</v>
          </cell>
          <cell r="P24" t="e">
            <v>#N/A</v>
          </cell>
          <cell r="Q24" t="e">
            <v>#N/A</v>
          </cell>
          <cell r="R24" t="e">
            <v>#N/A</v>
          </cell>
          <cell r="S24" t="e">
            <v>#N/A</v>
          </cell>
          <cell r="T24" t="str">
            <v>R n W Car ( 14 Inch ) 16     FF Sachet + Grass</v>
          </cell>
        </row>
        <row r="25">
          <cell r="A25">
            <v>2733</v>
          </cell>
          <cell r="B25" t="str">
            <v>Ranjana Yadav -- 1450 Pack</v>
          </cell>
          <cell r="C25">
            <v>9810475164</v>
          </cell>
          <cell r="D25" t="str">
            <v>T-11/102, Vipul Greens</v>
          </cell>
          <cell r="E25" t="str">
            <v>Sohna Road 2</v>
          </cell>
          <cell r="F25" t="str">
            <v>Monday</v>
          </cell>
          <cell r="G25" t="str">
            <v>9 AM - 12 PM</v>
          </cell>
          <cell r="H25">
            <v>999</v>
          </cell>
          <cell r="I25">
            <v>249.75</v>
          </cell>
          <cell r="J25" t="str">
            <v>Delight</v>
          </cell>
          <cell r="K25" t="str">
            <v>From Kiran yadav // Skip Next (27/09)</v>
          </cell>
          <cell r="N25" t="str">
            <v>4  del of this cycle   -  0-cycles pmnt   Completed - Collect 0</v>
          </cell>
          <cell r="O25" t="str">
            <v>Mix Alstroemeria ( 12 Inch ) 9     FF sachet + grass</v>
          </cell>
          <cell r="P25" t="str">
            <v>P n W Glad ( 14 Inch ) 9     Grass</v>
          </cell>
          <cell r="Q25" t="str">
            <v>Pur n P Car ( 14 Inch ) 9     FF Sachet + Grass</v>
          </cell>
          <cell r="R25" t="str">
            <v>B Daisy ( 12 Inch ) 9     Grass</v>
          </cell>
          <cell r="S25" t="str">
            <v>P Asiatic ( 14 Inch ) 2     Grass</v>
          </cell>
          <cell r="T25" t="str">
            <v>Rajni ( 14 Inch ) 9     Grass</v>
          </cell>
        </row>
        <row r="26">
          <cell r="A26">
            <v>3368</v>
          </cell>
          <cell r="B26" t="str">
            <v>Sugandha Goyal</v>
          </cell>
          <cell r="C26">
            <v>9971681194</v>
          </cell>
          <cell r="D26" t="str">
            <v>T-15/3C, Central Park Resorts</v>
          </cell>
          <cell r="E26" t="str">
            <v>Sohna Road 2</v>
          </cell>
          <cell r="F26" t="str">
            <v>Monday</v>
          </cell>
          <cell r="G26" t="str">
            <v>9 AM - 12 PM</v>
          </cell>
          <cell r="H26">
            <v>2300</v>
          </cell>
          <cell r="I26">
            <v>287.5</v>
          </cell>
          <cell r="J26" t="str">
            <v>Felicity</v>
          </cell>
          <cell r="K26" t="str">
            <v>HDTNP (26/06)</v>
          </cell>
          <cell r="N26" t="str">
            <v>6  del of this cycle   -  0-cycles pmnt   Completed - Collect 0</v>
          </cell>
          <cell r="O26" t="str">
            <v>P n Y Gerbera ( 12 Inch ) 11     FF sachet + Grass</v>
          </cell>
          <cell r="P26" t="str">
            <v>Pur n P Car ( 14 Inch ) 11     FF Sachet + Grass</v>
          </cell>
          <cell r="Q26" t="str">
            <v>P n W Glad ( 14 Inch ) 11     Grass</v>
          </cell>
          <cell r="R26" t="str">
            <v>Rajni ( 14 Inch ) 11     Grass</v>
          </cell>
          <cell r="S26" t="str">
            <v>Y Spray Daisy ( 14 Inch ) 3     FF Sachet + Grass</v>
          </cell>
          <cell r="T26" t="str">
            <v>R n W Car ( 14 Inch ) 11     FF Sachet + Grass</v>
          </cell>
        </row>
        <row r="27">
          <cell r="A27">
            <v>3376</v>
          </cell>
          <cell r="B27" t="str">
            <v>Swapna Reddy</v>
          </cell>
          <cell r="C27">
            <v>9311244914</v>
          </cell>
          <cell r="D27" t="str">
            <v>C=1403, Ireo Victory Valley, Sec 67</v>
          </cell>
          <cell r="E27" t="str">
            <v>Badshahpur</v>
          </cell>
          <cell r="F27" t="str">
            <v>Monday</v>
          </cell>
          <cell r="G27" t="str">
            <v>9 AM - 12 PM</v>
          </cell>
          <cell r="H27">
            <v>1450</v>
          </cell>
          <cell r="I27">
            <v>362.5</v>
          </cell>
          <cell r="J27" t="str">
            <v>Bliss</v>
          </cell>
          <cell r="K27" t="str">
            <v>Paytm From Swapna Bhagwat</v>
          </cell>
          <cell r="N27" t="str">
            <v>1  del of this cycle   -  0-cycles pmnt   Completed - Collect 0</v>
          </cell>
          <cell r="O27" t="e">
            <v>#N/A</v>
          </cell>
          <cell r="P27" t="str">
            <v>Pur n P Car ( 14 Inch ) 16     FF Sachet + Grass</v>
          </cell>
          <cell r="Q27" t="str">
            <v>P Asiatic ( 14 Inch ) 3     Grass</v>
          </cell>
          <cell r="R27" t="str">
            <v>P n W Glad ( 14 Inch ) 16     FF Sachet + Grass</v>
          </cell>
          <cell r="S27" t="str">
            <v>Pur Eustoma ( 12 Inch ) 3     FF Sachet + Grass</v>
          </cell>
          <cell r="T27" t="str">
            <v>Rajni ( 14 Inch ) 16     Grass</v>
          </cell>
        </row>
        <row r="28">
          <cell r="A28">
            <v>3223</v>
          </cell>
          <cell r="B28" t="str">
            <v>Gaurav Agarwal</v>
          </cell>
          <cell r="C28">
            <v>9650088297</v>
          </cell>
          <cell r="D28" t="str">
            <v>D-22/401, Ireo Victory Valley</v>
          </cell>
          <cell r="E28" t="str">
            <v>Badshahpur</v>
          </cell>
          <cell r="F28" t="str">
            <v>Monday</v>
          </cell>
          <cell r="G28" t="str">
            <v>9 AM - 12 PM</v>
          </cell>
          <cell r="H28">
            <v>1950</v>
          </cell>
          <cell r="I28">
            <v>487.5</v>
          </cell>
          <cell r="J28" t="str">
            <v>Joy</v>
          </cell>
          <cell r="K28" t="str">
            <v>One kInd // Skip 1 week (16/12) Skip 1 week (26/05)</v>
          </cell>
          <cell r="M28" t="str">
            <v>One Kind</v>
          </cell>
          <cell r="N28" t="str">
            <v>1  del of this cycle   -  1-cycles pmnt   Pending - Collect 1950</v>
          </cell>
          <cell r="O28" t="str">
            <v>R n W car ( 14 Inch) 22     FF Sachet + Grass</v>
          </cell>
          <cell r="P28" t="str">
            <v>O Asiatic ( 14 inch ) 4     Grass</v>
          </cell>
          <cell r="Q28" t="str">
            <v>Mix Alstroemeria ( 12 Inch ) 22     FF Sachet + Grass</v>
          </cell>
          <cell r="R28" t="str">
            <v>Rajni ( 14 Inch ) 22     Grass</v>
          </cell>
          <cell r="S28" t="str">
            <v>Pur n P Eustoma ( 12 Inch ) 4     FF Sachet + Grass</v>
          </cell>
          <cell r="T28" t="str">
            <v>Asiatic 4     Grass</v>
          </cell>
        </row>
        <row r="29">
          <cell r="A29">
            <v>3370</v>
          </cell>
          <cell r="B29" t="str">
            <v>Veenu Pareek</v>
          </cell>
          <cell r="C29">
            <v>7042202246</v>
          </cell>
          <cell r="D29" t="str">
            <v>D-1202, Bestech Park View Spa Next, Sec 67</v>
          </cell>
          <cell r="E29" t="str">
            <v>Badshahpur</v>
          </cell>
          <cell r="F29" t="str">
            <v>Monday</v>
          </cell>
          <cell r="G29" t="str">
            <v>9 AM - 12 PM</v>
          </cell>
          <cell r="H29">
            <v>1450</v>
          </cell>
          <cell r="I29">
            <v>487.5</v>
          </cell>
          <cell r="J29" t="str">
            <v>Bliss</v>
          </cell>
          <cell r="K29" t="str">
            <v>Paytm From Aditi Pareek //</v>
          </cell>
          <cell r="N29" t="str">
            <v>4  del of this cycle   -  0-cycles pmnt   Completed - Collect 0</v>
          </cell>
          <cell r="O29" t="str">
            <v>P asiatic ( 15 Inch ) 3     Grass</v>
          </cell>
          <cell r="P29" t="str">
            <v>Mix Car  ( 14 Inch ) 16     FF Sachet + Grass</v>
          </cell>
          <cell r="Q29" t="str">
            <v>Mix Alstroemeria ( 12 Inch ) 16     FF Sachet + Grass</v>
          </cell>
          <cell r="R29" t="str">
            <v>Rajni ( 14 Inch ) 16     Grass</v>
          </cell>
          <cell r="S29" t="str">
            <v>P n W Glad ( 14 Inch ) 16     Grass</v>
          </cell>
          <cell r="T29" t="str">
            <v>Sunflower ( 12 Inch ) 4     FF Sachet + Grass</v>
          </cell>
        </row>
        <row r="30">
          <cell r="A30">
            <v>3309</v>
          </cell>
          <cell r="B30" t="str">
            <v>Tahzeeb Mohammad</v>
          </cell>
          <cell r="C30">
            <v>9986608474</v>
          </cell>
          <cell r="D30" t="str">
            <v>Natura Tower -1, N 2105, M3M Marina, Sec 68</v>
          </cell>
          <cell r="E30" t="str">
            <v>Badshahpur</v>
          </cell>
          <cell r="F30" t="str">
            <v>Friday</v>
          </cell>
          <cell r="G30" t="str">
            <v>9 AM - 12 PM</v>
          </cell>
          <cell r="H30">
            <v>2550</v>
          </cell>
          <cell r="I30">
            <v>318.75</v>
          </cell>
          <cell r="J30" t="str">
            <v>Bi weekly Customised</v>
          </cell>
          <cell r="K30" t="str">
            <v>Gerbera // Rajni // Sunflowers // Eustoma // Orchid // Skip Monday (15/05)</v>
          </cell>
          <cell r="N30" t="str">
            <v>1  del of this cycle   -  0-cycles pmnt   Completed - Collect 0</v>
          </cell>
          <cell r="O30" t="str">
            <v>P n Y Gerbera ( 12 Inch ) 11     FF sachet + Grass</v>
          </cell>
          <cell r="P30" t="str">
            <v>Rajni ( 14 Inch ) 11     Grass</v>
          </cell>
          <cell r="Q30" t="str">
            <v>Sunflower ( 12 Inch ) 3     FF sachet + Grass</v>
          </cell>
          <cell r="R30" t="str">
            <v>P n W Gerbera ( 12 Inch ) 11     Grass</v>
          </cell>
          <cell r="S30" t="str">
            <v>B Orchid  4     FF Sachet + Grass</v>
          </cell>
          <cell r="T30" t="str">
            <v>Sunflower ( 12 Inch ) 4     FF Sachet + Grass</v>
          </cell>
        </row>
        <row r="31">
          <cell r="A31">
            <v>3299</v>
          </cell>
          <cell r="B31" t="str">
            <v>Applicate It Solutions Pvt. Ltd.</v>
          </cell>
          <cell r="C31" t="str">
            <v>6295854656 // 9871456569</v>
          </cell>
          <cell r="D31" t="str">
            <v>Tower-B, 16th Floor, M3M Urbana Premium, Business Park</v>
          </cell>
          <cell r="E31" t="str">
            <v>Badshahpur</v>
          </cell>
          <cell r="F31" t="str">
            <v>Monday</v>
          </cell>
          <cell r="G31" t="str">
            <v>By 10 AM</v>
          </cell>
          <cell r="H31">
            <v>3400</v>
          </cell>
          <cell r="I31">
            <v>850</v>
          </cell>
          <cell r="J31" t="str">
            <v>Corporate</v>
          </cell>
          <cell r="N31" t="str">
            <v>3  del of this cycle   -  0-cycles pmnt   In Process - Collect 0</v>
          </cell>
          <cell r="O31" t="str">
            <v xml:space="preserve">Arrangement 1 18 Inch    </v>
          </cell>
          <cell r="P31" t="str">
            <v xml:space="preserve">Arrangement  1     </v>
          </cell>
          <cell r="Q31" t="str">
            <v xml:space="preserve">Arrangement 1 18 Inch    </v>
          </cell>
          <cell r="R31" t="str">
            <v xml:space="preserve">Arrangement ( 18 Inch ) 1     </v>
          </cell>
          <cell r="S31" t="str">
            <v xml:space="preserve">Arrangement 1     </v>
          </cell>
          <cell r="T31" t="str">
            <v xml:space="preserve">Arrangement 1     </v>
          </cell>
        </row>
        <row r="32">
          <cell r="A32">
            <v>3374</v>
          </cell>
          <cell r="B32" t="str">
            <v>Geeta Garg</v>
          </cell>
          <cell r="C32">
            <v>9971005977</v>
          </cell>
          <cell r="D32" t="str">
            <v>T-A/4C, Central Park Resorts, Sec 48</v>
          </cell>
          <cell r="E32" t="str">
            <v>Sohna Road 2</v>
          </cell>
          <cell r="F32" t="str">
            <v>Monday</v>
          </cell>
          <cell r="G32" t="str">
            <v>9:30 Am to 2 PM</v>
          </cell>
          <cell r="H32">
            <v>1450</v>
          </cell>
          <cell r="I32">
            <v>362.5</v>
          </cell>
          <cell r="J32" t="str">
            <v>Bliss</v>
          </cell>
          <cell r="K32" t="str">
            <v xml:space="preserve">From Pankaj Garg </v>
          </cell>
          <cell r="N32" t="str">
            <v>3  del of this cycle   -  0-cycles pmnt   Completed - Collect 0</v>
          </cell>
          <cell r="O32" t="str">
            <v>O Asiatic ( 15 Inch ) 3     Grass</v>
          </cell>
          <cell r="P32" t="str">
            <v>P n W Glad ( 14 Inch ) 16     Grass</v>
          </cell>
          <cell r="Q32" t="str">
            <v>P n W Spray Daisy ( 14 Inch ) 5     FF Sachet + Grass</v>
          </cell>
          <cell r="R32" t="str">
            <v>Rajni ( 14 Inch ) 16     Grass</v>
          </cell>
          <cell r="S32" t="str">
            <v>Pur n P Car ( 14 Inch ) 16     FF Sachet + Grass</v>
          </cell>
          <cell r="T32" t="str">
            <v>Sunflower ( 12 Inch ) 4     FF Sachet + Grass</v>
          </cell>
        </row>
        <row r="33">
          <cell r="A33">
            <v>2369</v>
          </cell>
          <cell r="B33" t="str">
            <v>Jaya - Bacardi</v>
          </cell>
          <cell r="D33" t="str">
            <v>Bacardi India,8th Floor, Time Tower</v>
          </cell>
          <cell r="E33" t="str">
            <v>M G Road</v>
          </cell>
          <cell r="F33" t="str">
            <v>Monday</v>
          </cell>
          <cell r="G33" t="str">
            <v>9 AM - 12 PM</v>
          </cell>
          <cell r="H33">
            <v>2750</v>
          </cell>
          <cell r="I33">
            <v>687.5</v>
          </cell>
          <cell r="J33" t="str">
            <v>Corporate</v>
          </cell>
          <cell r="K33" t="str">
            <v>Hold today send tom (31/03) Send tom (26/01)</v>
          </cell>
          <cell r="N33" t="str">
            <v>1  del of this cycle   -  0-cycles pmnt   In Process - Collect 0</v>
          </cell>
          <cell r="O33" t="str">
            <v>Mix Alstroemeria ( 12 Inch ) 30     Grass</v>
          </cell>
          <cell r="P33" t="str">
            <v>Sunflower ( 12 Inch ) 7     Grass</v>
          </cell>
          <cell r="Q33" t="str">
            <v>P n W Glad ( 14 Inch ) 32     Grass</v>
          </cell>
          <cell r="R33" t="str">
            <v>Pur n W Eustoma ( 12 Inch) 6     Grass</v>
          </cell>
          <cell r="S33" t="str">
            <v>Pur n P Car ( 14 Inch ) 32     FF Sachet + Grass</v>
          </cell>
          <cell r="T33" t="str">
            <v>Rajni ( 14 Inch ) 32     2 Limonium</v>
          </cell>
        </row>
        <row r="34">
          <cell r="A34">
            <v>2620</v>
          </cell>
          <cell r="B34" t="str">
            <v>Bhavna Newle-- Before 12 PM</v>
          </cell>
          <cell r="C34" t="str">
            <v>98736 93388</v>
          </cell>
          <cell r="D34" t="str">
            <v xml:space="preserve">37/101 Heritage City </v>
          </cell>
          <cell r="E34" t="str">
            <v>M G Road</v>
          </cell>
          <cell r="F34" t="str">
            <v>Monday</v>
          </cell>
          <cell r="G34" t="str">
            <v>Before 12 PM</v>
          </cell>
          <cell r="H34">
            <v>4160</v>
          </cell>
          <cell r="I34">
            <v>1040</v>
          </cell>
          <cell r="J34" t="str">
            <v>Customized</v>
          </cell>
          <cell r="K34" t="str">
            <v>4 Asiatic Lily and 10 spray Daisy // send 16 Spray Daisy (02/05) Hold till 25th June (26/05)  No Del on 19th July and 09th Aug (06/07) Send replacement tom (26/ Return today (02/08) Change day to Monday (22/11) Skip 2 week (10/12) Skip 12th and 26th Jan (07/01) Recevd 15380 more today (11/03/26)</v>
          </cell>
          <cell r="M34" t="str">
            <v>Skip 9th n 15th July (29/06)</v>
          </cell>
          <cell r="N34" t="str">
            <v>1  del of this cycle   -  0-cycles pmnt   Completed - Collect 0</v>
          </cell>
          <cell r="O34" t="str">
            <v>P n W Spray Daisy ( 15 Inch ) 16     2 Gypsola + FF Sachet</v>
          </cell>
          <cell r="P34" t="str">
            <v>P n Y Spray Daisy ( 14 Inch ) 16     2 Limonium + FF Sachet</v>
          </cell>
          <cell r="Q34" t="str">
            <v>Y n W Spray Daisy ( 14 Inch ) 16     2 Gypsola + FF sachet</v>
          </cell>
          <cell r="R34" t="str">
            <v>P n W Spray Daisy 16     2 Limonoum + FF sachet</v>
          </cell>
          <cell r="S34" t="str">
            <v>P n Y Spray Daisy ( 14 Inch ) 16     2 Gypsola + FF Sachet</v>
          </cell>
          <cell r="T34" t="str">
            <v>O n W Spray Daisy ( 14 Inch ) 16     2 Limonium + FF sachet</v>
          </cell>
        </row>
        <row r="35">
          <cell r="A35">
            <v>2571</v>
          </cell>
          <cell r="B35" t="str">
            <v>Ghanendra</v>
          </cell>
          <cell r="C35">
            <v>9818829144</v>
          </cell>
          <cell r="D35" t="str">
            <v>H. No. 2, Bauganville Marg, First Floor, DLF Phase 2</v>
          </cell>
          <cell r="E35" t="str">
            <v>DLF Phase 2</v>
          </cell>
          <cell r="F35" t="str">
            <v>Monday</v>
          </cell>
          <cell r="G35" t="str">
            <v>9 AM - 12 PM</v>
          </cell>
          <cell r="H35">
            <v>1450</v>
          </cell>
          <cell r="I35">
            <v>362.5</v>
          </cell>
          <cell r="J35" t="str">
            <v>Bliss</v>
          </cell>
          <cell r="K35" t="str">
            <v>Complimentary Always // Day changed  to Monday (09/08) Today hold n send tom (26/010</v>
          </cell>
          <cell r="N35" t="str">
            <v>4  del of this cycle   -  0-cycles pmnt   Complimentary - Collect 0</v>
          </cell>
          <cell r="O35" t="str">
            <v>Pur Eustoma ( 12 Inch ) 2 P n W Car ( 14 Inch ) 7   FF Sachet + Grass</v>
          </cell>
          <cell r="P35" t="str">
            <v>Sunflower ( 12 Inch ) 4     FF Sachet + Grass</v>
          </cell>
          <cell r="Q35" t="str">
            <v>P n W  Spray Daisy ( 14 Inch ) 5     FF Sachet + Grass</v>
          </cell>
          <cell r="R35" t="str">
            <v>Y Asiatic ( 14 Inch ) 3     Grass</v>
          </cell>
          <cell r="S35" t="str">
            <v>P Eustoma ( 12 Inch ) 2 Rajni ( 14 Inch ) 7   FF Sachet + Grass</v>
          </cell>
          <cell r="T35" t="str">
            <v>Rajni ( 14 Inch ) 16     FF Sachet + Grass</v>
          </cell>
        </row>
        <row r="36">
          <cell r="A36" t="str">
            <v>G-00065</v>
          </cell>
          <cell r="B36" t="str">
            <v>Shilpa Tambi</v>
          </cell>
          <cell r="C36">
            <v>9993806367</v>
          </cell>
          <cell r="D36" t="str">
            <v>A4/1603, Yulip Yellow, Sec 69</v>
          </cell>
          <cell r="E36" t="str">
            <v>Badshahpur</v>
          </cell>
          <cell r="F36" t="str">
            <v>Monday</v>
          </cell>
          <cell r="G36" t="str">
            <v>9 AM - 12 PM</v>
          </cell>
          <cell r="H36">
            <v>1450</v>
          </cell>
          <cell r="I36">
            <v>362.5</v>
          </cell>
          <cell r="J36" t="str">
            <v>Bliss</v>
          </cell>
          <cell r="K36" t="str">
            <v>Gift From 9993806367</v>
          </cell>
          <cell r="N36" t="str">
            <v>2  del of this cycle   -  0-cycles pmnt   Completed - Collect 0</v>
          </cell>
          <cell r="O36" t="e">
            <v>#N/A</v>
          </cell>
          <cell r="P36" t="e">
            <v>#N/A</v>
          </cell>
          <cell r="Q36" t="e">
            <v>#N/A</v>
          </cell>
          <cell r="R36" t="e">
            <v>#N/A</v>
          </cell>
          <cell r="S36" t="str">
            <v>Pur n P Car ( 14 Inch ) 16     FF Sachet + Grass</v>
          </cell>
          <cell r="T36" t="str">
            <v>Sunflower ( 12 Inch ) 4     FF Sachet + Grass</v>
          </cell>
        </row>
        <row r="37">
          <cell r="A37">
            <v>3353</v>
          </cell>
          <cell r="B37" t="str">
            <v>Niti Beri</v>
          </cell>
          <cell r="C37" t="str">
            <v xml:space="preserve"> 81304 32211</v>
          </cell>
          <cell r="D37" t="str">
            <v>Fountain Digital, 3rd Floor , AIHP Millennium, Plot number 92, 93, Phase IV, Udyog Vihar, Sector 18, Gurugram, Shahpur, Haryana 122015</v>
          </cell>
          <cell r="E37" t="str">
            <v>Old Gurgaon</v>
          </cell>
          <cell r="F37" t="str">
            <v>Monday</v>
          </cell>
          <cell r="G37" t="str">
            <v>9 AM - 12 PM</v>
          </cell>
          <cell r="H37">
            <v>1450</v>
          </cell>
          <cell r="I37">
            <v>362.5</v>
          </cell>
          <cell r="J37" t="str">
            <v>Bliss</v>
          </cell>
          <cell r="K37" t="str">
            <v>No Gerbera</v>
          </cell>
          <cell r="L37" t="str">
            <v>Gerbera</v>
          </cell>
          <cell r="N37" t="str">
            <v>4  del of this cycle   -  0-cycles pmnt   Completed - Collect 0</v>
          </cell>
          <cell r="O37" t="e">
            <v>#N/A</v>
          </cell>
          <cell r="P37" t="e">
            <v>#N/A</v>
          </cell>
          <cell r="Q37" t="str">
            <v>Pur n P Car ( 14 Inch ) 16     FF Sachet + Grass</v>
          </cell>
          <cell r="R37" t="str">
            <v>Rajni ( 14 Inch ) 16     Grass</v>
          </cell>
          <cell r="S37" t="str">
            <v>P n W Glad ( 14 Inch ) 16     Grass</v>
          </cell>
          <cell r="T37" t="str">
            <v>Y Asiatic ( 14 Inch ) 3     Grass</v>
          </cell>
        </row>
        <row r="38">
          <cell r="A38">
            <v>2848</v>
          </cell>
          <cell r="B38" t="str">
            <v>Mitu Agarwal</v>
          </cell>
          <cell r="C38">
            <v>9973582427</v>
          </cell>
          <cell r="D38" t="str">
            <v>T-E/103, Shree Vardhman Victoria</v>
          </cell>
          <cell r="E38" t="str">
            <v>Badshahpur</v>
          </cell>
          <cell r="F38" t="str">
            <v>Monday</v>
          </cell>
          <cell r="G38" t="str">
            <v>9 AM to 2 PM</v>
          </cell>
          <cell r="H38">
            <v>1450</v>
          </cell>
          <cell r="I38">
            <v>362.5</v>
          </cell>
          <cell r="J38" t="str">
            <v>Bliss</v>
          </cell>
          <cell r="K38" t="str">
            <v>Skip 2 week (28/08) Today Returned (13/09) Skip 1 week (23/10) Send replacement of Gerbera Today (30/11) No Del between 14th to 18th (11/12) No lilies (11/05) today Hold (25/05) Sent one del today (27/05)</v>
          </cell>
          <cell r="L38" t="str">
            <v>Lily</v>
          </cell>
          <cell r="N38" t="str">
            <v>4  del of this cycle   -  0-cycles pmnt   Completed - Collect 0</v>
          </cell>
          <cell r="O38" t="str">
            <v>P n W Spray Daisy ( 15 Inch ) 5     FF Sachet + Grass</v>
          </cell>
          <cell r="P38" t="str">
            <v>P n W Glad ( 14 Inch ) 16     Grass</v>
          </cell>
          <cell r="Q38" t="str">
            <v>P Asiatic ( 14 Inch ) 3     Grass</v>
          </cell>
          <cell r="R38" t="str">
            <v>Rajni ( 14 Inch ) 16     Grass</v>
          </cell>
          <cell r="S38" t="str">
            <v>Pur n P Car ( 14 Inch ) 16     FF Sachet + Grass</v>
          </cell>
          <cell r="T38" t="str">
            <v>B Daisy 16     FF Sachet + Grass</v>
          </cell>
        </row>
        <row r="39">
          <cell r="A39">
            <v>2083</v>
          </cell>
          <cell r="B39" t="str">
            <v>Neeraj Rathore</v>
          </cell>
          <cell r="C39">
            <v>9810570666</v>
          </cell>
          <cell r="D39" t="str">
            <v>A-1302, PalM Drive, Sec 66</v>
          </cell>
          <cell r="E39" t="str">
            <v>Badshahpur</v>
          </cell>
          <cell r="F39" t="str">
            <v>Friday</v>
          </cell>
          <cell r="G39" t="str">
            <v>9 AM - 12 PM</v>
          </cell>
          <cell r="H39">
            <v>2300</v>
          </cell>
          <cell r="I39">
            <v>287.5</v>
          </cell>
          <cell r="J39" t="str">
            <v>Felicity</v>
          </cell>
          <cell r="K39"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39" t="str">
            <v>GERBERA  n BOP</v>
          </cell>
          <cell r="M39" t="str">
            <v>One Kind (30/01)  Rajni next (18/02)</v>
          </cell>
          <cell r="N39" t="str">
            <v>5  del of this cycle   -  1-cycles pmnt   Pending - Collect 2300</v>
          </cell>
          <cell r="O39" t="e">
            <v>#N/A</v>
          </cell>
          <cell r="P39" t="e">
            <v>#N/A</v>
          </cell>
          <cell r="Q39" t="e">
            <v>#N/A</v>
          </cell>
          <cell r="R39" t="str">
            <v>B Daisy ( 12 Inch ) 11     Grass</v>
          </cell>
          <cell r="S39" t="str">
            <v>Rajni ( 14 Inch ) 11     Grass</v>
          </cell>
          <cell r="T39" t="str">
            <v>R n W Car ( 14 Inch ) 11     FF Sachet + Grass</v>
          </cell>
        </row>
        <row r="40">
          <cell r="A40">
            <v>380</v>
          </cell>
          <cell r="B40" t="str">
            <v xml:space="preserve">   Dr Mandeep Yadav 1 -- Before 12 PM</v>
          </cell>
          <cell r="C40" t="str">
            <v>9811090481 #</v>
          </cell>
          <cell r="D40" t="str">
            <v>Smile Plus Dental Clinic Shanti Nagar, Beriwala BaghBehind Mini Sectritariat Near Rajiv Chowk</v>
          </cell>
          <cell r="E40" t="str">
            <v>Sohna Road 2</v>
          </cell>
          <cell r="F40" t="str">
            <v>Monday</v>
          </cell>
          <cell r="G40" t="str">
            <v>9 AM - 12 PM</v>
          </cell>
          <cell r="H40">
            <v>1450</v>
          </cell>
          <cell r="I40">
            <v>362.5</v>
          </cell>
          <cell r="J40" t="str">
            <v>Bliss</v>
          </cell>
          <cell r="K40" t="str">
            <v>Never Send GLAD(02/08)Send always car(13/08)Glad next time(23/09)Replacement tom(04/10) Pls send daisy next and send 2 vase tom(31/12)No Glad-next Daisy(14/01) Upgrade to 650 Plan after currsnet cycle(15/04) NO ASIATIC--Always mixed car(10/06) FF Sold today(26/08) NO DAHELAI(02/03) Skip 1 week(06/11) Skiped 1 week due to HOLI(29/03) Return-send tom(15/11)</v>
          </cell>
          <cell r="N40" t="str">
            <v>1  del of this cycle   -  1-cycles pmnt   Pending - Collect 3426</v>
          </cell>
          <cell r="O40" t="str">
            <v>Pur Car ( 14 Inch ) 9     FF sachet + grass</v>
          </cell>
          <cell r="P40" t="str">
            <v>P Car ( 14 Inch ) 9     FF Sachet + Grass</v>
          </cell>
          <cell r="Q40" t="str">
            <v>R Car ( 14 Inch ) 9     FF Sachet + Grass</v>
          </cell>
          <cell r="R40" t="str">
            <v>Pur Car ( 14 Inch ) 9     FF Sachet + Grass</v>
          </cell>
          <cell r="S40" t="str">
            <v>P Car ( 14 Inch ) 9     FF Sachet + Grass</v>
          </cell>
          <cell r="T40" t="str">
            <v>R n W Car ( 14 Inch ) 16 Pls Check with us before sending Pls Check with us before sending Pls Check with us before sending  FF Sachet + Grass</v>
          </cell>
        </row>
        <row r="41">
          <cell r="A41">
            <v>2672</v>
          </cell>
          <cell r="B41" t="str">
            <v>Anjali Chawla</v>
          </cell>
          <cell r="C41">
            <v>9810545028</v>
          </cell>
          <cell r="D41" t="str">
            <v>Cedar Drive 60, Malibu Town</v>
          </cell>
          <cell r="E41" t="str">
            <v>Sohna Road 1</v>
          </cell>
          <cell r="F41" t="str">
            <v>Monday</v>
          </cell>
          <cell r="G41" t="str">
            <v>9:30 Am to 2 PM</v>
          </cell>
          <cell r="H41">
            <v>999</v>
          </cell>
          <cell r="I41">
            <v>249.75</v>
          </cell>
          <cell r="J41" t="str">
            <v>Delight</v>
          </cell>
          <cell r="N41" t="str">
            <v>1  del of this cycle   -  0-cycles pmnt   Completed - Collect 0</v>
          </cell>
          <cell r="O41" t="str">
            <v>P asiatic ( 15 Inch ) 2     Grass</v>
          </cell>
          <cell r="P41" t="str">
            <v>P n W Glad ( 14 Inch ) 9     Grass</v>
          </cell>
          <cell r="Q41" t="str">
            <v>R n W Car ( 14 Inch ) 9     FF Sachet + Grass</v>
          </cell>
          <cell r="R41" t="str">
            <v>Sunflower ( 12 Inch ) 2     FF Sachet + Grass</v>
          </cell>
          <cell r="S41" t="str">
            <v>W Asiatic ( 14 Inch ) 2     Grass</v>
          </cell>
          <cell r="T41" t="str">
            <v>Rajni ( 14 Inch ) 9     Grass</v>
          </cell>
        </row>
        <row r="42">
          <cell r="A42">
            <v>3340</v>
          </cell>
          <cell r="B42" t="str">
            <v>Divya -- Parsvanath</v>
          </cell>
          <cell r="C42">
            <v>9910395905</v>
          </cell>
          <cell r="D42" t="str">
            <v>T-6/602, Parsvanath Greenville</v>
          </cell>
          <cell r="E42" t="str">
            <v>Sohna Road 1</v>
          </cell>
          <cell r="F42" t="str">
            <v>Monday</v>
          </cell>
          <cell r="G42" t="str">
            <v>9 AM - 12 PM</v>
          </cell>
          <cell r="H42">
            <v>1450</v>
          </cell>
          <cell r="I42">
            <v>362.5</v>
          </cell>
          <cell r="J42" t="str">
            <v>Bliss</v>
          </cell>
          <cell r="K42" t="str">
            <v>Return-send next week (27/04) Skip tom and Start from next week (03/05) Paytm From Divya Mishra (03/05) No Lily (07/06) Skip 2 week (17/065)</v>
          </cell>
          <cell r="L42" t="str">
            <v>Lily</v>
          </cell>
          <cell r="N42" t="str">
            <v>3  del of this cycle   -  0-cycles pmnt   Completed - Collect 0</v>
          </cell>
          <cell r="O42" t="str">
            <v>P n W Glad ( 14 Inch ) 16     Grass</v>
          </cell>
          <cell r="P42" t="str">
            <v>Mix Carnation  ( 12 Inch ) 16     FF Sachet + Grass</v>
          </cell>
          <cell r="Q42" t="str">
            <v>R n W Car ( 14 Inch ) 16     FF Sachet + Grass</v>
          </cell>
          <cell r="R42" t="e">
            <v>#N/A</v>
          </cell>
          <cell r="S42" t="e">
            <v>#N/A</v>
          </cell>
          <cell r="T42" t="str">
            <v>Sunflower ( 12 Inch ) 4     FF Sachet + Grass</v>
          </cell>
        </row>
        <row r="43">
          <cell r="A43">
            <v>2483</v>
          </cell>
          <cell r="B43" t="str">
            <v>Manav</v>
          </cell>
          <cell r="C43" t="str">
            <v>9810068329 // 9810024711</v>
          </cell>
          <cell r="D43" t="str">
            <v>Pugudunee Safaris, Unit 404, Baani , Sector 56</v>
          </cell>
          <cell r="E43" t="str">
            <v>Sector 56</v>
          </cell>
          <cell r="F43" t="str">
            <v>Monday</v>
          </cell>
          <cell r="G43" t="str">
            <v>9 AM - 12 PM</v>
          </cell>
          <cell r="H43">
            <v>1450</v>
          </cell>
          <cell r="I43">
            <v>362.5</v>
          </cell>
          <cell r="J43" t="str">
            <v>Bliss</v>
          </cell>
          <cell r="K43" t="str">
            <v>Referred By Nandita Jain // Received one more payment (21/08) Today returned-send tom (20/10) Neft from Kanha Earth Lodge (21/01) Today hold -send tom (26/01)</v>
          </cell>
          <cell r="N43" t="str">
            <v>4  del of this cycle   -  0-cycles pmnt   Completed - Collect 0</v>
          </cell>
          <cell r="O43" t="str">
            <v>Sunflower ( 14 Inch ) 2 Mix Alstroemeria ( 12 Inch ) 7   FF Sachet + Grass</v>
          </cell>
          <cell r="P43" t="str">
            <v>P Spray Daisy ( 14 Inch ) 3 Pur n P Car ( 14 inch ) 7   FF Sachet + Grass</v>
          </cell>
          <cell r="Q43" t="str">
            <v>P Asiatic ( 14 Inch ) 2 P n W Glad ( 14 Inch ) 7   Grass</v>
          </cell>
          <cell r="R43" t="str">
            <v>Pur Eustom ( 12 Inch ) 2 Rajni ( 14 inch ) 7   FF Sachet + Grass</v>
          </cell>
          <cell r="S43" t="str">
            <v>Sunflower ( 12 Inch ) 2 P n W Car ( 14 Inch ) 7   FF Sachet + Grass</v>
          </cell>
          <cell r="T43" t="str">
            <v>P Spray Daisy ( 14 Inch ) 3 Mix Alstroemeria 7   FF Sachet + Grass</v>
          </cell>
        </row>
        <row r="44">
          <cell r="A44">
            <v>2404</v>
          </cell>
          <cell r="B44" t="str">
            <v>Amitt Nenwani</v>
          </cell>
          <cell r="C44">
            <v>9810444444</v>
          </cell>
          <cell r="D44" t="str">
            <v>Villa 21, Z Block, Tatvam Villas</v>
          </cell>
          <cell r="E44" t="str">
            <v>Sohna Road 2</v>
          </cell>
          <cell r="F44" t="str">
            <v>Friday</v>
          </cell>
          <cell r="G44" t="str">
            <v>9 AM - 12 PM</v>
          </cell>
          <cell r="H44">
            <v>6350</v>
          </cell>
          <cell r="I44">
            <v>793.75</v>
          </cell>
          <cell r="J44" t="str">
            <v>Elegance</v>
          </cell>
          <cell r="K44" t="str">
            <v>Friday n Monday//Mixed // Skip 1 week (17/04) Skip this week (12/11) Skip this week and send on 03rd Jan (29/12) Skip tom (15/03) Skip 1 week (26/03)</v>
          </cell>
          <cell r="M44" t="str">
            <v>Mixed Flowers// Change to enchantement from next cycle (12/1)</v>
          </cell>
          <cell r="N44" t="str">
            <v>5  del of this cycle   -  0-cycles pmnt   In Process - Collect 0</v>
          </cell>
          <cell r="O44" t="str">
            <v>O Asiatic ( 15 Inch ) 3 Sunflower ( 14 Inch ) 3 P n Y Gerbera ( 12 Inch ) 12 3 Areca palm + 3 Limonium</v>
          </cell>
          <cell r="P44" t="str">
            <v>P Asiatic ( 14 Inch ) 3 Pur n P Eustoma ( 12 Inch) 4 P n W Glad ( 14 Inch ) 12 FF Sachet + Grass</v>
          </cell>
          <cell r="Q44" t="str">
            <v>W Asiatic + Sunflower 3+3 G n Y Spray Daisy ( 14 Inch ) 4 Rajni ( 14 Inch ) 12 FF sachet + Grass</v>
          </cell>
          <cell r="R44" t="str">
            <v xml:space="preserve">Y Asiatic ( 14 Inch ) 3 Mix Anthurium  3 P n W Car ( 12 Inch ) 12 </v>
          </cell>
          <cell r="S44" t="str">
            <v>O Asiatic ( 14 Inch ) 3 Sunflower ( 12 Inch ) 4 P n W Glad ( 14 Inch ) 12 3 Gypsola</v>
          </cell>
          <cell r="T44" t="str">
            <v>Y Asiatic ( 14 Inch ) 3 Eustoma 4 Rajni ( 14 Inch ) 12 Areca palm + Grass</v>
          </cell>
        </row>
        <row r="45">
          <cell r="A45">
            <v>2655</v>
          </cell>
          <cell r="B45" t="str">
            <v>Komal - Abante</v>
          </cell>
          <cell r="C45" t="str">
            <v>0124-4042908</v>
          </cell>
          <cell r="D45" t="str">
            <v>Abante,C-301-02, 3rd Floor, M3M Urbana, Sec 67</v>
          </cell>
          <cell r="E45" t="str">
            <v>Badshahpur</v>
          </cell>
          <cell r="F45" t="str">
            <v>Sunday</v>
          </cell>
          <cell r="G45" t="str">
            <v>By 12 PM</v>
          </cell>
          <cell r="H45">
            <v>4000</v>
          </cell>
          <cell r="I45">
            <v>500</v>
          </cell>
          <cell r="J45" t="str">
            <v>Corporate</v>
          </cell>
          <cell r="K45" t="str">
            <v>Day Changed to // Send tomorrow (02/10) Send tom (26/01)</v>
          </cell>
          <cell r="N45" t="str">
            <v>2  del of this cycle   -  0-cycles pmnt   In Process - Collect 0</v>
          </cell>
          <cell r="O45" t="str">
            <v xml:space="preserve">Arrangement 1     </v>
          </cell>
          <cell r="P45" t="str">
            <v xml:space="preserve">Arrangement  1     </v>
          </cell>
          <cell r="Q45" t="str">
            <v xml:space="preserve">Arrangement 1     </v>
          </cell>
          <cell r="R45" t="str">
            <v xml:space="preserve">Arrangement 1     </v>
          </cell>
          <cell r="S45" t="str">
            <v xml:space="preserve">Arrangement 1     </v>
          </cell>
          <cell r="T45" t="str">
            <v xml:space="preserve">Arrangement 1     </v>
          </cell>
        </row>
        <row r="46">
          <cell r="A46">
            <v>2863</v>
          </cell>
          <cell r="B46" t="str">
            <v>Anjana Ojha</v>
          </cell>
          <cell r="C46">
            <v>9818557920</v>
          </cell>
          <cell r="D46" t="str">
            <v>T-7/2201, Tata Primanti, Sec 72</v>
          </cell>
          <cell r="E46" t="str">
            <v>Badshahpur</v>
          </cell>
          <cell r="F46" t="str">
            <v>Monday</v>
          </cell>
          <cell r="G46" t="str">
            <v>4 Pm to 7 PM</v>
          </cell>
          <cell r="H46">
            <v>1450</v>
          </cell>
          <cell r="I46">
            <v>362.5</v>
          </cell>
          <cell r="J46" t="str">
            <v>Bliss</v>
          </cell>
          <cell r="K46" t="str">
            <v>Hold today (29/09) Hold till 24th Oct (13/10) Return today -send next week (27/10) Today returned-close package (24/11) Hold n start from July (14/06)</v>
          </cell>
          <cell r="N46" t="str">
            <v>1  del of this cycle   -  1-cycles pmnt   Pending - Collect 1450</v>
          </cell>
          <cell r="O46" t="str">
            <v>R n W car ( 14 Inch) 16     FF Sachet + Grass</v>
          </cell>
          <cell r="P46" t="str">
            <v>P n W Glad ( 14 Inch ) 16     Grass</v>
          </cell>
          <cell r="Q46" t="e">
            <v>#N/A</v>
          </cell>
          <cell r="R46" t="e">
            <v>#N/A</v>
          </cell>
          <cell r="S46" t="e">
            <v>#N/A</v>
          </cell>
          <cell r="T46" t="str">
            <v>B Daisy 16     FF Sachet + Grass</v>
          </cell>
        </row>
        <row r="47">
          <cell r="A47">
            <v>1908</v>
          </cell>
          <cell r="B47" t="str">
            <v>Subhadra Chatterjee</v>
          </cell>
          <cell r="C47">
            <v>8826368500</v>
          </cell>
          <cell r="D47" t="str">
            <v>Tower -E, Flat 10B, Central Park Resort</v>
          </cell>
          <cell r="E47" t="str">
            <v>Sohna Road 2</v>
          </cell>
          <cell r="F47" t="str">
            <v>Monday</v>
          </cell>
          <cell r="G47" t="str">
            <v>4 Pm to 7 PM</v>
          </cell>
          <cell r="H47">
            <v>1450</v>
          </cell>
          <cell r="I47">
            <v>362.5</v>
          </cell>
          <cell r="J47" t="str">
            <v>Bliss</v>
          </cell>
          <cell r="K47" t="str">
            <v>Friday n Monday//Orchid n Car(11/04) Hold Till 30th June(15/06) Hold till 17th Aug(08/08) Orchid with Rajni or Rose(19/08) NO Rajni (29/08 Car/Rose/Gerbera/Anthurium/Orchid/Guldawari and rajni(30/08)  After tom no del till 26th (17/10) NO RED ROSE(14/11) Hold till 12th jan (29/12) No Guldawari (25/02) Send Extra Flowers (25/02) Skip 1 week (16/03) Hold till 10th Oct (04/10) Today Returned (14/11) Hold till 15th Jan (20/12) Skip this monday (16/02) Hold till 1st April (06/03) Hold till 20th June (20/05) Hold till 16th Oct (07/10) Returbed today (16/12) Skip from 20th to 30th (11/03) Pls hold till 7th July (19/06) Pls hold till 26th July (14/10) No Red Rose (30/12) Hold till 16th Jan (08/01) Hold due to non payment (09/02) HDTNP (09/03) HDTNP (16/03) Hold till 4th (25/03) Hold till 12th (04/06)</v>
          </cell>
          <cell r="L47" t="str">
            <v>GULDAWARI n ROSE</v>
          </cell>
          <cell r="N47" t="str">
            <v>1  del of this cycle   -  1-cycles pmnt   Pending - Collect 1450</v>
          </cell>
          <cell r="O47" t="str">
            <v>Asiatic 3     FF Sachet + Grass</v>
          </cell>
          <cell r="P47" t="e">
            <v>#N/A</v>
          </cell>
          <cell r="Q47" t="str">
            <v>Mix Alstroemeria ( 12 Inch ) 16     FF Sachet + Grass</v>
          </cell>
          <cell r="R47" t="str">
            <v>Pur Eustom ( 12 Inch ) 3     FF Sachet + Grass</v>
          </cell>
          <cell r="S47" t="str">
            <v>Pur n P Car ( 14 Inch ) 16     FF Sachet + Grass</v>
          </cell>
          <cell r="T47" t="str">
            <v>Mix Alstroemeria ( 12 Inch ) 16     FF Sachet + Grass</v>
          </cell>
        </row>
        <row r="48">
          <cell r="A48">
            <v>257</v>
          </cell>
          <cell r="B48" t="str">
            <v>Mrs Munjal -- After 5 PM</v>
          </cell>
          <cell r="C48">
            <v>9818871139</v>
          </cell>
          <cell r="D48" t="str">
            <v>B- 22 Sushant Lok 2, sector 56 (Behind sector 56 police station)</v>
          </cell>
          <cell r="E48" t="str">
            <v>Sector 56</v>
          </cell>
          <cell r="F48" t="str">
            <v>Sunday</v>
          </cell>
          <cell r="G48" t="str">
            <v>9 AM - 12 PM</v>
          </cell>
          <cell r="H48">
            <v>1450</v>
          </cell>
          <cell r="I48">
            <v>362.5</v>
          </cell>
          <cell r="J48" t="str">
            <v>Bliss</v>
          </cell>
          <cell r="K48" t="str">
            <v>send replcmnt tomorrow(18/08)Send Glad in next del(30/08)Skip next del(20/09)1 week extended due to Diwali(08/11)Next daisy(22/11) Skip 1 week(27/03) Skip 1 week(12/11) 2 Stick extra next week(20/02)  Sending thursday del on friday(28/05/2020) Skip 1 week (01/07/2020) Skip 1 week(22/07/20) Skip 1 Week(05/08/20) send 2 stick extra in next del(18/09/20) Skip 1 week(10/03) Skip 1 week(28/04) Skip 1 week(10/11) Paytm From 9958736444(03/07) Paytm From Sandeep Munjal // Skip 1 week (30/10) Hold today send on sunday (06/04) Change day to sunday (13/04) Skip 1 week (25/12) Skip 2 week (28/01) Skip 2 weeks (28/01) Skip 1 week (26/01) Skip 1 week (19/07) Skip 1 week (13/09) Skip tom (15/11) Hold today send tom (05/07)</v>
          </cell>
          <cell r="N48" t="str">
            <v>2  del of this cycle   -  0-cycles pmnt   Completed - Collect 0</v>
          </cell>
          <cell r="O48" t="e">
            <v>#N/A</v>
          </cell>
          <cell r="P48" t="e">
            <v>#N/A</v>
          </cell>
          <cell r="Q48" t="e">
            <v>#N/A</v>
          </cell>
          <cell r="R48" t="e">
            <v>#N/A</v>
          </cell>
          <cell r="S48" t="e">
            <v>#N/A</v>
          </cell>
          <cell r="T48" t="str">
            <v>Rajni ( 14 Inch ) 16     Grass</v>
          </cell>
        </row>
        <row r="49">
          <cell r="A49">
            <v>2030</v>
          </cell>
          <cell r="B49" t="str">
            <v>Rashi Goel</v>
          </cell>
          <cell r="C49">
            <v>8828025877</v>
          </cell>
          <cell r="D49" t="str">
            <v>44 Tattvam Vila, Sohna Road</v>
          </cell>
          <cell r="E49" t="str">
            <v>Sohna Road 2</v>
          </cell>
          <cell r="F49" t="str">
            <v>Monday</v>
          </cell>
          <cell r="G49" t="str">
            <v>9 AM - 12 PM</v>
          </cell>
          <cell r="H49">
            <v>1450</v>
          </cell>
          <cell r="I49">
            <v>362.5</v>
          </cell>
          <cell r="J49" t="str">
            <v>Bliss</v>
          </cell>
          <cell r="K49" t="str">
            <v>No Heliconia// Skip 1 week (02/12) Skip 1 week (13/02) Sent Replacement today (12/12) Hold till 10th Dec (18/12) Hold n start from 2nd week of Mar (011/02) Skip 1 week (24/08) Today Hold *24/11) Paytm from Perform Monks Edu (01/03)</v>
          </cell>
          <cell r="L49" t="str">
            <v>HELICONIA</v>
          </cell>
          <cell r="N49" t="str">
            <v>3  del of this cycle   -  0-cycles pmnt   Completed - Collect 0</v>
          </cell>
          <cell r="O49" t="str">
            <v>P n W Glad ( 14 Inch ) 16     Grass</v>
          </cell>
          <cell r="P49" t="str">
            <v>Pur n P Car ( 14 Inch ) 16     FF Sachet + Grass</v>
          </cell>
          <cell r="Q49" t="str">
            <v>Mix Alstroemeria ( 12 Inch ) 16     FF Sachet + Grass</v>
          </cell>
          <cell r="R49" t="str">
            <v>B Orchid 5     Grass</v>
          </cell>
          <cell r="S49" t="str">
            <v>W Asiatic ( 14 Inch ) 3     Grass</v>
          </cell>
          <cell r="T49" t="str">
            <v>Rajni ( 14 Inch ) 16     Grass</v>
          </cell>
        </row>
        <row r="50">
          <cell r="A50">
            <v>3379</v>
          </cell>
          <cell r="B50" t="str">
            <v>One Science Nutrition</v>
          </cell>
          <cell r="C50">
            <v>8802385651</v>
          </cell>
          <cell r="D50" t="str">
            <v>Splendor tower 1, 8th Floor, Sec 58</v>
          </cell>
          <cell r="E50" t="str">
            <v>Ghata</v>
          </cell>
          <cell r="F50" t="str">
            <v>Monday</v>
          </cell>
          <cell r="G50" t="str">
            <v>9:30 Am to 2 PM</v>
          </cell>
          <cell r="H50">
            <v>1450</v>
          </cell>
          <cell r="I50">
            <v>362.5</v>
          </cell>
          <cell r="J50" t="str">
            <v>Bliss</v>
          </cell>
          <cell r="K50" t="str">
            <v>From Namita Chaudhary</v>
          </cell>
          <cell r="N50" t="str">
            <v>1  del of this cycle   -  0-cycles pmnt   In Process - Collect 0</v>
          </cell>
          <cell r="O50" t="e">
            <v>#N/A</v>
          </cell>
          <cell r="P50" t="e">
            <v>#N/A</v>
          </cell>
          <cell r="Q50" t="str">
            <v>Pur Eustoma ( 12 Inch ) 2 P n W Glad ( 14 Inch ) 7   FF Sachet + Grass</v>
          </cell>
          <cell r="R50" t="str">
            <v>Y Spray Daisy ( 14 Inch ) 3 Rajni ( 14 inch ) 7   FF Sachet + Grass</v>
          </cell>
          <cell r="S50" t="str">
            <v>P Asiatic ( 14 Inch ) 2 Pur n P Car ( 14 Inch ) 7   Grass</v>
          </cell>
          <cell r="T50" t="str">
            <v>Sunflower ( 12 Inch ) 2 Mix Alstroemeria 7   FF Sachet + Grass</v>
          </cell>
        </row>
        <row r="51">
          <cell r="A51">
            <v>2259</v>
          </cell>
          <cell r="B51" t="str">
            <v>Shivani Kapoor</v>
          </cell>
          <cell r="C51">
            <v>9818659010</v>
          </cell>
          <cell r="D51" t="str">
            <v>94, Tattvam Villa</v>
          </cell>
          <cell r="E51" t="str">
            <v>Sohna Road 2</v>
          </cell>
          <cell r="F51" t="str">
            <v>Monday</v>
          </cell>
          <cell r="G51" t="str">
            <v>9 AM - 12 PM</v>
          </cell>
          <cell r="H51">
            <v>3950</v>
          </cell>
          <cell r="I51">
            <v>493.75</v>
          </cell>
          <cell r="J51" t="str">
            <v>Grace</v>
          </cell>
          <cell r="K51" t="str">
            <v>Monday n Friday// Payment from Sanjeev K (05/05) Skip 1 week (26/07) Skip 1 week (04/11) Skip this Friday (26/12) Skip 1 week (01/01/25) Skip tom (02/02) No delivery on Monday (01/03) Skip 14th n send on 17th (11/03) Now start from 7th July (24/06)</v>
          </cell>
          <cell r="M51" t="str">
            <v>No White</v>
          </cell>
          <cell r="N51" t="str">
            <v>4  del of this cycle   -  1-cycles pmnt   Pending - Collect 3950</v>
          </cell>
          <cell r="O51" t="str">
            <v>B Daisy ( 12 Inch ) 20     FF Sachet + grass</v>
          </cell>
          <cell r="P51" t="str">
            <v>Sunflower ( 12 Inch ) 4     FF Sachet + Grass</v>
          </cell>
          <cell r="Q51" t="str">
            <v>Rajni ( 14 Inch ) 20     Grass</v>
          </cell>
          <cell r="R51" t="str">
            <v>B Daisy ( 12 Inch ) 20     Grass</v>
          </cell>
          <cell r="S51" t="str">
            <v>O Asiatic ( 14 Inch ) 4     Grass</v>
          </cell>
          <cell r="T51" t="str">
            <v>R n W Car ( 14 Inch ) 20     FF Sachet + Grass</v>
          </cell>
        </row>
        <row r="52">
          <cell r="A52">
            <v>2850</v>
          </cell>
          <cell r="B52" t="str">
            <v>Namita Chaudhary -- Before 11:30 AM</v>
          </cell>
          <cell r="C52">
            <v>9810002910</v>
          </cell>
          <cell r="D52" t="str">
            <v>403-406, Global Credit Solutions Splendour Spectrum one, 403 -406, T-2- 4th Floor, Sec 58</v>
          </cell>
          <cell r="E52" t="str">
            <v>Ghata</v>
          </cell>
          <cell r="F52" t="str">
            <v>Monday</v>
          </cell>
          <cell r="G52" t="str">
            <v>10 am to 12 PM</v>
          </cell>
          <cell r="H52">
            <v>1450</v>
          </cell>
          <cell r="I52">
            <v>362.5</v>
          </cell>
          <cell r="J52" t="str">
            <v>Corporate</v>
          </cell>
          <cell r="K52" t="str">
            <v>Skip 1 week (13/08) Start from or after 13th Oct (30/09) Skip 1 week (19/10) Skip 2 week (09/12) Skip 1 week (18/01) Send on 27th (26/01) Hold till 4th Apr (27/03)  No Yel n White (06/04)</v>
          </cell>
          <cell r="L52" t="str">
            <v xml:space="preserve"> No Yel n White (06/04)</v>
          </cell>
          <cell r="N52" t="str">
            <v>2  del of this cycle   -  0-cycles pmnt   In Process - Collect 0</v>
          </cell>
          <cell r="O52" t="str">
            <v>Pur Eustoma ( 12 Inch ) 2 Mix Alstroemeria ( 12 Inch ) 7   FF Sachet + Grass</v>
          </cell>
          <cell r="P52" t="str">
            <v>Sunflower ( 12 Inch ) 2 Pur n P Car ( 14 inch ) 7   FF Sachet + Grass</v>
          </cell>
          <cell r="Q52" t="str">
            <v>P Asiatic ( 14 Inch ) 2 P n Y Glad ( 14 Inch ) 7   Grass</v>
          </cell>
          <cell r="R52" t="str">
            <v>P Spray Daisy ( 14 Inch ) 3 Rajni ( 14 inch ) 7   FF Sachet + Grass</v>
          </cell>
          <cell r="S52" t="str">
            <v>P Eustoma ( 12 Inch ) 2 P n W Car ( 14 Inch ) 7   FF Sachet + Grass</v>
          </cell>
          <cell r="T52" t="str">
            <v>Sunflower ( 12 Inch ) 2 Mix Alstroemeria 7   FF Sachet + Grass</v>
          </cell>
        </row>
        <row r="53">
          <cell r="A53">
            <v>2697</v>
          </cell>
          <cell r="B53" t="str">
            <v>Sumana Sarkar</v>
          </cell>
          <cell r="C53">
            <v>9599968479</v>
          </cell>
          <cell r="D53" t="str">
            <v>C-201, Heritage One</v>
          </cell>
          <cell r="E53" t="str">
            <v>Ghata</v>
          </cell>
          <cell r="F53" t="str">
            <v>Monday</v>
          </cell>
          <cell r="G53" t="str">
            <v>9 AM to 2 PM</v>
          </cell>
          <cell r="H53">
            <v>1450</v>
          </cell>
          <cell r="I53">
            <v>362.5</v>
          </cell>
          <cell r="J53" t="str">
            <v>Bliss</v>
          </cell>
          <cell r="K53" t="str">
            <v>Hold due to non payment (02/02) Today Returned (09/02) Send on 11th Feb (10/02) HDTNP (09/03)</v>
          </cell>
          <cell r="N53" t="str">
            <v>3  del of this cycle   -  1-cycles pmnt   Pending - Collect 1450</v>
          </cell>
          <cell r="O53" t="str">
            <v>Pur Eustoma ( 12 Inch ) 2 P n W Glad ( 14 Inch ) 7   FF Sachet + Grass</v>
          </cell>
          <cell r="P53" t="str">
            <v>P Spray Daisy ( 14 Inch ) 3 Mix Alstroemeria ( 12 Inch ) 7   FF Sachet + Grass</v>
          </cell>
          <cell r="Q53" t="str">
            <v>Sunflower ( 12 Inch ) 2 Pur n P Car ( 14 Inch ) 7   FF Sachet + Grass</v>
          </cell>
          <cell r="R53" t="str">
            <v>P Asiatic ( 14 Inch ) 2 Rajni ( 14 inch ) 7   Grass</v>
          </cell>
          <cell r="S53" t="str">
            <v>P Eustoma ( 12 Inch ) 2 P n W Glad ( 14 Inch ) 7   FF Sachet + Grass</v>
          </cell>
          <cell r="T53" t="str">
            <v>Sunflower ( 12 Inch ) 2 Mix Alstroemeria 7   FF Sachet + Grass</v>
          </cell>
        </row>
        <row r="54">
          <cell r="A54">
            <v>2195</v>
          </cell>
          <cell r="B54" t="str">
            <v>Hema</v>
          </cell>
          <cell r="C54">
            <v>9971354440</v>
          </cell>
          <cell r="D54" t="str">
            <v>127 vipul trade center sohna road sector 48 gurgaon 122108</v>
          </cell>
          <cell r="E54" t="str">
            <v>Sohna Road 2</v>
          </cell>
          <cell r="F54" t="str">
            <v>Monday</v>
          </cell>
          <cell r="G54" t="str">
            <v>9 AM - 12 PM</v>
          </cell>
          <cell r="H54">
            <v>2400</v>
          </cell>
          <cell r="I54">
            <v>600</v>
          </cell>
          <cell r="J54" t="str">
            <v>Corporate</v>
          </cell>
          <cell r="K54" t="str">
            <v>Mix Flowers -- 12-15 flowers// Today office is closed (25/12) Today returned (19/08) Hold today sned tom (31/03) Send tom (26/01)</v>
          </cell>
          <cell r="N54" t="str">
            <v>2  del of this cycle   -  0-cycles pmnt   In Process - Collect 0</v>
          </cell>
          <cell r="O54" t="str">
            <v xml:space="preserve">Pur n P Eustoma 4 R n W Car 12   </v>
          </cell>
          <cell r="P54" t="str">
            <v>Sunflower ( 12 Inch ) 3 Mix Glad  ( 14 Inch ) 12   FF Sachet + Grass</v>
          </cell>
          <cell r="Q54" t="str">
            <v>P Asiatic ( 14 Inch ) 2 Pur n P Car ( 14 Inch ) 12   Grass</v>
          </cell>
          <cell r="R54" t="str">
            <v>Pur n W Eustoma ( 12 Inch) 4 Rajni ( 14 inch ) 12   Grass</v>
          </cell>
          <cell r="S54" t="str">
            <v>Sunflower ( 12 Inch ) 3 P n W Glad ( 14 Inch ) 12   FF Sachet + Grass</v>
          </cell>
          <cell r="T54" t="str">
            <v>O n W Spray Daisy ( 14 Inch ) 4 Mix Alstroemeria 12   2 Gypsola + Little Grass</v>
          </cell>
        </row>
        <row r="55">
          <cell r="A55" t="str">
            <v>B56375</v>
          </cell>
          <cell r="B55" t="str">
            <v>Rashmi Manish</v>
          </cell>
          <cell r="C55">
            <v>9899989558</v>
          </cell>
          <cell r="D55" t="str">
            <v>A-3/1902, Puri Emerlad Way Tech Chand Nagar, Sec 104</v>
          </cell>
          <cell r="E55" t="str">
            <v>Dwarka Expressway</v>
          </cell>
          <cell r="F55" t="str">
            <v>Monday</v>
          </cell>
          <cell r="G55" t="str">
            <v>By 12 PM</v>
          </cell>
          <cell r="H55">
            <v>750</v>
          </cell>
          <cell r="I55">
            <v>750</v>
          </cell>
          <cell r="J55" t="str">
            <v>Bouquet</v>
          </cell>
          <cell r="K55" t="str">
            <v>10 Shd Pink Rose in Front Tissue Wrap//  Stay together, Stay Happy!        Anjana &amp; Ajay (05/07)</v>
          </cell>
          <cell r="N55" t="str">
            <v>1  del of this cycle   -  0-cycles pmnt   In Process - Collect 0</v>
          </cell>
          <cell r="O55" t="e">
            <v>#N/A</v>
          </cell>
          <cell r="P55" t="e">
            <v>#N/A</v>
          </cell>
          <cell r="Q55" t="e">
            <v>#N/A</v>
          </cell>
          <cell r="R55" t="e">
            <v>#N/A</v>
          </cell>
          <cell r="S55" t="e">
            <v>#N/A</v>
          </cell>
          <cell r="T55" t="str">
            <v xml:space="preserve">Shd P Rose 10 Front Tissue Wrap + Message    </v>
          </cell>
        </row>
        <row r="56">
          <cell r="A56">
            <v>2896</v>
          </cell>
          <cell r="B56" t="str">
            <v>Priyanka -- Southern</v>
          </cell>
          <cell r="C56">
            <v>9870161122</v>
          </cell>
          <cell r="D56" t="str">
            <v>T-4/2504,  Tata Primanti,Southrn Peripheral, Near Vatika Chowk</v>
          </cell>
          <cell r="E56" t="str">
            <v>Sohna Road 2</v>
          </cell>
          <cell r="F56" t="str">
            <v>Monday</v>
          </cell>
          <cell r="G56" t="str">
            <v>9 AM - 12 PM</v>
          </cell>
          <cell r="H56">
            <v>1450</v>
          </cell>
          <cell r="I56">
            <v>362.5</v>
          </cell>
          <cell r="J56" t="str">
            <v>Bliss</v>
          </cell>
          <cell r="K56" t="str">
            <v>Paytm From Priyanka Seth (11/11) Hold due to non payment (02/02) Hold today and send on Friday (23/03)</v>
          </cell>
          <cell r="N56" t="str">
            <v>2  del of this cycle   -  0-cycles pmnt   Completed - Collect 0</v>
          </cell>
          <cell r="O56" t="e">
            <v>#N/A</v>
          </cell>
          <cell r="P56" t="e">
            <v>#N/A</v>
          </cell>
          <cell r="Q56" t="e">
            <v>#N/A</v>
          </cell>
          <cell r="R56" t="str">
            <v>Pur Eustom ( 12 Inch ) 2 Rajni ( 14 inch ) 7   FF Sachet + Grass</v>
          </cell>
          <cell r="S56" t="str">
            <v>P n W Glad ( 14 Inch ) 16     Grass</v>
          </cell>
          <cell r="T56" t="str">
            <v>Sunflower ( 12 Inch ) 4     FF Sachet + Grass</v>
          </cell>
        </row>
        <row r="57">
          <cell r="A57">
            <v>588</v>
          </cell>
          <cell r="B57" t="str">
            <v>Akiksha Mohan</v>
          </cell>
          <cell r="C57">
            <v>9810145564</v>
          </cell>
          <cell r="D57" t="str">
            <v>D-601, Emaar Plam Drive</v>
          </cell>
          <cell r="E57" t="str">
            <v>Badshahpur</v>
          </cell>
          <cell r="F57" t="str">
            <v>Friday</v>
          </cell>
          <cell r="G57" t="str">
            <v>9 AM - 12 PM</v>
          </cell>
          <cell r="H57">
            <v>1600</v>
          </cell>
          <cell r="I57">
            <v>200</v>
          </cell>
          <cell r="J57" t="str">
            <v>Bloom</v>
          </cell>
          <cell r="K57"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57" t="str">
            <v>GULDAWARI</v>
          </cell>
          <cell r="N57" t="str">
            <v>7  del of this cycle   -  0-cycles pmnt   Completed - Collect 0</v>
          </cell>
          <cell r="O57" t="str">
            <v>Y Spray Daisy ( 15 inch ) 2     FF sachet + Grass</v>
          </cell>
          <cell r="P57" t="str">
            <v>Mix Car  ( 14 Inch ) 7     FF Sachet + Grass</v>
          </cell>
          <cell r="Q57" t="str">
            <v>Rajni ( 14 Inch ) 7     Grass</v>
          </cell>
          <cell r="R57" t="str">
            <v>B Daisy ( 12 Inch ) 7     Grass</v>
          </cell>
          <cell r="S57" t="str">
            <v>P n W Car ( 14 Inch ) 7     FF Sachet + Grass</v>
          </cell>
          <cell r="T57" t="str">
            <v>Mix Alstroemeria ( 12 Inch ) 7     FF Sachet + Grass</v>
          </cell>
        </row>
        <row r="58">
          <cell r="A58">
            <v>3166</v>
          </cell>
          <cell r="B58" t="str">
            <v>Mona Gupta</v>
          </cell>
          <cell r="C58">
            <v>9999284587</v>
          </cell>
          <cell r="D58" t="str">
            <v>A-200, 2nd Floor, Today Blossomes-1, Sec 47</v>
          </cell>
          <cell r="H58">
            <v>1450</v>
          </cell>
          <cell r="J58" t="str">
            <v>Bliss</v>
          </cell>
          <cell r="T58" t="str">
            <v>Rajni ( 14 Inch ) 16     FF Sachet + Grass</v>
          </cell>
        </row>
        <row r="59">
          <cell r="A59">
            <v>2619</v>
          </cell>
          <cell r="B59" t="str">
            <v>Megha Bhatt</v>
          </cell>
          <cell r="C59">
            <v>8297925970</v>
          </cell>
          <cell r="D59" t="str">
            <v>D-1902, Pioneer Park</v>
          </cell>
          <cell r="E59" t="str">
            <v>Ghata</v>
          </cell>
          <cell r="F59" t="str">
            <v>Monday</v>
          </cell>
          <cell r="G59" t="str">
            <v>9 AM - 12 PM</v>
          </cell>
          <cell r="H59">
            <v>2750</v>
          </cell>
          <cell r="I59">
            <v>687.5</v>
          </cell>
          <cell r="J59" t="str">
            <v>Elation</v>
          </cell>
          <cell r="K59" t="str">
            <v>Premium Next (29/04) Upgrade to Bliss (19/05) No Spray Daisy // Change to delight (22/06) Skip 1 week (27/06) NO Car (28/07) Hold n start from Oct (04/09) Skip 1 week (15/10) Blue Daisy Next (04/12) Send Replacement tom (01/01/26) Hold for 3 weeks (06/01) No Sunflower (01/03) Only sunflower and Carnations need to be restricted (11/03) HDTNP (16/03) Skip 1 week (15/05) Skip 1 week (03/06)</v>
          </cell>
          <cell r="L59" t="str">
            <v>Car n Sunflower</v>
          </cell>
          <cell r="M59" t="str">
            <v>Blue Daisy</v>
          </cell>
          <cell r="N59" t="str">
            <v>3  del of this cycle   -  0-cycles pmnt   Completed - Collect 0</v>
          </cell>
          <cell r="O59" t="str">
            <v>O Asiatic ( 15 Inch ) 3     Grass</v>
          </cell>
          <cell r="P59" t="e">
            <v>#N/A</v>
          </cell>
          <cell r="Q59" t="str">
            <v>Pur n P Car ( 14 Inch ) 16     FF Sachet + Grass</v>
          </cell>
          <cell r="R59" t="str">
            <v>Pur n P Car ) 14 Imch) 32     2 Gypsola + ff Sachet</v>
          </cell>
          <cell r="S59" t="str">
            <v>Pur n P Eustoma ( 12 Inch ) 6     2 Limonium + FF Sachet</v>
          </cell>
          <cell r="T59" t="str">
            <v>Rajni ( 14 Inch ) 32     2 Limonium</v>
          </cell>
        </row>
        <row r="60">
          <cell r="A60">
            <v>2648</v>
          </cell>
          <cell r="B60" t="str">
            <v>Vandana Mukherji</v>
          </cell>
          <cell r="C60">
            <v>9971590453</v>
          </cell>
          <cell r="D60" t="str">
            <v>Maplebear Canadian Preschool, Near Gate No.2, CHD Avanue, Sec 71</v>
          </cell>
          <cell r="E60" t="str">
            <v>Badshahpur</v>
          </cell>
          <cell r="F60" t="str">
            <v>Monday</v>
          </cell>
          <cell r="G60" t="str">
            <v>9:30 Am to 2 PM</v>
          </cell>
          <cell r="H60">
            <v>1450</v>
          </cell>
          <cell r="I60">
            <v>362.5</v>
          </cell>
          <cell r="J60" t="str">
            <v>Bliss</v>
          </cell>
          <cell r="K60" t="str">
            <v>Shift to Monday (08/06) Today returned-skip 1 week (20/10) Paytm from Pragati Parashar (01/12) Today hold -send tom (26/01) Hold due to non payment (02/02) Skip 1 week (22/03) Today hold n start from 01st July (22/06)</v>
          </cell>
          <cell r="N60" t="str">
            <v>2  del of this cycle   -  0-cycles pmnt   Completed - Collect 0</v>
          </cell>
          <cell r="O60" t="str">
            <v>R Asiatic ( 15 Inch ) 2     Grass</v>
          </cell>
          <cell r="P60" t="str">
            <v>Mix Alstroemeria ( 12 Inch ) 9     FF Sachet + Grass</v>
          </cell>
          <cell r="Q60" t="str">
            <v>Y Spray Daisy ( 14 Inch ) 3     FF Sachet + Grass</v>
          </cell>
          <cell r="R60" t="str">
            <v>P n W Glad ( 14 Inch ) 16     FF Sachet + Grass</v>
          </cell>
          <cell r="S60" t="e">
            <v>#N/A</v>
          </cell>
          <cell r="T60" t="str">
            <v>Sunflower ( 12 Inch ) 4     FF Sachet + Grass</v>
          </cell>
        </row>
        <row r="61">
          <cell r="A61">
            <v>1638</v>
          </cell>
          <cell r="B61" t="str">
            <v>Arvinder</v>
          </cell>
          <cell r="C61">
            <v>9717121144</v>
          </cell>
          <cell r="D61" t="str">
            <v>T-15/1202, Close South</v>
          </cell>
          <cell r="E61" t="str">
            <v>Nirvana Country</v>
          </cell>
          <cell r="F61" t="str">
            <v>Monday</v>
          </cell>
          <cell r="G61" t="str">
            <v>9 AM - 12 PM</v>
          </cell>
          <cell r="H61">
            <v>1450</v>
          </cell>
          <cell r="I61">
            <v>362.5</v>
          </cell>
          <cell r="J61" t="str">
            <v>Bliss</v>
          </cell>
          <cell r="K61" t="str">
            <v>Asiatic//Rajni//Guldawari//Gladioli(19/02) Received another Paytm of 750 today(18/07) No Rose n Rajni (26/12) Hold today (20/05) Change Add (20/05) Skip 1 week (28/08)</v>
          </cell>
          <cell r="L61" t="str">
            <v>Rose n Rajni</v>
          </cell>
          <cell r="N61" t="str">
            <v>4  del of this cycle   -  0-cycles pmnt   Completed - Collect 0</v>
          </cell>
          <cell r="O61" t="str">
            <v>P n W Glad ( 14 Inch ) 9     Grass</v>
          </cell>
          <cell r="P61" t="str">
            <v>P Asiatic ( 14 Inch ) 2     Grass</v>
          </cell>
          <cell r="Q61" t="str">
            <v>R n W Car ( 14 Inch ) 16     FF Sachet + Grass</v>
          </cell>
          <cell r="R61" t="str">
            <v>B Daisy ( 12 Inch ) 16     Grass</v>
          </cell>
          <cell r="S61" t="str">
            <v>Rajni ( 14 Inch ) 16     Grass</v>
          </cell>
          <cell r="T61" t="str">
            <v>B Daisy 16     FF Sachet + Grass</v>
          </cell>
        </row>
        <row r="62">
          <cell r="A62">
            <v>3232</v>
          </cell>
          <cell r="B62" t="str">
            <v>Aditya -- Hexa Climate</v>
          </cell>
          <cell r="C62">
            <v>8351968881</v>
          </cell>
          <cell r="D62" t="str">
            <v>Hexa Climate Solutions , 9th Floor, Vatika Buisness Park</v>
          </cell>
          <cell r="E62" t="str">
            <v>Sohna Road 1</v>
          </cell>
          <cell r="F62" t="str">
            <v>Monday</v>
          </cell>
          <cell r="G62" t="str">
            <v>By 9 AM</v>
          </cell>
          <cell r="H62">
            <v>20000</v>
          </cell>
          <cell r="I62">
            <v>5000</v>
          </cell>
          <cell r="J62" t="str">
            <v>Corporate</v>
          </cell>
          <cell r="K62" t="str">
            <v>Visit -- 15 Square vase</v>
          </cell>
          <cell r="N62" t="str">
            <v>1  del of this cycle   -  0-cycles pmnt   In Process - Collect 0</v>
          </cell>
          <cell r="O62" t="str">
            <v xml:space="preserve">Square Arrangement 15     </v>
          </cell>
          <cell r="P62" t="str">
            <v xml:space="preserve">Square Arrangement 15     </v>
          </cell>
          <cell r="Q62" t="str">
            <v xml:space="preserve">Square arrangment 15     </v>
          </cell>
          <cell r="R62" t="str">
            <v xml:space="preserve">Square Arrangement  15     </v>
          </cell>
          <cell r="S62" t="str">
            <v xml:space="preserve">Square Arrangement 15     </v>
          </cell>
          <cell r="T62" t="str">
            <v xml:space="preserve">Square Arrangement 15     </v>
          </cell>
        </row>
        <row r="63">
          <cell r="A63" t="str">
            <v>G-00011</v>
          </cell>
          <cell r="B63" t="str">
            <v>Nainsee Garg</v>
          </cell>
          <cell r="C63">
            <v>9810561802</v>
          </cell>
          <cell r="D63" t="str">
            <v>A67 Rosewood City Sector 49 Gurgaon 122001</v>
          </cell>
          <cell r="E63" t="str">
            <v>Nirvana Country</v>
          </cell>
          <cell r="F63" t="str">
            <v>Friday</v>
          </cell>
          <cell r="G63" t="str">
            <v>9 AM to 2 PM</v>
          </cell>
          <cell r="H63">
            <v>2300</v>
          </cell>
          <cell r="I63">
            <v>293.75</v>
          </cell>
          <cell r="J63" t="str">
            <v>Felicity</v>
          </cell>
          <cell r="K63" t="str">
            <v>No Glad (15/-5) Skip tom n sned next del on Sunday (29/05) Skip 1 week (03/07) Skip 1 week (12/11) Send tom (01/04) Sent one del today (09/04) Skip 1 week (11/05) Skip this cdel n send on Sunday (12/06)</v>
          </cell>
          <cell r="L63" t="str">
            <v>Glad</v>
          </cell>
          <cell r="N63" t="str">
            <v>2  del of this cycle   -  1-cycles pmnt   Pending - Collect 2300</v>
          </cell>
          <cell r="O63" t="e">
            <v>#N/A</v>
          </cell>
          <cell r="P63" t="str">
            <v>Pur Eustoma ( 12 Inch ) 3     FF Sachet + Grass</v>
          </cell>
          <cell r="Q63" t="str">
            <v>Pur n P Car ( 14 Inch ) 11     FF sachet + Grass</v>
          </cell>
          <cell r="R63" t="str">
            <v>B Daisy ( 12 Inch ) 11     Grass</v>
          </cell>
          <cell r="S63" t="str">
            <v>P n W Car ( 14 Inch ) 11     FF Sachet + Grass</v>
          </cell>
          <cell r="T63" t="str">
            <v>Rajni ( 14 Inch ) 11     Grass</v>
          </cell>
        </row>
        <row r="64">
          <cell r="A64">
            <v>3050</v>
          </cell>
          <cell r="B64" t="str">
            <v>Unnati Jain</v>
          </cell>
          <cell r="C64">
            <v>8999727355</v>
          </cell>
          <cell r="D64" t="str">
            <v>T-16/1003, Orchid Petals</v>
          </cell>
          <cell r="E64" t="str">
            <v>Sohna Road 1</v>
          </cell>
          <cell r="F64" t="str">
            <v>Monday</v>
          </cell>
          <cell r="G64" t="str">
            <v>9 AM - 12 PM</v>
          </cell>
          <cell r="H64">
            <v>1600</v>
          </cell>
          <cell r="I64">
            <v>200</v>
          </cell>
          <cell r="J64" t="str">
            <v>Bloom</v>
          </cell>
          <cell r="K64" t="str">
            <v>Hold n start From 7th Nov (16/10) Skip 1 week (13/11) Today retirned and skip next week also (28/11) Check in Feb to restart (20/12) Skip 1 week (31/05) Hold n start from July (15/06)</v>
          </cell>
          <cell r="N64" t="str">
            <v>5  del of this cycle   -  0-cycles pmnt   Completed - Collect 0</v>
          </cell>
          <cell r="O64" t="str">
            <v>P n W Glad ( 14 Inch ) 7     Grass</v>
          </cell>
          <cell r="P64" t="str">
            <v>P n W Glad ( 14 Inch ) 7     Grass</v>
          </cell>
          <cell r="Q64" t="str">
            <v>Y Spray Daisy ( 14 Inch ) 2     FF sachet + Grass</v>
          </cell>
          <cell r="R64" t="e">
            <v>#N/A</v>
          </cell>
          <cell r="S64" t="e">
            <v>#N/A</v>
          </cell>
          <cell r="T64" t="str">
            <v>Rajni ( 14 Inch ) 7     Grass</v>
          </cell>
        </row>
        <row r="65">
          <cell r="A65">
            <v>1088</v>
          </cell>
          <cell r="B65" t="str">
            <v>Shivani Marwah</v>
          </cell>
          <cell r="C65">
            <v>9999028643</v>
          </cell>
          <cell r="D65" t="str">
            <v>The Legend apartments, tower D4, flat no 1302, sector 57</v>
          </cell>
          <cell r="E65" t="str">
            <v>Artemis</v>
          </cell>
          <cell r="F65" t="str">
            <v>Monday</v>
          </cell>
          <cell r="G65" t="str">
            <v>9 AM - 12 PM</v>
          </cell>
          <cell r="H65">
            <v>1450</v>
          </cell>
          <cell r="I65">
            <v>362.5</v>
          </cell>
          <cell r="J65" t="str">
            <v>Bliss</v>
          </cell>
          <cell r="K65" t="str">
            <v>Thursday and Monday//NO BOP(13/12Send out of Rose// Glad// Lily//Guldawari(06/02) Rose Next(09/02) Spray Daisy Next(22/12)Flower Food Next(17/07) Ski[ Rose petal next (04/09) Send on Thursday this week (01/01/2023)Flower Food necxt (14/04) Change to bliss after current cycle (27/04)</v>
          </cell>
          <cell r="N65" t="str">
            <v>2  del of this cycle   -  0-cycles pmnt   Completed - Collect 0</v>
          </cell>
          <cell r="O65" t="str">
            <v>Sunflower ( 14 Inch ) 4     FF Sachet + Grass</v>
          </cell>
          <cell r="P65" t="str">
            <v>P n W Glad ( 14 Inch ) 16     FF Sachet + Grass</v>
          </cell>
          <cell r="Q65" t="str">
            <v>Pur n P Car ( 14 Inch ) 16     FF Sachet + Grass</v>
          </cell>
          <cell r="R65" t="str">
            <v>Pur Eustom ( 12 Inch ) 3     FF Sachet + Grass</v>
          </cell>
          <cell r="S65" t="str">
            <v>P Asiatic ( 14 Inch ) 3     Grass</v>
          </cell>
          <cell r="T65" t="str">
            <v>Rajni ( 14 Inch ) 16     Grass</v>
          </cell>
        </row>
        <row r="66">
          <cell r="A66">
            <v>3377</v>
          </cell>
          <cell r="B66" t="str">
            <v>Deepti Bajaj Taneja</v>
          </cell>
          <cell r="C66">
            <v>9873402620</v>
          </cell>
          <cell r="D66" t="str">
            <v>J-001, Emaar Palm Drive, Sec 66</v>
          </cell>
          <cell r="E66" t="str">
            <v>Badshahpur</v>
          </cell>
          <cell r="F66" t="str">
            <v>Monday</v>
          </cell>
          <cell r="G66" t="str">
            <v>9 AM - 12 PM</v>
          </cell>
          <cell r="H66">
            <v>1950</v>
          </cell>
          <cell r="I66">
            <v>487.5</v>
          </cell>
          <cell r="J66" t="str">
            <v>Joy</v>
          </cell>
          <cell r="K66" t="str">
            <v>Premium Necxt (09/06)</v>
          </cell>
          <cell r="M66" t="str">
            <v>Premium Necxt (09/06)</v>
          </cell>
          <cell r="N66" t="str">
            <v>1  del of this cycle   -  1-cycles pmnt   Pending - Collect 1950</v>
          </cell>
          <cell r="O66" t="e">
            <v>#N/A</v>
          </cell>
          <cell r="P66" t="str">
            <v>Pur n P Car ( 14 Inch ) 22     FF Sachet + Grass</v>
          </cell>
          <cell r="Q66" t="str">
            <v>P Asiatic ( 14 Inch ) 4     Grass</v>
          </cell>
          <cell r="R66" t="str">
            <v>Rajni ( 14 Inch ) 22     Grass</v>
          </cell>
          <cell r="S66" t="str">
            <v>Pur n P Eustoma ( 12 Inch ) 4     FF Sachet + Grass</v>
          </cell>
          <cell r="T66" t="str">
            <v>Asiatic 4     Grass</v>
          </cell>
        </row>
        <row r="67">
          <cell r="A67">
            <v>2429</v>
          </cell>
          <cell r="B67" t="str">
            <v>Pramila Dutt</v>
          </cell>
          <cell r="C67">
            <v>9811735242</v>
          </cell>
          <cell r="D67" t="str">
            <v>S1-C/201, Palm Drive</v>
          </cell>
          <cell r="E67" t="str">
            <v>Badshahpur</v>
          </cell>
          <cell r="F67" t="str">
            <v>Monday</v>
          </cell>
          <cell r="G67" t="str">
            <v>9 AM - 12 PM</v>
          </cell>
          <cell r="H67">
            <v>999</v>
          </cell>
          <cell r="I67">
            <v>249.75</v>
          </cell>
          <cell r="J67" t="str">
            <v>Delight</v>
          </cell>
          <cell r="K67" t="str">
            <v>Referred By Radhika Neeraj Rathod // Rajni next (03/03) Rajni next (28/03) today hold (23/06) No Blue Daisy (09/07) Only Asiatic (31/07) Hold due to non payment (13/10) Return n skip 2 weeks (22/06)</v>
          </cell>
          <cell r="L67" t="str">
            <v>Blue Daisy (09/07)</v>
          </cell>
          <cell r="M67" t="str">
            <v>Diff Flowers  now (29/09)</v>
          </cell>
          <cell r="N67" t="str">
            <v>4  del of this cycle   -  0-cycles pmnt   Completed - Collect 0</v>
          </cell>
          <cell r="O67" t="str">
            <v>P asiatic ( 15 Inch ) 2     Grass</v>
          </cell>
          <cell r="P67" t="str">
            <v>P n W Glad ( 14 Inch ) 9     Grass</v>
          </cell>
          <cell r="Q67" t="str">
            <v>R n W Car ( 14 Inch ) 9     FF Sachet + Grass</v>
          </cell>
          <cell r="R67" t="str">
            <v>Sunflower ( 12 Inch ) 2     FF Sachet + Grass</v>
          </cell>
          <cell r="S67" t="str">
            <v>R n W Car 9     FF Sachet + Grass</v>
          </cell>
          <cell r="T67" t="str">
            <v>Rajni ( 14 Inch ) 9     Grass</v>
          </cell>
        </row>
        <row r="68">
          <cell r="A68">
            <v>2239</v>
          </cell>
          <cell r="B68" t="str">
            <v>Divyangana -- 1450 Pack</v>
          </cell>
          <cell r="C68">
            <v>9646541636</v>
          </cell>
          <cell r="D68" t="str">
            <v>400-A, Ground Floor, Sec 57, Sushant Lok-2, Block-G</v>
          </cell>
          <cell r="E68" t="str">
            <v>M G Road</v>
          </cell>
          <cell r="F68" t="str">
            <v>Monday</v>
          </cell>
          <cell r="G68" t="str">
            <v>9 AM - 12 PM</v>
          </cell>
          <cell r="H68">
            <v>999</v>
          </cell>
          <cell r="I68">
            <v>249.75</v>
          </cell>
          <cell r="J68" t="str">
            <v>Delight</v>
          </cell>
          <cell r="K68" t="str">
            <v>Skip 2 week (03/03) Skip Monday and send on Tuesday after 5 PM (20/03) Return today (23/06) Return today (20/10) Hold due to non payment (26/01) Hold due to non pauyment (02/02) Hold due to non payment (09/02) HDTNP(16/02) HFTNP (23/02) Skip 1 week (24/06)</v>
          </cell>
          <cell r="N68" t="str">
            <v>4  del of this cycle   -  0-cycles pmnt   Completed - Collect 0</v>
          </cell>
          <cell r="O68" t="str">
            <v>P asiatic ( 15 Inch ) 2     Grass</v>
          </cell>
          <cell r="P68" t="str">
            <v>P n W Glad ( 14 Inch ) 9     Grass</v>
          </cell>
          <cell r="Q68" t="str">
            <v>Pur n P Car ( 14 Inch ) 9     FF Sachet + Grass</v>
          </cell>
          <cell r="R68" t="str">
            <v>B Daisy ( 12 Inch ) 9     Grass</v>
          </cell>
          <cell r="S68" t="e">
            <v>#N/A</v>
          </cell>
          <cell r="T68" t="str">
            <v>Rajni ( 14 Inch ) 9     Grass</v>
          </cell>
        </row>
        <row r="69">
          <cell r="A69">
            <v>1262</v>
          </cell>
          <cell r="B69" t="str">
            <v>Manjusha Mishra</v>
          </cell>
          <cell r="C69">
            <v>9650513322</v>
          </cell>
          <cell r="D69" t="str">
            <v>T-12/001, CHD Avenue, Sec 71</v>
          </cell>
          <cell r="E69" t="str">
            <v>Badshahpur</v>
          </cell>
          <cell r="F69" t="str">
            <v>Monday</v>
          </cell>
          <cell r="G69" t="str">
            <v>4 Pm to 7 PM</v>
          </cell>
          <cell r="H69">
            <v>1950</v>
          </cell>
          <cell r="I69">
            <v>487.5</v>
          </cell>
          <cell r="J69" t="str">
            <v>Joy</v>
          </cell>
          <cell r="K69" t="str">
            <v>Rose/Guldawari/Lily/carnations(07/01) Skip 1 week(04/02) Send 1 stick extra next(12/02) send double del with rajni and 4 orchid with payment of 1 orchid of 60(11/03) Flower Food Next(16/04) NO RAJNI IN SUMMER(06/07) Send flowers on 6th instead of 5th(01/11)  Holy Change(16/03) NO GERBERA (01/08) 30th Del Returned (06/01) Skip 1 week (15/10) Send one del today and skip tom (29/03) Send tom n skip 0n 6th (04/04)</v>
          </cell>
          <cell r="L69" t="str">
            <v>GERBERA</v>
          </cell>
          <cell r="M69" t="str">
            <v xml:space="preserve"> Send tom n skip 0n 6th (04/04)</v>
          </cell>
          <cell r="N69" t="str">
            <v>1  del of this cycle   -  1-cycles pmnt   Pending - Collect 1950</v>
          </cell>
          <cell r="O69" t="str">
            <v>R Asiatic ( 15 Inch ) 4     Grass</v>
          </cell>
          <cell r="P69" t="str">
            <v>P n W Spray Daisy ( 14 Inch ) 7     FF Sachet + Grass</v>
          </cell>
          <cell r="Q69" t="str">
            <v>P n W Glad ( 14 Inch ) 22     Grass</v>
          </cell>
          <cell r="R69" t="str">
            <v>Rajni ( 14 Inch ) 22     Grass</v>
          </cell>
          <cell r="S69" t="str">
            <v>O Asiatic ( 14 Inch ) 4     Grass</v>
          </cell>
          <cell r="T69" t="str">
            <v>Pur n P Car ( 14 Inch ) 22     FF Sachet + Grass</v>
          </cell>
        </row>
        <row r="70">
          <cell r="A70">
            <v>3002</v>
          </cell>
          <cell r="B70" t="str">
            <v>Mukesh Saluja</v>
          </cell>
          <cell r="C70" t="str">
            <v>98992 01188</v>
          </cell>
          <cell r="D70" t="str">
            <v xml:space="preserve">Electronic City, Phase IV, Udyog Vihar, Sector 18, Gurugram, Haryana 122022
</v>
          </cell>
          <cell r="E70" t="str">
            <v>Old Gurgaon</v>
          </cell>
          <cell r="F70" t="str">
            <v>Monday</v>
          </cell>
          <cell r="G70" t="str">
            <v>4 PM to 7 PM</v>
          </cell>
          <cell r="H70">
            <v>1450</v>
          </cell>
          <cell r="I70">
            <v>362.5</v>
          </cell>
          <cell r="J70" t="str">
            <v>Bliss</v>
          </cell>
          <cell r="K70" t="str">
            <v>Returned today-send next week (20/10) Upgraded to bliss (08/11) Hold ue to non payment (22/12) Today hold -send tom (26/01) HDTNP (23/02) HDTNP (09/03) HDTNP (16/03) HDTNP (23/02)</v>
          </cell>
          <cell r="M70" t="str">
            <v>No Del now till we get payment (09/06)</v>
          </cell>
          <cell r="N70" t="str">
            <v>2  del of this cycle   -  1-cycles pmnt   Pending - Collect 1450</v>
          </cell>
          <cell r="O70" t="str">
            <v>P n W Glad ( 14 Inch ) 16     Grass</v>
          </cell>
          <cell r="P70" t="str">
            <v>P n Y Spray Daisy ( 14 Inch ) 5     FF Sachet + Grass</v>
          </cell>
          <cell r="Q70" t="str">
            <v>Pur n P Car ( 14 Inch ) 16     FF Sachet + Grass</v>
          </cell>
          <cell r="R70" t="str">
            <v>Sunflower ( 12 Inch ) 4     FF Sachet + Grass</v>
          </cell>
          <cell r="S70" t="str">
            <v>Glad 16     Grass</v>
          </cell>
          <cell r="T70" t="str">
            <v>Rajni ( 14 Inch ) 16     Grass</v>
          </cell>
        </row>
        <row r="71">
          <cell r="A71">
            <v>3052</v>
          </cell>
          <cell r="B71" t="str">
            <v>Surabhi Singh - Orchid Petals</v>
          </cell>
          <cell r="C71">
            <v>9990327545</v>
          </cell>
          <cell r="D71" t="str">
            <v>T-9/501, Orchid Petals</v>
          </cell>
          <cell r="E71" t="str">
            <v>Sohna Road 1</v>
          </cell>
          <cell r="F71" t="str">
            <v>Monday</v>
          </cell>
          <cell r="G71" t="str">
            <v>9 AM to 2 PM</v>
          </cell>
          <cell r="H71">
            <v>1450</v>
          </cell>
          <cell r="I71">
            <v>362.5</v>
          </cell>
          <cell r="J71" t="str">
            <v>Bliss</v>
          </cell>
          <cell r="K71" t="str">
            <v>Skip 1 week (16/10) Skip 1 week (11/11) Today Hold (20/02) HDTNP (27/02) HDTNP (06/03)</v>
          </cell>
          <cell r="N71" t="str">
            <v>1  del of this cycle   -  1-cycles pmnt   Pending - Collect 1450</v>
          </cell>
          <cell r="O71" t="e">
            <v>#N/A</v>
          </cell>
          <cell r="P71" t="e">
            <v>#N/A</v>
          </cell>
          <cell r="Q71" t="e">
            <v>#N/A</v>
          </cell>
          <cell r="R71" t="e">
            <v>#N/A</v>
          </cell>
          <cell r="S71" t="e">
            <v>#N/A</v>
          </cell>
          <cell r="T71" t="str">
            <v>Pur n P Car ( 14 Inch ) 16     FF Sachet + Grass</v>
          </cell>
        </row>
        <row r="72">
          <cell r="A72">
            <v>3402</v>
          </cell>
          <cell r="B72" t="str">
            <v>Shagun Azad</v>
          </cell>
          <cell r="C72">
            <v>9773564675</v>
          </cell>
          <cell r="D72" t="str">
            <v>H. No. 3151, 2nd Floor, Sector 57</v>
          </cell>
          <cell r="E72" t="str">
            <v>Artemis</v>
          </cell>
          <cell r="F72" t="str">
            <v>Monday</v>
          </cell>
          <cell r="G72" t="str">
            <v>9 AM to 2 PM</v>
          </cell>
          <cell r="H72">
            <v>1450</v>
          </cell>
          <cell r="I72">
            <v>362.5</v>
          </cell>
          <cell r="J72" t="str">
            <v>Bliss</v>
          </cell>
          <cell r="N72" t="str">
            <v>1  del of this cycle   -  0-cycles pmnt   Completed - Collect 0</v>
          </cell>
          <cell r="O72" t="e">
            <v>#N/A</v>
          </cell>
          <cell r="P72" t="e">
            <v>#N/A</v>
          </cell>
          <cell r="Q72" t="e">
            <v>#N/A</v>
          </cell>
          <cell r="R72" t="e">
            <v>#N/A</v>
          </cell>
          <cell r="S72" t="e">
            <v>#N/A</v>
          </cell>
          <cell r="T72" t="str">
            <v>Pur n P Car ( 14 Inch ) 16     FF Sachet + Grass</v>
          </cell>
        </row>
        <row r="73">
          <cell r="A73">
            <v>3269</v>
          </cell>
          <cell r="B73" t="str">
            <v>Sahil Bishnoi</v>
          </cell>
          <cell r="C73" t="str">
            <v>9802300072 // 9996860064</v>
          </cell>
          <cell r="D73" t="str">
            <v>T-J/1604, Emaar Palm Drive</v>
          </cell>
          <cell r="E73" t="str">
            <v>Badshahpur</v>
          </cell>
          <cell r="F73" t="str">
            <v>Monday</v>
          </cell>
          <cell r="G73" t="str">
            <v>9:30 Am to 2 PM</v>
          </cell>
          <cell r="H73">
            <v>1450</v>
          </cell>
          <cell r="I73">
            <v>362.5</v>
          </cell>
          <cell r="J73" t="str">
            <v>Bliss</v>
          </cell>
          <cell r="K73" t="str">
            <v>Mixed // HDTNP (15/03) Returnde- not at home (13/04) Hold from 01st June to 1st July (23/05) Paytm from Murti Devi (25/05)</v>
          </cell>
          <cell r="M73" t="str">
            <v>Mixed</v>
          </cell>
          <cell r="N73" t="str">
            <v>3  del of this cycle   -  0-cycles pmnt   Completed - Collect 0</v>
          </cell>
          <cell r="O73" t="e">
            <v>#N/A</v>
          </cell>
          <cell r="P73" t="e">
            <v>#N/A</v>
          </cell>
          <cell r="Q73" t="e">
            <v>#N/A</v>
          </cell>
          <cell r="R73" t="e">
            <v>#N/A</v>
          </cell>
          <cell r="S73" t="e">
            <v>#N/A</v>
          </cell>
          <cell r="T73" t="str">
            <v>Pur n P Car ( 14 Inch ) 16     FF Sachet + Grass</v>
          </cell>
        </row>
        <row r="74">
          <cell r="A74">
            <v>2926</v>
          </cell>
          <cell r="B74" t="str">
            <v>Parul Sharma</v>
          </cell>
          <cell r="C74">
            <v>9971048493</v>
          </cell>
          <cell r="D74" t="str">
            <v>D-20, 2nd Floor, South City 2</v>
          </cell>
          <cell r="E74" t="str">
            <v>Nirvana Country</v>
          </cell>
          <cell r="F74" t="str">
            <v>Monday</v>
          </cell>
          <cell r="G74" t="str">
            <v>9:30 Am to 2 PM</v>
          </cell>
          <cell r="H74">
            <v>1450</v>
          </cell>
          <cell r="I74">
            <v>362.5</v>
          </cell>
          <cell r="J74" t="str">
            <v>Bliss</v>
          </cell>
          <cell r="K74" t="str">
            <v>Rajni Next (27/08) Hold for 15 days (30/11) Now send after 9th Mar (23/02) Replacement tom (27/05)</v>
          </cell>
          <cell r="M74" t="str">
            <v>Rajni next (27/08) Car next (07/09)</v>
          </cell>
          <cell r="N74" t="str">
            <v>2  del of this cycle   -  0-cycles pmnt   Completed - Collect 0</v>
          </cell>
          <cell r="O74" t="str">
            <v>R Asiatic ( 15 Inch ) 2     Grass</v>
          </cell>
          <cell r="P74" t="str">
            <v>Mix Glad  ( 14 Inch ) 9     FF Sachet + Grass</v>
          </cell>
          <cell r="Q74" t="str">
            <v>R n W Car ( 14 Inch ) 9     FF Sachet + Grass</v>
          </cell>
          <cell r="R74" t="str">
            <v>Rajni ( 14 Inch ) 9     Grass</v>
          </cell>
          <cell r="S74" t="str">
            <v>P n Y Spray Daisy ( 14 Inch ) 5     FF Sachet + Grass</v>
          </cell>
          <cell r="T74" t="str">
            <v>Rajni ( 14 Inch ) 16     FF Sachet + Grass</v>
          </cell>
        </row>
        <row r="75">
          <cell r="A75">
            <v>2396</v>
          </cell>
          <cell r="B75" t="str">
            <v>Reema</v>
          </cell>
          <cell r="C75">
            <v>9811281042</v>
          </cell>
          <cell r="D75" t="str">
            <v>24/02, Emilia b2, Vatika City</v>
          </cell>
          <cell r="E75" t="str">
            <v>Sohna Road 1</v>
          </cell>
          <cell r="F75" t="str">
            <v>Monday</v>
          </cell>
          <cell r="G75" t="str">
            <v>10 AM to 2:30 PM</v>
          </cell>
          <cell r="H75">
            <v>1450</v>
          </cell>
          <cell r="I75">
            <v>362.5</v>
          </cell>
          <cell r="J75" t="str">
            <v>Bliss</v>
          </cell>
          <cell r="K75" t="str">
            <v>No Guldawari (16/02) Send 1 Del today (29/05) No Gerbera (16/09) After 11th (02/10) Paytm From Reema makkar (23/11) Paytm from Sharda Sethi (22/06)</v>
          </cell>
          <cell r="L75" t="str">
            <v>Guldawari n Gerbera</v>
          </cell>
          <cell r="N75" t="str">
            <v>4  del of this cycle   -  0-cycles pmnt   Completed - Collect 0</v>
          </cell>
          <cell r="O75" t="str">
            <v>P asiatic ( 15 Inch ) 2     Grass</v>
          </cell>
          <cell r="P75" t="str">
            <v>P n W Glad ( 14 Inch ) 9     Grass</v>
          </cell>
          <cell r="Q75" t="str">
            <v>Mix Alstroemeria ( 12 Inch ) 16     FF Sachet + Grass</v>
          </cell>
          <cell r="R75" t="str">
            <v>Rajni ( 14 Inch ) 16     Grass</v>
          </cell>
          <cell r="S75" t="str">
            <v>Pur n P Car ( 14 Inch ) 16     FF Sachet + Grass</v>
          </cell>
          <cell r="T75" t="str">
            <v>Asiatic 2     FF Sachet + Grass</v>
          </cell>
        </row>
        <row r="76">
          <cell r="A76">
            <v>1571</v>
          </cell>
          <cell r="B76" t="str">
            <v>Mohar Ray Dahiya</v>
          </cell>
          <cell r="C76">
            <v>9910019898</v>
          </cell>
          <cell r="D76" t="str">
            <v>Sovereign-3/201, Vatika City</v>
          </cell>
          <cell r="E76" t="str">
            <v>Sohna Road 1</v>
          </cell>
          <cell r="F76" t="str">
            <v>Friday</v>
          </cell>
          <cell r="G76" t="str">
            <v>9 AM to 2 PM</v>
          </cell>
          <cell r="H76">
            <v>1600</v>
          </cell>
          <cell r="I76">
            <v>200</v>
          </cell>
          <cell r="J76" t="str">
            <v>Bloom</v>
          </cell>
          <cell r="K76"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76" t="str">
            <v>BOP n GERBERA</v>
          </cell>
          <cell r="N76" t="str">
            <v>4  del of this cycle   -  0-cycles pmnt   Completed - Collect 0</v>
          </cell>
          <cell r="O76" t="str">
            <v>Sunflower ( 14 Inch ) 2     FF Sachet + grass</v>
          </cell>
          <cell r="P76" t="str">
            <v>P Spray Daisy ( 14 Inch ) 2     FF Sachet + Grass</v>
          </cell>
          <cell r="Q76" t="str">
            <v>Mix Alstroemeria ( 12 Inch ) 7     FF sachet + Grass</v>
          </cell>
          <cell r="R76" t="str">
            <v>Sunflower ( 12 Inch ) 2     Grass</v>
          </cell>
          <cell r="S76" t="str">
            <v>Y Spray Daisy ( 14 Inch ) 2     FF Sachet + Grass</v>
          </cell>
          <cell r="T76" t="str">
            <v>Mix Alstroemeria ( 12 Inch ) 7     FF Sachet + Grass</v>
          </cell>
        </row>
        <row r="77">
          <cell r="A77" t="str">
            <v>B53873</v>
          </cell>
          <cell r="B77" t="str">
            <v>Swarnim Saxena</v>
          </cell>
          <cell r="C77" t="str">
            <v xml:space="preserve"> 95360 92727</v>
          </cell>
          <cell r="D77" t="str">
            <v>House No J110 D adani Samsara, Sector 63</v>
          </cell>
          <cell r="H77">
            <v>600</v>
          </cell>
          <cell r="J77" t="str">
            <v>Bouquet</v>
          </cell>
          <cell r="K77" t="str">
            <v>Send today 
15 red roses in walkin tissue wrap to Swarnim at Adani address 
Please write: 
Dear Jaan-e-bahaar,
A very happy Anniversary! You are my everything. I cannot imagine a life sans you.
Yours,
The Mister</v>
          </cell>
          <cell r="T77" t="str">
            <v xml:space="preserve">Red roses 15 Walkin Tissue Wrap+Massage    </v>
          </cell>
        </row>
        <row r="78">
          <cell r="A78">
            <v>3249</v>
          </cell>
          <cell r="B78" t="str">
            <v>Nupur Bhatnagar</v>
          </cell>
          <cell r="C78">
            <v>9910985656</v>
          </cell>
          <cell r="D78" t="str">
            <v>A-001, Park View City 1</v>
          </cell>
          <cell r="E78" t="str">
            <v>Sohna Road 2</v>
          </cell>
          <cell r="F78" t="str">
            <v>Monday</v>
          </cell>
          <cell r="G78" t="str">
            <v>9 AM - 12 PM</v>
          </cell>
          <cell r="H78">
            <v>1450</v>
          </cell>
          <cell r="I78">
            <v>362.5</v>
          </cell>
          <cell r="J78" t="str">
            <v>Bliss</v>
          </cell>
          <cell r="K78" t="str">
            <v>Hold due to non payment (19/01) HDTNP (16/03) No Spray Daisy (14/06)</v>
          </cell>
          <cell r="L78" t="str">
            <v>Spray Daisy</v>
          </cell>
          <cell r="N78" t="str">
            <v>1  del of this cycle   -  1-cycles pmnt   Pending - Collect 1450</v>
          </cell>
          <cell r="O78" t="str">
            <v>O Asiatic ( 15 Inch ) 3     Grass</v>
          </cell>
          <cell r="P78" t="str">
            <v>P n W Spray Daisy ( 14 Inch ) 5     FF Sachet + Grass</v>
          </cell>
          <cell r="Q78" t="str">
            <v>Pur n P Car ( 14 Inch ) 16     FF Sachet + Grass</v>
          </cell>
          <cell r="R78" t="str">
            <v>Rajni ( 14 Inch ) 16     Grass</v>
          </cell>
          <cell r="S78" t="str">
            <v>P n W Glad ( 14 Inch ) 16     Grass</v>
          </cell>
          <cell r="T78" t="str">
            <v>Asiatic 3     FF Sachet + Grass</v>
          </cell>
        </row>
        <row r="79">
          <cell r="A79">
            <v>2356</v>
          </cell>
          <cell r="B79" t="str">
            <v>Madhuri Sakata</v>
          </cell>
          <cell r="C79">
            <v>9953086833</v>
          </cell>
          <cell r="D79" t="str">
            <v>D-17, Infocity, Phase-2, Sec-33, Gurgaon</v>
          </cell>
          <cell r="E79" t="str">
            <v>Sohna Road 2</v>
          </cell>
          <cell r="F79" t="str">
            <v>Monday</v>
          </cell>
          <cell r="G79" t="str">
            <v>By 9 AM</v>
          </cell>
          <cell r="H79">
            <v>5200</v>
          </cell>
          <cell r="I79">
            <v>1300</v>
          </cell>
          <cell r="J79" t="str">
            <v>Corporate</v>
          </cell>
          <cell r="K79" t="str">
            <v>Send on Sunday in evebing (06/06) Send tom (26/01)</v>
          </cell>
          <cell r="N79" t="str">
            <v>4  del of this cycle   -  0-cycles pmnt   In Process - Collect 0</v>
          </cell>
          <cell r="O79" t="str">
            <v xml:space="preserve">Arrangement 2     </v>
          </cell>
          <cell r="P79" t="str">
            <v xml:space="preserve">Arrangement  2     </v>
          </cell>
          <cell r="Q79" t="str">
            <v xml:space="preserve">Arrangement 2     </v>
          </cell>
          <cell r="R79" t="str">
            <v xml:space="preserve">Arrangement 2     </v>
          </cell>
          <cell r="S79" t="str">
            <v xml:space="preserve">Arrangement 2     </v>
          </cell>
          <cell r="T79" t="str">
            <v xml:space="preserve">Arrangement 2     </v>
          </cell>
        </row>
        <row r="80">
          <cell r="B80" t="str">
            <v>Reina Legal</v>
          </cell>
          <cell r="C80">
            <v>8708387392</v>
          </cell>
          <cell r="D80" t="str">
            <v xml:space="preserve">1st Floor, AIHP Palms, 242 &amp; 243, Udhyog Vihar Phase - IV, Gurugram - 122015, </v>
          </cell>
          <cell r="H80">
            <v>1450</v>
          </cell>
          <cell r="J80" t="str">
            <v>Bliss</v>
          </cell>
          <cell r="K80" t="str">
            <v xml:space="preserve">Will need the following details to start the subscription 
Name               :: Reina Legal
Address           :: 1st Floor, AIHP Palms, 242 &amp; 243, Udhyog Vihar Phase - IV, Gurugram - 122015, Haryana, India
Mob. No.          :: 8708387392
Email Id            :: sourav.sharma@reinalegal.com
Day of delivery (Monday ) :: Yes
Preferred Delivery Slot (3:30 -7:30):: Yes
Plan::    BLISS 
Any special request :: No
Mode of Payment ::
(To be done before the first delivery-- Paytm/Gpay number is 9811337699) </v>
          </cell>
          <cell r="T80" t="str">
            <v>Shd Pur n P Car 16     FF Sachet + Grass</v>
          </cell>
        </row>
        <row r="81">
          <cell r="B81" t="str">
            <v>Aanchal</v>
          </cell>
          <cell r="C81" t="str">
            <v>98101 65643</v>
          </cell>
          <cell r="D81" t="str">
            <v>20 tatvam villas Sohna road sector 48</v>
          </cell>
          <cell r="H81">
            <v>4000</v>
          </cell>
          <cell r="J81" t="str">
            <v>Bouquet</v>
          </cell>
          <cell r="T81" t="str">
            <v xml:space="preserve">Mix Flower Bouquet  Tissue Wrap Message   </v>
          </cell>
        </row>
        <row r="82">
          <cell r="A82">
            <v>1615</v>
          </cell>
          <cell r="B82" t="str">
            <v>Nandini Kar-- After 5 PM</v>
          </cell>
          <cell r="C82">
            <v>9971911162</v>
          </cell>
          <cell r="D82" t="str">
            <v>T-37/301, Emerald Floors Premier, Adjacent to Worldmark, Sec 65</v>
          </cell>
          <cell r="E82" t="str">
            <v>Badshahpur</v>
          </cell>
          <cell r="F82" t="str">
            <v>Monday</v>
          </cell>
          <cell r="G82" t="str">
            <v>4 PM to 7 PM</v>
          </cell>
          <cell r="H82">
            <v>1450</v>
          </cell>
          <cell r="I82">
            <v>362.5</v>
          </cell>
          <cell r="J82" t="str">
            <v>Bliss</v>
          </cell>
          <cell r="K82" t="str">
            <v>No Rose n ORCHID (23/08) Start after 2nd July (08/06) Upgrade to bliss with 5 Deliveries (24/08) Skip 1 week (01/09) Returned today (20/10) 27th Del Missed (02/11) Returned and hold for 2 weeks (03/06)</v>
          </cell>
          <cell r="L82" t="str">
            <v>ROSE n ORCHID n BOP</v>
          </cell>
          <cell r="M82" t="str">
            <v>Upgrade to Bliss with 5 Deliveries</v>
          </cell>
          <cell r="N82" t="str">
            <v>1  del of this cycle   -  1-cycles pmnt   Pending - Collect 1450</v>
          </cell>
          <cell r="O82" t="str">
            <v>Pur Eustoma ( 12 Inch ) 2 B Daisy 7   FF Sachet + Grass</v>
          </cell>
          <cell r="P82" t="e">
            <v>#N/A</v>
          </cell>
          <cell r="Q82" t="e">
            <v>#N/A</v>
          </cell>
          <cell r="R82" t="str">
            <v>Sunflower ( 12 Inch ) 2 Pur n P Car ( 14 Inch ) 7   FF Sachet + Grass</v>
          </cell>
          <cell r="S82" t="str">
            <v>P Asiatic ( 14 Inch ) 2 P n W Glad ( 14 Inch ) 7   Grass</v>
          </cell>
          <cell r="T82" t="str">
            <v>Y Spray Daisy ( 14 Inch ) 3 Rajni ( 14 Inch ) 7   FF Sachet + Grass</v>
          </cell>
        </row>
        <row r="83">
          <cell r="A83">
            <v>3293</v>
          </cell>
          <cell r="B83" t="str">
            <v>Asha Esther Jai Kishan</v>
          </cell>
          <cell r="C83">
            <v>9871533860</v>
          </cell>
          <cell r="D83" t="str">
            <v>T-B/103, Ireo Victory Valley</v>
          </cell>
          <cell r="E83" t="str">
            <v>Badshahpur</v>
          </cell>
          <cell r="F83" t="str">
            <v>Monday</v>
          </cell>
          <cell r="G83" t="str">
            <v>4 Pm to 7 PM</v>
          </cell>
          <cell r="H83">
            <v>1950</v>
          </cell>
          <cell r="I83">
            <v>487.5</v>
          </cell>
          <cell r="J83" t="str">
            <v>Joy</v>
          </cell>
          <cell r="K83" t="str">
            <v>Hold n start from July (12/06)</v>
          </cell>
          <cell r="N83" t="str">
            <v>2  del of this cycle   -  1-cycles pmnt   Pending - Collect 1950</v>
          </cell>
          <cell r="O83" t="str">
            <v>R Asiatic ( 15 Inch ) 4     Grass</v>
          </cell>
          <cell r="P83" t="str">
            <v>Mix Spray Daisy 7     Grass</v>
          </cell>
          <cell r="Q83" t="e">
            <v>#N/A</v>
          </cell>
          <cell r="R83" t="e">
            <v>#N/A</v>
          </cell>
          <cell r="S83" t="str">
            <v>Eustoma 4     Grass</v>
          </cell>
          <cell r="T83" t="str">
            <v>Rajni ( 14 Inch ) 22     FF Sachet + Grass</v>
          </cell>
        </row>
        <row r="84">
          <cell r="B84" t="str">
            <v>Arvinder</v>
          </cell>
          <cell r="C84">
            <v>9717121144</v>
          </cell>
          <cell r="D84" t="str">
            <v>T-15/1202, Close South</v>
          </cell>
          <cell r="G84" t="str">
            <v>Before 1 Pm</v>
          </cell>
          <cell r="H84">
            <v>600</v>
          </cell>
          <cell r="J84" t="str">
            <v>Bouquet</v>
          </cell>
          <cell r="K84" t="str">
            <v>Pls send 15 yellow carnations in single wrap today to Arvinder kaur — +91 97171 21144, with message 
Dearest Riaan, thanks for being the brightest light in our lives and showing us what true kindness ❤️ 
Happy birthday baby.. love you more with each passing year
Mumma &amp; Papa
Before 1 pm</v>
          </cell>
          <cell r="T84" t="str">
            <v xml:space="preserve">Y Car 15 Tissue Wrap Message   </v>
          </cell>
        </row>
        <row r="85">
          <cell r="B85" t="str">
            <v>Kripi Malviya</v>
          </cell>
          <cell r="C85" t="str">
            <v>96201 44056</v>
          </cell>
          <cell r="D85" t="str">
            <v>A 403, shiv shakti apartments, ait chowk,. sector 54, Gurgaon</v>
          </cell>
          <cell r="H85">
            <v>600</v>
          </cell>
          <cell r="J85" t="str">
            <v>Bouquet</v>
          </cell>
          <cell r="N85" t="str">
            <v>Pls Collect 600</v>
          </cell>
          <cell r="T85" t="str">
            <v xml:space="preserve">P Oriental 2 Grass+arica    </v>
          </cell>
        </row>
        <row r="86">
          <cell r="B86" t="str">
            <v>Vasu Arora</v>
          </cell>
          <cell r="C86" t="str">
            <v>88600 84869</v>
          </cell>
          <cell r="D86" t="str">
            <v>Tower 3, Flat 6B, Bellevue, 
Central Park 2,
Sohna Road, Sector 48,</v>
          </cell>
          <cell r="H86">
            <v>900</v>
          </cell>
          <cell r="J86" t="str">
            <v>Bouquet</v>
          </cell>
          <cell r="K86" t="str">
            <v>Date: 6th July (today)
Flowers: Asiatic Lillies
Amount: Rs 1000
Address: 
Vasu Arora
Tower 3, Flat 6B,
Bellevue, 
Central Park 2,
Sohna Road, Sector 48,
Gurgaon 
M - +91 88600 84869
Message - Phoolon Phalon, Khush Raho - Navita, Sudipta, Soumitra
Pls send 6 orange n white aaiatic in single wrap today from Sudipta Karnik</v>
          </cell>
          <cell r="T86" t="str">
            <v xml:space="preserve">O n W Asiatic 6 Single Wrap + Message    </v>
          </cell>
        </row>
        <row r="87">
          <cell r="B87" t="str">
            <v>Supriya Pahwa</v>
          </cell>
          <cell r="C87">
            <v>9811665304</v>
          </cell>
          <cell r="D87" t="str">
            <v>N6-004, Paras Irene, Sector 70A, Gurgaon</v>
          </cell>
          <cell r="H87">
            <v>1450</v>
          </cell>
          <cell r="J87" t="str">
            <v>Bliss</v>
          </cell>
          <cell r="T87" t="str">
            <v>Rajni ( 14 Inch ) 16     Grass</v>
          </cell>
        </row>
        <row r="88">
          <cell r="A88">
            <v>2462</v>
          </cell>
          <cell r="B88" t="str">
            <v>Rubeey Matharu -- 1450 Pack</v>
          </cell>
          <cell r="C88">
            <v>9811601176</v>
          </cell>
          <cell r="D88" t="str">
            <v>Sirera 1, T-6/306, M3M Marina</v>
          </cell>
          <cell r="H88" t="str">
            <v>Replacment</v>
          </cell>
          <cell r="I88" t="str">
            <v>Replacment</v>
          </cell>
          <cell r="J88" t="str">
            <v>Replacment</v>
          </cell>
          <cell r="T88" t="str">
            <v>Mix Alstroemeria ( 12 Inch ) 9     FF Sachet + Grass</v>
          </cell>
        </row>
      </sheetData>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342A3-671D-4DEB-9D8E-CF9306F73B16}">
  <dimension ref="A1:AD70"/>
  <sheetViews>
    <sheetView zoomScale="60" zoomScaleNormal="60" workbookViewId="0">
      <selection activeCell="O4" sqref="O4"/>
    </sheetView>
  </sheetViews>
  <sheetFormatPr defaultRowHeight="14" x14ac:dyDescent="0.3"/>
  <cols>
    <col min="1" max="1" width="6.796875" customWidth="1"/>
    <col min="3" max="7" width="0" hidden="1" customWidth="1"/>
    <col min="8" max="8" width="7.296875" customWidth="1"/>
    <col min="9" max="9" width="0" hidden="1" customWidth="1"/>
    <col min="10" max="10" width="8.296875" customWidth="1"/>
    <col min="11" max="11" width="144.69921875" hidden="1" customWidth="1"/>
  </cols>
  <sheetData>
    <row r="1" spans="1:30" ht="103.7" customHeight="1" x14ac:dyDescent="0.3">
      <c r="A1" s="1" t="s">
        <v>0</v>
      </c>
      <c r="B1" s="2" t="s">
        <v>1</v>
      </c>
      <c r="C1" s="3" t="s">
        <v>2</v>
      </c>
      <c r="D1" s="4" t="s">
        <v>3</v>
      </c>
      <c r="E1" s="4" t="s">
        <v>4</v>
      </c>
      <c r="F1" s="4" t="s">
        <v>5</v>
      </c>
      <c r="G1" s="4" t="s">
        <v>6</v>
      </c>
      <c r="H1" s="5" t="s">
        <v>7</v>
      </c>
      <c r="I1" s="5" t="s">
        <v>8</v>
      </c>
      <c r="J1" s="2" t="s">
        <v>9</v>
      </c>
      <c r="K1" s="4" t="s">
        <v>10</v>
      </c>
      <c r="L1" s="6" t="s">
        <v>11</v>
      </c>
      <c r="M1" s="6" t="s">
        <v>12</v>
      </c>
      <c r="N1" s="8" t="s">
        <v>13</v>
      </c>
      <c r="O1" s="27" t="s">
        <v>306</v>
      </c>
      <c r="P1" s="27" t="s">
        <v>307</v>
      </c>
      <c r="Q1" s="27" t="s">
        <v>308</v>
      </c>
      <c r="R1" s="27" t="s">
        <v>309</v>
      </c>
      <c r="S1" s="27" t="s">
        <v>310</v>
      </c>
      <c r="T1" s="27" t="s">
        <v>311</v>
      </c>
      <c r="U1" s="27" t="s">
        <v>312</v>
      </c>
      <c r="V1" s="27" t="s">
        <v>313</v>
      </c>
      <c r="W1" s="27" t="s">
        <v>312</v>
      </c>
      <c r="X1" s="27" t="s">
        <v>314</v>
      </c>
      <c r="Y1" s="27" t="s">
        <v>312</v>
      </c>
      <c r="Z1" s="27" t="s">
        <v>315</v>
      </c>
      <c r="AA1" s="27" t="s">
        <v>316</v>
      </c>
      <c r="AB1" s="27" t="s">
        <v>317</v>
      </c>
      <c r="AC1" s="27" t="s">
        <v>318</v>
      </c>
      <c r="AD1" s="27" t="s">
        <v>319</v>
      </c>
    </row>
    <row r="2" spans="1:30" ht="112.3" customHeight="1" x14ac:dyDescent="0.3">
      <c r="A2" s="1">
        <v>3269</v>
      </c>
      <c r="B2" s="9" t="s">
        <v>14</v>
      </c>
      <c r="C2" s="10" t="s">
        <v>15</v>
      </c>
      <c r="D2" s="10" t="s">
        <v>16</v>
      </c>
      <c r="E2" s="10" t="s">
        <v>17</v>
      </c>
      <c r="F2" s="10" t="s">
        <v>18</v>
      </c>
      <c r="G2" s="10" t="s">
        <v>19</v>
      </c>
      <c r="H2" s="11">
        <v>1450</v>
      </c>
      <c r="I2" s="11">
        <v>362.5</v>
      </c>
      <c r="J2" s="12" t="s">
        <v>20</v>
      </c>
      <c r="K2" s="10" t="s">
        <v>21</v>
      </c>
      <c r="L2" s="11"/>
      <c r="M2" s="10" t="s">
        <v>22</v>
      </c>
      <c r="N2" s="14" t="s">
        <v>23</v>
      </c>
      <c r="O2" s="26" t="e">
        <f>VLOOKUP(A2,'[1]08-06-26'!$A$2:$T$70,20,0)</f>
        <v>#N/A</v>
      </c>
      <c r="P2" s="26" t="e">
        <f>VLOOKUP(A2,'[1]15-06-26'!$A$2:$T$77,20,0)</f>
        <v>#N/A</v>
      </c>
      <c r="Q2" s="26" t="e">
        <f>VLOOKUP(A2,'[1]22-06-26'!$A$2:$T$70,20,0)</f>
        <v>#N/A</v>
      </c>
      <c r="R2" s="26" t="e">
        <f>VLOOKUP(A2,'[1]29-06-26'!$A$2:$T$71,20,0)</f>
        <v>#N/A</v>
      </c>
      <c r="S2" s="26" t="str">
        <f>VLOOKUP(A2,'[2]06-07-26'!$A$2:$T$88,20,0)</f>
        <v>Pur n P Car ( 14 Inch ) 16     FF Sachet + Grass</v>
      </c>
      <c r="T2" s="26" t="s">
        <v>333</v>
      </c>
      <c r="U2" s="26">
        <v>4</v>
      </c>
      <c r="V2" s="26"/>
      <c r="W2" s="26"/>
      <c r="X2" s="26"/>
      <c r="Y2" s="26"/>
      <c r="Z2" s="26" t="s">
        <v>337</v>
      </c>
      <c r="AA2" s="26"/>
      <c r="AB2" s="26"/>
      <c r="AC2" s="26"/>
      <c r="AD2" s="26"/>
    </row>
    <row r="3" spans="1:30" ht="112.3" customHeight="1" x14ac:dyDescent="0.3">
      <c r="A3" s="1">
        <v>2801</v>
      </c>
      <c r="B3" s="15" t="s">
        <v>24</v>
      </c>
      <c r="C3" s="1">
        <v>9810130319</v>
      </c>
      <c r="D3" s="1" t="s">
        <v>25</v>
      </c>
      <c r="E3" s="10" t="s">
        <v>17</v>
      </c>
      <c r="F3" s="10" t="s">
        <v>26</v>
      </c>
      <c r="G3" s="10" t="s">
        <v>19</v>
      </c>
      <c r="H3" s="11">
        <v>1600</v>
      </c>
      <c r="I3" s="11">
        <v>200</v>
      </c>
      <c r="J3" s="10" t="s">
        <v>27</v>
      </c>
      <c r="K3" s="10" t="s">
        <v>28</v>
      </c>
      <c r="L3" s="10" t="s">
        <v>29</v>
      </c>
      <c r="M3" s="10" t="s">
        <v>30</v>
      </c>
      <c r="N3" s="14" t="s">
        <v>23</v>
      </c>
      <c r="O3" s="26" t="e">
        <f>VLOOKUP(A3,'[1]08-06-26'!$A$2:$T$70,20,0)</f>
        <v>#N/A</v>
      </c>
      <c r="P3" s="26" t="e">
        <f>VLOOKUP(A3,'[1]15-06-26'!$A$2:$T$77,20,0)</f>
        <v>#N/A</v>
      </c>
      <c r="Q3" s="26" t="e">
        <f>VLOOKUP(A3,'[1]22-06-26'!$A$2:$T$70,20,0)</f>
        <v>#N/A</v>
      </c>
      <c r="R3" s="26" t="e">
        <f>VLOOKUP(A3,'[1]29-06-26'!$A$2:$T$71,20,0)</f>
        <v>#N/A</v>
      </c>
      <c r="S3" s="26" t="str">
        <f>VLOOKUP(A3,'[2]06-07-26'!$A$2:$T$88,20,0)</f>
        <v>Mix Alstroemeria ( 12 Inch ) 7     FF Sachet + Grass</v>
      </c>
      <c r="T3" s="26" t="s">
        <v>328</v>
      </c>
      <c r="U3" s="26">
        <v>7</v>
      </c>
      <c r="V3" s="26"/>
      <c r="W3" s="26"/>
      <c r="X3" s="26"/>
      <c r="Y3" s="26"/>
      <c r="Z3" s="26" t="s">
        <v>338</v>
      </c>
      <c r="AA3" s="26"/>
      <c r="AB3" s="26"/>
      <c r="AC3" s="26"/>
      <c r="AD3" s="26"/>
    </row>
    <row r="4" spans="1:30" ht="112.3" customHeight="1" x14ac:dyDescent="0.3">
      <c r="A4" s="1">
        <v>3050</v>
      </c>
      <c r="B4" s="16" t="s">
        <v>32</v>
      </c>
      <c r="C4" s="11">
        <v>8999727355</v>
      </c>
      <c r="D4" s="10" t="s">
        <v>33</v>
      </c>
      <c r="E4" s="10" t="s">
        <v>34</v>
      </c>
      <c r="F4" s="10" t="s">
        <v>18</v>
      </c>
      <c r="G4" s="17" t="s">
        <v>35</v>
      </c>
      <c r="H4" s="11">
        <v>1600</v>
      </c>
      <c r="I4" s="11">
        <v>200</v>
      </c>
      <c r="J4" s="10" t="s">
        <v>27</v>
      </c>
      <c r="K4" s="10" t="s">
        <v>36</v>
      </c>
      <c r="L4" s="11"/>
      <c r="M4" s="11"/>
      <c r="N4" s="14" t="s">
        <v>320</v>
      </c>
      <c r="O4" s="26" t="str">
        <f>VLOOKUP(A4,'[1]08-06-26'!$A$2:$T$70,20,0)</f>
        <v>P n W Glad ( 14 Inch ) 7     Grass</v>
      </c>
      <c r="P4" s="26" t="str">
        <f>VLOOKUP(A4,'[1]15-06-26'!$A$2:$T$77,20,0)</f>
        <v>Y Spray Daisy ( 14 Inch ) 2     FF sachet + Grass</v>
      </c>
      <c r="Q4" s="26" t="e">
        <f>VLOOKUP(A4,'[1]22-06-26'!$A$2:$T$70,20,0)</f>
        <v>#N/A</v>
      </c>
      <c r="R4" s="26" t="e">
        <f>VLOOKUP(A4,'[1]29-06-26'!$A$2:$T$71,20,0)</f>
        <v>#N/A</v>
      </c>
      <c r="S4" s="26" t="str">
        <f>VLOOKUP(A4,'[2]06-07-26'!$A$2:$T$88,20,0)</f>
        <v>Rajni ( 14 Inch ) 7     Grass</v>
      </c>
      <c r="T4" s="26" t="s">
        <v>329</v>
      </c>
      <c r="U4" s="26">
        <v>7</v>
      </c>
      <c r="V4" s="26"/>
      <c r="W4" s="26"/>
      <c r="X4" s="26"/>
      <c r="Y4" s="26"/>
      <c r="Z4" s="26" t="s">
        <v>337</v>
      </c>
      <c r="AA4" s="26"/>
      <c r="AB4" s="26"/>
      <c r="AC4" s="26"/>
      <c r="AD4" s="26"/>
    </row>
    <row r="5" spans="1:30" ht="112.3" customHeight="1" x14ac:dyDescent="0.3">
      <c r="A5" s="1">
        <v>3340</v>
      </c>
      <c r="B5" s="15" t="s">
        <v>37</v>
      </c>
      <c r="C5" s="11">
        <v>9910395905</v>
      </c>
      <c r="D5" s="10" t="s">
        <v>38</v>
      </c>
      <c r="E5" s="10" t="s">
        <v>34</v>
      </c>
      <c r="F5" s="10" t="s">
        <v>18</v>
      </c>
      <c r="G5" s="17" t="s">
        <v>35</v>
      </c>
      <c r="H5" s="11">
        <v>1450</v>
      </c>
      <c r="I5" s="11">
        <v>362.5</v>
      </c>
      <c r="J5" s="12" t="s">
        <v>20</v>
      </c>
      <c r="K5" s="10" t="s">
        <v>39</v>
      </c>
      <c r="L5" s="10" t="s">
        <v>40</v>
      </c>
      <c r="M5" s="11"/>
      <c r="N5" s="14" t="s">
        <v>23</v>
      </c>
      <c r="O5" s="26" t="str">
        <f>VLOOKUP(A5,'[1]08-06-26'!$A$2:$T$70,20,0)</f>
        <v>Mix Carnation  ( 12 Inch ) 16     FF Sachet + Grass</v>
      </c>
      <c r="P5" s="26" t="str">
        <f>VLOOKUP(A5,'[1]15-06-26'!$A$2:$T$77,20,0)</f>
        <v>R n W Car ( 14 Inch ) 16     FF Sachet + Grass</v>
      </c>
      <c r="Q5" s="26" t="e">
        <f>VLOOKUP(A5,'[1]22-06-26'!$A$2:$T$70,20,0)</f>
        <v>#N/A</v>
      </c>
      <c r="R5" s="26" t="e">
        <f>VLOOKUP(A5,'[1]29-06-26'!$A$2:$T$71,20,0)</f>
        <v>#N/A</v>
      </c>
      <c r="S5" s="26" t="str">
        <f>VLOOKUP(A5,'[2]06-07-26'!$A$2:$T$88,20,0)</f>
        <v>Sunflower ( 12 Inch ) 4     FF Sachet + Grass</v>
      </c>
      <c r="T5" s="26" t="s">
        <v>330</v>
      </c>
      <c r="U5" s="26">
        <v>3</v>
      </c>
      <c r="V5" s="26"/>
      <c r="W5" s="26"/>
      <c r="X5" s="26"/>
      <c r="Y5" s="26"/>
      <c r="Z5" s="26" t="s">
        <v>337</v>
      </c>
      <c r="AA5" s="26"/>
      <c r="AB5" s="26"/>
      <c r="AC5" s="26"/>
      <c r="AD5" s="26"/>
    </row>
    <row r="6" spans="1:30" ht="112.3" customHeight="1" x14ac:dyDescent="0.3">
      <c r="A6" s="1">
        <v>3293</v>
      </c>
      <c r="B6" s="15" t="s">
        <v>41</v>
      </c>
      <c r="C6" s="11">
        <v>9871533860</v>
      </c>
      <c r="D6" s="10" t="s">
        <v>42</v>
      </c>
      <c r="E6" s="10" t="s">
        <v>17</v>
      </c>
      <c r="F6" s="10" t="s">
        <v>18</v>
      </c>
      <c r="G6" s="10" t="s">
        <v>43</v>
      </c>
      <c r="H6" s="11">
        <v>1950</v>
      </c>
      <c r="I6" s="11">
        <v>487.5</v>
      </c>
      <c r="J6" s="13" t="s">
        <v>44</v>
      </c>
      <c r="K6" s="10" t="s">
        <v>45</v>
      </c>
      <c r="L6" s="11"/>
      <c r="M6" s="11"/>
      <c r="N6" s="14" t="s">
        <v>46</v>
      </c>
      <c r="O6" s="26" t="str">
        <f>VLOOKUP(A6,'[1]08-06-26'!$A$2:$T$70,20,0)</f>
        <v>Mix Spray Daisy 7     Grass</v>
      </c>
      <c r="P6" s="26" t="e">
        <f>VLOOKUP(A6,'[1]15-06-26'!$A$2:$T$77,20,0)</f>
        <v>#N/A</v>
      </c>
      <c r="Q6" s="26" t="e">
        <f>VLOOKUP(A6,'[1]22-06-26'!$A$2:$T$70,20,0)</f>
        <v>#N/A</v>
      </c>
      <c r="R6" s="26" t="str">
        <f>VLOOKUP(A6,'[1]29-06-26'!$A$2:$T$71,20,0)</f>
        <v>Eustoma 4     Grass</v>
      </c>
      <c r="S6" s="26" t="str">
        <f>VLOOKUP(A6,'[2]06-07-26'!$A$2:$T$88,20,0)</f>
        <v>Rajni ( 14 Inch ) 22     FF Sachet + Grass</v>
      </c>
      <c r="T6" s="26" t="s">
        <v>332</v>
      </c>
      <c r="U6" s="26">
        <v>4</v>
      </c>
      <c r="V6" s="26"/>
      <c r="W6" s="26"/>
      <c r="X6" s="26"/>
      <c r="Y6" s="26"/>
      <c r="Z6" s="26" t="s">
        <v>338</v>
      </c>
      <c r="AA6" s="26"/>
      <c r="AB6" s="26"/>
      <c r="AC6" s="26"/>
      <c r="AD6" s="26"/>
    </row>
    <row r="7" spans="1:30" ht="112.3" customHeight="1" x14ac:dyDescent="0.3">
      <c r="A7" s="1">
        <v>2239</v>
      </c>
      <c r="B7" s="15" t="s">
        <v>47</v>
      </c>
      <c r="C7" s="18">
        <v>9646541636</v>
      </c>
      <c r="D7" s="10" t="s">
        <v>48</v>
      </c>
      <c r="E7" s="10" t="s">
        <v>49</v>
      </c>
      <c r="F7" s="10" t="s">
        <v>18</v>
      </c>
      <c r="G7" s="17" t="s">
        <v>35</v>
      </c>
      <c r="H7" s="11">
        <v>999</v>
      </c>
      <c r="I7" s="11">
        <v>249.75</v>
      </c>
      <c r="J7" s="13" t="s">
        <v>50</v>
      </c>
      <c r="K7" s="10" t="s">
        <v>51</v>
      </c>
      <c r="L7" s="11"/>
      <c r="M7" s="11"/>
      <c r="N7" s="14" t="s">
        <v>23</v>
      </c>
      <c r="O7" s="26" t="str">
        <f>VLOOKUP(A7,'[1]08-06-26'!$A$2:$T$70,20,0)</f>
        <v>P n W Glad ( 14 Inch ) 9     Grass</v>
      </c>
      <c r="P7" s="26" t="str">
        <f>VLOOKUP(A7,'[1]15-06-26'!$A$2:$T$77,20,0)</f>
        <v>Pur n P Car ( 14 Inch ) 9     FF Sachet + Grass</v>
      </c>
      <c r="Q7" s="26" t="str">
        <f>VLOOKUP(A7,'[1]22-06-26'!$A$2:$T$70,20,0)</f>
        <v>B Daisy ( 12 Inch ) 9     Grass</v>
      </c>
      <c r="R7" s="26" t="e">
        <f>VLOOKUP(A7,'[1]29-06-26'!$A$2:$T$71,20,0)</f>
        <v>#N/A</v>
      </c>
      <c r="S7" s="26" t="str">
        <f>VLOOKUP(A7,'[2]06-07-26'!$A$2:$T$88,20,0)</f>
        <v>Rajni ( 14 Inch ) 9     Grass</v>
      </c>
      <c r="T7" s="26" t="s">
        <v>330</v>
      </c>
      <c r="U7" s="26">
        <v>2</v>
      </c>
      <c r="V7" s="26"/>
      <c r="W7" s="26"/>
      <c r="X7" s="26"/>
      <c r="Y7" s="26"/>
      <c r="Z7" s="26" t="s">
        <v>338</v>
      </c>
      <c r="AA7" s="26"/>
      <c r="AB7" s="26"/>
      <c r="AC7" s="26"/>
      <c r="AD7" s="26"/>
    </row>
    <row r="8" spans="1:30" ht="112.3" customHeight="1" x14ac:dyDescent="0.3">
      <c r="A8" s="1">
        <v>2863</v>
      </c>
      <c r="B8" s="15" t="s">
        <v>52</v>
      </c>
      <c r="C8" s="11">
        <v>9818557920</v>
      </c>
      <c r="D8" s="10" t="s">
        <v>53</v>
      </c>
      <c r="E8" s="10" t="s">
        <v>17</v>
      </c>
      <c r="F8" s="10" t="s">
        <v>18</v>
      </c>
      <c r="G8" s="19" t="s">
        <v>43</v>
      </c>
      <c r="H8" s="11">
        <v>1450</v>
      </c>
      <c r="I8" s="11">
        <v>362.5</v>
      </c>
      <c r="J8" s="13" t="s">
        <v>20</v>
      </c>
      <c r="K8" s="10" t="s">
        <v>54</v>
      </c>
      <c r="L8" s="11"/>
      <c r="M8" s="11"/>
      <c r="N8" s="14" t="s">
        <v>55</v>
      </c>
      <c r="O8" s="26" t="str">
        <f>VLOOKUP(A8,'[1]08-06-26'!$A$2:$T$70,20,0)</f>
        <v>P n W Glad ( 14 Inch ) 16     Grass</v>
      </c>
      <c r="P8" s="26" t="e">
        <f>VLOOKUP(A8,'[1]15-06-26'!$A$2:$T$77,20,0)</f>
        <v>#N/A</v>
      </c>
      <c r="Q8" s="26" t="e">
        <f>VLOOKUP(A8,'[1]22-06-26'!$A$2:$T$70,20,0)</f>
        <v>#N/A</v>
      </c>
      <c r="R8" s="26" t="e">
        <f>VLOOKUP(A8,'[1]29-06-26'!$A$2:$T$71,20,0)</f>
        <v>#N/A</v>
      </c>
      <c r="S8" s="26" t="str">
        <f>VLOOKUP(A8,'[2]06-07-26'!$A$2:$T$88,20,0)</f>
        <v>B Daisy 16     FF Sachet + Grass</v>
      </c>
      <c r="T8" s="26" t="s">
        <v>334</v>
      </c>
      <c r="U8" s="26">
        <v>16</v>
      </c>
      <c r="V8" s="26"/>
      <c r="W8" s="26"/>
      <c r="X8" s="26"/>
      <c r="Y8" s="26"/>
      <c r="Z8" s="26" t="s">
        <v>337</v>
      </c>
      <c r="AA8" s="26"/>
      <c r="AB8" s="26"/>
      <c r="AC8" s="26"/>
      <c r="AD8" s="26"/>
    </row>
    <row r="9" spans="1:30" ht="112.3" customHeight="1" x14ac:dyDescent="0.3">
      <c r="A9" s="1">
        <v>3368</v>
      </c>
      <c r="B9" s="20" t="s">
        <v>56</v>
      </c>
      <c r="C9" s="15">
        <v>9971681194</v>
      </c>
      <c r="D9" s="10" t="s">
        <v>57</v>
      </c>
      <c r="E9" s="10" t="s">
        <v>58</v>
      </c>
      <c r="F9" s="13" t="s">
        <v>18</v>
      </c>
      <c r="G9" s="17" t="s">
        <v>35</v>
      </c>
      <c r="H9" s="11">
        <v>2300</v>
      </c>
      <c r="I9" s="11">
        <v>287.5</v>
      </c>
      <c r="J9" s="13" t="s">
        <v>59</v>
      </c>
      <c r="K9" s="10" t="s">
        <v>60</v>
      </c>
      <c r="L9" s="11"/>
      <c r="M9" s="11"/>
      <c r="N9" s="14" t="s">
        <v>321</v>
      </c>
      <c r="O9" s="26" t="str">
        <f>VLOOKUP(A9,'[1]08-06-26'!$A$2:$T$70,20,0)</f>
        <v>Pur n P Car ( 14 Inch ) 11     FF Sachet + Grass</v>
      </c>
      <c r="P9" s="26" t="str">
        <f>VLOOKUP(A9,'[1]15-06-26'!$A$2:$T$77,20,0)</f>
        <v>P n W Glad ( 14 Inch ) 11     Grass</v>
      </c>
      <c r="Q9" s="26" t="str">
        <f>VLOOKUP(A9,'[1]22-06-26'!$A$2:$T$70,20,0)</f>
        <v>Rajni ( 14 Inch ) 11     Grass</v>
      </c>
      <c r="R9" s="26" t="str">
        <f>VLOOKUP(A9,'[1]29-06-26'!$A$2:$T$71,20,0)</f>
        <v>Y Spray Daisy ( 14 Inch ) 3     FF Sachet + Grass</v>
      </c>
      <c r="S9" s="26" t="str">
        <f>VLOOKUP(A9,'[2]06-07-26'!$A$2:$T$88,20,0)</f>
        <v>R n W Car ( 14 Inch ) 11     FF Sachet + Grass</v>
      </c>
      <c r="T9" s="26" t="s">
        <v>330</v>
      </c>
      <c r="U9" s="26">
        <v>2</v>
      </c>
      <c r="V9" s="26"/>
      <c r="W9" s="26"/>
      <c r="X9" s="26"/>
      <c r="Y9" s="26"/>
      <c r="Z9" s="26" t="s">
        <v>338</v>
      </c>
      <c r="AA9" s="26"/>
      <c r="AB9" s="26"/>
      <c r="AC9" s="26"/>
      <c r="AD9" s="26"/>
    </row>
    <row r="10" spans="1:30" ht="112.3" customHeight="1" x14ac:dyDescent="0.3">
      <c r="A10" s="1">
        <v>1112</v>
      </c>
      <c r="B10" s="20" t="s">
        <v>61</v>
      </c>
      <c r="C10" s="11">
        <v>9910689598</v>
      </c>
      <c r="D10" s="10" t="s">
        <v>62</v>
      </c>
      <c r="E10" s="10" t="s">
        <v>34</v>
      </c>
      <c r="F10" s="10" t="s">
        <v>18</v>
      </c>
      <c r="G10" s="10" t="s">
        <v>19</v>
      </c>
      <c r="H10" s="11">
        <v>1450</v>
      </c>
      <c r="I10" s="11">
        <v>362.5</v>
      </c>
      <c r="J10" s="13" t="s">
        <v>20</v>
      </c>
      <c r="K10" s="10" t="s">
        <v>63</v>
      </c>
      <c r="L10" s="10" t="s">
        <v>64</v>
      </c>
      <c r="M10" s="10" t="s">
        <v>65</v>
      </c>
      <c r="N10" s="14" t="s">
        <v>46</v>
      </c>
      <c r="O10" s="26" t="str">
        <f>VLOOKUP(A10,'[1]08-06-26'!$A$2:$T$70,20,0)</f>
        <v>P n W Glad ( 14 Inch ) 9     Grass</v>
      </c>
      <c r="P10" s="26" t="str">
        <f>VLOOKUP(A10,'[1]15-06-26'!$A$2:$T$77,20,0)</f>
        <v>Pur n P Car ( 14 Inch ) 9     FF Sachet + Grass</v>
      </c>
      <c r="Q10" s="26" t="e">
        <f>VLOOKUP(A10,'[1]22-06-26'!$A$2:$T$70,20,0)</f>
        <v>#N/A</v>
      </c>
      <c r="R10" s="26" t="str">
        <f>VLOOKUP(A10,'[1]29-06-26'!$A$2:$T$71,20,0)</f>
        <v>O Asiatic ( 14 Inch ) 3     Grass</v>
      </c>
      <c r="S10" s="26" t="str">
        <f>VLOOKUP(A10,'[2]06-07-26'!$A$2:$T$88,20,0)</f>
        <v>Rajni ( 14 Inch ) 16     Grass</v>
      </c>
      <c r="T10" s="26" t="s">
        <v>333</v>
      </c>
      <c r="U10" s="26">
        <v>4</v>
      </c>
      <c r="V10" s="26"/>
      <c r="W10" s="26"/>
      <c r="X10" s="26"/>
      <c r="Y10" s="26"/>
      <c r="Z10" s="26" t="s">
        <v>337</v>
      </c>
      <c r="AA10" s="26"/>
      <c r="AB10" s="26"/>
      <c r="AC10" s="26"/>
      <c r="AD10" s="26"/>
    </row>
    <row r="11" spans="1:30" ht="112.3" customHeight="1" x14ac:dyDescent="0.3">
      <c r="A11" s="1">
        <v>2648</v>
      </c>
      <c r="B11" s="15" t="s">
        <v>66</v>
      </c>
      <c r="C11" s="11">
        <v>9971590453</v>
      </c>
      <c r="D11" s="10" t="s">
        <v>67</v>
      </c>
      <c r="E11" s="10" t="s">
        <v>17</v>
      </c>
      <c r="F11" s="10" t="s">
        <v>18</v>
      </c>
      <c r="G11" s="10" t="s">
        <v>19</v>
      </c>
      <c r="H11" s="11">
        <v>1450</v>
      </c>
      <c r="I11" s="11">
        <v>362.5</v>
      </c>
      <c r="J11" s="13" t="s">
        <v>20</v>
      </c>
      <c r="K11" s="10" t="s">
        <v>68</v>
      </c>
      <c r="L11" s="11"/>
      <c r="M11" s="11"/>
      <c r="N11" s="14" t="s">
        <v>46</v>
      </c>
      <c r="O11" s="26" t="str">
        <f>VLOOKUP(A11,'[1]08-06-26'!$A$2:$T$70,20,0)</f>
        <v>Mix Alstroemeria ( 12 Inch ) 9     FF Sachet + Grass</v>
      </c>
      <c r="P11" s="26" t="str">
        <f>VLOOKUP(A11,'[1]15-06-26'!$A$2:$T$77,20,0)</f>
        <v>Y Spray Daisy ( 14 Inch ) 3     FF Sachet + Grass</v>
      </c>
      <c r="Q11" s="26" t="str">
        <f>VLOOKUP(A11,'[1]22-06-26'!$A$2:$T$70,20,0)</f>
        <v>P n W Glad ( 14 Inch ) 16     FF Sachet + Grass</v>
      </c>
      <c r="R11" s="26" t="e">
        <f>VLOOKUP(A11,'[1]29-06-26'!$A$2:$T$71,20,0)</f>
        <v>#N/A</v>
      </c>
      <c r="S11" s="26" t="str">
        <f>VLOOKUP(A11,'[2]06-07-26'!$A$2:$T$88,20,0)</f>
        <v>Sunflower ( 12 Inch ) 4     FF Sachet + Grass</v>
      </c>
      <c r="T11" s="26" t="s">
        <v>334</v>
      </c>
      <c r="U11" s="26">
        <v>16</v>
      </c>
      <c r="V11" s="26"/>
      <c r="W11" s="26"/>
      <c r="X11" s="26"/>
      <c r="Y11" s="26"/>
      <c r="Z11" s="26" t="s">
        <v>337</v>
      </c>
      <c r="AA11" s="26"/>
      <c r="AB11" s="26"/>
      <c r="AC11" s="26"/>
      <c r="AD11" s="26"/>
    </row>
    <row r="12" spans="1:30" ht="112.3" customHeight="1" x14ac:dyDescent="0.3">
      <c r="A12" s="1">
        <v>1914</v>
      </c>
      <c r="B12" s="15" t="s">
        <v>69</v>
      </c>
      <c r="C12" s="11">
        <v>7011107486</v>
      </c>
      <c r="D12" s="10" t="s">
        <v>70</v>
      </c>
      <c r="E12" s="10" t="s">
        <v>17</v>
      </c>
      <c r="F12" s="10" t="s">
        <v>26</v>
      </c>
      <c r="G12" s="17" t="s">
        <v>35</v>
      </c>
      <c r="H12" s="11">
        <v>3000</v>
      </c>
      <c r="I12" s="11">
        <v>375</v>
      </c>
      <c r="J12" s="12" t="s">
        <v>71</v>
      </c>
      <c r="K12" s="10" t="s">
        <v>72</v>
      </c>
      <c r="L12" s="10" t="s">
        <v>73</v>
      </c>
      <c r="M12" s="11"/>
      <c r="N12" s="14" t="s">
        <v>322</v>
      </c>
      <c r="O12" s="26" t="str">
        <f>VLOOKUP(A12,'[1]08-06-26'!$A$2:$T$70,20,0)</f>
        <v>BOP ( 14 Inch ) 3     FF Sachet + Grass</v>
      </c>
      <c r="P12" s="26" t="str">
        <f>VLOOKUP(A12,'[1]15-06-26'!$A$2:$T$77,20,0)</f>
        <v>P Oriental ( 15 Inch ) 2     Grass</v>
      </c>
      <c r="Q12" s="26" t="e">
        <f>VLOOKUP(A12,'[1]22-06-26'!$A$2:$T$70,20,0)</f>
        <v>#N/A</v>
      </c>
      <c r="R12" s="26" t="e">
        <f>VLOOKUP(A12,'[1]29-06-26'!$A$2:$T$71,20,0)</f>
        <v>#N/A</v>
      </c>
      <c r="S12" s="26" t="str">
        <f>VLOOKUP(A12,'[2]06-07-26'!$A$2:$T$88,20,0)</f>
        <v>B Daisy 15     Grass</v>
      </c>
      <c r="T12" s="26" t="s">
        <v>331</v>
      </c>
      <c r="U12" s="26">
        <v>15</v>
      </c>
      <c r="V12" s="26"/>
      <c r="W12" s="26"/>
      <c r="X12" s="26"/>
      <c r="Y12" s="26"/>
      <c r="Z12" s="26" t="s">
        <v>338</v>
      </c>
      <c r="AA12" s="26"/>
      <c r="AB12" s="26"/>
      <c r="AC12" s="26"/>
      <c r="AD12" s="26"/>
    </row>
    <row r="13" spans="1:30" ht="112.3" customHeight="1" x14ac:dyDescent="0.3">
      <c r="A13" s="1">
        <v>2083</v>
      </c>
      <c r="B13" s="20" t="s">
        <v>74</v>
      </c>
      <c r="C13" s="11">
        <v>9810570666</v>
      </c>
      <c r="D13" s="10" t="s">
        <v>75</v>
      </c>
      <c r="E13" s="10" t="s">
        <v>17</v>
      </c>
      <c r="F13" s="10" t="s">
        <v>26</v>
      </c>
      <c r="G13" s="17" t="s">
        <v>35</v>
      </c>
      <c r="H13" s="11">
        <v>2300</v>
      </c>
      <c r="I13" s="11">
        <v>287.5</v>
      </c>
      <c r="J13" s="10" t="s">
        <v>59</v>
      </c>
      <c r="K13" s="10" t="s">
        <v>76</v>
      </c>
      <c r="L13" s="10" t="s">
        <v>77</v>
      </c>
      <c r="M13" s="10" t="s">
        <v>78</v>
      </c>
      <c r="N13" s="14" t="s">
        <v>323</v>
      </c>
      <c r="O13" s="26" t="e">
        <f>VLOOKUP(A13,'[1]08-06-26'!$A$2:$T$70,20,0)</f>
        <v>#N/A</v>
      </c>
      <c r="P13" s="26" t="e">
        <f>VLOOKUP(A13,'[1]15-06-26'!$A$2:$T$77,20,0)</f>
        <v>#N/A</v>
      </c>
      <c r="Q13" s="26" t="str">
        <f>VLOOKUP(A13,'[1]22-06-26'!$A$2:$T$70,20,0)</f>
        <v>B Daisy ( 12 Inch ) 11     Grass</v>
      </c>
      <c r="R13" s="26" t="str">
        <f>VLOOKUP(A13,'[1]29-06-26'!$A$2:$T$71,20,0)</f>
        <v>Rajni ( 14 Inch ) 11     Grass</v>
      </c>
      <c r="S13" s="26" t="str">
        <f>VLOOKUP(A13,'[2]06-07-26'!$A$2:$T$88,20,0)</f>
        <v>R n W Car ( 14 Inch ) 11     FF Sachet + Grass</v>
      </c>
      <c r="T13" s="26" t="s">
        <v>329</v>
      </c>
      <c r="U13" s="26">
        <v>11</v>
      </c>
      <c r="V13" s="26"/>
      <c r="W13" s="26"/>
      <c r="X13" s="26"/>
      <c r="Y13" s="26"/>
      <c r="Z13" s="26" t="s">
        <v>337</v>
      </c>
      <c r="AA13" s="26"/>
      <c r="AB13" s="26"/>
      <c r="AC13" s="26"/>
      <c r="AD13" s="26"/>
    </row>
    <row r="14" spans="1:30" ht="112.3" customHeight="1" x14ac:dyDescent="0.3">
      <c r="A14" s="1">
        <v>3280</v>
      </c>
      <c r="B14" s="15" t="s">
        <v>79</v>
      </c>
      <c r="C14" s="11">
        <v>9717283344</v>
      </c>
      <c r="D14" s="10" t="s">
        <v>80</v>
      </c>
      <c r="E14" s="10" t="s">
        <v>17</v>
      </c>
      <c r="F14" s="10" t="s">
        <v>18</v>
      </c>
      <c r="G14" s="17" t="s">
        <v>35</v>
      </c>
      <c r="H14" s="11">
        <v>1450</v>
      </c>
      <c r="I14" s="11">
        <v>362.5</v>
      </c>
      <c r="J14" s="13" t="s">
        <v>20</v>
      </c>
      <c r="K14" s="10" t="s">
        <v>81</v>
      </c>
      <c r="L14" s="11"/>
      <c r="M14" s="10" t="s">
        <v>82</v>
      </c>
      <c r="N14" s="14" t="s">
        <v>23</v>
      </c>
      <c r="O14" s="26" t="e">
        <f>VLOOKUP(A14,'[1]08-06-26'!$A$2:$T$70,20,0)</f>
        <v>#N/A</v>
      </c>
      <c r="P14" s="26" t="e">
        <f>VLOOKUP(A14,'[1]15-06-26'!$A$2:$T$77,20,0)</f>
        <v>#N/A</v>
      </c>
      <c r="Q14" s="26" t="e">
        <f>VLOOKUP(A14,'[1]22-06-26'!$A$2:$T$70,20,0)</f>
        <v>#N/A</v>
      </c>
      <c r="R14" s="26" t="e">
        <f>VLOOKUP(A14,'[1]29-06-26'!$A$2:$T$71,20,0)</f>
        <v>#N/A</v>
      </c>
      <c r="S14" s="26" t="str">
        <f>VLOOKUP(A14,'[2]06-07-26'!$A$2:$T$88,20,0)</f>
        <v>R n W Car ( 14 Inch ) 16     FF Sachet + Grass</v>
      </c>
      <c r="T14" s="26" t="s">
        <v>332</v>
      </c>
      <c r="U14" s="26">
        <v>3</v>
      </c>
      <c r="V14" s="26"/>
      <c r="W14" s="26"/>
      <c r="X14" s="26"/>
      <c r="Y14" s="26"/>
      <c r="Z14" s="26" t="s">
        <v>338</v>
      </c>
      <c r="AA14" s="26"/>
      <c r="AB14" s="26"/>
      <c r="AC14" s="26"/>
      <c r="AD14" s="26"/>
    </row>
    <row r="15" spans="1:30" ht="112.3" customHeight="1" x14ac:dyDescent="0.3">
      <c r="A15" s="1">
        <v>2404</v>
      </c>
      <c r="B15" s="15" t="s">
        <v>83</v>
      </c>
      <c r="C15" s="11">
        <v>9810444444</v>
      </c>
      <c r="D15" s="10" t="s">
        <v>84</v>
      </c>
      <c r="E15" s="10" t="s">
        <v>58</v>
      </c>
      <c r="F15" s="13" t="s">
        <v>26</v>
      </c>
      <c r="G15" s="17" t="s">
        <v>35</v>
      </c>
      <c r="H15" s="11">
        <v>6350</v>
      </c>
      <c r="I15" s="11">
        <v>793.75</v>
      </c>
      <c r="J15" s="10" t="s">
        <v>85</v>
      </c>
      <c r="K15" s="10" t="s">
        <v>86</v>
      </c>
      <c r="L15" s="10"/>
      <c r="M15" s="10" t="s">
        <v>87</v>
      </c>
      <c r="N15" s="14" t="s">
        <v>324</v>
      </c>
      <c r="O15" s="26" t="str">
        <f>VLOOKUP(A15,'[1]08-06-26'!$A$2:$T$70,20,0)</f>
        <v>P Asiatic ( 14 Inch ) 3 Pur n P Eustoma ( 12 Inch) 4 P n W Glad ( 14 Inch ) 12 FF Sachet + Grass</v>
      </c>
      <c r="P15" s="26" t="str">
        <f>VLOOKUP(A15,'[1]15-06-26'!$A$2:$T$77,20,0)</f>
        <v>W Asiatic + Sunflower 3+3 G n Y Spray Daisy ( 14 Inch ) 4 Rajni ( 14 Inch ) 12 FF sachet + Grass</v>
      </c>
      <c r="Q15" s="26" t="str">
        <f>VLOOKUP(A15,'[1]22-06-26'!$A$2:$T$70,20,0)</f>
        <v xml:space="preserve">Y Asiatic ( 14 Inch ) 3 Mix Anthurium  3 P n W Car ( 12 Inch ) 12 </v>
      </c>
      <c r="R15" s="26" t="str">
        <f>VLOOKUP(A15,'[1]29-06-26'!$A$2:$T$71,20,0)</f>
        <v>O Asiatic ( 14 Inch ) 3 Sunflower ( 12 Inch ) 4 P n W Glad ( 14 Inch ) 12 3 Gypsola</v>
      </c>
      <c r="S15" s="26" t="str">
        <f>VLOOKUP(A15,'[2]06-07-26'!$A$2:$T$88,20,0)</f>
        <v>Y Asiatic ( 14 Inch ) 3 Eustoma 4 Rajni ( 14 Inch ) 12 Areca palm + Grass</v>
      </c>
      <c r="T15" s="26" t="s">
        <v>332</v>
      </c>
      <c r="U15" s="26">
        <v>3</v>
      </c>
      <c r="V15" s="26" t="s">
        <v>333</v>
      </c>
      <c r="W15" s="26">
        <v>4</v>
      </c>
      <c r="X15" s="26" t="s">
        <v>329</v>
      </c>
      <c r="Y15" s="26">
        <v>12</v>
      </c>
      <c r="Z15" s="26" t="s">
        <v>338</v>
      </c>
      <c r="AA15" s="26"/>
      <c r="AB15" s="26"/>
      <c r="AC15" s="26"/>
      <c r="AD15" s="26"/>
    </row>
    <row r="16" spans="1:30" ht="112.3" customHeight="1" x14ac:dyDescent="0.3">
      <c r="A16" s="1">
        <v>3299</v>
      </c>
      <c r="B16" s="15" t="s">
        <v>89</v>
      </c>
      <c r="C16" s="10" t="s">
        <v>90</v>
      </c>
      <c r="D16" s="10" t="s">
        <v>91</v>
      </c>
      <c r="E16" s="10" t="s">
        <v>17</v>
      </c>
      <c r="F16" s="10" t="s">
        <v>18</v>
      </c>
      <c r="G16" s="10" t="s">
        <v>92</v>
      </c>
      <c r="H16" s="11">
        <v>3400</v>
      </c>
      <c r="I16" s="11">
        <v>850</v>
      </c>
      <c r="J16" s="10" t="s">
        <v>93</v>
      </c>
      <c r="K16" s="11"/>
      <c r="L16" s="11"/>
      <c r="M16" s="11"/>
      <c r="N16" s="14" t="s">
        <v>88</v>
      </c>
      <c r="O16" s="26" t="str">
        <f>VLOOKUP(A16,'[1]08-06-26'!$A$2:$T$70,20,0)</f>
        <v xml:space="preserve">Arrangement  1     </v>
      </c>
      <c r="P16" s="26" t="str">
        <f>VLOOKUP(A16,'[1]15-06-26'!$A$2:$T$77,20,0)</f>
        <v xml:space="preserve">Arrangement 1 18 Inch    </v>
      </c>
      <c r="Q16" s="26" t="str">
        <f>VLOOKUP(A16,'[1]22-06-26'!$A$2:$T$70,20,0)</f>
        <v xml:space="preserve">Arrangement ( 18 Inch ) 1     </v>
      </c>
      <c r="R16" s="26" t="str">
        <f>VLOOKUP(A16,'[1]29-06-26'!$A$2:$T$71,20,0)</f>
        <v xml:space="preserve">Arrangement 1     </v>
      </c>
      <c r="S16" s="26" t="str">
        <f>VLOOKUP(A16,'[2]06-07-26'!$A$2:$T$88,20,0)</f>
        <v xml:space="preserve">Arrangement 1     </v>
      </c>
      <c r="T16" s="26" t="s">
        <v>351</v>
      </c>
      <c r="U16" s="26">
        <v>1</v>
      </c>
      <c r="V16" s="26"/>
      <c r="W16" s="26"/>
      <c r="X16" s="26"/>
      <c r="Y16" s="26"/>
      <c r="Z16" s="26"/>
      <c r="AA16" s="26"/>
      <c r="AB16" s="26"/>
      <c r="AC16" s="26"/>
      <c r="AD16" s="26"/>
    </row>
    <row r="17" spans="1:30" ht="112.3" customHeight="1" x14ac:dyDescent="0.3">
      <c r="A17" s="1">
        <v>3374</v>
      </c>
      <c r="B17" s="15" t="s">
        <v>94</v>
      </c>
      <c r="C17" s="11">
        <v>9971005977</v>
      </c>
      <c r="D17" s="10" t="s">
        <v>95</v>
      </c>
      <c r="E17" s="10" t="s">
        <v>58</v>
      </c>
      <c r="F17" s="10" t="s">
        <v>18</v>
      </c>
      <c r="G17" s="10" t="s">
        <v>19</v>
      </c>
      <c r="H17" s="11">
        <v>1450</v>
      </c>
      <c r="I17" s="11">
        <v>362.5</v>
      </c>
      <c r="J17" s="13" t="s">
        <v>20</v>
      </c>
      <c r="K17" s="10" t="s">
        <v>96</v>
      </c>
      <c r="L17" s="11"/>
      <c r="M17" s="11"/>
      <c r="N17" s="14" t="s">
        <v>23</v>
      </c>
      <c r="O17" s="26" t="str">
        <f>VLOOKUP(A17,'[1]08-06-26'!$A$2:$T$70,20,0)</f>
        <v>P n W Glad ( 14 Inch ) 16     Grass</v>
      </c>
      <c r="P17" s="26" t="str">
        <f>VLOOKUP(A17,'[1]15-06-26'!$A$2:$T$77,20,0)</f>
        <v>P n W Spray Daisy ( 14 Inch ) 5     FF Sachet + Grass</v>
      </c>
      <c r="Q17" s="26" t="str">
        <f>VLOOKUP(A17,'[1]22-06-26'!$A$2:$T$70,20,0)</f>
        <v>Rajni ( 14 Inch ) 16     Grass</v>
      </c>
      <c r="R17" s="26" t="str">
        <f>VLOOKUP(A17,'[1]29-06-26'!$A$2:$T$71,20,0)</f>
        <v>Pur n P Car ( 14 Inch ) 16     FF Sachet + Grass</v>
      </c>
      <c r="S17" s="26" t="str">
        <f>VLOOKUP(A17,'[2]06-07-26'!$A$2:$T$88,20,0)</f>
        <v>Sunflower ( 12 Inch ) 4     FF Sachet + Grass</v>
      </c>
      <c r="T17" s="26" t="s">
        <v>330</v>
      </c>
      <c r="U17" s="26">
        <v>3</v>
      </c>
      <c r="V17" s="26"/>
      <c r="W17" s="26"/>
      <c r="X17" s="26"/>
      <c r="Y17" s="26"/>
      <c r="Z17" s="26" t="s">
        <v>338</v>
      </c>
      <c r="AA17" s="26"/>
      <c r="AB17" s="26"/>
      <c r="AC17" s="26"/>
      <c r="AD17" s="26"/>
    </row>
    <row r="18" spans="1:30" ht="112.3" customHeight="1" x14ac:dyDescent="0.3">
      <c r="A18" s="1">
        <v>2619</v>
      </c>
      <c r="B18" s="9" t="s">
        <v>97</v>
      </c>
      <c r="C18" s="11">
        <v>8297925970</v>
      </c>
      <c r="D18" s="10" t="s">
        <v>98</v>
      </c>
      <c r="E18" s="10" t="s">
        <v>99</v>
      </c>
      <c r="F18" s="10" t="s">
        <v>18</v>
      </c>
      <c r="G18" s="17" t="s">
        <v>35</v>
      </c>
      <c r="H18" s="11">
        <v>2750</v>
      </c>
      <c r="I18" s="11">
        <v>687.5</v>
      </c>
      <c r="J18" s="13" t="s">
        <v>100</v>
      </c>
      <c r="K18" s="10" t="s">
        <v>101</v>
      </c>
      <c r="L18" s="10" t="s">
        <v>102</v>
      </c>
      <c r="M18" s="10" t="s">
        <v>103</v>
      </c>
      <c r="N18" s="14" t="s">
        <v>23</v>
      </c>
      <c r="O18" s="26" t="e">
        <f>VLOOKUP(A18,'[1]08-06-26'!$A$2:$T$70,20,0)</f>
        <v>#N/A</v>
      </c>
      <c r="P18" s="26" t="str">
        <f>VLOOKUP(A18,'[1]15-06-26'!$A$2:$T$77,20,0)</f>
        <v>Pur n P Car ( 14 Inch ) 16     FF Sachet + Grass</v>
      </c>
      <c r="Q18" s="26" t="str">
        <f>VLOOKUP(A18,'[1]22-06-26'!$A$2:$T$70,20,0)</f>
        <v>Pur n P Car ) 14 Imch) 32     2 Gypsola + ff Sachet</v>
      </c>
      <c r="R18" s="26" t="str">
        <f>VLOOKUP(A18,'[1]29-06-26'!$A$2:$T$71,20,0)</f>
        <v>Pur n P Eustoma ( 12 Inch ) 6     2 Limonium + FF Sachet</v>
      </c>
      <c r="S18" s="26" t="str">
        <f>VLOOKUP(A18,'[2]06-07-26'!$A$2:$T$88,20,0)</f>
        <v>Rajni ( 14 Inch ) 32     2 Limonium</v>
      </c>
      <c r="T18" s="26" t="s">
        <v>330</v>
      </c>
      <c r="U18" s="26">
        <v>6</v>
      </c>
      <c r="V18" s="26"/>
      <c r="W18" s="26"/>
      <c r="X18" s="26"/>
      <c r="Y18" s="26"/>
      <c r="Z18" s="26" t="s">
        <v>348</v>
      </c>
      <c r="AA18" s="26"/>
      <c r="AB18" s="26"/>
      <c r="AC18" s="26"/>
      <c r="AD18" s="26"/>
    </row>
    <row r="19" spans="1:30" ht="112.3" customHeight="1" x14ac:dyDescent="0.3">
      <c r="A19" s="1">
        <v>950</v>
      </c>
      <c r="B19" s="15" t="s">
        <v>104</v>
      </c>
      <c r="C19" s="1">
        <v>9911818025</v>
      </c>
      <c r="D19" s="13" t="s">
        <v>105</v>
      </c>
      <c r="E19" s="13" t="s">
        <v>49</v>
      </c>
      <c r="F19" s="13" t="s">
        <v>18</v>
      </c>
      <c r="G19" s="17" t="s">
        <v>35</v>
      </c>
      <c r="H19" s="11">
        <v>2750</v>
      </c>
      <c r="I19" s="11">
        <v>687.5</v>
      </c>
      <c r="J19" s="13" t="s">
        <v>93</v>
      </c>
      <c r="K19" s="10" t="s">
        <v>106</v>
      </c>
      <c r="L19" s="11"/>
      <c r="M19" s="11"/>
      <c r="N19" s="14" t="s">
        <v>88</v>
      </c>
      <c r="O19" s="26" t="str">
        <f>VLOOKUP(A19,'[1]08-06-26'!$A$2:$T$70,20,0)</f>
        <v>Sunflower ( 12 Inch ) 7     Grass</v>
      </c>
      <c r="P19" s="26" t="str">
        <f>VLOOKUP(A19,'[1]15-06-26'!$A$2:$T$77,20,0)</f>
        <v>P n W Glad ( 14 Inch ) 32     Grass</v>
      </c>
      <c r="Q19" s="26" t="str">
        <f>VLOOKUP(A19,'[1]22-06-26'!$A$2:$T$70,20,0)</f>
        <v>Pur n W Eustoma ( 12 Inch) 6     Grass</v>
      </c>
      <c r="R19" s="26" t="str">
        <f>VLOOKUP(A19,'[1]29-06-26'!$A$2:$T$71,20,0)</f>
        <v>Pur n P Car ( 14 Inch ) 32     FF Sachet + Grass</v>
      </c>
      <c r="S19" s="26" t="str">
        <f>VLOOKUP(A19,'[2]06-07-26'!$A$2:$T$88,20,0)</f>
        <v>Rajni ( 14 Inch ) 32     2 Limonium</v>
      </c>
      <c r="T19" s="26" t="s">
        <v>332</v>
      </c>
      <c r="U19" s="26">
        <v>6</v>
      </c>
      <c r="V19" s="26"/>
      <c r="W19" s="26"/>
      <c r="X19" s="26"/>
      <c r="Y19" s="26"/>
      <c r="Z19" s="26" t="s">
        <v>348</v>
      </c>
      <c r="AA19" s="26"/>
      <c r="AB19" s="26"/>
      <c r="AC19" s="26"/>
      <c r="AD19" s="26"/>
    </row>
    <row r="20" spans="1:30" ht="112.3" customHeight="1" x14ac:dyDescent="0.3">
      <c r="A20" s="1">
        <v>435</v>
      </c>
      <c r="B20" s="15" t="s">
        <v>107</v>
      </c>
      <c r="C20" s="1">
        <v>9911818025</v>
      </c>
      <c r="D20" s="13" t="s">
        <v>108</v>
      </c>
      <c r="E20" s="10" t="s">
        <v>34</v>
      </c>
      <c r="F20" s="13" t="s">
        <v>18</v>
      </c>
      <c r="G20" s="21" t="s">
        <v>109</v>
      </c>
      <c r="H20" s="11">
        <v>1450</v>
      </c>
      <c r="I20" s="11">
        <v>362.5</v>
      </c>
      <c r="J20" s="13" t="s">
        <v>93</v>
      </c>
      <c r="K20" s="13" t="s">
        <v>110</v>
      </c>
      <c r="L20" s="11"/>
      <c r="M20" s="11"/>
      <c r="N20" s="14" t="s">
        <v>88</v>
      </c>
      <c r="O20" s="26" t="str">
        <f>VLOOKUP(A20,'[1]08-06-26'!$A$2:$T$70,20,0)</f>
        <v>Sunflower ( 12 Inch ) 4     Grass</v>
      </c>
      <c r="P20" s="26" t="str">
        <f>VLOOKUP(A20,'[1]15-06-26'!$A$2:$T$77,20,0)</f>
        <v>P n W Glad ( 14 Inch ) 16     Grass</v>
      </c>
      <c r="Q20" s="26" t="str">
        <f>VLOOKUP(A20,'[1]22-06-26'!$A$2:$T$70,20,0)</f>
        <v>Pur Eustom ( 12 Inch ) 3     FF Sachet + Grass</v>
      </c>
      <c r="R20" s="26" t="str">
        <f>VLOOKUP(A20,'[1]29-06-26'!$A$2:$T$71,20,0)</f>
        <v>Pur n P Car ( 14 Inch ) 16     FF Sachet + Grass</v>
      </c>
      <c r="S20" s="26" t="str">
        <f>VLOOKUP(A20,'[2]06-07-26'!$A$2:$T$88,20,0)</f>
        <v>Rajni ( 14 Inch ) 16     Grass</v>
      </c>
      <c r="T20" s="26" t="s">
        <v>330</v>
      </c>
      <c r="U20" s="26">
        <v>3</v>
      </c>
      <c r="V20" s="26"/>
      <c r="W20" s="26"/>
      <c r="X20" s="26"/>
      <c r="Y20" s="26"/>
      <c r="Z20" s="26" t="s">
        <v>338</v>
      </c>
      <c r="AA20" s="26"/>
      <c r="AB20" s="26"/>
      <c r="AC20" s="26"/>
      <c r="AD20" s="26"/>
    </row>
    <row r="21" spans="1:30" ht="112.3" customHeight="1" x14ac:dyDescent="0.3">
      <c r="A21" s="1">
        <v>2030</v>
      </c>
      <c r="B21" s="15" t="s">
        <v>111</v>
      </c>
      <c r="C21" s="11">
        <v>8828025877</v>
      </c>
      <c r="D21" s="10" t="s">
        <v>112</v>
      </c>
      <c r="E21" s="10" t="s">
        <v>58</v>
      </c>
      <c r="F21" s="10" t="s">
        <v>18</v>
      </c>
      <c r="G21" s="17" t="s">
        <v>35</v>
      </c>
      <c r="H21" s="11">
        <v>1450</v>
      </c>
      <c r="I21" s="11">
        <v>362.5</v>
      </c>
      <c r="J21" s="10" t="s">
        <v>20</v>
      </c>
      <c r="K21" s="10" t="s">
        <v>113</v>
      </c>
      <c r="L21" s="10" t="s">
        <v>114</v>
      </c>
      <c r="M21" s="11"/>
      <c r="N21" s="14" t="s">
        <v>23</v>
      </c>
      <c r="O21" s="26" t="str">
        <f>VLOOKUP(A21,'[1]08-06-26'!$A$2:$T$70,20,0)</f>
        <v>Pur n P Car ( 14 Inch ) 16     FF Sachet + Grass</v>
      </c>
      <c r="P21" s="26" t="str">
        <f>VLOOKUP(A21,'[1]15-06-26'!$A$2:$T$77,20,0)</f>
        <v>Mix Alstroemeria ( 12 Inch ) 16     FF Sachet + Grass</v>
      </c>
      <c r="Q21" s="26" t="str">
        <f>VLOOKUP(A21,'[1]22-06-26'!$A$2:$T$70,20,0)</f>
        <v>B Orchid 5     Grass</v>
      </c>
      <c r="R21" s="26" t="str">
        <f>VLOOKUP(A21,'[1]29-06-26'!$A$2:$T$71,20,0)</f>
        <v>W Asiatic ( 14 Inch ) 3     Grass</v>
      </c>
      <c r="S21" s="26" t="str">
        <f>VLOOKUP(A21,'[2]06-07-26'!$A$2:$T$88,20,0)</f>
        <v>Rajni ( 14 Inch ) 16     Grass</v>
      </c>
      <c r="T21" s="26" t="s">
        <v>334</v>
      </c>
      <c r="U21" s="26">
        <v>16</v>
      </c>
      <c r="V21" s="26"/>
      <c r="W21" s="26"/>
      <c r="X21" s="26"/>
      <c r="Y21" s="26"/>
      <c r="Z21" s="26" t="s">
        <v>337</v>
      </c>
      <c r="AA21" s="26"/>
      <c r="AB21" s="26"/>
      <c r="AC21" s="26"/>
      <c r="AD21" s="26"/>
    </row>
    <row r="22" spans="1:30" ht="112.3" customHeight="1" x14ac:dyDescent="0.3">
      <c r="A22" s="1">
        <v>3376</v>
      </c>
      <c r="B22" s="15" t="s">
        <v>116</v>
      </c>
      <c r="C22" s="11">
        <v>9311244914</v>
      </c>
      <c r="D22" s="10" t="s">
        <v>117</v>
      </c>
      <c r="E22" s="10" t="s">
        <v>17</v>
      </c>
      <c r="F22" s="10" t="s">
        <v>18</v>
      </c>
      <c r="G22" s="17" t="s">
        <v>35</v>
      </c>
      <c r="H22" s="11">
        <v>1450</v>
      </c>
      <c r="I22" s="11">
        <v>362.5</v>
      </c>
      <c r="J22" s="10" t="s">
        <v>20</v>
      </c>
      <c r="K22" s="10" t="s">
        <v>118</v>
      </c>
      <c r="L22" s="11"/>
      <c r="M22" s="11"/>
      <c r="N22" s="14" t="s">
        <v>31</v>
      </c>
      <c r="O22" s="26" t="str">
        <f>VLOOKUP(A22,'[1]08-06-26'!$A$2:$T$70,20,0)</f>
        <v>Pur n P Car ( 14 Inch ) 16     FF Sachet + Grass</v>
      </c>
      <c r="P22" s="26" t="str">
        <f>VLOOKUP(A22,'[1]15-06-26'!$A$2:$T$77,20,0)</f>
        <v>P Asiatic ( 14 Inch ) 3     Grass</v>
      </c>
      <c r="Q22" s="26" t="str">
        <f>VLOOKUP(A22,'[1]22-06-26'!$A$2:$T$70,20,0)</f>
        <v>P n W Glad ( 14 Inch ) 16     FF Sachet + Grass</v>
      </c>
      <c r="R22" s="26" t="str">
        <f>VLOOKUP(A22,'[1]29-06-26'!$A$2:$T$71,20,0)</f>
        <v>Pur Eustoma ( 12 Inch ) 3     FF Sachet + Grass</v>
      </c>
      <c r="S22" s="26" t="str">
        <f>VLOOKUP(A22,'[2]06-07-26'!$A$2:$T$88,20,0)</f>
        <v>Rajni ( 14 Inch ) 16     Grass</v>
      </c>
      <c r="T22" s="26" t="s">
        <v>346</v>
      </c>
      <c r="U22" s="26">
        <v>5</v>
      </c>
      <c r="V22" s="26"/>
      <c r="W22" s="26"/>
      <c r="X22" s="26"/>
      <c r="Y22" s="26"/>
      <c r="Z22" s="26" t="s">
        <v>337</v>
      </c>
      <c r="AA22" s="26"/>
      <c r="AB22" s="26"/>
      <c r="AC22" s="26"/>
      <c r="AD22" s="26"/>
    </row>
    <row r="23" spans="1:30" ht="112.3" customHeight="1" x14ac:dyDescent="0.3">
      <c r="A23" s="1">
        <v>1571</v>
      </c>
      <c r="B23" s="15" t="s">
        <v>119</v>
      </c>
      <c r="C23" s="11">
        <v>9910019898</v>
      </c>
      <c r="D23" s="10" t="s">
        <v>120</v>
      </c>
      <c r="E23" s="10" t="s">
        <v>34</v>
      </c>
      <c r="F23" s="10" t="s">
        <v>26</v>
      </c>
      <c r="G23" s="10" t="s">
        <v>115</v>
      </c>
      <c r="H23" s="11">
        <v>1600</v>
      </c>
      <c r="I23" s="11">
        <v>200</v>
      </c>
      <c r="J23" s="10" t="s">
        <v>27</v>
      </c>
      <c r="K23" s="10" t="s">
        <v>121</v>
      </c>
      <c r="L23" s="10" t="s">
        <v>122</v>
      </c>
      <c r="M23" s="11"/>
      <c r="N23" s="14" t="s">
        <v>325</v>
      </c>
      <c r="O23" s="26" t="str">
        <f>VLOOKUP(A23,'[1]08-06-26'!$A$2:$T$70,20,0)</f>
        <v>P Spray Daisy ( 14 Inch ) 2     FF Sachet + Grass</v>
      </c>
      <c r="P23" s="26" t="str">
        <f>VLOOKUP(A23,'[1]15-06-26'!$A$2:$T$77,20,0)</f>
        <v>Mix Alstroemeria ( 12 Inch ) 7     FF sachet + Grass</v>
      </c>
      <c r="Q23" s="26" t="str">
        <f>VLOOKUP(A23,'[1]22-06-26'!$A$2:$T$70,20,0)</f>
        <v>Sunflower ( 12 Inch ) 2     Grass</v>
      </c>
      <c r="R23" s="26" t="str">
        <f>VLOOKUP(A23,'[1]29-06-26'!$A$2:$T$71,20,0)</f>
        <v>Y Spray Daisy ( 14 Inch ) 2     FF Sachet + Grass</v>
      </c>
      <c r="S23" s="26" t="str">
        <f>VLOOKUP(A23,'[2]06-07-26'!$A$2:$T$88,20,0)</f>
        <v>Mix Alstroemeria ( 12 Inch ) 7     FF Sachet + Grass</v>
      </c>
      <c r="T23" s="26" t="s">
        <v>334</v>
      </c>
      <c r="U23" s="26">
        <v>7</v>
      </c>
      <c r="V23" s="26"/>
      <c r="W23" s="26"/>
      <c r="X23" s="26"/>
      <c r="Y23" s="26"/>
      <c r="Z23" s="26" t="s">
        <v>337</v>
      </c>
      <c r="AA23" s="26"/>
      <c r="AB23" s="26"/>
      <c r="AC23" s="26"/>
      <c r="AD23" s="26"/>
    </row>
    <row r="24" spans="1:30" ht="112.3" customHeight="1" x14ac:dyDescent="0.3">
      <c r="A24" s="1">
        <v>1618</v>
      </c>
      <c r="B24" s="15" t="s">
        <v>123</v>
      </c>
      <c r="C24" s="11" t="s">
        <v>124</v>
      </c>
      <c r="D24" s="10" t="s">
        <v>125</v>
      </c>
      <c r="E24" s="10" t="s">
        <v>17</v>
      </c>
      <c r="F24" s="10" t="s">
        <v>26</v>
      </c>
      <c r="G24" s="10" t="s">
        <v>115</v>
      </c>
      <c r="H24" s="11">
        <v>3000</v>
      </c>
      <c r="I24" s="11">
        <v>375</v>
      </c>
      <c r="J24" s="10" t="s">
        <v>71</v>
      </c>
      <c r="K24" s="10" t="s">
        <v>126</v>
      </c>
      <c r="L24" s="10" t="s">
        <v>127</v>
      </c>
      <c r="M24" s="11"/>
      <c r="N24" s="14" t="s">
        <v>326</v>
      </c>
      <c r="O24" s="26" t="str">
        <f>VLOOKUP(A24,'[1]08-06-26'!$A$2:$T$70,20,0)</f>
        <v>Rajni ( 14 Inch ) 15     FF Sachet + Grass</v>
      </c>
      <c r="P24" s="26" t="str">
        <f>VLOOKUP(A24,'[1]15-06-26'!$A$2:$T$77,20,0)</f>
        <v>R n W Car ( 14 Inch ) 15     FF sachet + Grass</v>
      </c>
      <c r="Q24" s="26" t="str">
        <f>VLOOKUP(A24,'[1]22-06-26'!$A$2:$T$70,20,0)</f>
        <v>G Anthurium 3     Grass</v>
      </c>
      <c r="R24" s="26" t="str">
        <f>VLOOKUP(A24,'[1]29-06-26'!$A$2:$T$71,20,0)</f>
        <v>Rajni ( 14 Inch ) 15     Grass</v>
      </c>
      <c r="S24" s="26" t="str">
        <f>VLOOKUP(A24,'[2]06-07-26'!$A$2:$T$88,20,0)</f>
        <v>Asiatic 3     Grass</v>
      </c>
      <c r="T24" s="26" t="s">
        <v>329</v>
      </c>
      <c r="U24" s="26">
        <v>15</v>
      </c>
      <c r="V24" s="26"/>
      <c r="W24" s="26"/>
      <c r="X24" s="26"/>
      <c r="Y24" s="26"/>
      <c r="Z24" s="26" t="s">
        <v>337</v>
      </c>
      <c r="AA24" s="26"/>
      <c r="AB24" s="26"/>
      <c r="AC24" s="26"/>
      <c r="AD24" s="26"/>
    </row>
    <row r="25" spans="1:30" ht="112.3" customHeight="1" x14ac:dyDescent="0.3">
      <c r="A25" s="1">
        <v>2259</v>
      </c>
      <c r="B25" s="15" t="s">
        <v>128</v>
      </c>
      <c r="C25" s="11">
        <v>9818659010</v>
      </c>
      <c r="D25" s="10" t="s">
        <v>129</v>
      </c>
      <c r="E25" s="10" t="s">
        <v>58</v>
      </c>
      <c r="F25" s="10" t="s">
        <v>18</v>
      </c>
      <c r="G25" s="17" t="s">
        <v>35</v>
      </c>
      <c r="H25" s="11">
        <v>3950</v>
      </c>
      <c r="I25" s="11">
        <v>493.75</v>
      </c>
      <c r="J25" s="22" t="s">
        <v>130</v>
      </c>
      <c r="K25" s="10" t="s">
        <v>131</v>
      </c>
      <c r="L25" s="10"/>
      <c r="M25" s="10" t="s">
        <v>132</v>
      </c>
      <c r="N25" s="14" t="s">
        <v>325</v>
      </c>
      <c r="O25" s="26" t="str">
        <f>VLOOKUP(A25,'[1]08-06-26'!$A$2:$T$70,20,0)</f>
        <v>Sunflower ( 12 Inch ) 4     FF Sachet + Grass</v>
      </c>
      <c r="P25" s="26" t="str">
        <f>VLOOKUP(A25,'[1]15-06-26'!$A$2:$T$77,20,0)</f>
        <v>Rajni ( 14 Inch ) 20     Grass</v>
      </c>
      <c r="Q25" s="26" t="str">
        <f>VLOOKUP(A25,'[1]22-06-26'!$A$2:$T$70,20,0)</f>
        <v>B Daisy ( 12 Inch ) 20     Grass</v>
      </c>
      <c r="R25" s="26" t="str">
        <f>VLOOKUP(A25,'[1]29-06-26'!$A$2:$T$71,20,0)</f>
        <v>O Asiatic ( 14 Inch ) 4     Grass</v>
      </c>
      <c r="S25" s="26" t="str">
        <f>VLOOKUP(A25,'[2]06-07-26'!$A$2:$T$88,20,0)</f>
        <v>R n W Car ( 14 Inch ) 20     FF Sachet + Grass</v>
      </c>
      <c r="T25" s="26" t="s">
        <v>328</v>
      </c>
      <c r="U25" s="26">
        <v>20</v>
      </c>
      <c r="V25" s="26"/>
      <c r="W25" s="26"/>
      <c r="X25" s="26"/>
      <c r="Y25" s="26"/>
      <c r="Z25" s="26" t="s">
        <v>338</v>
      </c>
      <c r="AA25" s="26"/>
      <c r="AB25" s="26"/>
      <c r="AC25" s="26"/>
      <c r="AD25" s="26"/>
    </row>
    <row r="26" spans="1:30" ht="112.3" customHeight="1" x14ac:dyDescent="0.3">
      <c r="A26" s="1">
        <v>2195</v>
      </c>
      <c r="B26" s="15" t="s">
        <v>133</v>
      </c>
      <c r="C26" s="11">
        <v>9971354440</v>
      </c>
      <c r="D26" s="10" t="s">
        <v>134</v>
      </c>
      <c r="E26" s="10" t="s">
        <v>58</v>
      </c>
      <c r="F26" s="10" t="s">
        <v>18</v>
      </c>
      <c r="G26" s="10" t="s">
        <v>35</v>
      </c>
      <c r="H26" s="11">
        <v>2400</v>
      </c>
      <c r="I26" s="11">
        <v>600</v>
      </c>
      <c r="J26" s="10" t="s">
        <v>93</v>
      </c>
      <c r="K26" s="10" t="s">
        <v>135</v>
      </c>
      <c r="L26" s="11"/>
      <c r="M26" s="11"/>
      <c r="N26" s="14" t="s">
        <v>136</v>
      </c>
      <c r="O26" s="26" t="str">
        <f>VLOOKUP(A26,'[1]08-06-26'!$A$2:$T$70,20,0)</f>
        <v>Sunflower ( 12 Inch ) 3 Mix Glad  ( 14 Inch ) 12   FF Sachet + Grass</v>
      </c>
      <c r="P26" s="26" t="str">
        <f>VLOOKUP(A26,'[1]15-06-26'!$A$2:$T$77,20,0)</f>
        <v>P Asiatic ( 14 Inch ) 2 Pur n P Car ( 14 Inch ) 12   Grass</v>
      </c>
      <c r="Q26" s="26" t="str">
        <f>VLOOKUP(A26,'[1]22-06-26'!$A$2:$T$70,20,0)</f>
        <v>Pur n W Eustoma ( 12 Inch) 4 Rajni ( 14 inch ) 12   Grass</v>
      </c>
      <c r="R26" s="26" t="str">
        <f>VLOOKUP(A26,'[1]29-06-26'!$A$2:$T$71,20,0)</f>
        <v>Sunflower ( 12 Inch ) 3 P n W Glad ( 14 Inch ) 12   FF Sachet + Grass</v>
      </c>
      <c r="S26" s="26" t="str">
        <f>VLOOKUP(A26,'[2]06-07-26'!$A$2:$T$88,20,0)</f>
        <v>O n W Spray Daisy ( 14 Inch ) 4 Mix Alstroemeria 12   2 Gypsola + Little Grass</v>
      </c>
      <c r="T26" s="26" t="s">
        <v>330</v>
      </c>
      <c r="U26" s="26">
        <v>2</v>
      </c>
      <c r="V26" s="26" t="s">
        <v>334</v>
      </c>
      <c r="W26" s="26">
        <v>12</v>
      </c>
      <c r="X26" s="26"/>
      <c r="Y26" s="26"/>
      <c r="Z26" s="26" t="s">
        <v>338</v>
      </c>
      <c r="AA26" s="26"/>
      <c r="AB26" s="26"/>
      <c r="AC26" s="26"/>
      <c r="AD26" s="26"/>
    </row>
    <row r="27" spans="1:30" ht="112.3" customHeight="1" x14ac:dyDescent="0.3">
      <c r="A27" s="1">
        <v>2655</v>
      </c>
      <c r="B27" s="15" t="s">
        <v>137</v>
      </c>
      <c r="C27" s="10" t="s">
        <v>138</v>
      </c>
      <c r="D27" s="10" t="s">
        <v>139</v>
      </c>
      <c r="E27" s="10" t="s">
        <v>17</v>
      </c>
      <c r="F27" s="10" t="s">
        <v>140</v>
      </c>
      <c r="G27" s="17" t="s">
        <v>141</v>
      </c>
      <c r="H27" s="11">
        <v>4000</v>
      </c>
      <c r="I27" s="11">
        <v>500</v>
      </c>
      <c r="J27" s="13" t="s">
        <v>93</v>
      </c>
      <c r="K27" s="10" t="s">
        <v>142</v>
      </c>
      <c r="L27" s="11"/>
      <c r="M27" s="11"/>
      <c r="N27" s="14" t="s">
        <v>136</v>
      </c>
      <c r="O27" s="26" t="str">
        <f>VLOOKUP(A27,'[1]08-06-26'!$A$2:$T$70,20,0)</f>
        <v xml:space="preserve">Arrangement  1     </v>
      </c>
      <c r="P27" s="26" t="str">
        <f>VLOOKUP(A27,'[1]15-06-26'!$A$2:$T$77,20,0)</f>
        <v xml:space="preserve">Arrangement 1     </v>
      </c>
      <c r="Q27" s="26" t="str">
        <f>VLOOKUP(A27,'[1]22-06-26'!$A$2:$T$70,20,0)</f>
        <v xml:space="preserve">Arrangement 1     </v>
      </c>
      <c r="R27" s="26" t="str">
        <f>VLOOKUP(A27,'[1]29-06-26'!$A$2:$T$71,20,0)</f>
        <v xml:space="preserve">Arrangement 1     </v>
      </c>
      <c r="S27" s="26" t="str">
        <f>VLOOKUP(A27,'[2]06-07-26'!$A$2:$T$88,20,0)</f>
        <v xml:space="preserve">Arrangement 1     </v>
      </c>
      <c r="T27" s="26" t="s">
        <v>351</v>
      </c>
      <c r="U27" s="26">
        <v>1</v>
      </c>
      <c r="V27" s="26"/>
      <c r="W27" s="26"/>
      <c r="X27" s="26"/>
      <c r="Y27" s="26"/>
      <c r="Z27" s="26"/>
      <c r="AA27" s="26"/>
      <c r="AB27" s="26"/>
      <c r="AC27" s="26"/>
      <c r="AD27" s="26"/>
    </row>
    <row r="28" spans="1:30" ht="112.3" customHeight="1" x14ac:dyDescent="0.3">
      <c r="A28" s="1">
        <v>3286</v>
      </c>
      <c r="B28" s="15" t="s">
        <v>143</v>
      </c>
      <c r="C28" s="11">
        <v>9891818933</v>
      </c>
      <c r="D28" s="10" t="s">
        <v>144</v>
      </c>
      <c r="E28" s="10" t="s">
        <v>145</v>
      </c>
      <c r="F28" s="10" t="s">
        <v>18</v>
      </c>
      <c r="G28" s="21" t="s">
        <v>109</v>
      </c>
      <c r="H28" s="11">
        <v>2750</v>
      </c>
      <c r="I28" s="11">
        <v>687.5</v>
      </c>
      <c r="J28" s="10" t="s">
        <v>100</v>
      </c>
      <c r="K28" s="10" t="s">
        <v>146</v>
      </c>
      <c r="L28" s="11"/>
      <c r="M28" s="11"/>
      <c r="N28" s="14" t="s">
        <v>46</v>
      </c>
      <c r="O28" s="26" t="str">
        <f>VLOOKUP(A28,'[1]08-06-26'!$A$2:$T$70,20,0)</f>
        <v>Pur n P Car ( 14 Inch ) 32     2 Gypsola + FF sachet</v>
      </c>
      <c r="P28" s="26" t="str">
        <f>VLOOKUP(A28,'[1]15-06-26'!$A$2:$T$77,20,0)</f>
        <v>Sunflower ( 12 Inch ) 7     2 Limonium + FF Sachet</v>
      </c>
      <c r="Q28" s="26" t="str">
        <f>VLOOKUP(A28,'[1]22-06-26'!$A$2:$T$70,20,0)</f>
        <v>Pur n W Eustoma ( 12 Inch) 6     2 Gypsola + ff Sachet</v>
      </c>
      <c r="R28" s="26" t="str">
        <f>VLOOKUP(A28,'[1]29-06-26'!$A$2:$T$71,20,0)</f>
        <v>O Asiatic ( 14 Inch ) 6     2 Limonium</v>
      </c>
      <c r="S28" s="26" t="str">
        <f>VLOOKUP(A28,'[2]06-07-26'!$A$2:$T$88,20,0)</f>
        <v>Rajni ( 14 Inch ) 32     2 Limonium</v>
      </c>
      <c r="T28" s="26" t="s">
        <v>334</v>
      </c>
      <c r="U28" s="26">
        <v>32</v>
      </c>
      <c r="V28" s="26"/>
      <c r="W28" s="26"/>
      <c r="X28" s="26"/>
      <c r="Y28" s="26"/>
      <c r="Z28" s="26" t="s">
        <v>349</v>
      </c>
      <c r="AA28" s="26"/>
      <c r="AB28" s="26"/>
      <c r="AC28" s="26"/>
      <c r="AD28" s="26"/>
    </row>
    <row r="29" spans="1:30" ht="112.3" customHeight="1" x14ac:dyDescent="0.3">
      <c r="A29" s="1">
        <v>2850</v>
      </c>
      <c r="B29" s="15" t="s">
        <v>149</v>
      </c>
      <c r="C29" s="11">
        <v>9810002910</v>
      </c>
      <c r="D29" s="10" t="s">
        <v>150</v>
      </c>
      <c r="E29" s="10" t="s">
        <v>99</v>
      </c>
      <c r="F29" s="10" t="s">
        <v>18</v>
      </c>
      <c r="G29" s="23" t="s">
        <v>151</v>
      </c>
      <c r="H29" s="11">
        <v>1450</v>
      </c>
      <c r="I29" s="11">
        <v>362.5</v>
      </c>
      <c r="J29" s="10" t="s">
        <v>93</v>
      </c>
      <c r="K29" s="10" t="s">
        <v>152</v>
      </c>
      <c r="L29" s="11" t="s">
        <v>153</v>
      </c>
      <c r="M29" s="11"/>
      <c r="N29" s="14" t="s">
        <v>136</v>
      </c>
      <c r="O29" s="26" t="str">
        <f>VLOOKUP(A29,'[1]08-06-26'!$A$2:$T$70,20,0)</f>
        <v>Sunflower ( 12 Inch ) 2 Pur n P Car ( 14 inch ) 7   FF Sachet + Grass</v>
      </c>
      <c r="P29" s="26" t="str">
        <f>VLOOKUP(A29,'[1]15-06-26'!$A$2:$T$77,20,0)</f>
        <v>P Asiatic ( 14 Inch ) 2 P n Y Glad ( 14 Inch ) 7   Grass</v>
      </c>
      <c r="Q29" s="26" t="str">
        <f>VLOOKUP(A29,'[1]22-06-26'!$A$2:$T$70,20,0)</f>
        <v>P Spray Daisy ( 14 Inch ) 3 Rajni ( 14 inch ) 7   FF Sachet + Grass</v>
      </c>
      <c r="R29" s="26" t="str">
        <f>VLOOKUP(A29,'[1]29-06-26'!$A$2:$T$71,20,0)</f>
        <v>P Eustoma ( 12 Inch ) 2 P n W Car ( 14 Inch ) 7   FF Sachet + Grass</v>
      </c>
      <c r="S29" s="26" t="str">
        <f>VLOOKUP(A29,'[2]06-07-26'!$A$2:$T$88,20,0)</f>
        <v>Sunflower ( 12 Inch ) 2 Mix Alstroemeria 7   FF Sachet + Grass</v>
      </c>
      <c r="T29" s="26" t="s">
        <v>330</v>
      </c>
      <c r="U29" s="26">
        <v>2</v>
      </c>
      <c r="V29" s="26" t="s">
        <v>331</v>
      </c>
      <c r="W29" s="26">
        <v>7</v>
      </c>
      <c r="X29" s="26"/>
      <c r="Y29" s="26"/>
      <c r="Z29" s="26" t="s">
        <v>338</v>
      </c>
      <c r="AA29" s="26"/>
      <c r="AB29" s="26"/>
      <c r="AC29" s="26"/>
      <c r="AD29" s="26"/>
    </row>
    <row r="30" spans="1:30" ht="112.3" customHeight="1" x14ac:dyDescent="0.3">
      <c r="A30" s="1">
        <v>2926</v>
      </c>
      <c r="B30" s="15" t="s">
        <v>154</v>
      </c>
      <c r="C30" s="18">
        <v>9971048493</v>
      </c>
      <c r="D30" s="10" t="s">
        <v>155</v>
      </c>
      <c r="E30" s="10" t="s">
        <v>156</v>
      </c>
      <c r="F30" s="10" t="s">
        <v>18</v>
      </c>
      <c r="G30" s="10" t="s">
        <v>19</v>
      </c>
      <c r="H30" s="17">
        <v>1450</v>
      </c>
      <c r="I30" s="11">
        <v>362.5</v>
      </c>
      <c r="J30" s="13" t="s">
        <v>20</v>
      </c>
      <c r="K30" s="10" t="s">
        <v>157</v>
      </c>
      <c r="L30" s="11"/>
      <c r="M30" s="10" t="s">
        <v>158</v>
      </c>
      <c r="N30" s="14" t="s">
        <v>46</v>
      </c>
      <c r="O30" s="26" t="str">
        <f>VLOOKUP(A30,'[1]08-06-26'!$A$2:$T$70,20,0)</f>
        <v>Mix Glad  ( 14 Inch ) 9     FF Sachet + Grass</v>
      </c>
      <c r="P30" s="26" t="str">
        <f>VLOOKUP(A30,'[1]15-06-26'!$A$2:$T$77,20,0)</f>
        <v>R n W Car ( 14 Inch ) 9     FF Sachet + Grass</v>
      </c>
      <c r="Q30" s="26" t="str">
        <f>VLOOKUP(A30,'[1]22-06-26'!$A$2:$T$70,20,0)</f>
        <v>Rajni ( 14 Inch ) 9     Grass</v>
      </c>
      <c r="R30" s="26" t="str">
        <f>VLOOKUP(A30,'[1]29-06-26'!$A$2:$T$71,20,0)</f>
        <v>P n Y Spray Daisy ( 14 Inch ) 5     FF Sachet + Grass</v>
      </c>
      <c r="S30" s="26" t="str">
        <f>VLOOKUP(A30,'[2]06-07-26'!$A$2:$T$88,20,0)</f>
        <v>Rajni ( 14 Inch ) 16     FF Sachet + Grass</v>
      </c>
      <c r="T30" s="26" t="s">
        <v>330</v>
      </c>
      <c r="U30" s="26">
        <v>3</v>
      </c>
      <c r="V30" s="26"/>
      <c r="W30" s="26"/>
      <c r="X30" s="26"/>
      <c r="Y30" s="26"/>
      <c r="Z30" s="26" t="s">
        <v>338</v>
      </c>
      <c r="AA30" s="26"/>
      <c r="AB30" s="26"/>
      <c r="AC30" s="26"/>
      <c r="AD30" s="26"/>
    </row>
    <row r="31" spans="1:30" ht="112.3" customHeight="1" x14ac:dyDescent="0.3">
      <c r="A31" s="1">
        <v>1005</v>
      </c>
      <c r="B31" s="15" t="s">
        <v>159</v>
      </c>
      <c r="C31" s="11">
        <v>9810013570</v>
      </c>
      <c r="D31" s="10" t="s">
        <v>160</v>
      </c>
      <c r="E31" s="10" t="s">
        <v>49</v>
      </c>
      <c r="F31" s="10" t="s">
        <v>18</v>
      </c>
      <c r="G31" s="10" t="s">
        <v>161</v>
      </c>
      <c r="H31" s="11">
        <v>1450</v>
      </c>
      <c r="I31" s="11">
        <v>362.5</v>
      </c>
      <c r="J31" s="13" t="s">
        <v>93</v>
      </c>
      <c r="K31" s="10" t="s">
        <v>162</v>
      </c>
      <c r="L31" s="11"/>
      <c r="M31" s="11"/>
      <c r="N31" s="14" t="s">
        <v>136</v>
      </c>
      <c r="O31" s="26" t="str">
        <f>VLOOKUP(A31,'[1]08-06-26'!$A$2:$T$70,20,0)</f>
        <v>Sunflower ( 12 Inch ) 4     FF Sachet + Grass</v>
      </c>
      <c r="P31" s="26" t="str">
        <f>VLOOKUP(A31,'[1]15-06-26'!$A$2:$T$77,20,0)</f>
        <v>Pur n P Car ( 14 Inch ) 16     FF Sachet + Grass</v>
      </c>
      <c r="Q31" s="26" t="str">
        <f>VLOOKUP(A31,'[1]22-06-26'!$A$2:$T$70,20,0)</f>
        <v>Pur Eustom ( 12 Inch ) 3     Grass</v>
      </c>
      <c r="R31" s="26" t="str">
        <f>VLOOKUP(A31,'[1]29-06-26'!$A$2:$T$71,20,0)</f>
        <v>O Asiatic ( 14 Inch ) 3     Grass</v>
      </c>
      <c r="S31" s="26" t="str">
        <f>VLOOKUP(A31,'[2]06-07-26'!$A$2:$T$88,20,0)</f>
        <v>Rajni ( 14 Inch ) 16     Grass</v>
      </c>
      <c r="T31" s="26" t="s">
        <v>331</v>
      </c>
      <c r="U31" s="26">
        <v>16</v>
      </c>
      <c r="V31" s="26"/>
      <c r="W31" s="26"/>
      <c r="X31" s="26"/>
      <c r="Y31" s="26"/>
      <c r="Z31" s="26" t="s">
        <v>338</v>
      </c>
      <c r="AA31" s="26"/>
      <c r="AB31" s="26"/>
      <c r="AC31" s="26"/>
      <c r="AD31" s="26"/>
    </row>
    <row r="32" spans="1:30" ht="112.3" customHeight="1" x14ac:dyDescent="0.3">
      <c r="A32" s="1">
        <v>2896</v>
      </c>
      <c r="B32" s="15" t="s">
        <v>163</v>
      </c>
      <c r="C32" s="11">
        <v>9870161122</v>
      </c>
      <c r="D32" s="10" t="s">
        <v>164</v>
      </c>
      <c r="E32" s="10" t="s">
        <v>58</v>
      </c>
      <c r="F32" s="10" t="s">
        <v>18</v>
      </c>
      <c r="G32" s="17" t="s">
        <v>35</v>
      </c>
      <c r="H32" s="11">
        <v>1450</v>
      </c>
      <c r="I32" s="11">
        <v>362.5</v>
      </c>
      <c r="J32" s="10" t="s">
        <v>20</v>
      </c>
      <c r="K32" s="10" t="s">
        <v>165</v>
      </c>
      <c r="L32" s="11"/>
      <c r="M32" s="11"/>
      <c r="N32" s="14" t="s">
        <v>46</v>
      </c>
      <c r="O32" s="26" t="e">
        <f>VLOOKUP(A32,'[1]08-06-26'!$A$2:$T$70,20,0)</f>
        <v>#N/A</v>
      </c>
      <c r="P32" s="26" t="e">
        <f>VLOOKUP(A32,'[1]15-06-26'!$A$2:$T$77,20,0)</f>
        <v>#N/A</v>
      </c>
      <c r="Q32" s="26" t="str">
        <f>VLOOKUP(A32,'[1]22-06-26'!$A$2:$T$70,20,0)</f>
        <v>Pur Eustom ( 12 Inch ) 2 Rajni ( 14 inch ) 7   FF Sachet + Grass</v>
      </c>
      <c r="R32" s="26" t="str">
        <f>VLOOKUP(A32,'[1]29-06-26'!$A$2:$T$71,20,0)</f>
        <v>P n W Glad ( 14 Inch ) 16     Grass</v>
      </c>
      <c r="S32" s="26" t="str">
        <f>VLOOKUP(A32,'[2]06-07-26'!$A$2:$T$88,20,0)</f>
        <v>Sunflower ( 12 Inch ) 4     FF Sachet + Grass</v>
      </c>
      <c r="T32" s="26" t="s">
        <v>332</v>
      </c>
      <c r="U32" s="26">
        <v>3</v>
      </c>
      <c r="V32" s="26"/>
      <c r="W32" s="26"/>
      <c r="X32" s="26"/>
      <c r="Y32" s="26"/>
      <c r="Z32" s="26" t="s">
        <v>338</v>
      </c>
      <c r="AA32" s="26"/>
      <c r="AB32" s="26"/>
      <c r="AC32" s="26"/>
      <c r="AD32" s="26"/>
    </row>
    <row r="33" spans="1:30" ht="112.3" customHeight="1" x14ac:dyDescent="0.3">
      <c r="A33" s="1">
        <v>2363</v>
      </c>
      <c r="B33" s="15" t="s">
        <v>104</v>
      </c>
      <c r="C33" s="1">
        <v>9911818025</v>
      </c>
      <c r="D33" s="13" t="s">
        <v>105</v>
      </c>
      <c r="E33" s="13" t="s">
        <v>49</v>
      </c>
      <c r="F33" s="13" t="s">
        <v>18</v>
      </c>
      <c r="G33" s="17" t="s">
        <v>35</v>
      </c>
      <c r="H33" s="11">
        <v>2750</v>
      </c>
      <c r="I33" s="11">
        <v>687.5</v>
      </c>
      <c r="J33" s="13" t="s">
        <v>93</v>
      </c>
      <c r="K33" s="10" t="s">
        <v>166</v>
      </c>
      <c r="L33" s="11"/>
      <c r="M33" s="11"/>
      <c r="N33" s="14" t="s">
        <v>136</v>
      </c>
      <c r="O33" s="26" t="str">
        <f>VLOOKUP(A33,'[1]08-06-26'!$A$2:$T$70,20,0)</f>
        <v>Sunflower ( 12 Inch ) 7     Grass</v>
      </c>
      <c r="P33" s="26" t="str">
        <f>VLOOKUP(A33,'[1]15-06-26'!$A$2:$T$77,20,0)</f>
        <v>P n W Glad ( 14 Inch ) 32     Grass</v>
      </c>
      <c r="Q33" s="26" t="str">
        <f>VLOOKUP(A33,'[1]22-06-26'!$A$2:$T$70,20,0)</f>
        <v>Pur n W Eustoma ( 12 Inch) 6     Grass</v>
      </c>
      <c r="R33" s="26" t="str">
        <f>VLOOKUP(A33,'[1]29-06-26'!$A$2:$T$71,20,0)</f>
        <v>Pur n P Car ( 14 Inch ) 32     FF Sachet + Grass</v>
      </c>
      <c r="S33" s="26" t="str">
        <f>VLOOKUP(A33,'[2]06-07-26'!$A$2:$T$88,20,0)</f>
        <v>Rajni ( 14 Inch ) 32     2 Limonium</v>
      </c>
      <c r="T33" s="26" t="s">
        <v>332</v>
      </c>
      <c r="U33" s="26">
        <v>6</v>
      </c>
      <c r="V33" s="26"/>
      <c r="W33" s="26"/>
      <c r="X33" s="26"/>
      <c r="Y33" s="26"/>
      <c r="Z33" s="26" t="s">
        <v>348</v>
      </c>
      <c r="AA33" s="26"/>
      <c r="AB33" s="26"/>
      <c r="AC33" s="26"/>
      <c r="AD33" s="26"/>
    </row>
    <row r="34" spans="1:30" ht="112.3" customHeight="1" x14ac:dyDescent="0.3">
      <c r="A34" s="1">
        <v>1088</v>
      </c>
      <c r="B34" s="15" t="s">
        <v>167</v>
      </c>
      <c r="C34" s="15">
        <v>9999028643</v>
      </c>
      <c r="D34" s="7" t="s">
        <v>168</v>
      </c>
      <c r="E34" s="7" t="s">
        <v>169</v>
      </c>
      <c r="F34" s="10" t="s">
        <v>18</v>
      </c>
      <c r="G34" s="17" t="s">
        <v>35</v>
      </c>
      <c r="H34" s="10">
        <v>1450</v>
      </c>
      <c r="I34" s="11">
        <v>362.5</v>
      </c>
      <c r="J34" s="10" t="s">
        <v>20</v>
      </c>
      <c r="K34" s="10" t="s">
        <v>170</v>
      </c>
      <c r="L34" s="11"/>
      <c r="M34" s="11"/>
      <c r="N34" s="14" t="s">
        <v>46</v>
      </c>
      <c r="O34" s="26" t="str">
        <f>VLOOKUP(A34,'[1]08-06-26'!$A$2:$T$70,20,0)</f>
        <v>P n W Glad ( 14 Inch ) 16     FF Sachet + Grass</v>
      </c>
      <c r="P34" s="26" t="str">
        <f>VLOOKUP(A34,'[1]15-06-26'!$A$2:$T$77,20,0)</f>
        <v>Pur n P Car ( 14 Inch ) 16     FF Sachet + Grass</v>
      </c>
      <c r="Q34" s="26" t="str">
        <f>VLOOKUP(A34,'[1]22-06-26'!$A$2:$T$70,20,0)</f>
        <v>Pur Eustom ( 12 Inch ) 3     FF Sachet + Grass</v>
      </c>
      <c r="R34" s="26" t="str">
        <f>VLOOKUP(A34,'[1]29-06-26'!$A$2:$T$71,20,0)</f>
        <v>P Asiatic ( 14 Inch ) 3     Grass</v>
      </c>
      <c r="S34" s="26" t="str">
        <f>VLOOKUP(A34,'[2]06-07-26'!$A$2:$T$88,20,0)</f>
        <v>Rajni ( 14 Inch ) 16     Grass</v>
      </c>
      <c r="T34" s="26" t="s">
        <v>331</v>
      </c>
      <c r="U34" s="26">
        <v>16</v>
      </c>
      <c r="V34" s="26"/>
      <c r="W34" s="26"/>
      <c r="X34" s="26"/>
      <c r="Y34" s="26"/>
      <c r="Z34" s="26" t="s">
        <v>338</v>
      </c>
      <c r="AA34" s="26"/>
      <c r="AB34" s="26"/>
      <c r="AC34" s="26"/>
      <c r="AD34" s="26"/>
    </row>
    <row r="35" spans="1:30" ht="112.3" customHeight="1" x14ac:dyDescent="0.3">
      <c r="A35" s="13" t="s">
        <v>171</v>
      </c>
      <c r="B35" s="15" t="s">
        <v>172</v>
      </c>
      <c r="C35" s="1">
        <v>9560068750</v>
      </c>
      <c r="D35" s="1" t="s">
        <v>173</v>
      </c>
      <c r="E35" s="10" t="s">
        <v>58</v>
      </c>
      <c r="F35" s="13" t="s">
        <v>26</v>
      </c>
      <c r="G35" s="17" t="s">
        <v>35</v>
      </c>
      <c r="H35" s="11">
        <v>3950</v>
      </c>
      <c r="I35" s="11">
        <v>493.75</v>
      </c>
      <c r="J35" s="10" t="s">
        <v>130</v>
      </c>
      <c r="K35" s="13" t="s">
        <v>174</v>
      </c>
      <c r="L35" s="10" t="s">
        <v>175</v>
      </c>
      <c r="M35" s="11"/>
      <c r="N35" s="14" t="s">
        <v>23</v>
      </c>
      <c r="O35" s="26" t="e">
        <f>VLOOKUP(A35,'[1]08-06-26'!$A$2:$T$70,20,0)</f>
        <v>#N/A</v>
      </c>
      <c r="P35" s="26" t="e">
        <f>VLOOKUP(A35,'[1]15-06-26'!$A$2:$T$77,20,0)</f>
        <v>#N/A</v>
      </c>
      <c r="Q35" s="26" t="e">
        <f>VLOOKUP(A35,'[1]22-06-26'!$A$2:$T$70,20,0)</f>
        <v>#N/A</v>
      </c>
      <c r="R35" s="26" t="e">
        <f>VLOOKUP(A35,'[1]29-06-26'!$A$2:$T$71,20,0)</f>
        <v>#N/A</v>
      </c>
      <c r="S35" s="26" t="str">
        <f>VLOOKUP(A35,'[2]06-07-26'!$A$2:$T$88,20,0)</f>
        <v>B Daisy 20     Grass</v>
      </c>
      <c r="T35" s="26" t="s">
        <v>333</v>
      </c>
      <c r="U35" s="26">
        <v>5</v>
      </c>
      <c r="V35" s="26"/>
      <c r="W35" s="26"/>
      <c r="X35" s="26"/>
      <c r="Y35" s="26"/>
      <c r="Z35" s="26" t="s">
        <v>337</v>
      </c>
      <c r="AA35" s="26"/>
      <c r="AB35" s="26"/>
      <c r="AC35" s="26"/>
      <c r="AD35" s="26"/>
    </row>
    <row r="36" spans="1:30" ht="112.3" customHeight="1" x14ac:dyDescent="0.3">
      <c r="A36" s="13" t="s">
        <v>176</v>
      </c>
      <c r="B36" s="15" t="s">
        <v>177</v>
      </c>
      <c r="C36" s="11">
        <v>9810561802</v>
      </c>
      <c r="D36" s="10" t="s">
        <v>178</v>
      </c>
      <c r="E36" s="10" t="s">
        <v>156</v>
      </c>
      <c r="F36" s="10" t="s">
        <v>26</v>
      </c>
      <c r="G36" s="10" t="s">
        <v>115</v>
      </c>
      <c r="H36" s="11">
        <v>2300</v>
      </c>
      <c r="I36" s="11">
        <v>293.75</v>
      </c>
      <c r="J36" s="10" t="s">
        <v>59</v>
      </c>
      <c r="K36" s="10" t="s">
        <v>179</v>
      </c>
      <c r="L36" s="10" t="s">
        <v>180</v>
      </c>
      <c r="M36" s="11"/>
      <c r="N36" s="14" t="s">
        <v>23</v>
      </c>
      <c r="O36" s="26" t="str">
        <f>VLOOKUP(A36,'[1]08-06-26'!$A$2:$T$70,20,0)</f>
        <v>Pur Eustoma ( 12 Inch ) 3     FF Sachet + Grass</v>
      </c>
      <c r="P36" s="26" t="str">
        <f>VLOOKUP(A36,'[1]15-06-26'!$A$2:$T$77,20,0)</f>
        <v>Pur n P Car ( 14 Inch ) 11     FF sachet + Grass</v>
      </c>
      <c r="Q36" s="26" t="str">
        <f>VLOOKUP(A36,'[1]22-06-26'!$A$2:$T$70,20,0)</f>
        <v>B Daisy ( 12 Inch ) 11     Grass</v>
      </c>
      <c r="R36" s="26" t="str">
        <f>VLOOKUP(A36,'[1]29-06-26'!$A$2:$T$71,20,0)</f>
        <v>P n W Car ( 14 Inch ) 11     FF Sachet + Grass</v>
      </c>
      <c r="S36" s="26" t="str">
        <f>VLOOKUP(A36,'[2]06-07-26'!$A$2:$T$88,20,0)</f>
        <v>Rajni ( 14 Inch ) 11     Grass</v>
      </c>
      <c r="T36" s="26" t="s">
        <v>329</v>
      </c>
      <c r="U36" s="26">
        <v>11</v>
      </c>
      <c r="V36" s="26"/>
      <c r="W36" s="26"/>
      <c r="X36" s="26"/>
      <c r="Y36" s="26"/>
      <c r="Z36" s="26" t="s">
        <v>337</v>
      </c>
      <c r="AA36" s="26"/>
      <c r="AB36" s="26"/>
      <c r="AC36" s="26"/>
      <c r="AD36" s="26"/>
    </row>
    <row r="37" spans="1:30" ht="112.3" customHeight="1" x14ac:dyDescent="0.3">
      <c r="A37" s="1">
        <v>3399</v>
      </c>
      <c r="B37" s="15" t="s">
        <v>181</v>
      </c>
      <c r="C37" s="11">
        <v>7355245955</v>
      </c>
      <c r="D37" s="10" t="s">
        <v>182</v>
      </c>
      <c r="E37" s="10" t="s">
        <v>34</v>
      </c>
      <c r="F37" s="10" t="s">
        <v>18</v>
      </c>
      <c r="G37" s="17" t="s">
        <v>35</v>
      </c>
      <c r="H37" s="10">
        <v>1450</v>
      </c>
      <c r="I37" s="11">
        <v>181.25</v>
      </c>
      <c r="J37" s="10" t="s">
        <v>20</v>
      </c>
      <c r="K37" s="11"/>
      <c r="L37" s="11"/>
      <c r="M37" s="11"/>
      <c r="N37" s="14" t="s">
        <v>31</v>
      </c>
      <c r="O37" s="26" t="e">
        <f>VLOOKUP(A37,'[1]08-06-26'!$A$2:$T$70,20,0)</f>
        <v>#N/A</v>
      </c>
      <c r="P37" s="26" t="e">
        <f>VLOOKUP(A37,'[1]15-06-26'!$A$2:$T$77,20,0)</f>
        <v>#N/A</v>
      </c>
      <c r="Q37" s="26" t="e">
        <f>VLOOKUP(A37,'[1]22-06-26'!$A$2:$T$70,20,0)</f>
        <v>#N/A</v>
      </c>
      <c r="R37" s="26" t="e">
        <f>VLOOKUP(A37,'[1]29-06-26'!$A$2:$T$71,20,0)</f>
        <v>#N/A</v>
      </c>
      <c r="S37" s="26" t="str">
        <f>VLOOKUP(A37,'[2]06-07-26'!$A$2:$T$88,20,0)</f>
        <v>Pur n P Car ( 14 Inch ) 16     FF Sachet + Grass</v>
      </c>
      <c r="T37" s="26" t="s">
        <v>330</v>
      </c>
      <c r="U37" s="26">
        <v>3</v>
      </c>
      <c r="V37" s="26"/>
      <c r="W37" s="26"/>
      <c r="X37" s="26"/>
      <c r="Y37" s="26"/>
      <c r="Z37" s="26" t="s">
        <v>338</v>
      </c>
      <c r="AA37" s="26"/>
      <c r="AB37" s="26"/>
      <c r="AC37" s="26"/>
      <c r="AD37" s="26"/>
    </row>
    <row r="38" spans="1:30" ht="112.3" customHeight="1" x14ac:dyDescent="0.3">
      <c r="A38" s="1">
        <v>2323</v>
      </c>
      <c r="B38" s="15" t="s">
        <v>183</v>
      </c>
      <c r="C38" s="11">
        <v>9632045533</v>
      </c>
      <c r="D38" s="10" t="s">
        <v>184</v>
      </c>
      <c r="E38" s="10" t="s">
        <v>17</v>
      </c>
      <c r="F38" s="10" t="s">
        <v>26</v>
      </c>
      <c r="G38" s="17" t="s">
        <v>35</v>
      </c>
      <c r="H38" s="10">
        <v>3950</v>
      </c>
      <c r="I38" s="11">
        <v>493.75</v>
      </c>
      <c r="J38" s="10" t="s">
        <v>130</v>
      </c>
      <c r="K38" s="10" t="s">
        <v>185</v>
      </c>
      <c r="L38" s="11"/>
      <c r="M38" s="11"/>
      <c r="N38" s="14" t="s">
        <v>46</v>
      </c>
      <c r="O38" s="26" t="e">
        <f>VLOOKUP(A38,'[1]08-06-26'!$A$2:$T$70,20,0)</f>
        <v>#N/A</v>
      </c>
      <c r="P38" s="26" t="e">
        <f>VLOOKUP(A38,'[1]15-06-26'!$A$2:$T$77,20,0)</f>
        <v>#N/A</v>
      </c>
      <c r="Q38" s="26" t="e">
        <f>VLOOKUP(A38,'[1]22-06-26'!$A$2:$T$70,20,0)</f>
        <v>#N/A</v>
      </c>
      <c r="R38" s="26" t="e">
        <f>VLOOKUP(A38,'[1]29-06-26'!$A$2:$T$71,20,0)</f>
        <v>#N/A</v>
      </c>
      <c r="S38" s="26" t="str">
        <f>VLOOKUP(A38,'[2]06-07-26'!$A$2:$T$88,20,0)</f>
        <v>Pur n P Car ( 14 Inch ) 20     FF Sachet + Grass</v>
      </c>
      <c r="T38" s="26" t="s">
        <v>332</v>
      </c>
      <c r="U38" s="26">
        <v>4</v>
      </c>
      <c r="V38" s="26"/>
      <c r="W38" s="26"/>
      <c r="X38" s="26"/>
      <c r="Y38" s="26"/>
      <c r="Z38" s="26" t="s">
        <v>338</v>
      </c>
      <c r="AA38" s="26"/>
      <c r="AB38" s="26"/>
      <c r="AC38" s="26"/>
      <c r="AD38" s="26"/>
    </row>
    <row r="39" spans="1:30" ht="112.3" customHeight="1" x14ac:dyDescent="0.3">
      <c r="A39" s="1">
        <v>2462</v>
      </c>
      <c r="B39" s="15" t="s">
        <v>186</v>
      </c>
      <c r="C39" s="18">
        <v>9811601176</v>
      </c>
      <c r="D39" s="10" t="s">
        <v>187</v>
      </c>
      <c r="E39" s="10" t="s">
        <v>17</v>
      </c>
      <c r="F39" s="10" t="s">
        <v>140</v>
      </c>
      <c r="G39" s="17" t="s">
        <v>35</v>
      </c>
      <c r="H39" s="11">
        <v>1450</v>
      </c>
      <c r="I39" s="11">
        <v>362.5</v>
      </c>
      <c r="J39" s="13" t="s">
        <v>347</v>
      </c>
      <c r="K39" s="10" t="s">
        <v>188</v>
      </c>
      <c r="L39" s="11"/>
      <c r="M39" s="10" t="s">
        <v>189</v>
      </c>
      <c r="N39" s="14" t="s">
        <v>31</v>
      </c>
      <c r="O39" s="26" t="e">
        <f>VLOOKUP(A39,'[1]08-06-26'!$A$2:$T$70,20,0)</f>
        <v>#N/A</v>
      </c>
      <c r="P39" s="26" t="e">
        <f>VLOOKUP(A39,'[1]15-06-26'!$A$2:$T$77,20,0)</f>
        <v>#N/A</v>
      </c>
      <c r="Q39" s="26" t="e">
        <f>VLOOKUP(A39,'[1]22-06-26'!$A$2:$T$70,20,0)</f>
        <v>#N/A</v>
      </c>
      <c r="R39" s="26" t="e">
        <f>VLOOKUP(A39,'[1]29-06-26'!$A$2:$T$71,20,0)</f>
        <v>#N/A</v>
      </c>
      <c r="S39" s="26" t="str">
        <f>VLOOKUP(A39,'[2]06-07-26'!$A$2:$T$88,20,0)</f>
        <v>Mix Alstroemeria ( 12 Inch ) 9     FF Sachet + Grass</v>
      </c>
      <c r="T39" s="26" t="s">
        <v>330</v>
      </c>
      <c r="U39" s="26">
        <v>1</v>
      </c>
      <c r="V39" s="26"/>
      <c r="W39" s="26"/>
      <c r="X39" s="26"/>
      <c r="Y39" s="26"/>
      <c r="Z39" s="26" t="s">
        <v>338</v>
      </c>
      <c r="AA39" s="26"/>
      <c r="AB39" s="26"/>
      <c r="AC39" s="26"/>
      <c r="AD39" s="26"/>
    </row>
    <row r="40" spans="1:30" ht="112.3" customHeight="1" x14ac:dyDescent="0.3">
      <c r="A40" s="1">
        <v>3402</v>
      </c>
      <c r="B40" s="15" t="s">
        <v>190</v>
      </c>
      <c r="C40" s="11">
        <v>9773564675</v>
      </c>
      <c r="D40" s="10" t="s">
        <v>191</v>
      </c>
      <c r="E40" s="10" t="s">
        <v>169</v>
      </c>
      <c r="F40" s="10" t="s">
        <v>18</v>
      </c>
      <c r="G40" s="10" t="s">
        <v>115</v>
      </c>
      <c r="H40" s="11">
        <v>1450</v>
      </c>
      <c r="I40" s="11">
        <v>362.5</v>
      </c>
      <c r="J40" s="10" t="s">
        <v>20</v>
      </c>
      <c r="K40" s="11"/>
      <c r="L40" s="11"/>
      <c r="M40" s="11"/>
      <c r="N40" s="14" t="s">
        <v>31</v>
      </c>
      <c r="O40" s="26" t="e">
        <f>VLOOKUP(A40,'[1]08-06-26'!$A$2:$T$70,20,0)</f>
        <v>#N/A</v>
      </c>
      <c r="P40" s="26" t="e">
        <f>VLOOKUP(A40,'[1]15-06-26'!$A$2:$T$77,20,0)</f>
        <v>#N/A</v>
      </c>
      <c r="Q40" s="26" t="e">
        <f>VLOOKUP(A40,'[1]22-06-26'!$A$2:$T$70,20,0)</f>
        <v>#N/A</v>
      </c>
      <c r="R40" s="26" t="e">
        <f>VLOOKUP(A40,'[1]29-06-26'!$A$2:$T$71,20,0)</f>
        <v>#N/A</v>
      </c>
      <c r="S40" s="26" t="str">
        <f>VLOOKUP(A40,'[2]06-07-26'!$A$2:$T$88,20,0)</f>
        <v>Pur n P Car ( 14 Inch ) 16     FF Sachet + Grass</v>
      </c>
      <c r="T40" s="26" t="s">
        <v>330</v>
      </c>
      <c r="U40" s="26">
        <v>3</v>
      </c>
      <c r="V40" s="26"/>
      <c r="W40" s="26"/>
      <c r="X40" s="26"/>
      <c r="Y40" s="26"/>
      <c r="Z40" s="26" t="s">
        <v>338</v>
      </c>
      <c r="AA40" s="26"/>
      <c r="AB40" s="26"/>
      <c r="AC40" s="26"/>
      <c r="AD40" s="26"/>
    </row>
    <row r="41" spans="1:30" ht="112.3" customHeight="1" x14ac:dyDescent="0.3">
      <c r="A41" s="1">
        <v>3232</v>
      </c>
      <c r="B41" s="15" t="s">
        <v>192</v>
      </c>
      <c r="C41" s="15">
        <v>8351968881</v>
      </c>
      <c r="D41" s="10" t="s">
        <v>193</v>
      </c>
      <c r="E41" s="10" t="s">
        <v>34</v>
      </c>
      <c r="F41" s="10" t="s">
        <v>18</v>
      </c>
      <c r="G41" s="10" t="s">
        <v>194</v>
      </c>
      <c r="H41" s="11">
        <v>20000</v>
      </c>
      <c r="I41" s="11">
        <v>5000</v>
      </c>
      <c r="J41" s="13" t="s">
        <v>93</v>
      </c>
      <c r="K41" s="10" t="s">
        <v>195</v>
      </c>
      <c r="L41" s="11"/>
      <c r="M41" s="11"/>
      <c r="N41" s="14" t="s">
        <v>196</v>
      </c>
      <c r="O41" s="26" t="str">
        <f>VLOOKUP(A41,'[1]08-06-26'!$A$2:$T$70,20,0)</f>
        <v xml:space="preserve">Square Arrangement 15     </v>
      </c>
      <c r="P41" s="26" t="str">
        <f>VLOOKUP(A41,'[1]15-06-26'!$A$2:$T$77,20,0)</f>
        <v xml:space="preserve">Square arrangment 15     </v>
      </c>
      <c r="Q41" s="26" t="str">
        <f>VLOOKUP(A41,'[1]22-06-26'!$A$2:$T$70,20,0)</f>
        <v xml:space="preserve">Square Arrangement  15     </v>
      </c>
      <c r="R41" s="26" t="str">
        <f>VLOOKUP(A41,'[1]29-06-26'!$A$2:$T$71,20,0)</f>
        <v xml:space="preserve">Square Arrangement 15     </v>
      </c>
      <c r="S41" s="26" t="str">
        <f>VLOOKUP(A41,'[2]06-07-26'!$A$2:$T$88,20,0)</f>
        <v xml:space="preserve">Square Arrangement 15     </v>
      </c>
      <c r="T41" s="26" t="s">
        <v>352</v>
      </c>
      <c r="U41" s="26">
        <v>15</v>
      </c>
      <c r="V41" s="26"/>
      <c r="W41" s="26"/>
      <c r="X41" s="26"/>
      <c r="Y41" s="26"/>
      <c r="Z41" s="26"/>
      <c r="AA41" s="26"/>
      <c r="AB41" s="26"/>
      <c r="AC41" s="26"/>
      <c r="AD41" s="26"/>
    </row>
    <row r="42" spans="1:30" ht="112.3" customHeight="1" x14ac:dyDescent="0.3">
      <c r="A42" s="1">
        <v>2672</v>
      </c>
      <c r="B42" s="15" t="s">
        <v>197</v>
      </c>
      <c r="C42" s="18">
        <v>9810545028</v>
      </c>
      <c r="D42" s="10" t="s">
        <v>198</v>
      </c>
      <c r="E42" s="10" t="s">
        <v>34</v>
      </c>
      <c r="F42" s="10" t="s">
        <v>18</v>
      </c>
      <c r="G42" s="10" t="s">
        <v>19</v>
      </c>
      <c r="H42" s="11">
        <v>999</v>
      </c>
      <c r="I42" s="11">
        <v>249.75</v>
      </c>
      <c r="J42" s="13" t="s">
        <v>50</v>
      </c>
      <c r="K42" s="11"/>
      <c r="L42" s="11"/>
      <c r="M42" s="11"/>
      <c r="N42" s="14" t="s">
        <v>31</v>
      </c>
      <c r="O42" s="26" t="str">
        <f>VLOOKUP(A42,'[1]08-06-26'!$A$2:$T$70,20,0)</f>
        <v>P n W Glad ( 14 Inch ) 9     Grass</v>
      </c>
      <c r="P42" s="26" t="str">
        <f>VLOOKUP(A42,'[1]15-06-26'!$A$2:$T$77,20,0)</f>
        <v>R n W Car ( 14 Inch ) 9     FF Sachet + Grass</v>
      </c>
      <c r="Q42" s="26" t="str">
        <f>VLOOKUP(A42,'[1]22-06-26'!$A$2:$T$70,20,0)</f>
        <v>Sunflower ( 12 Inch ) 2     FF Sachet + Grass</v>
      </c>
      <c r="R42" s="26" t="str">
        <f>VLOOKUP(A42,'[1]29-06-26'!$A$2:$T$71,20,0)</f>
        <v>W Asiatic ( 14 Inch ) 2     Grass</v>
      </c>
      <c r="S42" s="26" t="str">
        <f>VLOOKUP(A42,'[2]06-07-26'!$A$2:$T$88,20,0)</f>
        <v>Rajni ( 14 Inch ) 9     Grass</v>
      </c>
      <c r="T42" s="26" t="s">
        <v>331</v>
      </c>
      <c r="U42" s="26">
        <v>9</v>
      </c>
      <c r="V42" s="26"/>
      <c r="W42" s="26"/>
      <c r="X42" s="26"/>
      <c r="Y42" s="26"/>
      <c r="Z42" s="26" t="s">
        <v>338</v>
      </c>
      <c r="AA42" s="26"/>
      <c r="AB42" s="26"/>
      <c r="AC42" s="26"/>
      <c r="AD42" s="26"/>
    </row>
    <row r="43" spans="1:30" ht="112.3" customHeight="1" x14ac:dyDescent="0.3">
      <c r="A43" s="1">
        <v>2620</v>
      </c>
      <c r="B43" s="15" t="s">
        <v>199</v>
      </c>
      <c r="C43" s="11" t="s">
        <v>200</v>
      </c>
      <c r="D43" s="10" t="s">
        <v>201</v>
      </c>
      <c r="E43" s="10" t="s">
        <v>49</v>
      </c>
      <c r="F43" s="10" t="s">
        <v>18</v>
      </c>
      <c r="G43" s="17" t="s">
        <v>202</v>
      </c>
      <c r="H43" s="11">
        <v>4160</v>
      </c>
      <c r="I43" s="11">
        <v>1040</v>
      </c>
      <c r="J43" s="11" t="s">
        <v>203</v>
      </c>
      <c r="K43" s="10" t="s">
        <v>204</v>
      </c>
      <c r="L43" s="11"/>
      <c r="M43" s="10" t="s">
        <v>205</v>
      </c>
      <c r="N43" s="14" t="s">
        <v>31</v>
      </c>
      <c r="O43" s="26" t="str">
        <f>VLOOKUP(A43,'[1]08-06-26'!$A$2:$T$70,20,0)</f>
        <v>P n Y Spray Daisy ( 14 Inch ) 16     2 Limonium + FF Sachet</v>
      </c>
      <c r="P43" s="26" t="str">
        <f>VLOOKUP(A43,'[1]15-06-26'!$A$2:$T$77,20,0)</f>
        <v>Y n W Spray Daisy ( 14 Inch ) 16     2 Gypsola + FF sachet</v>
      </c>
      <c r="Q43" s="26" t="str">
        <f>VLOOKUP(A43,'[1]22-06-26'!$A$2:$T$70,20,0)</f>
        <v>P n W Spray Daisy 16     2 Limonoum + FF sachet</v>
      </c>
      <c r="R43" s="26" t="str">
        <f>VLOOKUP(A43,'[1]29-06-26'!$A$2:$T$71,20,0)</f>
        <v>P n Y Spray Daisy ( 14 Inch ) 16     2 Gypsola + FF Sachet</v>
      </c>
      <c r="S43" s="26" t="str">
        <f>VLOOKUP(A43,'[2]06-07-26'!$A$2:$T$88,20,0)</f>
        <v>O n W Spray Daisy ( 14 Inch ) 16     2 Limonium + FF sachet</v>
      </c>
      <c r="T43" s="26" t="s">
        <v>346</v>
      </c>
      <c r="U43" s="26">
        <v>16</v>
      </c>
      <c r="V43" s="26"/>
      <c r="W43" s="26"/>
      <c r="X43" s="26"/>
      <c r="Y43" s="26"/>
      <c r="Z43" s="26" t="s">
        <v>349</v>
      </c>
      <c r="AA43" s="26"/>
      <c r="AB43" s="26"/>
      <c r="AC43" s="26"/>
      <c r="AD43" s="26"/>
    </row>
    <row r="44" spans="1:30" ht="112.3" customHeight="1" x14ac:dyDescent="0.3">
      <c r="A44" s="1">
        <v>3223</v>
      </c>
      <c r="B44" s="15" t="s">
        <v>206</v>
      </c>
      <c r="C44" s="11">
        <v>9650088297</v>
      </c>
      <c r="D44" s="10" t="s">
        <v>207</v>
      </c>
      <c r="E44" s="10" t="s">
        <v>17</v>
      </c>
      <c r="F44" s="10" t="s">
        <v>18</v>
      </c>
      <c r="G44" s="17" t="s">
        <v>35</v>
      </c>
      <c r="H44" s="11">
        <v>1950</v>
      </c>
      <c r="I44" s="11">
        <v>487.5</v>
      </c>
      <c r="J44" s="10" t="s">
        <v>44</v>
      </c>
      <c r="K44" s="10" t="s">
        <v>208</v>
      </c>
      <c r="L44" s="11"/>
      <c r="M44" s="10" t="s">
        <v>209</v>
      </c>
      <c r="N44" s="14" t="s">
        <v>210</v>
      </c>
      <c r="O44" s="26" t="str">
        <f>VLOOKUP(A44,'[1]08-06-26'!$A$2:$T$70,20,0)</f>
        <v>O Asiatic ( 14 inch ) 4     Grass</v>
      </c>
      <c r="P44" s="26" t="str">
        <f>VLOOKUP(A44,'[1]15-06-26'!$A$2:$T$77,20,0)</f>
        <v>Mix Alstroemeria ( 12 Inch ) 22     FF Sachet + Grass</v>
      </c>
      <c r="Q44" s="26" t="str">
        <f>VLOOKUP(A44,'[1]22-06-26'!$A$2:$T$70,20,0)</f>
        <v>Rajni ( 14 Inch ) 22     Grass</v>
      </c>
      <c r="R44" s="26" t="str">
        <f>VLOOKUP(A44,'[1]29-06-26'!$A$2:$T$71,20,0)</f>
        <v>Pur n P Eustoma ( 12 Inch ) 4     FF Sachet + Grass</v>
      </c>
      <c r="S44" s="26" t="str">
        <f>VLOOKUP(A44,'[2]06-07-26'!$A$2:$T$88,20,0)</f>
        <v>Asiatic 4     Grass</v>
      </c>
      <c r="T44" s="26" t="s">
        <v>334</v>
      </c>
      <c r="U44" s="26">
        <v>22</v>
      </c>
      <c r="V44" s="26"/>
      <c r="W44" s="26"/>
      <c r="X44" s="26"/>
      <c r="Y44" s="26"/>
      <c r="Z44" s="26" t="s">
        <v>337</v>
      </c>
      <c r="AA44" s="26"/>
      <c r="AB44" s="26"/>
      <c r="AC44" s="26"/>
      <c r="AD44" s="26"/>
    </row>
    <row r="45" spans="1:30" ht="112.3" customHeight="1" x14ac:dyDescent="0.3">
      <c r="A45" s="1">
        <v>2369</v>
      </c>
      <c r="B45" s="15" t="s">
        <v>211</v>
      </c>
      <c r="C45" s="11"/>
      <c r="D45" s="10" t="s">
        <v>160</v>
      </c>
      <c r="E45" s="10" t="s">
        <v>49</v>
      </c>
      <c r="F45" s="10" t="s">
        <v>18</v>
      </c>
      <c r="G45" s="17" t="s">
        <v>35</v>
      </c>
      <c r="H45" s="11">
        <v>2750</v>
      </c>
      <c r="I45" s="11">
        <v>687.5</v>
      </c>
      <c r="J45" s="13" t="s">
        <v>93</v>
      </c>
      <c r="K45" s="10" t="s">
        <v>166</v>
      </c>
      <c r="L45" s="11"/>
      <c r="M45" s="11"/>
      <c r="N45" s="14" t="s">
        <v>196</v>
      </c>
      <c r="O45" s="26" t="str">
        <f>VLOOKUP(A45,'[1]08-06-26'!$A$2:$T$70,20,0)</f>
        <v>Sunflower ( 12 Inch ) 7     Grass</v>
      </c>
      <c r="P45" s="26" t="str">
        <f>VLOOKUP(A45,'[1]15-06-26'!$A$2:$T$77,20,0)</f>
        <v>P n W Glad ( 14 Inch ) 32     Grass</v>
      </c>
      <c r="Q45" s="26" t="str">
        <f>VLOOKUP(A45,'[1]22-06-26'!$A$2:$T$70,20,0)</f>
        <v>Pur n W Eustoma ( 12 Inch) 6     Grass</v>
      </c>
      <c r="R45" s="26" t="str">
        <f>VLOOKUP(A45,'[1]29-06-26'!$A$2:$T$71,20,0)</f>
        <v>Pur n P Car ( 14 Inch ) 32     FF Sachet + Grass</v>
      </c>
      <c r="S45" s="26" t="str">
        <f>VLOOKUP(A45,'[2]06-07-26'!$A$2:$T$88,20,0)</f>
        <v>Rajni ( 14 Inch ) 32     2 Limonium</v>
      </c>
      <c r="T45" s="26" t="s">
        <v>332</v>
      </c>
      <c r="U45" s="26">
        <v>6</v>
      </c>
      <c r="V45" s="26"/>
      <c r="W45" s="26"/>
      <c r="X45" s="26"/>
      <c r="Y45" s="26"/>
      <c r="Z45" s="26" t="s">
        <v>348</v>
      </c>
      <c r="AA45" s="26"/>
      <c r="AB45" s="26"/>
      <c r="AC45" s="26"/>
      <c r="AD45" s="26"/>
    </row>
    <row r="46" spans="1:30" ht="112.3" customHeight="1" x14ac:dyDescent="0.3">
      <c r="A46" s="1">
        <v>1615</v>
      </c>
      <c r="B46" s="15" t="s">
        <v>212</v>
      </c>
      <c r="C46" s="11">
        <v>9971911162</v>
      </c>
      <c r="D46" s="10" t="s">
        <v>213</v>
      </c>
      <c r="E46" s="10" t="s">
        <v>17</v>
      </c>
      <c r="F46" s="10" t="s">
        <v>18</v>
      </c>
      <c r="G46" s="21" t="s">
        <v>148</v>
      </c>
      <c r="H46" s="11">
        <v>1450</v>
      </c>
      <c r="I46" s="11">
        <v>362.5</v>
      </c>
      <c r="J46" s="10" t="s">
        <v>20</v>
      </c>
      <c r="K46" s="10" t="s">
        <v>214</v>
      </c>
      <c r="L46" s="10" t="s">
        <v>215</v>
      </c>
      <c r="M46" s="10" t="s">
        <v>216</v>
      </c>
      <c r="N46" s="14" t="s">
        <v>31</v>
      </c>
      <c r="O46" s="26" t="e">
        <f>VLOOKUP(A46,'[1]08-06-26'!$A$2:$T$70,20,0)</f>
        <v>#N/A</v>
      </c>
      <c r="P46" s="26" t="e">
        <f>VLOOKUP(A46,'[1]15-06-26'!$A$2:$T$77,20,0)</f>
        <v>#N/A</v>
      </c>
      <c r="Q46" s="26" t="str">
        <f>VLOOKUP(A46,'[1]22-06-26'!$A$2:$T$70,20,0)</f>
        <v>Sunflower ( 12 Inch ) 2 Pur n P Car ( 14 Inch ) 7   FF Sachet + Grass</v>
      </c>
      <c r="R46" s="26" t="str">
        <f>VLOOKUP(A46,'[1]29-06-26'!$A$2:$T$71,20,0)</f>
        <v>P Asiatic ( 14 Inch ) 2 P n W Glad ( 14 Inch ) 7   Grass</v>
      </c>
      <c r="S46" s="26" t="str">
        <f>VLOOKUP(A46,'[2]06-07-26'!$A$2:$T$88,20,0)</f>
        <v>Y Spray Daisy ( 14 Inch ) 3 Rajni ( 14 Inch ) 7   FF Sachet + Grass</v>
      </c>
      <c r="T46" s="26" t="s">
        <v>333</v>
      </c>
      <c r="U46" s="26">
        <v>2</v>
      </c>
      <c r="V46" s="26" t="s">
        <v>329</v>
      </c>
      <c r="W46" s="26">
        <v>7</v>
      </c>
      <c r="X46" s="26"/>
      <c r="Y46" s="26"/>
      <c r="Z46" s="26" t="s">
        <v>337</v>
      </c>
      <c r="AA46" s="26"/>
      <c r="AB46" s="26"/>
      <c r="AC46" s="26"/>
      <c r="AD46" s="26"/>
    </row>
    <row r="47" spans="1:30" ht="112.3" customHeight="1" x14ac:dyDescent="0.3">
      <c r="A47" s="15">
        <v>3249</v>
      </c>
      <c r="B47" s="15" t="s">
        <v>217</v>
      </c>
      <c r="C47" s="11">
        <v>9910985656</v>
      </c>
      <c r="D47" s="10" t="s">
        <v>218</v>
      </c>
      <c r="E47" s="10" t="s">
        <v>58</v>
      </c>
      <c r="F47" s="10" t="s">
        <v>18</v>
      </c>
      <c r="G47" s="11" t="s">
        <v>35</v>
      </c>
      <c r="H47" s="11">
        <v>1450</v>
      </c>
      <c r="I47" s="11">
        <v>362.5</v>
      </c>
      <c r="J47" s="10" t="s">
        <v>20</v>
      </c>
      <c r="K47" s="10" t="s">
        <v>219</v>
      </c>
      <c r="L47" s="10" t="s">
        <v>220</v>
      </c>
      <c r="M47" s="11"/>
      <c r="N47" s="14" t="s">
        <v>31</v>
      </c>
      <c r="O47" s="26" t="str">
        <f>VLOOKUP(A47,'[1]08-06-26'!$A$2:$T$70,20,0)</f>
        <v>P n W Spray Daisy ( 14 Inch ) 5     FF Sachet + Grass</v>
      </c>
      <c r="P47" s="26" t="str">
        <f>VLOOKUP(A47,'[1]15-06-26'!$A$2:$T$77,20,0)</f>
        <v>Pur n P Car ( 14 Inch ) 16     FF Sachet + Grass</v>
      </c>
      <c r="Q47" s="26" t="str">
        <f>VLOOKUP(A47,'[1]22-06-26'!$A$2:$T$70,20,0)</f>
        <v>Rajni ( 14 Inch ) 16     Grass</v>
      </c>
      <c r="R47" s="26" t="str">
        <f>VLOOKUP(A47,'[1]29-06-26'!$A$2:$T$71,20,0)</f>
        <v>P n W Glad ( 14 Inch ) 16     Grass</v>
      </c>
      <c r="S47" s="26" t="str">
        <f>VLOOKUP(A47,'[2]06-07-26'!$A$2:$T$88,20,0)</f>
        <v>Asiatic 3     FF Sachet + Grass</v>
      </c>
      <c r="T47" s="26" t="s">
        <v>334</v>
      </c>
      <c r="U47" s="26">
        <v>16</v>
      </c>
      <c r="V47" s="26"/>
      <c r="W47" s="26"/>
      <c r="X47" s="26"/>
      <c r="Y47" s="26"/>
      <c r="Z47" s="26" t="s">
        <v>337</v>
      </c>
      <c r="AA47" s="26"/>
      <c r="AB47" s="26"/>
      <c r="AC47" s="26"/>
      <c r="AD47" s="26"/>
    </row>
    <row r="48" spans="1:30" ht="112.3" customHeight="1" x14ac:dyDescent="0.3">
      <c r="A48" s="1">
        <v>3379</v>
      </c>
      <c r="B48" s="15" t="s">
        <v>221</v>
      </c>
      <c r="C48" s="11">
        <v>8802385651</v>
      </c>
      <c r="D48" s="10" t="s">
        <v>222</v>
      </c>
      <c r="E48" s="10" t="s">
        <v>99</v>
      </c>
      <c r="F48" s="10" t="s">
        <v>18</v>
      </c>
      <c r="G48" s="11" t="s">
        <v>19</v>
      </c>
      <c r="H48" s="11">
        <v>1450</v>
      </c>
      <c r="I48" s="11">
        <v>362.5</v>
      </c>
      <c r="J48" s="10" t="s">
        <v>20</v>
      </c>
      <c r="K48" s="10" t="s">
        <v>223</v>
      </c>
      <c r="L48" s="11"/>
      <c r="M48" s="11"/>
      <c r="N48" s="14" t="s">
        <v>196</v>
      </c>
      <c r="O48" s="26" t="e">
        <f>VLOOKUP(A48,'[1]08-06-26'!$A$2:$T$70,20,0)</f>
        <v>#N/A</v>
      </c>
      <c r="P48" s="26" t="str">
        <f>VLOOKUP(A48,'[1]15-06-26'!$A$2:$T$77,20,0)</f>
        <v>Pur Eustoma ( 12 Inch ) 2 P n W Glad ( 14 Inch ) 7   FF Sachet + Grass</v>
      </c>
      <c r="Q48" s="26" t="str">
        <f>VLOOKUP(A48,'[1]22-06-26'!$A$2:$T$70,20,0)</f>
        <v>Y Spray Daisy ( 14 Inch ) 3 Rajni ( 14 inch ) 7   FF Sachet + Grass</v>
      </c>
      <c r="R48" s="26" t="str">
        <f>VLOOKUP(A48,'[1]29-06-26'!$A$2:$T$71,20,0)</f>
        <v>P Asiatic ( 14 Inch ) 2 Pur n P Car ( 14 Inch ) 7   Grass</v>
      </c>
      <c r="S48" s="26" t="str">
        <f>VLOOKUP(A48,'[2]06-07-26'!$A$2:$T$88,20,0)</f>
        <v>Sunflower ( 12 Inch ) 2 Mix Alstroemeria 7   FF Sachet + Grass</v>
      </c>
      <c r="T48" s="26" t="s">
        <v>330</v>
      </c>
      <c r="U48" s="26">
        <v>2</v>
      </c>
      <c r="V48" s="26" t="s">
        <v>331</v>
      </c>
      <c r="W48" s="26">
        <v>7</v>
      </c>
      <c r="X48" s="26"/>
      <c r="Y48" s="26"/>
      <c r="Z48" s="26" t="s">
        <v>338</v>
      </c>
      <c r="AA48" s="26"/>
      <c r="AB48" s="26"/>
      <c r="AC48" s="26"/>
      <c r="AD48" s="26"/>
    </row>
    <row r="49" spans="1:30" ht="112.3" customHeight="1" x14ac:dyDescent="0.3">
      <c r="A49" s="1">
        <v>1477</v>
      </c>
      <c r="B49" s="20" t="s">
        <v>224</v>
      </c>
      <c r="C49" s="11">
        <v>9810745341</v>
      </c>
      <c r="D49" s="10" t="s">
        <v>225</v>
      </c>
      <c r="E49" s="10" t="s">
        <v>17</v>
      </c>
      <c r="F49" s="10" t="s">
        <v>26</v>
      </c>
      <c r="G49" s="17" t="s">
        <v>115</v>
      </c>
      <c r="H49" s="11">
        <v>1600</v>
      </c>
      <c r="I49" s="11">
        <v>200</v>
      </c>
      <c r="J49" s="10" t="s">
        <v>27</v>
      </c>
      <c r="K49" s="10" t="s">
        <v>226</v>
      </c>
      <c r="L49" s="11"/>
      <c r="M49" s="11"/>
      <c r="N49" s="14" t="s">
        <v>327</v>
      </c>
      <c r="O49" s="26" t="str">
        <f>VLOOKUP(A49,'[1]08-06-26'!$A$2:$T$70,20,0)</f>
        <v>Sunflower ( 12 Inch ) 2     FF Sachet + Grass</v>
      </c>
      <c r="P49" s="26" t="str">
        <f>VLOOKUP(A49,'[1]15-06-26'!$A$2:$T$77,20,0)</f>
        <v>P n W Glad ( 14 Inch ) 7     Grass</v>
      </c>
      <c r="Q49" s="26" t="str">
        <f>VLOOKUP(A49,'[1]22-06-26'!$A$2:$T$70,20,0)</f>
        <v>B Daisy ( 12 Inch ) 7     Grass</v>
      </c>
      <c r="R49" s="26" t="str">
        <f>VLOOKUP(A49,'[1]29-06-26'!$A$2:$T$71,20,0)</f>
        <v>Sunflower ( 12 Inch ) 2     FF Sachet + Grass</v>
      </c>
      <c r="S49" s="26" t="str">
        <f>VLOOKUP(A49,'[2]06-07-26'!$A$2:$T$88,20,0)</f>
        <v>Mix Alstroemeria ( 12 Inch ) 7     FF Sachet + Grass</v>
      </c>
      <c r="T49" s="26" t="s">
        <v>335</v>
      </c>
      <c r="U49" s="26">
        <v>2</v>
      </c>
      <c r="V49" s="26"/>
      <c r="W49" s="26"/>
      <c r="X49" s="26"/>
      <c r="Y49" s="26"/>
      <c r="Z49" s="26" t="s">
        <v>337</v>
      </c>
      <c r="AA49" s="26"/>
      <c r="AB49" s="26"/>
      <c r="AC49" s="26"/>
      <c r="AD49" s="26"/>
    </row>
    <row r="50" spans="1:30" ht="112.3" customHeight="1" x14ac:dyDescent="0.3">
      <c r="A50" s="13">
        <v>2041</v>
      </c>
      <c r="B50" s="15" t="s">
        <v>227</v>
      </c>
      <c r="C50" s="18">
        <v>8505816000</v>
      </c>
      <c r="D50" s="10" t="s">
        <v>228</v>
      </c>
      <c r="E50" s="10" t="s">
        <v>34</v>
      </c>
      <c r="F50" s="10" t="s">
        <v>18</v>
      </c>
      <c r="G50" s="17" t="s">
        <v>35</v>
      </c>
      <c r="H50" s="11">
        <v>999</v>
      </c>
      <c r="I50" s="11">
        <v>249.75</v>
      </c>
      <c r="J50" s="13" t="s">
        <v>50</v>
      </c>
      <c r="K50" s="10" t="s">
        <v>229</v>
      </c>
      <c r="L50" s="11"/>
      <c r="M50" s="10" t="s">
        <v>230</v>
      </c>
      <c r="N50" s="14" t="s">
        <v>196</v>
      </c>
      <c r="O50" s="26" t="str">
        <f>VLOOKUP(A50,'[1]08-06-26'!$A$2:$T$70,20,0)</f>
        <v>Mix Alstroemeria ( 12 Inch ) 9     FF Sachet + Grass</v>
      </c>
      <c r="P50" s="26" t="str">
        <f>VLOOKUP(A50,'[1]15-06-26'!$A$2:$T$77,20,0)</f>
        <v>Pur n P Car ( 14 Inch ) 9     FF Sachet + Grass</v>
      </c>
      <c r="Q50" s="26" t="str">
        <f>VLOOKUP(A50,'[1]22-06-26'!$A$2:$T$70,20,0)</f>
        <v>P n W Gerbera ( 12 Inch ) 9     FF Sachet + Grass</v>
      </c>
      <c r="R50" s="26" t="str">
        <f>VLOOKUP(A50,'[1]29-06-26'!$A$2:$T$71,20,0)</f>
        <v>Rajni ( 14 Inch ) 9     Grass</v>
      </c>
      <c r="S50" s="26" t="str">
        <f>VLOOKUP(A50,'[2]06-07-26'!$A$2:$T$88,20,0)</f>
        <v>Sunflower ( 12 Inch ) 2     Grass</v>
      </c>
      <c r="T50" s="26" t="s">
        <v>334</v>
      </c>
      <c r="U50" s="26">
        <v>9</v>
      </c>
      <c r="V50" s="26"/>
      <c r="W50" s="26"/>
      <c r="X50" s="26"/>
      <c r="Y50" s="26"/>
      <c r="Z50" s="26" t="s">
        <v>338</v>
      </c>
      <c r="AA50" s="26"/>
      <c r="AB50" s="26"/>
      <c r="AC50" s="26"/>
      <c r="AD50" s="26"/>
    </row>
    <row r="51" spans="1:30" ht="112.3" customHeight="1" x14ac:dyDescent="0.3">
      <c r="A51" s="1">
        <v>1908</v>
      </c>
      <c r="B51" s="9" t="s">
        <v>231</v>
      </c>
      <c r="C51" s="11">
        <v>8826368500</v>
      </c>
      <c r="D51" s="10" t="s">
        <v>232</v>
      </c>
      <c r="E51" s="10" t="s">
        <v>58</v>
      </c>
      <c r="F51" s="10" t="s">
        <v>18</v>
      </c>
      <c r="G51" s="21" t="s">
        <v>43</v>
      </c>
      <c r="H51" s="11">
        <v>1450</v>
      </c>
      <c r="I51" s="11">
        <v>362.5</v>
      </c>
      <c r="J51" s="10" t="s">
        <v>20</v>
      </c>
      <c r="K51" s="10" t="s">
        <v>233</v>
      </c>
      <c r="L51" s="10" t="s">
        <v>234</v>
      </c>
      <c r="M51" s="11"/>
      <c r="N51" s="14" t="s">
        <v>55</v>
      </c>
      <c r="O51" s="26" t="e">
        <f>VLOOKUP(A51,'[1]08-06-26'!$A$2:$T$70,20,0)</f>
        <v>#N/A</v>
      </c>
      <c r="P51" s="26" t="str">
        <f>VLOOKUP(A51,'[1]15-06-26'!$A$2:$T$77,20,0)</f>
        <v>Mix Alstroemeria ( 12 Inch ) 16     FF Sachet + Grass</v>
      </c>
      <c r="Q51" s="26" t="str">
        <f>VLOOKUP(A51,'[1]22-06-26'!$A$2:$T$70,20,0)</f>
        <v>Pur Eustom ( 12 Inch ) 3     FF Sachet + Grass</v>
      </c>
      <c r="R51" s="26" t="str">
        <f>VLOOKUP(A51,'[1]29-06-26'!$A$2:$T$71,20,0)</f>
        <v>Pur n P Car ( 14 Inch ) 16     FF Sachet + Grass</v>
      </c>
      <c r="S51" s="26" t="str">
        <f>VLOOKUP(A51,'[2]06-07-26'!$A$2:$T$88,20,0)</f>
        <v>Mix Alstroemeria ( 12 Inch ) 16     FF Sachet + Grass</v>
      </c>
      <c r="T51" s="26" t="s">
        <v>330</v>
      </c>
      <c r="U51" s="26">
        <v>3</v>
      </c>
      <c r="V51" s="26"/>
      <c r="W51" s="26"/>
      <c r="X51" s="26"/>
      <c r="Y51" s="26"/>
      <c r="Z51" s="26" t="s">
        <v>338</v>
      </c>
      <c r="AA51" s="26"/>
      <c r="AB51" s="26"/>
      <c r="AC51" s="26"/>
      <c r="AD51" s="26"/>
    </row>
    <row r="52" spans="1:30" ht="112.3" customHeight="1" x14ac:dyDescent="0.3">
      <c r="A52" s="1">
        <v>3309</v>
      </c>
      <c r="B52" s="15" t="s">
        <v>235</v>
      </c>
      <c r="C52" s="11">
        <v>9986608474</v>
      </c>
      <c r="D52" s="10" t="s">
        <v>236</v>
      </c>
      <c r="E52" s="10" t="s">
        <v>17</v>
      </c>
      <c r="F52" s="10" t="s">
        <v>26</v>
      </c>
      <c r="G52" s="17" t="s">
        <v>35</v>
      </c>
      <c r="H52" s="11">
        <v>2550</v>
      </c>
      <c r="I52" s="11">
        <v>318.75</v>
      </c>
      <c r="J52" s="10" t="s">
        <v>237</v>
      </c>
      <c r="K52" s="10" t="s">
        <v>238</v>
      </c>
      <c r="L52" s="11"/>
      <c r="M52" s="11"/>
      <c r="N52" s="14" t="s">
        <v>46</v>
      </c>
      <c r="O52" s="26" t="str">
        <f>VLOOKUP(A52,'[1]08-06-26'!$A$2:$T$70,20,0)</f>
        <v>Rajni ( 14 Inch ) 11     Grass</v>
      </c>
      <c r="P52" s="26" t="str">
        <f>VLOOKUP(A52,'[1]15-06-26'!$A$2:$T$77,20,0)</f>
        <v>Sunflower ( 12 Inch ) 3     FF sachet + Grass</v>
      </c>
      <c r="Q52" s="26" t="str">
        <f>VLOOKUP(A52,'[1]22-06-26'!$A$2:$T$70,20,0)</f>
        <v>P n W Gerbera ( 12 Inch ) 11     Grass</v>
      </c>
      <c r="R52" s="26" t="str">
        <f>VLOOKUP(A52,'[1]29-06-26'!$A$2:$T$71,20,0)</f>
        <v>B Orchid  4     FF Sachet + Grass</v>
      </c>
      <c r="S52" s="26" t="str">
        <f>VLOOKUP(A52,'[2]06-07-26'!$A$2:$T$88,20,0)</f>
        <v>Sunflower ( 12 Inch ) 4     FF Sachet + Grass</v>
      </c>
      <c r="T52" s="26" t="s">
        <v>336</v>
      </c>
      <c r="U52" s="26">
        <v>3</v>
      </c>
      <c r="V52" s="26"/>
      <c r="W52" s="26"/>
      <c r="X52" s="26"/>
      <c r="Y52" s="26"/>
      <c r="Z52" s="26" t="s">
        <v>337</v>
      </c>
      <c r="AA52" s="26"/>
      <c r="AB52" s="26"/>
      <c r="AC52" s="26"/>
      <c r="AD52" s="26"/>
    </row>
    <row r="53" spans="1:30" ht="112.3" customHeight="1" x14ac:dyDescent="0.3">
      <c r="A53" s="1">
        <v>2733</v>
      </c>
      <c r="B53" s="15" t="s">
        <v>239</v>
      </c>
      <c r="C53" s="18">
        <v>9810475164</v>
      </c>
      <c r="D53" s="10" t="s">
        <v>240</v>
      </c>
      <c r="E53" s="10" t="s">
        <v>58</v>
      </c>
      <c r="F53" s="10" t="s">
        <v>18</v>
      </c>
      <c r="G53" s="11" t="s">
        <v>35</v>
      </c>
      <c r="H53" s="11">
        <v>1450</v>
      </c>
      <c r="I53" s="11">
        <v>362.5</v>
      </c>
      <c r="J53" s="13" t="s">
        <v>20</v>
      </c>
      <c r="K53" s="10" t="s">
        <v>241</v>
      </c>
      <c r="L53" s="11"/>
      <c r="M53" s="11"/>
      <c r="N53" s="14" t="s">
        <v>242</v>
      </c>
      <c r="O53" s="26" t="str">
        <f>VLOOKUP(A53,'[1]08-06-26'!$A$2:$T$70,20,0)</f>
        <v>P n W Glad ( 14 Inch ) 9     Grass</v>
      </c>
      <c r="P53" s="26" t="str">
        <f>VLOOKUP(A53,'[1]15-06-26'!$A$2:$T$77,20,0)</f>
        <v>Pur n P Car ( 14 Inch ) 9     FF Sachet + Grass</v>
      </c>
      <c r="Q53" s="26" t="str">
        <f>VLOOKUP(A53,'[1]22-06-26'!$A$2:$T$70,20,0)</f>
        <v>B Daisy ( 12 Inch ) 9     Grass</v>
      </c>
      <c r="R53" s="26" t="str">
        <f>VLOOKUP(A53,'[1]29-06-26'!$A$2:$T$71,20,0)</f>
        <v>P Asiatic ( 14 Inch ) 2     Grass</v>
      </c>
      <c r="S53" s="26" t="str">
        <f>VLOOKUP(A53,'[2]06-07-26'!$A$2:$T$88,20,0)</f>
        <v>Rajni ( 14 Inch ) 9     Grass</v>
      </c>
      <c r="T53" s="26" t="s">
        <v>334</v>
      </c>
      <c r="U53" s="26">
        <v>16</v>
      </c>
      <c r="V53" s="26"/>
      <c r="W53" s="26"/>
      <c r="X53" s="26"/>
      <c r="Y53" s="26"/>
      <c r="Z53" s="26" t="s">
        <v>337</v>
      </c>
      <c r="AA53" s="26"/>
      <c r="AB53" s="26"/>
      <c r="AC53" s="26"/>
      <c r="AD53" s="26"/>
    </row>
    <row r="54" spans="1:30" ht="112.3" customHeight="1" x14ac:dyDescent="0.3">
      <c r="A54" s="1">
        <v>3404</v>
      </c>
      <c r="B54" s="15" t="s">
        <v>243</v>
      </c>
      <c r="C54" s="11">
        <v>8708387392</v>
      </c>
      <c r="D54" s="10" t="s">
        <v>244</v>
      </c>
      <c r="E54" s="10" t="s">
        <v>147</v>
      </c>
      <c r="F54" s="10" t="s">
        <v>18</v>
      </c>
      <c r="G54" s="19" t="s">
        <v>43</v>
      </c>
      <c r="H54" s="11">
        <v>1450</v>
      </c>
      <c r="I54" s="11">
        <v>362.5</v>
      </c>
      <c r="J54" s="10" t="s">
        <v>20</v>
      </c>
      <c r="K54" s="10" t="s">
        <v>245</v>
      </c>
      <c r="L54" s="11"/>
      <c r="M54" s="11"/>
      <c r="N54" s="14" t="s">
        <v>31</v>
      </c>
      <c r="O54" s="26" t="e">
        <f>VLOOKUP(A54,'[1]08-06-26'!$A$2:$T$70,20,0)</f>
        <v>#N/A</v>
      </c>
      <c r="P54" s="26" t="e">
        <f>VLOOKUP(A54,'[1]15-06-26'!$A$2:$T$77,20,0)</f>
        <v>#N/A</v>
      </c>
      <c r="Q54" s="26" t="e">
        <f>VLOOKUP(A54,'[1]22-06-26'!$A$2:$T$70,20,0)</f>
        <v>#N/A</v>
      </c>
      <c r="R54" s="26" t="e">
        <f>VLOOKUP(A54,'[1]29-06-26'!$A$2:$T$71,20,0)</f>
        <v>#N/A</v>
      </c>
      <c r="S54" s="26" t="e">
        <f>VLOOKUP(A54,'[2]06-07-26'!$A$2:$T$88,20,0)</f>
        <v>#N/A</v>
      </c>
      <c r="T54" s="26" t="s">
        <v>330</v>
      </c>
      <c r="U54" s="26">
        <v>3</v>
      </c>
      <c r="V54" s="26"/>
      <c r="W54" s="26"/>
      <c r="X54" s="26"/>
      <c r="Y54" s="26"/>
      <c r="Z54" s="26" t="s">
        <v>338</v>
      </c>
      <c r="AA54" s="26"/>
      <c r="AB54" s="26"/>
      <c r="AC54" s="26"/>
      <c r="AD54" s="26"/>
    </row>
    <row r="55" spans="1:30" ht="112.3" customHeight="1" x14ac:dyDescent="0.3">
      <c r="A55" s="1">
        <v>2483</v>
      </c>
      <c r="B55" s="15" t="s">
        <v>246</v>
      </c>
      <c r="C55" s="10" t="s">
        <v>247</v>
      </c>
      <c r="D55" s="10" t="s">
        <v>248</v>
      </c>
      <c r="E55" s="10" t="s">
        <v>249</v>
      </c>
      <c r="F55" s="10" t="s">
        <v>18</v>
      </c>
      <c r="G55" s="17" t="s">
        <v>35</v>
      </c>
      <c r="H55" s="11">
        <v>1450</v>
      </c>
      <c r="I55" s="11">
        <v>362.5</v>
      </c>
      <c r="J55" s="10" t="s">
        <v>20</v>
      </c>
      <c r="K55" s="10" t="s">
        <v>250</v>
      </c>
      <c r="L55" s="11"/>
      <c r="M55" s="11"/>
      <c r="N55" s="14" t="s">
        <v>242</v>
      </c>
      <c r="O55" s="26" t="str">
        <f>VLOOKUP(A55,'[1]08-06-26'!$A$2:$T$70,20,0)</f>
        <v>P Spray Daisy ( 14 Inch ) 3 Pur n P Car ( 14 inch ) 7   FF Sachet + Grass</v>
      </c>
      <c r="P55" s="26" t="str">
        <f>VLOOKUP(A55,'[1]15-06-26'!$A$2:$T$77,20,0)</f>
        <v>P Asiatic ( 14 Inch ) 2 P n W Glad ( 14 Inch ) 7   Grass</v>
      </c>
      <c r="Q55" s="26" t="str">
        <f>VLOOKUP(A55,'[1]22-06-26'!$A$2:$T$70,20,0)</f>
        <v>Pur Eustom ( 12 Inch ) 2 Rajni ( 14 inch ) 7   FF Sachet + Grass</v>
      </c>
      <c r="R55" s="26" t="str">
        <f>VLOOKUP(A55,'[1]29-06-26'!$A$2:$T$71,20,0)</f>
        <v>Sunflower ( 12 Inch ) 2 P n W Car ( 14 Inch ) 7   FF Sachet + Grass</v>
      </c>
      <c r="S55" s="26" t="str">
        <f>VLOOKUP(A55,'[2]06-07-26'!$A$2:$T$88,20,0)</f>
        <v>P Spray Daisy ( 14 Inch ) 3 Mix Alstroemeria 7   FF Sachet + Grass</v>
      </c>
      <c r="T55" s="26" t="s">
        <v>330</v>
      </c>
      <c r="U55" s="26">
        <v>2</v>
      </c>
      <c r="V55" s="26" t="s">
        <v>331</v>
      </c>
      <c r="W55" s="26">
        <v>7</v>
      </c>
      <c r="X55" s="26"/>
      <c r="Y55" s="26"/>
      <c r="Z55" s="26" t="s">
        <v>338</v>
      </c>
      <c r="AA55" s="26"/>
      <c r="AB55" s="26"/>
      <c r="AC55" s="26"/>
      <c r="AD55" s="26"/>
    </row>
    <row r="56" spans="1:30" ht="112.3" customHeight="1" x14ac:dyDescent="0.3">
      <c r="A56" s="13" t="s">
        <v>251</v>
      </c>
      <c r="B56" s="15" t="s">
        <v>252</v>
      </c>
      <c r="C56" s="11">
        <v>9967964488</v>
      </c>
      <c r="D56" s="10" t="s">
        <v>253</v>
      </c>
      <c r="E56" s="10" t="s">
        <v>254</v>
      </c>
      <c r="F56" s="10" t="s">
        <v>18</v>
      </c>
      <c r="G56" s="10" t="s">
        <v>92</v>
      </c>
      <c r="H56" s="11">
        <v>2600</v>
      </c>
      <c r="I56" s="11">
        <v>2600</v>
      </c>
      <c r="J56" s="10" t="s">
        <v>255</v>
      </c>
      <c r="K56" s="10" t="s">
        <v>256</v>
      </c>
      <c r="L56" s="11"/>
      <c r="M56" s="11"/>
      <c r="N56" s="14" t="s">
        <v>242</v>
      </c>
      <c r="O56" s="26" t="e">
        <f>VLOOKUP(A56,'[1]08-06-26'!$A$2:$T$70,20,0)</f>
        <v>#N/A</v>
      </c>
      <c r="P56" s="26" t="e">
        <f>VLOOKUP(A56,'[1]15-06-26'!$A$2:$T$77,20,0)</f>
        <v>#N/A</v>
      </c>
      <c r="Q56" s="26" t="e">
        <f>VLOOKUP(A56,'[1]22-06-26'!$A$2:$T$70,20,0)</f>
        <v>#N/A</v>
      </c>
      <c r="R56" s="26" t="e">
        <f>VLOOKUP(A56,'[1]29-06-26'!$A$2:$T$71,20,0)</f>
        <v>#N/A</v>
      </c>
      <c r="S56" s="26" t="e">
        <f>VLOOKUP(A56,'[2]06-07-26'!$A$2:$T$88,20,0)</f>
        <v>#N/A</v>
      </c>
      <c r="T56" s="26" t="s">
        <v>339</v>
      </c>
      <c r="U56" s="26">
        <v>8</v>
      </c>
      <c r="V56" s="26" t="s">
        <v>341</v>
      </c>
      <c r="W56" s="26" t="s">
        <v>342</v>
      </c>
      <c r="X56" s="26"/>
      <c r="Y56" s="26"/>
      <c r="Z56" s="26"/>
      <c r="AA56" s="26"/>
      <c r="AB56" s="26"/>
      <c r="AC56" s="26"/>
      <c r="AD56" s="26"/>
    </row>
    <row r="57" spans="1:30" ht="112.3" customHeight="1" x14ac:dyDescent="0.3">
      <c r="A57" s="13" t="s">
        <v>257</v>
      </c>
      <c r="B57" s="15" t="s">
        <v>258</v>
      </c>
      <c r="C57" s="11">
        <v>9818774223</v>
      </c>
      <c r="D57" s="10" t="s">
        <v>259</v>
      </c>
      <c r="E57" s="10" t="s">
        <v>99</v>
      </c>
      <c r="F57" s="10" t="s">
        <v>140</v>
      </c>
      <c r="G57" s="10" t="s">
        <v>92</v>
      </c>
      <c r="H57" s="11">
        <v>1120</v>
      </c>
      <c r="I57" s="11">
        <v>1120</v>
      </c>
      <c r="J57" s="10" t="s">
        <v>255</v>
      </c>
      <c r="K57" s="10" t="s">
        <v>260</v>
      </c>
      <c r="L57" s="11"/>
      <c r="M57" s="11"/>
      <c r="N57" s="14" t="s">
        <v>242</v>
      </c>
      <c r="O57" s="26" t="e">
        <f>VLOOKUP(A57,'[1]08-06-26'!$A$2:$T$70,20,0)</f>
        <v>#N/A</v>
      </c>
      <c r="P57" s="26" t="e">
        <f>VLOOKUP(A57,'[1]15-06-26'!$A$2:$T$77,20,0)</f>
        <v>#N/A</v>
      </c>
      <c r="Q57" s="26" t="e">
        <f>VLOOKUP(A57,'[1]22-06-26'!$A$2:$T$70,20,0)</f>
        <v>#N/A</v>
      </c>
      <c r="R57" s="26" t="e">
        <f>VLOOKUP(A57,'[1]29-06-26'!$A$2:$T$71,20,0)</f>
        <v>#N/A</v>
      </c>
      <c r="S57" s="26" t="e">
        <f>VLOOKUP(A57,'[2]06-07-26'!$A$2:$T$88,20,0)</f>
        <v>#N/A</v>
      </c>
      <c r="T57" s="26" t="s">
        <v>343</v>
      </c>
      <c r="U57" s="26" t="s">
        <v>344</v>
      </c>
      <c r="V57" s="26" t="s">
        <v>345</v>
      </c>
      <c r="W57" s="26" t="s">
        <v>342</v>
      </c>
      <c r="X57" s="26"/>
      <c r="Y57" s="26"/>
      <c r="Z57" s="26"/>
      <c r="AA57" s="26"/>
      <c r="AB57" s="26"/>
      <c r="AC57" s="26"/>
      <c r="AD57" s="26"/>
    </row>
    <row r="58" spans="1:30" ht="112.3" customHeight="1" x14ac:dyDescent="0.3">
      <c r="A58" s="1">
        <v>2895</v>
      </c>
      <c r="B58" s="15" t="s">
        <v>192</v>
      </c>
      <c r="C58" s="15">
        <v>8351968881</v>
      </c>
      <c r="D58" s="10" t="s">
        <v>261</v>
      </c>
      <c r="E58" s="10" t="s">
        <v>34</v>
      </c>
      <c r="F58" s="10" t="s">
        <v>18</v>
      </c>
      <c r="G58" s="10" t="s">
        <v>194</v>
      </c>
      <c r="H58" s="11">
        <v>20000</v>
      </c>
      <c r="I58" s="11">
        <v>5000</v>
      </c>
      <c r="J58" s="13" t="s">
        <v>93</v>
      </c>
      <c r="K58" s="10" t="s">
        <v>195</v>
      </c>
      <c r="L58" s="11"/>
      <c r="M58" s="11"/>
      <c r="N58" s="14" t="s">
        <v>262</v>
      </c>
      <c r="O58" s="26" t="str">
        <f>VLOOKUP(A58,'[1]08-06-26'!$A$2:$T$70,20,0)</f>
        <v xml:space="preserve">Square Arrangement 15     </v>
      </c>
      <c r="P58" s="26" t="str">
        <f>VLOOKUP(A58,'[1]15-06-26'!$A$2:$T$77,20,0)</f>
        <v xml:space="preserve">Square arrangment 15     </v>
      </c>
      <c r="Q58" s="26" t="str">
        <f>VLOOKUP(A58,'[1]22-06-26'!$A$2:$T$70,20,0)</f>
        <v xml:space="preserve">Square Arrangement  15     </v>
      </c>
      <c r="R58" s="26" t="str">
        <f>VLOOKUP(A58,'[1]29-06-26'!$A$2:$T$71,20,0)</f>
        <v xml:space="preserve">Square Arrangement 15     </v>
      </c>
      <c r="S58" s="26" t="str">
        <f>VLOOKUP(A58,'[2]06-07-26'!$A$2:$T$88,20,0)</f>
        <v xml:space="preserve">Square Arrangement 15     </v>
      </c>
      <c r="T58" s="26" t="s">
        <v>352</v>
      </c>
      <c r="U58" s="26">
        <v>15</v>
      </c>
      <c r="V58" s="26"/>
      <c r="W58" s="26"/>
      <c r="X58" s="26"/>
      <c r="Y58" s="26"/>
      <c r="Z58" s="26"/>
      <c r="AA58" s="26"/>
      <c r="AB58" s="26"/>
      <c r="AC58" s="26"/>
      <c r="AD58" s="26"/>
    </row>
    <row r="59" spans="1:30" ht="112.3" customHeight="1" x14ac:dyDescent="0.3">
      <c r="A59" s="1">
        <v>588</v>
      </c>
      <c r="B59" s="20" t="s">
        <v>263</v>
      </c>
      <c r="C59" s="1">
        <v>9810145564</v>
      </c>
      <c r="D59" s="13" t="s">
        <v>264</v>
      </c>
      <c r="E59" s="1" t="s">
        <v>17</v>
      </c>
      <c r="F59" s="10" t="s">
        <v>26</v>
      </c>
      <c r="G59" s="17" t="s">
        <v>35</v>
      </c>
      <c r="H59" s="11">
        <v>1600</v>
      </c>
      <c r="I59" s="11">
        <v>200</v>
      </c>
      <c r="J59" s="10" t="s">
        <v>27</v>
      </c>
      <c r="K59" s="13" t="s">
        <v>265</v>
      </c>
      <c r="L59" s="10" t="s">
        <v>266</v>
      </c>
      <c r="M59" s="11"/>
      <c r="N59" s="14" t="s">
        <v>267</v>
      </c>
      <c r="O59" s="26" t="str">
        <f>VLOOKUP(A59,'[1]08-06-26'!$A$2:$T$70,20,0)</f>
        <v>Mix Car  ( 14 Inch ) 7     FF Sachet + Grass</v>
      </c>
      <c r="P59" s="26" t="str">
        <f>VLOOKUP(A59,'[1]15-06-26'!$A$2:$T$77,20,0)</f>
        <v>Rajni ( 14 Inch ) 7     Grass</v>
      </c>
      <c r="Q59" s="26" t="str">
        <f>VLOOKUP(A59,'[1]22-06-26'!$A$2:$T$70,20,0)</f>
        <v>B Daisy ( 12 Inch ) 7     Grass</v>
      </c>
      <c r="R59" s="26" t="str">
        <f>VLOOKUP(A59,'[1]29-06-26'!$A$2:$T$71,20,0)</f>
        <v>P n W Car ( 14 Inch ) 7     FF Sachet + Grass</v>
      </c>
      <c r="S59" s="26" t="str">
        <f>VLOOKUP(A59,'[2]06-07-26'!$A$2:$T$88,20,0)</f>
        <v>Mix Alstroemeria ( 12 Inch ) 7     FF Sachet + Grass</v>
      </c>
      <c r="T59" s="26" t="s">
        <v>335</v>
      </c>
      <c r="U59" s="26">
        <v>2</v>
      </c>
      <c r="V59" s="26"/>
      <c r="W59" s="26"/>
      <c r="X59" s="26"/>
      <c r="Y59" s="26"/>
      <c r="Z59" s="26" t="s">
        <v>337</v>
      </c>
      <c r="AA59" s="26"/>
      <c r="AB59" s="26"/>
      <c r="AC59" s="26"/>
      <c r="AD59" s="26"/>
    </row>
    <row r="60" spans="1:30" ht="112.3" customHeight="1" x14ac:dyDescent="0.3">
      <c r="A60" s="1">
        <v>2571</v>
      </c>
      <c r="B60" s="15" t="s">
        <v>268</v>
      </c>
      <c r="C60" s="11">
        <v>9818829144</v>
      </c>
      <c r="D60" s="10" t="s">
        <v>269</v>
      </c>
      <c r="E60" s="10" t="s">
        <v>270</v>
      </c>
      <c r="F60" s="10" t="s">
        <v>18</v>
      </c>
      <c r="G60" s="17" t="s">
        <v>35</v>
      </c>
      <c r="H60" s="24">
        <v>1450</v>
      </c>
      <c r="I60" s="11">
        <v>362.5</v>
      </c>
      <c r="J60" s="10" t="s">
        <v>20</v>
      </c>
      <c r="K60" s="10" t="s">
        <v>271</v>
      </c>
      <c r="L60" s="11"/>
      <c r="M60" s="11"/>
      <c r="N60" s="14" t="s">
        <v>272</v>
      </c>
      <c r="O60" s="26" t="str">
        <f>VLOOKUP(A60,'[1]08-06-26'!$A$2:$T$70,20,0)</f>
        <v>Sunflower ( 12 Inch ) 4     FF Sachet + Grass</v>
      </c>
      <c r="P60" s="26" t="str">
        <f>VLOOKUP(A60,'[1]15-06-26'!$A$2:$T$77,20,0)</f>
        <v>P n W  Spray Daisy ( 14 Inch ) 5     FF Sachet + Grass</v>
      </c>
      <c r="Q60" s="26" t="str">
        <f>VLOOKUP(A60,'[1]22-06-26'!$A$2:$T$70,20,0)</f>
        <v>Y Asiatic ( 14 Inch ) 3     Grass</v>
      </c>
      <c r="R60" s="26" t="str">
        <f>VLOOKUP(A60,'[1]29-06-26'!$A$2:$T$71,20,0)</f>
        <v>P Eustoma ( 12 Inch ) 2 Rajni ( 14 Inch ) 7   FF Sachet + Grass</v>
      </c>
      <c r="S60" s="26" t="str">
        <f>VLOOKUP(A60,'[2]06-07-26'!$A$2:$T$88,20,0)</f>
        <v>Rajni ( 14 Inch ) 16     FF Sachet + Grass</v>
      </c>
      <c r="T60" s="26" t="s">
        <v>333</v>
      </c>
      <c r="U60" s="26">
        <v>4</v>
      </c>
      <c r="V60" s="26"/>
      <c r="W60" s="26"/>
      <c r="X60" s="26"/>
      <c r="Y60" s="26"/>
      <c r="Z60" s="26" t="s">
        <v>337</v>
      </c>
      <c r="AA60" s="26"/>
      <c r="AB60" s="26"/>
      <c r="AC60" s="26"/>
      <c r="AD60" s="26"/>
    </row>
    <row r="61" spans="1:30" ht="112.3" customHeight="1" x14ac:dyDescent="0.3">
      <c r="A61" s="1">
        <v>2356</v>
      </c>
      <c r="B61" s="15" t="s">
        <v>273</v>
      </c>
      <c r="C61" s="11">
        <v>9953086833</v>
      </c>
      <c r="D61" s="10" t="s">
        <v>274</v>
      </c>
      <c r="E61" s="10" t="s">
        <v>58</v>
      </c>
      <c r="F61" s="10" t="s">
        <v>18</v>
      </c>
      <c r="G61" s="17" t="s">
        <v>194</v>
      </c>
      <c r="H61" s="11">
        <v>5200</v>
      </c>
      <c r="I61" s="11">
        <v>1300</v>
      </c>
      <c r="J61" s="13" t="s">
        <v>93</v>
      </c>
      <c r="K61" s="10" t="s">
        <v>275</v>
      </c>
      <c r="L61" s="11"/>
      <c r="M61" s="11"/>
      <c r="N61" s="14" t="s">
        <v>262</v>
      </c>
      <c r="O61" s="26" t="str">
        <f>VLOOKUP(A61,'[1]08-06-26'!$A$2:$T$70,20,0)</f>
        <v xml:space="preserve">Arrangement  2     </v>
      </c>
      <c r="P61" s="26" t="str">
        <f>VLOOKUP(A61,'[1]15-06-26'!$A$2:$T$77,20,0)</f>
        <v xml:space="preserve">Arrangement 2     </v>
      </c>
      <c r="Q61" s="26" t="str">
        <f>VLOOKUP(A61,'[1]22-06-26'!$A$2:$T$70,20,0)</f>
        <v xml:space="preserve">Arrangement 2     </v>
      </c>
      <c r="R61" s="26" t="str">
        <f>VLOOKUP(A61,'[1]29-06-26'!$A$2:$T$71,20,0)</f>
        <v xml:space="preserve">Arrangement 2     </v>
      </c>
      <c r="S61" s="26" t="str">
        <f>VLOOKUP(A61,'[2]06-07-26'!$A$2:$T$88,20,0)</f>
        <v xml:space="preserve">Arrangement 2     </v>
      </c>
      <c r="T61" s="26" t="s">
        <v>351</v>
      </c>
      <c r="U61" s="26">
        <v>2</v>
      </c>
      <c r="V61" s="26"/>
      <c r="W61" s="26"/>
      <c r="X61" s="26"/>
      <c r="Y61" s="26"/>
      <c r="Z61" s="26"/>
      <c r="AA61" s="26"/>
      <c r="AB61" s="26"/>
      <c r="AC61" s="26"/>
      <c r="AD61" s="26"/>
    </row>
    <row r="62" spans="1:30" ht="158" customHeight="1" x14ac:dyDescent="0.3">
      <c r="A62" s="1">
        <v>3278</v>
      </c>
      <c r="B62" s="15" t="s">
        <v>276</v>
      </c>
      <c r="C62" s="11">
        <v>9220454117</v>
      </c>
      <c r="D62" s="10" t="s">
        <v>277</v>
      </c>
      <c r="E62" s="10" t="s">
        <v>17</v>
      </c>
      <c r="F62" s="10" t="s">
        <v>18</v>
      </c>
      <c r="G62" s="10" t="s">
        <v>92</v>
      </c>
      <c r="H62" s="11">
        <v>6350</v>
      </c>
      <c r="I62" s="11">
        <v>1587.5</v>
      </c>
      <c r="J62" s="13" t="s">
        <v>93</v>
      </c>
      <c r="K62" s="10" t="s">
        <v>278</v>
      </c>
      <c r="L62" s="11"/>
      <c r="M62" s="11"/>
      <c r="N62" s="14" t="s">
        <v>262</v>
      </c>
      <c r="O62" s="26" t="str">
        <f>VLOOKUP(A62,'[1]08-06-26'!$A$2:$T$70,20,0)</f>
        <v>P Asiatic ( 14 Inch ) 6 P n W Spray Daisy ( 14 Inch ) 8 Pur n P Car ( 14 inch ) 24 4 Ateca Palm + 2 Gypsola + 2 Limonium</v>
      </c>
      <c r="P62" s="26" t="str">
        <f>VLOOKUP(A62,'[1]15-06-26'!$A$2:$T$77,20,0)</f>
        <v>W Asiatic + Spray Daisy  6 + 8 Rajni 24   4 Areca Palm + 2 Gypsola + 2 Limonium</v>
      </c>
      <c r="Q62" s="26" t="str">
        <f>VLOOKUP(A62,'[1]22-06-26'!$A$2:$T$70,20,0)</f>
        <v>O Aiatic (14 Inch) 6 P Eustoma ( 12 Inch ) 6 P n W Car ( 12 Inch ) 24 4 Areca Palm +2 Gypsola + 2 Limonium</v>
      </c>
      <c r="R62" s="26" t="str">
        <f>VLOOKUP(A62,'[1]29-06-26'!$A$2:$T$71,20,0)</f>
        <v>P Asiatic ( 14 Inch ) + Sunflower  ( 12 Inch ) 6 + 6 P n W Glad ( 14 Inch ) 24   4 Areca Palm + 2 Gypsola + 2 Limonium</v>
      </c>
      <c r="S62" s="26" t="str">
        <f>VLOOKUP(A62,'[2]06-07-26'!$A$2:$T$88,20,0)</f>
        <v>W Asiatic + O n W Spray Daisy 3 + 6 Mix Alstroemeria 24   4 Areca palm + 2 Gypsola + 2 Limonium</v>
      </c>
      <c r="T62" s="26" t="s">
        <v>353</v>
      </c>
      <c r="U62" s="26" t="s">
        <v>354</v>
      </c>
      <c r="V62" s="26" t="s">
        <v>334</v>
      </c>
      <c r="W62" s="26">
        <v>24</v>
      </c>
      <c r="X62" s="26"/>
      <c r="Y62" s="26"/>
      <c r="Z62" s="26" t="s">
        <v>355</v>
      </c>
      <c r="AA62" s="26"/>
      <c r="AB62" s="26"/>
      <c r="AC62" s="26"/>
      <c r="AD62" s="26"/>
    </row>
    <row r="63" spans="1:30" ht="112.3" customHeight="1" x14ac:dyDescent="0.3">
      <c r="A63" s="13" t="s">
        <v>279</v>
      </c>
      <c r="B63" s="15" t="s">
        <v>280</v>
      </c>
      <c r="C63" s="11">
        <v>9899820599</v>
      </c>
      <c r="D63" s="10" t="s">
        <v>281</v>
      </c>
      <c r="E63" s="10" t="s">
        <v>17</v>
      </c>
      <c r="F63" s="10" t="s">
        <v>18</v>
      </c>
      <c r="G63" s="17" t="s">
        <v>282</v>
      </c>
      <c r="H63" s="11">
        <v>800</v>
      </c>
      <c r="I63" s="11">
        <v>800</v>
      </c>
      <c r="J63" s="10" t="s">
        <v>255</v>
      </c>
      <c r="K63" s="10" t="s">
        <v>283</v>
      </c>
      <c r="L63" s="11"/>
      <c r="M63" s="11"/>
      <c r="N63" s="14" t="s">
        <v>242</v>
      </c>
      <c r="O63" s="26" t="e">
        <f>VLOOKUP(A63,'[1]08-06-26'!$A$2:$T$70,20,0)</f>
        <v>#N/A</v>
      </c>
      <c r="P63" s="26" t="e">
        <f>VLOOKUP(A63,'[1]15-06-26'!$A$2:$T$77,20,0)</f>
        <v>#N/A</v>
      </c>
      <c r="Q63" s="26" t="e">
        <f>VLOOKUP(A63,'[1]22-06-26'!$A$2:$T$70,20,0)</f>
        <v>#N/A</v>
      </c>
      <c r="R63" s="26" t="e">
        <f>VLOOKUP(A63,'[1]29-06-26'!$A$2:$T$71,20,0)</f>
        <v>#N/A</v>
      </c>
      <c r="S63" s="26" t="e">
        <f>VLOOKUP(A63,'[2]06-07-26'!$A$2:$T$88,20,0)</f>
        <v>#N/A</v>
      </c>
      <c r="T63" s="26" t="s">
        <v>332</v>
      </c>
      <c r="U63" s="26">
        <v>4</v>
      </c>
      <c r="V63" s="26"/>
      <c r="W63" s="26"/>
      <c r="X63" s="26"/>
      <c r="Y63" s="26"/>
      <c r="Z63" s="26" t="s">
        <v>338</v>
      </c>
      <c r="AA63" s="26"/>
      <c r="AB63" s="26"/>
      <c r="AC63" s="26"/>
      <c r="AD63" s="26"/>
    </row>
    <row r="64" spans="1:30" ht="112.3" customHeight="1" x14ac:dyDescent="0.3">
      <c r="A64" s="1">
        <v>2848</v>
      </c>
      <c r="B64" s="15" t="s">
        <v>284</v>
      </c>
      <c r="C64" s="11">
        <v>9973582427</v>
      </c>
      <c r="D64" s="10" t="s">
        <v>285</v>
      </c>
      <c r="E64" s="10" t="s">
        <v>17</v>
      </c>
      <c r="F64" s="10" t="s">
        <v>18</v>
      </c>
      <c r="G64" s="10" t="s">
        <v>115</v>
      </c>
      <c r="H64" s="11">
        <v>1450</v>
      </c>
      <c r="I64" s="11">
        <v>362.5</v>
      </c>
      <c r="J64" s="10" t="s">
        <v>20</v>
      </c>
      <c r="K64" s="10" t="s">
        <v>286</v>
      </c>
      <c r="L64" s="10" t="s">
        <v>40</v>
      </c>
      <c r="M64" s="11"/>
      <c r="N64" s="14" t="s">
        <v>287</v>
      </c>
      <c r="O64" s="26" t="str">
        <f>VLOOKUP(A64,'[1]08-06-26'!$A$2:$T$70,20,0)</f>
        <v>P n W Glad ( 14 Inch ) 16     Grass</v>
      </c>
      <c r="P64" s="26" t="str">
        <f>VLOOKUP(A64,'[1]15-06-26'!$A$2:$T$77,20,0)</f>
        <v>P Asiatic ( 14 Inch ) 3     Grass</v>
      </c>
      <c r="Q64" s="26" t="str">
        <f>VLOOKUP(A64,'[1]22-06-26'!$A$2:$T$70,20,0)</f>
        <v>Rajni ( 14 Inch ) 16     Grass</v>
      </c>
      <c r="R64" s="26" t="str">
        <f>VLOOKUP(A64,'[1]29-06-26'!$A$2:$T$71,20,0)</f>
        <v>Pur n P Car ( 14 Inch ) 16     FF Sachet + Grass</v>
      </c>
      <c r="S64" s="26" t="str">
        <f>VLOOKUP(A64,'[2]06-07-26'!$A$2:$T$88,20,0)</f>
        <v>B Daisy 16     FF Sachet + Grass</v>
      </c>
      <c r="T64" s="26" t="s">
        <v>331</v>
      </c>
      <c r="U64" s="26">
        <v>16</v>
      </c>
      <c r="V64" s="26"/>
      <c r="W64" s="26"/>
      <c r="X64" s="26"/>
      <c r="Y64" s="26"/>
      <c r="Z64" s="26" t="s">
        <v>338</v>
      </c>
      <c r="AA64" s="26"/>
      <c r="AB64" s="26"/>
      <c r="AC64" s="26"/>
      <c r="AD64" s="26"/>
    </row>
    <row r="65" spans="1:30" ht="112.3" customHeight="1" x14ac:dyDescent="0.3">
      <c r="A65" s="1">
        <v>2429</v>
      </c>
      <c r="B65" s="20" t="s">
        <v>288</v>
      </c>
      <c r="C65" s="18">
        <v>9811735242</v>
      </c>
      <c r="D65" s="10" t="s">
        <v>289</v>
      </c>
      <c r="E65" s="10" t="s">
        <v>17</v>
      </c>
      <c r="F65" s="10" t="s">
        <v>18</v>
      </c>
      <c r="G65" s="17" t="s">
        <v>35</v>
      </c>
      <c r="H65" s="11">
        <v>1450</v>
      </c>
      <c r="I65" s="11">
        <v>362.5</v>
      </c>
      <c r="J65" s="13" t="s">
        <v>20</v>
      </c>
      <c r="K65" s="25" t="s">
        <v>290</v>
      </c>
      <c r="L65" s="10" t="s">
        <v>291</v>
      </c>
      <c r="M65" s="10" t="s">
        <v>292</v>
      </c>
      <c r="N65" s="14" t="s">
        <v>287</v>
      </c>
      <c r="O65" s="26" t="str">
        <f>VLOOKUP(A65,'[1]08-06-26'!$A$2:$T$70,20,0)</f>
        <v>P n W Glad ( 14 Inch ) 9     Grass</v>
      </c>
      <c r="P65" s="26" t="str">
        <f>VLOOKUP(A65,'[1]15-06-26'!$A$2:$T$77,20,0)</f>
        <v>R n W Car ( 14 Inch ) 9     FF Sachet + Grass</v>
      </c>
      <c r="Q65" s="26" t="str">
        <f>VLOOKUP(A65,'[1]22-06-26'!$A$2:$T$70,20,0)</f>
        <v>Sunflower ( 12 Inch ) 2     FF Sachet + Grass</v>
      </c>
      <c r="R65" s="26" t="str">
        <f>VLOOKUP(A65,'[1]29-06-26'!$A$2:$T$71,20,0)</f>
        <v>R n W Car 9     FF Sachet + Grass</v>
      </c>
      <c r="S65" s="26" t="str">
        <f>VLOOKUP(A65,'[2]06-07-26'!$A$2:$T$88,20,0)</f>
        <v>Rajni ( 14 Inch ) 9     Grass</v>
      </c>
      <c r="T65" s="26" t="s">
        <v>332</v>
      </c>
      <c r="U65" s="26">
        <v>3</v>
      </c>
      <c r="V65" s="26"/>
      <c r="W65" s="26"/>
      <c r="X65" s="26"/>
      <c r="Y65" s="26"/>
      <c r="Z65" s="26" t="s">
        <v>338</v>
      </c>
      <c r="AA65" s="26"/>
      <c r="AB65" s="26"/>
      <c r="AC65" s="26"/>
      <c r="AD65" s="26"/>
    </row>
    <row r="66" spans="1:30" ht="112.3" customHeight="1" x14ac:dyDescent="0.3">
      <c r="A66" s="13" t="s">
        <v>293</v>
      </c>
      <c r="B66" s="15" t="s">
        <v>79</v>
      </c>
      <c r="C66" s="11">
        <v>9717283344</v>
      </c>
      <c r="D66" s="10" t="s">
        <v>80</v>
      </c>
      <c r="E66" s="10" t="s">
        <v>17</v>
      </c>
      <c r="F66" s="10" t="s">
        <v>18</v>
      </c>
      <c r="G66" s="17" t="s">
        <v>35</v>
      </c>
      <c r="H66" s="11">
        <v>400</v>
      </c>
      <c r="I66" s="11">
        <v>400</v>
      </c>
      <c r="J66" s="13" t="s">
        <v>255</v>
      </c>
      <c r="K66" s="10" t="s">
        <v>294</v>
      </c>
      <c r="L66" s="11"/>
      <c r="M66" s="11"/>
      <c r="N66" s="14" t="s">
        <v>295</v>
      </c>
      <c r="O66" s="26" t="e">
        <f>VLOOKUP(A66,'[1]08-06-26'!$A$2:$T$70,20,0)</f>
        <v>#N/A</v>
      </c>
      <c r="P66" s="26" t="e">
        <f>VLOOKUP(A66,'[1]15-06-26'!$A$2:$T$77,20,0)</f>
        <v>#N/A</v>
      </c>
      <c r="Q66" s="26" t="e">
        <f>VLOOKUP(A66,'[1]22-06-26'!$A$2:$T$70,20,0)</f>
        <v>#N/A</v>
      </c>
      <c r="R66" s="26" t="e">
        <f>VLOOKUP(A66,'[1]29-06-26'!$A$2:$T$71,20,0)</f>
        <v>#N/A</v>
      </c>
      <c r="S66" s="26" t="e">
        <f>VLOOKUP(A66,'[2]06-07-26'!$A$2:$T$88,20,0)</f>
        <v>#N/A</v>
      </c>
      <c r="T66" s="26" t="s">
        <v>332</v>
      </c>
      <c r="U66" s="26">
        <v>2</v>
      </c>
      <c r="V66" s="26"/>
      <c r="W66" s="26"/>
      <c r="X66" s="26"/>
      <c r="Y66" s="26"/>
      <c r="Z66" s="26" t="s">
        <v>338</v>
      </c>
      <c r="AA66" s="26"/>
      <c r="AB66" s="26"/>
      <c r="AC66" s="26"/>
      <c r="AD66" s="26"/>
    </row>
    <row r="67" spans="1:30" ht="112.3" customHeight="1" x14ac:dyDescent="0.3">
      <c r="A67" s="1">
        <v>3330</v>
      </c>
      <c r="B67" s="15" t="s">
        <v>104</v>
      </c>
      <c r="C67" s="1">
        <v>9911818025</v>
      </c>
      <c r="D67" s="13" t="s">
        <v>105</v>
      </c>
      <c r="E67" s="13" t="s">
        <v>49</v>
      </c>
      <c r="F67" s="13" t="s">
        <v>18</v>
      </c>
      <c r="G67" s="17" t="s">
        <v>35</v>
      </c>
      <c r="H67" s="11">
        <v>2750</v>
      </c>
      <c r="I67" s="11">
        <v>687.5</v>
      </c>
      <c r="J67" s="13" t="s">
        <v>93</v>
      </c>
      <c r="K67" s="11"/>
      <c r="L67" s="11"/>
      <c r="M67" s="11"/>
      <c r="N67" s="14" t="s">
        <v>262</v>
      </c>
      <c r="O67" s="26" t="str">
        <f>VLOOKUP(A67,'[1]08-06-26'!$A$2:$T$70,20,0)</f>
        <v>Sunflower ( 12 Inch ) 7     Grass</v>
      </c>
      <c r="P67" s="26" t="str">
        <f>VLOOKUP(A67,'[1]15-06-26'!$A$2:$T$77,20,0)</f>
        <v>P n W Glad ( 14 Inch ) 32     Grass</v>
      </c>
      <c r="Q67" s="26" t="str">
        <f>VLOOKUP(A67,'[1]22-06-26'!$A$2:$T$70,20,0)</f>
        <v>Pur n W Eustoma ( 12 Inch) 6     Grass</v>
      </c>
      <c r="R67" s="26" t="str">
        <f>VLOOKUP(A67,'[1]29-06-26'!$A$2:$T$71,20,0)</f>
        <v>Pur n P Car ( 14 Inch ) 32     FF Sachet + Grass</v>
      </c>
      <c r="S67" s="26" t="str">
        <f>VLOOKUP(A67,'[2]06-07-26'!$A$2:$T$88,20,0)</f>
        <v>Rajni ( 14 Inch ) 32     2 Limonium</v>
      </c>
      <c r="T67" s="26" t="s">
        <v>332</v>
      </c>
      <c r="U67" s="26">
        <v>6</v>
      </c>
      <c r="V67" s="26"/>
      <c r="W67" s="26"/>
      <c r="X67" s="26"/>
      <c r="Y67" s="26"/>
      <c r="Z67" s="26" t="s">
        <v>348</v>
      </c>
      <c r="AA67" s="26"/>
      <c r="AB67" s="26"/>
      <c r="AC67" s="26"/>
      <c r="AD67" s="26"/>
    </row>
    <row r="68" spans="1:30" ht="112.3" customHeight="1" x14ac:dyDescent="0.3">
      <c r="A68" s="1">
        <v>2396</v>
      </c>
      <c r="B68" s="15" t="s">
        <v>296</v>
      </c>
      <c r="C68" s="11">
        <v>9811281042</v>
      </c>
      <c r="D68" s="10" t="s">
        <v>297</v>
      </c>
      <c r="E68" s="10" t="s">
        <v>34</v>
      </c>
      <c r="F68" s="10" t="s">
        <v>18</v>
      </c>
      <c r="G68" s="17" t="s">
        <v>298</v>
      </c>
      <c r="H68" s="11">
        <v>1450</v>
      </c>
      <c r="I68" s="11">
        <v>362.5</v>
      </c>
      <c r="J68" s="13" t="s">
        <v>20</v>
      </c>
      <c r="K68" s="10" t="s">
        <v>299</v>
      </c>
      <c r="L68" s="10" t="s">
        <v>300</v>
      </c>
      <c r="M68" s="11"/>
      <c r="N68" s="14" t="s">
        <v>287</v>
      </c>
      <c r="O68" s="26" t="str">
        <f>VLOOKUP(A68,'[1]08-06-26'!$A$2:$T$70,20,0)</f>
        <v>P n W Glad ( 14 Inch ) 9     Grass</v>
      </c>
      <c r="P68" s="26" t="str">
        <f>VLOOKUP(A68,'[1]15-06-26'!$A$2:$T$77,20,0)</f>
        <v>Mix Alstroemeria ( 12 Inch ) 16     FF Sachet + Grass</v>
      </c>
      <c r="Q68" s="26" t="str">
        <f>VLOOKUP(A68,'[1]22-06-26'!$A$2:$T$70,20,0)</f>
        <v>Rajni ( 14 Inch ) 16     Grass</v>
      </c>
      <c r="R68" s="26" t="str">
        <f>VLOOKUP(A68,'[1]29-06-26'!$A$2:$T$71,20,0)</f>
        <v>Pur n P Car ( 14 Inch ) 16     FF Sachet + Grass</v>
      </c>
      <c r="S68" s="26" t="str">
        <f>VLOOKUP(A68,'[2]06-07-26'!$A$2:$T$88,20,0)</f>
        <v>Asiatic 2     FF Sachet + Grass</v>
      </c>
      <c r="T68" s="26" t="s">
        <v>331</v>
      </c>
      <c r="U68" s="26">
        <v>16</v>
      </c>
      <c r="V68" s="26"/>
      <c r="W68" s="26"/>
      <c r="X68" s="26"/>
      <c r="Y68" s="26"/>
      <c r="Z68" s="26" t="s">
        <v>338</v>
      </c>
      <c r="AA68" s="26"/>
      <c r="AB68" s="26"/>
      <c r="AC68" s="26"/>
      <c r="AD68" s="26"/>
    </row>
    <row r="69" spans="1:30" ht="147.25" customHeight="1" x14ac:dyDescent="0.3">
      <c r="A69" s="1">
        <v>2014</v>
      </c>
      <c r="B69" s="15" t="s">
        <v>301</v>
      </c>
      <c r="C69" s="11">
        <v>9811343209</v>
      </c>
      <c r="D69" s="10" t="s">
        <v>302</v>
      </c>
      <c r="E69" s="10" t="s">
        <v>49</v>
      </c>
      <c r="F69" s="13" t="s">
        <v>18</v>
      </c>
      <c r="G69" s="17" t="s">
        <v>194</v>
      </c>
      <c r="H69" s="11">
        <v>4750</v>
      </c>
      <c r="I69" s="11">
        <v>1187.5</v>
      </c>
      <c r="J69" s="13" t="s">
        <v>93</v>
      </c>
      <c r="K69" s="10" t="s">
        <v>303</v>
      </c>
      <c r="L69" s="11"/>
      <c r="M69" s="11"/>
      <c r="N69" s="14" t="s">
        <v>262</v>
      </c>
      <c r="O69" s="26" t="str">
        <f>VLOOKUP(A69,'[1]08-06-26'!$A$2:$T$70,20,0)</f>
        <v>O Asiatic ( 14 inch ) 6 P n W Car ( 14 Inch ) 30   3 Gypsola + FF sachet</v>
      </c>
      <c r="P69" s="26" t="str">
        <f>VLOOKUP(A69,'[1]15-06-26'!$A$2:$T$77,20,0)</f>
        <v>Pur n P Eustoma( 12 Inch ) 8 Mix Alstroemeria ( 12 Inch ) 30   3 Limonium + FF aschet</v>
      </c>
      <c r="Q69" s="26" t="str">
        <f>VLOOKUP(A69,'[1]22-06-26'!$A$2:$T$70,20,0)</f>
        <v>Sunflower ( 12 Inch ) 6 Rajni ( 14 inch ) 30   2 Gypsola + ff Sachet</v>
      </c>
      <c r="R69" s="26" t="str">
        <f>VLOOKUP(A69,'[1]29-06-26'!$A$2:$T$71,20,0)</f>
        <v>P Asiatic ( 14 Inch ) 6 P n W Glad ( 14 Inch ) 30   3 Limonium</v>
      </c>
      <c r="S69" s="26" t="str">
        <f>VLOOKUP(A69,'[2]06-07-26'!$A$2:$T$88,20,0)</f>
        <v>P n Y Spray Daisy ( 14 Inch ) 10 Pur n P Car ( 14 inch ) 30   3 Gyposla + FF Sachet</v>
      </c>
      <c r="T69" s="26" t="s">
        <v>330</v>
      </c>
      <c r="U69" s="26">
        <v>6</v>
      </c>
      <c r="V69" s="26" t="s">
        <v>329</v>
      </c>
      <c r="W69" s="26">
        <v>30</v>
      </c>
      <c r="X69" s="26"/>
      <c r="Y69" s="26"/>
      <c r="Z69" s="26" t="s">
        <v>350</v>
      </c>
      <c r="AA69" s="26"/>
      <c r="AB69" s="26"/>
      <c r="AC69" s="26"/>
      <c r="AD69" s="26"/>
    </row>
    <row r="70" spans="1:30" ht="112.3" customHeight="1" x14ac:dyDescent="0.3">
      <c r="A70" s="1">
        <v>1583</v>
      </c>
      <c r="B70" s="15" t="s">
        <v>227</v>
      </c>
      <c r="C70" s="11">
        <v>8505816000</v>
      </c>
      <c r="D70" s="10" t="s">
        <v>304</v>
      </c>
      <c r="E70" s="10" t="s">
        <v>156</v>
      </c>
      <c r="F70" s="10" t="s">
        <v>18</v>
      </c>
      <c r="G70" s="17" t="s">
        <v>115</v>
      </c>
      <c r="H70" s="11">
        <v>999</v>
      </c>
      <c r="I70" s="11">
        <v>249.75</v>
      </c>
      <c r="J70" s="13" t="s">
        <v>50</v>
      </c>
      <c r="K70" s="10" t="s">
        <v>305</v>
      </c>
      <c r="L70" s="11"/>
      <c r="M70" s="11"/>
      <c r="N70" s="14" t="s">
        <v>262</v>
      </c>
      <c r="O70" s="26" t="str">
        <f>VLOOKUP(A70,'[1]08-06-26'!$A$2:$T$70,20,0)</f>
        <v>Mix Alstroemeria ( 12 Inch ) 9     FF Sachet + Grass</v>
      </c>
      <c r="P70" s="26" t="str">
        <f>VLOOKUP(A70,'[1]15-06-26'!$A$2:$T$77,20,0)</f>
        <v>Pur n P Car ( 14 Inch ) 9     FF Sachet + Grass</v>
      </c>
      <c r="Q70" s="26" t="str">
        <f>VLOOKUP(A70,'[1]22-06-26'!$A$2:$T$70,20,0)</f>
        <v>P n W Gerbera ( 12 Inch ) 9     FF Sachet + Grass</v>
      </c>
      <c r="R70" s="26" t="str">
        <f>VLOOKUP(A70,'[1]29-06-26'!$A$2:$T$71,20,0)</f>
        <v>Rajni ( 14 Inch ) 9     Grass</v>
      </c>
      <c r="S70" s="26" t="str">
        <f>VLOOKUP(A70,'[2]06-07-26'!$A$2:$T$88,20,0)</f>
        <v>Sunflower ( 12 Inch ) 2     Grass</v>
      </c>
      <c r="T70" s="26" t="s">
        <v>334</v>
      </c>
      <c r="U70" s="26">
        <v>9</v>
      </c>
      <c r="V70" s="26"/>
      <c r="W70" s="26"/>
      <c r="X70" s="26"/>
      <c r="Y70" s="26"/>
      <c r="Z70" s="26" t="s">
        <v>338</v>
      </c>
      <c r="AA70" s="26"/>
      <c r="AB70" s="26"/>
      <c r="AC70" s="26"/>
      <c r="AD70" s="26"/>
    </row>
  </sheetData>
  <autoFilter ref="A1:AD70" xr:uid="{1FD342A3-671D-4DEB-9D8E-CF9306F73B1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5E378-52F6-46B6-AC9D-0F7C42E3ABF7}">
  <dimension ref="A1:R60"/>
  <sheetViews>
    <sheetView tabSelected="1" workbookViewId="0">
      <pane xSplit="1" ySplit="1" topLeftCell="B26" activePane="bottomRight" state="frozen"/>
      <selection pane="topRight" activeCell="B1" sqref="B1"/>
      <selection pane="bottomLeft" activeCell="A2" sqref="A2"/>
      <selection pane="bottomRight" activeCell="E35" sqref="E35"/>
    </sheetView>
  </sheetViews>
  <sheetFormatPr defaultRowHeight="14" x14ac:dyDescent="0.3"/>
  <sheetData>
    <row r="1" spans="1:18" ht="40.299999999999997" x14ac:dyDescent="0.3">
      <c r="A1" s="28"/>
      <c r="B1" s="28" t="s">
        <v>356</v>
      </c>
      <c r="C1" s="29" t="s">
        <v>220</v>
      </c>
      <c r="D1" s="29" t="s">
        <v>357</v>
      </c>
      <c r="E1" s="29" t="s">
        <v>358</v>
      </c>
      <c r="F1" s="29" t="s">
        <v>359</v>
      </c>
      <c r="G1" s="29" t="s">
        <v>180</v>
      </c>
      <c r="H1" s="29" t="s">
        <v>360</v>
      </c>
      <c r="I1" s="29" t="s">
        <v>361</v>
      </c>
      <c r="J1" s="29" t="s">
        <v>29</v>
      </c>
      <c r="K1" s="29" t="s">
        <v>340</v>
      </c>
      <c r="L1" s="30" t="s">
        <v>362</v>
      </c>
      <c r="M1" s="30" t="s">
        <v>363</v>
      </c>
      <c r="N1" s="30" t="s">
        <v>364</v>
      </c>
      <c r="O1" s="31"/>
      <c r="P1" s="32" t="s">
        <v>365</v>
      </c>
      <c r="Q1" s="32" t="s">
        <v>366</v>
      </c>
      <c r="R1" s="31"/>
    </row>
    <row r="2" spans="1:18" x14ac:dyDescent="0.3">
      <c r="A2" s="33">
        <v>999</v>
      </c>
      <c r="B2" s="34"/>
      <c r="C2" s="34"/>
      <c r="D2" s="34"/>
      <c r="E2" s="34"/>
      <c r="F2" s="34"/>
      <c r="G2" s="34">
        <v>1</v>
      </c>
      <c r="H2" s="34"/>
      <c r="I2" s="34">
        <v>2</v>
      </c>
      <c r="J2" s="34"/>
      <c r="K2" s="34">
        <v>1</v>
      </c>
      <c r="L2" s="34"/>
      <c r="M2" s="34"/>
      <c r="N2" s="34"/>
      <c r="O2" s="35">
        <f t="shared" ref="O2:O7" si="0">SUM(B2:N2)</f>
        <v>4</v>
      </c>
      <c r="P2" s="35">
        <f>(O2*A2)/4</f>
        <v>999</v>
      </c>
      <c r="Q2" s="35"/>
      <c r="R2" s="35"/>
    </row>
    <row r="3" spans="1:18" x14ac:dyDescent="0.3">
      <c r="A3" s="33">
        <v>1450</v>
      </c>
      <c r="B3" s="34"/>
      <c r="C3" s="34">
        <v>1</v>
      </c>
      <c r="D3" s="34">
        <v>0.5</v>
      </c>
      <c r="E3" s="34">
        <v>3.5</v>
      </c>
      <c r="F3" s="34"/>
      <c r="G3" s="34">
        <v>5.5</v>
      </c>
      <c r="H3" s="34"/>
      <c r="I3" s="34">
        <v>5</v>
      </c>
      <c r="J3" s="36"/>
      <c r="K3" s="36">
        <v>12.5</v>
      </c>
      <c r="L3" s="34"/>
      <c r="M3" s="34"/>
      <c r="N3" s="34"/>
      <c r="O3" s="35">
        <f t="shared" si="0"/>
        <v>28</v>
      </c>
      <c r="P3" s="35">
        <f>(O3*A3)/4</f>
        <v>10150</v>
      </c>
      <c r="Q3" s="35"/>
      <c r="R3" s="35"/>
    </row>
    <row r="4" spans="1:18" x14ac:dyDescent="0.3">
      <c r="A4" s="33">
        <v>1950</v>
      </c>
      <c r="B4" s="34"/>
      <c r="C4" s="34"/>
      <c r="D4" s="34"/>
      <c r="E4" s="34"/>
      <c r="F4" s="34"/>
      <c r="G4" s="34"/>
      <c r="H4" s="34"/>
      <c r="I4" s="34">
        <v>1</v>
      </c>
      <c r="J4" s="34"/>
      <c r="K4" s="34">
        <v>1</v>
      </c>
      <c r="L4" s="34"/>
      <c r="M4" s="34"/>
      <c r="N4" s="34"/>
      <c r="O4" s="35">
        <f t="shared" si="0"/>
        <v>2</v>
      </c>
      <c r="P4" s="35">
        <f>(O4*A4)/4</f>
        <v>975</v>
      </c>
      <c r="Q4" s="35"/>
      <c r="R4" s="35"/>
    </row>
    <row r="5" spans="1:18" x14ac:dyDescent="0.3">
      <c r="A5" s="33">
        <v>2750</v>
      </c>
      <c r="B5" s="34"/>
      <c r="C5" s="34"/>
      <c r="D5" s="34"/>
      <c r="E5" s="34"/>
      <c r="F5" s="34"/>
      <c r="G5" s="34"/>
      <c r="H5" s="34"/>
      <c r="I5" s="37">
        <v>1</v>
      </c>
      <c r="J5" s="37"/>
      <c r="K5" s="37">
        <v>5</v>
      </c>
      <c r="L5" s="37"/>
      <c r="M5" s="34"/>
      <c r="N5" s="34"/>
      <c r="O5" s="35">
        <f t="shared" si="0"/>
        <v>6</v>
      </c>
      <c r="P5" s="35">
        <f>(O5*A5)/4</f>
        <v>4125</v>
      </c>
      <c r="Q5" s="35"/>
      <c r="R5" s="35"/>
    </row>
    <row r="6" spans="1:18" x14ac:dyDescent="0.3">
      <c r="A6" s="33">
        <v>4750</v>
      </c>
      <c r="B6" s="34"/>
      <c r="C6" s="34"/>
      <c r="D6" s="34">
        <v>0.5</v>
      </c>
      <c r="E6" s="34"/>
      <c r="F6" s="34"/>
      <c r="G6" s="34"/>
      <c r="H6" s="34"/>
      <c r="I6" s="34"/>
      <c r="J6" s="34"/>
      <c r="K6" s="34">
        <v>0.5</v>
      </c>
      <c r="L6" s="34"/>
      <c r="M6" s="34"/>
      <c r="N6" s="34"/>
      <c r="O6" s="35">
        <f t="shared" si="0"/>
        <v>1</v>
      </c>
      <c r="P6" s="35">
        <f>(O6*A6)/4</f>
        <v>1187.5</v>
      </c>
      <c r="Q6" s="35"/>
      <c r="R6" s="35"/>
    </row>
    <row r="7" spans="1:18" x14ac:dyDescent="0.3">
      <c r="A7" s="28" t="s">
        <v>367</v>
      </c>
      <c r="B7" s="38">
        <f t="shared" ref="B7:N7" si="1">SUM(B2:B6)</f>
        <v>0</v>
      </c>
      <c r="C7" s="38">
        <f t="shared" si="1"/>
        <v>1</v>
      </c>
      <c r="D7" s="38">
        <f t="shared" si="1"/>
        <v>1</v>
      </c>
      <c r="E7" s="38">
        <f t="shared" si="1"/>
        <v>3.5</v>
      </c>
      <c r="F7" s="38">
        <f t="shared" si="1"/>
        <v>0</v>
      </c>
      <c r="G7" s="38">
        <f t="shared" si="1"/>
        <v>6.5</v>
      </c>
      <c r="H7" s="38">
        <f t="shared" si="1"/>
        <v>0</v>
      </c>
      <c r="I7" s="38">
        <f t="shared" si="1"/>
        <v>9</v>
      </c>
      <c r="J7" s="38">
        <f t="shared" si="1"/>
        <v>0</v>
      </c>
      <c r="K7" s="38">
        <f t="shared" si="1"/>
        <v>20</v>
      </c>
      <c r="L7" s="38">
        <f t="shared" si="1"/>
        <v>0</v>
      </c>
      <c r="M7" s="38">
        <f t="shared" si="1"/>
        <v>0</v>
      </c>
      <c r="N7" s="38">
        <f t="shared" si="1"/>
        <v>0</v>
      </c>
      <c r="O7" s="35">
        <f t="shared" si="0"/>
        <v>41</v>
      </c>
      <c r="P7" s="39">
        <f>SUM(P2:P6)</f>
        <v>17436.5</v>
      </c>
      <c r="Q7" s="39">
        <f>P7</f>
        <v>17436.5</v>
      </c>
      <c r="R7" s="35"/>
    </row>
    <row r="8" spans="1:18" ht="27.95" x14ac:dyDescent="0.3">
      <c r="A8" s="33" t="s">
        <v>368</v>
      </c>
      <c r="B8" s="34">
        <v>22</v>
      </c>
      <c r="C8" s="34">
        <v>10</v>
      </c>
      <c r="D8" s="34">
        <v>10</v>
      </c>
      <c r="E8" s="34">
        <v>5</v>
      </c>
      <c r="F8" s="34">
        <v>10</v>
      </c>
      <c r="G8" s="34">
        <v>20</v>
      </c>
      <c r="H8" s="34">
        <v>20</v>
      </c>
      <c r="I8" s="34">
        <v>20</v>
      </c>
      <c r="J8" s="34">
        <v>10</v>
      </c>
      <c r="K8" s="34">
        <v>10</v>
      </c>
      <c r="L8" s="34">
        <v>10</v>
      </c>
      <c r="M8" s="34">
        <v>1</v>
      </c>
      <c r="N8" s="34">
        <v>10</v>
      </c>
      <c r="O8" s="35"/>
      <c r="P8" s="35"/>
      <c r="Q8" s="35"/>
      <c r="R8" s="35"/>
    </row>
    <row r="9" spans="1:18" ht="27.95" x14ac:dyDescent="0.3">
      <c r="A9" s="28" t="s">
        <v>369</v>
      </c>
      <c r="B9" s="30">
        <v>170</v>
      </c>
      <c r="C9" s="30">
        <v>500</v>
      </c>
      <c r="D9" s="30">
        <v>160</v>
      </c>
      <c r="E9" s="30">
        <v>180</v>
      </c>
      <c r="F9" s="30">
        <v>240</v>
      </c>
      <c r="G9" s="30">
        <v>300</v>
      </c>
      <c r="H9" s="30">
        <v>375</v>
      </c>
      <c r="I9" s="30">
        <v>250</v>
      </c>
      <c r="J9" s="30">
        <v>425</v>
      </c>
      <c r="K9" s="30">
        <v>625</v>
      </c>
      <c r="L9" s="30">
        <v>1600</v>
      </c>
      <c r="M9" s="30">
        <v>120</v>
      </c>
      <c r="N9" s="30">
        <v>850</v>
      </c>
      <c r="O9" s="35"/>
      <c r="P9" s="35"/>
      <c r="Q9" s="35"/>
      <c r="R9" s="35"/>
    </row>
    <row r="10" spans="1:18" x14ac:dyDescent="0.3">
      <c r="A10" s="33">
        <v>999</v>
      </c>
      <c r="B10" s="34">
        <f>B2*9</f>
        <v>0</v>
      </c>
      <c r="C10" s="34">
        <f>C2*3</f>
        <v>0</v>
      </c>
      <c r="D10" s="34">
        <f>D2*9</f>
        <v>0</v>
      </c>
      <c r="E10" s="34">
        <f>E2*2</f>
        <v>0</v>
      </c>
      <c r="F10" s="34">
        <f>F2*9</f>
        <v>0</v>
      </c>
      <c r="G10" s="34">
        <f>G2*9</f>
        <v>9</v>
      </c>
      <c r="H10" s="34">
        <f>H2*9</f>
        <v>0</v>
      </c>
      <c r="I10" s="34">
        <f>I2*9</f>
        <v>18</v>
      </c>
      <c r="J10" s="36">
        <f>J2*3</f>
        <v>0</v>
      </c>
      <c r="K10" s="36">
        <f>K2*2</f>
        <v>2</v>
      </c>
      <c r="L10" s="36">
        <f>L3*0</f>
        <v>0</v>
      </c>
      <c r="M10" s="34">
        <f>M2*2</f>
        <v>0</v>
      </c>
      <c r="N10" s="34">
        <f>N2*2</f>
        <v>0</v>
      </c>
      <c r="O10" s="35">
        <f t="shared" ref="O10:O21" si="2">B10*($B$9/$B$8)+C10*($C$9/$C$8)+D10*($D$9/$D$8)+E10*($E$9/$E$8)+F10*($F$9/$F$8)+G10*($G$9/$G$8)+H10*($H$9/$H$8)+I10*($I$9/$I$8)+J10*($J$9/$J$8)+K10*($K$9/$K$8)+L10*($L$9/$L$8)+M10*($M$9/$M$8)+N10*($N$9/$N$8)</f>
        <v>485</v>
      </c>
      <c r="P10" s="35">
        <f>O2*(A2/4)</f>
        <v>999</v>
      </c>
      <c r="Q10" s="35"/>
      <c r="R10" s="35">
        <f>P10-O10</f>
        <v>514</v>
      </c>
    </row>
    <row r="11" spans="1:18" x14ac:dyDescent="0.3">
      <c r="A11" s="33">
        <v>1250</v>
      </c>
      <c r="B11" s="34">
        <f>B3*16</f>
        <v>0</v>
      </c>
      <c r="C11" s="34">
        <f>C3*6</f>
        <v>6</v>
      </c>
      <c r="D11" s="34">
        <f>D3*16</f>
        <v>8</v>
      </c>
      <c r="E11" s="34">
        <f>E3*4</f>
        <v>14</v>
      </c>
      <c r="F11" s="36">
        <f>F3*16</f>
        <v>0</v>
      </c>
      <c r="G11" s="36">
        <f>G3*16</f>
        <v>88</v>
      </c>
      <c r="H11" s="36">
        <f>H3*16</f>
        <v>0</v>
      </c>
      <c r="I11" s="36">
        <f>I3*16</f>
        <v>80</v>
      </c>
      <c r="J11" s="36">
        <f>J3*6</f>
        <v>0</v>
      </c>
      <c r="K11" s="34">
        <f>K3*3.25</f>
        <v>40.625</v>
      </c>
      <c r="L11" s="34">
        <f>L3*2</f>
        <v>0</v>
      </c>
      <c r="M11" s="34">
        <f>M3*4</f>
        <v>0</v>
      </c>
      <c r="N11" s="34">
        <f>N3*3.5</f>
        <v>0</v>
      </c>
      <c r="O11" s="35">
        <f t="shared" si="2"/>
        <v>5791.0625</v>
      </c>
      <c r="P11" s="35">
        <f>O3*(A3/4)</f>
        <v>10150</v>
      </c>
      <c r="Q11" s="35"/>
      <c r="R11" s="35">
        <f>P11-O11</f>
        <v>4358.9375</v>
      </c>
    </row>
    <row r="12" spans="1:18" x14ac:dyDescent="0.3">
      <c r="A12" s="33">
        <v>1700</v>
      </c>
      <c r="B12" s="34">
        <f>B4*22</f>
        <v>0</v>
      </c>
      <c r="C12" s="34">
        <f>C4*8</f>
        <v>0</v>
      </c>
      <c r="D12" s="34">
        <f>D4*22</f>
        <v>0</v>
      </c>
      <c r="E12" s="34">
        <f>E4*6</f>
        <v>0</v>
      </c>
      <c r="F12" s="36">
        <f>F4*22</f>
        <v>0</v>
      </c>
      <c r="G12" s="36">
        <f>G4*22</f>
        <v>0</v>
      </c>
      <c r="H12" s="36">
        <f>H4*22</f>
        <v>0</v>
      </c>
      <c r="I12" s="36">
        <f>I4*22</f>
        <v>22</v>
      </c>
      <c r="J12" s="36">
        <f>J4*8</f>
        <v>0</v>
      </c>
      <c r="K12" s="34">
        <f>K4*4</f>
        <v>4</v>
      </c>
      <c r="L12" s="34">
        <f>L4*3</f>
        <v>0</v>
      </c>
      <c r="M12" s="34">
        <f>M4*4</f>
        <v>0</v>
      </c>
      <c r="N12" s="34">
        <f>N4*5</f>
        <v>0</v>
      </c>
      <c r="O12" s="35">
        <f t="shared" si="2"/>
        <v>525</v>
      </c>
      <c r="P12" s="35">
        <f>O4*(A4/4)</f>
        <v>975</v>
      </c>
      <c r="Q12" s="35"/>
      <c r="R12" s="35">
        <f>P12-O12</f>
        <v>450</v>
      </c>
    </row>
    <row r="13" spans="1:18" x14ac:dyDescent="0.3">
      <c r="A13" s="33">
        <v>2450</v>
      </c>
      <c r="B13" s="34">
        <f>B5*32</f>
        <v>0</v>
      </c>
      <c r="C13" s="34">
        <f>C5*10</f>
        <v>0</v>
      </c>
      <c r="D13" s="34">
        <f>D5*32</f>
        <v>0</v>
      </c>
      <c r="E13" s="34">
        <f>E5*8</f>
        <v>0</v>
      </c>
      <c r="F13" s="34">
        <f>F5*32</f>
        <v>0</v>
      </c>
      <c r="G13" s="34">
        <f>G5*32</f>
        <v>0</v>
      </c>
      <c r="H13" s="34">
        <f>H5*32</f>
        <v>0</v>
      </c>
      <c r="I13" s="36">
        <f>I5*32</f>
        <v>32</v>
      </c>
      <c r="J13" s="40">
        <f>J5*10</f>
        <v>0</v>
      </c>
      <c r="K13" s="34">
        <f>K5*8</f>
        <v>40</v>
      </c>
      <c r="L13" s="34">
        <f>L5*4</f>
        <v>0</v>
      </c>
      <c r="M13" s="34">
        <f>M5*6</f>
        <v>0</v>
      </c>
      <c r="N13" s="34">
        <f>N5*8</f>
        <v>0</v>
      </c>
      <c r="O13" s="35">
        <f t="shared" si="2"/>
        <v>2900</v>
      </c>
      <c r="P13" s="35">
        <f>O5*(A5/4)</f>
        <v>4125</v>
      </c>
      <c r="Q13" s="35"/>
      <c r="R13" s="35">
        <f>P13-O13</f>
        <v>1225</v>
      </c>
    </row>
    <row r="14" spans="1:18" x14ac:dyDescent="0.3">
      <c r="A14" s="33">
        <v>4400</v>
      </c>
      <c r="B14" s="34">
        <f>B6*60</f>
        <v>0</v>
      </c>
      <c r="C14" s="34">
        <f>C6*20</f>
        <v>0</v>
      </c>
      <c r="D14" s="34">
        <f t="shared" ref="D14:I14" si="3">D6*60</f>
        <v>30</v>
      </c>
      <c r="E14" s="34">
        <f>E6*14</f>
        <v>0</v>
      </c>
      <c r="F14" s="36">
        <f>F6*60</f>
        <v>0</v>
      </c>
      <c r="G14" s="36">
        <f t="shared" si="3"/>
        <v>0</v>
      </c>
      <c r="H14" s="36">
        <f t="shared" si="3"/>
        <v>0</v>
      </c>
      <c r="I14" s="36">
        <f t="shared" si="3"/>
        <v>0</v>
      </c>
      <c r="J14" s="36">
        <f>J6*22</f>
        <v>0</v>
      </c>
      <c r="K14" s="34">
        <f>K6*12</f>
        <v>6</v>
      </c>
      <c r="L14" s="34">
        <f>L6*8</f>
        <v>0</v>
      </c>
      <c r="M14" s="34">
        <f>M6*12</f>
        <v>0</v>
      </c>
      <c r="N14" s="34">
        <f>N6*12</f>
        <v>0</v>
      </c>
      <c r="O14" s="35">
        <f t="shared" si="2"/>
        <v>855</v>
      </c>
      <c r="P14" s="35">
        <f>O6*(A6/4)</f>
        <v>1187.5</v>
      </c>
      <c r="Q14" s="35"/>
      <c r="R14" s="35">
        <f>P14-O14</f>
        <v>332.5</v>
      </c>
    </row>
    <row r="15" spans="1:18" x14ac:dyDescent="0.3">
      <c r="A15" s="41" t="s">
        <v>255</v>
      </c>
      <c r="B15" s="42">
        <v>8</v>
      </c>
      <c r="C15" s="42"/>
      <c r="D15" s="42"/>
      <c r="E15" s="42"/>
      <c r="F15" s="42"/>
      <c r="G15" s="42"/>
      <c r="H15" s="42"/>
      <c r="I15" s="42"/>
      <c r="J15" s="42"/>
      <c r="K15" s="42">
        <v>10</v>
      </c>
      <c r="L15" s="42">
        <v>8</v>
      </c>
      <c r="M15" s="42"/>
      <c r="N15" s="34"/>
      <c r="O15" s="35">
        <f t="shared" si="2"/>
        <v>1966.818181818182</v>
      </c>
      <c r="P15" s="35"/>
      <c r="Q15" s="35">
        <v>4900</v>
      </c>
      <c r="R15" s="35">
        <f>SUM(R10:R14)</f>
        <v>6880.4375</v>
      </c>
    </row>
    <row r="16" spans="1:18" ht="27.95" x14ac:dyDescent="0.3">
      <c r="A16" s="43" t="s">
        <v>370</v>
      </c>
      <c r="B16" s="42">
        <v>27</v>
      </c>
      <c r="C16" s="42">
        <v>4</v>
      </c>
      <c r="D16" s="42">
        <v>56</v>
      </c>
      <c r="E16" s="42">
        <v>9</v>
      </c>
      <c r="F16" s="42"/>
      <c r="G16" s="42">
        <v>15</v>
      </c>
      <c r="H16" s="42"/>
      <c r="I16" s="42">
        <v>7</v>
      </c>
      <c r="J16" s="42"/>
      <c r="K16" s="42">
        <v>9</v>
      </c>
      <c r="L16" s="42"/>
      <c r="M16" s="42"/>
      <c r="N16" s="42">
        <v>3</v>
      </c>
      <c r="O16" s="35">
        <f t="shared" si="2"/>
        <v>2758.6363636363635</v>
      </c>
      <c r="P16" s="35"/>
      <c r="Q16" s="35">
        <v>5000</v>
      </c>
      <c r="R16" s="35"/>
    </row>
    <row r="17" spans="1:18" ht="15.6" x14ac:dyDescent="0.3">
      <c r="A17" s="44" t="s">
        <v>373</v>
      </c>
      <c r="B17" s="45"/>
      <c r="C17" s="45"/>
      <c r="D17" s="45"/>
      <c r="E17" s="45"/>
      <c r="F17" s="45"/>
      <c r="G17" s="45"/>
      <c r="H17" s="45"/>
      <c r="I17" s="45"/>
      <c r="J17" s="45"/>
      <c r="K17" s="45"/>
      <c r="L17" s="45"/>
      <c r="M17" s="45"/>
      <c r="N17" s="45"/>
      <c r="O17" s="35">
        <f t="shared" si="2"/>
        <v>0</v>
      </c>
      <c r="P17" s="35"/>
      <c r="Q17" s="46"/>
      <c r="R17" s="35"/>
    </row>
    <row r="18" spans="1:18" ht="15.6" x14ac:dyDescent="0.3">
      <c r="A18" s="44" t="s">
        <v>373</v>
      </c>
      <c r="B18" s="45"/>
      <c r="C18" s="45"/>
      <c r="D18" s="45"/>
      <c r="E18" s="45"/>
      <c r="F18" s="45"/>
      <c r="G18" s="45"/>
      <c r="H18" s="45"/>
      <c r="I18" s="45"/>
      <c r="J18" s="45"/>
      <c r="K18" s="45"/>
      <c r="L18" s="45"/>
      <c r="M18" s="45"/>
      <c r="N18" s="45"/>
      <c r="O18" s="35">
        <f t="shared" si="2"/>
        <v>0</v>
      </c>
      <c r="P18" s="35"/>
      <c r="Q18" s="46"/>
      <c r="R18" s="35"/>
    </row>
    <row r="19" spans="1:18" ht="46.75" x14ac:dyDescent="0.3">
      <c r="A19" s="47" t="s">
        <v>371</v>
      </c>
      <c r="B19" s="45"/>
      <c r="C19" s="45">
        <v>16</v>
      </c>
      <c r="D19" s="45"/>
      <c r="E19" s="45"/>
      <c r="F19" s="45"/>
      <c r="G19" s="45"/>
      <c r="H19" s="45"/>
      <c r="I19" s="45">
        <v>36</v>
      </c>
      <c r="J19" s="45"/>
      <c r="K19" s="45">
        <v>8</v>
      </c>
      <c r="L19" s="45"/>
      <c r="M19" s="45"/>
      <c r="N19" s="45">
        <v>6</v>
      </c>
      <c r="O19" s="35">
        <f t="shared" si="2"/>
        <v>2260</v>
      </c>
      <c r="P19" s="35"/>
      <c r="Q19" s="46">
        <v>3100</v>
      </c>
      <c r="R19" s="35"/>
    </row>
    <row r="20" spans="1:18" ht="27.95" x14ac:dyDescent="0.3">
      <c r="A20" s="48" t="s">
        <v>372</v>
      </c>
      <c r="B20" s="49"/>
      <c r="C20" s="49">
        <v>10</v>
      </c>
      <c r="D20" s="49"/>
      <c r="E20" s="49"/>
      <c r="F20" s="49"/>
      <c r="G20" s="49"/>
      <c r="H20" s="49">
        <v>20</v>
      </c>
      <c r="I20" s="49">
        <v>120</v>
      </c>
      <c r="J20" s="49"/>
      <c r="K20" s="49">
        <v>8</v>
      </c>
      <c r="L20" s="49"/>
      <c r="M20" s="49"/>
      <c r="N20" s="49"/>
      <c r="O20" s="35">
        <f t="shared" si="2"/>
        <v>2875</v>
      </c>
      <c r="P20" s="35"/>
      <c r="Q20" s="35">
        <v>20000</v>
      </c>
      <c r="R20" s="35"/>
    </row>
    <row r="21" spans="1:18" x14ac:dyDescent="0.3">
      <c r="A21" s="50" t="s">
        <v>373</v>
      </c>
      <c r="B21" s="49"/>
      <c r="C21" s="49"/>
      <c r="D21" s="49"/>
      <c r="E21" s="49"/>
      <c r="F21" s="49"/>
      <c r="G21" s="49"/>
      <c r="H21" s="49"/>
      <c r="I21" s="49"/>
      <c r="J21" s="49"/>
      <c r="K21" s="49"/>
      <c r="L21" s="49"/>
      <c r="M21" s="49"/>
      <c r="N21" s="49"/>
      <c r="O21" s="35">
        <f t="shared" si="2"/>
        <v>0</v>
      </c>
      <c r="P21" s="35"/>
      <c r="Q21" s="35"/>
      <c r="R21" s="35"/>
    </row>
    <row r="22" spans="1:18" x14ac:dyDescent="0.3">
      <c r="A22" s="33" t="s">
        <v>367</v>
      </c>
      <c r="B22" s="34">
        <f>SUM(B10:B21)</f>
        <v>35</v>
      </c>
      <c r="C22" s="34">
        <f t="shared" ref="C22:N22" si="4">SUM(C10:C21)</f>
        <v>36</v>
      </c>
      <c r="D22" s="34">
        <f t="shared" si="4"/>
        <v>94</v>
      </c>
      <c r="E22" s="34">
        <f t="shared" si="4"/>
        <v>23</v>
      </c>
      <c r="F22" s="34">
        <f t="shared" si="4"/>
        <v>0</v>
      </c>
      <c r="G22" s="34">
        <f t="shared" si="4"/>
        <v>112</v>
      </c>
      <c r="H22" s="34">
        <f t="shared" si="4"/>
        <v>20</v>
      </c>
      <c r="I22" s="34">
        <f t="shared" si="4"/>
        <v>315</v>
      </c>
      <c r="J22" s="34">
        <f t="shared" si="4"/>
        <v>0</v>
      </c>
      <c r="K22" s="34">
        <f t="shared" si="4"/>
        <v>127.625</v>
      </c>
      <c r="L22" s="34">
        <f t="shared" si="4"/>
        <v>8</v>
      </c>
      <c r="M22" s="34">
        <f t="shared" si="4"/>
        <v>0</v>
      </c>
      <c r="N22" s="34">
        <f t="shared" si="4"/>
        <v>9</v>
      </c>
      <c r="O22" s="35"/>
      <c r="P22" s="35"/>
      <c r="Q22" s="35"/>
      <c r="R22" s="35"/>
    </row>
    <row r="23" spans="1:18" ht="27.95" x14ac:dyDescent="0.3">
      <c r="A23" s="33" t="s">
        <v>374</v>
      </c>
      <c r="B23" s="34">
        <v>70</v>
      </c>
      <c r="C23" s="34">
        <v>10</v>
      </c>
      <c r="D23" s="34">
        <v>15</v>
      </c>
      <c r="E23" s="34"/>
      <c r="F23" s="34"/>
      <c r="G23" s="34"/>
      <c r="H23" s="34"/>
      <c r="I23" s="34"/>
      <c r="J23" s="34"/>
      <c r="K23" s="34">
        <v>4</v>
      </c>
      <c r="L23" s="34"/>
      <c r="M23" s="34">
        <v>5</v>
      </c>
      <c r="N23" s="34">
        <v>10</v>
      </c>
      <c r="O23" s="35">
        <f>B23*($B$9/$B$8)+C23*($C$9/$C$8)+D23*($D$9/$D$8)+E23*($E$9/$E$8)+F23*($F$9/$F$8)+G23*($G$9/$G$8)+H23*($H$9/$H$8)+I23*($I$9/$I$8)+J23*($J$9/$J$8)+K23*($K$9/$K$8)+L23*($L$9/$L$8)+M23*($M$9/$M$8)+N23*($N$9/$N$8)</f>
        <v>2980.909090909091</v>
      </c>
      <c r="P23" s="35"/>
      <c r="Q23" s="35"/>
      <c r="R23" s="35"/>
    </row>
    <row r="24" spans="1:18" x14ac:dyDescent="0.3">
      <c r="A24" s="28" t="s">
        <v>375</v>
      </c>
      <c r="B24" s="51">
        <f t="shared" ref="B24:N24" si="5">B22-B23</f>
        <v>-35</v>
      </c>
      <c r="C24" s="51">
        <f t="shared" si="5"/>
        <v>26</v>
      </c>
      <c r="D24" s="51">
        <f t="shared" si="5"/>
        <v>79</v>
      </c>
      <c r="E24" s="51">
        <f t="shared" si="5"/>
        <v>23</v>
      </c>
      <c r="F24" s="51">
        <f t="shared" si="5"/>
        <v>0</v>
      </c>
      <c r="G24" s="51">
        <f t="shared" si="5"/>
        <v>112</v>
      </c>
      <c r="H24" s="51">
        <f t="shared" si="5"/>
        <v>20</v>
      </c>
      <c r="I24" s="51">
        <f t="shared" si="5"/>
        <v>315</v>
      </c>
      <c r="J24" s="51">
        <f t="shared" si="5"/>
        <v>0</v>
      </c>
      <c r="K24" s="51">
        <f t="shared" si="5"/>
        <v>123.625</v>
      </c>
      <c r="L24" s="51">
        <f t="shared" si="5"/>
        <v>8</v>
      </c>
      <c r="M24" s="51">
        <f>M22-M23</f>
        <v>-5</v>
      </c>
      <c r="N24" s="51">
        <f t="shared" si="5"/>
        <v>-1</v>
      </c>
      <c r="O24" s="31"/>
      <c r="P24" s="31"/>
      <c r="Q24" s="31"/>
      <c r="R24" s="31"/>
    </row>
    <row r="25" spans="1:18" x14ac:dyDescent="0.3">
      <c r="A25" s="33" t="s">
        <v>376</v>
      </c>
      <c r="B25" s="52">
        <v>0.1</v>
      </c>
      <c r="C25" s="52">
        <v>0.1</v>
      </c>
      <c r="D25" s="52">
        <v>0.1</v>
      </c>
      <c r="E25" s="52">
        <v>0.1</v>
      </c>
      <c r="F25" s="52">
        <v>0.15</v>
      </c>
      <c r="G25" s="52">
        <v>0.1</v>
      </c>
      <c r="H25" s="52">
        <v>0.1</v>
      </c>
      <c r="I25" s="52">
        <v>0.1</v>
      </c>
      <c r="J25" s="52">
        <v>0.15</v>
      </c>
      <c r="K25" s="52">
        <v>0.1</v>
      </c>
      <c r="L25" s="52">
        <v>0.05</v>
      </c>
      <c r="M25" s="52">
        <v>0.1</v>
      </c>
      <c r="N25" s="52">
        <v>0.1</v>
      </c>
      <c r="O25" s="31"/>
      <c r="P25" s="31"/>
      <c r="Q25" s="31"/>
      <c r="R25" s="31"/>
    </row>
    <row r="26" spans="1:18" ht="41.95" x14ac:dyDescent="0.3">
      <c r="A26" s="33" t="s">
        <v>377</v>
      </c>
      <c r="B26" s="53">
        <f t="shared" ref="B26:N26" si="6">B24+(B24*10%)</f>
        <v>-38.5</v>
      </c>
      <c r="C26" s="53">
        <f t="shared" si="6"/>
        <v>28.6</v>
      </c>
      <c r="D26" s="53">
        <f t="shared" si="6"/>
        <v>86.9</v>
      </c>
      <c r="E26" s="53">
        <f>E24+(E24*30%)</f>
        <v>29.9</v>
      </c>
      <c r="F26" s="53">
        <f t="shared" si="6"/>
        <v>0</v>
      </c>
      <c r="G26" s="53">
        <f t="shared" si="6"/>
        <v>123.2</v>
      </c>
      <c r="H26" s="53">
        <f t="shared" si="6"/>
        <v>22</v>
      </c>
      <c r="I26" s="53">
        <f t="shared" si="6"/>
        <v>346.5</v>
      </c>
      <c r="J26" s="53">
        <f>J24+(J24*15%)</f>
        <v>0</v>
      </c>
      <c r="K26" s="53">
        <f t="shared" si="6"/>
        <v>135.98750000000001</v>
      </c>
      <c r="L26" s="53">
        <f t="shared" si="6"/>
        <v>8.8000000000000007</v>
      </c>
      <c r="M26" s="53">
        <f t="shared" si="6"/>
        <v>-5.5</v>
      </c>
      <c r="N26" s="53">
        <f t="shared" si="6"/>
        <v>-1.1000000000000001</v>
      </c>
      <c r="O26" s="31"/>
      <c r="P26" s="31"/>
      <c r="Q26" s="31"/>
      <c r="R26" s="31"/>
    </row>
    <row r="27" spans="1:18" ht="27.95" x14ac:dyDescent="0.3">
      <c r="A27" s="33" t="s">
        <v>378</v>
      </c>
      <c r="B27" s="54">
        <f t="shared" ref="B27:N27" si="7">B26/B8</f>
        <v>-1.75</v>
      </c>
      <c r="C27" s="54">
        <f t="shared" si="7"/>
        <v>2.8600000000000003</v>
      </c>
      <c r="D27" s="54">
        <f t="shared" si="7"/>
        <v>8.6900000000000013</v>
      </c>
      <c r="E27" s="54">
        <f t="shared" si="7"/>
        <v>5.9799999999999995</v>
      </c>
      <c r="F27" s="54">
        <f t="shared" si="7"/>
        <v>0</v>
      </c>
      <c r="G27" s="54">
        <f t="shared" si="7"/>
        <v>6.16</v>
      </c>
      <c r="H27" s="54">
        <f t="shared" si="7"/>
        <v>1.1000000000000001</v>
      </c>
      <c r="I27" s="54">
        <f t="shared" si="7"/>
        <v>17.324999999999999</v>
      </c>
      <c r="J27" s="54">
        <f t="shared" si="7"/>
        <v>0</v>
      </c>
      <c r="K27" s="54">
        <f t="shared" si="7"/>
        <v>13.598750000000001</v>
      </c>
      <c r="L27" s="54">
        <f t="shared" si="7"/>
        <v>0.88000000000000012</v>
      </c>
      <c r="M27" s="54">
        <f t="shared" si="7"/>
        <v>-5.5</v>
      </c>
      <c r="N27" s="54">
        <f t="shared" si="7"/>
        <v>-0.11000000000000001</v>
      </c>
      <c r="O27" s="31"/>
      <c r="P27" s="31"/>
      <c r="Q27" s="31"/>
      <c r="R27" s="31"/>
    </row>
    <row r="28" spans="1:18" x14ac:dyDescent="0.3">
      <c r="A28" s="28" t="s">
        <v>379</v>
      </c>
      <c r="B28" s="30"/>
      <c r="C28" s="30">
        <v>4</v>
      </c>
      <c r="D28" s="30">
        <v>10</v>
      </c>
      <c r="E28" s="30">
        <v>6</v>
      </c>
      <c r="F28" s="30"/>
      <c r="G28" s="30">
        <v>6</v>
      </c>
      <c r="H28" s="30"/>
      <c r="I28" s="30">
        <v>20</v>
      </c>
      <c r="J28" s="30">
        <v>1</v>
      </c>
      <c r="K28" s="30">
        <v>14</v>
      </c>
      <c r="L28" s="30">
        <v>1</v>
      </c>
      <c r="M28" s="30"/>
      <c r="N28" s="30"/>
      <c r="O28" s="31"/>
      <c r="P28" s="31"/>
      <c r="Q28" s="31"/>
      <c r="R28" s="31"/>
    </row>
    <row r="29" spans="1:18" x14ac:dyDescent="0.3">
      <c r="A29" s="55"/>
      <c r="B29" s="56"/>
      <c r="C29" s="56"/>
      <c r="D29" s="56"/>
      <c r="E29" s="56"/>
      <c r="F29" s="56"/>
      <c r="G29" s="56"/>
      <c r="H29" s="56"/>
      <c r="I29" s="56">
        <v>1</v>
      </c>
      <c r="J29" s="56"/>
      <c r="K29" s="56"/>
      <c r="L29" s="56"/>
      <c r="M29" s="34"/>
      <c r="N29" s="30"/>
      <c r="O29" s="31"/>
      <c r="P29" s="31"/>
      <c r="Q29" s="31"/>
      <c r="R29" s="31"/>
    </row>
    <row r="30" spans="1:18" x14ac:dyDescent="0.3">
      <c r="A30" s="57"/>
      <c r="B30" s="58"/>
      <c r="C30" s="58">
        <v>1</v>
      </c>
      <c r="D30" s="58"/>
      <c r="E30" s="58"/>
      <c r="F30" s="58"/>
      <c r="G30" s="58">
        <v>3</v>
      </c>
      <c r="H30" s="58"/>
      <c r="I30" s="58">
        <v>4</v>
      </c>
      <c r="J30" s="58"/>
      <c r="K30" s="58">
        <v>7</v>
      </c>
      <c r="L30" s="58">
        <v>1</v>
      </c>
      <c r="M30" s="34"/>
      <c r="N30" s="34"/>
      <c r="O30" s="31"/>
      <c r="P30" s="31"/>
      <c r="Q30" s="31"/>
      <c r="R30" s="31"/>
    </row>
    <row r="31" spans="1:18" x14ac:dyDescent="0.3">
      <c r="A31" s="28"/>
      <c r="B31" s="34"/>
      <c r="C31" s="59">
        <v>1</v>
      </c>
      <c r="D31" s="34"/>
      <c r="E31" s="34"/>
      <c r="F31" s="34"/>
      <c r="G31" s="34">
        <v>3</v>
      </c>
      <c r="H31" s="34">
        <v>1</v>
      </c>
      <c r="I31" s="34">
        <v>7</v>
      </c>
      <c r="J31" s="34"/>
      <c r="K31" s="34"/>
      <c r="L31" s="34"/>
      <c r="M31" s="34"/>
      <c r="N31" s="34"/>
      <c r="O31" s="31"/>
      <c r="P31" s="31"/>
      <c r="Q31" s="31"/>
      <c r="R31" s="31"/>
    </row>
    <row r="32" spans="1:18" x14ac:dyDescent="0.3">
      <c r="A32" s="50"/>
      <c r="B32" s="60"/>
      <c r="C32" s="60">
        <v>2</v>
      </c>
      <c r="D32" s="60"/>
      <c r="E32" s="60"/>
      <c r="F32" s="60"/>
      <c r="G32" s="60"/>
      <c r="H32" s="60"/>
      <c r="I32" s="60">
        <v>1</v>
      </c>
      <c r="J32" s="60"/>
      <c r="K32" s="60"/>
      <c r="L32" s="60"/>
      <c r="M32" s="34"/>
      <c r="N32" s="34"/>
      <c r="O32" s="31"/>
      <c r="P32" s="31"/>
      <c r="Q32" s="31"/>
      <c r="R32" s="31"/>
    </row>
    <row r="33" spans="1:18" x14ac:dyDescent="0.3">
      <c r="A33" s="61"/>
      <c r="B33" s="62"/>
      <c r="C33" s="62"/>
      <c r="D33" s="62"/>
      <c r="E33" s="62"/>
      <c r="F33" s="62"/>
      <c r="G33" s="62"/>
      <c r="H33" s="62"/>
      <c r="I33" s="62"/>
      <c r="J33" s="62"/>
      <c r="K33" s="62">
        <v>7</v>
      </c>
      <c r="L33" s="62"/>
      <c r="M33" s="34"/>
      <c r="N33" s="34"/>
      <c r="O33" s="31"/>
      <c r="P33" s="31"/>
      <c r="Q33" s="31"/>
      <c r="R33" s="31"/>
    </row>
    <row r="34" spans="1:18" x14ac:dyDescent="0.3">
      <c r="A34" s="63"/>
      <c r="B34" s="64"/>
      <c r="C34" s="64"/>
      <c r="D34" s="64"/>
      <c r="E34" s="64"/>
      <c r="F34" s="64"/>
      <c r="G34" s="64"/>
      <c r="H34" s="64"/>
      <c r="I34" s="64">
        <v>1</v>
      </c>
      <c r="J34" s="64"/>
      <c r="K34" s="64"/>
      <c r="L34" s="64"/>
      <c r="M34" s="34"/>
      <c r="N34" s="34"/>
      <c r="O34" s="31"/>
      <c r="P34" s="31"/>
      <c r="Q34" s="31"/>
      <c r="R34" s="31"/>
    </row>
    <row r="35" spans="1:18" x14ac:dyDescent="0.3">
      <c r="A35" s="65"/>
      <c r="B35" s="66"/>
      <c r="C35" s="66"/>
      <c r="D35" s="66"/>
      <c r="E35" s="66"/>
      <c r="F35" s="66"/>
      <c r="G35" s="66"/>
      <c r="H35" s="66"/>
      <c r="I35" s="66">
        <v>6</v>
      </c>
      <c r="J35" s="66">
        <v>1</v>
      </c>
      <c r="K35" s="66"/>
      <c r="L35" s="66"/>
      <c r="M35" s="34"/>
      <c r="N35" s="34"/>
      <c r="O35" s="31"/>
      <c r="P35" s="31"/>
      <c r="Q35" s="31"/>
      <c r="R35" s="31"/>
    </row>
    <row r="36" spans="1:18" x14ac:dyDescent="0.3">
      <c r="A36" s="28"/>
      <c r="B36" s="34"/>
      <c r="C36" s="34"/>
      <c r="D36" s="34"/>
      <c r="E36" s="34"/>
      <c r="F36" s="34"/>
      <c r="G36" s="34"/>
      <c r="H36" s="34"/>
      <c r="I36" s="34"/>
      <c r="J36" s="34"/>
      <c r="K36" s="34"/>
      <c r="L36" s="30"/>
      <c r="M36" s="30"/>
      <c r="N36" s="34"/>
      <c r="O36" s="31"/>
      <c r="P36" s="31"/>
      <c r="Q36" s="31"/>
      <c r="R36" s="31"/>
    </row>
    <row r="37" spans="1:18" ht="15.6" x14ac:dyDescent="0.3">
      <c r="A37" s="67"/>
      <c r="B37" s="68"/>
      <c r="C37" s="68"/>
      <c r="D37" s="68"/>
      <c r="E37" s="68"/>
      <c r="F37" s="68"/>
      <c r="G37" s="68"/>
      <c r="H37" s="68"/>
      <c r="I37" s="68"/>
      <c r="J37" s="68"/>
      <c r="K37" s="68"/>
      <c r="L37" s="68"/>
      <c r="M37" s="68"/>
      <c r="N37" s="68"/>
      <c r="O37" s="31"/>
      <c r="P37" s="31"/>
      <c r="Q37" s="31"/>
      <c r="R37" s="31"/>
    </row>
    <row r="38" spans="1:18" x14ac:dyDescent="0.3">
      <c r="A38" s="30" t="s">
        <v>380</v>
      </c>
      <c r="B38" s="37">
        <f t="shared" ref="B38:N38" si="8">B28*B9</f>
        <v>0</v>
      </c>
      <c r="C38" s="37">
        <f t="shared" si="8"/>
        <v>2000</v>
      </c>
      <c r="D38" s="37">
        <f t="shared" si="8"/>
        <v>1600</v>
      </c>
      <c r="E38" s="37">
        <f t="shared" si="8"/>
        <v>1080</v>
      </c>
      <c r="F38" s="37">
        <f t="shared" si="8"/>
        <v>0</v>
      </c>
      <c r="G38" s="37">
        <f t="shared" si="8"/>
        <v>1800</v>
      </c>
      <c r="H38" s="37">
        <f t="shared" si="8"/>
        <v>0</v>
      </c>
      <c r="I38" s="37">
        <f t="shared" si="8"/>
        <v>5000</v>
      </c>
      <c r="J38" s="37">
        <f t="shared" si="8"/>
        <v>425</v>
      </c>
      <c r="K38" s="37">
        <f t="shared" si="8"/>
        <v>8750</v>
      </c>
      <c r="L38" s="37">
        <f t="shared" si="8"/>
        <v>1600</v>
      </c>
      <c r="M38" s="37">
        <f t="shared" si="8"/>
        <v>0</v>
      </c>
      <c r="N38" s="37">
        <f t="shared" si="8"/>
        <v>0</v>
      </c>
      <c r="O38" s="31">
        <f>B38+C38+D38+E38+F38+G38+H38+I38+J38+K38+L38+M38+N38+Q60+ 2000</f>
        <v>29765</v>
      </c>
      <c r="P38" s="69"/>
      <c r="Q38" s="35">
        <f>SUM(Q7:Q23)</f>
        <v>50436.5</v>
      </c>
      <c r="R38" s="31"/>
    </row>
    <row r="39" spans="1:18" x14ac:dyDescent="0.3">
      <c r="A39" s="31"/>
      <c r="B39" s="31"/>
      <c r="C39" s="31"/>
      <c r="D39" s="31"/>
      <c r="E39" s="31"/>
      <c r="F39" s="31"/>
      <c r="G39" s="31"/>
      <c r="H39" s="31"/>
      <c r="I39" s="31"/>
      <c r="J39" s="31"/>
      <c r="K39" s="31"/>
      <c r="L39" s="31"/>
      <c r="M39" s="31"/>
      <c r="N39" s="31"/>
      <c r="O39" s="31"/>
      <c r="P39" s="70" t="s">
        <v>381</v>
      </c>
      <c r="Q39" s="70" t="s">
        <v>382</v>
      </c>
      <c r="R39" s="31"/>
    </row>
    <row r="40" spans="1:18" x14ac:dyDescent="0.3">
      <c r="A40" s="31"/>
      <c r="B40" s="31"/>
      <c r="C40" s="31"/>
      <c r="D40" s="31"/>
      <c r="E40" s="31"/>
      <c r="F40" s="31"/>
      <c r="G40" s="31"/>
      <c r="H40" s="31"/>
      <c r="I40" s="31"/>
      <c r="J40" s="31"/>
      <c r="K40" s="31"/>
      <c r="L40" s="31"/>
      <c r="M40" s="31"/>
      <c r="N40" s="31" t="s">
        <v>383</v>
      </c>
      <c r="O40" s="31">
        <f t="shared" ref="O40:O59" si="9">Q40*P40</f>
        <v>1000</v>
      </c>
      <c r="P40" s="31">
        <v>5</v>
      </c>
      <c r="Q40" s="31">
        <v>200</v>
      </c>
      <c r="R40" s="31"/>
    </row>
    <row r="41" spans="1:18" x14ac:dyDescent="0.3">
      <c r="A41" s="31"/>
      <c r="B41" s="31"/>
      <c r="C41" s="31"/>
      <c r="D41" s="31"/>
      <c r="E41" s="31"/>
      <c r="F41" s="31"/>
      <c r="G41" s="31"/>
      <c r="H41" s="31"/>
      <c r="I41" s="31"/>
      <c r="J41" s="31"/>
      <c r="K41" s="31"/>
      <c r="L41" s="31"/>
      <c r="M41" s="31"/>
      <c r="N41" s="31" t="s">
        <v>384</v>
      </c>
      <c r="O41" s="31">
        <f t="shared" si="9"/>
        <v>300</v>
      </c>
      <c r="P41" s="31">
        <v>3</v>
      </c>
      <c r="Q41" s="31">
        <v>100</v>
      </c>
      <c r="R41" s="31"/>
    </row>
    <row r="42" spans="1:18" x14ac:dyDescent="0.3">
      <c r="A42" s="31"/>
      <c r="B42" s="31"/>
      <c r="C42" s="31"/>
      <c r="D42" s="31"/>
      <c r="E42" s="31"/>
      <c r="F42" s="31"/>
      <c r="G42" s="31"/>
      <c r="H42" s="31"/>
      <c r="I42" s="31"/>
      <c r="J42" s="31"/>
      <c r="K42" s="31"/>
      <c r="L42" s="31"/>
      <c r="M42" s="31"/>
      <c r="N42" s="31" t="s">
        <v>385</v>
      </c>
      <c r="O42" s="31">
        <f t="shared" si="9"/>
        <v>0</v>
      </c>
      <c r="P42" s="31">
        <v>0</v>
      </c>
      <c r="Q42" s="31">
        <v>100</v>
      </c>
      <c r="R42" s="31"/>
    </row>
    <row r="43" spans="1:18" x14ac:dyDescent="0.3">
      <c r="A43" s="31"/>
      <c r="B43" s="31"/>
      <c r="C43" s="31"/>
      <c r="D43" s="31"/>
      <c r="E43" s="31"/>
      <c r="F43" s="31"/>
      <c r="G43" s="31"/>
      <c r="H43" s="31"/>
      <c r="I43" s="31"/>
      <c r="J43" s="31"/>
      <c r="K43" s="31"/>
      <c r="L43" s="31"/>
      <c r="M43" s="31"/>
      <c r="N43" s="31" t="s">
        <v>386</v>
      </c>
      <c r="O43" s="31">
        <f t="shared" si="9"/>
        <v>2000</v>
      </c>
      <c r="P43" s="31">
        <v>100</v>
      </c>
      <c r="Q43" s="31">
        <v>20</v>
      </c>
      <c r="R43" s="31"/>
    </row>
    <row r="44" spans="1:18" ht="27.95" x14ac:dyDescent="0.3">
      <c r="A44" s="31"/>
      <c r="B44" s="31"/>
      <c r="C44" s="31"/>
      <c r="D44" s="31"/>
      <c r="E44" s="31"/>
      <c r="F44" s="71"/>
      <c r="G44" s="31"/>
      <c r="H44" s="31"/>
      <c r="I44" s="31"/>
      <c r="J44" s="31"/>
      <c r="K44" s="31"/>
      <c r="L44" s="31"/>
      <c r="M44" s="31"/>
      <c r="N44" s="31" t="s">
        <v>387</v>
      </c>
      <c r="O44" s="31">
        <f t="shared" si="9"/>
        <v>320</v>
      </c>
      <c r="P44" s="31">
        <v>4</v>
      </c>
      <c r="Q44" s="31">
        <v>80</v>
      </c>
      <c r="R44" s="31"/>
    </row>
    <row r="45" spans="1:18" x14ac:dyDescent="0.3">
      <c r="A45" s="31"/>
      <c r="B45" s="31"/>
      <c r="C45" s="31"/>
      <c r="D45" s="31"/>
      <c r="E45" s="31"/>
      <c r="F45" s="31"/>
      <c r="G45" s="31"/>
      <c r="H45" s="31"/>
      <c r="I45" s="31"/>
      <c r="J45" s="31"/>
      <c r="K45" s="31"/>
      <c r="L45" s="31"/>
      <c r="M45" s="31"/>
      <c r="N45" s="31" t="s">
        <v>388</v>
      </c>
      <c r="O45" s="31">
        <f t="shared" si="9"/>
        <v>0</v>
      </c>
      <c r="P45" s="31">
        <v>0</v>
      </c>
      <c r="Q45" s="31">
        <v>300</v>
      </c>
      <c r="R45" s="31"/>
    </row>
    <row r="46" spans="1:18" ht="27.95" x14ac:dyDescent="0.3">
      <c r="A46" s="31"/>
      <c r="B46" s="31"/>
      <c r="C46" s="31"/>
      <c r="D46" s="31"/>
      <c r="E46" s="31"/>
      <c r="F46" s="31"/>
      <c r="G46" s="31"/>
      <c r="H46" s="31"/>
      <c r="I46" s="31"/>
      <c r="J46" s="31"/>
      <c r="K46" s="31"/>
      <c r="L46" s="31"/>
      <c r="M46" s="31"/>
      <c r="N46" s="31" t="s">
        <v>389</v>
      </c>
      <c r="O46" s="31">
        <f t="shared" si="9"/>
        <v>0</v>
      </c>
      <c r="P46" s="31">
        <v>0</v>
      </c>
      <c r="Q46" s="31">
        <v>250</v>
      </c>
      <c r="R46" s="31"/>
    </row>
    <row r="47" spans="1:18" x14ac:dyDescent="0.3">
      <c r="A47" s="31"/>
      <c r="B47" s="31"/>
      <c r="C47" s="31"/>
      <c r="D47" s="31"/>
      <c r="E47" s="31"/>
      <c r="F47" s="31"/>
      <c r="G47" s="31"/>
      <c r="H47" s="31"/>
      <c r="I47" s="31"/>
      <c r="J47" s="31"/>
      <c r="K47" s="31"/>
      <c r="L47" s="31"/>
      <c r="M47" s="31"/>
      <c r="N47" s="31" t="s">
        <v>390</v>
      </c>
      <c r="O47" s="31">
        <f t="shared" si="9"/>
        <v>300</v>
      </c>
      <c r="P47" s="31">
        <v>3</v>
      </c>
      <c r="Q47" s="31">
        <v>100</v>
      </c>
      <c r="R47" s="31"/>
    </row>
    <row r="48" spans="1:18" ht="27.95" x14ac:dyDescent="0.3">
      <c r="A48" s="31"/>
      <c r="B48" s="31"/>
      <c r="C48" s="31"/>
      <c r="D48" s="31"/>
      <c r="E48" s="31"/>
      <c r="F48" s="31"/>
      <c r="G48" s="31"/>
      <c r="H48" s="31"/>
      <c r="I48" s="31"/>
      <c r="J48" s="31"/>
      <c r="K48" s="31"/>
      <c r="L48" s="31"/>
      <c r="M48" s="31"/>
      <c r="N48" s="31" t="s">
        <v>391</v>
      </c>
      <c r="O48" s="31">
        <f t="shared" si="9"/>
        <v>600</v>
      </c>
      <c r="P48" s="31">
        <v>2</v>
      </c>
      <c r="Q48" s="31">
        <v>300</v>
      </c>
      <c r="R48" s="31"/>
    </row>
    <row r="49" spans="1:18" x14ac:dyDescent="0.3">
      <c r="A49" s="31"/>
      <c r="B49" s="31"/>
      <c r="C49" s="31"/>
      <c r="D49" s="31"/>
      <c r="E49" s="31"/>
      <c r="F49" s="31"/>
      <c r="G49" s="31"/>
      <c r="H49" s="31"/>
      <c r="I49" s="31"/>
      <c r="J49" s="31"/>
      <c r="K49" s="31"/>
      <c r="L49" s="31"/>
      <c r="M49" s="31"/>
      <c r="N49" s="31" t="s">
        <v>392</v>
      </c>
      <c r="O49" s="31">
        <f t="shared" si="9"/>
        <v>0</v>
      </c>
      <c r="P49" s="31">
        <v>0</v>
      </c>
      <c r="Q49" s="31">
        <v>700</v>
      </c>
      <c r="R49" s="31"/>
    </row>
    <row r="50" spans="1:18" x14ac:dyDescent="0.3">
      <c r="A50" s="31"/>
      <c r="B50" s="31"/>
      <c r="C50" s="31"/>
      <c r="D50" s="31"/>
      <c r="E50" s="31"/>
      <c r="F50" s="31"/>
      <c r="G50" s="31"/>
      <c r="H50" s="31"/>
      <c r="I50" s="31"/>
      <c r="J50" s="31"/>
      <c r="K50" s="31"/>
      <c r="L50" s="31"/>
      <c r="M50" s="31"/>
      <c r="N50" s="31" t="s">
        <v>393</v>
      </c>
      <c r="O50" s="31">
        <f t="shared" si="9"/>
        <v>1500</v>
      </c>
      <c r="P50" s="31">
        <v>5</v>
      </c>
      <c r="Q50" s="31">
        <v>300</v>
      </c>
      <c r="R50" s="31"/>
    </row>
    <row r="51" spans="1:18" x14ac:dyDescent="0.3">
      <c r="A51" s="31"/>
      <c r="B51" s="31"/>
      <c r="C51" s="31"/>
      <c r="D51" s="31"/>
      <c r="E51" s="31"/>
      <c r="F51" s="31"/>
      <c r="G51" s="31"/>
      <c r="H51" s="31"/>
      <c r="I51" s="31"/>
      <c r="J51" s="31"/>
      <c r="K51" s="31"/>
      <c r="L51" s="31"/>
      <c r="M51" s="31"/>
      <c r="N51" s="31" t="s">
        <v>359</v>
      </c>
      <c r="O51" s="31">
        <f t="shared" si="9"/>
        <v>900</v>
      </c>
      <c r="P51" s="31">
        <v>5</v>
      </c>
      <c r="Q51" s="31">
        <v>180</v>
      </c>
      <c r="R51" s="31"/>
    </row>
    <row r="52" spans="1:18" ht="27.95" x14ac:dyDescent="0.3">
      <c r="A52" s="31"/>
      <c r="B52" s="31"/>
      <c r="C52" s="31"/>
      <c r="D52" s="31"/>
      <c r="E52" s="31"/>
      <c r="F52" s="31"/>
      <c r="G52" s="31"/>
      <c r="H52" s="31"/>
      <c r="I52" s="31"/>
      <c r="J52" s="31"/>
      <c r="K52" s="31"/>
      <c r="L52" s="31"/>
      <c r="M52" s="31"/>
      <c r="N52" s="31" t="s">
        <v>394</v>
      </c>
      <c r="O52" s="31">
        <f t="shared" si="9"/>
        <v>200</v>
      </c>
      <c r="P52" s="31">
        <v>2</v>
      </c>
      <c r="Q52" s="31">
        <v>100</v>
      </c>
      <c r="R52" s="31"/>
    </row>
    <row r="53" spans="1:18" ht="27.95" x14ac:dyDescent="0.3">
      <c r="A53" s="31"/>
      <c r="B53" s="31"/>
      <c r="C53" s="31"/>
      <c r="D53" s="31"/>
      <c r="E53" s="31"/>
      <c r="F53" s="31"/>
      <c r="G53" s="31"/>
      <c r="H53" s="31"/>
      <c r="I53" s="31"/>
      <c r="J53" s="31"/>
      <c r="K53" s="31"/>
      <c r="L53" s="31"/>
      <c r="M53" s="31"/>
      <c r="N53" s="31" t="s">
        <v>395</v>
      </c>
      <c r="O53" s="31">
        <f t="shared" si="9"/>
        <v>80</v>
      </c>
      <c r="P53" s="31">
        <v>1</v>
      </c>
      <c r="Q53" s="31">
        <v>80</v>
      </c>
      <c r="R53" s="31"/>
    </row>
    <row r="54" spans="1:18" ht="41.95" x14ac:dyDescent="0.3">
      <c r="A54" s="31"/>
      <c r="B54" s="31"/>
      <c r="C54" s="31"/>
      <c r="D54" s="31"/>
      <c r="E54" s="31"/>
      <c r="F54" s="31"/>
      <c r="G54" s="31"/>
      <c r="H54" s="31"/>
      <c r="I54" s="31"/>
      <c r="J54" s="31"/>
      <c r="K54" s="31"/>
      <c r="L54" s="31"/>
      <c r="M54" s="31"/>
      <c r="N54" s="31" t="s">
        <v>396</v>
      </c>
      <c r="O54" s="31">
        <f t="shared" si="9"/>
        <v>0</v>
      </c>
      <c r="P54" s="31">
        <v>0</v>
      </c>
      <c r="Q54" s="31">
        <v>450</v>
      </c>
      <c r="R54" s="31"/>
    </row>
    <row r="55" spans="1:18" ht="41.95" x14ac:dyDescent="0.3">
      <c r="A55" s="31"/>
      <c r="B55" s="31"/>
      <c r="C55" s="31"/>
      <c r="D55" s="31"/>
      <c r="E55" s="31"/>
      <c r="F55" s="31"/>
      <c r="G55" s="31"/>
      <c r="H55" s="31"/>
      <c r="I55" s="31"/>
      <c r="J55" s="31"/>
      <c r="K55" s="31"/>
      <c r="L55" s="31"/>
      <c r="M55" s="31"/>
      <c r="N55" s="31" t="s">
        <v>397</v>
      </c>
      <c r="O55" s="31">
        <f t="shared" si="9"/>
        <v>0</v>
      </c>
      <c r="P55" s="31">
        <v>0</v>
      </c>
      <c r="Q55" s="31">
        <v>550</v>
      </c>
      <c r="R55" s="31"/>
    </row>
    <row r="56" spans="1:18" ht="27.95" x14ac:dyDescent="0.3">
      <c r="A56" s="31"/>
      <c r="B56" s="31"/>
      <c r="C56" s="31"/>
      <c r="D56" s="31"/>
      <c r="E56" s="31"/>
      <c r="F56" s="31"/>
      <c r="G56" s="31"/>
      <c r="H56" s="31"/>
      <c r="I56" s="31"/>
      <c r="J56" s="31"/>
      <c r="K56" s="31"/>
      <c r="L56" s="31"/>
      <c r="M56" s="31"/>
      <c r="N56" s="31" t="s">
        <v>398</v>
      </c>
      <c r="O56" s="31">
        <f t="shared" si="9"/>
        <v>0</v>
      </c>
      <c r="P56" s="31">
        <v>0</v>
      </c>
      <c r="Q56" s="31">
        <v>200</v>
      </c>
      <c r="R56" s="31"/>
    </row>
    <row r="57" spans="1:18" ht="27.95" x14ac:dyDescent="0.3">
      <c r="A57" s="31"/>
      <c r="B57" s="31"/>
      <c r="C57" s="31"/>
      <c r="D57" s="31"/>
      <c r="E57" s="31"/>
      <c r="F57" s="31"/>
      <c r="G57" s="31"/>
      <c r="H57" s="31"/>
      <c r="I57" s="31"/>
      <c r="J57" s="31"/>
      <c r="K57" s="31"/>
      <c r="L57" s="31"/>
      <c r="M57" s="31"/>
      <c r="N57" s="31" t="s">
        <v>399</v>
      </c>
      <c r="O57" s="31">
        <f t="shared" si="9"/>
        <v>0</v>
      </c>
      <c r="P57" s="31">
        <v>0</v>
      </c>
      <c r="Q57" s="31">
        <v>600</v>
      </c>
      <c r="R57" s="31"/>
    </row>
    <row r="58" spans="1:18" x14ac:dyDescent="0.3">
      <c r="A58" s="31"/>
      <c r="B58" s="31"/>
      <c r="C58" s="31"/>
      <c r="D58" s="31"/>
      <c r="E58" s="31"/>
      <c r="F58" s="31"/>
      <c r="G58" s="31"/>
      <c r="H58" s="31"/>
      <c r="I58" s="31"/>
      <c r="J58" s="31"/>
      <c r="K58" s="31"/>
      <c r="L58" s="31"/>
      <c r="M58" s="31"/>
      <c r="N58" s="31" t="s">
        <v>400</v>
      </c>
      <c r="O58" s="31">
        <f t="shared" si="9"/>
        <v>0</v>
      </c>
      <c r="P58" s="31">
        <v>0</v>
      </c>
      <c r="Q58" s="31">
        <v>300</v>
      </c>
      <c r="R58" s="31"/>
    </row>
    <row r="59" spans="1:18" ht="27.95" x14ac:dyDescent="0.3">
      <c r="A59" s="31"/>
      <c r="B59" s="31"/>
      <c r="C59" s="31"/>
      <c r="D59" s="31"/>
      <c r="E59" s="31"/>
      <c r="F59" s="31"/>
      <c r="G59" s="31"/>
      <c r="H59" s="72">
        <f>(1038*25)/30</f>
        <v>865</v>
      </c>
      <c r="I59" s="31"/>
      <c r="J59" s="31"/>
      <c r="K59" s="31"/>
      <c r="L59" s="31"/>
      <c r="M59" s="31"/>
      <c r="N59" s="31" t="s">
        <v>401</v>
      </c>
      <c r="O59" s="31">
        <f t="shared" si="9"/>
        <v>0</v>
      </c>
      <c r="P59" s="31">
        <v>0</v>
      </c>
      <c r="Q59" s="31">
        <v>600</v>
      </c>
      <c r="R59" s="31"/>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2026-07-12T15:30:42Z</dcterms:created>
  <dcterms:modified xsi:type="dcterms:W3CDTF">2026-07-12T17:21:29Z</dcterms:modified>
</cp:coreProperties>
</file>