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f90bce48fe946bb5/Desktop/"/>
    </mc:Choice>
  </mc:AlternateContent>
  <xr:revisionPtr revIDLastSave="102" documentId="8_{D6CAE3C6-B2F4-44B0-AF9F-EE4D3F89BB9B}" xr6:coauthVersionLast="47" xr6:coauthVersionMax="47" xr10:uidLastSave="{2D4AD602-15D3-4BC0-BD03-1F7126414CE8}"/>
  <bookViews>
    <workbookView xWindow="-107" yWindow="-107" windowWidth="20847" windowHeight="11100" activeTab="1" xr2:uid="{3869B4ED-011A-4ADA-ABC4-A9D1E3415297}"/>
  </bookViews>
  <sheets>
    <sheet name="Sheet1" sheetId="1" r:id="rId1"/>
    <sheet name="Sheet2" sheetId="2" r:id="rId2"/>
  </sheets>
  <externalReferences>
    <externalReference r:id="rId3"/>
    <externalReference r:id="rId4"/>
  </externalReferences>
  <definedNames>
    <definedName name="_xlnm._FilterDatabase" localSheetId="0" hidden="1">Sheet1!$A$1:$AD$74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13" i="2" l="1"/>
  <c r="T76" i="1"/>
  <c r="T75" i="1"/>
  <c r="O75" i="1"/>
  <c r="P75" i="1"/>
  <c r="Q75" i="1"/>
  <c r="R75" i="1"/>
  <c r="S75" i="1"/>
  <c r="O76" i="1"/>
  <c r="P76" i="1"/>
  <c r="Q76" i="1"/>
  <c r="R76" i="1"/>
  <c r="S76" i="1"/>
  <c r="I76" i="1"/>
  <c r="H75" i="1"/>
  <c r="I75" i="1" s="1"/>
  <c r="Q58" i="2"/>
  <c r="O57" i="2"/>
  <c r="H57" i="2"/>
  <c r="O56" i="2"/>
  <c r="O55" i="2"/>
  <c r="O54" i="2"/>
  <c r="O53" i="2"/>
  <c r="O52" i="2"/>
  <c r="O51" i="2"/>
  <c r="O50" i="2"/>
  <c r="O49" i="2"/>
  <c r="O48" i="2"/>
  <c r="O47" i="2"/>
  <c r="O46" i="2"/>
  <c r="O45" i="2"/>
  <c r="O44" i="2"/>
  <c r="O43" i="2"/>
  <c r="O42" i="2"/>
  <c r="O41" i="2"/>
  <c r="O40" i="2"/>
  <c r="O39" i="2"/>
  <c r="O38" i="2"/>
  <c r="N36" i="2"/>
  <c r="M36" i="2"/>
  <c r="L36" i="2"/>
  <c r="K36" i="2"/>
  <c r="J36" i="2"/>
  <c r="I36" i="2"/>
  <c r="H36" i="2"/>
  <c r="G36" i="2"/>
  <c r="F36" i="2"/>
  <c r="E36" i="2"/>
  <c r="D36" i="2"/>
  <c r="C36" i="2"/>
  <c r="B36" i="2"/>
  <c r="O21" i="2"/>
  <c r="O19" i="2"/>
  <c r="O18" i="2"/>
  <c r="O17" i="2"/>
  <c r="O16" i="2"/>
  <c r="O15" i="2"/>
  <c r="O14" i="2"/>
  <c r="O13" i="2"/>
  <c r="N12" i="2"/>
  <c r="M12" i="2"/>
  <c r="L12" i="2"/>
  <c r="K12" i="2"/>
  <c r="J12" i="2"/>
  <c r="I12" i="2"/>
  <c r="H12" i="2"/>
  <c r="G12" i="2"/>
  <c r="F12" i="2"/>
  <c r="E12" i="2"/>
  <c r="D12" i="2"/>
  <c r="C12" i="2"/>
  <c r="B12" i="2"/>
  <c r="N11" i="2"/>
  <c r="M11" i="2"/>
  <c r="L11" i="2"/>
  <c r="K11" i="2"/>
  <c r="J11" i="2"/>
  <c r="I11" i="2"/>
  <c r="H11" i="2"/>
  <c r="G11" i="2"/>
  <c r="F11" i="2"/>
  <c r="E11" i="2"/>
  <c r="D11" i="2"/>
  <c r="C11" i="2"/>
  <c r="B11" i="2"/>
  <c r="N10" i="2"/>
  <c r="M10" i="2"/>
  <c r="L10" i="2"/>
  <c r="K10" i="2"/>
  <c r="J10" i="2"/>
  <c r="I10" i="2"/>
  <c r="H10" i="2"/>
  <c r="G10" i="2"/>
  <c r="F10" i="2"/>
  <c r="E10" i="2"/>
  <c r="D10" i="2"/>
  <c r="C10" i="2"/>
  <c r="B10" i="2"/>
  <c r="N9" i="2"/>
  <c r="M9" i="2"/>
  <c r="L9" i="2"/>
  <c r="K9" i="2"/>
  <c r="J9" i="2"/>
  <c r="I9" i="2"/>
  <c r="I20" i="2" s="1"/>
  <c r="I22" i="2" s="1"/>
  <c r="I24" i="2" s="1"/>
  <c r="I25" i="2" s="1"/>
  <c r="H9" i="2"/>
  <c r="G9" i="2"/>
  <c r="F9" i="2"/>
  <c r="E9" i="2"/>
  <c r="D9" i="2"/>
  <c r="C9" i="2"/>
  <c r="B9" i="2"/>
  <c r="N6" i="2"/>
  <c r="M6" i="2"/>
  <c r="L6" i="2"/>
  <c r="K6" i="2"/>
  <c r="J6" i="2"/>
  <c r="I6" i="2"/>
  <c r="H6" i="2"/>
  <c r="G6" i="2"/>
  <c r="F6" i="2"/>
  <c r="E6" i="2"/>
  <c r="D6" i="2"/>
  <c r="C6" i="2"/>
  <c r="B6" i="2"/>
  <c r="O5" i="2"/>
  <c r="P12" i="2" s="1"/>
  <c r="O4" i="2"/>
  <c r="P11" i="2" s="1"/>
  <c r="O3" i="2"/>
  <c r="P10" i="2" s="1"/>
  <c r="O2" i="2"/>
  <c r="P2" i="2" s="1"/>
  <c r="P5" i="2" l="1"/>
  <c r="P3" i="2"/>
  <c r="O36" i="2"/>
  <c r="B20" i="2"/>
  <c r="B22" i="2" s="1"/>
  <c r="B24" i="2" s="1"/>
  <c r="B25" i="2" s="1"/>
  <c r="J20" i="2"/>
  <c r="J22" i="2" s="1"/>
  <c r="J24" i="2" s="1"/>
  <c r="J25" i="2" s="1"/>
  <c r="R12" i="2"/>
  <c r="C20" i="2"/>
  <c r="C22" i="2" s="1"/>
  <c r="C24" i="2" s="1"/>
  <c r="C25" i="2" s="1"/>
  <c r="K20" i="2"/>
  <c r="K22" i="2" s="1"/>
  <c r="K24" i="2" s="1"/>
  <c r="K25" i="2" s="1"/>
  <c r="D20" i="2"/>
  <c r="D22" i="2" s="1"/>
  <c r="D24" i="2" s="1"/>
  <c r="D25" i="2" s="1"/>
  <c r="L20" i="2"/>
  <c r="L22" i="2" s="1"/>
  <c r="L24" i="2" s="1"/>
  <c r="L25" i="2" s="1"/>
  <c r="O11" i="2"/>
  <c r="O6" i="2"/>
  <c r="E20" i="2"/>
  <c r="E22" i="2" s="1"/>
  <c r="E24" i="2" s="1"/>
  <c r="E25" i="2" s="1"/>
  <c r="M20" i="2"/>
  <c r="M22" i="2" s="1"/>
  <c r="M24" i="2" s="1"/>
  <c r="M25" i="2" s="1"/>
  <c r="O12" i="2"/>
  <c r="F20" i="2"/>
  <c r="F22" i="2" s="1"/>
  <c r="F24" i="2" s="1"/>
  <c r="F25" i="2" s="1"/>
  <c r="N20" i="2"/>
  <c r="N22" i="2" s="1"/>
  <c r="N24" i="2" s="1"/>
  <c r="N25" i="2" s="1"/>
  <c r="G20" i="2"/>
  <c r="G22" i="2" s="1"/>
  <c r="G24" i="2" s="1"/>
  <c r="G25" i="2" s="1"/>
  <c r="O10" i="2"/>
  <c r="R10" i="2" s="1"/>
  <c r="R11" i="2"/>
  <c r="H20" i="2"/>
  <c r="H22" i="2" s="1"/>
  <c r="H24" i="2" s="1"/>
  <c r="H25" i="2" s="1"/>
  <c r="P4" i="2"/>
  <c r="P6" i="2" s="1"/>
  <c r="Q6" i="2" s="1"/>
  <c r="Q36" i="2" s="1"/>
  <c r="O9" i="2"/>
  <c r="P9" i="2"/>
  <c r="R9" i="2" l="1"/>
  <c r="R13" i="2" s="1"/>
  <c r="S3" i="1" l="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2" i="1"/>
</calcChain>
</file>

<file path=xl/sharedStrings.xml><?xml version="1.0" encoding="utf-8"?>
<sst xmlns="http://schemas.openxmlformats.org/spreadsheetml/2006/main" count="894" uniqueCount="450">
  <si>
    <t>ID</t>
  </si>
  <si>
    <t>Name</t>
  </si>
  <si>
    <t>Ph. Number</t>
  </si>
  <si>
    <t>Address</t>
  </si>
  <si>
    <t>Zone</t>
  </si>
  <si>
    <t>Day</t>
  </si>
  <si>
    <t>Time Slot</t>
  </si>
  <si>
    <t>Pack</t>
  </si>
  <si>
    <t>Revenue</t>
  </si>
  <si>
    <t xml:space="preserve"> Type</t>
  </si>
  <si>
    <t>Remarks</t>
  </si>
  <si>
    <t>Flower Restriction</t>
  </si>
  <si>
    <t>Extra Instruction</t>
  </si>
  <si>
    <t>Final Number of Delivery</t>
  </si>
  <si>
    <t>Mr. Vipin Marwah</t>
  </si>
  <si>
    <t>9313496645//9350353662</t>
  </si>
  <si>
    <t>D5/502, Parsvanath Exotica</t>
  </si>
  <si>
    <t>DLF Phase 5</t>
  </si>
  <si>
    <t>Sunday</t>
  </si>
  <si>
    <t>9 AM - 12 PM</t>
  </si>
  <si>
    <t>Elation</t>
  </si>
  <si>
    <t>Sat to Thurs//Only white Glad, if not available then Red Glad(21/05) Today hold-send on Sunday(23/06) Today agains hold as w glad were not avaiulbvale(26/06) Again Hold today -send on Sunday(30/06) Send 4 stick extra next (09/10) 4 Stick extra next (20/11) 26th Mar del returned (04/04) Hold today -send next week (25/06) Flowers were not vaibale-- today hold(16/07) Today Hold (10/09) hold todaty -send tom (01/10) Skip 1 week (02/10) Hold today (08/10) Today hold-send next week (26/11) Hold -send tom (31/12) Today Hold (19/05)  Today Hold *31/05)Hold today (02/06) Today hold (16/06) Today Hold (23/06) Hold Today (30/06) Today Hold (04/08) Today Hold (08/06) Hold today (15/06) Today Hold (03/08) Hold Today (24/08) Hold today (31/08) Hold due to non availability of white flowers -- send next week (04/01) Today hold -- send next week (15/02) Hold today (22/03) Today Hold (24/05) Today hold (14/06) Today hold (21/06) Today Hold (05/07) Hol;d today (19/07) Hold today (26/07)</t>
  </si>
  <si>
    <t>4  del of this cycle   -  0-cycles pmnt   Completed - Collect 250</t>
  </si>
  <si>
    <t>Poorva Gera</t>
  </si>
  <si>
    <t>E-56, 1st Floor, Aarde City, Sec 52</t>
  </si>
  <si>
    <t>Sushant Estate</t>
  </si>
  <si>
    <t>10 AM to 2:30 PM</t>
  </si>
  <si>
    <t>Bliss</t>
  </si>
  <si>
    <t>Skip 2 week (22/12) Skip 2 week (23/02) Skip 1 week (31/03) Hold for 1 month (21/04) Skip 2 week (13/06) Start from August (04/07)</t>
  </si>
  <si>
    <t>2  del of this cycle   -  1-cycles pmnt   Pending - Collect 1450</t>
  </si>
  <si>
    <t>Shipra</t>
  </si>
  <si>
    <t xml:space="preserve">C-94 Trinity </t>
  </si>
  <si>
    <t>Saturday</t>
  </si>
  <si>
    <t>4 Pm to 7 PM</t>
  </si>
  <si>
    <t>Bloom</t>
  </si>
  <si>
    <t>Thursday and Sunday// Rajni 1st(02/04) Changed to evening slot(07/04) Today Returned(17/04) Skip Sunday del(17/06) Skip this Thursday(28/06) Skip 1 week(13/08) Skip Tom Flowers(01/10) Paytm From Shipra Rastogi (20/02) Skip 1 wek (22/03) Skip Thursday delivery (04/04) Today Returned (09/04) Skip sunday delivery (29/09) Yesterday returned (22/12) Return today (28/01) Skip tom (23/03) Skip 1 week (10/04) Eustoma Next (26/05) Hold for 10 days (06/06) Sennd one del Tom (05/08) Hold today and skip next (15/08) Hold today n skip 1 week (21/11) Skip this sunday (21/12) Paytm from Shipra Rastogi (02/03) Hold today (23/03) 250 received via paytm (30/03) 1000 cash and 250 paytm (31/03) Hold from 10th to 21st June-25(11/06) Hold today due to nonpayment (02/10) Hold due to non payment (05/10) Yesterday returned (24/10) Skip 1 week (24/12) Hold due to non payment (07/01) Hold due to non payment (11/01) Hold due to non payment (14/01) Hold due to non payment (18/01) HDTNP (15/02) HDTNP(22/02) HDTNP (26/02) HDTNP (01/03) HDTNP (04/03) HDTNP (08/03) HDTNP (12/03) HDTNP (14/03) HDTNP (10/05) hdtnp (14/05) No Flowers from 17th to 24th (17/06) HDTNP (12/07) HDTNP (16/07) HDTNP (19/07)</t>
  </si>
  <si>
    <t>4  del of this cycle   -  0-cycles pmnt   Completed - Collect 0</t>
  </si>
  <si>
    <t>Mrs. Singh</t>
  </si>
  <si>
    <t>D 42, pinnacle, Dlf ph 5, Golf course road</t>
  </si>
  <si>
    <t>Thursday</t>
  </si>
  <si>
    <t>Thursday n Sunday//Send 3 stems extra in next del(09/10)Return-send Friday(01/01/19) NO CAR(05/06) 1 stick extra next week(11/06) Paytm from Sharad Kumar(13/08) Return-send next week(02/10) Send Tom instead of this week with gerbera(19/10) Return-send next week(31/12) SENDING ON 9TH DUE TO HOLI (08/03) Send on 4th (03/10) Return today (23/10) Do not count last delivery (22/04) Hold ans start after 10th (02/08) Today Returned (19/07) Hold till 31st July (22/07) One Del tom (30/07)</t>
  </si>
  <si>
    <t>3  del of this cycle   -  0-cycles pmnt   Completed - Collect 0</t>
  </si>
  <si>
    <t>Pooja Singh</t>
  </si>
  <si>
    <t>B-289, 3rd Floor, Anantraj Estates, Sec 63 A</t>
  </si>
  <si>
    <t>Ghata</t>
  </si>
  <si>
    <t>Hold today n sned on Tuesday (18/05) Skip this week and send on Monday(01/01/26) Return today (18/01) Skip this Sunday and sned on Tuesday this week (27/06) Send on Tuesday this week(11/07) Today Returned (02/08)</t>
  </si>
  <si>
    <t>Puneet Mahajan</t>
  </si>
  <si>
    <t>D-19, 4th Floor, Siuth City -2, Opp Arcadia Mall</t>
  </si>
  <si>
    <t>Nirvana Country</t>
  </si>
  <si>
    <t>Felicity</t>
  </si>
  <si>
    <t>Send Sponge// Day Changed to Sunday (16/04) Paytm From Sri Sai makers (20/04) Change to felicity (17/05) HDTNP (23/07)</t>
  </si>
  <si>
    <t>Aditi Bhatt</t>
  </si>
  <si>
    <t>D-225, 2nd Floor, Sushant Lok-2, Sec 56</t>
  </si>
  <si>
    <t>Sector 56</t>
  </si>
  <si>
    <t>Skip 1 week (13/08) Send 1 del tom (24/08_) Day change to Sunday (26/08) Shift n send on Thursday (05/09) Skip 1 week (23/10) Skip 1 week (07/11) Remaining Deliveries on Thursday (12/11) Skip 1 week (20/01) Start from 15th Mar 911/03) No Local white gypsy (14/03) Start from 19th Apr (07/04) Paytm from Sparch Jain (21/04) Paytm from Sparsh Jain (16/05) Skip 1 week (10/06)</t>
  </si>
  <si>
    <t>No White Local Gypsy</t>
  </si>
  <si>
    <t>Manasi Sardana</t>
  </si>
  <si>
    <t>T-8/303, The South Close</t>
  </si>
  <si>
    <t>9 AM to 2 PM</t>
  </si>
  <si>
    <t>Rajni is preferred // Skip 1 week (17/05) paytm From Phadke Mansi Pradeep // Skip 1 week (01/01/26) Skip 1 week (24/01) Today returned (15/02) Replacement tom (06/07) Skip 1 week (17/07)</t>
  </si>
  <si>
    <t>Rajni referred</t>
  </si>
  <si>
    <t>Davinder Singh</t>
  </si>
  <si>
    <t>T-12/002, Close North</t>
  </si>
  <si>
    <t xml:space="preserve"> Hold due to non payment (12/10) Hold due to non payment (20/12) Hold due to non payment (18/01) Hold due to non payment (25/01) Hold due to non payment (01/02) Hold due to non payment (08/02) HDTNP (15/02) HDTNP (22/02) Skip 1 week (18/04)</t>
  </si>
  <si>
    <t>Devina Duggal</t>
  </si>
  <si>
    <t>Sadev, C-149, Suncity, Ground Floor</t>
  </si>
  <si>
    <t>Golf Course Road</t>
  </si>
  <si>
    <t>9:30 Am to 2 PM</t>
  </si>
  <si>
    <t>No Exotic Greens -- send Only Extra Local Greens</t>
  </si>
  <si>
    <t>4  del of this cycle   -  1-cycles pmnt   Pending - Collect 2750</t>
  </si>
  <si>
    <t>Himabindu Kanchan</t>
  </si>
  <si>
    <t xml:space="preserve">D -13, Pinnacle Dlf Phase - 5 </t>
  </si>
  <si>
    <t>Sunday n Thursday//Fri to Thurs//FF Sold today(19/07) Skip n start from 23rd(08/08) P n Y Rose Next(15/11) 2 Stick Extra next(17/01) Hold-send tom(14/02) Orchids Next (18/08/20) Send 3 Sponge for 120 Rs.(19/08/20) Sending tom due to Diwali(11/11) Today returned-send next week(08/01) Skip 1 week(25/02) Skip 1 week(28/04) Glad Next(09/09) Skip 1 week(21/12) Skip 1 week(20/01) Hold Tom and skip 1 week(28/01) Skip 1 week(06/07) Receibved 695v extra today(23/07) Skip 2 weeks (21/12) Skip 1 week (08/02) No Renewal without payment (04/05) Hold today (28/12) Skip 1 week 902/01) Skip 1 week (07/02) Skip this sunday (16/02) Skip 1 week (06/04) Skip sunday del (09/05) Today hold (07/07) Hold HDTNP (12/03) tom (08/12) In form before sending (27/12) Skip next del (26/06) Hold today due to non payment (02/10) Skip week (22/12) HDTNP (01/03) HDTNP (04/03) HDTNP (08/03) HDTNP (14/03)</t>
  </si>
  <si>
    <t>Kavita Dahiya</t>
  </si>
  <si>
    <t>H. No. 1391, 2nd Floor,  Sec-57 Part -2</t>
  </si>
  <si>
    <t>Artemis</t>
  </si>
  <si>
    <t>9:30 AM to 2 PM</t>
  </si>
  <si>
    <t>Send on Sunday this week (27/08) No gerbera (12/09) No Sunflowers (15/11) Skip 1 week (30/12) Hold n collect 500 tom (25/02)</t>
  </si>
  <si>
    <t>Gerbera n Sunflower</t>
  </si>
  <si>
    <t>4  del of this cycle   -  0-cycles pmnt   CompletedNO COLLECTION-we have extra money - Collect -9</t>
  </si>
  <si>
    <t>Kriti Suman</t>
  </si>
  <si>
    <t>Studio -105, Palm Drive</t>
  </si>
  <si>
    <t>Badshahpur</t>
  </si>
  <si>
    <t>Skip 1 week (16/10) Skip 1 week (26/12) No Glad (09/03) Skip 2 week (20/06)</t>
  </si>
  <si>
    <t>Glad</t>
  </si>
  <si>
    <t>M2K</t>
  </si>
  <si>
    <t>M2k</t>
  </si>
  <si>
    <t>Tuesday</t>
  </si>
  <si>
    <t>By 8 AM</t>
  </si>
  <si>
    <t>Corporate</t>
  </si>
  <si>
    <t>4  del of this cycle   -  0-cycles pmnt   In Process - Collect 0</t>
  </si>
  <si>
    <t>Mini Deerwoood</t>
  </si>
  <si>
    <t xml:space="preserve"> 332, 4th Floor, Espace</t>
  </si>
  <si>
    <t>Joy</t>
  </si>
  <si>
    <t>Muskan</t>
  </si>
  <si>
    <t>Floor - 6, Flat 601, Milan Appartment, CGHS</t>
  </si>
  <si>
    <t>One Kind // Day Sunday (26/03) Mix in Joy (23/04) Change to bliss (21/06)</t>
  </si>
  <si>
    <t>Mix in Joy (23/04)</t>
  </si>
  <si>
    <t>By 10 AM</t>
  </si>
  <si>
    <t>Pradeep Shoran</t>
  </si>
  <si>
    <t>T-7/406, Valley View Estate, Gwal Pahari</t>
  </si>
  <si>
    <t>Ref from Rachna Rathhee(23/11) NO GULDAWARI(28/12) Lily next week(04/01) Sent a eplacement(27/01) Upgraded to 850-- send 2 type of flowers including last delivery's remaining flowers(23/02) Send plain cyllindrical vase with next del(17/03) Skiped 1 week due to HOLI(29/03) Skip 1 week(22/12) NO ROSES EVER(22/12) NO ROSE(03/01) Skip 1 week(23/03) NO ROSE/ORCHID/GULDAWARI(02/04) Skip 1 week(20/05) Skip 1 week(22/06) 2 Sticks extra next(16/07) Today returned (24/12) No ROSE (07/01) 14th Jan del was missed (15/01) Today Hold (18/02) Skip 2 weeks (24/02) Sent 1 Del today (05/03) Skip 1 week (22/06) Today hold (08/07)  Paytm From Soni Shoran// No Orchid (25/05) Replacement today (07/07) Skip 2 week (02/10) Replacement tom (22/12) last sat not picked (26/05) Day changed to sunday (14/06) Sent one del today -- skip 27th (24/07) Skip this week (02/08) Picked today-dont send tom (27/09) Today missed-send next week (04/01) Skip 1 week (02/06) Skip 1 week (04/07)</t>
  </si>
  <si>
    <t>ROSE n ORCHID</t>
  </si>
  <si>
    <t>Prashi</t>
  </si>
  <si>
    <t>H. No. 34, Apna Homes girls PG, Near Mall 51, Sec 51</t>
  </si>
  <si>
    <t>Skip tom n send on Monday this week (01/08)</t>
  </si>
  <si>
    <t>Priyanka Chaturvedi</t>
  </si>
  <si>
    <t xml:space="preserve">Flat No. A-303, The Peaceful Homes, Sec 70-A
</t>
  </si>
  <si>
    <t>Friday</t>
  </si>
  <si>
    <t>Friday and Sunday//Saturday evening slot and Sunday morning Slot(06/08) Send 100 Gm Mogra also(03/09) Received cash of 100 today(04/09) Skip coming week(20/09) Skip 1 week(15/10) Skip tom n send on comong fridayu this week(29/01) W Car next(26/02)  Holy Change(16/03) Return today(15/04) Hold n start from July (01/05) Skip 13th Delivery (10/01) NO ROSE (29/01) Sent replacement today (05/02) Send bothe deliveries together on sunday (12/05) Skip 1 week (25/05) Send both deliveries on Sunday only (01/06) Double Delivery only on Sunday (10/06) Paytm From Gaurav Chaturvedi (26/03) Hold til next saturday (20/06) Skip this sunday (11/10) No Spray Daisy (22/11) Today REturned (12/01) Skip 2nd week (03/04) No Del between 7th to 14th (05/04) Skip this sunday (18/06) Skip tom (04/10) Skip 1 week (10/12) Today Returned (04/01)</t>
  </si>
  <si>
    <t>ROSE n SPRAY DAISY</t>
  </si>
  <si>
    <t>Dr. Roma Kumar</t>
  </si>
  <si>
    <t>98110 87708</t>
  </si>
  <si>
    <t>RT-181, Royalton Tower
Inside Princeton Estate
DLF City Phase-V
Gurgaon-122009
Haryana</t>
  </si>
  <si>
    <t>Charm</t>
  </si>
  <si>
    <t>Sun to Thursday//NO Roses(Old) PREFER-- WHITE ROSE/RAJNIGANDHA/CHRYSANTHEMUM(18/11) Skip 1 Week(25/12) Day Changed to Monday till Lovkdown(23/08/20) Send replacement of Lilies(20/10) Day Changed to Sunday-send 1 del today and then every Sunday(30/11) Paytm from Pooja M Tripathi(26/04) Sent replacement today(30/07) Paytm of Gignger lily and eustoma added(06/11) Skip 1 week(06/11)  20 Rajnio sent in Subscription(06/02) Skip today(13/02) Rajni Next(19/02) Rajni next(02/03) Skip 1 week(02/06) Skip Sunday Delivery(13/08) Skip this thursday Delivery (28/02) Skip 1 week (28/02) No Blue Orchid (06/04) Hold today and next Sunday also (12/09) Hold today n one more del (19/09) Skip 1 week (22/02) Skip this thursday (12/03) Send replacement tom (04/05) Skip on sunday (01/06) Skip today (01/06) Skip 1 week (24/11) Hold n start from 29th Jan (18/01) Hold today (02/07) Today Hold (12/07) Hold today (26/07)</t>
  </si>
  <si>
    <t>ORCHID</t>
  </si>
  <si>
    <t>Gurrit Kaur sethi</t>
  </si>
  <si>
    <t>T-2/201, Unitech Escape</t>
  </si>
  <si>
    <t>Anjana Johar</t>
  </si>
  <si>
    <t>T-8/201, Fresco</t>
  </si>
  <si>
    <t>Skip 2 week (03/11) Skip 1 week (14/11) Hold today n send tom (30/11) Hold n start after 9th Jan (08/12) Send Replacement tom (23/03) Send 1 vase also (23/03) No White Flowers (01/05) No Spray Daisy (05/05) Skip 1 week (08/05) Skip 2 week and start from 25th (13/06) Skip 1 week (10/07) Skip 1 week (27/07) Skip 1 week (28/07)</t>
  </si>
  <si>
    <t>Spray Daisy</t>
  </si>
  <si>
    <t>No White Flowers</t>
  </si>
  <si>
    <t>2  del of this cycle   -  0-cycles pmnt   Completed - Collect 0</t>
  </si>
  <si>
    <t>Dinesh Dhir</t>
  </si>
  <si>
    <t>D-11/9, 1st Floor, DLF Exclusive Floors</t>
  </si>
  <si>
    <t>Hold today n send next week (15/06) Add changed (17/05)</t>
  </si>
  <si>
    <t>Dr. Juhi Saxena</t>
  </si>
  <si>
    <t>G-307, 2nd Floor, Sushant Lok -2, Sec 57</t>
  </si>
  <si>
    <t>No Glad (17/01) Hold and start from May and inform before starting (09/04) Skip 1 week 901/05) hold n returned today (12/06) Skip tom and send on Saturday -- either Rajnigandha or Car (19/06) Add changed (23/06) No Sinflower (09/07)</t>
  </si>
  <si>
    <t>GLAD n Sunflowers</t>
  </si>
  <si>
    <t>Hardik Shah</t>
  </si>
  <si>
    <t>T-5/1402, Vipul Green</t>
  </si>
  <si>
    <t>Sohna Road 2</t>
  </si>
  <si>
    <t>Poise</t>
  </si>
  <si>
    <t>Friday n Sunday (02/04) Shift to Poise after this cycle(22/05) No Poies(28/05) Skip 1 week(13/08) Today Returned(21/08) Today Returned again(26/08) Skip 2 week (18/06) Skip only next delivery (29/07) Hold today n skip 1 week (19/01) Skip 1 week (15/08) Hold for 4 weeks (27/01) Returned today (14/11) Today returned (01/05)</t>
  </si>
  <si>
    <t>jaya Chakrabarti-- Before 10 AM</t>
  </si>
  <si>
    <t>A 56, FF, south City 2, sonha road, gurgaon</t>
  </si>
  <si>
    <t>Friday n MOnday(31/03) NO BOP N HELICONIA// and send rajni next(28/03) Upgrade to 1450 and NO HELICONIA (02/03) Shift to bliss (27/04) Rajni Next (29/06) Shift to Sunday now (30/06) Today returned(20/09) Today Returned (10/12) Today returned (11/04) Received one payment today (12/11) HDTNP (01/03) HDTNP (08/03) HDTNP (14/03)</t>
  </si>
  <si>
    <t>BOP n HELICONIA</t>
  </si>
  <si>
    <t>Madhumita Dhupar</t>
  </si>
  <si>
    <t>333, Deerwood Chase</t>
  </si>
  <si>
    <t>White Flowers in Each Delivery (10/01)</t>
  </si>
  <si>
    <t>Mayom Hospital</t>
  </si>
  <si>
    <t>Mayom Hospital, D block south city 1</t>
  </si>
  <si>
    <t>South City 1</t>
  </si>
  <si>
    <t>Sending on 20th instaed of 21st,bcoz of Holi(18/03) Send on Monday this week(20/03)</t>
  </si>
  <si>
    <t>3  del of this cycle   -  0-cycles pmnt   In Process - Collect 0</t>
  </si>
  <si>
    <t>Meera Singh</t>
  </si>
  <si>
    <t>138, Tatvam Villas, Sec 48</t>
  </si>
  <si>
    <t>No Lilies and Sunflower (20/02) Skip 1 week (28/03) Paytm From Singh M (06/04) No Sunflower n Asiatic (02/05)</t>
  </si>
  <si>
    <t>Asiatic n Sunflowers</t>
  </si>
  <si>
    <t>Single Kind</t>
  </si>
  <si>
    <t>Megha Sharma</t>
  </si>
  <si>
    <t>9643166797 // 7351797203</t>
  </si>
  <si>
    <t>338, Espace, 2nd Floor</t>
  </si>
  <si>
    <t>4 PM to 7 PM</t>
  </si>
  <si>
    <t>Paytm From Megha Sharma</t>
  </si>
  <si>
    <t>Mrs Munjal -- After 5 PM</t>
  </si>
  <si>
    <t>B- 22 Sushant Lok 2, sector 56 (Behind sector 56 police station)</t>
  </si>
  <si>
    <t>send replcmnt tomorrow(18/08)Send Glad in next del(30/08)Skip next del(20/09)1 week extended due to Diwali(08/11)Next daisy(22/11) Skip 1 week(27/03) Skip 1 week(12/11) 2 Stick extra next week(20/02)  Sending thursday del on friday(28/05/2020) Skip 1 week (01/07/2020) Skip 1 week(22/07/20) Skip 1 Week(05/08/20) send 2 stick extra in next del(18/09/20) Skip 1 week(10/03) Skip 1 week(28/04) Skip 1 week(10/11) Paytm From 9958736444(03/07) Paytm From Sandeep Munjal // Skip 1 week (30/10) Hold today send on sunday (06/04) Change day to sunday (13/04) Skip 1 week (25/12) Skip 2 week (28/01) Skip 2 weeks (28/01) Skip 1 week (26/01) Skip 1 week (19/07) Skip 1 week (13/09) Skip tom (15/11) Hold today send tom (05/07) Skip tom n send on Monday (25/07) Skip 1 week (29/07)</t>
  </si>
  <si>
    <t>Nameesha Verma -- Before 12PM</t>
  </si>
  <si>
    <t>D-4/102, Parsvanath Exotica</t>
  </si>
  <si>
    <t>Before 12 PM</t>
  </si>
  <si>
    <t>Thursday n Sunday//Sat to Thurs//Send a repacement and No Rajni till it has fragrance(24/09)Skip 1 week(12/10)send  a replacement(22/11) Returne-send next week(13/12) Star 650 Pack(15/10) 17th Oct Del returned-pls update(07/11) Send Tom instead of sat this week(12/08) Sent a replacement today(01/09) Skip 1 week(12/11) Send on Monday this week(24/11) Skip this sunday (03/12) Sent replacement today (18/03) Send replacement tom (31/03) Skip 1 week (25/04) Now Bloom (19/05) Today returned (18/06) Skip 1 week (08/08) Hold n start after 8th Oct )(20/09) Skip next del (18/11) No Del till 2nd Jan (25/12) Skip tom (24/01) Hold till 17th Jube (05/06) Skip this sunday (18/07) Skip 1 week (13/08) Today returnde (16/01) Skip tom (15/02) Today returned as flowers got late (30/03) Hold till 12th Apr (02/04)Today Returned (11/05) Hold till 18th June (02/06) Hold till 18th June (02/06) Today Returned (13/09) Do not count last del (08/11) No Del till next wednesday (09/12) Hold todxay (28/12) Skip 1 week (04/02) 3 Car extra next (20/03) Skip 1 week (09/06)</t>
  </si>
  <si>
    <t>3 Car extra next (20/03)</t>
  </si>
  <si>
    <t>Nidhi Prasad</t>
  </si>
  <si>
    <t>T-10/1003, valley View Estate</t>
  </si>
  <si>
    <t>Delight</t>
  </si>
  <si>
    <t>Hold n start from 29th June(14/06) Hold today due to non payment (04/01) Hold due to non payment (01/02) Hold due to non payment (08/02) HDTNP (15/02) HDTNP (22/02) HDTNP (01/03) HDTNP (08/03) HDTNP (12/04) HDTNP (07/06) Hold till 26th (07/06) Returmed today (05/07)</t>
  </si>
  <si>
    <t>3  del of this cycle   -  0-cycles pmnt   CompletedNO COLLECTION-we have extra money - Collect -50</t>
  </si>
  <si>
    <t>Parul Parihar</t>
  </si>
  <si>
    <t>502, Adhunil Appartments, Sec 52</t>
  </si>
  <si>
    <t>Hold Today (26/07)</t>
  </si>
  <si>
    <t>Pluang Technologies India Pvt. Ltd.</t>
  </si>
  <si>
    <t>13th Floor, Magnum Global Park, Sec 58</t>
  </si>
  <si>
    <t>Payment from Vibhuti --997176764 (10/03) Paytm From Sahiba Sachdeva (08/04)</t>
  </si>
  <si>
    <t>Rashmi Jhawar</t>
  </si>
  <si>
    <t>Sovereign 4 , 301 vatika city. Sector 49. Gurgaon -122018</t>
  </si>
  <si>
    <t>Sohna Road 1</t>
  </si>
  <si>
    <t>Monday</t>
  </si>
  <si>
    <t>Customized</t>
  </si>
  <si>
    <t>With 1 Pink Gypsola every week (25/07)</t>
  </si>
  <si>
    <t>Shalini Kohli</t>
  </si>
  <si>
    <t>A-1402, Ireo Victory Valley</t>
  </si>
  <si>
    <t>Send on Monday instead of Sunday this week (28/05) Returned (10/08) Skip 1 week (28/08) Send replacement tom (19/10) Hold due to non payment (01/02) Send one del tom (03/02) Skip 2 week )7/03) Sent one del today (28/03) Returned (17/05) Returned today -- Death in Family (07/06) Today Returned (14/06) Send Replacement tom (02/08)</t>
  </si>
  <si>
    <t>Sheeba Rana</t>
  </si>
  <si>
    <t>T-14/1202, The Close North</t>
  </si>
  <si>
    <t>Skip n send on 11th n then on preferred day</t>
  </si>
  <si>
    <t>Vandana Thakran</t>
  </si>
  <si>
    <t>H. No. 35, Cedar Crest</t>
  </si>
  <si>
    <t>Aishwarya G Aiyar</t>
  </si>
  <si>
    <t>A-173, The Pinnacle</t>
  </si>
  <si>
    <t>Sunday n Thursday//Changed to Thursday//Ref By Vidya Raja(29/06) 10 Rajni and 10 Glad Next(03/07) Bop and car Next(10/07) Asiatic n car Next(17/07) Oriental and Rajni next(24/07) 3 Anthurium and 15 Glad tom(31/07) Mix of 2 flowers next(07/08) Sent replacement of Oriental today(26/08) NO HELICONIA and BOP and send Spray daisy(02/10) Skip 1 week(11/10) Now JOY(30/03) Skip 1 week(06/04) Holdn n skip this week(21/04) Skip 1 week(30/05) Hold n start from July(11/06) Skip this sunday delivery(05/08) Skip 1 week(30/08) Skip this sunday delivery(16/09) Paytm From Vivek Raja// Skip 1 week (26/04) Now bloom (01/05) Hold till 11th June (31/05) Hold n start from Aug and inform before sending (11/07) Skip 1 week (26/09) Today Retirned (02/11) Today Hold (16/11) Hold today 928/12) Hold for Thursday (05/03) Returned (10/03) Skip this sunday (24/05) Skip 1 week (02/06) Returned ltoday (29/08) Today Returned (05/09) Hols today (31/10) Skip 1 week (18/01) Skip this week (07/03) Skip 19th and 23rd (19/10) Hold 25th Del ( 23/01) Skip sunday (18/02) Skip sunday (27/03) Dont ring bell -- keep at Door (17/05) Skip thursday (15/06)</t>
  </si>
  <si>
    <t>Asheesh Handa</t>
  </si>
  <si>
    <t>H. No. 28, Ground Floor, M2k Whitehouse, Sector 57</t>
  </si>
  <si>
    <t>Gitanjali Kamra</t>
  </si>
  <si>
    <t>121, Espace, Nirvana Country</t>
  </si>
  <si>
    <t>Enchantment</t>
  </si>
  <si>
    <t>Now Elation (21/09) Skip 1 week (17/12)</t>
  </si>
  <si>
    <t>Nidhi Singh</t>
  </si>
  <si>
    <t>8383036664//9899389873</t>
  </si>
  <si>
    <t>D-8/3, Ground Floor DLF Exclusive Floors</t>
  </si>
  <si>
    <t>Sunday n thursday //Monday n Thursday//Send Change of 200 Next(22/10) NO ROSE(22/11) Send Oriental next and send change of 2000 Next(27/11) NO ROSE // Heliconia Next(30/11) Send Change Next(13/04) 350 Received today via paytm(15/04) Flower Food Next(16/04) Send replacement of gerbera tom(20/04) Received 250 today(20/04) Send Replacement tom(20/04) Do Not Count 1 Del(22/04) Days-- Monday and Thursday(30/05) Gpay from Vivek Singh// Paytm from 9372779905-- Viveka(30/07) 1 Flower food next(01/04) Sent a replacement today(05/04) FF Next()8/04) Today del missed(02/06) REceived 1650 extra (28/12) Send replacement tom (29/08) Skip 1 week (17/10) 13th Flower Missed (17/11) Today Returned (18/12) Skip Tom (17/01) No Del from 21st to 27th July (10/07) Skip 1 week (03/12) Hold till 15th Dec (09/12) Skip this thursday (24/12) Skip on sunday (10/01) Hold till 31st Jan after 18th Del (17/01)</t>
  </si>
  <si>
    <t>ROSE</t>
  </si>
  <si>
    <t>B46944</t>
  </si>
  <si>
    <t>Albi</t>
  </si>
  <si>
    <t>G-3/1A, DLF Phase 1</t>
  </si>
  <si>
    <t>DLF Phase 1</t>
  </si>
  <si>
    <t>By 9 AM</t>
  </si>
  <si>
    <t>Now at every 10 days (18/12)</t>
  </si>
  <si>
    <t>2  del of this cycle   -  0-cycles pmnt   In Process - Collect 0</t>
  </si>
  <si>
    <t xml:space="preserve">Anshuman Divyanshu </t>
  </si>
  <si>
    <t>G-1401, Bestech Park View Spa Next</t>
  </si>
  <si>
    <t>Insta // return today (24/08) Hold today (28/09) HDTNP (03/05) Skip 1 week (06/06)</t>
  </si>
  <si>
    <t>Bandhana</t>
  </si>
  <si>
    <t>T-5/902, Tata Primanti</t>
  </si>
  <si>
    <t>Single Kind // Replacement tom (08/03) No Spray Daisy and BOP (31/03) Paytm From Sharad Kachru (02/08)</t>
  </si>
  <si>
    <t>Spray Daisy n BOP</t>
  </si>
  <si>
    <t>Bonita Bhatnagar</t>
  </si>
  <si>
    <t>C-134, Block C, Mayfield Garden</t>
  </si>
  <si>
    <t>5 PM to 8 PM</t>
  </si>
  <si>
    <t>Upgraded as per scheme to Bliss for 5 Deliveries (22/08)</t>
  </si>
  <si>
    <t>Jasbir Singh</t>
  </si>
  <si>
    <t>Amber, 4th Floor, Universal Trade Centre</t>
  </si>
  <si>
    <t>By 7 PM</t>
  </si>
  <si>
    <t>Mili Sodhi -- Before 12 PM -- 1450 Pack</t>
  </si>
  <si>
    <t>E-801, Bestech Park View Spa Next, Sec 67</t>
  </si>
  <si>
    <t>Skip 13th n send on 14th (07/04) Today hold as flower arrangement sent (04/0%) Flower Food Next 25/05) No Del between 8th to 15th June (31/05) Today hold (13/07) Sent one del today (18/07) Skip next week (10/08) Returned -send next week (31/08) Skip 1 week (20/09) Hold between 18th to 29th Oct (13/10) Skip 1 week (08/11) Hold till 21st Dec (02/12) Skip 1 wek (22/01) Skip tom (28/02) Skip 1 week (21/03) Skip 2 week after tom (13/06)</t>
  </si>
  <si>
    <t>Before 12 PM (16/11)</t>
  </si>
  <si>
    <t>Mrigal Vora Puri</t>
  </si>
  <si>
    <t>T-6A/1103, Valley View Estate</t>
  </si>
  <si>
    <t>Glad Next (20/06) Hold today (05/1) Hold due to non payment (01/02) Hold due to non payment (08/02) HDTNP (15/02) Skip 1 week (04/04) HDTNP (03/05) HDTNP (10/05) Paytm From Akhil Puri (07/06)</t>
  </si>
  <si>
    <t>Glad Next (20/06)</t>
  </si>
  <si>
    <t>G-00067</t>
  </si>
  <si>
    <t>Mrs. Neeti</t>
  </si>
  <si>
    <t>F-002, Park View City 1</t>
  </si>
  <si>
    <t>From Anuradha Kalani</t>
  </si>
  <si>
    <t>Payal Soni</t>
  </si>
  <si>
    <t>T-9/1403, Pyramid Sec 67 A, Badshahpur Road, Near Iskcon</t>
  </si>
  <si>
    <t>No Glad and day changed to Sunday (04/06) No alstroemeria (12/07)</t>
  </si>
  <si>
    <t>Glad n Alstroemeria (12/07)</t>
  </si>
  <si>
    <t>Prasenjit</t>
  </si>
  <si>
    <t>T-10/1001, Vipul Belmonte</t>
  </si>
  <si>
    <t xml:space="preserve">Send Long stem </t>
  </si>
  <si>
    <t>Long Stem// Seasonal Next (24/05)</t>
  </si>
  <si>
    <t>Rishabh Suri</t>
  </si>
  <si>
    <t>H. No. 962, Block C, Sushant Lok, Near Ambience Public School</t>
  </si>
  <si>
    <t>Hold n start from Sep (06/08) Paytm from Rajeev Suri (22/11) Paytm from Anu Suri (21/12)</t>
  </si>
  <si>
    <t xml:space="preserve">Rubeey Matharu </t>
  </si>
  <si>
    <t>Sirera 1, T-6/306, M3M Marina</t>
  </si>
  <si>
    <t>Skip 1 week and inform before starting (08/04) Hold n start from Aug (15/05) Paytm From Amanpreet Kaur Matharu // Paytm from Gurjeet Matharu // Send 1 Asuatic Tom (12/07)</t>
  </si>
  <si>
    <t>Rajni Tom (01/11)</t>
  </si>
  <si>
    <t>G-00056</t>
  </si>
  <si>
    <t>Triveni Wahi</t>
  </si>
  <si>
    <t>B-14/12 C, Dlf The Grove</t>
  </si>
  <si>
    <t>From Madhulika Geeta Chopra // 2sesonal Extra next (05/05) Today Returned -send next week (24/05) Today returned - hold (14/06) No Eustoma (05/08)</t>
  </si>
  <si>
    <t>Eustoma</t>
  </si>
  <si>
    <t>2 sesonal Extra next (05/05)</t>
  </si>
  <si>
    <t>Mamta Saxena</t>
  </si>
  <si>
    <t>BC104 Nirvana</t>
  </si>
  <si>
    <t>B56645</t>
  </si>
  <si>
    <t>Vijay Maira &amp; Preeti Maira</t>
  </si>
  <si>
    <t>T-17/15C, M3M Golf Estate, Sec 65</t>
  </si>
  <si>
    <t>By 11 AM</t>
  </si>
  <si>
    <t>Bouquet</t>
  </si>
  <si>
    <t>From Rotary Club// Wish You a very Happy Anniversary.      Regards,  RCGQE(03/08)</t>
  </si>
  <si>
    <t>1  del of this cycle   -  0-cycles pmnt   In Process - Collect 0</t>
  </si>
  <si>
    <t xml:space="preserve">Kiran Yadav </t>
  </si>
  <si>
    <t>E-1402, Palm Drive</t>
  </si>
  <si>
    <t>Recvd 2000 Today (21/04) Pls send Rose/Gerbera and Rise laos (04/06) Skip 1 week (28/06) Skip next week after(27/09) Send Replacement tom (21/04)</t>
  </si>
  <si>
    <t>1  del of this cycle   -  0-cycles pmnt   CompletedNO COLLECTION-we have extra money - Collect -23</t>
  </si>
  <si>
    <t>Alpna Jain</t>
  </si>
  <si>
    <t>C-64, The Icon</t>
  </si>
  <si>
    <t>Thursday n Sunday // Hold today (08/02) Keep flowers outside of Door (17/05)</t>
  </si>
  <si>
    <t>Keep flowers outside of door always</t>
  </si>
  <si>
    <t>Kiran Wadhwan</t>
  </si>
  <si>
    <t>9818352052 // 9810022720</t>
  </si>
  <si>
    <t>V-12/31, DLF Phase 3</t>
  </si>
  <si>
    <t>DLF Phase 3</t>
  </si>
  <si>
    <t>Paytm From Manish Wadhawan (06/08)</t>
  </si>
  <si>
    <t>1  del of this cycle   -  0-cycles pmnt   Completed - Collect 0</t>
  </si>
  <si>
    <t>Ruchira Sen</t>
  </si>
  <si>
    <t>A-016, Carlton Estate 1</t>
  </si>
  <si>
    <t>Skip 2 week (14/12) Skip 1 week 903/01) Skip 1 week (21/02) Skip 1 week (14/03) Skip 1 week (30/03) Skip 1 week (06/04) No Spray Daisy (14/06) Skip 1 week (18/06)</t>
  </si>
  <si>
    <t>1  del of this cycle   -  1-cycles pmnt   Pending - Collect 1450</t>
  </si>
  <si>
    <t>B56684</t>
  </si>
  <si>
    <t>Aanchal Sudhakar</t>
  </si>
  <si>
    <t>D7/1, First Floor, Exclusive Floors, DLF 5</t>
  </si>
  <si>
    <t>From Boski Kalra //  Happiest Birthday Silki.   From Boski and Mummy (08/08)</t>
  </si>
  <si>
    <t>Anu-- After 6 PM</t>
  </si>
  <si>
    <t>98103 39602</t>
  </si>
  <si>
    <t xml:space="preserve">Tower 6, 901 Fresco </t>
  </si>
  <si>
    <t xml:space="preserve"> Thursday n Sunday//No Rajni (14/03) No Rose n Gerbera n RAJNI// Skip this week n send on Tuesday evening slot (18/06) Send this Thursday to Friday (04/09) NO HELICONIA (13/09) Skip Thursday delivery (12/11) Send tom in morning (16/11) Skip Thursday del (19/11) Skip tom (23/11) Hold till 11th  (30/11) Dont send on Sunday (13/12) Skip sunday (20/12) Skip tom (08/02) Hold today (23/02) Skip 1 Week (01/06) Skip thursday Delivery (18/06) Skip this thursday and send on sunday after 6 PM (06/08) No BOP also (06/10) Do not count today del and sned on sat next (04/12) Skip saturda and sunday also (05/12) Hold today n send tom (11/12) Hold today (05/04) Hold today (16/04)</t>
  </si>
  <si>
    <t>ROSE n RAJNI n HELICONIA n BOP</t>
  </si>
  <si>
    <t>after 6 pm on 19th (16/04)</t>
  </si>
  <si>
    <t>1  del of this cycle   -  1-cycles pmnt   Pending - Collect 4850</t>
  </si>
  <si>
    <t>Bhanupriya Sharma</t>
  </si>
  <si>
    <t>37, Abundance Appartment, 4th Floor, D Block, Indira Colony-2, Sec 52 , Behind Arihant Hospital</t>
  </si>
  <si>
    <t>Skip 1 week (16/05) today returned (06/07) Change day to delight (02/11) Paytm from Rajeev Bhambani (05/11) Upgrade to Bliss (24/01) Paytm From Aluma Care (25/03) No Lily (16/05)</t>
  </si>
  <si>
    <t>Lily</t>
  </si>
  <si>
    <t>One kInd in Bliss</t>
  </si>
  <si>
    <t>Jaya Wanchoo</t>
  </si>
  <si>
    <t xml:space="preserve">T-8/603, The Close North
</t>
  </si>
  <si>
    <t>1  del of this cycle   -  1-cycles pmnt   Pending - Collect 2750</t>
  </si>
  <si>
    <t>Malvika</t>
  </si>
  <si>
    <t>T-2/1306, Valley View Estae</t>
  </si>
  <si>
    <t>10 AM to 3 PM</t>
  </si>
  <si>
    <t>Upgraded as per scheme to Bliss for 5 Deliveries (22/08) Change to Delight next (30/09) Send replacement tom (25/11) Change to delight (13/01) Paytm From Malvika Singh</t>
  </si>
  <si>
    <t>Change to Deligfht next (30/09)</t>
  </si>
  <si>
    <t>Ms. Shuchi Chopra</t>
  </si>
  <si>
    <t>Flat No. 703, M3M Golf Estate, Latitude Building</t>
  </si>
  <si>
    <t>Sunday n Thursday//All Flower 1 by 1 (23/11) Next time 1 stick extra(24/11) Extend by 1 week(31/12) Hold today-send tom(19/01) Send on Monday till Lockdown and send some pooja frlowers (23/08/20) Sending on 16th Due to Diwali(13/11) Send onmonday instead of Sunday(26/03) Change Package to 1250(17/04) Send Mandir Flowers tom(14/12) Skip 1 week(08/09) Collect cash and no del from 1st to 15 th (29/10) Send Replacement (25/02) 5 Exotic and 5 Norma lflowers (28/04)</t>
  </si>
  <si>
    <t>Prabhdeep Kaur</t>
  </si>
  <si>
    <t>C-173, 2nd Floor,South City 2</t>
  </si>
  <si>
    <t>Today Returned (18/08) Gpay from Preity Dadwal (20/10) Hold after current cuycle (22/12) Today Returned (29/12) Today returned (17/08) Today returned (16/11) Do not count 25th Jan Del (01/03) Pne more payment received today (2/03) Sent one del today -skip tom (07/03) Today Returned (21/06)</t>
  </si>
  <si>
    <t>Prerna -- Rosewood</t>
  </si>
  <si>
    <t>D-154, Rosewood City, Sector 50</t>
  </si>
  <si>
    <t>Sent replacement today (21/04) Skip 1 week (04/12) Skip tom (14/06) Return today (06/07) 27th Del Missed (03/08)Skip 22/23rd Nov (08/11) Paytm From Prerna Sharma // Skip 1 week (07/02) Hold n start after 9 th June (10/05)</t>
  </si>
  <si>
    <t>Riddhi Desai</t>
  </si>
  <si>
    <t>D-71, The Icon</t>
  </si>
  <si>
    <t>Send this week on Saturday (14/08) Skip 1 week (21/12) Hold till 2nd June (20/05)</t>
  </si>
  <si>
    <t>1  del of this cycle   -  1-cycles pmnt   Pending - Collect 1600</t>
  </si>
  <si>
    <t>Shelley Handa</t>
  </si>
  <si>
    <t>73, Cedar Crest</t>
  </si>
  <si>
    <t>Only Seasonal / Hold today due to non payment (02/10)  Send on Sunday this week (03/10) Hold due to non payment (09/10) Hold today and skip 2 week (27/11)  Paytm From Richa Handa (20/03)</t>
  </si>
  <si>
    <t>B56685</t>
  </si>
  <si>
    <t>Sonali Khullar</t>
  </si>
  <si>
    <t>C-1702, pioneer araya, sect 62</t>
  </si>
  <si>
    <t>By 12:30 PM</t>
  </si>
  <si>
    <t>8 Sunflower in Tissue Wrap</t>
  </si>
  <si>
    <t>1  del of this cycle   -  1-cycles pmnt   Pending - Collect 1200</t>
  </si>
  <si>
    <t>Pre Flowers 4</t>
  </si>
  <si>
    <t>Pre Flowers 3</t>
  </si>
  <si>
    <t>Pre Flowers 2</t>
  </si>
  <si>
    <t>Pre Flowers 1</t>
  </si>
  <si>
    <t xml:space="preserve">Pre Flowers </t>
  </si>
  <si>
    <t>Flower 1</t>
  </si>
  <si>
    <t>Stick</t>
  </si>
  <si>
    <t>Flower 2</t>
  </si>
  <si>
    <t>Flower 3</t>
  </si>
  <si>
    <t>Consumables</t>
  </si>
  <si>
    <t>Delivered By</t>
  </si>
  <si>
    <t>Priority</t>
  </si>
  <si>
    <t>Feedback</t>
  </si>
  <si>
    <t>payment</t>
  </si>
  <si>
    <t>8  del of this cycle   -  0-cycles pmnt   Completed - Collect 0</t>
  </si>
  <si>
    <t>6  del of this cycle   -  0-cycles pmnt   Completed - Collect 0</t>
  </si>
  <si>
    <t>7  del of this cycle   -  0-cycles pmnt   Completed - Collect 0</t>
  </si>
  <si>
    <t>5  del of this cycle   -  0-cycles pmnt   Completed - Collect 0</t>
  </si>
  <si>
    <t>Mix Alstroemeria ( 12 Inch )</t>
  </si>
  <si>
    <t>Sunflower ( 12 Inch )</t>
  </si>
  <si>
    <t>Rajni ( 14 Inch )</t>
  </si>
  <si>
    <t>Mix Glad ( 14 Inch )</t>
  </si>
  <si>
    <t>R n W Car ( 14 Inch )</t>
  </si>
  <si>
    <t>W Asiatic ( 14 Inch )</t>
  </si>
  <si>
    <t>P n W Car ( 14 Inch )</t>
  </si>
  <si>
    <t>P Spray Daisy ( 14 Inch )</t>
  </si>
  <si>
    <t>P n W Spray Daisy ( 14 Inch )</t>
  </si>
  <si>
    <t>Y Asiatic ( 14 Inch )</t>
  </si>
  <si>
    <t>Pur n P Eustoma ( 12 Inch )</t>
  </si>
  <si>
    <t>FF sachet + Grass</t>
  </si>
  <si>
    <t>Grass</t>
  </si>
  <si>
    <t>Walkin Tissue Wrap</t>
  </si>
  <si>
    <t>B Orchid</t>
  </si>
  <si>
    <t>Front Korean Sheet</t>
  </si>
  <si>
    <t>Message</t>
  </si>
  <si>
    <t>P n Y Spray Daisy ( 14 Inch )</t>
  </si>
  <si>
    <t>Pur Eustoma ( 12 Inch )</t>
  </si>
  <si>
    <t>O Asiatic ( 14 Inch )</t>
  </si>
  <si>
    <t xml:space="preserve">Pooja Flowers </t>
  </si>
  <si>
    <t>Arrangement</t>
  </si>
  <si>
    <t>W Oriental + G Button Daisy + G n W Car + W Orchid + G Anthurium+ W Eustoma</t>
  </si>
  <si>
    <t>2  del of this cycle   -   0 -cycles pmnt   Completed - Collect 0</t>
  </si>
  <si>
    <t>G n W Spray Daisy ( 14 Inch )</t>
  </si>
  <si>
    <t>Pur n W Eustoma ( 12 Inch )</t>
  </si>
  <si>
    <t>BOP</t>
  </si>
  <si>
    <t>W Glad ( 14 Inch )</t>
  </si>
  <si>
    <t>Collect 1375</t>
  </si>
  <si>
    <t>Carry Change and Receipt Bool</t>
  </si>
  <si>
    <t>3 Areca palm + 3 Gypsola + FF sachet</t>
  </si>
  <si>
    <t>Rajni</t>
  </si>
  <si>
    <t>Alstroemeria</t>
  </si>
  <si>
    <t>Sunflower</t>
  </si>
  <si>
    <t>Blue Daisy</t>
  </si>
  <si>
    <t>Rose</t>
  </si>
  <si>
    <t>Carnation</t>
  </si>
  <si>
    <t>Orchid</t>
  </si>
  <si>
    <t>Asiatic</t>
  </si>
  <si>
    <t>Oriental</t>
  </si>
  <si>
    <t>Anthurium // BOP</t>
  </si>
  <si>
    <t>total revenue</t>
  </si>
  <si>
    <t>revenue for the day</t>
  </si>
  <si>
    <t>Total</t>
  </si>
  <si>
    <t>Sticks in bndl</t>
  </si>
  <si>
    <t>Current Cost/bdl</t>
  </si>
  <si>
    <t>bi weekly</t>
  </si>
  <si>
    <t>NA</t>
  </si>
  <si>
    <t>Customized Plans</t>
  </si>
  <si>
    <t>A-2, G Floor</t>
  </si>
  <si>
    <t xml:space="preserve"> left of prev day</t>
  </si>
  <si>
    <t>TO BUY</t>
  </si>
  <si>
    <t>Wastage</t>
  </si>
  <si>
    <t>To buy wth wastage</t>
  </si>
  <si>
    <t>Bundles to buy</t>
  </si>
  <si>
    <t xml:space="preserve">Flowers </t>
  </si>
  <si>
    <t>COST</t>
  </si>
  <si>
    <t>Quantity</t>
  </si>
  <si>
    <t>Rate</t>
  </si>
  <si>
    <t>Arika</t>
  </si>
  <si>
    <t>victoria</t>
  </si>
  <si>
    <t>Murraiya</t>
  </si>
  <si>
    <t>grass</t>
  </si>
  <si>
    <t>Taal Palm</t>
  </si>
  <si>
    <t>Nargis</t>
  </si>
  <si>
    <t>Rose petal</t>
  </si>
  <si>
    <t>Genda</t>
  </si>
  <si>
    <t>Limonium</t>
  </si>
  <si>
    <t>Mogra</t>
  </si>
  <si>
    <t>Gypsy</t>
  </si>
  <si>
    <t>B Daisy</t>
  </si>
  <si>
    <t>Leather Fern</t>
  </si>
  <si>
    <t>Cycus Palm</t>
  </si>
  <si>
    <t>O Marigold Lari</t>
  </si>
  <si>
    <t>Y Marigold Lari</t>
  </si>
  <si>
    <t>Ashok Lari</t>
  </si>
  <si>
    <t>Mogra Lari</t>
  </si>
  <si>
    <t>Rajni Lari</t>
  </si>
  <si>
    <t>Daisy Lari</t>
  </si>
  <si>
    <t>Collection Only</t>
  </si>
  <si>
    <t>Ensure Collection</t>
  </si>
  <si>
    <t>6 + 10 + 40 + 10 + 4 + 6</t>
  </si>
  <si>
    <t>Aekta Subba</t>
  </si>
  <si>
    <t>B56887</t>
  </si>
  <si>
    <t>B56686</t>
  </si>
  <si>
    <t>Ira Yadav</t>
  </si>
  <si>
    <t>825, 1st Floor, Sec 17 A</t>
  </si>
  <si>
    <t>Old Gurgaon</t>
  </si>
  <si>
    <t>1003,C4 Vatika city</t>
  </si>
  <si>
    <t>By 9:30 AM</t>
  </si>
  <si>
    <t>10 Rajni + 10 Red Alstroemeria + 4 P Oriental + 10 Spray Car</t>
  </si>
  <si>
    <t>From Pamina Aekta Subba// Tyo Saradh ritu ko paar, Tyo Chiso Juneli raat, Tyo astaudai garey ko ghaam, Timi sanga herna paaau
Sathi ♥️</t>
  </si>
  <si>
    <t>1  del of this cycle   -  1 -cycles pmnt   In Pending - Collect 2800</t>
  </si>
  <si>
    <t>Rajni + Red Alstremeria + Semi Bloom P Oriental + Peach spray Car</t>
  </si>
  <si>
    <t>10 + 10 + 4 + 10</t>
  </si>
  <si>
    <t>Areca Palm + Grass</t>
  </si>
  <si>
    <t xml:space="preserve">Semi Bloom W Oriental + G n W Spray Daisy </t>
  </si>
  <si>
    <t>4 + 4 + 4</t>
  </si>
  <si>
    <t xml:space="preserve">Olive Green n W Tissue Wrap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</si>
</sst>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00"/>
    <numFmt numFmtId="165" formatCode="dd\/mm\/yy"/>
    <numFmt numFmtId="166" formatCode="0.0"/>
  </numFmts>
  <fonts count="27" x14ac:knownFonts="1">
    <font>
      <sz val="11"/>
      <color theme="1"/>
      <name val="Calibri"/>
      <family val="2"/>
      <scheme val="minor"/>
    </font>
    <font>
      <sz val="11"/>
      <color theme="1"/>
      <name val="Calibri"/>
      <family val="2"/>
      <scheme val="minor"/>
    </font>
    <font>
      <b/>
      <sz val="11"/>
      <color theme="0"/>
      <name val="Calibri"/>
      <family val="2"/>
      <scheme val="minor"/>
    </font>
    <font>
      <b/>
      <sz val="12"/>
      <name val="Calibri"/>
      <family val="2"/>
    </font>
    <font>
      <b/>
      <sz val="11"/>
      <name val="Calibri"/>
      <family val="2"/>
    </font>
    <font>
      <b/>
      <sz val="22"/>
      <name val="Calibri"/>
      <family val="2"/>
      <scheme val="minor"/>
    </font>
    <font>
      <b/>
      <sz val="11"/>
      <name val="Calibri"/>
      <family val="2"/>
      <scheme val="minor"/>
    </font>
    <font>
      <sz val="11"/>
      <name val="Calibri"/>
      <family val="2"/>
    </font>
    <font>
      <u/>
      <sz val="11"/>
      <color theme="10"/>
      <name val="Calibri"/>
      <family val="2"/>
      <scheme val="minor"/>
    </font>
    <font>
      <b/>
      <sz val="10"/>
      <color indexed="8"/>
      <name val="Arial"/>
      <family val="2"/>
    </font>
    <font>
      <b/>
      <sz val="10"/>
      <name val="Calibri"/>
      <family val="2"/>
      <scheme val="minor"/>
    </font>
    <font>
      <b/>
      <sz val="11"/>
      <color rgb="FFFFFFFF"/>
      <name val="Calibri"/>
      <family val="2"/>
      <scheme val="minor"/>
    </font>
    <font>
      <b/>
      <sz val="14"/>
      <color theme="1"/>
      <name val="Calibri"/>
      <family val="2"/>
      <scheme val="minor"/>
    </font>
    <font>
      <b/>
      <i/>
      <sz val="11"/>
      <color theme="1"/>
      <name val="Calibri"/>
      <family val="2"/>
      <scheme val="minor"/>
    </font>
    <font>
      <b/>
      <i/>
      <sz val="11"/>
      <color rgb="FF000000"/>
      <name val="Calibri"/>
      <family val="2"/>
      <scheme val="minor"/>
    </font>
    <font>
      <i/>
      <sz val="11"/>
      <color theme="1"/>
      <name val="Calibri"/>
      <family val="2"/>
      <scheme val="minor"/>
    </font>
    <font>
      <b/>
      <i/>
      <sz val="10"/>
      <color rgb="FF000000"/>
      <name val="Calibri"/>
      <family val="2"/>
      <scheme val="minor"/>
    </font>
    <font>
      <i/>
      <sz val="11"/>
      <color rgb="FF000000"/>
      <name val="Calibri"/>
      <family val="2"/>
      <scheme val="minor"/>
    </font>
    <font>
      <i/>
      <sz val="11"/>
      <name val="Calibri"/>
      <family val="2"/>
      <scheme val="minor"/>
    </font>
    <font>
      <b/>
      <i/>
      <sz val="12"/>
      <color rgb="FF000000"/>
      <name val="Calibri"/>
      <family val="2"/>
      <scheme val="minor"/>
    </font>
    <font>
      <b/>
      <i/>
      <sz val="11"/>
      <name val="Calibri"/>
      <family val="2"/>
      <scheme val="minor"/>
    </font>
    <font>
      <b/>
      <i/>
      <sz val="11"/>
      <color rgb="FF7030A0"/>
      <name val="Calibri"/>
      <family val="2"/>
      <scheme val="minor"/>
    </font>
    <font>
      <i/>
      <sz val="11"/>
      <color rgb="FF7030A0"/>
      <name val="Calibri"/>
      <family val="2"/>
      <scheme val="minor"/>
    </font>
    <font>
      <b/>
      <i/>
      <sz val="11"/>
      <color theme="0"/>
      <name val="Calibri"/>
      <family val="2"/>
      <scheme val="minor"/>
    </font>
    <font>
      <i/>
      <sz val="12"/>
      <color theme="1"/>
      <name val="Calibri"/>
      <family val="2"/>
      <scheme val="minor"/>
    </font>
    <font>
      <sz val="12"/>
      <color theme="1"/>
      <name val="Calibri"/>
      <family val="2"/>
      <scheme val="minor"/>
    </font>
    <font>
      <i/>
      <sz val="10"/>
      <color theme="1"/>
      <name val="Calibri"/>
      <family val="2"/>
      <scheme val="minor"/>
    </font>
  </fonts>
  <fills count="14">
    <fill>
      <patternFill patternType="none"/>
    </fill>
    <fill>
      <patternFill patternType="gray125"/>
    </fill>
    <fill>
      <patternFill patternType="solid">
        <fgColor theme="0"/>
        <bgColor indexed="64"/>
      </patternFill>
    </fill>
    <fill>
      <patternFill patternType="solid">
        <fgColor rgb="FFF6C3FF"/>
        <bgColor indexed="64"/>
      </patternFill>
    </fill>
    <fill>
      <patternFill patternType="solid">
        <fgColor rgb="FF7030A0"/>
        <bgColor indexed="64"/>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theme="9" tint="0.39997558519241921"/>
        <bgColor indexed="64"/>
      </patternFill>
    </fill>
    <fill>
      <patternFill patternType="solid">
        <fgColor rgb="FF00B0F0"/>
        <bgColor indexed="64"/>
      </patternFill>
    </fill>
    <fill>
      <patternFill patternType="solid">
        <fgColor rgb="FFFF99FF"/>
        <bgColor indexed="64"/>
      </patternFill>
    </fill>
    <fill>
      <patternFill patternType="solid">
        <fgColor rgb="FFFFC000"/>
        <bgColor indexed="64"/>
      </patternFill>
    </fill>
    <fill>
      <patternFill patternType="solid">
        <fgColor rgb="FFCC00CC"/>
        <bgColor indexed="64"/>
      </patternFill>
    </fill>
    <fill>
      <patternFill patternType="solid">
        <fgColor theme="4" tint="-0.249977111117893"/>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diagonal/>
    </border>
  </borders>
  <cellStyleXfs count="6">
    <xf numFmtId="0" fontId="0" fillId="0" borderId="0"/>
    <xf numFmtId="0" fontId="1" fillId="0" borderId="0"/>
    <xf numFmtId="0" fontId="8" fillId="0" borderId="0" applyNumberFormat="0" applyFill="0" applyBorder="0" applyAlignment="0" applyProtection="0"/>
    <xf numFmtId="0" fontId="1" fillId="0" borderId="0"/>
    <xf numFmtId="9" fontId="1" fillId="0" borderId="0" applyFont="0" applyFill="0" applyBorder="0" applyAlignment="0" applyProtection="0"/>
    <xf numFmtId="9" fontId="25" fillId="0" borderId="0" applyFont="0" applyFill="0" applyBorder="0" applyAlignment="0" applyProtection="0"/>
  </cellStyleXfs>
  <cellXfs count="75">
    <xf numFmtId="0" fontId="0" fillId="0" borderId="0" xfId="0"/>
    <xf numFmtId="0" fontId="1" fillId="2" borderId="1" xfId="0" applyFont="1" applyFill="1" applyBorder="1" applyAlignment="1">
      <alignment horizontal="center" vertical="center" wrapText="1" shrinkToFit="1"/>
    </xf>
    <xf numFmtId="0" fontId="3" fillId="2" borderId="1" xfId="1" applyFont="1" applyFill="1" applyBorder="1" applyAlignment="1">
      <alignment horizontal="center" vertical="center" wrapText="1" shrinkToFit="1"/>
    </xf>
    <xf numFmtId="1" fontId="3" fillId="2" borderId="1" xfId="1" applyNumberFormat="1" applyFont="1" applyFill="1" applyBorder="1" applyAlignment="1">
      <alignment horizontal="center" vertical="center" wrapText="1" shrinkToFit="1"/>
    </xf>
    <xf numFmtId="0" fontId="4" fillId="2" borderId="1" xfId="1" applyFont="1" applyFill="1" applyBorder="1" applyAlignment="1">
      <alignment horizontal="center" vertical="center" wrapText="1" shrinkToFit="1"/>
    </xf>
    <xf numFmtId="164" fontId="3" fillId="2" borderId="1" xfId="1" applyNumberFormat="1" applyFont="1" applyFill="1" applyBorder="1" applyAlignment="1">
      <alignment horizontal="center" vertical="center" wrapText="1" shrinkToFit="1"/>
    </xf>
    <xf numFmtId="165" fontId="4" fillId="2" borderId="1" xfId="1" applyNumberFormat="1" applyFont="1" applyFill="1" applyBorder="1" applyAlignment="1">
      <alignment horizontal="center" vertical="center" wrapText="1" shrinkToFit="1"/>
    </xf>
    <xf numFmtId="0" fontId="5" fillId="2" borderId="1" xfId="0" applyFont="1" applyFill="1" applyBorder="1" applyAlignment="1">
      <alignment horizontal="center" vertical="center" wrapText="1"/>
    </xf>
    <xf numFmtId="0" fontId="0" fillId="2" borderId="1" xfId="0" applyFill="1" applyBorder="1" applyAlignment="1">
      <alignment horizontal="center" vertical="center" wrapText="1" shrinkToFit="1"/>
    </xf>
    <xf numFmtId="0" fontId="6" fillId="2" borderId="1" xfId="0" applyFont="1" applyFill="1" applyBorder="1" applyAlignment="1">
      <alignment horizontal="center" vertical="center" wrapText="1"/>
    </xf>
    <xf numFmtId="0" fontId="7" fillId="2" borderId="1" xfId="1" applyFont="1" applyFill="1" applyBorder="1" applyAlignment="1">
      <alignment horizontal="center" vertical="center" wrapText="1" shrinkToFit="1"/>
    </xf>
    <xf numFmtId="0" fontId="0" fillId="2" borderId="1" xfId="0"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wrapText="1" shrinkToFit="1"/>
    </xf>
    <xf numFmtId="0" fontId="1"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0" fillId="5" borderId="1" xfId="0" applyFill="1" applyBorder="1" applyAlignment="1">
      <alignment horizontal="center" vertical="center" wrapText="1"/>
    </xf>
    <xf numFmtId="0" fontId="2" fillId="6"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 fillId="2" borderId="1" xfId="3" applyFill="1" applyBorder="1" applyAlignment="1">
      <alignment horizontal="center" vertical="center" wrapText="1" shrinkToFit="1"/>
    </xf>
    <xf numFmtId="0" fontId="0" fillId="7" borderId="1" xfId="0" applyFill="1" applyBorder="1" applyAlignment="1">
      <alignment horizontal="center" vertical="center" wrapText="1" shrinkToFit="1"/>
    </xf>
    <xf numFmtId="0" fontId="10" fillId="2" borderId="1" xfId="0" applyFont="1" applyFill="1" applyBorder="1" applyAlignment="1">
      <alignment horizontal="center" vertical="center" wrapText="1" shrinkToFit="1"/>
    </xf>
    <xf numFmtId="0" fontId="11" fillId="6" borderId="1"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7" fillId="5" borderId="1" xfId="1" applyFont="1" applyFill="1" applyBorder="1" applyAlignment="1">
      <alignment horizontal="center" vertical="center" wrapText="1" shrinkToFit="1"/>
    </xf>
    <xf numFmtId="0" fontId="0" fillId="2" borderId="2" xfId="0" applyFill="1" applyBorder="1" applyAlignment="1">
      <alignment horizontal="center" vertical="center" wrapText="1"/>
    </xf>
    <xf numFmtId="0" fontId="12" fillId="2" borderId="1" xfId="0" applyFont="1" applyFill="1" applyBorder="1" applyAlignment="1">
      <alignment horizontal="center" vertical="center" wrapText="1"/>
    </xf>
    <xf numFmtId="0" fontId="0" fillId="2" borderId="1" xfId="0" applyFill="1" applyBorder="1" applyAlignment="1">
      <alignment horizontal="center" vertical="center"/>
    </xf>
    <xf numFmtId="0" fontId="13" fillId="0" borderId="1" xfId="0" applyFont="1" applyBorder="1" applyAlignment="1">
      <alignment wrapText="1" shrinkToFit="1"/>
    </xf>
    <xf numFmtId="0" fontId="14" fillId="0" borderId="3" xfId="1" applyFont="1" applyBorder="1" applyAlignment="1">
      <alignment horizontal="center" vertical="center" wrapText="1"/>
    </xf>
    <xf numFmtId="0" fontId="14" fillId="2" borderId="1" xfId="1" applyFont="1" applyFill="1" applyBorder="1" applyAlignment="1">
      <alignment horizontal="center" vertical="center" wrapText="1"/>
    </xf>
    <xf numFmtId="0" fontId="14" fillId="0" borderId="1" xfId="1" applyFont="1" applyBorder="1" applyAlignment="1">
      <alignment horizontal="center" vertical="center" wrapText="1"/>
    </xf>
    <xf numFmtId="0" fontId="15" fillId="0" borderId="0" xfId="0" applyFont="1" applyAlignment="1">
      <alignment horizontal="center" vertical="center" wrapText="1"/>
    </xf>
    <xf numFmtId="0" fontId="16" fillId="0" borderId="0" xfId="1" applyFont="1" applyAlignment="1">
      <alignment horizontal="center" vertical="center" wrapText="1"/>
    </xf>
    <xf numFmtId="0" fontId="17" fillId="0" borderId="3" xfId="1" applyFont="1" applyBorder="1" applyAlignment="1">
      <alignment horizontal="center" vertical="center" wrapText="1"/>
    </xf>
    <xf numFmtId="0" fontId="17" fillId="0" borderId="1" xfId="1" applyFont="1" applyBorder="1" applyAlignment="1">
      <alignment horizontal="center" vertical="center" wrapText="1"/>
    </xf>
    <xf numFmtId="0" fontId="18" fillId="0" borderId="1" xfId="1" applyFont="1" applyBorder="1" applyAlignment="1">
      <alignment horizontal="center" vertical="center" wrapText="1"/>
    </xf>
    <xf numFmtId="1" fontId="15" fillId="0" borderId="0" xfId="0" applyNumberFormat="1" applyFont="1" applyAlignment="1">
      <alignment horizontal="center" vertical="center" wrapText="1"/>
    </xf>
    <xf numFmtId="0" fontId="15" fillId="0" borderId="1" xfId="0" applyFont="1" applyBorder="1" applyAlignment="1">
      <alignment horizontal="center" vertical="center" wrapText="1"/>
    </xf>
    <xf numFmtId="2" fontId="17" fillId="0" borderId="1" xfId="1" applyNumberFormat="1" applyFont="1" applyBorder="1" applyAlignment="1">
      <alignment horizontal="center" vertical="center" wrapText="1"/>
    </xf>
    <xf numFmtId="1" fontId="17" fillId="0" borderId="0" xfId="1" applyNumberFormat="1" applyFont="1" applyAlignment="1">
      <alignment horizontal="center" vertical="center" wrapText="1"/>
    </xf>
    <xf numFmtId="1" fontId="18" fillId="0" borderId="1" xfId="1" applyNumberFormat="1" applyFont="1" applyBorder="1" applyAlignment="1">
      <alignment horizontal="center" vertical="center" wrapText="1"/>
    </xf>
    <xf numFmtId="0" fontId="17" fillId="5" borderId="3" xfId="1" applyFont="1" applyFill="1" applyBorder="1" applyAlignment="1">
      <alignment horizontal="center" vertical="center" wrapText="1"/>
    </xf>
    <xf numFmtId="0" fontId="17" fillId="8" borderId="1" xfId="1" applyFont="1" applyFill="1" applyBorder="1" applyAlignment="1">
      <alignment horizontal="center" vertical="center" wrapText="1"/>
    </xf>
    <xf numFmtId="0" fontId="14" fillId="8" borderId="3" xfId="1" applyFont="1" applyFill="1" applyBorder="1" applyAlignment="1">
      <alignment horizontal="center" vertical="center" wrapText="1"/>
    </xf>
    <xf numFmtId="0" fontId="19" fillId="5" borderId="3" xfId="1" applyFont="1" applyFill="1" applyBorder="1" applyAlignment="1">
      <alignment horizontal="center" vertical="center" wrapText="1"/>
    </xf>
    <xf numFmtId="0" fontId="17" fillId="9" borderId="1" xfId="1" applyFont="1" applyFill="1" applyBorder="1" applyAlignment="1">
      <alignment horizontal="center" vertical="center" wrapText="1"/>
    </xf>
    <xf numFmtId="1" fontId="15" fillId="0" borderId="0" xfId="4" applyNumberFormat="1" applyFont="1" applyAlignment="1">
      <alignment horizontal="center" vertical="center" wrapText="1"/>
    </xf>
    <xf numFmtId="0" fontId="19" fillId="2" borderId="3" xfId="1" applyFont="1" applyFill="1" applyBorder="1" applyAlignment="1">
      <alignment horizontal="center" vertical="center" wrapText="1"/>
    </xf>
    <xf numFmtId="0" fontId="14" fillId="7" borderId="3" xfId="1" applyFont="1" applyFill="1" applyBorder="1" applyAlignment="1">
      <alignment horizontal="center" vertical="center" wrapText="1"/>
    </xf>
    <xf numFmtId="0" fontId="14" fillId="7" borderId="1" xfId="1" applyFont="1" applyFill="1" applyBorder="1" applyAlignment="1">
      <alignment horizontal="center" vertical="center" wrapText="1"/>
    </xf>
    <xf numFmtId="0" fontId="14" fillId="5" borderId="3" xfId="1" applyFont="1" applyFill="1" applyBorder="1" applyAlignment="1">
      <alignment horizontal="center" vertical="center" wrapText="1"/>
    </xf>
    <xf numFmtId="1" fontId="14" fillId="0" borderId="1" xfId="1" applyNumberFormat="1" applyFont="1" applyBorder="1" applyAlignment="1">
      <alignment horizontal="center" vertical="center" wrapText="1"/>
    </xf>
    <xf numFmtId="9" fontId="17" fillId="0" borderId="1" xfId="1" applyNumberFormat="1" applyFont="1" applyBorder="1" applyAlignment="1">
      <alignment horizontal="center" vertical="center" wrapText="1"/>
    </xf>
    <xf numFmtId="1" fontId="17" fillId="0" borderId="1" xfId="1" applyNumberFormat="1" applyFont="1" applyBorder="1" applyAlignment="1">
      <alignment horizontal="center" vertical="center" wrapText="1"/>
    </xf>
    <xf numFmtId="166" fontId="17" fillId="0" borderId="1" xfId="1" applyNumberFormat="1" applyFont="1" applyBorder="1" applyAlignment="1">
      <alignment horizontal="center" vertical="center" wrapText="1"/>
    </xf>
    <xf numFmtId="0" fontId="14" fillId="6" borderId="3" xfId="1" applyFont="1" applyFill="1" applyBorder="1" applyAlignment="1">
      <alignment horizontal="center" vertical="center" wrapText="1"/>
    </xf>
    <xf numFmtId="0" fontId="17" fillId="6" borderId="1" xfId="1" applyFont="1" applyFill="1" applyBorder="1" applyAlignment="1">
      <alignment horizontal="center" vertical="center" wrapText="1"/>
    </xf>
    <xf numFmtId="0" fontId="20" fillId="10" borderId="3" xfId="1" applyFont="1" applyFill="1" applyBorder="1" applyAlignment="1">
      <alignment horizontal="center" vertical="center" wrapText="1"/>
    </xf>
    <xf numFmtId="0" fontId="18" fillId="10" borderId="1" xfId="1" applyFont="1" applyFill="1" applyBorder="1" applyAlignment="1">
      <alignment horizontal="center" vertical="center" wrapText="1"/>
    </xf>
    <xf numFmtId="0" fontId="0" fillId="0" borderId="0" xfId="0" applyAlignment="1">
      <alignment horizontal="center"/>
    </xf>
    <xf numFmtId="0" fontId="17" fillId="5" borderId="1" xfId="1" applyFont="1" applyFill="1" applyBorder="1" applyAlignment="1">
      <alignment horizontal="center" vertical="center" wrapText="1"/>
    </xf>
    <xf numFmtId="0" fontId="14" fillId="11" borderId="3" xfId="1" applyFont="1" applyFill="1" applyBorder="1" applyAlignment="1">
      <alignment horizontal="center" vertical="center" wrapText="1"/>
    </xf>
    <xf numFmtId="0" fontId="17" fillId="11" borderId="1" xfId="1" applyFont="1" applyFill="1" applyBorder="1" applyAlignment="1">
      <alignment horizontal="center" vertical="center" wrapText="1"/>
    </xf>
    <xf numFmtId="0" fontId="21" fillId="12" borderId="3" xfId="1" applyFont="1" applyFill="1" applyBorder="1" applyAlignment="1">
      <alignment horizontal="center" vertical="center" wrapText="1"/>
    </xf>
    <xf numFmtId="0" fontId="22" fillId="12" borderId="1" xfId="1" applyFont="1" applyFill="1" applyBorder="1" applyAlignment="1">
      <alignment horizontal="center" vertical="center" wrapText="1"/>
    </xf>
    <xf numFmtId="0" fontId="14" fillId="13" borderId="3" xfId="1" applyFont="1" applyFill="1" applyBorder="1" applyAlignment="1">
      <alignment horizontal="center" vertical="center" wrapText="1"/>
    </xf>
    <xf numFmtId="0" fontId="23" fillId="13" borderId="1" xfId="1" applyFont="1" applyFill="1" applyBorder="1" applyAlignment="1">
      <alignment horizontal="center" vertical="center" wrapText="1"/>
    </xf>
    <xf numFmtId="0" fontId="24" fillId="0" borderId="4" xfId="0" applyFont="1" applyBorder="1" applyAlignment="1">
      <alignment horizontal="center" vertical="center" wrapText="1"/>
    </xf>
    <xf numFmtId="0" fontId="24" fillId="0" borderId="1" xfId="0" applyFont="1" applyBorder="1" applyAlignment="1">
      <alignment horizontal="center" vertical="center" wrapText="1"/>
    </xf>
    <xf numFmtId="9" fontId="15" fillId="0" borderId="0" xfId="5" applyFont="1" applyAlignment="1">
      <alignment horizontal="center" vertical="center" wrapText="1"/>
    </xf>
    <xf numFmtId="0" fontId="13" fillId="0" borderId="0" xfId="0" applyFont="1" applyAlignment="1">
      <alignment horizontal="center" vertical="center" wrapText="1"/>
    </xf>
    <xf numFmtId="0" fontId="26" fillId="0" borderId="0" xfId="0" applyFont="1" applyAlignment="1">
      <alignment horizontal="center" vertical="center" wrapText="1"/>
    </xf>
    <xf numFmtId="0" fontId="15" fillId="0" borderId="0" xfId="0" quotePrefix="1" applyFont="1" applyAlignment="1">
      <alignment horizontal="center" vertical="center" wrapText="1"/>
    </xf>
  </cellXfs>
  <cellStyles count="6">
    <cellStyle name="Hyperlink 2" xfId="2" xr:uid="{9328AD32-9971-41F5-BCA5-78B600DA5B72}"/>
    <cellStyle name="Normal" xfId="0" builtinId="0"/>
    <cellStyle name="Normal 2" xfId="1" xr:uid="{53781761-6039-4B1B-BA9E-61C51B43A0EF}"/>
    <cellStyle name="Normal 25" xfId="3" xr:uid="{F686CF7F-7A60-470E-AF7C-61A191AB62C9}"/>
    <cellStyle name="Percent" xfId="4" builtinId="5"/>
    <cellStyle name="Percent 2" xfId="5" xr:uid="{7BFE4B27-B0B6-4283-8BE6-0E4119E61D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f90bce48fe946bb5/Desktop/Final%20Feedback%20July%2026%20(33).xlsx" TargetMode="External"/><Relationship Id="rId1" Type="http://schemas.openxmlformats.org/officeDocument/2006/relationships/externalLinkPath" Target="Final%20Feedback%20July%2026%20(33).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Amit%20Tripathi\Downloads\Feedback%20Aug%2026%20(7).xlsx" TargetMode="External"/><Relationship Id="rId1" Type="http://schemas.openxmlformats.org/officeDocument/2006/relationships/externalLinkPath" Target="file:///C:\Users\Amit%20Tripathi\Downloads\Feedback%20Aug%2026%20(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1-07-26"/>
      <sheetName val="02-07-26"/>
      <sheetName val="03-07-26"/>
      <sheetName val="04-07-26"/>
      <sheetName val="05-07-26"/>
      <sheetName val="06-07-26"/>
      <sheetName val="07-07-26"/>
      <sheetName val="08-07-26"/>
      <sheetName val="09-07-26"/>
      <sheetName val="10-07-26"/>
      <sheetName val="11-07-26"/>
      <sheetName val="12-07-26"/>
      <sheetName val="13-07-26"/>
      <sheetName val="14-07-26"/>
      <sheetName val="15-07-26"/>
      <sheetName val="16-07-26"/>
      <sheetName val="17-07-26"/>
      <sheetName val="18-07-26"/>
      <sheetName val="19-07-26"/>
      <sheetName val="20-07-26"/>
      <sheetName val="21-07-26"/>
      <sheetName val="22-07-26"/>
      <sheetName val="23-07-26"/>
      <sheetName val="24-07-26"/>
      <sheetName val="25-07-26"/>
      <sheetName val="26-07-26"/>
      <sheetName val="27-07-26"/>
      <sheetName val="28-07-26"/>
      <sheetName val="29-07-26"/>
      <sheetName val="30-07-26"/>
      <sheetName val="31-07-26"/>
      <sheetName val="Sheet2"/>
    </sheetNames>
    <sheetDataSet>
      <sheetData sheetId="0"/>
      <sheetData sheetId="1"/>
      <sheetData sheetId="2"/>
      <sheetData sheetId="3"/>
      <sheetData sheetId="4">
        <row r="2">
          <cell r="A2">
            <v>2118</v>
          </cell>
          <cell r="B2" t="str">
            <v>Shantanu</v>
          </cell>
          <cell r="C2">
            <v>8800631116</v>
          </cell>
          <cell r="D2" t="str">
            <v>172, 1st Floor, Espace</v>
          </cell>
          <cell r="E2" t="str">
            <v>Nirvana Country</v>
          </cell>
          <cell r="F2" t="str">
            <v>Saturday</v>
          </cell>
          <cell r="G2" t="str">
            <v>9 AM - 12 PM</v>
          </cell>
          <cell r="H2">
            <v>6880</v>
          </cell>
          <cell r="I2">
            <v>1720</v>
          </cell>
          <cell r="J2" t="str">
            <v>Customized</v>
          </cell>
          <cell r="K2" t="str">
            <v>2 Asiatic + 1 Oriental + 1 Sunflower + 10 Guldawari + 10 Roses + 8 Spray Daisy + 10 Stems from Seasonal 0r Nargis ( 07/02) Yesterday Returned (23/02) 2 Asiatic + 1 Oriental + 1 Sunflower + 10 Guldawari + 10 car + 6 Spray Daisy + Seasonal Flower of Rs . 250 (04/03) Today returned-send on 3rd (28/06) No Flowers till 31st Oct (22/10) Today Returned (16/11)</v>
          </cell>
          <cell r="N2" t="str">
            <v>2  del of this cycle   -  1-cycles pmnt   Pending - Collect 6880</v>
          </cell>
          <cell r="O2" t="e">
            <v>#N/A</v>
          </cell>
          <cell r="P2" t="e">
            <v>#N/A</v>
          </cell>
          <cell r="Q2" t="e">
            <v>#N/A</v>
          </cell>
          <cell r="R2" t="e">
            <v>#N/A</v>
          </cell>
          <cell r="S2" t="e">
            <v>#N/A</v>
          </cell>
          <cell r="T2" t="str">
            <v>O Asiatic + W Oriental + Sunflowers + B Daisy + R n W Car + G n Y Spray Daisy + Mix Alstroemeria 2 + 1 + 1 + 10 + 10 + 6 + 5     5 Areca Palm + 2 Gypsola + 2 Limonium</v>
          </cell>
        </row>
        <row r="3">
          <cell r="A3">
            <v>3358</v>
          </cell>
          <cell r="B3" t="str">
            <v>Prasenjit</v>
          </cell>
          <cell r="C3">
            <v>9990903321</v>
          </cell>
          <cell r="D3" t="str">
            <v>T-10/1001, Vipul Belmonte</v>
          </cell>
          <cell r="E3" t="str">
            <v>DLF Phase 5</v>
          </cell>
          <cell r="F3" t="str">
            <v>Sunday</v>
          </cell>
          <cell r="G3" t="str">
            <v>9 AM - 12 PM</v>
          </cell>
          <cell r="H3">
            <v>1950</v>
          </cell>
          <cell r="I3">
            <v>487.5</v>
          </cell>
          <cell r="J3" t="str">
            <v>Joy</v>
          </cell>
          <cell r="K3" t="str">
            <v xml:space="preserve">Send Long stem </v>
          </cell>
          <cell r="M3" t="str">
            <v>Long Stem// Seasonal Next (24/05)</v>
          </cell>
          <cell r="N3" t="str">
            <v>1  del of this cycle   -  0-cycles pmnt   Completed - Collect 0</v>
          </cell>
          <cell r="O3" t="str">
            <v>P n W Glad ( 14 Inch ) 22     Grass</v>
          </cell>
          <cell r="P3" t="str">
            <v>Mix Alstroemeria ( 12 Inch ) 22     FF Sachet + Grass</v>
          </cell>
          <cell r="Q3" t="str">
            <v>R n W Car )( 14 inch ) 22     FF Sachet + Grass</v>
          </cell>
          <cell r="R3" t="str">
            <v>B Daisy ( 12 Inch ) 22     Grass</v>
          </cell>
          <cell r="S3" t="str">
            <v>Y Asiatic ( 14 Inch ) 4     Grass</v>
          </cell>
          <cell r="T3" t="str">
            <v>Rajni ( 14 Inch ) 22     Grass</v>
          </cell>
        </row>
        <row r="4">
          <cell r="A4" t="str">
            <v>B56366</v>
          </cell>
          <cell r="B4" t="str">
            <v>Mayank Parmar</v>
          </cell>
          <cell r="C4">
            <v>9555842911</v>
          </cell>
          <cell r="D4" t="str">
            <v>A-194, #rd Floor, Trehan Luxury Floors, Anantraj Estate, Sec 63 A</v>
          </cell>
          <cell r="E4" t="str">
            <v>Ghata</v>
          </cell>
          <cell r="F4" t="str">
            <v>Saturday</v>
          </cell>
          <cell r="G4" t="str">
            <v>By 10 AM</v>
          </cell>
          <cell r="H4">
            <v>950</v>
          </cell>
          <cell r="I4">
            <v>950</v>
          </cell>
          <cell r="J4" t="str">
            <v>Bouquet</v>
          </cell>
          <cell r="K4" t="str">
            <v>5 Sunflower in Black Korean Sheet</v>
          </cell>
          <cell r="N4" t="str">
            <v>1  del of this cycle   -  0-cycles pmnt   Completed - Collect 0</v>
          </cell>
          <cell r="O4" t="e">
            <v>#N/A</v>
          </cell>
          <cell r="P4" t="e">
            <v>#N/A</v>
          </cell>
          <cell r="Q4" t="e">
            <v>#N/A</v>
          </cell>
          <cell r="R4" t="e">
            <v>#N/A</v>
          </cell>
          <cell r="S4" t="e">
            <v>#N/A</v>
          </cell>
          <cell r="T4" t="str">
            <v xml:space="preserve">Sunflower  5 Black Korean Sheet    </v>
          </cell>
        </row>
        <row r="5">
          <cell r="A5">
            <v>2855</v>
          </cell>
          <cell r="B5" t="str">
            <v>Mini Deerwoood</v>
          </cell>
          <cell r="C5">
            <v>9818447542</v>
          </cell>
          <cell r="D5" t="str">
            <v xml:space="preserve"> 332, 4th Floor, Espace</v>
          </cell>
          <cell r="E5" t="str">
            <v>Nirvana Country</v>
          </cell>
          <cell r="F5" t="str">
            <v>Sunday</v>
          </cell>
          <cell r="G5" t="str">
            <v>9 AM - 12 PM</v>
          </cell>
          <cell r="H5">
            <v>1950</v>
          </cell>
          <cell r="I5">
            <v>487.5</v>
          </cell>
          <cell r="J5" t="str">
            <v>Joy</v>
          </cell>
          <cell r="N5" t="str">
            <v>3  del of this cycle   -  1-cycles pmnt   Pending - Collect 1950</v>
          </cell>
          <cell r="O5" t="str">
            <v>P n W Spray Daisy ( 15 Inch ) 4 Mix Glad  ( 12 Inch ) 11   FF Sachet + garss</v>
          </cell>
          <cell r="P5" t="e">
            <v>#N/A</v>
          </cell>
          <cell r="Q5" t="e">
            <v>#N/A</v>
          </cell>
          <cell r="R5" t="str">
            <v>Pur Eustoma ( 12 Inch ) 2 B Daisy ( 12 Inch ) 11   FF Sachet + Grass</v>
          </cell>
          <cell r="S5" t="str">
            <v>Sunflower ( 12 Inch ) 3 Pur n P Car ( 14 Inch ) 11   FF Sachet + Grass</v>
          </cell>
          <cell r="T5" t="str">
            <v>P Asiatic ( 14 Inch ) 2 Rajni ( 14 Inch ) 11   Grass</v>
          </cell>
        </row>
        <row r="6">
          <cell r="A6">
            <v>2316</v>
          </cell>
          <cell r="B6" t="str">
            <v>Gitanjali Kamra</v>
          </cell>
          <cell r="C6">
            <v>9811842976</v>
          </cell>
          <cell r="D6" t="str">
            <v>121, Espace, Nirvana Country</v>
          </cell>
          <cell r="E6" t="str">
            <v>Nirvana Country</v>
          </cell>
          <cell r="F6" t="str">
            <v>Sunday</v>
          </cell>
          <cell r="G6" t="str">
            <v>9 AM - 12 PM</v>
          </cell>
          <cell r="H6">
            <v>4750</v>
          </cell>
          <cell r="I6">
            <v>1187.5</v>
          </cell>
          <cell r="J6" t="str">
            <v>Enchantment</v>
          </cell>
          <cell r="K6" t="str">
            <v>Now Elation (21/09) Skip 1 week (17/12)</v>
          </cell>
          <cell r="N6" t="str">
            <v>1  del of this cycle   -  0-cycles pmnt   Completed - Collect 0</v>
          </cell>
          <cell r="O6" t="str">
            <v>Pur n P Eustoma ( 12 Inch ) 6 Mix Spray Carnation ( 12 Inch ) 15   3 Gypsola + FF Sachet</v>
          </cell>
          <cell r="P6" t="str">
            <v>Sunflower ( 12 Inch ) 7 Mix Alstroemeria ( 12 Inch ) 30   3 Limonium + Ff Sachet</v>
          </cell>
          <cell r="Q6" t="str">
            <v>O Asiatic ( 14 Inch ) 6 P n W Glad ( 14 Inch ) 30   3 Gypsola</v>
          </cell>
          <cell r="R6" t="str">
            <v>P n Y Spray Daisy ( 14 Inch ) 10 Pur n P Car ( 14 Inch ) 30   3 Limonium</v>
          </cell>
          <cell r="S6" t="str">
            <v>BOP ( 14 Inch ) 6 Rajni ( 14 Inch ) 30   3 Gypsola</v>
          </cell>
          <cell r="T6" t="str">
            <v>P Asiatic ( 14 Inch ) 6 Mix Alstroemeria ( 12 Inch ) 30   3 Areca Palm + 3 Limonium</v>
          </cell>
        </row>
        <row r="7">
          <cell r="A7" t="str">
            <v>G-00064</v>
          </cell>
          <cell r="B7" t="str">
            <v>Mahesh Mishra</v>
          </cell>
          <cell r="C7">
            <v>9039286484</v>
          </cell>
          <cell r="D7" t="str">
            <v>H-21, 2nd Floor, Residency Greens, Sec 46</v>
          </cell>
          <cell r="E7" t="str">
            <v>Sector 46</v>
          </cell>
          <cell r="F7" t="str">
            <v>Sunday</v>
          </cell>
          <cell r="G7" t="str">
            <v>9:30 Am to 2 PM</v>
          </cell>
          <cell r="H7">
            <v>1450</v>
          </cell>
          <cell r="I7">
            <v>362.5</v>
          </cell>
          <cell r="J7" t="str">
            <v>Bliss</v>
          </cell>
          <cell r="K7" t="str">
            <v>From 9310895959</v>
          </cell>
          <cell r="N7" t="str">
            <v>3  del of this cycle   -  0-cycles pmnt   Completed - Collect 0</v>
          </cell>
          <cell r="O7" t="e">
            <v>#N/A</v>
          </cell>
          <cell r="P7" t="e">
            <v>#N/A</v>
          </cell>
          <cell r="Q7" t="e">
            <v>#N/A</v>
          </cell>
          <cell r="R7" t="str">
            <v>Pur n P Car ( 14 Inch ) 16     FF Sachet + Grass</v>
          </cell>
          <cell r="S7" t="str">
            <v>Sunflower ( 12 Inch ) 4     FF Sachet + Grass</v>
          </cell>
          <cell r="T7" t="str">
            <v>Rajni ( 14 Inch ) 16     Grass</v>
          </cell>
        </row>
        <row r="8">
          <cell r="A8">
            <v>2481</v>
          </cell>
          <cell r="B8" t="str">
            <v>Puneet Mahajan</v>
          </cell>
          <cell r="C8">
            <v>9810110847</v>
          </cell>
          <cell r="D8" t="str">
            <v>D-19, 4th Floor, Siuth City -2, Opp Arcadia Mall</v>
          </cell>
          <cell r="E8" t="str">
            <v>Nirvana Country</v>
          </cell>
          <cell r="F8" t="str">
            <v>Sunday</v>
          </cell>
          <cell r="G8" t="str">
            <v>9 AM - 12 PM</v>
          </cell>
          <cell r="H8">
            <v>2300</v>
          </cell>
          <cell r="I8">
            <v>287.5</v>
          </cell>
          <cell r="J8" t="str">
            <v>Felicity</v>
          </cell>
          <cell r="K8" t="str">
            <v>Send Sponge// Day Changed to Sunday (16/04) Paytm From Sri Sai makers (20/04) Change to felicity (17/05)</v>
          </cell>
          <cell r="N8" t="str">
            <v>7  del of this cycle   -  0-cycles pmnt   Completed - Collect 0</v>
          </cell>
          <cell r="O8" t="str">
            <v>P n W Glad ( 14 Inch ) 11     Grass</v>
          </cell>
          <cell r="P8" t="str">
            <v>Pur Eustoma ( 12 Inch ) 4     FF Sachet + Grass</v>
          </cell>
          <cell r="Q8" t="str">
            <v>Rajni ( 14 Inch ) 11     Grass</v>
          </cell>
          <cell r="R8" t="str">
            <v>B Daisy ( 12 Inch ) 11     Grass</v>
          </cell>
          <cell r="S8" t="str">
            <v>P n W Glad ( 14 Inch ) 11     Grass</v>
          </cell>
          <cell r="T8" t="str">
            <v>P n W Car ( 14 Inch ) 11     FF Sachet + Grass</v>
          </cell>
        </row>
        <row r="9">
          <cell r="A9">
            <v>3347</v>
          </cell>
          <cell r="B9" t="str">
            <v>Damini Dasgupta</v>
          </cell>
          <cell r="C9">
            <v>9874672103</v>
          </cell>
          <cell r="D9" t="str">
            <v>Flat No. 102, @nd Floor, Satguru Appartments, Sec 52, Wazirabad</v>
          </cell>
          <cell r="E9" t="str">
            <v>Sector 56</v>
          </cell>
          <cell r="F9" t="str">
            <v>Sunday</v>
          </cell>
          <cell r="G9" t="str">
            <v>9 AM - 12 PM</v>
          </cell>
          <cell r="H9">
            <v>1950</v>
          </cell>
          <cell r="I9">
            <v>487.5</v>
          </cell>
          <cell r="J9" t="str">
            <v>Joy</v>
          </cell>
          <cell r="K9" t="str">
            <v>Skip 1 week (09/05) Returned today (17/05) Returned today and skip 1 more week (07/06)</v>
          </cell>
          <cell r="N9" t="str">
            <v>2  del of this cycle   -  0-cycles pmnt   Completed - Collect 0</v>
          </cell>
          <cell r="O9" t="str">
            <v>P n W Glad ( 14 Inch ) 22     Grass</v>
          </cell>
          <cell r="P9" t="str">
            <v>Mix Alstroemeria ( 12 Inch ) 32     FF Sachet + Grass</v>
          </cell>
          <cell r="Q9" t="e">
            <v>#N/A</v>
          </cell>
          <cell r="R9" t="str">
            <v>B Daisy ( 12 Inch ) 22     FF Sachet + Grass</v>
          </cell>
          <cell r="S9" t="str">
            <v>Sunflower ( 12 Inch ) 5     FF Sachet + Grass</v>
          </cell>
          <cell r="T9" t="str">
            <v>P Asiatic ( 14 Inch ) 4     Grass</v>
          </cell>
        </row>
        <row r="10">
          <cell r="A10">
            <v>401</v>
          </cell>
          <cell r="B10" t="str">
            <v>Nameesha Verma -- Before 12PM</v>
          </cell>
          <cell r="C10">
            <v>9899240454</v>
          </cell>
          <cell r="D10" t="str">
            <v>D-4/102, Parsvanath Exotica</v>
          </cell>
          <cell r="E10" t="str">
            <v>DLF Phase 5</v>
          </cell>
          <cell r="F10" t="str">
            <v>Thursday</v>
          </cell>
          <cell r="G10" t="str">
            <v>Before 12 PM</v>
          </cell>
          <cell r="H10">
            <v>1600</v>
          </cell>
          <cell r="I10">
            <v>200</v>
          </cell>
          <cell r="J10" t="str">
            <v>Bloom</v>
          </cell>
          <cell r="K10" t="str">
            <v>Thursday n Sunday//Sat to Thurs//Send a repacement and No Rajni till it has fragrance(24/09)Skip 1 week(12/10)send  a replacement(22/11) Returne-send next week(13/12) Star 650 Pack(15/10) 17th Oct Del returned-pls update(07/11) Send Tom instead of sat this week(12/08) Sent a replacement today(01/09) Skip 1 week(12/11) Send on Monday this week(24/11) Skip this sunday (03/12) Sent replacement today (18/03) Send replacement tom (31/03) Skip 1 week (25/04) Now Bloom (19/05) Today returned (18/06) Skip 1 week (08/08) Hold n start after 8th Oct )(20/09) Skip next del (18/11) No Del till 2nd Jan (25/12) Skip tom (24/01) Hold till 17th Jube (05/06) Skip this sunday (18/07) Skip 1 week (13/08) Today returnde (16/01) Skip tom (15/02) Today returned as flowers got late (30/03) Hold till 12th Apr (02/04)Today Returned (11/05) Hold till 18th June (02/06) Hold till 18th June (02/06) Today Returned (13/09) Do not count last del (08/11) No Del till next wednesday (09/12) Hold todxay (28/12) Skip 1 week (04/02) 3 Car extra next (20/03) Skip 1 week (09/06)</v>
          </cell>
          <cell r="M10" t="str">
            <v>3 Car extra next (20/03)</v>
          </cell>
          <cell r="N10" t="str">
            <v>3  del of this cycle   -  0-cycles pmnt   Completed - Collect 0</v>
          </cell>
          <cell r="O10" t="str">
            <v>P n W Glad ( 14 Inch ) 7     Grass</v>
          </cell>
          <cell r="P10" t="str">
            <v>Pur n P Car ( 14 Inch ) 7     FF Sachet + Grass</v>
          </cell>
          <cell r="Q10" t="e">
            <v>#N/A</v>
          </cell>
          <cell r="R10" t="str">
            <v>Rajni ( 14 Inch ) 7     Grass</v>
          </cell>
          <cell r="S10" t="str">
            <v>P n W Glad ( 14 Inch ) 7     Grass</v>
          </cell>
          <cell r="T10" t="str">
            <v>B Daisy ( 12 Inch ) 7     Grass</v>
          </cell>
        </row>
        <row r="11">
          <cell r="A11">
            <v>237</v>
          </cell>
          <cell r="B11" t="str">
            <v>Mayom Hospital</v>
          </cell>
          <cell r="C11">
            <v>8860079525</v>
          </cell>
          <cell r="D11" t="str">
            <v>Mayom Hospital, D block south city 1</v>
          </cell>
          <cell r="E11" t="str">
            <v>South City 1</v>
          </cell>
          <cell r="F11" t="str">
            <v>Sunday</v>
          </cell>
          <cell r="G11" t="str">
            <v>9 AM - 12 PM</v>
          </cell>
          <cell r="H11">
            <v>3000</v>
          </cell>
          <cell r="I11">
            <v>375</v>
          </cell>
          <cell r="J11" t="str">
            <v>Corporate</v>
          </cell>
          <cell r="K11" t="str">
            <v>Sending on 20th instaed of 21st,bcoz of Holi(18/03) Send on Monday this week(20/03)</v>
          </cell>
          <cell r="N11" t="str">
            <v>2  del of this cycle   -  0-cycles pmnt   In Process - Collect 0</v>
          </cell>
          <cell r="O11" t="str">
            <v>Pur n P Eustoma ( 12 Inch ) 4     Grass</v>
          </cell>
          <cell r="P11" t="str">
            <v>Mix Alstroemeria ( 12 Inch ) 15     Grass</v>
          </cell>
          <cell r="Q11" t="str">
            <v xml:space="preserve">P Eustoma ( 12 Inch ) 3     </v>
          </cell>
          <cell r="R11" t="str">
            <v xml:space="preserve">P Eustoma ( 12 Inch ) 3     </v>
          </cell>
          <cell r="S11" t="str">
            <v>Mix Spray Daisy 5     Grass</v>
          </cell>
          <cell r="T11" t="str">
            <v>Rajni ( 14 Inch ) 15     Grass</v>
          </cell>
        </row>
        <row r="12">
          <cell r="A12">
            <v>2192</v>
          </cell>
          <cell r="B12" t="str">
            <v>Prabhdeep Kaur</v>
          </cell>
          <cell r="C12">
            <v>7456879082</v>
          </cell>
          <cell r="D12" t="str">
            <v>C-173, 2nd Floor,South City 2</v>
          </cell>
          <cell r="E12" t="str">
            <v>Nirvana Country</v>
          </cell>
          <cell r="F12" t="str">
            <v>Sunday</v>
          </cell>
          <cell r="G12" t="str">
            <v>9 AM - 12 PM</v>
          </cell>
          <cell r="H12">
            <v>1450</v>
          </cell>
          <cell r="I12">
            <v>362.5</v>
          </cell>
          <cell r="J12" t="str">
            <v>Bliss</v>
          </cell>
          <cell r="K12" t="str">
            <v>Today Returned (18/08) Gpay from Preity Dadwal (20/10) Hold after current cuycle (22/12) Today Returned (29/12) Today returned (17/08) Today returned (16/11) Do not count 25th Jan Del (01/03) Pne more payment received today (2/03) Sent one del today -skip tom (07/03) Today Returned (21/06)</v>
          </cell>
          <cell r="N12" t="str">
            <v>4  del of this cycle   -  0-cycles pmnt   Completed - Collect 0</v>
          </cell>
          <cell r="O12" t="str">
            <v>P n W Spray Daisy ( 15 Inch ) 5     FF Sachet + Grass</v>
          </cell>
          <cell r="P12" t="str">
            <v>P n W Glad ( 14 Inch ) 16     Grass</v>
          </cell>
          <cell r="Q12" t="str">
            <v>Pur n P Car ( 14 Inch ) 16     FF Sachet + Grass</v>
          </cell>
          <cell r="R12" t="str">
            <v>P Eustoma ( 12 Inch ) 3     FF Sachet + Grass</v>
          </cell>
          <cell r="S12" t="str">
            <v>Sunflower ( 12 Inch ) 4     FF Sachet + Grass</v>
          </cell>
          <cell r="T12" t="str">
            <v>Rajni ( 14 Inch ) 16     Grass</v>
          </cell>
        </row>
        <row r="13">
          <cell r="B13" t="str">
            <v>90244 56014‬</v>
          </cell>
          <cell r="C13" t="str">
            <v>90244 56014‬</v>
          </cell>
          <cell r="D13" t="str">
            <v>Muffin Villa, Block C, Sushant Lok Phase I, Sector 43, Gurugram, Haryana 122009</v>
          </cell>
          <cell r="H13">
            <v>900</v>
          </cell>
          <cell r="J13" t="str">
            <v>Bouquet</v>
          </cell>
          <cell r="K13" t="str">
            <v>From Pratik Advance Payment today 
15 blue daisies in full tissue wrap 
To
Muffin Villa
https://maps.google.com/?q=28.453630,77.082062
‪+91 90244 56014‬
Message 
Akshat, Saachi and Muffin, 
A huge congratulations on the little one coming home for the first time! The nest now feels complete. We are overjoyed for all of you. Here is to sleepless nights, tiny socks, and all the wonderful chaos ahead. Oindrila and I are cheering you on and can't wait to come meet her soon. 
Lots of love from the both of us!</v>
          </cell>
          <cell r="T13" t="str">
            <v xml:space="preserve">blue daisies  15 Full Tissue Wrap  Massage   </v>
          </cell>
        </row>
        <row r="14">
          <cell r="A14">
            <v>2542</v>
          </cell>
          <cell r="B14" t="str">
            <v>Ankita Jain</v>
          </cell>
          <cell r="C14">
            <v>9899133443</v>
          </cell>
          <cell r="D14" t="str">
            <v>B-778, 2nd Floor, Sushant Lok</v>
          </cell>
          <cell r="H14" t="str">
            <v>Replacement</v>
          </cell>
          <cell r="I14" t="str">
            <v>Replacement</v>
          </cell>
          <cell r="J14" t="str">
            <v>Replacement</v>
          </cell>
          <cell r="K14" t="str">
            <v>Replacement</v>
          </cell>
          <cell r="L14" t="str">
            <v>Replacement</v>
          </cell>
          <cell r="M14" t="str">
            <v>Replacement</v>
          </cell>
          <cell r="N14" t="str">
            <v>Replacement</v>
          </cell>
          <cell r="T14" t="str">
            <v xml:space="preserve">O Asiatic 3     </v>
          </cell>
        </row>
        <row r="15">
          <cell r="A15">
            <v>2639</v>
          </cell>
          <cell r="B15" t="str">
            <v>Bhanupriya Sharma</v>
          </cell>
          <cell r="C15">
            <v>9799191916</v>
          </cell>
          <cell r="D15" t="str">
            <v>37, Abundance Appartment, 4th Floor, D Block, Indira Colony-2, Sec 52 , Behind Arihant Hospital</v>
          </cell>
          <cell r="E15" t="str">
            <v>Artemis</v>
          </cell>
          <cell r="F15" t="str">
            <v>Sunday</v>
          </cell>
          <cell r="G15" t="str">
            <v>9 AM - 12 PM</v>
          </cell>
          <cell r="H15">
            <v>1450</v>
          </cell>
          <cell r="I15">
            <v>487.5</v>
          </cell>
          <cell r="J15" t="str">
            <v>Bliss</v>
          </cell>
          <cell r="K15" t="str">
            <v>Skip 1 week (16/05) today returned (06/07) Change day to delight (02/11) Paytm from Rajeev Bhambani (05/11) Upgrade to Bliss (24/01) Paytm From Aluma Care (25/03) No Lily (16/05)</v>
          </cell>
          <cell r="L15" t="str">
            <v>Lily</v>
          </cell>
          <cell r="M15" t="str">
            <v>One kInd in Bliss</v>
          </cell>
          <cell r="N15" t="str">
            <v>4  del of this cycle   -  0-cycles pmnt   Completed - Collect 0</v>
          </cell>
          <cell r="O15" t="str">
            <v>Mix Spray Daisy 3 R n W Car ( 14 Inch ) 7   Grass</v>
          </cell>
          <cell r="P15" t="str">
            <v>Mix Alstroemeria ( 12 Inch ) 16     FF Sachet + Grass</v>
          </cell>
          <cell r="Q15" t="str">
            <v>Pur n P Car ( 14 Inch ) 16     FF Sachet + Grass</v>
          </cell>
          <cell r="R15" t="str">
            <v>P n W Glad ( 14 Inch ) 16     Grass</v>
          </cell>
          <cell r="S15" t="str">
            <v>Sunflower ( 12 Inch ) 4     FF Sachet + Grass</v>
          </cell>
          <cell r="T15" t="str">
            <v>Rajni ( 14 Inch ) 16     Grass</v>
          </cell>
        </row>
        <row r="16">
          <cell r="A16">
            <v>3243</v>
          </cell>
          <cell r="B16" t="str">
            <v>Muskan</v>
          </cell>
          <cell r="C16">
            <v>9877561166</v>
          </cell>
          <cell r="D16" t="str">
            <v>Floor - 6, Flat 601, Milan Appartment, CGHS</v>
          </cell>
          <cell r="E16" t="str">
            <v>Artemis</v>
          </cell>
          <cell r="F16" t="str">
            <v>Sunday</v>
          </cell>
          <cell r="G16" t="str">
            <v>10 AM to 2:30 PM</v>
          </cell>
          <cell r="H16">
            <v>1450</v>
          </cell>
          <cell r="I16">
            <v>362.5</v>
          </cell>
          <cell r="J16" t="str">
            <v>Bliss</v>
          </cell>
          <cell r="K16" t="str">
            <v>One Kind // Day Sunday (26/03) Mix in Joy (23/04) Change to bliss (21/06)</v>
          </cell>
          <cell r="M16" t="str">
            <v>Mix in Joy (23/04)</v>
          </cell>
          <cell r="N16" t="str">
            <v>3  del of this cycle   -  0-cycles pmnt   Completed - Collect 0</v>
          </cell>
          <cell r="O16" t="str">
            <v>P n W Glad ( 14 Inch ) 22     Grass</v>
          </cell>
          <cell r="P16" t="str">
            <v>P n Y Spray Daisy ( 14 Inch ) 7     FF Sachet + Grass</v>
          </cell>
          <cell r="Q16" t="str">
            <v>Pur n P Car ( 14 Inch ) 22     FF Sachet + Grass</v>
          </cell>
          <cell r="R16" t="str">
            <v>B Daisy ( 12 Inch ) 16     Grass</v>
          </cell>
          <cell r="S16" t="str">
            <v>Sunflower ( 12 Inch ) 4     FF Sachet + Grass</v>
          </cell>
          <cell r="T16" t="str">
            <v>P Asiatic ( 14 Inch ) 3     Grass</v>
          </cell>
        </row>
        <row r="17">
          <cell r="A17">
            <v>234</v>
          </cell>
          <cell r="B17" t="str">
            <v>jaya Chakrabarti-- Before 10 AM</v>
          </cell>
          <cell r="C17">
            <v>9810390185</v>
          </cell>
          <cell r="D17" t="str">
            <v>A 56, FF, south City 2, sonha road, gurgaon</v>
          </cell>
          <cell r="E17" t="str">
            <v>Nirvana Country</v>
          </cell>
          <cell r="F17" t="str">
            <v>Sunday</v>
          </cell>
          <cell r="G17" t="str">
            <v>9 AM - 12 PM</v>
          </cell>
          <cell r="H17">
            <v>1450</v>
          </cell>
          <cell r="I17">
            <v>362.5</v>
          </cell>
          <cell r="J17" t="str">
            <v>Bliss</v>
          </cell>
          <cell r="K17" t="str">
            <v>Friday n MOnday(31/03) NO BOP N HELICONIA// and send rajni next(28/03) Upgrade to 1450 and NO HELICONIA (02/03) Shift to bliss (27/04) Rajni Next (29/06) Shift to Sunday now (30/06) Today returned(20/09) Today Returned (10/12) Today returned (11/04) Received one payment today (12/11) HDTNP (01/03) HDTNP (08/03) HDTNP (14/03)</v>
          </cell>
          <cell r="L17" t="str">
            <v>BOP n HELICONIA</v>
          </cell>
          <cell r="N17" t="str">
            <v>2  del of this cycle   -  0-cycles pmnt   Completed - Collect 0</v>
          </cell>
          <cell r="O17" t="str">
            <v>P n W Glad ( 14 Inch ) 16     Grass</v>
          </cell>
          <cell r="P17" t="str">
            <v>Sunflower ( 12 Inch ) 4     FF Sachet + Grass</v>
          </cell>
          <cell r="Q17" t="str">
            <v>Pur n P Car ( 14 Inch ) 16     FF Sachet + Grass</v>
          </cell>
          <cell r="R17" t="str">
            <v>Pur Eustoma ( 12 Inch ) 3     FF Sachet + Grass</v>
          </cell>
          <cell r="S17" t="str">
            <v>P Asiatic ( 14 Inch ) 3     Grass</v>
          </cell>
          <cell r="T17" t="str">
            <v>Rajni ( 14 Inch ) 16     Grass</v>
          </cell>
        </row>
        <row r="18">
          <cell r="A18">
            <v>13</v>
          </cell>
          <cell r="B18" t="str">
            <v>Mr. Vipin Marwah</v>
          </cell>
          <cell r="C18" t="str">
            <v>9313496645//9350353662</v>
          </cell>
          <cell r="D18" t="str">
            <v>D5/502, Parsvanath Exotica</v>
          </cell>
          <cell r="E18" t="str">
            <v>DLF Phase 5</v>
          </cell>
          <cell r="F18" t="str">
            <v>Sunday</v>
          </cell>
          <cell r="G18" t="str">
            <v>9 AM - 12 PM</v>
          </cell>
          <cell r="H18">
            <v>2750</v>
          </cell>
          <cell r="I18">
            <v>687.5</v>
          </cell>
          <cell r="J18" t="str">
            <v>Elation</v>
          </cell>
          <cell r="K18" t="str">
            <v>Sat to Thurs//Only white Glad, if not available then Red Glad(21/05) Today hold-send on Sunday(23/06) Today agains hold as w glad were not avaiulbvale(26/06) Again Hold today -send on Sunday(30/06) Send 4 stick extra next (09/10) 4 Stick extra next (20/11) 26th Mar del returned (04/04) Hold today -send next week (25/06) Flowers were not vaibale-- today hold(16/07) Today Hold (10/09) hold todaty -send tom (01/10) Skip 1 week (02/10) Hold today (08/10) Today hold-send next week (26/11) Hold -send tom (31/12) Today Hold (19/05)  Today Hold *31/05)Hold today (02/06) Today hold (16/06) Today Hold (23/06) Hold Today (30/06) Today Hold (04/08) Today Hold (08/06) Hold today (15/06) Today Hold (03/08) Hold Today (24/08) Hold today (31/08) Hold due to non availability of white flowers -- send next week (04/01) Today hold -- send next week (15/02) Hold today (22/03) Today Hold (24/05) Today hold (14/06) Today hold (21/06)</v>
          </cell>
          <cell r="N18" t="str">
            <v>3  del of this cycle   -  1-cycles pmnt   Pending - Collect 2750</v>
          </cell>
          <cell r="O18" t="str">
            <v>W Glad ( 14 Inch ) 32     Grass</v>
          </cell>
          <cell r="P18" t="str">
            <v>O Glad ( 14 Inch ) 32     Grass</v>
          </cell>
          <cell r="Q18" t="str">
            <v>W Glad ( 14 Inch ) 32     Grass</v>
          </cell>
          <cell r="R18" t="str">
            <v>W Glad ( 15 Inch ) 32     Grass</v>
          </cell>
          <cell r="S18" t="str">
            <v>W Glad ( 14 Inch ) 32     Grass</v>
          </cell>
          <cell r="T18" t="str">
            <v>W Glad ( 14 Inch ) 32     Grass</v>
          </cell>
        </row>
        <row r="19">
          <cell r="A19">
            <v>2255</v>
          </cell>
          <cell r="B19" t="str">
            <v>Prerna -- Rosewood</v>
          </cell>
          <cell r="C19">
            <v>9910778929</v>
          </cell>
          <cell r="D19" t="str">
            <v>D-154, Rosewood City, Sector 50</v>
          </cell>
          <cell r="E19" t="str">
            <v>Nirvana Country</v>
          </cell>
          <cell r="F19" t="str">
            <v>Sunday</v>
          </cell>
          <cell r="G19" t="str">
            <v>9:30 Am to 2 PM</v>
          </cell>
          <cell r="H19">
            <v>1450</v>
          </cell>
          <cell r="I19">
            <v>362.5</v>
          </cell>
          <cell r="J19" t="str">
            <v>Bliss</v>
          </cell>
          <cell r="K19" t="str">
            <v>Sent replacement today (21/04) Skip 1 week (04/12) Skip tom (14/06) Return today (06/07) 27th Del Missed (03/08)Skip 22/23rd Nov (08/11) Paytm From Prerna Sharma // Skip 1 week (07/02) Hold n start after 9 th June (10/05)</v>
          </cell>
          <cell r="N19" t="str">
            <v>4  del of this cycle   -  0-cycles pmnt   Completed - Collect 0</v>
          </cell>
          <cell r="O19" t="e">
            <v>#N/A</v>
          </cell>
          <cell r="P19" t="e">
            <v>#N/A</v>
          </cell>
          <cell r="Q19" t="str">
            <v>Pur n P Car ( 14 Inch ) 16     FF Sachet + Grass</v>
          </cell>
          <cell r="R19" t="str">
            <v>Pur Eustoma ( 12 Inch ) 3     FF Sachet + Grass</v>
          </cell>
          <cell r="S19" t="str">
            <v>Rajni 16     Grass</v>
          </cell>
          <cell r="T19" t="str">
            <v>Sunflower ( 12 Inch ) 4     FF Sachet + Grass</v>
          </cell>
        </row>
        <row r="20">
          <cell r="A20">
            <v>3245</v>
          </cell>
          <cell r="B20" t="str">
            <v>Parul Parihar</v>
          </cell>
          <cell r="C20">
            <v>9999903582</v>
          </cell>
          <cell r="D20" t="str">
            <v>502, Adhunil Appartments, Sec 52</v>
          </cell>
          <cell r="E20" t="str">
            <v>Artemis</v>
          </cell>
          <cell r="F20" t="str">
            <v>Sunday</v>
          </cell>
          <cell r="G20" t="str">
            <v>9 AM - 12 PM</v>
          </cell>
          <cell r="H20">
            <v>1450</v>
          </cell>
          <cell r="I20">
            <v>362.5</v>
          </cell>
          <cell r="J20" t="str">
            <v>Bliss</v>
          </cell>
          <cell r="N20" t="str">
            <v>2  del of this cycle   -  0-cycles pmnt   Completed - Collect 0</v>
          </cell>
          <cell r="O20" t="str">
            <v>P n W Car ( 14 inch ) 16     FF Sachet + Grass</v>
          </cell>
          <cell r="P20" t="str">
            <v>P n W Spray Daisy ( 14 Inch) 5     FF Sachet + Grass</v>
          </cell>
          <cell r="Q20" t="str">
            <v>P n W Glad ( 14 Inch ) 16     Grass</v>
          </cell>
          <cell r="R20" t="str">
            <v>Pur Eustoma ( 12 Inch ) 3     FF Sachet + Grass</v>
          </cell>
          <cell r="S20" t="str">
            <v>P Asiatic ( 14 Inch ) 3     Grass</v>
          </cell>
          <cell r="T20" t="str">
            <v>Rajni ( 14 Inch ) 16     Grass</v>
          </cell>
        </row>
        <row r="21">
          <cell r="A21">
            <v>3401</v>
          </cell>
          <cell r="B21" t="str">
            <v>Asheesh Handa</v>
          </cell>
          <cell r="C21">
            <v>7042482828</v>
          </cell>
          <cell r="D21" t="str">
            <v>H. No. 28, Ground Floor, M2k Whitehouse, Sector 57</v>
          </cell>
          <cell r="E21" t="str">
            <v>Artemis</v>
          </cell>
          <cell r="F21" t="str">
            <v>Sunday</v>
          </cell>
          <cell r="G21" t="str">
            <v>9 AM to 2 PM</v>
          </cell>
          <cell r="H21">
            <v>1450</v>
          </cell>
          <cell r="I21">
            <v>362.5</v>
          </cell>
          <cell r="J21" t="str">
            <v>Bliss</v>
          </cell>
          <cell r="N21" t="str">
            <v>1  del of this cycle   -  0-cycles pmnt   Completed - Collect 0</v>
          </cell>
          <cell r="O21" t="e">
            <v>#N/A</v>
          </cell>
          <cell r="P21" t="e">
            <v>#N/A</v>
          </cell>
          <cell r="Q21" t="e">
            <v>#N/A</v>
          </cell>
          <cell r="R21" t="e">
            <v>#N/A</v>
          </cell>
          <cell r="S21" t="e">
            <v>#N/A</v>
          </cell>
          <cell r="T21" t="str">
            <v>Pur n P Car ( 14 Inch ) 16     FF Sachet + Grass</v>
          </cell>
        </row>
        <row r="22">
          <cell r="A22">
            <v>2774</v>
          </cell>
          <cell r="B22" t="str">
            <v>Vandana Thakran</v>
          </cell>
          <cell r="C22">
            <v>9899589964</v>
          </cell>
          <cell r="D22" t="str">
            <v>H. No. 35, Cedar Crest</v>
          </cell>
          <cell r="E22" t="str">
            <v>Nirvana Country</v>
          </cell>
          <cell r="F22" t="str">
            <v>Sunday</v>
          </cell>
          <cell r="G22" t="str">
            <v>9 AM - 12 PM</v>
          </cell>
          <cell r="H22">
            <v>1600</v>
          </cell>
          <cell r="I22">
            <v>200</v>
          </cell>
          <cell r="J22" t="str">
            <v>Bloom</v>
          </cell>
          <cell r="N22" t="str">
            <v>3  del of this cycle   -  0-cycles pmnt   Completed - Collect 0</v>
          </cell>
          <cell r="O22" t="str">
            <v>P n W Glad ( 14 Inch ) 7     Grass</v>
          </cell>
          <cell r="P22" t="str">
            <v>Mix Alstroemeria ( 12 Inch ) 7     FF Sachet + Grass</v>
          </cell>
          <cell r="Q22" t="str">
            <v>Rajni ( 14 Inch ) 7     Grass</v>
          </cell>
          <cell r="R22" t="str">
            <v>B Daisy ( 12 Inch ) 7     Grass</v>
          </cell>
          <cell r="S22" t="str">
            <v>Sunflower ( 12 Inch ) 2     FF Sachet + Grass</v>
          </cell>
          <cell r="T22" t="str">
            <v>B Daisy ( 12 Inch ) 7     Grass</v>
          </cell>
        </row>
        <row r="23">
          <cell r="A23">
            <v>894</v>
          </cell>
          <cell r="B23" t="str">
            <v>Dr. Roma Kumar</v>
          </cell>
          <cell r="C23" t="str">
            <v>98110 87708</v>
          </cell>
          <cell r="D23" t="str">
            <v>RT-181, Royalton Tower
Inside Princeton Estate
DLF City Phase-V
Gurgaon-122009
Haryana</v>
          </cell>
          <cell r="E23" t="str">
            <v>DLF Phase 5</v>
          </cell>
          <cell r="F23" t="str">
            <v>Thursday</v>
          </cell>
          <cell r="G23" t="str">
            <v>9 AM - 12 PM</v>
          </cell>
          <cell r="H23">
            <v>3000</v>
          </cell>
          <cell r="I23">
            <v>375</v>
          </cell>
          <cell r="J23" t="str">
            <v>Charm</v>
          </cell>
          <cell r="K23" t="str">
            <v>Sun to Thursday//NO Roses(Old) PREFER-- WHITE ROSE/RAJNIGANDHA/CHRYSANTHEMUM(18/11) Skip 1 Week(25/12) Day Changed to Monday till Lovkdown(23/08/20) Send replacement of Lilies(20/10) Day Changed to Sunday-send 1 del today and then every Sunday(30/11) Paytm from Pooja M Tripathi(26/04) Sent replacement today(30/07) Paytm of Gignger lily and eustoma added(06/11) Skip 1 week(06/11)  20 Rajnio sent in Subscription(06/02) Skip today(13/02) Rajni Next(19/02) Rajni next(02/03) Skip 1 week(02/06) Skip Sunday Delivery(13/08) Skip this thursday Delivery (28/02) Skip 1 week (28/02) No Blue Orchid (06/04) Hold today and next Sunday also (12/09) Hold today n one more del (19/09) Skip 1 week (22/02) Skip this thursday (12/03) Send replacement tom (04/05) Skip on sunday (01/06) Skip today (01/06) Skip 1 week (24/11) Hold n start from 29th Jan (18/01) Hold today (02/07)</v>
          </cell>
          <cell r="L23" t="str">
            <v>ORCHID</v>
          </cell>
          <cell r="N23" t="str">
            <v>5  del of this cycle   -  0-cycles pmnt   Completed - Collect 0</v>
          </cell>
          <cell r="O23" t="str">
            <v>Rajni ( 14 Inch )  15     Grass</v>
          </cell>
          <cell r="P23" t="str">
            <v>Mix Alstroemeria ( 12 Inch ) 15     FF Sachet + Grass</v>
          </cell>
          <cell r="Q23" t="str">
            <v>Pur n P Car ( 14 Inch ) 15     FF Sachet + Grass</v>
          </cell>
          <cell r="R23" t="str">
            <v>B Daisy ( 12 Inch ) 15     Grass</v>
          </cell>
          <cell r="S23" t="str">
            <v>P Oriental ( 15 Inch ) 2     Grass</v>
          </cell>
          <cell r="T23" t="str">
            <v>B Daisy ( 12 Inch ) 15     Grass</v>
          </cell>
        </row>
        <row r="24">
          <cell r="A24">
            <v>1140</v>
          </cell>
          <cell r="B24" t="str">
            <v>Nidhi Singh</v>
          </cell>
          <cell r="C24" t="str">
            <v>8383036664//9899389873</v>
          </cell>
          <cell r="D24" t="str">
            <v>D-8/3, Ground Floor DLF Exclusive Floors</v>
          </cell>
          <cell r="E24" t="str">
            <v>DLF Phase 5</v>
          </cell>
          <cell r="F24" t="str">
            <v>Thursday</v>
          </cell>
          <cell r="G24" t="str">
            <v>9 AM - 12 PM</v>
          </cell>
          <cell r="H24">
            <v>2300</v>
          </cell>
          <cell r="I24">
            <v>287.5</v>
          </cell>
          <cell r="J24" t="str">
            <v>Felicity</v>
          </cell>
          <cell r="K24" t="str">
            <v>Sunday n thursday //Monday n Thursday//Send Change of 200 Next(22/10) NO ROSE(22/11) Send Oriental next and send change of 2000 Next(27/11) NO ROSE // Heliconia Next(30/11) Send Change Next(13/04) 350 Received today via paytm(15/04) Flower Food Next(16/04) Send replacement of gerbera tom(20/04) Received 250 today(20/04) Send Replacement tom(20/04) Do Not Count 1 Del(22/04) Days-- Monday and Thursday(30/05) Gpay from Vivek Singh// Paytm from 9372779905-- Viveka(30/07) 1 Flower food next(01/04) Sent a replacement today(05/04) FF Next()8/04) Today del missed(02/06) REceived 1650 extra (28/12) Send replacement tom (29/08) Skip 1 week (17/10) 13th Flower Missed (17/11) Today Returned (18/12) Skip Tom (17/01) No Del from 21st to 27th July (10/07) Skip 1 week (03/12) Hold till 15th Dec (09/12) Skip this thursday (24/12) Skip on sunday (10/01) Hold till 31st Jan after 18th Del (17/01)</v>
          </cell>
          <cell r="L24" t="str">
            <v>ROSE</v>
          </cell>
          <cell r="N24" t="str">
            <v>2  del of this cycle   -  1-cycles pmnt   Pending - Collect 2300</v>
          </cell>
          <cell r="O24" t="str">
            <v>R n W Car( 14 Inch)  11     FF Sachet + Grass</v>
          </cell>
          <cell r="P24" t="str">
            <v>Mix Alstroemeria ( 12 Inch ) 11     FF Sachet + Grass</v>
          </cell>
          <cell r="Q24" t="str">
            <v>O Asiatic ( 14 Inch ) 2     Grass</v>
          </cell>
          <cell r="R24" t="str">
            <v>B Daisy ( 12 Inch ) 11     Grass</v>
          </cell>
          <cell r="S24" t="str">
            <v>Sunflower ( 12 Inch ) 3     FF Sachet + Grass</v>
          </cell>
          <cell r="T24" t="str">
            <v>O Asiatic ( 14 Inch ) 2     Grass</v>
          </cell>
        </row>
        <row r="25">
          <cell r="A25">
            <v>2416</v>
          </cell>
          <cell r="B25" t="str">
            <v>Dinesh Dhir</v>
          </cell>
          <cell r="C25">
            <v>9810709096</v>
          </cell>
          <cell r="D25" t="str">
            <v>D-11/9, 1st Floor, DLF Exclusive Floors</v>
          </cell>
          <cell r="E25" t="str">
            <v>DLF Phase 5</v>
          </cell>
          <cell r="F25" t="str">
            <v>Sunday</v>
          </cell>
          <cell r="G25" t="str">
            <v>9 AM - 12 PM</v>
          </cell>
          <cell r="H25">
            <v>1450</v>
          </cell>
          <cell r="I25">
            <v>362.5</v>
          </cell>
          <cell r="J25" t="str">
            <v>Bliss</v>
          </cell>
          <cell r="K25" t="str">
            <v>Hold today n send next week (15/06) Add changed (17/05)</v>
          </cell>
          <cell r="N25" t="str">
            <v>2  del of this cycle   -  0-cycles pmnt   Completed - Collect 0</v>
          </cell>
          <cell r="O25" t="str">
            <v>R n W Car( 14 Inch)  9     FF Sachet + Grass</v>
          </cell>
          <cell r="P25" t="str">
            <v>P n W Glad ( 14 Inch ) 9     Grass</v>
          </cell>
          <cell r="Q25" t="str">
            <v>Sunflower ( 12 Inch ) 2     FF Sachet + Grass</v>
          </cell>
          <cell r="R25" t="str">
            <v>B Daisy ( 12 Inch ) 9     Grass</v>
          </cell>
          <cell r="S25" t="str">
            <v>P Asiatic ( 14 Inch ) 3     Grass</v>
          </cell>
          <cell r="T25" t="str">
            <v>Pur n P Car ( 14 Inch ) 16     FF Sachet + Grass</v>
          </cell>
        </row>
        <row r="26">
          <cell r="A26">
            <v>3143</v>
          </cell>
          <cell r="B26" t="str">
            <v>Ruchira Sen</v>
          </cell>
          <cell r="C26">
            <v>8850376353</v>
          </cell>
          <cell r="D26" t="str">
            <v>A-016, Carlton Estate 1</v>
          </cell>
          <cell r="E26" t="str">
            <v>DLF Phase 5</v>
          </cell>
          <cell r="F26" t="str">
            <v>Sunday</v>
          </cell>
          <cell r="G26" t="str">
            <v>9 AM to 2 PM</v>
          </cell>
          <cell r="H26">
            <v>999</v>
          </cell>
          <cell r="I26">
            <v>249.75</v>
          </cell>
          <cell r="J26" t="str">
            <v>Delight</v>
          </cell>
          <cell r="K26" t="str">
            <v>Skip 2 week (14/12) Skip 1 week 903/01) Skip 1 week (21/02) Skip 1 week (14/03) Skip 1 week (30/03) Skip 1 week (06/04) No Spray Daisy (14/06) Skip 1 week (18/06)</v>
          </cell>
          <cell r="L26" t="str">
            <v>Spray Daisy</v>
          </cell>
          <cell r="N26" t="str">
            <v>4  del of this cycle   -  0-cycles pmnt   Completed - Collect 0</v>
          </cell>
          <cell r="O26" t="str">
            <v>P n W Glad ( 14 Inch ) 9     Grass</v>
          </cell>
          <cell r="P26" t="str">
            <v>Pur n P Car ( 14 Inch ) 9     FF Sachet + Grass</v>
          </cell>
          <cell r="Q26" t="str">
            <v>Y Spray Daisy ( 14 Inch ) 3     FF Sachet + Grass</v>
          </cell>
          <cell r="R26" t="e">
            <v>#N/A</v>
          </cell>
          <cell r="S26" t="str">
            <v>P n W Glad ( 14 Inch ) 9     Grass</v>
          </cell>
          <cell r="T26" t="str">
            <v>O Asiatic ( 14 Inch ) 2     Grass</v>
          </cell>
        </row>
        <row r="27">
          <cell r="A27">
            <v>2724</v>
          </cell>
          <cell r="B27" t="str">
            <v>Kavita Dahiya</v>
          </cell>
          <cell r="C27">
            <v>9873400017</v>
          </cell>
          <cell r="D27" t="str">
            <v>H. No. 1391, 2nd Floor,  Sec-57 Part -2</v>
          </cell>
          <cell r="E27" t="str">
            <v>Artemis</v>
          </cell>
          <cell r="F27" t="str">
            <v>Sunday</v>
          </cell>
          <cell r="G27" t="str">
            <v>9:30 AM to 2 PM</v>
          </cell>
          <cell r="H27">
            <v>1450</v>
          </cell>
          <cell r="I27">
            <v>362.5</v>
          </cell>
          <cell r="J27" t="str">
            <v>Bliss</v>
          </cell>
          <cell r="K27" t="str">
            <v>Send on Sunday this week (27/08) No gerbera (12/09) No Sunflowers (15/11) Skip 1 week (30/12) Hold n collect 500 tom (25/02)</v>
          </cell>
          <cell r="L27" t="str">
            <v>Gerbera n Sunflower</v>
          </cell>
          <cell r="N27" t="str">
            <v>3  del of this cycle   -  0-cycles pmnt   CompletedNO COLLECTION-we have extra money - Collect -9</v>
          </cell>
          <cell r="O27" t="e">
            <v>#N/A</v>
          </cell>
          <cell r="P27" t="e">
            <v>#N/A</v>
          </cell>
          <cell r="Q27" t="e">
            <v>#N/A</v>
          </cell>
          <cell r="R27" t="str">
            <v>Pur n P Car ( 14 Inch ) 16     FF Sachet + Grass</v>
          </cell>
          <cell r="S27" t="str">
            <v>Sunflower ( 12 Inch ) 4     FF Sachet + Grass</v>
          </cell>
          <cell r="T27" t="str">
            <v>Rajni ( 14 Inch ) 16     Grass</v>
          </cell>
        </row>
        <row r="28">
          <cell r="A28">
            <v>3364</v>
          </cell>
          <cell r="B28" t="str">
            <v xml:space="preserve">Shipra Malhotra </v>
          </cell>
          <cell r="C28">
            <v>9819952391</v>
          </cell>
          <cell r="D28" t="str">
            <v>F-12, First Floor, Galacy Apartments</v>
          </cell>
          <cell r="E28" t="str">
            <v>DLF Phase 5</v>
          </cell>
          <cell r="F28" t="str">
            <v>Sunday</v>
          </cell>
          <cell r="G28" t="str">
            <v>3:30 PM to 7:30 PM</v>
          </cell>
          <cell r="H28">
            <v>2750</v>
          </cell>
          <cell r="I28">
            <v>687.5</v>
          </cell>
          <cell r="J28" t="str">
            <v>Elation</v>
          </cell>
          <cell r="K28" t="str">
            <v>Same Flowers in her Both subscription // Skip 1 week and next week send after 5 PM (17/06)</v>
          </cell>
          <cell r="M28" t="str">
            <v>After 5 PM on 28th (17/06)</v>
          </cell>
          <cell r="N28" t="str">
            <v>3  del of this cycle   -  0-cycles pmnt   Completed - Collect 0</v>
          </cell>
          <cell r="O28" t="e">
            <v>#N/A</v>
          </cell>
          <cell r="P28" t="e">
            <v>#N/A</v>
          </cell>
          <cell r="Q28" t="str">
            <v>Pur n P Car ( 14 Inch ) 32     2 Gypsola + FF sachet</v>
          </cell>
          <cell r="R28" t="e">
            <v>#N/A</v>
          </cell>
          <cell r="S28" t="str">
            <v>Sunflower ( 12 Inch ) 8     2 Limonium + FF sachet</v>
          </cell>
          <cell r="T28" t="str">
            <v>P Asiatic ( 14 Inch ) 6     2 Gypsola</v>
          </cell>
        </row>
        <row r="29">
          <cell r="A29">
            <v>1438</v>
          </cell>
          <cell r="B29" t="str">
            <v>Aishwarya G Aiyar</v>
          </cell>
          <cell r="C29">
            <v>9884857311</v>
          </cell>
          <cell r="D29" t="str">
            <v>A-173, The Pinnacle</v>
          </cell>
          <cell r="E29" t="str">
            <v>DLF Phase 5</v>
          </cell>
          <cell r="F29" t="str">
            <v>Thursday</v>
          </cell>
          <cell r="G29" t="str">
            <v>9 AM - 12 PM</v>
          </cell>
          <cell r="H29">
            <v>1600</v>
          </cell>
          <cell r="I29">
            <v>200</v>
          </cell>
          <cell r="J29" t="str">
            <v>Bloom</v>
          </cell>
          <cell r="K29" t="str">
            <v>Sunday n Thursday//Changed to Thursday//Ref By Vidya Raja(29/06) 10 Rajni and 10 Glad Next(03/07) Bop and car Next(10/07) Asiatic n car Next(17/07) Oriental and Rajni next(24/07) 3 Anthurium and 15 Glad tom(31/07) Mix of 2 flowers next(07/08) Sent replacement of Oriental today(26/08) NO HELICONIA and BOP and send Spray daisy(02/10) Skip 1 week(11/10) Now JOY(30/03) Skip 1 week(06/04) Holdn n skip this week(21/04) Skip 1 week(30/05) Hold n start from July(11/06) Skip this sunday delivery(05/08) Skip 1 week(30/08) Skip this sunday delivery(16/09) Paytm From Vivek Raja// Skip 1 week (26/04) Now bloom (01/05) Hold till 11th June (31/05) Hold n start from Aug and inform before sending (11/07) Skip 1 week (26/09) Today Retirned (02/11) Today Hold (16/11) Hold today 928/12) Hold for Thursday (05/03) Returned (10/03) Skip this sunday (24/05) Skip 1 week (02/06) Returned ltoday (29/08) Today Returned (05/09) Hols today (31/10) Skip 1 week (18/01) Skip this week (07/03) Skip 19th and 23rd (19/10) Hold 25th Del ( 23/01) Skip sunday (18/02) Skip sunday (27/03) Dont ring bell -- keep at Door (17/05) Skip thursday (15/06)</v>
          </cell>
          <cell r="N29" t="str">
            <v>2  del of this cycle   -  1-cycles pmnt   Pending - Collect 1600</v>
          </cell>
          <cell r="O29" t="str">
            <v>Mix Car  7     FF Sachet + Grass</v>
          </cell>
          <cell r="P29" t="str">
            <v>P Spray Daisy ( 14 Inch ) 2     FF Sachet + Grass</v>
          </cell>
          <cell r="Q29" t="str">
            <v>Rajni ( 14 Inch ) 7     Grass</v>
          </cell>
          <cell r="R29" t="str">
            <v>B Daisy ( 12 Inch ) 7     Grass</v>
          </cell>
          <cell r="S29" t="str">
            <v>Sunflower ( 12 Inch ) 2     FF Sachet + Grass</v>
          </cell>
          <cell r="T29" t="str">
            <v>Mix Alstroemeria 7     Grass</v>
          </cell>
        </row>
        <row r="30">
          <cell r="A30">
            <v>2246</v>
          </cell>
          <cell r="B30" t="str">
            <v>Amita Gupta</v>
          </cell>
          <cell r="C30">
            <v>9811985450</v>
          </cell>
          <cell r="D30" t="str">
            <v>146, Cedar Crest</v>
          </cell>
          <cell r="E30" t="str">
            <v>Nirvana Country</v>
          </cell>
          <cell r="F30" t="str">
            <v>Thursday</v>
          </cell>
          <cell r="G30" t="str">
            <v>9 AM - 12 PM</v>
          </cell>
          <cell r="H30">
            <v>1600</v>
          </cell>
          <cell r="I30">
            <v>200</v>
          </cell>
          <cell r="J30" t="str">
            <v>Bloom</v>
          </cell>
          <cell r="K30" t="str">
            <v>Return today (03/10) Change to bliss (23/10) No Orchid (24/10) Send a vase tom (20/08) Upgrade to bliss (17/12)</v>
          </cell>
          <cell r="L30" t="str">
            <v>Orchid</v>
          </cell>
          <cell r="M30" t="str">
            <v>1 Vase Tom (20/08)</v>
          </cell>
          <cell r="N30" t="str">
            <v>2  del of this cycle   -  0-cycles pmnt   Completed - Collect 0</v>
          </cell>
          <cell r="O30" t="str">
            <v>P n W Glad ( 14 Inch ) 7     Grass</v>
          </cell>
          <cell r="P30" t="str">
            <v>Y Spray Daisy ( 14 Inch ) 2     FF Sachet + Grass</v>
          </cell>
          <cell r="Q30" t="str">
            <v>Rajni ( 14 Inch ) 7     Grass</v>
          </cell>
          <cell r="R30" t="str">
            <v>B Daisy ( 12 Inch ) 7     Grass</v>
          </cell>
          <cell r="S30" t="str">
            <v>Sunflower ( 12 Inch ) 2     FF Sachet + Grass</v>
          </cell>
          <cell r="T30" t="str">
            <v>Rajni ( 14 Inch ) 7     Grass</v>
          </cell>
        </row>
        <row r="31">
          <cell r="A31">
            <v>571</v>
          </cell>
          <cell r="B31" t="str">
            <v>Mrs. Singh</v>
          </cell>
          <cell r="C31">
            <v>9873099320</v>
          </cell>
          <cell r="D31" t="str">
            <v>D 42, pinnacle, Dlf ph 5, Golf course road</v>
          </cell>
          <cell r="E31" t="str">
            <v>DLF Phase 5</v>
          </cell>
          <cell r="F31" t="str">
            <v>Thursday</v>
          </cell>
          <cell r="G31" t="str">
            <v>9 AM - 12 PM</v>
          </cell>
          <cell r="H31">
            <v>1600</v>
          </cell>
          <cell r="I31">
            <v>200</v>
          </cell>
          <cell r="J31" t="str">
            <v>Bloom</v>
          </cell>
          <cell r="K31" t="str">
            <v>Thursday n Sunday//Send 3 stems extra in next del(09/10)Return-send Friday(01/01/19) NO CAR(05/06) 1 stick extra next week(11/06) Paytm from Sharad Kumar(13/08) Return-send next week(02/10) Send Tom instead of this week with gerbera(19/10) Return-send next week(31/12) SENDING ON 9TH DUE TO HOLI (08/03) Send on 4th (03/10) Return today (23/10) Do not count last delivery (22/04) Hold ans start after 10th (02/08)</v>
          </cell>
          <cell r="N31" t="str">
            <v>7  del of this cycle   -  0-cycles pmnt   Completed - Collect 0</v>
          </cell>
          <cell r="O31" t="str">
            <v>Mix Glad  7     FF Sachet + Grass</v>
          </cell>
          <cell r="P31" t="str">
            <v>Y Spray Daisy ( 14 Inch ) 2     FF Sachet + Grass</v>
          </cell>
          <cell r="Q31" t="str">
            <v>Rajni ( 14 Inch ) 7     Grass</v>
          </cell>
          <cell r="R31" t="str">
            <v>B Daisy ( 12 Inch ) 7     Grass</v>
          </cell>
          <cell r="S31" t="str">
            <v>P Spray Daisy ( 14 Inch ) 2     FF Sachet + Grass</v>
          </cell>
          <cell r="T31" t="str">
            <v>Rajni ( 14 Inch ) 7     Grass</v>
          </cell>
        </row>
        <row r="32">
          <cell r="A32">
            <v>870</v>
          </cell>
          <cell r="B32" t="str">
            <v>Himabindu Kanchan</v>
          </cell>
          <cell r="C32">
            <v>9892501292</v>
          </cell>
          <cell r="D32" t="str">
            <v xml:space="preserve">D -13, Pinnacle Dlf Phase - 5 </v>
          </cell>
          <cell r="E32" t="str">
            <v>DLF Phase 5</v>
          </cell>
          <cell r="F32" t="str">
            <v>Thursday</v>
          </cell>
          <cell r="G32" t="str">
            <v>9 AM - 12 PM</v>
          </cell>
          <cell r="H32">
            <v>1600</v>
          </cell>
          <cell r="I32">
            <v>200</v>
          </cell>
          <cell r="J32" t="str">
            <v>Bloom</v>
          </cell>
          <cell r="K32" t="str">
            <v>Sunday n Thursday//Fri to Thurs//FF Sold today(19/07) Skip n start from 23rd(08/08) P n Y Rose Next(15/11) 2 Stick Extra next(17/01) Hold-send tom(14/02) Orchids Next (18/08/20) Send 3 Sponge for 120 Rs.(19/08/20) Sending tom due to Diwali(11/11) Today returned-send next week(08/01) Skip 1 week(25/02) Skip 1 week(28/04) Glad Next(09/09) Skip 1 week(21/12) Skip 1 week(20/01) Hold Tom and skip 1 week(28/01) Skip 1 week(06/07) Receibved 695v extra today(23/07) Skip 2 weeks (21/12) Skip 1 week (08/02) No Renewal without payment (04/05) Hold today (28/12) Skip 1 week 902/01) Skip 1 week (07/02) Skip this sunday (16/02) Skip 1 week (06/04) Skip sunday del (09/05) Today hold (07/07) Hold HDTNP (12/03) tom (08/12) In form before sending (27/12) Skip next del (26/06) Hold today due to non payment (02/10) Skip week (22/12) HDTNP (01/03) HDTNP (04/03) HDTNP (08/03) HDTNP (14/03)</v>
          </cell>
          <cell r="N32" t="str">
            <v>5  del of this cycle   -  0-cycles pmnt   Completed - Collect 0</v>
          </cell>
          <cell r="O32" t="str">
            <v>Rajni ( 14 Inch )  7     Grass</v>
          </cell>
          <cell r="P32" t="str">
            <v>Mix Alstroemeria ( 12 Inch ) 7     FF Sachet + Grass</v>
          </cell>
          <cell r="Q32" t="str">
            <v>P Spray Daisy ( 14 Inch ) 2     FF Sachet + Grass</v>
          </cell>
          <cell r="R32" t="str">
            <v>B Daisy ( 12 Inch ) 7     Grass</v>
          </cell>
          <cell r="S32" t="str">
            <v>P n W Glad ( 14 Inch ) 7     Grass</v>
          </cell>
          <cell r="T32" t="str">
            <v>Mix Alstroemeria 7     Grass</v>
          </cell>
        </row>
        <row r="33">
          <cell r="A33">
            <v>3277</v>
          </cell>
          <cell r="B33" t="str">
            <v>M2K</v>
          </cell>
          <cell r="C33">
            <v>8595180468</v>
          </cell>
          <cell r="D33" t="str">
            <v>M2k</v>
          </cell>
          <cell r="E33" t="str">
            <v>Nirvana Country</v>
          </cell>
          <cell r="F33" t="str">
            <v>Tuesday</v>
          </cell>
          <cell r="G33" t="str">
            <v>By 8 AM</v>
          </cell>
          <cell r="H33">
            <v>10500</v>
          </cell>
          <cell r="I33">
            <v>350</v>
          </cell>
          <cell r="J33" t="str">
            <v>Corporate</v>
          </cell>
          <cell r="N33" t="str">
            <v>3  del of this cycle   -  0-cycles pmnt   In Process - Collect 0</v>
          </cell>
          <cell r="O33" t="str">
            <v xml:space="preserve">Pooja Flowers  1     </v>
          </cell>
          <cell r="P33" t="str">
            <v xml:space="preserve">Pooja Flower 1      </v>
          </cell>
          <cell r="Q33" t="str">
            <v xml:space="preserve">Pooja Flowers  1     </v>
          </cell>
          <cell r="R33" t="str">
            <v xml:space="preserve">Pooja Flowers  1     </v>
          </cell>
          <cell r="S33" t="str">
            <v xml:space="preserve">Pooja Flowers  1     </v>
          </cell>
          <cell r="T33" t="str">
            <v xml:space="preserve">Pooja Flowers       </v>
          </cell>
        </row>
        <row r="34">
          <cell r="A34">
            <v>3252</v>
          </cell>
          <cell r="B34" t="str">
            <v>Madhumita Dhupar</v>
          </cell>
          <cell r="C34">
            <v>9999887549</v>
          </cell>
          <cell r="D34" t="str">
            <v>333, Deerwood Chase</v>
          </cell>
          <cell r="E34" t="str">
            <v>Nirvana Country</v>
          </cell>
          <cell r="F34" t="str">
            <v>Sunday</v>
          </cell>
          <cell r="G34" t="str">
            <v>9 AM to 2 PM</v>
          </cell>
          <cell r="H34">
            <v>1450</v>
          </cell>
          <cell r="I34">
            <v>362.5</v>
          </cell>
          <cell r="J34" t="str">
            <v>Bliss</v>
          </cell>
          <cell r="K34" t="str">
            <v>White Flowers in Each Delivery (10/01)</v>
          </cell>
          <cell r="N34" t="str">
            <v>2  del of this cycle   -  0-cycles pmnt   Completed - Collect 0</v>
          </cell>
          <cell r="O34" t="str">
            <v>P n W Glad ( 14 Inch ) 7     Grass</v>
          </cell>
          <cell r="P34" t="str">
            <v>W Asiatic ( 14 Inch ) 3     Grass</v>
          </cell>
          <cell r="Q34" t="str">
            <v>Mix Alstroemeria ( 12 Inch ) 16     FF Sachet + Grass</v>
          </cell>
          <cell r="R34" t="str">
            <v>P Eustoma ( 12 Inch ) 3     FF Sachet + Grass</v>
          </cell>
          <cell r="S34" t="str">
            <v>Pur n P Car ( 14 Inch 16     FF Sachet + Grass</v>
          </cell>
          <cell r="T34" t="str">
            <v>Rajni ( 14 Inch ) 16     Grass</v>
          </cell>
        </row>
        <row r="35">
          <cell r="A35">
            <v>2869</v>
          </cell>
          <cell r="B35" t="str">
            <v>Jaya Wanchoo</v>
          </cell>
          <cell r="C35">
            <v>8130245666</v>
          </cell>
          <cell r="D35" t="str">
            <v xml:space="preserve">T-8/603, The Close North
</v>
          </cell>
          <cell r="E35" t="str">
            <v>Nirvana Country</v>
          </cell>
          <cell r="F35" t="str">
            <v>Sunday</v>
          </cell>
          <cell r="G35" t="str">
            <v>10 AM to 2:30 PM</v>
          </cell>
          <cell r="H35">
            <v>2750</v>
          </cell>
          <cell r="I35">
            <v>687.5</v>
          </cell>
          <cell r="J35" t="str">
            <v>Elation</v>
          </cell>
          <cell r="N35" t="str">
            <v>4  del of this cycle   -  0-cycles pmnt   Completed - Collect 0</v>
          </cell>
          <cell r="O35" t="str">
            <v>P n Y Spray Daisy ( 15 Inch ) 5 P n W Glad ( 12 Inch ) 16   2 Limonium + FF aschet</v>
          </cell>
          <cell r="P35" t="str">
            <v>Pur n P Eustoma ( 12 Inch ) 4 Mix Alstroemeria ( 12 Inch ) 16   2 Gypsola + FF sachet</v>
          </cell>
          <cell r="Q35" t="str">
            <v>O Asiatic ( 14 Inch ) 3 Pur n P Car ( 14 Inch ) 16   2 Limonium</v>
          </cell>
          <cell r="R35" t="str">
            <v>P n Y Spray Daisy ( 14 Inch ) 5 B Daisy ( 12 Inch ) 16   2 Gypsola + FF Sachet</v>
          </cell>
          <cell r="S35" t="str">
            <v>Sunflower ( 12 Inch ) 4 P n W Glad ( 14 Inch ) 16   2 Limonium + FF sachet</v>
          </cell>
          <cell r="T35" t="str">
            <v>BOP 3 Rajni ( 14 Inch ) 16   2 Gypsola</v>
          </cell>
        </row>
        <row r="36">
          <cell r="A36">
            <v>2378</v>
          </cell>
          <cell r="B36" t="str">
            <v>Dr. Juhi Saxena</v>
          </cell>
          <cell r="C36">
            <v>9958637975</v>
          </cell>
          <cell r="D36" t="str">
            <v>G-307, 2nd Floor, Sushant Lok -2, Sec 57</v>
          </cell>
          <cell r="E36" t="str">
            <v>Artemis</v>
          </cell>
          <cell r="F36" t="str">
            <v>Sunday</v>
          </cell>
          <cell r="G36" t="str">
            <v>9 AM - 12 PM</v>
          </cell>
          <cell r="H36">
            <v>1450</v>
          </cell>
          <cell r="I36">
            <v>362.5</v>
          </cell>
          <cell r="J36" t="str">
            <v>Bliss</v>
          </cell>
          <cell r="K36" t="str">
            <v>No Glad (17/01) Hold and start from May and inform before starting (09/04) Skip 1 week 901/05) hold n returned today (12/06) Skip tom and send on Saturday -- either Rajnigandha or Car (19/06) Add changed (23/06)</v>
          </cell>
          <cell r="L36" t="str">
            <v>GLAD</v>
          </cell>
          <cell r="N36" t="str">
            <v>2  del of this cycle   -  0-cycles pmnt   Completed - Collect 0</v>
          </cell>
          <cell r="O36" t="e">
            <v>#N/A</v>
          </cell>
          <cell r="P36" t="e">
            <v>#N/A</v>
          </cell>
          <cell r="Q36" t="e">
            <v>#N/A</v>
          </cell>
          <cell r="R36" t="e">
            <v>#N/A</v>
          </cell>
          <cell r="S36" t="str">
            <v>Pur n P Car ( 14 Inch 16     FF Sachet + Grass</v>
          </cell>
          <cell r="T36" t="str">
            <v>Sunflower ( 12 Inch ) 4     FF Sachet + Grass</v>
          </cell>
        </row>
        <row r="37">
          <cell r="A37">
            <v>2580</v>
          </cell>
          <cell r="B37" t="str">
            <v>Davinder Singh</v>
          </cell>
          <cell r="C37">
            <v>9999653332</v>
          </cell>
          <cell r="D37" t="str">
            <v>T-12/002, Close North</v>
          </cell>
          <cell r="E37" t="str">
            <v>Nirvana Country</v>
          </cell>
          <cell r="F37" t="str">
            <v>Sunday</v>
          </cell>
          <cell r="G37" t="str">
            <v>9 AM - 12 PM</v>
          </cell>
          <cell r="H37">
            <v>1450</v>
          </cell>
          <cell r="I37">
            <v>362.5</v>
          </cell>
          <cell r="J37" t="str">
            <v>Bliss</v>
          </cell>
          <cell r="K37" t="str">
            <v xml:space="preserve"> Hold due to non payment (12/10) Hold due to non payment (20/12) Hold due to non payment (18/01) Hold due to non payment (25/01) Hold due to non payment (01/02) Hold due to non payment (08/02) HDTNP (15/02) HDTNP (22/02) Skip 1 week (18/04)</v>
          </cell>
          <cell r="N37" t="str">
            <v>3  del of this cycle   -  0-cycles pmnt   Completed - Collect 0</v>
          </cell>
          <cell r="O37" t="str">
            <v>P Eustoma ( 12 Inch )  2 Mix Glad ( 12 Inch ) 7   FF Sachet + Grass</v>
          </cell>
          <cell r="P37" t="str">
            <v>Y Spray Daisy ( 14 Inch ) 3 Mix Alstroemeria ( 12 Inch ) 7   FF Sachet + Grass</v>
          </cell>
          <cell r="Q37" t="str">
            <v>Sunflower ( 12 Inch ) 2 Pur n P Car ( 14 Inch ) 7   FF Sachet + Grass</v>
          </cell>
          <cell r="R37" t="str">
            <v>P Asiatic ( 14 Inch ) 2 B Daisy ( 12 Inch ) 7   Grass</v>
          </cell>
          <cell r="S37" t="str">
            <v>Pur Eustoma ( 12 inch ) 2 P n W Glad ( 14 Inch ) 7   FF Sachet + Grass</v>
          </cell>
          <cell r="T37" t="str">
            <v>Sunflower ( 12 Inch ) 2 B Daisy ( 12 Inch ) 7   FF Sachet + Grass</v>
          </cell>
        </row>
        <row r="38">
          <cell r="A38">
            <v>3214</v>
          </cell>
          <cell r="B38" t="str">
            <v>Sheeba Rana</v>
          </cell>
          <cell r="C38">
            <v>9958849523</v>
          </cell>
          <cell r="D38" t="str">
            <v>T-14/1202, The Close North</v>
          </cell>
          <cell r="E38" t="str">
            <v>Nirvana Country</v>
          </cell>
          <cell r="F38" t="str">
            <v>Sunday</v>
          </cell>
          <cell r="G38" t="str">
            <v>10 AM to 2:30 PM</v>
          </cell>
          <cell r="H38">
            <v>1450</v>
          </cell>
          <cell r="I38">
            <v>362.5</v>
          </cell>
          <cell r="J38" t="str">
            <v>Bliss</v>
          </cell>
          <cell r="K38" t="str">
            <v>Skip n send on 11th n then on preferred day</v>
          </cell>
          <cell r="N38" t="str">
            <v>2  del of this cycle   -  0-cycles pmnt   Completed - Collect 0</v>
          </cell>
          <cell r="O38" t="str">
            <v>P n W Glad ( 14 Inch ) 9     Grass</v>
          </cell>
          <cell r="P38" t="str">
            <v>Pur n P Car ( 14 Inch ) 9     FF Sachet + Grass</v>
          </cell>
          <cell r="Q38" t="str">
            <v>Sunflower ( 12 Inch ) 2     FF Sachet + Grass</v>
          </cell>
          <cell r="R38" t="str">
            <v>B Daisy ( 12 Inch ) 9     Grass</v>
          </cell>
          <cell r="S38" t="str">
            <v>P Asiatic ( 14 Inch ) 3     Grass</v>
          </cell>
          <cell r="T38" t="str">
            <v>Rajni ( 14 Inch ) 16     Grass</v>
          </cell>
        </row>
        <row r="39">
          <cell r="A39">
            <v>3018</v>
          </cell>
          <cell r="B39" t="str">
            <v>Gurrit Kaur sethi</v>
          </cell>
          <cell r="C39">
            <v>9810918222</v>
          </cell>
          <cell r="D39" t="str">
            <v>T-2/201, Unitech Escape</v>
          </cell>
          <cell r="E39" t="str">
            <v>Nirvana Country</v>
          </cell>
          <cell r="F39" t="str">
            <v>Sunday</v>
          </cell>
          <cell r="G39" t="str">
            <v>9 AM - 12 PM</v>
          </cell>
          <cell r="H39">
            <v>1450</v>
          </cell>
          <cell r="I39">
            <v>362.5</v>
          </cell>
          <cell r="J39" t="str">
            <v>Bliss</v>
          </cell>
          <cell r="N39" t="str">
            <v>2  del of this cycle   -  0-cycles pmnt   Completed - Collect 0</v>
          </cell>
          <cell r="O39" t="str">
            <v>P n W Car ( 14 inch ) 9     FF Sachet + Grass</v>
          </cell>
          <cell r="P39" t="str">
            <v>P n W Glad ( 14 Inch ) 9     Grass</v>
          </cell>
          <cell r="Q39" t="str">
            <v>Sunflower ( 12 Inch ) 2     FF Sachet + Grass</v>
          </cell>
          <cell r="R39" t="str">
            <v>B Daisy ( 12 Inch ) 9     Grass</v>
          </cell>
          <cell r="S39" t="str">
            <v>Pur n P Car ( 14 Inch 16     FF Sachet + Grass</v>
          </cell>
          <cell r="T39" t="str">
            <v>O Asiatic ( 14 Inch ) 3     Grass</v>
          </cell>
        </row>
        <row r="40">
          <cell r="A40">
            <v>1517</v>
          </cell>
          <cell r="B40" t="str">
            <v>Megha Bhardwaj</v>
          </cell>
          <cell r="C40">
            <v>9818525564</v>
          </cell>
          <cell r="D40" t="str">
            <v>B-65, 1st floor, Sushant Lok-3,HDFC School, Sec 57</v>
          </cell>
          <cell r="E40" t="str">
            <v>Artemis</v>
          </cell>
          <cell r="F40" t="str">
            <v>Sunday</v>
          </cell>
          <cell r="G40" t="str">
            <v>9 AM - 12 PM</v>
          </cell>
          <cell r="H40">
            <v>1950</v>
          </cell>
          <cell r="I40">
            <v>487.5</v>
          </cell>
          <cell r="J40" t="str">
            <v>Joy</v>
          </cell>
          <cell r="K40" t="str">
            <v>Guldawari 1st(18/09) BOP Tom(02/10) Spray daisy next(16/10) Skip 1 week(06/11) Y or Orange Rose Tom(27/11) Orchids Next(28/01) Orchids not sent-send next(30/01) Skip 1 week(17/03) Skip 1 week (09/04) Send on Saturday this week instead of Sunday -- AND DONT SEND ON 28TH(25/08) Skip 1 week (21/01) Send 1 del tom (31/03) Skip 1 week (29/06) Send friday this week on Friday evening Dont send on 15th (11/10) Skip 1 week (27/12) Skip 1 week (09/02) Hols as of now (11/04) Sent replacxement today (13/12) Skip 1 week (18/01) Hold this week (08/03) Skip 1 week(12/04) Skip 1 week (25/06) Skip tom (04/10) Send on saturday instead of sunday this week (08/10) Skip 1 week (15/11) No Orchid (18/01) Skip 1 week )28/02) Skip tom (28/03) Skip 1 week (18/04) Skip 1 week (01/06)</v>
          </cell>
          <cell r="L40" t="str">
            <v>Orchid</v>
          </cell>
          <cell r="N40" t="str">
            <v>3  del of this cycle   -  0-cycles pmnt   Completed - Collect 0</v>
          </cell>
          <cell r="O40" t="str">
            <v>P n W Glad ( 14 Inch ) 22     Grass</v>
          </cell>
          <cell r="P40" t="e">
            <v>#N/A</v>
          </cell>
          <cell r="Q40" t="str">
            <v>Sunflower ( 12 Inch ) 5     FF Sachet + Grass</v>
          </cell>
          <cell r="R40" t="str">
            <v>Pur n P Car ( 14 Inch ) 22     FF Sachet + Grass</v>
          </cell>
          <cell r="S40" t="str">
            <v>Pur n P Eustoma ( 12 Inch ) 4     FF Sachet + Grass</v>
          </cell>
          <cell r="T40" t="str">
            <v>O Asiatic ( 14 Inch ) 4     Grass</v>
          </cell>
        </row>
        <row r="41">
          <cell r="A41">
            <v>2779</v>
          </cell>
          <cell r="B41" t="str">
            <v>Riddhi Desai</v>
          </cell>
          <cell r="C41">
            <v>8130497969</v>
          </cell>
          <cell r="D41" t="str">
            <v>D-71, The Icon</v>
          </cell>
          <cell r="E41" t="str">
            <v>Golf Course Road</v>
          </cell>
          <cell r="F41" t="str">
            <v>Sunday</v>
          </cell>
          <cell r="G41" t="str">
            <v>9 AM to 2 PM</v>
          </cell>
          <cell r="H41">
            <v>1600</v>
          </cell>
          <cell r="I41">
            <v>200</v>
          </cell>
          <cell r="J41" t="str">
            <v>Bloom</v>
          </cell>
          <cell r="K41" t="str">
            <v>Send this week on Saturday (14/08) Skip 1 week (21/12) Hold till 2nd June (20/05)</v>
          </cell>
          <cell r="N41" t="str">
            <v>7  del of this cycle   -  0-cycles pmnt   Completed - Collect 0</v>
          </cell>
          <cell r="O41" t="e">
            <v>#N/A</v>
          </cell>
          <cell r="P41" t="str">
            <v>Mix Alstroemeria ( 12 Inch ) 7     FF Sachet + Grass</v>
          </cell>
          <cell r="Q41" t="str">
            <v>B Daisy ( 12 Inch ) 7     FF Sachet + Grass</v>
          </cell>
          <cell r="R41" t="str">
            <v>P n W Glad ( 14 Inch ) 7     Grass</v>
          </cell>
          <cell r="S41" t="str">
            <v>Pur n P Car ( 14 Inch 7     FF Sachet + Grass</v>
          </cell>
          <cell r="T41" t="str">
            <v>Mix Alstroemeria 7     Grass</v>
          </cell>
        </row>
        <row r="42">
          <cell r="A42">
            <v>2307</v>
          </cell>
          <cell r="B42" t="str">
            <v>Alpna Jain</v>
          </cell>
          <cell r="C42">
            <v>9599336609</v>
          </cell>
          <cell r="D42" t="str">
            <v>C-64, The Icon</v>
          </cell>
          <cell r="E42" t="str">
            <v>DLF Phase 5</v>
          </cell>
          <cell r="F42" t="str">
            <v>Thursday</v>
          </cell>
          <cell r="G42" t="str">
            <v>10 AM to 2:30 PM</v>
          </cell>
          <cell r="H42">
            <v>3000</v>
          </cell>
          <cell r="I42">
            <v>375</v>
          </cell>
          <cell r="J42" t="str">
            <v>Charm</v>
          </cell>
          <cell r="K42" t="str">
            <v>Thursday n Sunday // Hold today (08/02) Keep flowers outside of Door (17/05)</v>
          </cell>
          <cell r="M42" t="str">
            <v>Keep flowers outside of door always</v>
          </cell>
          <cell r="N42" t="str">
            <v>5  del of this cycle   -  1-cycles pmnt   Pending - Collect 3000</v>
          </cell>
          <cell r="O42" t="str">
            <v>P n Y Spray Daisy ( 15 Inch ) 4 Keep at door -- Don’t Call Keep at door -- Don’t Call Keep at door -- Don’t Call Keep at door -- Don’t Call FF Sachet + Grass</v>
          </cell>
          <cell r="P42" t="str">
            <v>P n W Glad ( 14 Inch ) 15 Keep Flowers Outside of Door-- Don’t ring bell or Don’t Don’t Call    Grass</v>
          </cell>
          <cell r="Q42" t="str">
            <v>B Daisy ( 12 Inch ) 15 Keep Flowers outside of door -- Don’t call n don’t ring bell    FF Sachet + Grass</v>
          </cell>
          <cell r="R42" t="str">
            <v>Rajni ( 14 Inch ) 15 Keep Flowers at Door -- Don’t Call or Knock    Grass</v>
          </cell>
          <cell r="S42" t="str">
            <v>Y Asiatic ( 14 Inch ) 3 Keep Flowers at door -- Don’t Call or ring the bell    Grass</v>
          </cell>
          <cell r="T42" t="str">
            <v>P n W Glad ( 14 Inch ) 15 Keep Flowesr at Door -- Don’t Ring Bell, Don’t Call    Grass</v>
          </cell>
        </row>
        <row r="43">
          <cell r="A43">
            <v>945</v>
          </cell>
          <cell r="B43" t="str">
            <v>Ms. Shuchi Chopra</v>
          </cell>
          <cell r="C43">
            <v>9910984447</v>
          </cell>
          <cell r="D43" t="str">
            <v>Flat No. 703, M3M Golf Estate, Latitude Building</v>
          </cell>
          <cell r="E43" t="str">
            <v>Badshahpur</v>
          </cell>
          <cell r="F43" t="str">
            <v>Sunday</v>
          </cell>
          <cell r="G43" t="str">
            <v>9 AM - 12 PM</v>
          </cell>
          <cell r="H43">
            <v>1950</v>
          </cell>
          <cell r="I43">
            <v>487.5</v>
          </cell>
          <cell r="J43" t="str">
            <v>Joy</v>
          </cell>
          <cell r="K43" t="str">
            <v>Sunday n Thursday//All Flower 1 by 1 (23/11) Next time 1 stick extra(24/11) Extend by 1 week(31/12) Hold today-send tom(19/01) Send on Monday till Lockdown and send some pooja frlowers (23/08/20) Sending on 16th Due to Diwali(13/11) Send onmonday instead of Sunday(26/03) Change Package to 1250(17/04) Send Mandir Flowers tom(14/12) Skip 1 week(08/09) Collect cash and no del from 1st to 15 th (29/10) Send Replacement (25/02) 5 Exotic and 5 Norma lflowers (28/04)</v>
          </cell>
          <cell r="N43" t="str">
            <v>4  del of this cycle   -  0-cycles pmnt   In Process - Collect 0</v>
          </cell>
          <cell r="O43" t="str">
            <v>P n W Spray Daisy ( 15 Inch ) 4 R n W Car ( 14 Inch ) 11   FF Sachet + garss</v>
          </cell>
          <cell r="P43" t="str">
            <v>BOP 2 Mix Alstroemeria ( 12 Inch ) 11   FF Sachet + Grass</v>
          </cell>
          <cell r="Q43" t="str">
            <v>O Asiatic ( 14 Inch ) 2 P n W Glad ( 14 Inch ) 11   Grass</v>
          </cell>
          <cell r="R43" t="str">
            <v>P Eustoma ( 12 Inch ) 2 Rajni ( 14 Inch ) 11   Grass</v>
          </cell>
          <cell r="S43" t="str">
            <v>Sunflower ( 12 Inch ) 2 Pur n P Car ( 14 Inch ) 11   FF Sachet + Grass</v>
          </cell>
          <cell r="T43" t="str">
            <v>BOP 2 B Daisy ( 12 Inch ) 11   FF Sachet + Grass</v>
          </cell>
        </row>
        <row r="44">
          <cell r="A44">
            <v>1898</v>
          </cell>
          <cell r="B44" t="str">
            <v>Shipra</v>
          </cell>
          <cell r="C44">
            <v>8447778677</v>
          </cell>
          <cell r="D44" t="str">
            <v xml:space="preserve">C-94 Trinity </v>
          </cell>
          <cell r="E44" t="str">
            <v>DLF Phase 5</v>
          </cell>
          <cell r="F44" t="str">
            <v>Saturday</v>
          </cell>
          <cell r="G44" t="str">
            <v>4 Pm to 7 PM</v>
          </cell>
          <cell r="H44">
            <v>1600</v>
          </cell>
          <cell r="I44">
            <v>200</v>
          </cell>
          <cell r="J44" t="str">
            <v>Bloom</v>
          </cell>
          <cell r="K44" t="str">
            <v>Thursday and Sunday// Rajni 1st(02/04) Changed to evening slot(07/04) Today Returned(17/04) Skip Sunday del(17/06) Skip this Thursday(28/06) Skip 1 week(13/08) Skip Tom Flowers(01/10) Paytm From Shipra Rastogi (20/02) Skip 1 wek (22/03) Skip Thursday delivery (04/04) Today Returned (09/04) Skip sunday delivery (29/09) Yesterday returned (22/12) Return today (28/01) Skip tom (23/03) Skip 1 week (10/04) Eustoma Next (26/05) Hold for 10 days (06/06) Sennd one del Tom (05/08) Hold today and skip next (15/08) Hold today n skip 1 week (21/11) Skip this sunday (21/12) Paytm from Shipra Rastogi (02/03) Hold today (23/03) 250 received via paytm (30/03) 1000 cash and 250 paytm (31/03) Hold from 10th to 21st June-25(11/06) Hold today due to nonpayment (02/10) Hold due to non payment (05/10) Yesterday returned (24/10) Skip 1 week (24/12) Hold due to non payment (07/01) Hold due to non payment (11/01) Hold due to non payment (14/01) Hold due to non payment (18/01) HDTNP (15/02) HDTNP(22/02) HDTNP (26/02) HDTNP (01/03) HDTNP (04/03) HDTNP (08/03) HDTNP (12/03) HDTNP (14/03) HDTNP (10/05) hdtnp (14/05) No Flowers from 17th to 24th (17/06)</v>
          </cell>
          <cell r="N44" t="str">
            <v>1  del of this cycle   -  1-cycles pmnt   Pending - Collect 1600</v>
          </cell>
          <cell r="O44" t="str">
            <v>Mix Car  7     FF Sachet + Grass</v>
          </cell>
          <cell r="P44" t="str">
            <v>P n W Glad ( 14 Inch ) 7     Grass</v>
          </cell>
          <cell r="Q44" t="str">
            <v>B Daisy ( 12 Inch ) 7     FF Sachet + Grass</v>
          </cell>
          <cell r="R44" t="e">
            <v>#N/A</v>
          </cell>
          <cell r="S44" t="str">
            <v>P n W Car ( 14 Inch ) 7     FF Sachet + Grass</v>
          </cell>
          <cell r="T44" t="str">
            <v>B Daisy ( 12 Inch ) 7     Grass</v>
          </cell>
        </row>
        <row r="45">
          <cell r="A45">
            <v>2444</v>
          </cell>
          <cell r="B45" t="str">
            <v>Navpreet Gill</v>
          </cell>
          <cell r="C45">
            <v>8076406029</v>
          </cell>
          <cell r="D45" t="str">
            <v>H. No. 1662, 2nd Floor. Near Oil Indian Petrol Pump, Wazirabad</v>
          </cell>
          <cell r="E45" t="str">
            <v>Sector 56</v>
          </cell>
          <cell r="F45" t="str">
            <v>Sunday</v>
          </cell>
          <cell r="G45" t="str">
            <v>9 AM to 2 PM</v>
          </cell>
          <cell r="H45">
            <v>1450</v>
          </cell>
          <cell r="I45">
            <v>362.5</v>
          </cell>
          <cell r="J45" t="str">
            <v>Bliss</v>
          </cell>
          <cell r="K45" t="str">
            <v>Insta // Return today (20/03) Hold today (27/03) Set replacement today (19/04) Hold n start after 2 week(15/05) Today returned (19/04) Send tom (20/04) HDTNP (03/05) Send on Tuesday this week (03/05)</v>
          </cell>
          <cell r="N45" t="str">
            <v>4  del of this cycle   -  0-cycles pmnt   Completed - Collect 0</v>
          </cell>
          <cell r="O45" t="str">
            <v>R n W Car( 14 Inch)  16     FF Sachet + Grass</v>
          </cell>
          <cell r="P45" t="str">
            <v>P n W Glad ( 14 Inch ) 16     Grass</v>
          </cell>
          <cell r="Q45" t="str">
            <v>P n W Spray Daisy ( 14 Inch ) 5     FF Sachet + Grass</v>
          </cell>
          <cell r="R45" t="str">
            <v>Pur Eustoma ( 12 Inch ) 3     FF Sachet + Grass</v>
          </cell>
          <cell r="S45" t="str">
            <v>Sunflower ( 12 Inch ) 4     FF Sachet + Grass</v>
          </cell>
          <cell r="T45" t="str">
            <v>O Asiatic ( 14 Inch ) 3     Grass</v>
          </cell>
        </row>
        <row r="46">
          <cell r="A46">
            <v>2637</v>
          </cell>
          <cell r="B46" t="str">
            <v>Shalini Kohli</v>
          </cell>
          <cell r="C46">
            <v>9999834141</v>
          </cell>
          <cell r="D46" t="str">
            <v>A-1402, Ireo Victory Valley</v>
          </cell>
          <cell r="E46" t="str">
            <v>Badshahpur</v>
          </cell>
          <cell r="F46" t="str">
            <v>Sunday</v>
          </cell>
          <cell r="G46" t="str">
            <v>9 AM - 12 PM</v>
          </cell>
          <cell r="H46">
            <v>1950</v>
          </cell>
          <cell r="I46">
            <v>487.5</v>
          </cell>
          <cell r="J46" t="str">
            <v>Joy</v>
          </cell>
          <cell r="K46" t="str">
            <v>Send on Monday instead of Sunday this week (28/05) Returned (10/08) Skip 1 week (28/08) Send replacement tom (19/10) Hold due to non payment (01/02) Send one del tom (03/02) Skip 2 week )7/03) Sent one del today (28/03) Returned (17/05) Returned today -- Death in Family (07/06) Today Returned (14/06)</v>
          </cell>
          <cell r="N46" t="str">
            <v>2  del of this cycle   -  0-cycles pmnt   Completed - Collect 0</v>
          </cell>
          <cell r="O46" t="str">
            <v>P n W Spray Daisy ( 15 Inch ) 4 Mix Carnation  ( 12 Inch ) 11   FF Sachet + garss</v>
          </cell>
          <cell r="P46" t="str">
            <v>Pur Eustoma ( 12 Inch ) 2 Mix Alstroemeria ( 12 Inch ) 11   FF Sachet + Grass</v>
          </cell>
          <cell r="Q46" t="str">
            <v>O Asiatic ( 14 Inch ) 2 P n W Glad ( 14 Inch ) 11   Grass</v>
          </cell>
          <cell r="R46" t="str">
            <v>P Asiatic ( 14 Inch ) 2 P n W Glad ( 14 Inch ) 11   Grass</v>
          </cell>
          <cell r="S46" t="str">
            <v>Sunflower ( 12 Inch ) 3 Rajni ( 14 Inch ) 11   FF Sachet + Grass</v>
          </cell>
          <cell r="T46" t="str">
            <v>BOP 2 Pur n P Car ( 14 Inch ) 11   FF Sachet + Grass</v>
          </cell>
        </row>
        <row r="47">
          <cell r="A47">
            <v>2434</v>
          </cell>
          <cell r="B47" t="str">
            <v>Manasi Sardana</v>
          </cell>
          <cell r="C47">
            <v>9825966349</v>
          </cell>
          <cell r="D47" t="str">
            <v>T-8/303, The South Close</v>
          </cell>
          <cell r="E47" t="str">
            <v>Nirvana Country</v>
          </cell>
          <cell r="F47" t="str">
            <v>Sunday</v>
          </cell>
          <cell r="G47" t="str">
            <v>9 AM to 2 PM</v>
          </cell>
          <cell r="H47">
            <v>1450</v>
          </cell>
          <cell r="I47">
            <v>362.5</v>
          </cell>
          <cell r="J47" t="str">
            <v>Bliss</v>
          </cell>
          <cell r="K47" t="str">
            <v>Rajni is preferred // Skip 1 week (17/05) paytm From Phadke Mansi Pradeep // Skip 1 week (01/01/26) Skip 1 week (24/01) Today returned (15/02)</v>
          </cell>
          <cell r="M47" t="str">
            <v>Rajni referred</v>
          </cell>
          <cell r="N47" t="str">
            <v>3  del of this cycle   -  0-cycles pmnt   Completed - Collect 0</v>
          </cell>
          <cell r="O47" t="str">
            <v>P Spray Daisy ( 15 Inch ) 3 Rajni( 12 Inch ) 7   FF Sachet + Grass</v>
          </cell>
          <cell r="P47" t="str">
            <v>Pur Eustoma ( 12 Inch ) 2 Mix Alstroemeria ( 12 Inch ) 7   FF Sachet + Grass</v>
          </cell>
          <cell r="Q47" t="str">
            <v>Sunflower ( 12 Inch ) 2 P n W Glad ( 14 Inch ) 7   FF Sachet + Grass</v>
          </cell>
          <cell r="R47" t="str">
            <v>Y Asiatic ( 14 Inch ) 2 Pur n P Car ( 14 Inch ) 7   Grass</v>
          </cell>
          <cell r="S47" t="str">
            <v>P Spray Daisy ( 14 Inch ) 3 Rajni ( 14 Inch ) 7   FF Sachet + Grass</v>
          </cell>
          <cell r="T47" t="str">
            <v>Sunflower ( 12 Inch ) 2 B Daisy ( 12 Inch ) 7   FF Sachet + Grass</v>
          </cell>
        </row>
        <row r="48">
          <cell r="A48">
            <v>2494</v>
          </cell>
          <cell r="B48" t="str">
            <v>Mili Sodhi -- Before 12 PM -- 1450 Pack</v>
          </cell>
          <cell r="C48">
            <v>9312059597</v>
          </cell>
          <cell r="D48" t="str">
            <v>E-801, Bestech Park View Spa Next, Sec 67</v>
          </cell>
          <cell r="E48" t="str">
            <v>Badshahpur</v>
          </cell>
          <cell r="F48" t="str">
            <v>Sunday</v>
          </cell>
          <cell r="G48" t="str">
            <v>9 AM to 2 PM</v>
          </cell>
          <cell r="H48">
            <v>1450</v>
          </cell>
          <cell r="I48">
            <v>362.5</v>
          </cell>
          <cell r="J48" t="str">
            <v>Bliss</v>
          </cell>
          <cell r="K48" t="str">
            <v>Skip 13th n send on 14th (07/04) Today hold as flower arrangement sent (04/0%) Flower Food Next 25/05) No Del between 8th to 15th June (31/05) Today hold (13/07) Sent one del today (18/07) Skip next week (10/08) Returned -send next week (31/08) Skip 1 week (20/09) Hold between 18th to 29th Oct (13/10) Skip 1 week (08/11) Hold till 21st Dec (02/12) Skip 1 wek (22/01) Skip tom (28/02) Skip 1 week (21/03) Skip 2 week after tom (13/06)</v>
          </cell>
          <cell r="M48" t="str">
            <v>Before 12 PM (16/11)</v>
          </cell>
          <cell r="N48" t="str">
            <v>1  del of this cycle   -  1-cycles pmnt   Pending - Collect 1450</v>
          </cell>
          <cell r="O48" t="str">
            <v>R n W Car( 14 Inch)  9     FF Sachet + Grass</v>
          </cell>
          <cell r="P48" t="str">
            <v>Mix Alstroemeria ( 12 Inch ) 9     FF Sachet + Grass</v>
          </cell>
          <cell r="Q48" t="str">
            <v>Sunflower ( 12 Inch ) 2     FF Sachet + Grass</v>
          </cell>
          <cell r="R48" t="e">
            <v>#N/A</v>
          </cell>
          <cell r="S48" t="e">
            <v>#N/A</v>
          </cell>
          <cell r="T48" t="str">
            <v>Pur n P Car ( 14 Inch ) 16     FF Sachet + Grass</v>
          </cell>
        </row>
        <row r="49">
          <cell r="A49">
            <v>3282</v>
          </cell>
          <cell r="B49" t="str">
            <v>Pluang Technologies India Pvt. Ltd.</v>
          </cell>
          <cell r="C49">
            <v>9650723437</v>
          </cell>
          <cell r="D49" t="str">
            <v>13th Floor, Magnum Global Park, Sec 58</v>
          </cell>
          <cell r="E49" t="str">
            <v>Ghata</v>
          </cell>
          <cell r="F49" t="str">
            <v>Sunday</v>
          </cell>
          <cell r="G49" t="str">
            <v>4 Pm to 7 PM</v>
          </cell>
          <cell r="H49">
            <v>1950</v>
          </cell>
          <cell r="I49">
            <v>487.5</v>
          </cell>
          <cell r="J49" t="str">
            <v>Joy</v>
          </cell>
          <cell r="K49" t="str">
            <v>Payment from Vibhuti --997176764 (10/03) Paytm From Sahiba Sachdeva (08/04)</v>
          </cell>
          <cell r="N49" t="str">
            <v>2  del of this cycle   -  0-cycles pmnt   Completed - Collect 0</v>
          </cell>
          <cell r="O49" t="str">
            <v>Pur n P Eustoma ( 12 Inch ) 2 B Daisy 11   FF Sachet + garss</v>
          </cell>
          <cell r="P49" t="str">
            <v>Sunflower ( 12 Inch ) 3 Mix Alstroemeria ( 12 Inch ) 11   FF Sachet + Grass</v>
          </cell>
          <cell r="Q49" t="str">
            <v>P Asiatic ( 14 Inch ) 2 Pur n P Car ( 14 Inch ) 11   Grass</v>
          </cell>
          <cell r="R49" t="str">
            <v>P n Y Spray Daisy ( 14 Inch ) 4 P n W Glad ( 14 Inch ) 11   FF Sachet + Grass</v>
          </cell>
          <cell r="S49" t="str">
            <v>Sunflower ( 12 Inch ) 3 Rajni ( 14 Inch ) 11   FF Sachet + Grass</v>
          </cell>
          <cell r="T49" t="str">
            <v>O Asiatic ( 14 Inch ) 2 P n W Glad ( 14 Inch ) 11   Grass</v>
          </cell>
        </row>
        <row r="50">
          <cell r="A50">
            <v>2450</v>
          </cell>
          <cell r="B50" t="str">
            <v>Anshuman Divyanshu -- 1450 Pack</v>
          </cell>
          <cell r="C50">
            <v>9934010124</v>
          </cell>
          <cell r="D50" t="str">
            <v>G-1401, Bestech Park View Spa Next</v>
          </cell>
          <cell r="E50" t="str">
            <v>Badshahpur</v>
          </cell>
          <cell r="F50" t="str">
            <v>Sunday</v>
          </cell>
          <cell r="G50" t="str">
            <v>9:30 Am to 2 PM</v>
          </cell>
          <cell r="H50">
            <v>1450</v>
          </cell>
          <cell r="I50">
            <v>362.5</v>
          </cell>
          <cell r="J50" t="str">
            <v>Bliss</v>
          </cell>
          <cell r="K50" t="str">
            <v>Insta // return today (24/08) Hold today (28/09) HDTNP (03/05) Skip 1 week (06/06)</v>
          </cell>
          <cell r="N50" t="str">
            <v>1  del of this cycle   -  1-cycles pmnt   Pending - Collect 1450</v>
          </cell>
          <cell r="O50" t="str">
            <v>R n W Car( 14 Inch)  9     FF Sachet + Grass</v>
          </cell>
          <cell r="P50" t="e">
            <v>#N/A</v>
          </cell>
          <cell r="Q50" t="str">
            <v>O Asiatic ( 14 Inch ) 2     Grass</v>
          </cell>
          <cell r="R50" t="str">
            <v>B Daisy ( 12 Inch ) 9     Grass</v>
          </cell>
          <cell r="S50" t="str">
            <v>Sunflower ( 12 Inch ) 2     FF Sachet + Grass</v>
          </cell>
          <cell r="T50" t="str">
            <v>Pur n P Car ( 14 Inch ) 16     FF Sachet + Grass</v>
          </cell>
        </row>
        <row r="51">
          <cell r="A51">
            <v>2856</v>
          </cell>
          <cell r="B51" t="str">
            <v>Bonita Bhatnagar</v>
          </cell>
          <cell r="C51">
            <v>9958222833</v>
          </cell>
          <cell r="D51" t="str">
            <v>C-134, Block C, Mayfield Garden</v>
          </cell>
          <cell r="E51" t="str">
            <v>Nirvana Country</v>
          </cell>
          <cell r="F51" t="str">
            <v>Sunday</v>
          </cell>
          <cell r="G51" t="str">
            <v>5 PM to 8 PM</v>
          </cell>
          <cell r="H51">
            <v>1450</v>
          </cell>
          <cell r="I51">
            <v>362.5</v>
          </cell>
          <cell r="J51" t="str">
            <v>Bliss</v>
          </cell>
          <cell r="K51" t="str">
            <v>Upgraded as per scheme to Bliss for 5 Deliveries (22/08)</v>
          </cell>
          <cell r="N51" t="str">
            <v>1  del of this cycle   -  1-cycles pmnt   Pending - Collect 1450</v>
          </cell>
          <cell r="O51" t="str">
            <v>W Asiatic ( 15 inch ) 3     Grass</v>
          </cell>
          <cell r="P51" t="str">
            <v>Mix Alstroemeria ( 12 Inch ) 16     FF Sachet + Grass</v>
          </cell>
          <cell r="Q51" t="str">
            <v>Pur n P Car ( 14 Inch ) 16     FF Sachet + Grass</v>
          </cell>
          <cell r="R51" t="str">
            <v>P Eustoma ( 12 Inch ) 3     FF Sachet + Grass</v>
          </cell>
          <cell r="S51" t="str">
            <v>P n W Glad ( 14 Inch ) 16     Grass</v>
          </cell>
          <cell r="T51" t="str">
            <v>Sunflower ( 12 Inch ) 4     FF Sachet + Grass</v>
          </cell>
        </row>
        <row r="52">
          <cell r="A52">
            <v>257</v>
          </cell>
          <cell r="B52" t="str">
            <v>Mrs Munjal -- After 5 PM</v>
          </cell>
          <cell r="C52">
            <v>9818871139</v>
          </cell>
          <cell r="D52" t="str">
            <v>B- 22 Sushant Lok 2, sector 56 (Behind sector 56 police station)</v>
          </cell>
          <cell r="E52" t="str">
            <v>Sector 56</v>
          </cell>
          <cell r="F52" t="str">
            <v>Sunday</v>
          </cell>
          <cell r="G52" t="str">
            <v>9 AM - 12 PM</v>
          </cell>
          <cell r="H52">
            <v>1450</v>
          </cell>
          <cell r="I52">
            <v>362.5</v>
          </cell>
          <cell r="J52" t="str">
            <v>Bliss</v>
          </cell>
          <cell r="K52" t="str">
            <v>send replcmnt tomorrow(18/08)Send Glad in next del(30/08)Skip next del(20/09)1 week extended due to Diwali(08/11)Next daisy(22/11) Skip 1 week(27/03) Skip 1 week(12/11) 2 Stick extra next week(20/02)  Sending thursday del on friday(28/05/2020) Skip 1 week (01/07/2020) Skip 1 week(22/07/20) Skip 1 Week(05/08/20) send 2 stick extra in next del(18/09/20) Skip 1 week(10/03) Skip 1 week(28/04) Skip 1 week(10/11) Paytm From 9958736444(03/07) Paytm From Sandeep Munjal // Skip 1 week (30/10) Hold today send on sunday (06/04) Change day to sunday (13/04) Skip 1 week (25/12) Skip 2 week (28/01) Skip 2 weeks (28/01) Skip 1 week (26/01) Skip 1 week (19/07) Skip 1 week (13/09) Skip tom (15/11)</v>
          </cell>
          <cell r="N52" t="str">
            <v>2  del of this cycle   -  0-cycles pmnt   Completed - Collect 0</v>
          </cell>
          <cell r="O52" t="str">
            <v>P n W Glad ( 14 Inch ) 16     Grass</v>
          </cell>
          <cell r="P52" t="str">
            <v>P n Y Spray Daisy ( 14 Inch ) 5     FF Sachet + Grass</v>
          </cell>
          <cell r="Q52" t="str">
            <v>Pur n P Car ( 14 Inch ) 16     FF Sachet + Grass</v>
          </cell>
          <cell r="R52" t="str">
            <v>P Eustoma ( 12 Inch ) 3     FF Sachet + Grass</v>
          </cell>
          <cell r="S52" t="str">
            <v>Y Asiatic ( 14 Inch ) 3     Grass</v>
          </cell>
          <cell r="T52" t="str">
            <v>Rajni ( 14 Inch ) 16     Grass</v>
          </cell>
        </row>
        <row r="53">
          <cell r="A53">
            <v>2748</v>
          </cell>
          <cell r="B53" t="str">
            <v>Rishabh Suri</v>
          </cell>
          <cell r="C53">
            <v>9871320514</v>
          </cell>
          <cell r="D53" t="str">
            <v>H. No. 962, Block C, Sushant Lok, Near Ambience Public School</v>
          </cell>
          <cell r="E53" t="str">
            <v>DLF Phase 5</v>
          </cell>
          <cell r="F53" t="str">
            <v>Sunday</v>
          </cell>
          <cell r="G53" t="str">
            <v>9 AM - 12 PM</v>
          </cell>
          <cell r="H53">
            <v>1450</v>
          </cell>
          <cell r="I53">
            <v>362.5</v>
          </cell>
          <cell r="J53" t="str">
            <v>Bliss</v>
          </cell>
          <cell r="K53" t="str">
            <v>Hold n start from Sep (06/08) Paytm from Rajeev Suri (22/11) Paytm from Anu Suri (21/12)</v>
          </cell>
          <cell r="N53" t="str">
            <v>1  del of this cycle   -  0-cycles pmnt   Completed - Collect 0</v>
          </cell>
          <cell r="O53" t="e">
            <v>#N/A</v>
          </cell>
          <cell r="P53" t="str">
            <v>Pur n P Car ( 14 Inch ) 16     FF Sachet + Grass</v>
          </cell>
          <cell r="Q53" t="str">
            <v>O Asiatic ( 14 Inch ) 3     Grass</v>
          </cell>
          <cell r="R53" t="str">
            <v>P n W Glad ( 14 Inch ) 16     Grass</v>
          </cell>
          <cell r="S53" t="str">
            <v>Sunflower ( 12 Inch ) 4     FF Sachet + Grass</v>
          </cell>
          <cell r="T53" t="str">
            <v>Rajni ( 14 Inch ) 16     Grass</v>
          </cell>
        </row>
        <row r="54">
          <cell r="A54">
            <v>3351</v>
          </cell>
          <cell r="B54" t="str">
            <v>Shubhpret kaur</v>
          </cell>
          <cell r="C54">
            <v>8800898704</v>
          </cell>
          <cell r="D54" t="str">
            <v>H. No. 667, 3rd Floor, Sec 43</v>
          </cell>
          <cell r="E54" t="str">
            <v>DLF Phase 5</v>
          </cell>
          <cell r="F54" t="str">
            <v>Sunday</v>
          </cell>
          <cell r="G54" t="str">
            <v>9 AM - 12 PM</v>
          </cell>
          <cell r="H54">
            <v>1950</v>
          </cell>
          <cell r="I54">
            <v>487.5</v>
          </cell>
          <cell r="J54" t="str">
            <v>Joy</v>
          </cell>
          <cell r="K54" t="str">
            <v>Paytm From Amara Preet Singh // Change day to Sunday (13/06)</v>
          </cell>
          <cell r="N54" t="str">
            <v>2  del of this cycle   -  1-cycles pmnt   Pending - Collect 1950</v>
          </cell>
          <cell r="O54" t="e">
            <v>#N/A</v>
          </cell>
          <cell r="P54" t="e">
            <v>#N/A</v>
          </cell>
          <cell r="Q54" t="str">
            <v>P Asiatic ( 14 Inch ) 2 Pur n P Car ( 14 Inch ) 11   Grass</v>
          </cell>
          <cell r="R54" t="str">
            <v>Pur Eustoma ( 12 Inch ) 2 B Daisy ( 12 Inch ) 11   FF Sachet + Grass</v>
          </cell>
          <cell r="S54" t="str">
            <v>Sunflower ( 12 Inch ) 3 P n W Glad ( 14 Inch ) 11   FF Sachet + Grass</v>
          </cell>
          <cell r="T54" t="str">
            <v>BOP  2 Rajni ( 14 Inch ) 11   FF Sachet + Grass</v>
          </cell>
        </row>
        <row r="55">
          <cell r="A55">
            <v>2878</v>
          </cell>
          <cell r="B55" t="str">
            <v>Aditi Bhatt</v>
          </cell>
          <cell r="C55">
            <v>7506091115</v>
          </cell>
          <cell r="D55" t="str">
            <v>D-225, 2nd Floor, Sushant Lok-2, Sec 56</v>
          </cell>
          <cell r="E55" t="str">
            <v>Sector 56</v>
          </cell>
          <cell r="F55" t="str">
            <v>Sunday</v>
          </cell>
          <cell r="G55" t="str">
            <v>9 AM - 12 PM</v>
          </cell>
          <cell r="H55">
            <v>1450</v>
          </cell>
          <cell r="I55">
            <v>362.5</v>
          </cell>
          <cell r="J55" t="str">
            <v>Bliss</v>
          </cell>
          <cell r="K55" t="str">
            <v>Skip 1 week (13/08) Send 1 del tom (24/08_) Day change to Sunday (26/08) Shift n send on Thursday (05/09) Skip 1 week (23/10) Skip 1 week (07/11) Remaining Deliveries on Thursday (12/11) Skip 1 week (20/01) Start from 15th Mar 911/03) No Local white gypsy (14/03) Start from 19th Apr (07/04) Paytm from Sparch Jain (21/04) Paytm from Sparsh Jain (16/05) Skip 1 week (10/06)</v>
          </cell>
          <cell r="M55" t="str">
            <v>No White Local Gypsy</v>
          </cell>
          <cell r="N55" t="str">
            <v>3  del of this cycle   -  0-cycles pmnt   CompletedNO COLLECTION-we have extra money - Collect -1</v>
          </cell>
          <cell r="O55" t="str">
            <v>O Asiatic ( 15 Inch ) 2     Grass</v>
          </cell>
          <cell r="P55" t="str">
            <v>Pur n P Car ( 14 Inch ) 9     FF Sachet + Grass</v>
          </cell>
          <cell r="Q55" t="e">
            <v>#N/A</v>
          </cell>
          <cell r="R55" t="str">
            <v>B Daisy ( 12 Inch ) 9     Grass</v>
          </cell>
          <cell r="S55" t="str">
            <v>Sunflower ( 12 Inch ) 4     FF Sachet + Grass</v>
          </cell>
          <cell r="T55" t="str">
            <v>Rajni ( 14 Inch ) 16     Grass</v>
          </cell>
        </row>
        <row r="56">
          <cell r="A56">
            <v>3359</v>
          </cell>
          <cell r="B56" t="str">
            <v>Payal Soni</v>
          </cell>
          <cell r="C56">
            <v>7508901884</v>
          </cell>
          <cell r="D56" t="str">
            <v>T-9/1403, Pyramid Sec 67 A, Badshahpur Road, Near Iskcon</v>
          </cell>
          <cell r="E56" t="str">
            <v>Badshahpur</v>
          </cell>
          <cell r="F56" t="str">
            <v>Sunday</v>
          </cell>
          <cell r="G56" t="str">
            <v>9 AM - 12 PM</v>
          </cell>
          <cell r="H56">
            <v>1450</v>
          </cell>
          <cell r="I56">
            <v>362.5</v>
          </cell>
          <cell r="J56" t="str">
            <v>Bliss</v>
          </cell>
          <cell r="K56" t="str">
            <v>No Glad and day changed to Sunday 904/06)</v>
          </cell>
          <cell r="L56" t="str">
            <v>Glad</v>
          </cell>
          <cell r="N56" t="str">
            <v>1  del of this cycle   -  0-cycles pmnt   Completed - Collect 0</v>
          </cell>
          <cell r="O56" t="e">
            <v>#N/A</v>
          </cell>
          <cell r="P56" t="str">
            <v>Mix Alstroemeria ( 12 Inch ) 16     FF Sachet + Grass</v>
          </cell>
          <cell r="Q56" t="str">
            <v>P Asiatic ( 14 Inch ) 3     Grass</v>
          </cell>
          <cell r="R56" t="str">
            <v>Pur n P Car ( 14 Inch ) 16     FF Sachet + Grass</v>
          </cell>
          <cell r="S56" t="str">
            <v>Sunflower ( 12 Inch ) 4     FF Sachet + Grass</v>
          </cell>
          <cell r="T56" t="str">
            <v>Rajni ( 14 Inch ) 16     Grass</v>
          </cell>
        </row>
        <row r="57">
          <cell r="A57">
            <v>2462</v>
          </cell>
          <cell r="B57" t="str">
            <v>Rubeey Matharu -- 1450 Pack</v>
          </cell>
          <cell r="C57">
            <v>9811601176</v>
          </cell>
          <cell r="D57" t="str">
            <v>Sirera 1, T-6/306, M3M Marina</v>
          </cell>
          <cell r="E57" t="str">
            <v>Badshahpur</v>
          </cell>
          <cell r="F57" t="str">
            <v>Sunday</v>
          </cell>
          <cell r="G57" t="str">
            <v>9 AM - 12 PM</v>
          </cell>
          <cell r="H57">
            <v>1450</v>
          </cell>
          <cell r="I57">
            <v>362.5</v>
          </cell>
          <cell r="J57" t="str">
            <v>Bliss</v>
          </cell>
          <cell r="K57" t="str">
            <v>Skip 1 week and inform before starting (08/04) Hold n start from Aug (15/05) Paytm From Amanpreet Kaur Matharu // Paytm from Gurjeet Matharu</v>
          </cell>
          <cell r="M57" t="str">
            <v>Rajni Tom (01/11)</v>
          </cell>
          <cell r="N57" t="str">
            <v>1  del of this cycle   -  1-cycles pmnt   Pending - Collect 1000</v>
          </cell>
          <cell r="O57" t="str">
            <v>O Asiatic ( 15 Inch ) 2     Grass</v>
          </cell>
          <cell r="P57" t="str">
            <v>Mix Alstroemeria ( 12 Inch ) 9     FF Sachet + Grass</v>
          </cell>
          <cell r="Q57" t="str">
            <v>Pur n P Car ( 14 Inch ) 9     FF Sachet + Grass</v>
          </cell>
          <cell r="R57" t="str">
            <v>B Daisy ( 12 Inch ) 9     Grass</v>
          </cell>
          <cell r="S57" t="str">
            <v>P n W Glad ( 14 Inch ) 9     Grass</v>
          </cell>
          <cell r="T57" t="str">
            <v>Sunflower ( 12 Inch ) 4     FF Sachet + Grass</v>
          </cell>
        </row>
        <row r="58">
          <cell r="A58">
            <v>2200</v>
          </cell>
          <cell r="B58" t="str">
            <v>Naina Gandhi</v>
          </cell>
          <cell r="C58">
            <v>9811188863</v>
          </cell>
          <cell r="D58" t="str">
            <v>K2/105, Central Park -1</v>
          </cell>
          <cell r="E58" t="str">
            <v>Golf Course Road</v>
          </cell>
          <cell r="F58" t="str">
            <v>Thursday</v>
          </cell>
          <cell r="G58" t="str">
            <v>9 AM - 12 PM</v>
          </cell>
          <cell r="H58">
            <v>2300</v>
          </cell>
          <cell r="I58">
            <v>287.5</v>
          </cell>
          <cell r="J58" t="str">
            <v>Felicity</v>
          </cell>
          <cell r="K58" t="str">
            <v>Thursday n Sunday//Send Replacement tom (17/01) No Spray Daisy (19/02) Skip 4th Del (07/05) Do not count last del (29/08) No Flowers Tom (28/09) Skip this Thursday (01/10) Hold till 10th Nov (25/10) Hold this Sunday (13/12) Skip 1 week (01/02) Skip 1 week (16/02) Hold and start from May(28/03) Hold n start from 1st June (22/05) Skip 2 week (22/06) Skip tom (26/07) Skip 1 week (04/10) Hold tom (25/10) Skip 2 week (31/10) Skip 1 week 1 week (22/11) Skip this thursday (10/12) Skip 2 week (20/12) Skip sunday (07/01) Hold from 23rd May to 14th JUne (19/05) Skip 1 week and send on Monday (23/06)</v>
          </cell>
          <cell r="L58" t="str">
            <v>SPRAY DAISY</v>
          </cell>
          <cell r="M58" t="str">
            <v>Check for Bi weekly package</v>
          </cell>
          <cell r="N58" t="str">
            <v>2  del of this cycle   -  0-cycles pmnt   Completed - Collect 0</v>
          </cell>
          <cell r="O58" t="e">
            <v>#N/A</v>
          </cell>
          <cell r="P58" t="e">
            <v>#N/A</v>
          </cell>
          <cell r="Q58" t="e">
            <v>#N/A</v>
          </cell>
          <cell r="R58" t="str">
            <v>O Asiatic ( 14 Inch )' 2     Grass</v>
          </cell>
          <cell r="S58" t="e">
            <v>#N/A</v>
          </cell>
          <cell r="T58" t="str">
            <v>Rajni ( 14 Inch ) 11     Grass</v>
          </cell>
        </row>
        <row r="59">
          <cell r="A59">
            <v>1467</v>
          </cell>
          <cell r="B59" t="str">
            <v>Priyanka Chaturvedi</v>
          </cell>
          <cell r="C59">
            <v>7838930274</v>
          </cell>
          <cell r="D59" t="str">
            <v xml:space="preserve">Flat No. A-303, The Peaceful Homes, Sec 70-A
</v>
          </cell>
          <cell r="E59" t="str">
            <v>Badshahpur</v>
          </cell>
          <cell r="F59" t="str">
            <v>Friday</v>
          </cell>
          <cell r="G59" t="str">
            <v>9 AM - 12 PM</v>
          </cell>
          <cell r="H59">
            <v>1600</v>
          </cell>
          <cell r="I59">
            <v>200</v>
          </cell>
          <cell r="J59" t="str">
            <v>Bloom</v>
          </cell>
          <cell r="K59" t="str">
            <v>Friday and Sunday//Saturday evening slot and Sunday morning Slot(06/08) Send 100 Gm Mogra also(03/09) Received cash of 100 today(04/09) Skip coming week(20/09) Skip 1 week(15/10) Skip tom n send on comong fridayu this week(29/01) W Car next(26/02)  Holy Change(16/03) Return today(15/04) Hold n start from July (01/05) Skip 13th Delivery (10/01) NO ROSE (29/01) Sent replacement today (05/02) Send bothe deliveries together on sunday (12/05) Skip 1 week (25/05) Send both deliveries on Sunday only (01/06) Double Delivery only on Sunday (10/06) Paytm From Gaurav Chaturvedi (26/03) Hold til next saturday (20/06) Skip this sunday (11/10) No Spray Daisy (22/11) Today REturned (12/01) Skip 2nd week (03/04) No Del between 7th to 14th (05/04) Skip this sunday (18/06) Skip tom (04/10) Skip 1 week (10/12) Today Returned (04/01)</v>
          </cell>
          <cell r="L59" t="str">
            <v>ROSE n SPRAY DAISY</v>
          </cell>
          <cell r="N59" t="str">
            <v>5  del of this cycle   -  0-cycles pmnt   Completed - Collect 0</v>
          </cell>
          <cell r="O59" t="str">
            <v>R n W Car( 14 Inch)  7     FF Sachet + Grass</v>
          </cell>
          <cell r="P59" t="str">
            <v>Sunflower ( 12 Inch ) 2     FF Sachet + Grass</v>
          </cell>
          <cell r="Q59" t="str">
            <v>Mix Alstroemeria ( 12 Inch ) 7     FF Sachet + Grass</v>
          </cell>
          <cell r="R59" t="str">
            <v>B Daisy ( 12 Inch ) 7     Grass</v>
          </cell>
          <cell r="S59" t="str">
            <v>Sunflower ( 12 Inch ) 2     FF Sachet + Grass</v>
          </cell>
          <cell r="T59" t="str">
            <v>B Daisy ( 12 Inch ) 7     Grass</v>
          </cell>
        </row>
        <row r="60">
          <cell r="A60">
            <v>1455</v>
          </cell>
          <cell r="B60" t="str">
            <v>Gagan Ahluwalia</v>
          </cell>
          <cell r="C60">
            <v>9811105056</v>
          </cell>
          <cell r="D60" t="str">
            <v>C-82, The Summit</v>
          </cell>
          <cell r="E60" t="str">
            <v>Golf Course Road</v>
          </cell>
          <cell r="F60" t="str">
            <v>Thursday</v>
          </cell>
          <cell r="G60" t="str">
            <v>9 AM - 12 PM</v>
          </cell>
          <cell r="H60">
            <v>2300</v>
          </cell>
          <cell r="I60">
            <v>287.5</v>
          </cell>
          <cell r="J60" t="str">
            <v>Felicity</v>
          </cell>
          <cell r="K60" t="str">
            <v>Thursday n Sunday //Gift From Ragini Ahluwalia// Flowers-- Guldawari/Orchids/Car and Asiatic(27/07) Hold n start from 2nd week of July(02/06) NO ORCHIDS (23/12) Hold till june end (07/06) Today returned (20/06) Replacement today (07/07) Hold today and start after 12th Oct (03/10) No Flowers tull 17th Nov (11/11) Hold from 15th may to 17th June (14/05) Skip 1 wek (24/06) Hold today due to non payment (02/10) Hold due to non payment (05/10) Hold due to non payment (09/10) Start from today (12/10) Skip 1 week (29/11) Hold due to non payment (11/01) Hold due to non payment (01/.02) HDTNP (15/02) HDTNP (22/02) HDTNP (26/02) HDTNP (04/03) HDTNP (08/03) HDTNP (12/03) HDTNP (14/03) No after 1st June (14/05) Hold n start after 1st June (14/05) Hold till 1st June (15/05)</v>
          </cell>
          <cell r="N60" t="str">
            <v>8  del of this cycle   -  0-cycles pmnt   Completed - Collect 0</v>
          </cell>
          <cell r="O60" t="e">
            <v>#N/A</v>
          </cell>
          <cell r="P60" t="str">
            <v>Sunflower ( 12 Inch ) 3     FF Sachet + Grass</v>
          </cell>
          <cell r="Q60" t="str">
            <v>O Asiatic ( 14 Inch ) 2     Grass</v>
          </cell>
          <cell r="R60" t="str">
            <v>B Daisy ( 12 Inch ) 11     Grass</v>
          </cell>
          <cell r="S60" t="str">
            <v>P n W Glad ( 14 Inch ) 11     Grass</v>
          </cell>
          <cell r="T60" t="str">
            <v>Rajni ( 14 Inch ) 11     Grass</v>
          </cell>
        </row>
        <row r="61">
          <cell r="A61">
            <v>3179</v>
          </cell>
          <cell r="B61" t="str">
            <v>Bandhana</v>
          </cell>
          <cell r="C61">
            <v>98188998617</v>
          </cell>
          <cell r="D61" t="str">
            <v>T-5/902, Tata Primanti</v>
          </cell>
          <cell r="E61" t="str">
            <v>Badshahpur</v>
          </cell>
          <cell r="F61" t="str">
            <v>Sunday</v>
          </cell>
          <cell r="G61" t="str">
            <v>9 AM - 12 PM</v>
          </cell>
          <cell r="H61">
            <v>1950</v>
          </cell>
          <cell r="I61">
            <v>487.5</v>
          </cell>
          <cell r="J61" t="str">
            <v>Joy</v>
          </cell>
          <cell r="K61" t="str">
            <v>Single Kind // Replacement tom (08/03) No Spray Daisy and BOP (31/03)</v>
          </cell>
          <cell r="L61" t="str">
            <v>Spray Daisy n BOP</v>
          </cell>
          <cell r="M61" t="str">
            <v>Single Kind</v>
          </cell>
          <cell r="N61" t="str">
            <v>1  del of this cycle   -  1-cycles pmnt   Pending - Collect 1950</v>
          </cell>
          <cell r="O61" t="str">
            <v>Pur n P Eustoma ( 12 Inch ) 4     FF Sachet + garss</v>
          </cell>
          <cell r="P61" t="str">
            <v>W Asiatic ( 14 Inch ) 4     Grass</v>
          </cell>
          <cell r="Q61" t="str">
            <v>Mix Glad (14Inch) 22     FF Sachet + Grass</v>
          </cell>
          <cell r="R61" t="str">
            <v>Pur n P Car ( 14 Inch ) 22     FF Sachet + Grass</v>
          </cell>
          <cell r="S61" t="str">
            <v>Pur n P Eustoma ( 12 Inch ) 4     FF Sachet + Grass</v>
          </cell>
          <cell r="T61" t="str">
            <v>Rajni ( 14 Inch ) 22     Grass</v>
          </cell>
        </row>
        <row r="62">
          <cell r="A62">
            <v>3274</v>
          </cell>
          <cell r="B62" t="str">
            <v>Meera Singh</v>
          </cell>
          <cell r="C62">
            <v>9810401220</v>
          </cell>
          <cell r="D62" t="str">
            <v>138, Tatvam Villas, Sec 48</v>
          </cell>
          <cell r="E62" t="str">
            <v>Sohna Road 2</v>
          </cell>
          <cell r="F62" t="str">
            <v>Sunday</v>
          </cell>
          <cell r="G62" t="str">
            <v>9 AM - 12 PM</v>
          </cell>
          <cell r="H62">
            <v>1950</v>
          </cell>
          <cell r="I62">
            <v>487.5</v>
          </cell>
          <cell r="J62" t="str">
            <v>Joy</v>
          </cell>
          <cell r="K62" t="str">
            <v>No Lilies and Sunflower (20/02) Skip 1 week (28/03) Paytm From Singh M (06/04) No Sunflower n Asiatic (02/05)</v>
          </cell>
          <cell r="L62" t="str">
            <v>Asiatic n Sunflowers</v>
          </cell>
          <cell r="M62" t="str">
            <v>Single Kind</v>
          </cell>
          <cell r="N62" t="str">
            <v>2  del of this cycle   -  0-cycles pmnt   Completed - Collect 0</v>
          </cell>
          <cell r="O62" t="str">
            <v>P n W Glad ( 14 Inch ) 22     Grass</v>
          </cell>
          <cell r="P62" t="str">
            <v>P n W Spray Daisy ( 14 Inch) 7     FF Sachet + Grass</v>
          </cell>
          <cell r="Q62" t="str">
            <v>Pur n P Car ( 14 Inch ) 22     FF Sachet + Grass</v>
          </cell>
          <cell r="R62" t="str">
            <v>B Daisy ( 12 Inch ) 22     FF Sachet + Grass</v>
          </cell>
          <cell r="S62" t="str">
            <v>Pur n P Eustoma ( 12 Inch ) 4     FF Sachet + Grass</v>
          </cell>
          <cell r="T62" t="str">
            <v>Rajni ( 14 Inch ) 22     Grass</v>
          </cell>
        </row>
        <row r="63">
          <cell r="A63" t="str">
            <v>G-00056</v>
          </cell>
          <cell r="B63" t="str">
            <v>Triveni Wahi</v>
          </cell>
          <cell r="C63">
            <v>7503975035</v>
          </cell>
          <cell r="D63" t="str">
            <v>B-14/12 C, Dlf The Grove</v>
          </cell>
          <cell r="E63" t="str">
            <v>DLF Phase 5</v>
          </cell>
          <cell r="F63" t="str">
            <v>Sunday</v>
          </cell>
          <cell r="G63" t="str">
            <v>9 AM - 12 PM</v>
          </cell>
          <cell r="H63">
            <v>1450</v>
          </cell>
          <cell r="I63">
            <v>362.5</v>
          </cell>
          <cell r="J63" t="str">
            <v>Bliss</v>
          </cell>
          <cell r="K63" t="str">
            <v>From Madhulika Geeta Chopra // 2sesonal Extra next (05/05) Today Returned -send next week (24/05) Today returned - hold (14/06)</v>
          </cell>
          <cell r="M63" t="str">
            <v>2 sesonal Extra next (05/05)</v>
          </cell>
          <cell r="N63" t="str">
            <v>1  del of this cycle   -  0-cycles pmnt   Completed - Collect 0</v>
          </cell>
          <cell r="O63" t="str">
            <v>P n W Car ( 14 inch ) 16     FF Sachet + Grass</v>
          </cell>
          <cell r="P63" t="str">
            <v>Mix Alstroemeria ( 12 Inch ) 16     FF Sachet + Grass</v>
          </cell>
          <cell r="Q63" t="str">
            <v>P n W Spray Daisy ( 14 Inch ) 5     FF Sachet + Grass</v>
          </cell>
          <cell r="R63" t="str">
            <v>P n W Spray Daisy ( 14 Inch ) 5     FF Sachet + Grass</v>
          </cell>
          <cell r="S63" t="str">
            <v>Sunflower ( 12 Inch ) 4     FF Sachet + Grass</v>
          </cell>
          <cell r="T63" t="str">
            <v>Pur n P Car ( 14 Inch ) 16     FF Sachet + Grass</v>
          </cell>
        </row>
        <row r="64">
          <cell r="A64" t="str">
            <v>B46944</v>
          </cell>
          <cell r="B64" t="str">
            <v>Albi</v>
          </cell>
          <cell r="C64">
            <v>9999236508</v>
          </cell>
          <cell r="D64" t="str">
            <v>G-3/1A, DLF Phase 1</v>
          </cell>
          <cell r="E64" t="str">
            <v>DLF Phase 1</v>
          </cell>
          <cell r="F64" t="str">
            <v>Thursday</v>
          </cell>
          <cell r="G64" t="str">
            <v>By 9 AM</v>
          </cell>
          <cell r="H64">
            <v>28000</v>
          </cell>
          <cell r="I64">
            <v>7000</v>
          </cell>
          <cell r="J64" t="str">
            <v>Customized</v>
          </cell>
          <cell r="K64" t="str">
            <v>Now at every 10 days (18/12)</v>
          </cell>
          <cell r="N64" t="str">
            <v>1  del of this cycle   -  0-cycles pmnt   In Process - Collect 0</v>
          </cell>
          <cell r="O64" t="str">
            <v xml:space="preserve">W Oriental + W Asiatic + G n W Car + G n W Spray Daisy + G n W Anthurium  4 + 4 + 40 + 15 + 6     </v>
          </cell>
          <cell r="P64" t="str">
            <v xml:space="preserve">P  Oriental + P Asiatic + P n Y Button Daisy + P n Y Car + P Eustoma 4 + 4 + 10 + 40 + 8 Mogra 300 Gm   </v>
          </cell>
          <cell r="Q64" t="str">
            <v xml:space="preserve">P Oriental + Y Asiatic + P n W Spray Daisy + Pur n P Car + Pur Eustoma + Pur Anthurium 4 + 4 +10 + 35 + 6 Dilli patti + Fish Tail + Other Greens    </v>
          </cell>
          <cell r="R64" t="e">
            <v>#N/A</v>
          </cell>
          <cell r="S64" t="str">
            <v xml:space="preserve">W Oriental + R Asiatic + R n W Spray Daisy + R n W Car + R n W Anthurium + W Orchid  4 + 4 + 12 + 30 + 4 + 7 Mogra 200 Gm   </v>
          </cell>
          <cell r="T64" t="str">
            <v xml:space="preserve">W Oriental + G Anthurium + G Lotus Pd + Baloon Flower + G n W Car + Big Monstera 4 + 6 + 8 + 8 + 15 W Oriental + Limonium 2 + 3 ( In Suraahi Vase) Mogra  300 Gm </v>
          </cell>
        </row>
        <row r="65">
          <cell r="A65">
            <v>1899</v>
          </cell>
          <cell r="B65" t="str">
            <v>Hardik Shah</v>
          </cell>
          <cell r="C65">
            <v>9811227080</v>
          </cell>
          <cell r="D65" t="str">
            <v>T-5/1402, Vipul Green</v>
          </cell>
          <cell r="E65" t="str">
            <v>Sohna Road 2</v>
          </cell>
          <cell r="F65" t="str">
            <v>Friday</v>
          </cell>
          <cell r="G65" t="str">
            <v>9 AM - 12 PM</v>
          </cell>
          <cell r="H65">
            <v>4850</v>
          </cell>
          <cell r="I65">
            <v>606.25</v>
          </cell>
          <cell r="J65" t="str">
            <v>Poise</v>
          </cell>
          <cell r="K65" t="str">
            <v>Friday n Sunday (02/04) Shift to Poise after this cycle(22/05) No Poies(28/05) Skip 1 week(13/08) Today Returned(21/08) Today Returned again(26/08) Skip 2 week (18/06) Skip only next delivery (29/07) Hold today n skip 1 week (19/01) Skip 1 week (15/08) Hold for 4 weeks (27/01) Returned today (14/11) Today returned (01/05)</v>
          </cell>
          <cell r="N65" t="str">
            <v>3  del of this cycle   -  1-cycles pmnt   Pending - Collect 4850</v>
          </cell>
          <cell r="O65" t="str">
            <v>Rajni ( 14 Inch )  26     Grass</v>
          </cell>
          <cell r="P65" t="str">
            <v>Mix Alstroemeria ( 12 Inch ) 20     FF Sachet + Grass</v>
          </cell>
          <cell r="Q65" t="e">
            <v>#N/A</v>
          </cell>
          <cell r="R65" t="e">
            <v>#N/A</v>
          </cell>
          <cell r="S65" t="str">
            <v>Pur n P Car ( 14 Inch 26     FF Sachet + Grass</v>
          </cell>
          <cell r="T65" t="str">
            <v>B Daisy ( 12 Inch ) 26     Grass</v>
          </cell>
        </row>
        <row r="66">
          <cell r="A66">
            <v>2707</v>
          </cell>
          <cell r="B66" t="str">
            <v>Mrigal Vora Puri</v>
          </cell>
          <cell r="C66">
            <v>9903474654</v>
          </cell>
          <cell r="D66" t="str">
            <v>T-6A/1103, Valley View Estate</v>
          </cell>
          <cell r="E66" t="str">
            <v>Ghata</v>
          </cell>
          <cell r="F66" t="str">
            <v>Sunday</v>
          </cell>
          <cell r="G66" t="str">
            <v>9 AM - 12 PM</v>
          </cell>
          <cell r="H66">
            <v>1450</v>
          </cell>
          <cell r="I66">
            <v>362.5</v>
          </cell>
          <cell r="J66" t="str">
            <v>Bliss</v>
          </cell>
          <cell r="K66" t="str">
            <v>Glad Next (20/06) Hold today (05/1) Hold due to non payment (01/02) Hold due to non payment (08/02) HDTNP (15/02) Skip 1 week (04/04) HDTNP (03/05) HDTNP (10/05) Paytm From Akhil Puri (07/06)</v>
          </cell>
          <cell r="M66" t="str">
            <v>Glad Next (20/06)</v>
          </cell>
          <cell r="N66" t="str">
            <v>1  del of this cycle   -  1-cycles pmnt   Pending - Collect 1450</v>
          </cell>
          <cell r="O66" t="str">
            <v>Y Spray Daisy ( 15 Inch ) 3 P n W Car ( 14 Inch ) 7   FF Sachet + Grass</v>
          </cell>
          <cell r="P66" t="str">
            <v>Pur Eustoma ( 12 Inch ) 2 Mix Alstroemeria ( 12 Inch ) 7   FF Sachet + Grass</v>
          </cell>
          <cell r="Q66" t="str">
            <v>Sunflower ( 12 Inch ) 2 P n W Glad ( 14 Inch ) 7   FF Sachet + Grass</v>
          </cell>
          <cell r="R66" t="str">
            <v>P Asiatic ( 14 Inch ) 2 Pur n P Car ( 14 Inch ) 7   Grass</v>
          </cell>
          <cell r="S66" t="str">
            <v>P Spray Daisy ( 14 Inch ) 3 Rajni ( 14 Inch ) 7   FF Sachet + Grass</v>
          </cell>
          <cell r="T66" t="str">
            <v>Sunflower ( 12 Inch ) 2 B Daisy ( 12 Inch ) 7   FF Sachet + Grass</v>
          </cell>
        </row>
        <row r="67">
          <cell r="A67">
            <v>2458</v>
          </cell>
          <cell r="B67" t="str">
            <v>Kiran Yadav -- 1450 Pack</v>
          </cell>
          <cell r="C67">
            <v>9811801284</v>
          </cell>
          <cell r="D67" t="str">
            <v>E-1402, Palm Drive</v>
          </cell>
          <cell r="E67" t="str">
            <v>Badshahpur</v>
          </cell>
          <cell r="F67" t="str">
            <v>Sunday</v>
          </cell>
          <cell r="G67" t="str">
            <v>10 AM to 2:30 PM</v>
          </cell>
          <cell r="H67">
            <v>999</v>
          </cell>
          <cell r="I67">
            <v>249.75</v>
          </cell>
          <cell r="J67" t="str">
            <v>Delight</v>
          </cell>
          <cell r="K67" t="str">
            <v>Recvd 2000 Today (21/04) Pls send Rose/Gerbera and Rise laos (04/06) Skip 1 week (28/06) Skip next week after(27/09) Send Replacement tom (21/04)</v>
          </cell>
          <cell r="N67" t="str">
            <v>4  del of this cycle   -  0-cycles pmnt   CompletedNO COLLECTION-we have extra money - Collect -23</v>
          </cell>
          <cell r="O67" t="str">
            <v>R n W Car( 14 Inch)  9     FF Sachet + Grass</v>
          </cell>
          <cell r="P67" t="str">
            <v>P n W Glad ( 14 Inch ) 9     Grass</v>
          </cell>
          <cell r="Q67" t="str">
            <v>Sunflower ( 12 Inch ) 2     FF Sachet + Grass</v>
          </cell>
          <cell r="R67" t="str">
            <v>B Daisy ( 12 Inch ) 9     Grass</v>
          </cell>
          <cell r="S67" t="str">
            <v>P Asiatic ( 14 Inch ) 2     Grass</v>
          </cell>
          <cell r="T67" t="str">
            <v>Pur n P Car ( 14 Inch ) 9     FF Sachet + Grass</v>
          </cell>
        </row>
        <row r="68">
          <cell r="A68">
            <v>3284</v>
          </cell>
          <cell r="B68" t="str">
            <v>Megha Sharma</v>
          </cell>
          <cell r="C68" t="str">
            <v>9643166797 // 7351797203</v>
          </cell>
          <cell r="D68" t="str">
            <v>338, Espace, 2nd Floor</v>
          </cell>
          <cell r="E68" t="str">
            <v>Nirvana Country</v>
          </cell>
          <cell r="F68" t="str">
            <v>Sunday</v>
          </cell>
          <cell r="G68" t="str">
            <v>4 PM to 7 PM</v>
          </cell>
          <cell r="H68">
            <v>1950</v>
          </cell>
          <cell r="I68">
            <v>487.5</v>
          </cell>
          <cell r="J68" t="str">
            <v>Joy</v>
          </cell>
          <cell r="K68" t="str">
            <v>Paytm From Megha Sharma</v>
          </cell>
          <cell r="N68" t="str">
            <v>2  del of this cycle   -  0 -cycles pmnt   Completed - Collect 0</v>
          </cell>
          <cell r="O68" t="str">
            <v>W Asiatic ( 15 inch ) 4     Grass</v>
          </cell>
          <cell r="P68" t="str">
            <v>P n W Glad ( 14 Inch ) 22     Grass</v>
          </cell>
          <cell r="Q68" t="str">
            <v>P n Y Spray Daisy ( 14 Inch ) 7     FF Sachet + Grass</v>
          </cell>
          <cell r="R68" t="str">
            <v>B Daisy ( 12 Inch ) 22     Grass</v>
          </cell>
          <cell r="S68" t="str">
            <v>Pur n P Car ( 14 Inch 22     FF Sachet + Grass</v>
          </cell>
          <cell r="T68" t="str">
            <v>Rajni ( 14 Inch ) 22     Grass</v>
          </cell>
        </row>
        <row r="69">
          <cell r="A69">
            <v>1978</v>
          </cell>
          <cell r="B69" t="str">
            <v>Anu-- After 6 PM</v>
          </cell>
          <cell r="C69" t="str">
            <v>98103 39602</v>
          </cell>
          <cell r="D69" t="str">
            <v xml:space="preserve">Tower 6, 901 Fresco </v>
          </cell>
          <cell r="E69" t="str">
            <v>Nirvana Country</v>
          </cell>
          <cell r="F69" t="str">
            <v>Thursday</v>
          </cell>
          <cell r="G69" t="str">
            <v>4 Pm to 7 PM</v>
          </cell>
          <cell r="H69">
            <v>4850</v>
          </cell>
          <cell r="I69">
            <v>606.25</v>
          </cell>
          <cell r="J69" t="str">
            <v>Poise</v>
          </cell>
          <cell r="K69" t="str">
            <v xml:space="preserve"> Thursday n Sunday//No Rajni (14/03) No Rose n Gerbera n RAJNI// Skip this week n send on Tuesday evening slot (18/06) Send this Thursday to Friday (04/09) NO HELICONIA (13/09) Skip Thursday delivery (12/11) Send tom in morning (16/11) Skip Thursday del (19/11) Skip tom (23/11) Hold till 11th  (30/11) Dont send on Sunday (13/12) Skip sunday (20/12) Skip tom (08/02) Hold today (23/02) Skip 1 Week (01/06) Skip thursday Delivery (18/06) Skip this thursday and send on sunday after 6 PM (06/08) No BOP also (06/10) Do not count today del and sned on sat next (04/12) Skip saturda and sunday also (05/12) Hold today n send tom (11/12) Hold today (05/04) Hold today (16/04)</v>
          </cell>
          <cell r="L69" t="str">
            <v>ROSE n RAJNI n HELICONIA n BOP</v>
          </cell>
          <cell r="M69" t="str">
            <v>after 6 pm on 19th (16/04)</v>
          </cell>
          <cell r="N69" t="str">
            <v>7  del of this cycle   -  0-cycles pmnt   Completed - Collect 0</v>
          </cell>
          <cell r="O69" t="str">
            <v>W Asiatic ( 15 inch ) 2 Mix Eustoma ( 12 Inch ) 4 Rajni ( 14 Inch ) 12 FF Sachet + Grass</v>
          </cell>
          <cell r="P69" t="str">
            <v>W Asiatic ( 14 Inch ) 2 Mix Alstroemeria ( 12 Inch ) 10 P n W Glad ( 14 Inch ) 10 FF Sachet + Grass</v>
          </cell>
          <cell r="Q69" t="str">
            <v>O Asiatic ( 14 Inch ) 2 P n W Spray Daisy  14 Inch ) 4 Rajni ( 14 Inch ) 12 Grass</v>
          </cell>
          <cell r="R69" t="str">
            <v>P Asiatic ( 14 Inch ) 2 B Daisy ( 12 Inch ) 6 Pur n P Car ( 14 Inch ) 10 Grass</v>
          </cell>
          <cell r="S69" t="str">
            <v>Y Asiatic ( 14 Inch ) 2 B Daisy ( 12 Inch ) 6 P n W Glad ( 14 Inch ) 12 Grass</v>
          </cell>
          <cell r="T69" t="str">
            <v>P Asiatic ( 14 Inch ) 2 B Daisy ( 12 Inch ) 6 Rajni ( 14 Inch ) 10 Grass</v>
          </cell>
        </row>
        <row r="70">
          <cell r="A70">
            <v>2997</v>
          </cell>
          <cell r="B70" t="str">
            <v>Anjana Johar</v>
          </cell>
          <cell r="C70">
            <v>9650897576</v>
          </cell>
          <cell r="D70" t="str">
            <v>T-8/201, Fresco</v>
          </cell>
          <cell r="E70" t="str">
            <v>Nirvana Country</v>
          </cell>
          <cell r="F70" t="str">
            <v>Sunday</v>
          </cell>
          <cell r="G70" t="str">
            <v>4 Pm to 7 PM</v>
          </cell>
          <cell r="H70">
            <v>1450</v>
          </cell>
          <cell r="I70">
            <v>362.5</v>
          </cell>
          <cell r="J70" t="str">
            <v>Bliss</v>
          </cell>
          <cell r="K70" t="str">
            <v>Skip 2 week (03/11) Skip 1 week (14/11) Hold today n send tom (30/11) Hold n start after 9th Jan (08/12) Send Replacement tom (23/03) Send 1 vase also (23/03) No White Flowers (01/05) No Spray Daisy (05/05) Skip 1 week (08/05) Skip 2 week and start from 25th (13/06)</v>
          </cell>
          <cell r="L70" t="str">
            <v>Spray Daisy</v>
          </cell>
          <cell r="M70" t="str">
            <v>No White Flowers</v>
          </cell>
          <cell r="N70" t="str">
            <v>3  del of this cycle   -  0-cycles pmnt   Completed - Collect 0</v>
          </cell>
          <cell r="O70" t="str">
            <v>O Asiatic ( 15 Inch ) 3     Grass</v>
          </cell>
          <cell r="P70" t="str">
            <v>Pur n P Car ( 14 Inch ) 16     FF Sachet + Grass</v>
          </cell>
          <cell r="Q70" t="e">
            <v>#N/A</v>
          </cell>
          <cell r="R70" t="e">
            <v>#N/A</v>
          </cell>
          <cell r="S70" t="str">
            <v>Sunflower ( 12 Inch ) 4     FF Sachet + Grass</v>
          </cell>
          <cell r="T70" t="str">
            <v>P Asiatic ( 14 Inch ) 3     Grass</v>
          </cell>
        </row>
        <row r="71">
          <cell r="A71" t="str">
            <v>B56364</v>
          </cell>
          <cell r="B71" t="str">
            <v>Jitendra</v>
          </cell>
          <cell r="C71">
            <v>8800156951</v>
          </cell>
          <cell r="D71" t="str">
            <v>Trehan Luxury Floors</v>
          </cell>
          <cell r="E71" t="str">
            <v>Badshahpur</v>
          </cell>
          <cell r="F71" t="str">
            <v>Wednesday</v>
          </cell>
          <cell r="G71" t="str">
            <v>By 9:30 AM</v>
          </cell>
          <cell r="H71">
            <v>3600</v>
          </cell>
          <cell r="I71">
            <v>3600</v>
          </cell>
          <cell r="J71" t="str">
            <v>Bouquet</v>
          </cell>
          <cell r="K71" t="str">
            <v>3 Set</v>
          </cell>
          <cell r="N71" t="str">
            <v>1  del of this cycle   -  0-cycles pmnt   In Process - Collect 0</v>
          </cell>
          <cell r="O71" t="e">
            <v>#N/A</v>
          </cell>
          <cell r="P71" t="e">
            <v>#N/A</v>
          </cell>
          <cell r="Q71" t="e">
            <v>#N/A</v>
          </cell>
          <cell r="R71" t="e">
            <v>#N/A</v>
          </cell>
          <cell r="S71" t="e">
            <v>#N/A</v>
          </cell>
          <cell r="T71" t="str">
            <v xml:space="preserve">Trehan Set 3     </v>
          </cell>
        </row>
        <row r="72">
          <cell r="A72">
            <v>2592</v>
          </cell>
          <cell r="B72" t="str">
            <v>Nidhi Prasad</v>
          </cell>
          <cell r="C72">
            <v>9899779181</v>
          </cell>
          <cell r="D72" t="str">
            <v>T-10/1003, valley View Estate</v>
          </cell>
          <cell r="E72" t="str">
            <v>Ghata</v>
          </cell>
          <cell r="F72" t="str">
            <v>Sunday</v>
          </cell>
          <cell r="G72" t="str">
            <v>9 AM to 2 PM</v>
          </cell>
          <cell r="H72">
            <v>999</v>
          </cell>
          <cell r="I72">
            <v>249.75</v>
          </cell>
          <cell r="J72" t="str">
            <v>Delight</v>
          </cell>
          <cell r="K72" t="str">
            <v>Hold n start from 29th June(14/06) Hold today due to non payment (04/01) Hold due to non payment (01/02) Hold due to non payment (08/02) HDTNP (15/02) HDTNP (22/02) HDTNP (01/03) HDTNP (08/03) HDTNP (12/04) HDTNP (07/06) Hold till 26th (07/06)</v>
          </cell>
          <cell r="N72" t="str">
            <v>3  del of this cycle   -  0-cycles pmnt   Completed - Collect 0</v>
          </cell>
          <cell r="O72" t="str">
            <v>R n W Car( 14 Inch)  9     FF Sachet + Grass</v>
          </cell>
          <cell r="P72" t="e">
            <v>#N/A</v>
          </cell>
          <cell r="Q72" t="e">
            <v>#N/A</v>
          </cell>
          <cell r="R72" t="e">
            <v>#N/A</v>
          </cell>
          <cell r="S72" t="str">
            <v>P Asiatic ( 14 Inch ) 2     Grass</v>
          </cell>
          <cell r="T72" t="str">
            <v>Rajni ( 14 Inch ) 9     Grass</v>
          </cell>
        </row>
        <row r="73">
          <cell r="A73">
            <v>2550</v>
          </cell>
          <cell r="B73" t="str">
            <v>Pooja Singh</v>
          </cell>
          <cell r="C73">
            <v>9810123062</v>
          </cell>
          <cell r="D73" t="str">
            <v>B-289, 3rd Floor, Anantraj Estates, Sec 63 A</v>
          </cell>
          <cell r="E73" t="str">
            <v>Ghata</v>
          </cell>
          <cell r="F73" t="str">
            <v>Sunday</v>
          </cell>
          <cell r="G73" t="str">
            <v>9 AM - 12 PM</v>
          </cell>
          <cell r="H73">
            <v>1450</v>
          </cell>
          <cell r="I73">
            <v>362.5</v>
          </cell>
          <cell r="J73" t="str">
            <v>Bliss</v>
          </cell>
          <cell r="K73" t="str">
            <v>Hold today n sned on Tuesday (18/05) Skip this week and send on Monday(01/01/26) Return today (18/01) Skip this Sunday and sned on Tuesday this week (27/06)</v>
          </cell>
          <cell r="N73" t="str">
            <v>4  del of this cycle   -  0-cycles pmnt   Completed - Collect 0</v>
          </cell>
          <cell r="O73" t="str">
            <v>Sunflower ( 12 Inch ) 2 Mix Glad  ( 12 Inch ) 7   Grass</v>
          </cell>
          <cell r="P73" t="str">
            <v>Pur Eustoma ( 12 Inch ) 2 Mix Alstroemeria ( 12 Inch ) 7   FF Sachet + Grass</v>
          </cell>
          <cell r="Q73" t="str">
            <v>P Spray Daisy ( 14 Inch ) 3 Pur n P Car ( 14 Inch ) 7   FF Sachet + Grass</v>
          </cell>
          <cell r="R73" t="str">
            <v>P Asiatic ( 14 Inch ) 2 B Daisy ( 12 Inch ) 7   Grass</v>
          </cell>
          <cell r="S73" t="e">
            <v>#N/A</v>
          </cell>
          <cell r="T73" t="str">
            <v>Sunflower ( 12 Inch ) 2 P n W Glad ( 14 Inch ) 7   FF Sachet + Grass</v>
          </cell>
        </row>
        <row r="74">
          <cell r="A74">
            <v>3010</v>
          </cell>
          <cell r="B74" t="str">
            <v>Kriti Suman</v>
          </cell>
          <cell r="C74">
            <v>9771430070</v>
          </cell>
          <cell r="D74" t="str">
            <v>Studio -105, Palm Drive</v>
          </cell>
          <cell r="E74" t="str">
            <v>Badshahpur</v>
          </cell>
          <cell r="F74" t="str">
            <v>Sunday</v>
          </cell>
          <cell r="G74" t="str">
            <v>9 AM - 12 PM</v>
          </cell>
          <cell r="H74">
            <v>999</v>
          </cell>
          <cell r="I74">
            <v>249.75</v>
          </cell>
          <cell r="J74" t="str">
            <v>Delight</v>
          </cell>
          <cell r="K74" t="str">
            <v>Skip 1 week (16/10) Skip 1 week (26/12) No Glad (09/03) Skip 2 week (20/06)</v>
          </cell>
          <cell r="L74" t="str">
            <v>Glad</v>
          </cell>
          <cell r="N74" t="str">
            <v>3  del of this cycle   -  0-cycles pmnt   Completed - Collect 0</v>
          </cell>
          <cell r="O74" t="str">
            <v>P Spray Daisy ( 15 Inch ) 3     FF Sachet + Grass</v>
          </cell>
          <cell r="P74" t="str">
            <v>Pur n P Car ( 14 Inch ) 9     FF Sachet + Grass</v>
          </cell>
          <cell r="Q74" t="str">
            <v>Sunflower ( 12 Inch ) 2     FF Sachet + Grass</v>
          </cell>
          <cell r="R74" t="e">
            <v>#N/A</v>
          </cell>
          <cell r="S74" t="e">
            <v>#N/A</v>
          </cell>
          <cell r="T74" t="str">
            <v>Rajni ( 14 Inch ) 9     Grass</v>
          </cell>
        </row>
        <row r="75">
          <cell r="A75">
            <v>1570</v>
          </cell>
          <cell r="B75" t="str">
            <v>Nisha Syriac</v>
          </cell>
          <cell r="C75">
            <v>9711811545</v>
          </cell>
          <cell r="D75" t="str">
            <v>G202, DLF Park Place Heights, Golf Course Road</v>
          </cell>
          <cell r="E75" t="str">
            <v>Golf Course Road</v>
          </cell>
          <cell r="F75" t="str">
            <v>Sunday</v>
          </cell>
          <cell r="G75" t="str">
            <v>9:30 Am to 2 PM</v>
          </cell>
          <cell r="H75">
            <v>1450</v>
          </cell>
          <cell r="I75">
            <v>362.5</v>
          </cell>
          <cell r="J75" t="str">
            <v>Bliss</v>
          </cell>
          <cell r="K75" t="str">
            <v>Paytm from Jacob Kuriakose(04/01) For remaining 3 Deliveries-- Guldawari//spray daisy// Orchids or Lily(06/01) Hold n start from 7th Feb(30/01) This cycle-- Car//Orchid//Lily//Spray Daisy(06/02) Skip this week and send on Tuesday(20/02) Skip 1 wek (11/03) Less Flowers sent in 2 del -- pls send 1 More Del on 1st Apr (25/03) No Rse n Gerbera (20/11) Skip 1 week (10/01) Skip 1 week 911/03) Skip 1 week (26/04) Skip 1 week (16/05) Hold till 7th Sep (13/08) Skip 1 week (19/09) Skip 1 week (03/01) No Rajni and Orchid only (21/02) Skip 1 week (27/03) Last del missed (07/04) Change day to Thursday (11/04) Return n skip next week also (07/05) Now on sunday Morning (21/05) Skip 1 week (27/06)</v>
          </cell>
          <cell r="L75" t="str">
            <v>Rajni n Orchid</v>
          </cell>
          <cell r="M75" t="str">
            <v xml:space="preserve">Single Color Flowers </v>
          </cell>
          <cell r="N75" t="str">
            <v>2  del of this cycle   -  0-cycles pmnt   Completed - Collect 0</v>
          </cell>
          <cell r="O75" t="e">
            <v>#N/A</v>
          </cell>
          <cell r="P75" t="str">
            <v>P Alstroemeria ( 12 Inch ) 16 Single Color Flower  Single Color Flower    FF Sachet + Grass</v>
          </cell>
          <cell r="Q75" t="str">
            <v>P Spray Daisy ( 14 Inch ) 5     FF Sachet + Grass</v>
          </cell>
          <cell r="R75" t="str">
            <v>Pur n P Car ( 14 Inch ) 16     FF Sachet + Grass</v>
          </cell>
          <cell r="S75" t="str">
            <v>Y Asiatic ( 14 Inch ) 3     Grass</v>
          </cell>
          <cell r="T75" t="str">
            <v>P n W Glad ( 14 Inch ) 16     Grass</v>
          </cell>
        </row>
        <row r="76">
          <cell r="A76">
            <v>1470</v>
          </cell>
          <cell r="B76" t="str">
            <v>Ankit Goyal</v>
          </cell>
          <cell r="C76">
            <v>9582406060</v>
          </cell>
          <cell r="D76" t="str">
            <v>A-402, La Lagune</v>
          </cell>
          <cell r="E76" t="str">
            <v>Golf Course Road</v>
          </cell>
          <cell r="F76" t="str">
            <v>Sunday</v>
          </cell>
          <cell r="G76" t="str">
            <v>9 AM - 12 PM</v>
          </cell>
          <cell r="H76">
            <v>2750</v>
          </cell>
          <cell r="I76">
            <v>687.5</v>
          </cell>
          <cell r="J76" t="str">
            <v>Elation</v>
          </cell>
          <cell r="K76" t="str">
            <v>Sunday to Thurs//Monday and Thursday// Car 1st(07/08) Referred by Divya Grg// always diff flowers(07/08) Skip 1 week(16/08) Sunday Missed-sent today(13/09) No Rose til it survives(26/09) Received 850 in advance today(16/11) Flowers returned-skip 1 weeK30/11) Skip 1 week(18/12) REturned-send next week(10/03) Skuip 1 week (25/10) Today Returned and hold for next 8 days (03/11) Skip 1 week (25/01) Skip 1 week (06/03) Return today Skip 1 week (20/04) Today Returned (08/06) Skip 1 week (05/07) Hold due to non payment (19/07) hOLD AS PAYMENT NOT RECEIVED(13/10) Skip this sunday (20/7) Skip 1 week (17/08) Skip tom (23/11) Skip 1 week (16/12) Skip tom (08/03) Skip 1 week(11/04) Skip 2 week (18/06) Today Returned (19/10) Skip 1 week (0111) Skip 1 week (07/11) Send one del tom (09/11) Skip tom (20/12)</v>
          </cell>
          <cell r="N76" t="str">
            <v>4  del of this cycle   -  0-cycles pmnt   Completed - Collect 0</v>
          </cell>
          <cell r="O76" t="e">
            <v>#N/A</v>
          </cell>
          <cell r="P76" t="e">
            <v>#N/A</v>
          </cell>
          <cell r="Q76" t="e">
            <v>#N/A</v>
          </cell>
          <cell r="R76" t="str">
            <v>O Asiatic ( 14 Inch )' 6     2 Gypsola</v>
          </cell>
          <cell r="S76" t="str">
            <v>P n W Glad ( 14 Inch ) 32     2 Limonium</v>
          </cell>
          <cell r="T76" t="str">
            <v>P n Y Spray Daisy ( 14 Inch ) 10     2 Gypsola</v>
          </cell>
        </row>
        <row r="77">
          <cell r="A77">
            <v>3238</v>
          </cell>
          <cell r="B77" t="str">
            <v>Alka Verma</v>
          </cell>
          <cell r="C77">
            <v>9910437766</v>
          </cell>
          <cell r="D77" t="str">
            <v>T-10/101, Emaar palm Terraces Select</v>
          </cell>
          <cell r="E77" t="str">
            <v>Badshahpur</v>
          </cell>
          <cell r="F77" t="str">
            <v>Sunday</v>
          </cell>
          <cell r="G77" t="str">
            <v>9 AM - 12 PM</v>
          </cell>
          <cell r="H77">
            <v>1450</v>
          </cell>
          <cell r="I77">
            <v>362.5</v>
          </cell>
          <cell r="J77" t="str">
            <v>Bliss</v>
          </cell>
          <cell r="K77" t="str">
            <v>Skip 1 week (28/03) Send Replacement tom (12/04) Skip 1 week (27/04) Skip 1 week after 14th June (06/06) Skip 1 week (16/06)</v>
          </cell>
          <cell r="N77" t="str">
            <v>4  del of this cycle   -  0-cycles pmnt   Completed - Collect 0</v>
          </cell>
          <cell r="O77" t="str">
            <v>R n W Car( 14 Inch)  16     FF Sachet + Grass</v>
          </cell>
          <cell r="P77" t="str">
            <v>P n W Glad ( 14 Inch ) 16     Grass</v>
          </cell>
          <cell r="Q77" t="str">
            <v>P n Y Spray Daisy ( 14 Inch ) 5     FF Sachet + Grass</v>
          </cell>
          <cell r="R77" t="e">
            <v>#N/A</v>
          </cell>
          <cell r="S77" t="str">
            <v>Sunflower ( 12 Inch ) 4     FF Sachet + Grass</v>
          </cell>
          <cell r="T77" t="str">
            <v>P Asiatic ( 14 Inch ) 3     Grass</v>
          </cell>
        </row>
        <row r="78">
          <cell r="A78">
            <v>1238</v>
          </cell>
          <cell r="B78" t="str">
            <v>Meenakshi Dua-- Evening Only</v>
          </cell>
          <cell r="C78">
            <v>9560900277</v>
          </cell>
          <cell r="D78" t="str">
            <v>T-9/803, Orchid Petals</v>
          </cell>
          <cell r="E78" t="str">
            <v>Sohna Road 1</v>
          </cell>
          <cell r="F78" t="str">
            <v>Friday</v>
          </cell>
          <cell r="G78" t="str">
            <v>4 PM to 7PM</v>
          </cell>
          <cell r="H78">
            <v>1950</v>
          </cell>
          <cell r="I78">
            <v>487.5</v>
          </cell>
          <cell r="J78" t="str">
            <v>Joy</v>
          </cell>
          <cell r="K78" t="str">
            <v>Friday and Tuesday// Rajni Next (14/11) Upgrade to Elations and No Heliconia and BOP // Send Rajni and Guldawari next (26/12)(26/12) No Charm (25/02) Sprya Daisy or Guldawari Tom (03/04) Send any from Guldawari/Rajnior Lily (06/04) No Flowers till 28th (17/11) Send from Orienta/ Daisy or Rajni tom (21/12) Send Replacement tom (01/03). skip tomorrow (25/04) Send replacement tom (04/07)</v>
          </cell>
          <cell r="L78" t="str">
            <v xml:space="preserve">HELICONIA n BOP n GERBERA </v>
          </cell>
          <cell r="M78" t="str">
            <v>No Yel/Wht/Red in Glad and Guldawari</v>
          </cell>
          <cell r="N78" t="str">
            <v>3  del of this cycle   -  0-cycles pmnt   Completed - Collect 0</v>
          </cell>
          <cell r="O78" t="e">
            <v>#N/A</v>
          </cell>
          <cell r="P78" t="e">
            <v>#N/A</v>
          </cell>
          <cell r="Q78" t="e">
            <v>#N/A</v>
          </cell>
          <cell r="R78" t="e">
            <v>#N/A</v>
          </cell>
          <cell r="S78" t="e">
            <v>#N/A</v>
          </cell>
          <cell r="T78" t="str">
            <v>Pur n P Car ( 14 Inch ) 22     FF Sachet + Grass</v>
          </cell>
        </row>
        <row r="79">
          <cell r="A79">
            <v>3386</v>
          </cell>
          <cell r="B79" t="str">
            <v>Devina Duggal</v>
          </cell>
          <cell r="C79">
            <v>9992399954</v>
          </cell>
          <cell r="D79" t="str">
            <v>Sadev, C-149, Suncity, Ground Floor</v>
          </cell>
          <cell r="E79" t="str">
            <v>Golf Course Road</v>
          </cell>
          <cell r="F79" t="str">
            <v>Sunday</v>
          </cell>
          <cell r="G79" t="str">
            <v>9:30 Am to 2 PM</v>
          </cell>
          <cell r="H79">
            <v>2750</v>
          </cell>
          <cell r="I79">
            <v>687.5</v>
          </cell>
          <cell r="J79" t="str">
            <v>Elation</v>
          </cell>
          <cell r="K79" t="str">
            <v>No Exotic Greens -- send Only Extra Local Greens</v>
          </cell>
          <cell r="M79" t="str">
            <v>No Exotic Greens -- send Only Extra Local Greens</v>
          </cell>
          <cell r="N79" t="str">
            <v>3  del of this cycle   -  0-cycles pmnt   Completed - Collect 0</v>
          </cell>
          <cell r="O79" t="e">
            <v>#N/A</v>
          </cell>
          <cell r="P79" t="e">
            <v>#N/A</v>
          </cell>
          <cell r="Q79" t="e">
            <v>#N/A</v>
          </cell>
          <cell r="R79" t="str">
            <v>Pur n P Car ( 14 Inch ) 32     2 Gypsola + FF Sachet</v>
          </cell>
          <cell r="S79" t="str">
            <v>P Asiatic ( 14 Inch ) 3 P n W Glad ( 14 Inch ) 16   Extra Grass -- No Limonium or Gypsola</v>
          </cell>
          <cell r="T79" t="str">
            <v>Rajni ( 14 Inch ) 32     2 Limonium + Grass</v>
          </cell>
        </row>
        <row r="80">
          <cell r="B80" t="str">
            <v>Arvinder</v>
          </cell>
          <cell r="C80">
            <v>9717121144</v>
          </cell>
          <cell r="D80" t="str">
            <v>T-15/1202, Close South</v>
          </cell>
          <cell r="G80" t="str">
            <v>Before 11 Am</v>
          </cell>
          <cell r="H80">
            <v>1150</v>
          </cell>
          <cell r="J80" t="str">
            <v>Bouquet</v>
          </cell>
          <cell r="T80" t="str">
            <v xml:space="preserve">R Rose 20 tissue wrap 
pls add golden spirl   Message  </v>
          </cell>
        </row>
        <row r="81">
          <cell r="B81" t="str">
            <v xml:space="preserve">Kritika, </v>
          </cell>
          <cell r="C81" t="str">
            <v>96545 52906</v>
          </cell>
          <cell r="D81" t="str">
            <v>B1-1401 , Tulip Violet,  Sector 69</v>
          </cell>
          <cell r="H81">
            <v>975</v>
          </cell>
          <cell r="J81" t="str">
            <v>Bouquet</v>
          </cell>
          <cell r="K81" t="str">
            <v>Today from Parul Rathi
10 Shaded purple, 5 white carnations and 3 pink  and 2 white spray daisies in tissue wrap to 
B1-1401 , Tulip Violet,  Sector 69
+91 96545 52906
Message 
Dear Kritika, 
Wishing you a complete and quick recovery. 
Love and blessings, 
Parul Bua &amp; Fufaji</v>
          </cell>
          <cell r="T81" t="str">
            <v xml:space="preserve">Shaded purple,+ white carnations and + pink  and + white spray daisies 10+5+3+2  tissue wrap Massage   </v>
          </cell>
        </row>
        <row r="82">
          <cell r="A82">
            <v>2368</v>
          </cell>
          <cell r="B82" t="str">
            <v>Jasbir Singh</v>
          </cell>
          <cell r="C82">
            <v>9997092561</v>
          </cell>
          <cell r="D82" t="str">
            <v>Amber, 4th Floor, Universal Trade Centre</v>
          </cell>
          <cell r="E82" t="str">
            <v>Sohna Road 1</v>
          </cell>
          <cell r="F82" t="str">
            <v>Sunday</v>
          </cell>
          <cell r="G82" t="str">
            <v>By 7 PM</v>
          </cell>
          <cell r="H82">
            <v>12800</v>
          </cell>
          <cell r="I82">
            <v>3200</v>
          </cell>
          <cell r="J82" t="str">
            <v>Corporate</v>
          </cell>
          <cell r="N82" t="str">
            <v>1  del of this cycle   -  0-cycles pmnt   In Process - Collect 0</v>
          </cell>
          <cell r="O82" t="str">
            <v xml:space="preserve">Arrangement  1     </v>
          </cell>
          <cell r="P82" t="str">
            <v xml:space="preserve">Arrangement 1     </v>
          </cell>
          <cell r="Q82" t="str">
            <v xml:space="preserve">Arrangement 1     </v>
          </cell>
          <cell r="R82" t="str">
            <v xml:space="preserve">Arrangement 1     </v>
          </cell>
          <cell r="S82" t="str">
            <v xml:space="preserve">Arrangement 1     </v>
          </cell>
          <cell r="T82" t="str">
            <v xml:space="preserve">Arrangement 1     </v>
          </cell>
        </row>
        <row r="83">
          <cell r="A83" t="str">
            <v>B56362</v>
          </cell>
          <cell r="B83" t="str">
            <v>Garima Kumar</v>
          </cell>
          <cell r="C83">
            <v>7015923583</v>
          </cell>
          <cell r="D83" t="str">
            <v>T-12/1201, Fresco</v>
          </cell>
          <cell r="E83" t="str">
            <v>Nirvana Country</v>
          </cell>
          <cell r="F83" t="str">
            <v>Monday</v>
          </cell>
          <cell r="G83" t="str">
            <v>By 10 AM</v>
          </cell>
          <cell r="H83">
            <v>2800</v>
          </cell>
          <cell r="I83">
            <v>2800</v>
          </cell>
          <cell r="J83" t="str">
            <v>Next Day Order</v>
          </cell>
          <cell r="K83" t="str">
            <v>Open 6 P Oriental + 15 Pink n Peach Rose + 6 B Daisy in Pink n White Tissue Wrap</v>
          </cell>
          <cell r="N83" t="str">
            <v>1  del of this cycle   -  0-cycles pmnt   Completed - Collect 0</v>
          </cell>
          <cell r="O83" t="e">
            <v>#N/A</v>
          </cell>
          <cell r="P83" t="e">
            <v>#N/A</v>
          </cell>
          <cell r="Q83" t="e">
            <v>#N/A</v>
          </cell>
          <cell r="R83" t="e">
            <v>#N/A</v>
          </cell>
          <cell r="S83" t="e">
            <v>#N/A</v>
          </cell>
          <cell r="T83" t="str">
            <v xml:space="preserve">Opne P Oriental + Pink n Peach Rose + B daisy 6 + 15 + 6 Don’t Send -- Pls Keep Open Pink Oriental Separate    </v>
          </cell>
        </row>
        <row r="84">
          <cell r="A84" t="str">
            <v>B54111</v>
          </cell>
          <cell r="B84" t="str">
            <v>Aekta Subba</v>
          </cell>
          <cell r="C84">
            <v>7827645744</v>
          </cell>
          <cell r="D84" t="str">
            <v>1003,C4 Vatika city</v>
          </cell>
          <cell r="H84">
            <v>2550</v>
          </cell>
          <cell r="J84" t="str">
            <v>Bouquet</v>
          </cell>
          <cell r="K84" t="str">
            <v>Aekta
+91 78276 45744
Send 12 orange asiatic lilies 
10 yellow spray daisies 
Greens
Areca palm
Send immediately via Uber
Customer will pay for Uber</v>
          </cell>
          <cell r="T84" t="str">
            <v xml:space="preserve">orange asiatic lilies +Yellow Spray Daisy 12+10 Arica+Grass    </v>
          </cell>
        </row>
        <row r="85">
          <cell r="A85" t="str">
            <v>B56089</v>
          </cell>
          <cell r="B85" t="str">
            <v>Nidhi Sharma Malhotra -- BPTP -- Sector 102</v>
          </cell>
          <cell r="D85" t="str">
            <v>BPTP Amstoria Club, Sectpr 102</v>
          </cell>
          <cell r="H85">
            <v>850</v>
          </cell>
          <cell r="J85" t="str">
            <v>Bouquet</v>
          </cell>
          <cell r="T85" t="str">
            <v xml:space="preserve">Asiatic+Mix Car 3+10 Tissue Wrap    </v>
          </cell>
        </row>
      </sheetData>
      <sheetData sheetId="5"/>
      <sheetData sheetId="6"/>
      <sheetData sheetId="7"/>
      <sheetData sheetId="8"/>
      <sheetData sheetId="9"/>
      <sheetData sheetId="10"/>
      <sheetData sheetId="11">
        <row r="2">
          <cell r="A2">
            <v>3358</v>
          </cell>
          <cell r="B2" t="str">
            <v>Prasenjit</v>
          </cell>
          <cell r="C2">
            <v>9990903321</v>
          </cell>
          <cell r="D2" t="str">
            <v>T-10/1001, Vipul Belmonte</v>
          </cell>
          <cell r="E2" t="str">
            <v>DLF Phase 5</v>
          </cell>
          <cell r="F2" t="str">
            <v>Sunday</v>
          </cell>
          <cell r="G2" t="str">
            <v>9 AM - 12 PM</v>
          </cell>
          <cell r="H2">
            <v>1950</v>
          </cell>
          <cell r="I2">
            <v>487.5</v>
          </cell>
          <cell r="J2" t="str">
            <v>Joy</v>
          </cell>
          <cell r="K2" t="str">
            <v xml:space="preserve">Send Long stem </v>
          </cell>
          <cell r="M2" t="str">
            <v>Long Stem// Seasonal Next (24/05)</v>
          </cell>
          <cell r="N2" t="str">
            <v>2  del of this cycle   -  0-cycles pmnt   Completed - Collect 0</v>
          </cell>
          <cell r="O2" t="str">
            <v>Mix Alstroemeria ( 12 Inch ) 22     FF Sachet + Grass</v>
          </cell>
          <cell r="P2" t="str">
            <v>R n W Car )( 14 inch ) 22     FF Sachet + Grass</v>
          </cell>
          <cell r="Q2" t="str">
            <v>B Daisy ( 12 Inch ) 22     Grass</v>
          </cell>
          <cell r="R2" t="str">
            <v>Y Asiatic ( 14 Inch ) 4     Grass</v>
          </cell>
          <cell r="S2" t="str">
            <v>Rajni ( 14 Inch ) 22     Grass</v>
          </cell>
          <cell r="T2" t="str">
            <v>P Asiatic ( 14 Inch ) 4     Grass</v>
          </cell>
        </row>
        <row r="3">
          <cell r="A3">
            <v>2639</v>
          </cell>
          <cell r="B3" t="str">
            <v>Bhanupriya Sharma</v>
          </cell>
          <cell r="C3">
            <v>9799191916</v>
          </cell>
          <cell r="D3" t="str">
            <v>37, Abundance Appartment, 4th Floor, D Block, Indira Colony-2, Sec 52 , Behind Arihant Hospital</v>
          </cell>
          <cell r="E3" t="str">
            <v>Artemis</v>
          </cell>
          <cell r="F3" t="str">
            <v>Sunday</v>
          </cell>
          <cell r="G3" t="str">
            <v>9 AM - 12 PM</v>
          </cell>
          <cell r="H3">
            <v>1450</v>
          </cell>
          <cell r="I3">
            <v>487.5</v>
          </cell>
          <cell r="J3" t="str">
            <v>Bliss</v>
          </cell>
          <cell r="K3" t="str">
            <v>Skip 1 week (16/05) today returned (06/07) Change day to delight (02/11) Paytm from Rajeev Bhambani (05/11) Upgrade to Bliss (24/01) Paytm From Aluma Care (25/03) No Lily (16/05)</v>
          </cell>
          <cell r="L3" t="str">
            <v>Lily</v>
          </cell>
          <cell r="M3" t="str">
            <v>One kInd in Bliss</v>
          </cell>
          <cell r="N3" t="str">
            <v>1  del of this cycle   -  1-cycles pmnt   Pending - Collect 1450</v>
          </cell>
          <cell r="O3" t="str">
            <v>Mix Alstroemeria ( 12 Inch ) 16     FF Sachet + Grass</v>
          </cell>
          <cell r="P3" t="str">
            <v>Pur n P Car ( 14 Inch ) 16     FF Sachet + Grass</v>
          </cell>
          <cell r="Q3" t="str">
            <v>P n W Glad ( 14 Inch ) 16     Grass</v>
          </cell>
          <cell r="R3" t="str">
            <v>Sunflower ( 12 Inch ) 4     FF Sachet + Grass</v>
          </cell>
          <cell r="S3" t="str">
            <v>Rajni ( 14 Inch ) 16     Grass</v>
          </cell>
          <cell r="T3" t="str">
            <v>P n Y Spray Daisy ( 14 Inch ) 5     FF Sachet + Grass</v>
          </cell>
        </row>
        <row r="4">
          <cell r="A4" t="str">
            <v>B56427</v>
          </cell>
          <cell r="B4" t="str">
            <v>Bishnupuriya</v>
          </cell>
          <cell r="C4">
            <v>9886354390</v>
          </cell>
          <cell r="D4" t="str">
            <v>A-153, The Pinnacle</v>
          </cell>
          <cell r="E4" t="str">
            <v>Artemis</v>
          </cell>
          <cell r="F4" t="str">
            <v>Sunday</v>
          </cell>
          <cell r="G4" t="str">
            <v>By 10:30 AM</v>
          </cell>
          <cell r="H4">
            <v>2600</v>
          </cell>
          <cell r="I4">
            <v>2600</v>
          </cell>
          <cell r="J4" t="str">
            <v>Bouquet</v>
          </cell>
          <cell r="K4" t="str">
            <v>12 Lilies and 2 Buttin Daisy as Bouquet</v>
          </cell>
          <cell r="N4" t="str">
            <v>1  del of this cycle   -  1-cycles pmnt   Pending - Collect 2600</v>
          </cell>
          <cell r="O4" t="e">
            <v>#N/A</v>
          </cell>
          <cell r="P4" t="e">
            <v>#N/A</v>
          </cell>
          <cell r="Q4" t="e">
            <v>#N/A</v>
          </cell>
          <cell r="R4" t="e">
            <v>#N/A</v>
          </cell>
          <cell r="S4" t="e">
            <v>#N/A</v>
          </cell>
          <cell r="T4" t="str">
            <v xml:space="preserve">P n Y Asiatic + G Button Dausy 12 + 2 Walkin Tissue Wrap    </v>
          </cell>
        </row>
        <row r="5">
          <cell r="A5">
            <v>3166</v>
          </cell>
          <cell r="B5" t="str">
            <v>Mona Gupta</v>
          </cell>
          <cell r="C5">
            <v>9999284587</v>
          </cell>
          <cell r="D5" t="str">
            <v>A-200, 2nd Floor, Today Blossomes-1, Sec 47</v>
          </cell>
          <cell r="E5" t="str">
            <v>Nirvana Country</v>
          </cell>
          <cell r="F5" t="str">
            <v>Sunday</v>
          </cell>
          <cell r="G5" t="str">
            <v>9 AM - 12 PM</v>
          </cell>
          <cell r="H5">
            <v>1450</v>
          </cell>
          <cell r="I5">
            <v>362.5</v>
          </cell>
          <cell r="J5" t="str">
            <v>Bliss</v>
          </cell>
          <cell r="K5" t="str">
            <v>Hold due to non payment (26/12) Payment from Monica Gupta (28/12) Hold due to non payment (18/01) Start from May (12/04) Four plus 1 Pack (12/04) Returned today and skip 1 week (03/05) Replacement tom (18/05) HDTNP (24/05) From Monica Gupta (24/05) HDTNP (27/05) No Carnations for next 3 deliveries (27/05) Refund 2 delivery cost and closed (01/06)</v>
          </cell>
          <cell r="M5" t="str">
            <v xml:space="preserve"> No Carnations for next 4 deliveries (27/05)</v>
          </cell>
          <cell r="N5" t="str">
            <v>2  del of this cycle   -  0-cycles pmnt   Completed - Collect 0</v>
          </cell>
          <cell r="O5" t="e">
            <v>#N/A</v>
          </cell>
          <cell r="P5" t="e">
            <v>#N/A</v>
          </cell>
          <cell r="Q5" t="e">
            <v>#N/A</v>
          </cell>
          <cell r="R5" t="e">
            <v>#N/A</v>
          </cell>
          <cell r="S5" t="e">
            <v>#N/A</v>
          </cell>
          <cell r="T5" t="str">
            <v>P Asiatic ( 14 Inch ) 3     Grass</v>
          </cell>
        </row>
        <row r="6">
          <cell r="A6">
            <v>3243</v>
          </cell>
          <cell r="B6" t="str">
            <v>Muskan</v>
          </cell>
          <cell r="C6">
            <v>9877561166</v>
          </cell>
          <cell r="D6" t="str">
            <v>Floor - 6, Flat 601, Milan Appartment, CGHS</v>
          </cell>
          <cell r="E6" t="str">
            <v>Artemis</v>
          </cell>
          <cell r="F6" t="str">
            <v>Sunday</v>
          </cell>
          <cell r="G6" t="str">
            <v>10 AM to 2:30 PM</v>
          </cell>
          <cell r="H6">
            <v>1450</v>
          </cell>
          <cell r="I6">
            <v>362.5</v>
          </cell>
          <cell r="J6" t="str">
            <v>Bliss</v>
          </cell>
          <cell r="K6" t="str">
            <v>One Kind // Day Sunday (26/03) Mix in Joy (23/04) Change to bliss (21/06)</v>
          </cell>
          <cell r="M6" t="str">
            <v>Mix in Joy (23/04)</v>
          </cell>
          <cell r="N6" t="str">
            <v>4  del of this cycle   -  0-cycles pmnt   Completed - Collect 0</v>
          </cell>
          <cell r="O6" t="str">
            <v>P n Y Spray Daisy ( 14 Inch ) 7     FF Sachet + Grass</v>
          </cell>
          <cell r="P6" t="str">
            <v>Pur n P Car ( 14 Inch ) 22     FF Sachet + Grass</v>
          </cell>
          <cell r="Q6" t="str">
            <v>B Daisy ( 12 Inch ) 16     Grass</v>
          </cell>
          <cell r="R6" t="str">
            <v>Sunflower ( 12 Inch ) 4     FF Sachet + Grass</v>
          </cell>
          <cell r="S6" t="str">
            <v>P Asiatic ( 14 Inch ) 3     Grass</v>
          </cell>
          <cell r="T6" t="str">
            <v>P n Y Spray Daisy ( 14 Inch ) 5     FF Sachet + Grass</v>
          </cell>
        </row>
        <row r="7">
          <cell r="A7" t="str">
            <v>B56437</v>
          </cell>
          <cell r="B7" t="str">
            <v>Devika</v>
          </cell>
          <cell r="C7">
            <v>9818774223</v>
          </cell>
          <cell r="D7" t="str">
            <v>D-0002, Grand Arch, Sec 58</v>
          </cell>
          <cell r="E7" t="str">
            <v>Ghata</v>
          </cell>
          <cell r="F7" t="str">
            <v>Sunday</v>
          </cell>
          <cell r="G7" t="str">
            <v>By 10 AM</v>
          </cell>
          <cell r="H7">
            <v>920</v>
          </cell>
          <cell r="I7">
            <v>920</v>
          </cell>
          <cell r="J7" t="str">
            <v>Bouquet</v>
          </cell>
          <cell r="K7" t="str">
            <v>From Devika bouquet// Dear Dada and Savita,  Happy Anniversary   Love : Dad and Devoo (11/07(</v>
          </cell>
          <cell r="N7" t="str">
            <v>1  del of this cycle   -  0-cycles pmnt   In Process - Collect 0</v>
          </cell>
          <cell r="O7" t="e">
            <v>#N/A</v>
          </cell>
          <cell r="P7" t="e">
            <v>#N/A</v>
          </cell>
          <cell r="Q7" t="e">
            <v>#N/A</v>
          </cell>
          <cell r="R7" t="e">
            <v>#N/A</v>
          </cell>
          <cell r="S7" t="e">
            <v>#N/A</v>
          </cell>
          <cell r="T7" t="str">
            <v xml:space="preserve">P Asiatic + Rajni 4 + 8 Walkin Tissue Wrap Message   </v>
          </cell>
        </row>
        <row r="8">
          <cell r="A8">
            <v>234</v>
          </cell>
          <cell r="B8" t="str">
            <v>jaya Chakrabarti-- Before 10 AM</v>
          </cell>
          <cell r="C8">
            <v>9810390185</v>
          </cell>
          <cell r="D8" t="str">
            <v>A 56, FF, south City 2, sonha road, gurgaon</v>
          </cell>
          <cell r="E8" t="str">
            <v>Nirvana Country</v>
          </cell>
          <cell r="F8" t="str">
            <v>Sunday</v>
          </cell>
          <cell r="G8" t="str">
            <v>9 AM - 12 PM</v>
          </cell>
          <cell r="H8">
            <v>1450</v>
          </cell>
          <cell r="I8">
            <v>362.5</v>
          </cell>
          <cell r="J8" t="str">
            <v>Bliss</v>
          </cell>
          <cell r="K8" t="str">
            <v>Friday n MOnday(31/03) NO BOP N HELICONIA// and send rajni next(28/03) Upgrade to 1450 and NO HELICONIA (02/03) Shift to bliss (27/04) Rajni Next (29/06) Shift to Sunday now (30/06) Today returned(20/09) Today Returned (10/12) Today returned (11/04) Received one payment today (12/11) HDTNP (01/03) HDTNP (08/03) HDTNP (14/03)</v>
          </cell>
          <cell r="L8" t="str">
            <v>BOP n HELICONIA</v>
          </cell>
          <cell r="N8" t="str">
            <v>3  del of this cycle   -  0-cycles pmnt   Completed - Collect 0</v>
          </cell>
          <cell r="O8" t="str">
            <v>Sunflower ( 12 Inch ) 4     FF Sachet + Grass</v>
          </cell>
          <cell r="P8" t="str">
            <v>Pur n P Car ( 14 Inch ) 16     FF Sachet + Grass</v>
          </cell>
          <cell r="Q8" t="str">
            <v>Pur Eustoma ( 12 Inch ) 3     FF Sachet + Grass</v>
          </cell>
          <cell r="R8" t="str">
            <v>P Asiatic ( 14 Inch ) 3     Grass</v>
          </cell>
          <cell r="S8" t="str">
            <v>Rajni ( 14 Inch ) 16     Grass</v>
          </cell>
          <cell r="T8" t="str">
            <v>Sunflower ( 12 Inch ) 4     FF Sachet + Grass</v>
          </cell>
        </row>
        <row r="9">
          <cell r="A9">
            <v>2192</v>
          </cell>
          <cell r="B9" t="str">
            <v>Prabhdeep Kaur</v>
          </cell>
          <cell r="C9">
            <v>7456879082</v>
          </cell>
          <cell r="D9" t="str">
            <v>C-173, 2nd Floor,South City 2</v>
          </cell>
          <cell r="E9" t="str">
            <v>Nirvana Country</v>
          </cell>
          <cell r="F9" t="str">
            <v>Sunday</v>
          </cell>
          <cell r="G9" t="str">
            <v>9 AM - 12 PM</v>
          </cell>
          <cell r="H9">
            <v>1450</v>
          </cell>
          <cell r="I9">
            <v>362.5</v>
          </cell>
          <cell r="J9" t="str">
            <v>Bliss</v>
          </cell>
          <cell r="K9" t="str">
            <v>Today Returned (18/08) Gpay from Preity Dadwal (20/10) Hold after current cuycle (22/12) Today Returned (29/12) Today returned (17/08) Today returned (16/11) Do not count 25th Jan Del (01/03) Pne more payment received today (2/03) Sent one del today -skip tom (07/03) Today Returned (21/06)</v>
          </cell>
          <cell r="N9" t="str">
            <v>1  del of this cycle   -  1-cycles pmnt  In Process - Collect 0</v>
          </cell>
          <cell r="O9" t="str">
            <v>P n W Glad ( 14 Inch ) 16     Grass</v>
          </cell>
          <cell r="P9" t="str">
            <v>Pur n P Car ( 14 Inch ) 16     FF Sachet + Grass</v>
          </cell>
          <cell r="Q9" t="str">
            <v>P Eustoma ( 12 Inch ) 3     FF Sachet + Grass</v>
          </cell>
          <cell r="R9" t="str">
            <v>Sunflower ( 12 Inch ) 4     FF Sachet + Grass</v>
          </cell>
          <cell r="S9" t="str">
            <v>Rajni ( 14 Inch ) 16     Grass</v>
          </cell>
          <cell r="T9" t="str">
            <v>O Asiatic ( 14 Inch ) 3     Grass</v>
          </cell>
        </row>
        <row r="10">
          <cell r="A10">
            <v>2481</v>
          </cell>
          <cell r="B10" t="str">
            <v>Puneet Mahajan</v>
          </cell>
          <cell r="C10">
            <v>9810110847</v>
          </cell>
          <cell r="D10" t="str">
            <v>D-19, 4th Floor, Siuth City -2, Opp Arcadia Mall</v>
          </cell>
          <cell r="E10" t="str">
            <v>Nirvana Country</v>
          </cell>
          <cell r="F10" t="str">
            <v>Sunday</v>
          </cell>
          <cell r="G10" t="str">
            <v>9 AM - 12 PM</v>
          </cell>
          <cell r="H10">
            <v>2300</v>
          </cell>
          <cell r="I10">
            <v>287.5</v>
          </cell>
          <cell r="J10" t="str">
            <v>Felicity</v>
          </cell>
          <cell r="K10" t="str">
            <v>Send Sponge// Day Changed to Sunday (16/04) Paytm From Sri Sai makers (20/04) Change to felicity (17/05)</v>
          </cell>
          <cell r="N10" t="str">
            <v>1  del of this cycle   -  1-cycles pmnt   Pending - Collect 2300</v>
          </cell>
          <cell r="O10" t="str">
            <v>Pur Eustoma ( 12 Inch ) 4     FF Sachet + Grass</v>
          </cell>
          <cell r="P10" t="str">
            <v>Rajni ( 14 Inch ) 11     Grass</v>
          </cell>
          <cell r="Q10" t="str">
            <v>B Daisy ( 12 Inch ) 11     Grass</v>
          </cell>
          <cell r="R10" t="str">
            <v>P n W Glad ( 14 Inch ) 11     Grass</v>
          </cell>
          <cell r="S10" t="str">
            <v>P n W Car ( 14 Inch ) 11     FF Sachet + Grass</v>
          </cell>
          <cell r="T10" t="str">
            <v>Mix Alstroemeria ( 12 Inch ) 11     FF Sachet + Grass</v>
          </cell>
        </row>
        <row r="11">
          <cell r="A11">
            <v>401</v>
          </cell>
          <cell r="B11" t="str">
            <v>Nameesha Verma -- Before 12PM</v>
          </cell>
          <cell r="C11">
            <v>9899240454</v>
          </cell>
          <cell r="D11" t="str">
            <v>D-4/102, Parsvanath Exotica</v>
          </cell>
          <cell r="E11" t="str">
            <v>DLF Phase 5</v>
          </cell>
          <cell r="F11" t="str">
            <v>Thursday</v>
          </cell>
          <cell r="G11" t="str">
            <v>Before 12 PM</v>
          </cell>
          <cell r="H11">
            <v>1600</v>
          </cell>
          <cell r="I11">
            <v>200</v>
          </cell>
          <cell r="J11" t="str">
            <v>Bloom</v>
          </cell>
          <cell r="K11" t="str">
            <v>Thursday n Sunday//Sat to Thurs//Send a repacement and No Rajni till it has fragrance(24/09)Skip 1 week(12/10)send  a replacement(22/11) Returne-send next week(13/12) Star 650 Pack(15/10) 17th Oct Del returned-pls update(07/11) Send Tom instead of sat this week(12/08) Sent a replacement today(01/09) Skip 1 week(12/11) Send on Monday this week(24/11) Skip this sunday (03/12) Sent replacement today (18/03) Send replacement tom (31/03) Skip 1 week (25/04) Now Bloom (19/05) Today returned (18/06) Skip 1 week (08/08) Hold n start after 8th Oct )(20/09) Skip next del (18/11) No Del till 2nd Jan (25/12) Skip tom (24/01) Hold till 17th Jube (05/06) Skip this sunday (18/07) Skip 1 week (13/08) Today returnde (16/01) Skip tom (15/02) Today returned as flowers got late (30/03) Hold till 12th Apr (02/04)Today Returned (11/05) Hold till 18th June (02/06) Hold till 18th June (02/06) Today Returned (13/09) Do not count last del (08/11) No Del till next wednesday (09/12) Hold todxay (28/12) Skip 1 week (04/02) 3 Car extra next (20/03) Skip 1 week (09/06)</v>
          </cell>
          <cell r="M11" t="str">
            <v>3 Car extra next (20/03)</v>
          </cell>
          <cell r="N11" t="str">
            <v>5  del of this cycle   -  0-cycles pmnt   Completed - Collect 0</v>
          </cell>
          <cell r="O11" t="str">
            <v>Pur n P Car ( 14 Inch ) 7     FF Sachet + Grass</v>
          </cell>
          <cell r="P11" t="e">
            <v>#N/A</v>
          </cell>
          <cell r="Q11" t="str">
            <v>Rajni ( 14 Inch ) 7     Grass</v>
          </cell>
          <cell r="R11" t="str">
            <v>P n W Glad ( 14 Inch ) 7     Grass</v>
          </cell>
          <cell r="S11" t="str">
            <v>B Daisy ( 12 Inch ) 7     Grass</v>
          </cell>
          <cell r="T11" t="str">
            <v>Y Spray Daisy ( 14 Inch ) 2     FF Sachet + Grass</v>
          </cell>
        </row>
        <row r="12">
          <cell r="A12">
            <v>237</v>
          </cell>
          <cell r="B12" t="str">
            <v>Mayom Hospital</v>
          </cell>
          <cell r="C12">
            <v>8860079525</v>
          </cell>
          <cell r="D12" t="str">
            <v>Mayom Hospital, D block south city 1</v>
          </cell>
          <cell r="E12" t="str">
            <v>South City 1</v>
          </cell>
          <cell r="F12" t="str">
            <v>Sunday</v>
          </cell>
          <cell r="G12" t="str">
            <v>9 AM - 12 PM</v>
          </cell>
          <cell r="H12">
            <v>3000</v>
          </cell>
          <cell r="I12">
            <v>375</v>
          </cell>
          <cell r="J12" t="str">
            <v>Corporate</v>
          </cell>
          <cell r="K12" t="str">
            <v>Sending on 20th instaed of 21st,bcoz of Holi(18/03) Send on Monday this week(20/03)</v>
          </cell>
          <cell r="N12" t="str">
            <v>3  del of this cycle   -  0-cycles pmnt   In Process - Collect 0</v>
          </cell>
          <cell r="O12" t="str">
            <v>Mix Alstroemeria ( 12 Inch ) 15     Grass</v>
          </cell>
          <cell r="P12" t="str">
            <v xml:space="preserve">P Eustoma ( 12 Inch ) 3     </v>
          </cell>
          <cell r="Q12" t="str">
            <v xml:space="preserve">P Eustoma ( 12 Inch ) 3     </v>
          </cell>
          <cell r="R12" t="str">
            <v>Mix Spray Daisy 5     Grass</v>
          </cell>
          <cell r="S12" t="str">
            <v>Rajni ( 14 Inch ) 15     Grass</v>
          </cell>
          <cell r="T12" t="str">
            <v xml:space="preserve">Mix Alstroemeria ( 12 Inch ) 12     </v>
          </cell>
        </row>
        <row r="13">
          <cell r="A13">
            <v>3401</v>
          </cell>
          <cell r="B13" t="str">
            <v>Asheesh Handa</v>
          </cell>
          <cell r="C13">
            <v>7042482828</v>
          </cell>
          <cell r="D13" t="str">
            <v>H. No. 28, Ground Floor, M2k Whitehouse, Sector 57</v>
          </cell>
          <cell r="E13" t="str">
            <v>Artemis</v>
          </cell>
          <cell r="F13" t="str">
            <v>Sunday</v>
          </cell>
          <cell r="G13" t="str">
            <v>9 AM to 2 PM</v>
          </cell>
          <cell r="H13">
            <v>1450</v>
          </cell>
          <cell r="I13">
            <v>362.5</v>
          </cell>
          <cell r="J13" t="str">
            <v>Bliss</v>
          </cell>
          <cell r="N13" t="str">
            <v>2  del of this cycle   -  0-cycles pmnt   Completed - Collect 0</v>
          </cell>
          <cell r="O13" t="e">
            <v>#N/A</v>
          </cell>
          <cell r="P13" t="e">
            <v>#N/A</v>
          </cell>
          <cell r="Q13" t="e">
            <v>#N/A</v>
          </cell>
          <cell r="R13" t="e">
            <v>#N/A</v>
          </cell>
          <cell r="S13" t="str">
            <v>Pur n P Car ( 14 Inch ) 16     FF Sachet + Grass</v>
          </cell>
          <cell r="T13" t="str">
            <v>Sunflower ( 12 Inch ) 4     FF Sachet + Grass</v>
          </cell>
        </row>
        <row r="14">
          <cell r="A14">
            <v>13</v>
          </cell>
          <cell r="B14" t="str">
            <v>Mr. Vipin Marwah</v>
          </cell>
          <cell r="C14" t="str">
            <v>9313496645//9350353662</v>
          </cell>
          <cell r="D14" t="str">
            <v>D5/502, Parsvanath Exotica</v>
          </cell>
          <cell r="E14" t="str">
            <v>DLF Phase 5</v>
          </cell>
          <cell r="F14" t="str">
            <v>Sunday</v>
          </cell>
          <cell r="G14" t="str">
            <v>9 AM - 12 PM</v>
          </cell>
          <cell r="H14">
            <v>2750</v>
          </cell>
          <cell r="I14">
            <v>687.5</v>
          </cell>
          <cell r="J14" t="str">
            <v>Elation</v>
          </cell>
          <cell r="K14" t="str">
            <v>Sat to Thurs//Only white Glad, if not available then Red Glad(21/05) Today hold-send on Sunday(23/06) Today agains hold as w glad were not avaiulbvale(26/06) Again Hold today -send on Sunday(30/06) Send 4 stick extra next (09/10) 4 Stick extra next (20/11) 26th Mar del returned (04/04) Hold today -send next week (25/06) Flowers were not vaibale-- today hold(16/07) Today Hold (10/09) hold todaty -send tom (01/10) Skip 1 week (02/10) Hold today (08/10) Today hold-send next week (26/11) Hold -send tom (31/12) Today Hold (19/05)  Today Hold *31/05)Hold today (02/06) Today hold (16/06) Today Hold (23/06) Hold Today (30/06) Today Hold (04/08) Today Hold (08/06) Hold today (15/06) Today Hold (03/08) Hold Today (24/08) Hold today (31/08) Hold due to non availability of white flowers -- send next week (04/01) Today hold -- send next week (15/02) Hold today (22/03) Today Hold (24/05) Today hold (14/06) Today hold (21/06) Today Hold (05/07)</v>
          </cell>
          <cell r="N14" t="str">
            <v>2  del of this cycle   -  1-cycles pmnt   Pending - Collect 2750</v>
          </cell>
          <cell r="O14" t="str">
            <v>O Glad ( 14 Inch ) 32     Grass</v>
          </cell>
          <cell r="P14" t="str">
            <v>W Glad ( 14 Inch ) 32     Grass</v>
          </cell>
          <cell r="Q14" t="str">
            <v>W Glad ( 15 Inch ) 32     Grass</v>
          </cell>
          <cell r="R14" t="str">
            <v>W Glad ( 14 Inch ) 32     Grass</v>
          </cell>
          <cell r="S14" t="str">
            <v>W Glad ( 14 Inch ) 32     Grass</v>
          </cell>
          <cell r="T14" t="str">
            <v>W Glad ( 14 Inch ) 32     Grass</v>
          </cell>
        </row>
        <row r="15">
          <cell r="A15">
            <v>2580</v>
          </cell>
          <cell r="B15" t="str">
            <v>Davinder Singh</v>
          </cell>
          <cell r="C15">
            <v>9999653332</v>
          </cell>
          <cell r="D15" t="str">
            <v>T-12/002, Close North</v>
          </cell>
          <cell r="E15" t="str">
            <v>Nirvana Country</v>
          </cell>
          <cell r="F15" t="str">
            <v>Sunday</v>
          </cell>
          <cell r="G15" t="str">
            <v>9 AM - 12 PM</v>
          </cell>
          <cell r="H15">
            <v>1450</v>
          </cell>
          <cell r="I15">
            <v>362.5</v>
          </cell>
          <cell r="J15" t="str">
            <v>Bliss</v>
          </cell>
          <cell r="K15" t="str">
            <v xml:space="preserve"> Hold due to non payment (12/10) Hold due to non payment (20/12) Hold due to non payment (18/01) Hold due to non payment (25/01) Hold due to non payment (01/02) Hold due to non payment (08/02) HDTNP (15/02) HDTNP (22/02) Skip 1 week (18/04)</v>
          </cell>
          <cell r="N15" t="str">
            <v>4  del of this cycle   -  0-cycles pmnt   Completed - Collect 0</v>
          </cell>
          <cell r="O15" t="str">
            <v>Y Spray Daisy ( 14 Inch ) 3 Mix Alstroemeria ( 12 Inch ) 7   FF Sachet + Grass</v>
          </cell>
          <cell r="P15" t="str">
            <v>Sunflower ( 12 Inch ) 2 Pur n P Car ( 14 Inch ) 7   FF Sachet + Grass</v>
          </cell>
          <cell r="Q15" t="str">
            <v>P Asiatic ( 14 Inch ) 2 B Daisy ( 12 Inch ) 7   Grass</v>
          </cell>
          <cell r="R15" t="str">
            <v>Pur Eustoma ( 12 inch ) 2 P n W Glad ( 14 Inch ) 7   FF Sachet + Grass</v>
          </cell>
          <cell r="S15" t="str">
            <v>Sunflower ( 12 Inch ) 2 B Daisy ( 12 Inch ) 7   FF Sachet + Grass</v>
          </cell>
          <cell r="T15" t="str">
            <v>O Asiatic ( 14 Inch ) 2 Mix Alstroemeria ( 12 Inch ) 7   Grass</v>
          </cell>
        </row>
        <row r="16">
          <cell r="A16">
            <v>870</v>
          </cell>
          <cell r="B16" t="str">
            <v>Himabindu Kanchan</v>
          </cell>
          <cell r="C16">
            <v>9892501292</v>
          </cell>
          <cell r="D16" t="str">
            <v xml:space="preserve">D -13, Pinnacle Dlf Phase - 5 </v>
          </cell>
          <cell r="E16" t="str">
            <v>DLF Phase 5</v>
          </cell>
          <cell r="F16" t="str">
            <v>Thursday</v>
          </cell>
          <cell r="G16" t="str">
            <v>9 AM - 12 PM</v>
          </cell>
          <cell r="H16">
            <v>1600</v>
          </cell>
          <cell r="I16">
            <v>200</v>
          </cell>
          <cell r="J16" t="str">
            <v>Bloom</v>
          </cell>
          <cell r="K16" t="str">
            <v>Sunday n Thursday//Fri to Thurs//FF Sold today(19/07) Skip n start from 23rd(08/08) P n Y Rose Next(15/11) 2 Stick Extra next(17/01) Hold-send tom(14/02) Orchids Next (18/08/20) Send 3 Sponge for 120 Rs.(19/08/20) Sending tom due to Diwali(11/11) Today returned-send next week(08/01) Skip 1 week(25/02) Skip 1 week(28/04) Glad Next(09/09) Skip 1 week(21/12) Skip 1 week(20/01) Hold Tom and skip 1 week(28/01) Skip 1 week(06/07) Receibved 695v extra today(23/07) Skip 2 weeks (21/12) Skip 1 week (08/02) No Renewal without payment (04/05) Hold today (28/12) Skip 1 week 902/01) Skip 1 week (07/02) Skip this sunday (16/02) Skip 1 week (06/04) Skip sunday del (09/05) Today hold (07/07) Hold HDTNP (12/03) tom (08/12) In form before sending (27/12) Skip next del (26/06) Hold today due to non payment (02/10) Skip week (22/12) HDTNP (01/03) HDTNP (04/03) HDTNP (08/03) HDTNP (14/03)</v>
          </cell>
          <cell r="N16" t="str">
            <v>7  del of this cycle   -  0-cycles pmnt   Completed - Collect 0</v>
          </cell>
          <cell r="O16" t="str">
            <v>Mix Alstroemeria ( 12 Inch ) 7     FF Sachet + Grass</v>
          </cell>
          <cell r="P16" t="str">
            <v>P Spray Daisy ( 14 Inch ) 2     FF Sachet + Grass</v>
          </cell>
          <cell r="Q16" t="str">
            <v>B Daisy ( 12 Inch ) 7     Grass</v>
          </cell>
          <cell r="R16" t="str">
            <v>P n W Glad ( 14 Inch ) 7     Grass</v>
          </cell>
          <cell r="S16" t="str">
            <v>Mix Alstroemeria 7     Grass</v>
          </cell>
          <cell r="T16" t="str">
            <v>Rajni ( 14 Inch ) 7     Grass</v>
          </cell>
        </row>
        <row r="17">
          <cell r="A17">
            <v>571</v>
          </cell>
          <cell r="B17" t="str">
            <v>Mrs. Singh</v>
          </cell>
          <cell r="C17">
            <v>9873099320</v>
          </cell>
          <cell r="D17" t="str">
            <v>D 42, pinnacle, Dlf ph 5, Golf course road</v>
          </cell>
          <cell r="E17" t="str">
            <v>DLF Phase 5</v>
          </cell>
          <cell r="F17" t="str">
            <v>Thursday</v>
          </cell>
          <cell r="G17" t="str">
            <v>9 AM - 12 PM</v>
          </cell>
          <cell r="H17">
            <v>1600</v>
          </cell>
          <cell r="I17">
            <v>200</v>
          </cell>
          <cell r="J17" t="str">
            <v>Bloom</v>
          </cell>
          <cell r="K17" t="str">
            <v>Thursday n Sunday//Send 3 stems extra in next del(09/10)Return-send Friday(01/01/19) NO CAR(05/06) 1 stick extra next week(11/06) Paytm from Sharad Kumar(13/08) Return-send next week(02/10) Send Tom instead of this week with gerbera(19/10) Return-send next week(31/12) SENDING ON 9TH DUE TO HOLI (08/03) Send on 4th (03/10) Return today (23/10) Do not count last delivery (22/04) Hold ans start after 10th (02/08)</v>
          </cell>
          <cell r="N17" t="str">
            <v>1  del of this cycle   -  1-cycles pmnt   Pending - Collect 1600</v>
          </cell>
          <cell r="O17" t="str">
            <v>Y Spray Daisy ( 14 Inch ) 2     FF Sachet + Grass</v>
          </cell>
          <cell r="P17" t="str">
            <v>Rajni ( 14 Inch ) 7     Grass</v>
          </cell>
          <cell r="Q17" t="str">
            <v>B Daisy ( 12 Inch ) 7     Grass</v>
          </cell>
          <cell r="R17" t="str">
            <v>P Spray Daisy ( 14 Inch ) 2     FF Sachet + Grass</v>
          </cell>
          <cell r="S17" t="str">
            <v>Rajni ( 14 Inch ) 7     Grass</v>
          </cell>
          <cell r="T17" t="str">
            <v>Mix Alstroemeria ( 12 Inch ) 7     FF Sachet + Grass</v>
          </cell>
        </row>
        <row r="18">
          <cell r="A18">
            <v>3277</v>
          </cell>
          <cell r="B18" t="str">
            <v>M2K</v>
          </cell>
          <cell r="C18">
            <v>8595180468</v>
          </cell>
          <cell r="D18" t="str">
            <v>M2k</v>
          </cell>
          <cell r="E18" t="str">
            <v>Nirvana Country</v>
          </cell>
          <cell r="F18" t="str">
            <v>Tuesday</v>
          </cell>
          <cell r="G18" t="str">
            <v>By 8 AM</v>
          </cell>
          <cell r="H18">
            <v>10500</v>
          </cell>
          <cell r="I18">
            <v>350</v>
          </cell>
          <cell r="J18" t="str">
            <v>Corporate</v>
          </cell>
          <cell r="N18" t="str">
            <v>4  del of this cycle   -  0-cycles pmnt   In Process - Collect 0</v>
          </cell>
          <cell r="O18" t="str">
            <v xml:space="preserve">Pooja Flower 1      </v>
          </cell>
          <cell r="P18" t="str">
            <v xml:space="preserve">Pooja Flowers  1     </v>
          </cell>
          <cell r="Q18" t="str">
            <v xml:space="preserve">Pooja Flowers  1     </v>
          </cell>
          <cell r="R18" t="str">
            <v xml:space="preserve">Pooja Flowers  1     </v>
          </cell>
          <cell r="S18" t="str">
            <v xml:space="preserve">Pooja Flowers       </v>
          </cell>
          <cell r="T18" t="str">
            <v xml:space="preserve">Pooja Flowes       </v>
          </cell>
        </row>
        <row r="19">
          <cell r="A19">
            <v>3214</v>
          </cell>
          <cell r="B19" t="str">
            <v>Sheeba Rana</v>
          </cell>
          <cell r="C19">
            <v>9958849523</v>
          </cell>
          <cell r="D19" t="str">
            <v>T-14/1202, The Close North</v>
          </cell>
          <cell r="E19" t="str">
            <v>Nirvana Country</v>
          </cell>
          <cell r="F19" t="str">
            <v>Sunday</v>
          </cell>
          <cell r="G19" t="str">
            <v>10 AM to 2:30 PM</v>
          </cell>
          <cell r="H19">
            <v>1450</v>
          </cell>
          <cell r="I19">
            <v>362.5</v>
          </cell>
          <cell r="J19" t="str">
            <v>Bliss</v>
          </cell>
          <cell r="K19" t="str">
            <v>Skip n send on 11th n then on preferred day</v>
          </cell>
          <cell r="N19" t="str">
            <v>3  del of this cycle   -  0-cycles pmnt   Completed - Collect 0</v>
          </cell>
          <cell r="O19" t="str">
            <v>Pur n P Car ( 14 Inch ) 9     FF Sachet + Grass</v>
          </cell>
          <cell r="P19" t="str">
            <v>Sunflower ( 12 Inch ) 2     FF Sachet + Grass</v>
          </cell>
          <cell r="Q19" t="str">
            <v>B Daisy ( 12 Inch ) 9     Grass</v>
          </cell>
          <cell r="R19" t="str">
            <v>P Asiatic ( 14 Inch ) 3     Grass</v>
          </cell>
          <cell r="S19" t="str">
            <v>Rajni ( 14 Inch ) 16     Grass</v>
          </cell>
          <cell r="T19" t="str">
            <v>Sunflower ( 12 Inch ) 4     FF Sachet + Grass</v>
          </cell>
        </row>
        <row r="20">
          <cell r="A20">
            <v>3347</v>
          </cell>
          <cell r="B20" t="str">
            <v>Damini Dasgupta</v>
          </cell>
          <cell r="C20">
            <v>9874672103</v>
          </cell>
          <cell r="D20" t="str">
            <v>Flat No. 102, @nd Floor, Satguru Appartments, Sec 52, Wazirabad</v>
          </cell>
          <cell r="E20" t="str">
            <v>Sector 56</v>
          </cell>
          <cell r="F20" t="str">
            <v>Sunday</v>
          </cell>
          <cell r="G20" t="str">
            <v>9 AM - 12 PM</v>
          </cell>
          <cell r="H20">
            <v>1950</v>
          </cell>
          <cell r="I20">
            <v>487.5</v>
          </cell>
          <cell r="J20" t="str">
            <v>Joy</v>
          </cell>
          <cell r="K20" t="str">
            <v>Skip 1 week (09/05) Returned today (17/05) Returned today and skip 1 more week (07/06)</v>
          </cell>
          <cell r="N20" t="str">
            <v>3  del of this cycle   -  0-cycles pmnt   Completed - Collect 0</v>
          </cell>
          <cell r="O20" t="str">
            <v>Mix Alstroemeria ( 12 Inch ) 32     FF Sachet + Grass</v>
          </cell>
          <cell r="P20" t="e">
            <v>#N/A</v>
          </cell>
          <cell r="Q20" t="str">
            <v>B Daisy ( 12 Inch ) 22     FF Sachet + Grass</v>
          </cell>
          <cell r="R20" t="str">
            <v>Sunflower ( 12 Inch ) 5     FF Sachet + Grass</v>
          </cell>
          <cell r="S20" t="str">
            <v>P Asiatic ( 14 Inch ) 4     Grass</v>
          </cell>
          <cell r="T20" t="str">
            <v>G n W Car ( 14 Inch ) 22     FF Sachet + Grass</v>
          </cell>
        </row>
        <row r="21">
          <cell r="A21">
            <v>2869</v>
          </cell>
          <cell r="B21" t="str">
            <v>Jaya Wanchoo</v>
          </cell>
          <cell r="C21">
            <v>8130245666</v>
          </cell>
          <cell r="D21" t="str">
            <v xml:space="preserve">T-8/603, The Close North
</v>
          </cell>
          <cell r="E21" t="str">
            <v>Nirvana Country</v>
          </cell>
          <cell r="F21" t="str">
            <v>Sunday</v>
          </cell>
          <cell r="G21" t="str">
            <v>10 AM to 2:30 PM</v>
          </cell>
          <cell r="H21">
            <v>2750</v>
          </cell>
          <cell r="I21">
            <v>687.5</v>
          </cell>
          <cell r="J21" t="str">
            <v>Elation</v>
          </cell>
          <cell r="N21" t="str">
            <v>1  del of this cycle   -  1-cycles pmnt   Pending - Collect 2750</v>
          </cell>
          <cell r="O21" t="str">
            <v>Pur n P Eustoma ( 12 Inch ) 4 Mix Alstroemeria ( 12 Inch ) 16   2 Gypsola + FF sachet</v>
          </cell>
          <cell r="P21" t="str">
            <v>O Asiatic ( 14 Inch ) 3 Pur n P Car ( 14 Inch ) 16   2 Limonium</v>
          </cell>
          <cell r="Q21" t="str">
            <v>P n Y Spray Daisy ( 14 Inch ) 5 B Daisy ( 12 Inch ) 16   2 Gypsola + FF Sachet</v>
          </cell>
          <cell r="R21" t="str">
            <v>Sunflower ( 12 Inch ) 4 P n W Glad ( 14 Inch ) 16   2 Limonium + FF sachet</v>
          </cell>
          <cell r="S21" t="str">
            <v>BOP 3 Rajni ( 14 Inch ) 16   2 Gypsola</v>
          </cell>
          <cell r="T21" t="str">
            <v>P Asiatic ( 14 Inch ) 3 G n W Car ( 14 Inch ) 16   2 Limonium</v>
          </cell>
        </row>
        <row r="22">
          <cell r="A22">
            <v>3245</v>
          </cell>
          <cell r="B22" t="str">
            <v>Parul Parihar</v>
          </cell>
          <cell r="C22">
            <v>9999903582</v>
          </cell>
          <cell r="D22" t="str">
            <v>502, Adhunil Appartments, Sec 52</v>
          </cell>
          <cell r="E22" t="str">
            <v>Artemis</v>
          </cell>
          <cell r="F22" t="str">
            <v>Sunday</v>
          </cell>
          <cell r="G22" t="str">
            <v>9 AM - 12 PM</v>
          </cell>
          <cell r="H22">
            <v>1450</v>
          </cell>
          <cell r="I22">
            <v>362.5</v>
          </cell>
          <cell r="J22" t="str">
            <v>Bliss</v>
          </cell>
          <cell r="N22" t="str">
            <v>3  del of this cycle   -  0-cycles pmnt   Completed - Collect 0</v>
          </cell>
          <cell r="O22" t="str">
            <v>P n W Spray Daisy ( 14 Inch) 5     FF Sachet + Grass</v>
          </cell>
          <cell r="P22" t="str">
            <v>P n W Glad ( 14 Inch ) 16     Grass</v>
          </cell>
          <cell r="Q22" t="str">
            <v>Pur Eustoma ( 12 Inch ) 3     FF Sachet + Grass</v>
          </cell>
          <cell r="R22" t="str">
            <v>P Asiatic ( 14 Inch ) 3     Grass</v>
          </cell>
          <cell r="S22" t="str">
            <v>Rajni ( 14 Inch ) 16     Grass</v>
          </cell>
          <cell r="T22" t="str">
            <v>G n W Car ( 14 Inch ) 16     Grass</v>
          </cell>
        </row>
        <row r="23">
          <cell r="A23">
            <v>2255</v>
          </cell>
          <cell r="B23" t="str">
            <v>Prerna -- Rosewood</v>
          </cell>
          <cell r="C23">
            <v>9910778929</v>
          </cell>
          <cell r="D23" t="str">
            <v>D-154, Rosewood City, Sector 50</v>
          </cell>
          <cell r="E23" t="str">
            <v>Nirvana Country</v>
          </cell>
          <cell r="F23" t="str">
            <v>Sunday</v>
          </cell>
          <cell r="G23" t="str">
            <v>9:30 Am to 2 PM</v>
          </cell>
          <cell r="H23">
            <v>1450</v>
          </cell>
          <cell r="I23">
            <v>362.5</v>
          </cell>
          <cell r="J23" t="str">
            <v>Bliss</v>
          </cell>
          <cell r="K23" t="str">
            <v>Sent replacement today (21/04) Skip 1 week (04/12) Skip tom (14/06) Return today (06/07) 27th Del Missed (03/08)Skip 22/23rd Nov (08/11) Paytm From Prerna Sharma // Skip 1 week (07/02) Hold n start after 9 th June (10/05)</v>
          </cell>
          <cell r="N23" t="str">
            <v>1  del of this cycle   -  1-cycles pmnt   Pending - Collect 1450</v>
          </cell>
          <cell r="O23" t="e">
            <v>#N/A</v>
          </cell>
          <cell r="P23" t="str">
            <v>Pur n P Car ( 14 Inch ) 16     FF Sachet + Grass</v>
          </cell>
          <cell r="Q23" t="str">
            <v>Pur Eustoma ( 12 Inch ) 3     FF Sachet + Grass</v>
          </cell>
          <cell r="R23" t="str">
            <v>Rajni 16     Grass</v>
          </cell>
          <cell r="S23" t="str">
            <v>Sunflower ( 12 Inch ) 4     FF Sachet + Grass</v>
          </cell>
          <cell r="T23" t="str">
            <v>P n W Glad ( 14 Inch ) 16     Grass</v>
          </cell>
        </row>
        <row r="24">
          <cell r="A24">
            <v>1656</v>
          </cell>
          <cell r="B24" t="str">
            <v>Eva-Pinnacle</v>
          </cell>
          <cell r="C24">
            <v>9560609907</v>
          </cell>
          <cell r="D24" t="str">
            <v>C-93, The Pinnacle</v>
          </cell>
          <cell r="E24" t="str">
            <v>DLF Phase 5</v>
          </cell>
          <cell r="F24" t="str">
            <v>Thursday</v>
          </cell>
          <cell r="G24" t="str">
            <v>9:30 Am to 2 PM</v>
          </cell>
          <cell r="H24">
            <v>1450</v>
          </cell>
          <cell r="I24">
            <v>362.5</v>
          </cell>
          <cell r="J24" t="str">
            <v>Bliss</v>
          </cell>
          <cell r="K24" t="str">
            <v>Paytm From Arvind Pachhapur(24/02) 750 pack-- Car//Guldawari//Rajni//Orchid//Asiatic(23/03) Hold today and send next6 week(14/04) Hold n start from 19th June(16/06) Skip 1 week (05/01) Received one more payment today (26/01) Payment was in process (20/03) Skip 1 week (28/06) Skip 1 week (29/06) Skip 3 week (21/05)</v>
          </cell>
          <cell r="N24" t="str">
            <v>1  del of this cycle   -  1-cycles pmnt   Pending - Collect 1450</v>
          </cell>
          <cell r="O24" t="e">
            <v>#N/A</v>
          </cell>
          <cell r="P24" t="e">
            <v>#N/A</v>
          </cell>
          <cell r="Q24" t="e">
            <v>#N/A</v>
          </cell>
          <cell r="R24" t="e">
            <v>#N/A</v>
          </cell>
          <cell r="S24" t="e">
            <v>#N/A</v>
          </cell>
          <cell r="T24" t="str">
            <v>G n W Car ( 14 Inch ) 16     FF Sachet + Grass</v>
          </cell>
        </row>
        <row r="25">
          <cell r="A25">
            <v>1438</v>
          </cell>
          <cell r="B25" t="str">
            <v>Aishwarya G Aiyar</v>
          </cell>
          <cell r="C25">
            <v>9884857311</v>
          </cell>
          <cell r="D25" t="str">
            <v>A-173, The Pinnacle</v>
          </cell>
          <cell r="E25" t="str">
            <v>DLF Phase 5</v>
          </cell>
          <cell r="F25" t="str">
            <v>Thursday</v>
          </cell>
          <cell r="G25" t="str">
            <v>9 AM - 12 PM</v>
          </cell>
          <cell r="H25">
            <v>1600</v>
          </cell>
          <cell r="I25">
            <v>200</v>
          </cell>
          <cell r="J25" t="str">
            <v>Bloom</v>
          </cell>
          <cell r="K25" t="str">
            <v>Sunday n Thursday//Changed to Thursday//Ref By Vidya Raja(29/06) 10 Rajni and 10 Glad Next(03/07) Bop and car Next(10/07) Asiatic n car Next(17/07) Oriental and Rajni next(24/07) 3 Anthurium and 15 Glad tom(31/07) Mix of 2 flowers next(07/08) Sent replacement of Oriental today(26/08) NO HELICONIA and BOP and send Spray daisy(02/10) Skip 1 week(11/10) Now JOY(30/03) Skip 1 week(06/04) Holdn n skip this week(21/04) Skip 1 week(30/05) Hold n start from July(11/06) Skip this sunday delivery(05/08) Skip 1 week(30/08) Skip this sunday delivery(16/09) Paytm From Vivek Raja// Skip 1 week (26/04) Now bloom (01/05) Hold till 11th June (31/05) Hold n start from Aug and inform before sending (11/07) Skip 1 week (26/09) Today Retirned (02/11) Today Hold (16/11) Hold today 928/12) Hold for Thursday (05/03) Returned (10/03) Skip this sunday (24/05) Skip 1 week (02/06) Returned ltoday (29/08) Today Returned (05/09) Hols today (31/10) Skip 1 week (18/01) Skip this week (07/03) Skip 19th and 23rd (19/10) Hold 25th Del ( 23/01) Skip sunday (18/02) Skip sunday (27/03) Dont ring bell -- keep at Door (17/05) Skip thursday (15/06)</v>
          </cell>
          <cell r="N25" t="str">
            <v>4  del of this cycle   -  1-cycles pmnt   Pending - Collect 1600</v>
          </cell>
          <cell r="O25" t="str">
            <v>P Spray Daisy ( 14 Inch ) 2     FF Sachet + Grass</v>
          </cell>
          <cell r="P25" t="str">
            <v>Rajni ( 14 Inch ) 7     Grass</v>
          </cell>
          <cell r="Q25" t="str">
            <v>B Daisy ( 12 Inch ) 7     Grass</v>
          </cell>
          <cell r="R25" t="str">
            <v>Sunflower ( 12 Inch ) 2     FF Sachet + Grass</v>
          </cell>
          <cell r="S25" t="str">
            <v>Mix Alstroemeria 7     Grass</v>
          </cell>
          <cell r="T25" t="str">
            <v>G n W Car ( 14 Inch ) 7     FF Sachet + Grass</v>
          </cell>
        </row>
        <row r="26">
          <cell r="A26">
            <v>2779</v>
          </cell>
          <cell r="B26" t="str">
            <v>Riddhi Desai</v>
          </cell>
          <cell r="C26">
            <v>8130497969</v>
          </cell>
          <cell r="D26" t="str">
            <v>D-71, The Icon</v>
          </cell>
          <cell r="E26" t="str">
            <v>Golf Course Road</v>
          </cell>
          <cell r="F26" t="str">
            <v>Sunday</v>
          </cell>
          <cell r="G26" t="str">
            <v>9 AM to 2 PM</v>
          </cell>
          <cell r="H26">
            <v>1600</v>
          </cell>
          <cell r="I26">
            <v>200</v>
          </cell>
          <cell r="J26" t="str">
            <v>Bloom</v>
          </cell>
          <cell r="K26" t="str">
            <v>Send this week on Saturday (14/08) Skip 1 week (21/12) Hold till 2nd June (20/05)</v>
          </cell>
          <cell r="N26" t="str">
            <v>1  del of this cycle   -  1-cycles pmnt   Pending - Collect 1600</v>
          </cell>
          <cell r="O26" t="str">
            <v>Mix Alstroemeria ( 12 Inch ) 7     FF Sachet + Grass</v>
          </cell>
          <cell r="P26" t="str">
            <v>B Daisy ( 12 Inch ) 7     FF Sachet + Grass</v>
          </cell>
          <cell r="Q26" t="str">
            <v>P n W Glad ( 14 Inch ) 7     Grass</v>
          </cell>
          <cell r="R26" t="str">
            <v>Pur n P Car ( 14 Inch 7     FF Sachet + Grass</v>
          </cell>
          <cell r="S26" t="str">
            <v>Mix Alstroemeria 7     Grass</v>
          </cell>
          <cell r="T26" t="str">
            <v>Y Spray Daisy ( 14 Inch ) 2     FF Sachet + Grass</v>
          </cell>
        </row>
        <row r="27">
          <cell r="A27">
            <v>3364</v>
          </cell>
          <cell r="B27" t="str">
            <v xml:space="preserve">Shipra Malhotra </v>
          </cell>
          <cell r="C27">
            <v>9819952391</v>
          </cell>
          <cell r="D27" t="str">
            <v>F-12, First Floor, Galaxy Apartments</v>
          </cell>
          <cell r="E27" t="str">
            <v>DLF Phase 5</v>
          </cell>
          <cell r="F27" t="str">
            <v>Sunday</v>
          </cell>
          <cell r="G27" t="str">
            <v>After 5.30  Pm</v>
          </cell>
          <cell r="H27">
            <v>2750</v>
          </cell>
          <cell r="I27">
            <v>687.5</v>
          </cell>
          <cell r="J27" t="str">
            <v>Elation</v>
          </cell>
          <cell r="K27" t="str">
            <v>Same Flowers in her Both subscription // Skip 1 week and next week send after 5 PM (17/06)</v>
          </cell>
          <cell r="M27" t="str">
            <v>After 5 PM on 28th (17/06)</v>
          </cell>
          <cell r="N27" t="str">
            <v>4  del of this cycle   -  0-cycles pmnt   Completed - Collect 0</v>
          </cell>
          <cell r="O27" t="e">
            <v>#N/A</v>
          </cell>
          <cell r="P27" t="str">
            <v>Pur n P Car ( 14 Inch ) 32     2 Gypsola + FF sachet</v>
          </cell>
          <cell r="Q27" t="e">
            <v>#N/A</v>
          </cell>
          <cell r="R27" t="str">
            <v>Sunflower ( 12 Inch ) 8     2 Limonium + FF sachet</v>
          </cell>
          <cell r="S27" t="str">
            <v>P Asiatic ( 14 Inch ) 6     2 Gypsola</v>
          </cell>
          <cell r="T27" t="str">
            <v>Mix Carnation 32     2 Limonium + FF Sachet</v>
          </cell>
        </row>
        <row r="28">
          <cell r="A28">
            <v>2724</v>
          </cell>
          <cell r="B28" t="str">
            <v>Kavita Dahiya</v>
          </cell>
          <cell r="C28">
            <v>9873400017</v>
          </cell>
          <cell r="D28" t="str">
            <v>H. No. 1391, 2nd Floor,  Sec-57 Part -2</v>
          </cell>
          <cell r="E28" t="str">
            <v>Artemis</v>
          </cell>
          <cell r="F28" t="str">
            <v>Sunday</v>
          </cell>
          <cell r="G28" t="str">
            <v>9:30 AM to 2 PM</v>
          </cell>
          <cell r="H28">
            <v>1450</v>
          </cell>
          <cell r="I28">
            <v>362.5</v>
          </cell>
          <cell r="J28" t="str">
            <v>Bliss</v>
          </cell>
          <cell r="K28" t="str">
            <v>Send on Sunday this week (27/08) No gerbera (12/09) No Sunflowers (15/11) Skip 1 week (30/12) Hold n collect 500 tom (25/02)</v>
          </cell>
          <cell r="L28" t="str">
            <v>Gerbera n Sunflower</v>
          </cell>
          <cell r="N28" t="str">
            <v>4  del of this cycle   -  0-cycles pmnt   CompletedNO COLLECTION-we have extra money - Collect -9</v>
          </cell>
          <cell r="O28" t="e">
            <v>#N/A</v>
          </cell>
          <cell r="P28" t="e">
            <v>#N/A</v>
          </cell>
          <cell r="Q28" t="str">
            <v>Pur n P Car ( 14 Inch ) 16     FF Sachet + Grass</v>
          </cell>
          <cell r="R28" t="str">
            <v>Sunflower ( 12 Inch ) 4     FF Sachet + Grass</v>
          </cell>
          <cell r="S28" t="str">
            <v>Rajni ( 14 Inch ) 16     Grass</v>
          </cell>
          <cell r="T28" t="str">
            <v>O Asiatic ( 14 Inch ) 3     Grass</v>
          </cell>
        </row>
        <row r="29">
          <cell r="A29">
            <v>3018</v>
          </cell>
          <cell r="B29" t="str">
            <v>Gurrit Kaur sethi</v>
          </cell>
          <cell r="C29">
            <v>9810918222</v>
          </cell>
          <cell r="D29" t="str">
            <v>T-2/201, Unitech Escape</v>
          </cell>
          <cell r="E29" t="str">
            <v>Nirvana Country</v>
          </cell>
          <cell r="F29" t="str">
            <v>Sunday</v>
          </cell>
          <cell r="G29" t="str">
            <v>9 AM - 12 PM</v>
          </cell>
          <cell r="H29">
            <v>1450</v>
          </cell>
          <cell r="I29">
            <v>362.5</v>
          </cell>
          <cell r="J29" t="str">
            <v>Bliss</v>
          </cell>
          <cell r="N29" t="str">
            <v>3  del of this cycle   -  0-cycles pmnt   Completed - Collect 0</v>
          </cell>
          <cell r="O29" t="str">
            <v>P n W Glad ( 14 Inch ) 9     Grass</v>
          </cell>
          <cell r="P29" t="str">
            <v>Sunflower ( 12 Inch ) 2     FF Sachet + Grass</v>
          </cell>
          <cell r="Q29" t="str">
            <v>B Daisy ( 12 Inch ) 9     Grass</v>
          </cell>
          <cell r="R29" t="str">
            <v>Pur n P Car ( 14 Inch 16     FF Sachet + Grass</v>
          </cell>
          <cell r="S29" t="str">
            <v>O Asiatic ( 14 Inch ) 3     Grass</v>
          </cell>
          <cell r="T29" t="str">
            <v>Rajni ( 14 Inch ) 16     Grass</v>
          </cell>
        </row>
        <row r="30">
          <cell r="A30">
            <v>2112</v>
          </cell>
          <cell r="B30" t="str">
            <v>Tarushi</v>
          </cell>
          <cell r="C30">
            <v>9999761657</v>
          </cell>
          <cell r="D30" t="str">
            <v>T-3/202, Emaar The Palm Terrace, Sec 66</v>
          </cell>
          <cell r="E30" t="str">
            <v>Badshahpur</v>
          </cell>
          <cell r="F30" t="str">
            <v>Sunday</v>
          </cell>
          <cell r="G30" t="str">
            <v>9 AM - 12 PM</v>
          </cell>
          <cell r="H30">
            <v>1450</v>
          </cell>
          <cell r="I30">
            <v>362.5</v>
          </cell>
          <cell r="J30" t="str">
            <v>Bliss</v>
          </cell>
          <cell r="K30" t="str">
            <v>Asiatic next (05/06) Send 150 in next del (07/06) 150 Returned (11/06) Rose Next (09/07) Skip 1 week (24/08) Pls hold today and send tomorrow (17/08) Aster in Subscription (19/10) Skip 1 week (07/11) Skip 1 week (26/12) Next Del on Friday evening slot (30/03) Hold n start from 18th May (28/04) Hold today n next also (23/06) Hold n start from Sep (27/07) Always long stem (27/04) Send 1 Oriental and 3 Car once a cycle (29/04) Skip 1 week (21/06) Skip 1 week (16/08) Today returned (19/10) Skip 1 week (01/11) New Address updated (23/11) Hold due to non payment (11/01) Hold due to non payment (18/01) Hold due to non payment (25/01) Hold due to non payment (01/02) Hold due to non payment (08/02) HDTNP(15/02) HDTNP (19/04) Paytm From Tarushi Rastogi (28/04) HFDTNP (05/07)</v>
          </cell>
          <cell r="M30" t="str">
            <v>Mixed Flowers n Long Stem  // 1 Oriental and 2 Car Next (14/05)</v>
          </cell>
          <cell r="N30" t="str">
            <v>4  del of this cycle   -   0 -cycles pmnt   Completed - Collect 0</v>
          </cell>
          <cell r="O30" t="str">
            <v>Y Spray Daisy ( 14 Inch ) 3 Mix Alstroemeria ( 12 Inch ) 7   FF Sachet + Grass</v>
          </cell>
          <cell r="P30" t="str">
            <v>P Eustoma ( 12 Inch ) 2 P n W Glad ( 14 Inch ) 7   FF Sachet + Grass</v>
          </cell>
          <cell r="Q30" t="str">
            <v>P Asiatic ( 14 Inch ) 2 B Daisy ( 12 Inch ) 7   Grass</v>
          </cell>
          <cell r="R30" t="str">
            <v>Sunflower ( 12 Inch ) 2 Pur n P Car ( 14 Inch ) 7   FF Sachet + Grass</v>
          </cell>
          <cell r="S30" t="e">
            <v>#N/A</v>
          </cell>
          <cell r="T30" t="str">
            <v>P Spray Daisy ( 14 Inch ) 3 Mix Alstroemeria ( 12 Inch ) 7   FF Sachet + Grass</v>
          </cell>
        </row>
        <row r="31">
          <cell r="A31">
            <v>190</v>
          </cell>
          <cell r="B31" t="str">
            <v>Itika Sharma--Before 11:30 AM</v>
          </cell>
          <cell r="C31">
            <v>9810045432</v>
          </cell>
          <cell r="D31" t="str">
            <v>T-10/503, The Close South</v>
          </cell>
          <cell r="E31" t="str">
            <v>Nirvana Country</v>
          </cell>
          <cell r="F31" t="str">
            <v>Saturday</v>
          </cell>
          <cell r="G31" t="str">
            <v>9 AM - 12 PM</v>
          </cell>
          <cell r="H31">
            <v>1450</v>
          </cell>
          <cell r="I31">
            <v>362.5</v>
          </cell>
          <cell r="J31" t="str">
            <v>Bliss</v>
          </cell>
          <cell r="K31" t="str">
            <v>no roses ever(09/06)30th Del treated as Comp(03/07)Today return-send next week(08/09)9th returned-send 10th(08/09)Referal credit of 225/- against reference of Hema Sharma transferred via paytm(09/09)Pls send 1 stick extra in next del(06/10)Sending a replacement on Thursday(16/10)Start from 1st Dec n address changed(24/11) S Rajni Next (08/12)S rajni next(09/12) Return-send tom(22/12) NO GERBERA(23/12) NO DAISY n send Rajni Next(29/12) Rajni next n NO ROSE(01/01) Rajni Next(06/01) Pl send Y Daisy next(21/01) Rajni Next (20/01) Car Next(26/01) rajni Next(13/02) Next Rajni(23/02) Y Daisy Next(03/03) Rose or Car Next(11/03) NO RAJNI FOR NEXT 1 MONTH(03/04) Send Orchid Next(13/05) Send Lilies next(23/05) Skip 1 week(12/11) NO GLAD n  1 Stick extra nect week(13/02) Hold n start from 1st week of August(05/07) Add changed(04/12) UPI from Ashissh K(08/01) Sent 1 Del today Don't send on 11th Apr(08/04) NO Pollen Flowers No w(07/02) Hold for 2 weeks (23/02) Add Changed (02/03) Hold till June End (09/06) Skip 1 week (08/08) Paytm From Ashish Kapoor--98717155522(02/11) Send 3 Stem extra next (03/11) Send replacement tom (16/02) 1 stem extra next (07/06) 1500 via cash and 200 via paytm (29/06) Skip sat and send on sunday (02/07) Paytm from Ashissh Kapoor (15/11) Skip 1 week (04/02) HDTNP (13/03) Hold today (21/03) Replacement tom (08/06) Today Returned (20/06) Send on Sunday instead of saturdeay (09/07)</v>
          </cell>
          <cell r="M31" t="str">
            <v>No flowers on sat snd sned on Sunday (02/07)</v>
          </cell>
          <cell r="N31" t="str">
            <v>1  del of this cycle   -  1-cycles pmnt   Pending - Collect 1450</v>
          </cell>
          <cell r="O31" t="e">
            <v>#N/A</v>
          </cell>
          <cell r="P31" t="e">
            <v>#N/A</v>
          </cell>
          <cell r="Q31" t="e">
            <v>#N/A</v>
          </cell>
          <cell r="R31" t="e">
            <v>#N/A</v>
          </cell>
          <cell r="S31" t="e">
            <v>#N/A</v>
          </cell>
          <cell r="T31" t="str">
            <v>G n W Car ( 14 Inch ) 16     FF Sachet + Grass</v>
          </cell>
        </row>
        <row r="32">
          <cell r="A32">
            <v>2378</v>
          </cell>
          <cell r="B32" t="str">
            <v>Dr. Juhi Saxena</v>
          </cell>
          <cell r="C32">
            <v>9958637975</v>
          </cell>
          <cell r="D32" t="str">
            <v>G-307, 2nd Floor, Sushant Lok -2, Sec 57</v>
          </cell>
          <cell r="E32" t="str">
            <v>Artemis</v>
          </cell>
          <cell r="F32" t="str">
            <v>Sunday</v>
          </cell>
          <cell r="G32" t="str">
            <v>9 AM - 12 PM</v>
          </cell>
          <cell r="H32">
            <v>1450</v>
          </cell>
          <cell r="I32">
            <v>362.5</v>
          </cell>
          <cell r="J32" t="str">
            <v>Bliss</v>
          </cell>
          <cell r="K32" t="str">
            <v>No Glad (17/01) Hold and start from May and inform before starting (09/04) Skip 1 week 901/05) hold n returned today (12/06) Skip tom and send on Saturday -- either Rajnigandha or Car (19/06) Add changed (23/06) No Sinflower (09/07)</v>
          </cell>
          <cell r="L32" t="str">
            <v>GLAD n Sunflowers</v>
          </cell>
          <cell r="N32" t="str">
            <v>3  del of this cycle   -  0-cycles pmnt   Completed - Collect 0</v>
          </cell>
          <cell r="O32" t="e">
            <v>#N/A</v>
          </cell>
          <cell r="P32" t="e">
            <v>#N/A</v>
          </cell>
          <cell r="Q32" t="e">
            <v>#N/A</v>
          </cell>
          <cell r="R32" t="str">
            <v>Pur n P Car ( 14 Inch 16     FF Sachet + Grass</v>
          </cell>
          <cell r="S32" t="str">
            <v>Sunflower ( 12 Inch ) 4     FF Sachet + Grass</v>
          </cell>
          <cell r="T32" t="str">
            <v>Rajni ( 14 Inch ) 16     Grass</v>
          </cell>
        </row>
        <row r="33">
          <cell r="A33">
            <v>3238</v>
          </cell>
          <cell r="B33" t="str">
            <v>Alka Verma</v>
          </cell>
          <cell r="C33">
            <v>9910437766</v>
          </cell>
          <cell r="D33" t="str">
            <v>T-10/101, Emaar palm Terraces Select</v>
          </cell>
          <cell r="E33" t="str">
            <v>Badshahpur</v>
          </cell>
          <cell r="F33" t="str">
            <v>Sunday</v>
          </cell>
          <cell r="G33" t="str">
            <v>9 AM - 12 PM</v>
          </cell>
          <cell r="H33">
            <v>1450</v>
          </cell>
          <cell r="I33">
            <v>362.5</v>
          </cell>
          <cell r="J33" t="str">
            <v>Bliss</v>
          </cell>
          <cell r="K33" t="str">
            <v>Skip 1 week (28/03) Send Replacement tom (12/04) Skip 1 week (27/04) Skip 1 week after 14th June (06/06) Skip 1 week (16/06)</v>
          </cell>
          <cell r="N33" t="str">
            <v>1  del of this cycle   -  1-cycles pmnt   Pending - Collect 1450</v>
          </cell>
          <cell r="O33" t="str">
            <v>P n W Glad ( 14 Inch ) 16     Grass</v>
          </cell>
          <cell r="P33" t="str">
            <v>P n Y Spray Daisy ( 14 Inch ) 5     FF Sachet + Grass</v>
          </cell>
          <cell r="Q33" t="e">
            <v>#N/A</v>
          </cell>
          <cell r="R33" t="str">
            <v>Sunflower ( 12 Inch ) 4     FF Sachet + Grass</v>
          </cell>
          <cell r="S33" t="str">
            <v>P Asiatic ( 14 Inch ) 3     Grass</v>
          </cell>
          <cell r="T33" t="str">
            <v>G n W Car ( 14 Inch ) 16     FF Sachet + Grass</v>
          </cell>
        </row>
        <row r="34">
          <cell r="A34">
            <v>3282</v>
          </cell>
          <cell r="B34" t="str">
            <v>Pluang Technologies India Pvt. Ltd.</v>
          </cell>
          <cell r="C34">
            <v>9650723437</v>
          </cell>
          <cell r="D34" t="str">
            <v>13th Floor, Magnum Global Park, Sec 58</v>
          </cell>
          <cell r="E34" t="str">
            <v>Ghata</v>
          </cell>
          <cell r="F34" t="str">
            <v>Sunday</v>
          </cell>
          <cell r="G34" t="str">
            <v>4 Pm to 7 PM</v>
          </cell>
          <cell r="H34">
            <v>1950</v>
          </cell>
          <cell r="I34">
            <v>487.5</v>
          </cell>
          <cell r="J34" t="str">
            <v>Joy</v>
          </cell>
          <cell r="K34" t="str">
            <v>Payment from Vibhuti --997176764 (10/03) Paytm From Sahiba Sachdeva (08/04)</v>
          </cell>
          <cell r="N34" t="str">
            <v>3  del of this cycle   -  0-cycles pmnt   Completed - Collect 0</v>
          </cell>
          <cell r="O34" t="str">
            <v>Sunflower ( 12 Inch ) 3 Mix Alstroemeria ( 12 Inch ) 11   FF Sachet + Grass</v>
          </cell>
          <cell r="P34" t="str">
            <v>P Asiatic ( 14 Inch ) 2 Pur n P Car ( 14 Inch ) 11   Grass</v>
          </cell>
          <cell r="Q34" t="str">
            <v>P n Y Spray Daisy ( 14 Inch ) 4 P n W Glad ( 14 Inch ) 11   FF Sachet + Grass</v>
          </cell>
          <cell r="R34" t="str">
            <v>Sunflower ( 12 Inch ) 3 Rajni ( 14 Inch ) 11   FF Sachet + Grass</v>
          </cell>
          <cell r="S34" t="str">
            <v>O Asiatic ( 14 Inch ) 2 P n W Glad ( 14 Inch ) 11   Grass</v>
          </cell>
          <cell r="T34" t="str">
            <v>P n Y Spray Daisy ( 14 Inch ) 4 Mix Carnation 10   FF Sachet + Grass</v>
          </cell>
        </row>
        <row r="35">
          <cell r="A35">
            <v>2307</v>
          </cell>
          <cell r="B35" t="str">
            <v>Alpna Jain</v>
          </cell>
          <cell r="C35">
            <v>9599336609</v>
          </cell>
          <cell r="D35" t="str">
            <v>C-64, The Icon</v>
          </cell>
          <cell r="E35" t="str">
            <v>DLF Phase 5</v>
          </cell>
          <cell r="F35" t="str">
            <v>Thursday</v>
          </cell>
          <cell r="G35" t="str">
            <v>10 AM to 2:30 PM</v>
          </cell>
          <cell r="H35">
            <v>3000</v>
          </cell>
          <cell r="I35">
            <v>375</v>
          </cell>
          <cell r="J35" t="str">
            <v>Charm</v>
          </cell>
          <cell r="K35" t="str">
            <v>Thursday n Sunday // Hold today (08/02) Keep flowers outside of Door (17/05)</v>
          </cell>
          <cell r="M35" t="str">
            <v>Keep flowers outside of door always</v>
          </cell>
          <cell r="N35" t="str">
            <v>7  del of this cycle   -  0-cycles pmnt   Completed - Collect 0</v>
          </cell>
          <cell r="O35" t="str">
            <v>P n W Glad ( 14 Inch ) 15 Keep Flowers Outside of Door-- Don’t ring bell or Don’t Don’t Call    Grass</v>
          </cell>
          <cell r="P35" t="str">
            <v>B Daisy ( 12 Inch ) 15 Keep Flowers outside of door -- Don’t call n don’t ring bell    FF Sachet + Grass</v>
          </cell>
          <cell r="Q35" t="str">
            <v>Rajni ( 14 Inch ) 15 Keep Flowers at Door -- Don’t Call or Knock    Grass</v>
          </cell>
          <cell r="R35" t="str">
            <v>Y Asiatic ( 14 Inch ) 3 Keep Flowers at door -- Don’t Call or ring the bell    Grass</v>
          </cell>
          <cell r="S35" t="str">
            <v>P n W Glad ( 14 Inch ) 15 Keep Flowesr at Door -- Don’t Ring Bell, Don’t Call    Grass</v>
          </cell>
          <cell r="T35" t="str">
            <v>Rajni ( 14 Inch ) 15 Keep Outside of Door -- Don’t Ring bell and don’t call    Grass</v>
          </cell>
        </row>
        <row r="36">
          <cell r="A36">
            <v>894</v>
          </cell>
          <cell r="B36" t="str">
            <v>Dr. Roma Kumar</v>
          </cell>
          <cell r="C36" t="str">
            <v>98110 87708</v>
          </cell>
          <cell r="D36" t="str">
            <v>RT-181, Royalton Tower
Inside Princeton Estate
DLF City Phase-V
Gurgaon-122009
Haryana</v>
          </cell>
          <cell r="E36" t="str">
            <v>DLF Phase 5</v>
          </cell>
          <cell r="F36" t="str">
            <v>Thursday</v>
          </cell>
          <cell r="G36" t="str">
            <v>9 AM - 12 PM</v>
          </cell>
          <cell r="H36">
            <v>3000</v>
          </cell>
          <cell r="I36">
            <v>375</v>
          </cell>
          <cell r="J36" t="str">
            <v>Charm</v>
          </cell>
          <cell r="K36" t="str">
            <v>Sun to Thursday//NO Roses(Old) PREFER-- WHITE ROSE/RAJNIGANDHA/CHRYSANTHEMUM(18/11) Skip 1 Week(25/12) Day Changed to Monday till Lovkdown(23/08/20) Send replacement of Lilies(20/10) Day Changed to Sunday-send 1 del today and then every Sunday(30/11) Paytm from Pooja M Tripathi(26/04) Sent replacement today(30/07) Paytm of Gignger lily and eustoma added(06/11) Skip 1 week(06/11)  20 Rajnio sent in Subscription(06/02) Skip today(13/02) Rajni Next(19/02) Rajni next(02/03) Skip 1 week(02/06) Skip Sunday Delivery(13/08) Skip this thursday Delivery (28/02) Skip 1 week (28/02) No Blue Orchid (06/04) Hold today and next Sunday also (12/09) Hold today n one more del (19/09) Skip 1 week (22/02) Skip this thursday (12/03) Send replacement tom (04/05) Skip on sunday (01/06) Skip today (01/06) Skip 1 week (24/11) Hold n start from 29th Jan (18/01) Hold today (02/07)</v>
          </cell>
          <cell r="L36" t="str">
            <v>ORCHID</v>
          </cell>
          <cell r="N36" t="str">
            <v>7  del of this cycle   -  0-cycles pmnt   Completed - Collect 0</v>
          </cell>
          <cell r="O36" t="str">
            <v>Mix Alstroemeria ( 12 Inch ) 15     FF Sachet + Grass</v>
          </cell>
          <cell r="P36" t="str">
            <v>Pur n P Car ( 14 Inch ) 15     FF Sachet + Grass</v>
          </cell>
          <cell r="Q36" t="str">
            <v>B Daisy ( 12 Inch ) 15     Grass</v>
          </cell>
          <cell r="R36" t="str">
            <v>P Oriental ( 15 Inch ) 2     Grass</v>
          </cell>
          <cell r="S36" t="str">
            <v>B Daisy ( 12 Inch ) 15     Grass</v>
          </cell>
          <cell r="T36" t="str">
            <v>P n Y Spray Daisy ( 14 Inch ) 4     FF Sachet + Grass</v>
          </cell>
        </row>
        <row r="37">
          <cell r="A37">
            <v>2416</v>
          </cell>
          <cell r="B37" t="str">
            <v>Dinesh Dhir</v>
          </cell>
          <cell r="C37">
            <v>9810709096</v>
          </cell>
          <cell r="D37" t="str">
            <v>D-11/9, 1st Floor, DLF Exclusive Floors</v>
          </cell>
          <cell r="E37" t="str">
            <v>DLF Phase 5</v>
          </cell>
          <cell r="F37" t="str">
            <v>Sunday</v>
          </cell>
          <cell r="G37" t="str">
            <v>9 AM - 12 PM</v>
          </cell>
          <cell r="H37">
            <v>1450</v>
          </cell>
          <cell r="I37">
            <v>362.5</v>
          </cell>
          <cell r="J37" t="str">
            <v>Bliss</v>
          </cell>
          <cell r="K37" t="str">
            <v>Hold today n send next week (15/06) Add changed (17/05)</v>
          </cell>
          <cell r="N37" t="str">
            <v>3  del of this cycle   -  0-cycles pmnt   Completed - Collect 0</v>
          </cell>
          <cell r="O37" t="str">
            <v>P n W Glad ( 14 Inch ) 9     Grass</v>
          </cell>
          <cell r="P37" t="str">
            <v>Sunflower ( 12 Inch ) 2     FF Sachet + Grass</v>
          </cell>
          <cell r="Q37" t="str">
            <v>B Daisy ( 12 Inch ) 9     Grass</v>
          </cell>
          <cell r="R37" t="str">
            <v>P Asiatic ( 14 Inch ) 3     Grass</v>
          </cell>
          <cell r="S37" t="str">
            <v>Pur n P Car ( 14 Inch ) 16     FF Sachet + Grass</v>
          </cell>
          <cell r="T37" t="str">
            <v>Rajni ( 14 Inch ) 16     Grass</v>
          </cell>
        </row>
        <row r="38">
          <cell r="A38">
            <v>1517</v>
          </cell>
          <cell r="B38" t="str">
            <v>Megha Bhardwaj</v>
          </cell>
          <cell r="C38">
            <v>9818525564</v>
          </cell>
          <cell r="D38" t="str">
            <v>B-65, 1st floor, Sushant Lok-3,HDFC School, Sec 57</v>
          </cell>
          <cell r="E38" t="str">
            <v>Artemis</v>
          </cell>
          <cell r="F38" t="str">
            <v>Sunday</v>
          </cell>
          <cell r="G38" t="str">
            <v>9 AM - 12 PM</v>
          </cell>
          <cell r="H38">
            <v>1950</v>
          </cell>
          <cell r="I38">
            <v>487.5</v>
          </cell>
          <cell r="J38" t="str">
            <v>Joy</v>
          </cell>
          <cell r="K38" t="str">
            <v>Guldawari 1st(18/09) BOP Tom(02/10) Spray daisy next(16/10) Skip 1 week(06/11) Y or Orange Rose Tom(27/11) Orchids Next(28/01) Orchids not sent-send next(30/01) Skip 1 week(17/03) Skip 1 week (09/04) Send on Saturday this week instead of Sunday -- AND DONT SEND ON 28TH(25/08) Skip 1 week (21/01) Send 1 del tom (31/03) Skip 1 week (29/06) Send friday this week on Friday evening Dont send on 15th (11/10) Skip 1 week (27/12) Skip 1 week (09/02) Hols as of now (11/04) Sent replacxement today (13/12) Skip 1 week (18/01) Hold this week (08/03) Skip 1 week(12/04) Skip 1 week (25/06) Skip tom (04/10) Send on saturday instead of sunday this week (08/10) Skip 1 week (15/11) No Orchid (18/01) Skip 1 week )28/02) Skip tom (28/03) Skip 1 week (18/04) Skip 1 week (01/06)</v>
          </cell>
          <cell r="L38" t="str">
            <v>Orchid</v>
          </cell>
          <cell r="N38" t="str">
            <v>4  del of this cycle   -  0-cycles pmnt   Completed - Collect 0</v>
          </cell>
          <cell r="O38" t="e">
            <v>#N/A</v>
          </cell>
          <cell r="P38" t="str">
            <v>Sunflower ( 12 Inch ) 5     FF Sachet + Grass</v>
          </cell>
          <cell r="Q38" t="str">
            <v>Pur n P Car ( 14 Inch ) 22     FF Sachet + Grass</v>
          </cell>
          <cell r="R38" t="str">
            <v>Pur n P Eustoma ( 12 Inch ) 4     FF Sachet + Grass</v>
          </cell>
          <cell r="S38" t="str">
            <v>O Asiatic ( 14 Inch ) 4     Grass</v>
          </cell>
          <cell r="T38" t="str">
            <v>P n Y Spray Daisy ( 14 Inch ) 7     FF Sachet + Grass</v>
          </cell>
        </row>
        <row r="39">
          <cell r="A39">
            <v>2458</v>
          </cell>
          <cell r="B39" t="str">
            <v>Kiran Yadav -- 1450 Pack</v>
          </cell>
          <cell r="C39">
            <v>9811801284</v>
          </cell>
          <cell r="D39" t="str">
            <v>E-1402, Palm Drive</v>
          </cell>
          <cell r="E39" t="str">
            <v>Badshahpur</v>
          </cell>
          <cell r="F39" t="str">
            <v>Sunday</v>
          </cell>
          <cell r="G39" t="str">
            <v>10 AM to 2:30 PM</v>
          </cell>
          <cell r="H39">
            <v>1450</v>
          </cell>
          <cell r="I39">
            <v>362.5</v>
          </cell>
          <cell r="J39" t="str">
            <v>Bliss</v>
          </cell>
          <cell r="K39" t="str">
            <v>Recvd 2000 Today (21/04) Pls send Rose/Gerbera and Rise laos (04/06) Skip 1 week (28/06) Skip next week after(27/09) Send Replacement tom (21/04)</v>
          </cell>
          <cell r="N39" t="str">
            <v>1  del of this cycle   -  0-cycles pmnt   CompletedNO COLLECTION-we have extra money - Collect -23</v>
          </cell>
          <cell r="O39" t="str">
            <v>P n W Glad ( 14 Inch ) 9     Grass</v>
          </cell>
          <cell r="P39" t="str">
            <v>Sunflower ( 12 Inch ) 2     FF Sachet + Grass</v>
          </cell>
          <cell r="Q39" t="str">
            <v>B Daisy ( 12 Inch ) 9     Grass</v>
          </cell>
          <cell r="R39" t="str">
            <v>P Asiatic ( 14 Inch ) 2     Grass</v>
          </cell>
          <cell r="S39" t="str">
            <v>Pur n P Car ( 14 Inch ) 9     FF Sachet + Grass</v>
          </cell>
          <cell r="T39" t="str">
            <v>P n W Glad ( 14 Inch ) 16     Grass</v>
          </cell>
        </row>
        <row r="40">
          <cell r="A40">
            <v>2434</v>
          </cell>
          <cell r="B40" t="str">
            <v>Manasi Sardana</v>
          </cell>
          <cell r="C40">
            <v>9825966349</v>
          </cell>
          <cell r="D40" t="str">
            <v>T-8/303, The South Close</v>
          </cell>
          <cell r="E40" t="str">
            <v>Nirvana Country</v>
          </cell>
          <cell r="F40" t="str">
            <v>Sunday</v>
          </cell>
          <cell r="G40" t="str">
            <v>9 AM to 2 PM</v>
          </cell>
          <cell r="H40">
            <v>1450</v>
          </cell>
          <cell r="I40">
            <v>362.5</v>
          </cell>
          <cell r="J40" t="str">
            <v>Bliss</v>
          </cell>
          <cell r="K40" t="str">
            <v>Rajni is preferred // Skip 1 week (17/05) paytm From Phadke Mansi Pradeep // Skip 1 week (01/01/26) Skip 1 week (24/01) Today returned (15/02) Replacement tom (06/07)</v>
          </cell>
          <cell r="M40" t="str">
            <v>Rajni referred</v>
          </cell>
          <cell r="N40" t="str">
            <v>4  del of this cycle   -  0-cycles pmnt   Completed - Collect 0</v>
          </cell>
          <cell r="O40" t="str">
            <v>Pur Eustoma ( 12 Inch ) 2 Mix Alstroemeria ( 12 Inch ) 7   FF Sachet + Grass</v>
          </cell>
          <cell r="P40" t="str">
            <v>Sunflower ( 12 Inch ) 2 P n W Glad ( 14 Inch ) 7   FF Sachet + Grass</v>
          </cell>
          <cell r="Q40" t="str">
            <v>Y Asiatic ( 14 Inch ) 2 Pur n P Car ( 14 Inch ) 7   Grass</v>
          </cell>
          <cell r="R40" t="str">
            <v>P Spray Daisy ( 14 Inch ) 3 Rajni ( 14 Inch ) 7   FF Sachet + Grass</v>
          </cell>
          <cell r="S40" t="str">
            <v>Sunflower ( 12 Inch ) 2 B Daisy ( 12 Inch ) 7   FF Sachet + Grass</v>
          </cell>
          <cell r="T40" t="str">
            <v>P Asiatic ( 14 Inch ) 2 Mix Alstroemeria ( 12 Inch ) 7   Grass</v>
          </cell>
        </row>
        <row r="41">
          <cell r="A41">
            <v>1140</v>
          </cell>
          <cell r="B41" t="str">
            <v>Nidhi Singh</v>
          </cell>
          <cell r="C41" t="str">
            <v>8383036664//9899389873</v>
          </cell>
          <cell r="D41" t="str">
            <v>D-8/3, Ground Floor DLF Exclusive Floors</v>
          </cell>
          <cell r="E41" t="str">
            <v>DLF Phase 5</v>
          </cell>
          <cell r="F41" t="str">
            <v>Thursday</v>
          </cell>
          <cell r="G41" t="str">
            <v>9 AM - 12 PM</v>
          </cell>
          <cell r="H41">
            <v>2300</v>
          </cell>
          <cell r="I41">
            <v>287.5</v>
          </cell>
          <cell r="J41" t="str">
            <v>Felicity</v>
          </cell>
          <cell r="K41" t="str">
            <v>Sunday n thursday //Monday n Thursday//Send Change of 200 Next(22/10) NO ROSE(22/11) Send Oriental next and send change of 2000 Next(27/11) NO ROSE // Heliconia Next(30/11) Send Change Next(13/04) 350 Received today via paytm(15/04) Flower Food Next(16/04) Send replacement of gerbera tom(20/04) Received 250 today(20/04) Send Replacement tom(20/04) Do Not Count 1 Del(22/04) Days-- Monday and Thursday(30/05) Gpay from Vivek Singh// Paytm from 9372779905-- Viveka(30/07) 1 Flower food next(01/04) Sent a replacement today(05/04) FF Next()8/04) Today del missed(02/06) REceived 1650 extra (28/12) Send replacement tom (29/08) Skip 1 week (17/10) 13th Flower Missed (17/11) Today Returned (18/12) Skip Tom (17/01) No Del from 21st to 27th July (10/07) Skip 1 week (03/12) Hold till 15th Dec (09/12) Skip this thursday (24/12) Skip on sunday (10/01) Hold till 31st Jan after 18th Del (17/01)</v>
          </cell>
          <cell r="L41" t="str">
            <v>ROSE</v>
          </cell>
          <cell r="N41" t="str">
            <v>4  del of this cycle   -  0-cycles pmnt   Completed - Collect 0</v>
          </cell>
          <cell r="O41" t="str">
            <v>Mix Alstroemeria ( 12 Inch ) 11     FF Sachet + Grass</v>
          </cell>
          <cell r="P41" t="str">
            <v>O Asiatic ( 14 Inch ) 2     Grass</v>
          </cell>
          <cell r="Q41" t="str">
            <v>B Daisy ( 12 Inch ) 11     Grass</v>
          </cell>
          <cell r="R41" t="str">
            <v>Sunflower ( 12 Inch ) 3     FF Sachet + Grass</v>
          </cell>
          <cell r="S41" t="str">
            <v>O Asiatic ( 14 Inch ) 2     Grass</v>
          </cell>
          <cell r="T41" t="str">
            <v>Y Spray Daisy ( 14 Inch ) 2     FF Sachet + Grass</v>
          </cell>
        </row>
        <row r="42">
          <cell r="A42">
            <v>2316</v>
          </cell>
          <cell r="B42" t="str">
            <v>Gitanjali Kamra</v>
          </cell>
          <cell r="C42">
            <v>9811842976</v>
          </cell>
          <cell r="D42" t="str">
            <v>121, Espace, Nirvana Country</v>
          </cell>
          <cell r="E42" t="str">
            <v>Nirvana Country</v>
          </cell>
          <cell r="F42" t="str">
            <v>Sunday</v>
          </cell>
          <cell r="G42" t="str">
            <v>9 AM - 12 PM</v>
          </cell>
          <cell r="H42">
            <v>4750</v>
          </cell>
          <cell r="I42">
            <v>1187.5</v>
          </cell>
          <cell r="J42" t="str">
            <v>Enchantment</v>
          </cell>
          <cell r="K42" t="str">
            <v>Now Elation (21/09) Skip 1 week (17/12)</v>
          </cell>
          <cell r="N42" t="str">
            <v>2  del of this cycle   -  0-cycles pmnt   Completed - Collect 0</v>
          </cell>
          <cell r="O42" t="str">
            <v>Sunflower ( 12 Inch ) 7 Mix Alstroemeria ( 12 Inch ) 30   3 Limonium + Ff Sachet</v>
          </cell>
          <cell r="P42" t="str">
            <v>O Asiatic ( 14 Inch ) 6 P n W Glad ( 14 Inch ) 30   3 Gypsola</v>
          </cell>
          <cell r="Q42" t="str">
            <v>P n Y Spray Daisy ( 14 Inch ) 10 Pur n P Car ( 14 Inch ) 30   3 Limonium</v>
          </cell>
          <cell r="R42" t="str">
            <v>BOP ( 14 Inch ) 6 Rajni ( 14 Inch ) 30   3 Gypsola</v>
          </cell>
          <cell r="S42" t="str">
            <v>P Asiatic ( 14 Inch ) 6 Mix Alstroemeria ( 12 Inch ) 30   3 Areca Palm + 3 Limonium</v>
          </cell>
          <cell r="T42" t="str">
            <v>Sunflower ( 12 Inch ) 7 G n W Car ( 14 Inch ) 30   3 Areca palm + 3 Gypsola + FF Sachet</v>
          </cell>
        </row>
        <row r="43">
          <cell r="A43">
            <v>2748</v>
          </cell>
          <cell r="B43" t="str">
            <v>Rishabh Suri</v>
          </cell>
          <cell r="C43">
            <v>9871320514</v>
          </cell>
          <cell r="D43" t="str">
            <v>H. No. 962, Block C, Sushant Lok, Near Ambience Public School</v>
          </cell>
          <cell r="E43" t="str">
            <v>DLF Phase 5</v>
          </cell>
          <cell r="F43" t="str">
            <v>Sunday</v>
          </cell>
          <cell r="G43" t="str">
            <v>9 AM - 12 PM</v>
          </cell>
          <cell r="H43">
            <v>1450</v>
          </cell>
          <cell r="I43">
            <v>362.5</v>
          </cell>
          <cell r="J43" t="str">
            <v>Bliss</v>
          </cell>
          <cell r="K43" t="str">
            <v>Hold n start from Sep (06/08) Paytm from Rajeev Suri (22/11) Paytm from Anu Suri (21/12)</v>
          </cell>
          <cell r="N43" t="str">
            <v>2  del of this cycle   -  0-cycles pmnt   Completed - Collect 0</v>
          </cell>
          <cell r="O43" t="str">
            <v>Pur n P Car ( 14 Inch ) 16     FF Sachet + Grass</v>
          </cell>
          <cell r="P43" t="str">
            <v>O Asiatic ( 14 Inch ) 3     Grass</v>
          </cell>
          <cell r="Q43" t="str">
            <v>P n W Glad ( 14 Inch ) 16     Grass</v>
          </cell>
          <cell r="R43" t="str">
            <v>Sunflower ( 12 Inch ) 4     FF Sachet + Grass</v>
          </cell>
          <cell r="S43" t="str">
            <v>Rajni ( 14 Inch ) 16     Grass</v>
          </cell>
          <cell r="T43" t="str">
            <v>G n W Car ( 14 Inch ) 16     FF Sachet + Grass</v>
          </cell>
        </row>
        <row r="44">
          <cell r="A44">
            <v>2855</v>
          </cell>
          <cell r="B44" t="str">
            <v>Mini Deerwoood</v>
          </cell>
          <cell r="C44">
            <v>9818447542</v>
          </cell>
          <cell r="D44" t="str">
            <v xml:space="preserve"> 332, 4th Floor, Espace</v>
          </cell>
          <cell r="E44" t="str">
            <v>Nirvana Country</v>
          </cell>
          <cell r="F44" t="str">
            <v>Sunday</v>
          </cell>
          <cell r="G44" t="str">
            <v>9 AM - 12 PM</v>
          </cell>
          <cell r="H44">
            <v>1950</v>
          </cell>
          <cell r="I44">
            <v>487.5</v>
          </cell>
          <cell r="J44" t="str">
            <v>Joy</v>
          </cell>
          <cell r="N44" t="str">
            <v>4  del of this cycle   -  0-cycles pmnt   Completed - Collect 0</v>
          </cell>
          <cell r="O44" t="e">
            <v>#N/A</v>
          </cell>
          <cell r="P44" t="e">
            <v>#N/A</v>
          </cell>
          <cell r="Q44" t="str">
            <v>Pur Eustoma ( 12 Inch ) 2 B Daisy ( 12 Inch ) 11   FF Sachet + Grass</v>
          </cell>
          <cell r="R44" t="str">
            <v>Sunflower ( 12 Inch ) 3 Pur n P Car ( 14 Inch ) 11   FF Sachet + Grass</v>
          </cell>
          <cell r="S44" t="str">
            <v>P Asiatic ( 14 Inch ) 2 Rajni ( 14 Inch ) 11   Grass</v>
          </cell>
          <cell r="T44" t="str">
            <v>P n Y Spray Daisy ( 14 Inch ) 4 P n W Glad ( 14 Inch ) 10   FF Sachet + Grass</v>
          </cell>
        </row>
        <row r="45">
          <cell r="A45">
            <v>3351</v>
          </cell>
          <cell r="B45" t="str">
            <v>Shubhpret kaur</v>
          </cell>
          <cell r="C45">
            <v>8800898704</v>
          </cell>
          <cell r="D45" t="str">
            <v>H. No. 667, 3rd Floor, Sec 43</v>
          </cell>
          <cell r="E45" t="str">
            <v>DLF Phase 5</v>
          </cell>
          <cell r="F45" t="str">
            <v>Sunday</v>
          </cell>
          <cell r="G45" t="str">
            <v>9 AM - 12 PM</v>
          </cell>
          <cell r="H45">
            <v>1950</v>
          </cell>
          <cell r="I45">
            <v>487.5</v>
          </cell>
          <cell r="J45" t="str">
            <v>Joy</v>
          </cell>
          <cell r="K45" t="str">
            <v>Paytm From Amara Preet Singh // Change day to Sunday (13/06)</v>
          </cell>
          <cell r="N45" t="str">
            <v>3  del of this cycle   -  1-cycles pmnt   Pending - Collect 1950</v>
          </cell>
          <cell r="O45" t="e">
            <v>#N/A</v>
          </cell>
          <cell r="P45" t="str">
            <v>P Asiatic ( 14 Inch ) 2 Pur n P Car ( 14 Inch ) 11   Grass</v>
          </cell>
          <cell r="Q45" t="str">
            <v>Pur Eustoma ( 12 Inch ) 2 B Daisy ( 12 Inch ) 11   FF Sachet + Grass</v>
          </cell>
          <cell r="R45" t="str">
            <v>Sunflower ( 12 Inch ) 3 P n W Glad ( 14 Inch ) 11   FF Sachet + Grass</v>
          </cell>
          <cell r="S45" t="str">
            <v>BOP  2 Rajni ( 14 Inch ) 11   FF Sachet + Grass</v>
          </cell>
          <cell r="T45" t="str">
            <v>O Asiatic ( 14 Inch ) 2 G n W Car ( 14 Inch ) 11   Grass</v>
          </cell>
        </row>
        <row r="46">
          <cell r="A46">
            <v>2200</v>
          </cell>
          <cell r="B46" t="str">
            <v>Naina Gandhi</v>
          </cell>
          <cell r="C46">
            <v>9811188863</v>
          </cell>
          <cell r="D46" t="str">
            <v>K2/105, Central Park -1</v>
          </cell>
          <cell r="E46" t="str">
            <v>Golf Course Road</v>
          </cell>
          <cell r="F46" t="str">
            <v>Thursday</v>
          </cell>
          <cell r="G46" t="str">
            <v>9 AM - 12 PM</v>
          </cell>
          <cell r="H46">
            <v>2300</v>
          </cell>
          <cell r="I46">
            <v>287.5</v>
          </cell>
          <cell r="J46" t="str">
            <v>Felicity</v>
          </cell>
          <cell r="K46" t="str">
            <v>Thursday n Sunday//Send Replacement tom (17/01) No Spray Daisy (19/02) Skip 4th Del (07/05) Do not count last del (29/08) No Flowers Tom (28/09) Skip this Thursday (01/10) Hold till 10th Nov (25/10) Hold this Sunday (13/12) Skip 1 week (01/02) Skip 1 week (16/02) Hold and start from May(28/03) Hold n start from 1st June (22/05) Skip 2 week (22/06) Skip tom (26/07) Skip 1 week (04/10) Hold tom (25/10) Skip 2 week (31/10) Skip 1 week 1 week (22/11) Skip this thursday (10/12) Skip 2 week (20/12) Skip sunday (07/01) Hold from 23rd May to 14th JUne (19/05) Skip 1 week and send on Monday (23/06)</v>
          </cell>
          <cell r="L46" t="str">
            <v>SPRAY DAISY</v>
          </cell>
          <cell r="M46" t="str">
            <v>Check for Bi weekly package</v>
          </cell>
          <cell r="N46" t="str">
            <v>4  del of this cycle   -  0-cycles pmnt   Completed - Collect 0</v>
          </cell>
          <cell r="O46" t="e">
            <v>#N/A</v>
          </cell>
          <cell r="P46" t="e">
            <v>#N/A</v>
          </cell>
          <cell r="Q46" t="str">
            <v>O Asiatic ( 14 Inch )' 2     Grass</v>
          </cell>
          <cell r="R46" t="e">
            <v>#N/A</v>
          </cell>
          <cell r="S46" t="str">
            <v>Rajni ( 14 Inch ) 11     Grass</v>
          </cell>
          <cell r="T46" t="str">
            <v>Mix Alstroemeria ( 12 Inch ) 11     FF Sachet + Grass</v>
          </cell>
        </row>
        <row r="47">
          <cell r="A47" t="str">
            <v>B46944</v>
          </cell>
          <cell r="B47" t="str">
            <v>Albi</v>
          </cell>
          <cell r="C47">
            <v>9999236508</v>
          </cell>
          <cell r="D47" t="str">
            <v>G-3/1A, DLF Phase 1</v>
          </cell>
          <cell r="E47" t="str">
            <v>DLF Phase 1</v>
          </cell>
          <cell r="F47" t="str">
            <v>Thursday</v>
          </cell>
          <cell r="G47" t="str">
            <v>By 9 AM</v>
          </cell>
          <cell r="H47">
            <v>28000</v>
          </cell>
          <cell r="I47">
            <v>7000</v>
          </cell>
          <cell r="J47" t="str">
            <v>Customized</v>
          </cell>
          <cell r="K47" t="str">
            <v>Now at every 10 days (18/12)</v>
          </cell>
          <cell r="N47" t="str">
            <v>2  del of this cycle   -  0-cycles pmnt   In Process - Collect 0</v>
          </cell>
          <cell r="O47" t="str">
            <v xml:space="preserve">P  Oriental + P Asiatic + P n Y Button Daisy + P n Y Car + P Eustoma 4 + 4 + 10 + 40 + 8 Mogra 300 Gm   </v>
          </cell>
          <cell r="P47" t="str">
            <v xml:space="preserve">P Oriental + Y Asiatic + P n W Spray Daisy + Pur n P Car + Pur Eustoma + Pur Anthurium 4 + 4 +10 + 35 + 6 Dilli patti + Fish Tail + Other Greens    </v>
          </cell>
          <cell r="Q47" t="e">
            <v>#N/A</v>
          </cell>
          <cell r="R47" t="str">
            <v xml:space="preserve">W Oriental + R Asiatic + R n W Spray Daisy + R n W Car + R n W Anthurium + W Orchid  4 + 4 + 12 + 30 + 4 + 7 Mogra 200 Gm   </v>
          </cell>
          <cell r="S47" t="str">
            <v xml:space="preserve">W Oriental + G Anthurium + G Lotus Pd + Baloon Flower + G n W Car + Big Monstera 4 + 6 + 8 + 8 + 15 W Oriental + Limonium 2 + 3 ( In Suraahi Vase) Mogra  300 Gm </v>
          </cell>
          <cell r="T47" t="str">
            <v xml:space="preserve">      </v>
          </cell>
        </row>
        <row r="48">
          <cell r="A48">
            <v>3010</v>
          </cell>
          <cell r="B48" t="str">
            <v>Kriti Suman</v>
          </cell>
          <cell r="C48">
            <v>9771430070</v>
          </cell>
          <cell r="D48" t="str">
            <v>Studio -105, Palm Drive</v>
          </cell>
          <cell r="E48" t="str">
            <v>Badshahpur</v>
          </cell>
          <cell r="F48" t="str">
            <v>Sunday</v>
          </cell>
          <cell r="G48" t="str">
            <v>9 AM - 12 PM</v>
          </cell>
          <cell r="H48">
            <v>999</v>
          </cell>
          <cell r="I48">
            <v>249.75</v>
          </cell>
          <cell r="J48" t="str">
            <v>Delight</v>
          </cell>
          <cell r="K48" t="str">
            <v>Skip 1 week (16/10) Skip 1 week (26/12) No Glad (09/03) Skip 2 week (20/06)</v>
          </cell>
          <cell r="L48" t="str">
            <v>Glad</v>
          </cell>
          <cell r="N48" t="str">
            <v>4  del of this cycle   -  0-cycles pmnt   Completed - Collect 0</v>
          </cell>
          <cell r="O48" t="str">
            <v>Pur n P Car ( 14 Inch ) 9     FF Sachet + Grass</v>
          </cell>
          <cell r="P48" t="str">
            <v>Sunflower ( 12 Inch ) 2     FF Sachet + Grass</v>
          </cell>
          <cell r="Q48" t="e">
            <v>#N/A</v>
          </cell>
          <cell r="R48" t="e">
            <v>#N/A</v>
          </cell>
          <cell r="S48" t="str">
            <v>Rajni ( 14 Inch ) 9     Grass</v>
          </cell>
          <cell r="T48" t="str">
            <v xml:space="preserve">O Asiatic ( 14 Inch ) 2     </v>
          </cell>
        </row>
        <row r="49">
          <cell r="A49">
            <v>3252</v>
          </cell>
          <cell r="B49" t="str">
            <v>Madhumita Dhupar</v>
          </cell>
          <cell r="C49">
            <v>9999887549</v>
          </cell>
          <cell r="D49" t="str">
            <v>333, Deerwood Chase</v>
          </cell>
          <cell r="E49" t="str">
            <v>Nirvana Country</v>
          </cell>
          <cell r="F49" t="str">
            <v>Sunday</v>
          </cell>
          <cell r="G49" t="str">
            <v>9 AM to 2 PM</v>
          </cell>
          <cell r="H49">
            <v>1450</v>
          </cell>
          <cell r="I49">
            <v>362.5</v>
          </cell>
          <cell r="J49" t="str">
            <v>Bliss</v>
          </cell>
          <cell r="K49" t="str">
            <v>White Flowers in Each Delivery (10/01)</v>
          </cell>
          <cell r="N49" t="str">
            <v>3  del of this cycle   -  0-cycles pmnt   Completed - Collect 0</v>
          </cell>
          <cell r="O49" t="str">
            <v>W Asiatic ( 14 Inch ) 3     Grass</v>
          </cell>
          <cell r="P49" t="str">
            <v>Mix Alstroemeria ( 12 Inch ) 16     FF Sachet + Grass</v>
          </cell>
          <cell r="Q49" t="str">
            <v>P Eustoma ( 12 Inch ) 3     FF Sachet + Grass</v>
          </cell>
          <cell r="R49" t="str">
            <v>Pur n P Car ( 14 Inch 16     FF Sachet + Grass</v>
          </cell>
          <cell r="S49" t="str">
            <v>Rajni ( 14 Inch ) 16     Grass</v>
          </cell>
          <cell r="T49" t="str">
            <v>Sunflower ( 12 Inch ) 4     FF Sachet + Grass</v>
          </cell>
        </row>
        <row r="50">
          <cell r="A50">
            <v>3274</v>
          </cell>
          <cell r="B50" t="str">
            <v>Meera Singh</v>
          </cell>
          <cell r="C50">
            <v>9810401220</v>
          </cell>
          <cell r="D50" t="str">
            <v>138, Tatvam Villas, Sec 48</v>
          </cell>
          <cell r="E50" t="str">
            <v>Sohna Road 2</v>
          </cell>
          <cell r="F50" t="str">
            <v>Sunday</v>
          </cell>
          <cell r="G50" t="str">
            <v>9 AM - 12 PM</v>
          </cell>
          <cell r="H50">
            <v>1950</v>
          </cell>
          <cell r="I50">
            <v>487.5</v>
          </cell>
          <cell r="J50" t="str">
            <v>Joy</v>
          </cell>
          <cell r="K50" t="str">
            <v>No Lilies and Sunflower (20/02) Skip 1 week (28/03) Paytm From Singh M (06/04) No Sunflower n Asiatic (02/05)</v>
          </cell>
          <cell r="L50" t="str">
            <v>Asiatic n Sunflowers</v>
          </cell>
          <cell r="M50" t="str">
            <v>Single Kind</v>
          </cell>
          <cell r="N50" t="str">
            <v>3  del of this cycle   -  0-cycles pmnt   Completed - Collect 0</v>
          </cell>
          <cell r="O50" t="str">
            <v>P n W Spray Daisy ( 14 Inch) 7     FF Sachet + Grass</v>
          </cell>
          <cell r="P50" t="str">
            <v>Pur n P Car ( 14 Inch ) 22     FF Sachet + Grass</v>
          </cell>
          <cell r="Q50" t="str">
            <v>B Daisy ( 12 Inch ) 22     FF Sachet + Grass</v>
          </cell>
          <cell r="R50" t="str">
            <v>Pur n P Eustoma ( 12 Inch ) 4     FF Sachet + Grass</v>
          </cell>
          <cell r="S50" t="str">
            <v>Rajni ( 14 Inch ) 22     Grass</v>
          </cell>
          <cell r="T50" t="str">
            <v>P n Y Spray Daisy ( 14 Inch ) 7     FF Sachet + Grass</v>
          </cell>
        </row>
        <row r="51">
          <cell r="A51">
            <v>2368</v>
          </cell>
          <cell r="B51" t="str">
            <v>Jasbir Singh</v>
          </cell>
          <cell r="C51">
            <v>9997092561</v>
          </cell>
          <cell r="D51" t="str">
            <v>Amber, 4th Floor, Universal Trade Centre</v>
          </cell>
          <cell r="E51" t="str">
            <v>Sohna Road 1</v>
          </cell>
          <cell r="F51" t="str">
            <v>Sunday</v>
          </cell>
          <cell r="G51" t="str">
            <v>By 7 PM</v>
          </cell>
          <cell r="H51">
            <v>12800</v>
          </cell>
          <cell r="I51">
            <v>3200</v>
          </cell>
          <cell r="J51" t="str">
            <v>Corporate</v>
          </cell>
          <cell r="N51" t="str">
            <v>2  del of this cycle   -  0-cycles pmnt   In Process - Collect 0</v>
          </cell>
          <cell r="O51" t="str">
            <v xml:space="preserve">Arrangement 1     </v>
          </cell>
          <cell r="P51" t="str">
            <v xml:space="preserve">Arrangement 1     </v>
          </cell>
          <cell r="Q51" t="str">
            <v xml:space="preserve">Arrangement 1     </v>
          </cell>
          <cell r="R51" t="str">
            <v xml:space="preserve">Arrangement 1     </v>
          </cell>
          <cell r="S51" t="str">
            <v xml:space="preserve">Arrangement 1     </v>
          </cell>
          <cell r="T51" t="str">
            <v xml:space="preserve">Arrangement 1     </v>
          </cell>
        </row>
        <row r="52">
          <cell r="A52">
            <v>3359</v>
          </cell>
          <cell r="B52" t="str">
            <v>Payal Soni</v>
          </cell>
          <cell r="C52">
            <v>7508901884</v>
          </cell>
          <cell r="D52" t="str">
            <v>T-9/1403, Pyramid Sec 67 A, Badshahpur Road, Near Iskcon</v>
          </cell>
          <cell r="G52" t="str">
            <v>Replacement</v>
          </cell>
          <cell r="H52" t="str">
            <v>Replacement</v>
          </cell>
          <cell r="I52" t="str">
            <v>Replacement</v>
          </cell>
          <cell r="J52" t="str">
            <v>Replacement</v>
          </cell>
          <cell r="K52" t="str">
            <v>Replacement</v>
          </cell>
          <cell r="N52" t="str">
            <v xml:space="preserve">Take back all alstroemeria- count Kar ke Lena hai 16 stems </v>
          </cell>
          <cell r="T52" t="str">
            <v>B Orchid  5     Grass</v>
          </cell>
        </row>
        <row r="53">
          <cell r="A53">
            <v>2878</v>
          </cell>
          <cell r="B53" t="str">
            <v>Aditi Bhatt</v>
          </cell>
          <cell r="C53">
            <v>7506091115</v>
          </cell>
          <cell r="D53" t="str">
            <v>D-225, 2nd Floor, Sushant Lok-2, Sec 56</v>
          </cell>
          <cell r="E53" t="str">
            <v>Sector 56</v>
          </cell>
          <cell r="F53" t="str">
            <v>Sunday</v>
          </cell>
          <cell r="G53" t="str">
            <v>9 AM - 12 PM</v>
          </cell>
          <cell r="H53">
            <v>1450</v>
          </cell>
          <cell r="I53">
            <v>362.5</v>
          </cell>
          <cell r="J53" t="str">
            <v>Bliss</v>
          </cell>
          <cell r="K53" t="str">
            <v>Skip 1 week (13/08) Send 1 del tom (24/08_) Day change to Sunday (26/08) Shift n send on Thursday (05/09) Skip 1 week (23/10) Skip 1 week (07/11) Remaining Deliveries on Thursday (12/11) Skip 1 week (20/01) Start from 15th Mar 911/03) No Local white gypsy (14/03) Start from 19th Apr (07/04) Paytm from Sparch Jain (21/04) Paytm from Sparsh Jain (16/05) Skip 1 week (10/06)</v>
          </cell>
          <cell r="M53" t="str">
            <v>No White Local Gypsy</v>
          </cell>
          <cell r="N53" t="str">
            <v>4  del of this cycle   -  0-cycles pmnt   CompletedNO COLLECTION-we have extra money - Collect -1</v>
          </cell>
          <cell r="O53" t="str">
            <v>Pur n P Car ( 14 Inch ) 9     FF Sachet + Grass</v>
          </cell>
          <cell r="P53" t="e">
            <v>#N/A</v>
          </cell>
          <cell r="Q53" t="str">
            <v>B Daisy ( 12 Inch ) 9     Grass</v>
          </cell>
          <cell r="R53" t="str">
            <v>Sunflower ( 12 Inch ) 4     FF Sachet + Grass</v>
          </cell>
          <cell r="S53" t="str">
            <v>Rajni ( 14 Inch ) 16     Grass</v>
          </cell>
          <cell r="T53" t="str">
            <v>P Asiatic ( 14 Inch ) 3     Grass</v>
          </cell>
        </row>
        <row r="54">
          <cell r="A54">
            <v>3179</v>
          </cell>
          <cell r="B54" t="str">
            <v>Bandhana</v>
          </cell>
          <cell r="C54">
            <v>98188998617</v>
          </cell>
          <cell r="D54" t="str">
            <v>T-5/902, Tata Primanti</v>
          </cell>
          <cell r="E54" t="str">
            <v>Badshahpur</v>
          </cell>
          <cell r="F54" t="str">
            <v>Sunday</v>
          </cell>
          <cell r="G54" t="str">
            <v>9 AM - 12 PM</v>
          </cell>
          <cell r="H54">
            <v>1950</v>
          </cell>
          <cell r="I54">
            <v>487.5</v>
          </cell>
          <cell r="J54" t="str">
            <v>Joy</v>
          </cell>
          <cell r="K54" t="str">
            <v>Single Kind // Replacement tom (08/03) No Spray Daisy and BOP (31/03)</v>
          </cell>
          <cell r="L54" t="str">
            <v>Spray Daisy n BOP</v>
          </cell>
          <cell r="M54" t="str">
            <v>Single Kind</v>
          </cell>
          <cell r="N54" t="str">
            <v>2  del of this cycle   -  1-cycles pmnt   Pending - Collect 1950</v>
          </cell>
          <cell r="O54" t="str">
            <v>W Asiatic ( 14 Inch ) 4     Grass</v>
          </cell>
          <cell r="P54" t="str">
            <v>Mix Glad (14Inch) 22     FF Sachet + Grass</v>
          </cell>
          <cell r="Q54" t="str">
            <v>Pur n P Car ( 14 Inch ) 22     FF Sachet + Grass</v>
          </cell>
          <cell r="R54" t="str">
            <v>Pur n P Eustoma ( 12 Inch ) 4     FF Sachet + Grass</v>
          </cell>
          <cell r="S54" t="str">
            <v>Rajni ( 14 Inch ) 22     Grass</v>
          </cell>
          <cell r="T54" t="str">
            <v>P n Y Spray Daisy ( 14 Inch ) 7     FF Sachet + Grass</v>
          </cell>
        </row>
        <row r="55">
          <cell r="A55" t="str">
            <v>G-00056</v>
          </cell>
          <cell r="B55" t="str">
            <v>Triveni Wahi</v>
          </cell>
          <cell r="C55">
            <v>7503975035</v>
          </cell>
          <cell r="D55" t="str">
            <v>B-14/12 C, Dlf The Grove</v>
          </cell>
          <cell r="E55" t="str">
            <v>DLF Phase 5</v>
          </cell>
          <cell r="F55" t="str">
            <v>Sunday</v>
          </cell>
          <cell r="G55" t="str">
            <v>9 AM - 12 PM</v>
          </cell>
          <cell r="H55">
            <v>1450</v>
          </cell>
          <cell r="I55">
            <v>362.5</v>
          </cell>
          <cell r="J55" t="str">
            <v>Bliss</v>
          </cell>
          <cell r="K55" t="str">
            <v>From Madhulika Geeta Chopra // 2sesonal Extra next (05/05) Today Returned -send next week (24/05) Today returned - hold (14/06)</v>
          </cell>
          <cell r="M55" t="str">
            <v>2 sesonal Extra next (05/05)</v>
          </cell>
          <cell r="N55" t="str">
            <v>2  del of this cycle   -  0-cycles pmnt   Completed - Collect 0</v>
          </cell>
          <cell r="O55" t="str">
            <v>Mix Alstroemeria ( 12 Inch ) 16     FF Sachet + Grass</v>
          </cell>
          <cell r="P55" t="str">
            <v>P n W Spray Daisy ( 14 Inch ) 5     FF Sachet + Grass</v>
          </cell>
          <cell r="Q55" t="str">
            <v>P n W Spray Daisy ( 14 Inch ) 5     FF Sachet + Grass</v>
          </cell>
          <cell r="R55" t="str">
            <v>Sunflower ( 12 Inch ) 4     FF Sachet + Grass</v>
          </cell>
          <cell r="S55" t="str">
            <v>Pur n P Car ( 14 Inch ) 16     FF Sachet + Grass</v>
          </cell>
          <cell r="T55" t="str">
            <v>O Asiatic ( 14 Inch ) 3     Grass</v>
          </cell>
        </row>
        <row r="56">
          <cell r="A56">
            <v>1455</v>
          </cell>
          <cell r="B56" t="str">
            <v>Gagan Ahluwalia</v>
          </cell>
          <cell r="C56">
            <v>9811105056</v>
          </cell>
          <cell r="D56" t="str">
            <v>C-82, The Summit</v>
          </cell>
          <cell r="E56" t="str">
            <v>Golf Course Road</v>
          </cell>
          <cell r="F56" t="str">
            <v>Thursday</v>
          </cell>
          <cell r="G56" t="str">
            <v>9 AM - 12 PM</v>
          </cell>
          <cell r="H56">
            <v>2300</v>
          </cell>
          <cell r="I56">
            <v>287.5</v>
          </cell>
          <cell r="J56" t="str">
            <v>Felicity</v>
          </cell>
          <cell r="K56" t="str">
            <v>Thursday n Sunday //Gift From Ragini Ahluwalia// Flowers-- Guldawari/Orchids/Car and Asiatic(27/07) Hold n start from 2nd week of July(02/06) NO ORCHIDS (23/12) Hold till june end (07/06) Today returned (20/06) Replacement today (07/07) Hold today and start after 12th Oct (03/10) No Flowers tull 17th Nov (11/11) Hold from 15th may to 17th June (14/05) Skip 1 wek (24/06) Hold today due to non payment (02/10) Hold due to non payment (05/10) Hold due to non payment (09/10) Start from today (12/10) Skip 1 week (29/11) Hold due to non payment (11/01) Hold due to non payment (01/.02) HDTNP (15/02) HDTNP (22/02) HDTNP (26/02) HDTNP (04/03) HDTNP (08/03) HDTNP (12/03) HDTNP (14/03) No after 1st June (14/05) Hold n start after 1st June (14/05) Hold till 1st June (15/05)</v>
          </cell>
          <cell r="N56" t="str">
            <v>2  del of this cycle   -  1-cycles pmnt   Pending - Collect 2300</v>
          </cell>
          <cell r="O56" t="str">
            <v>Sunflower ( 12 Inch ) 3     FF Sachet + Grass</v>
          </cell>
          <cell r="P56" t="str">
            <v>O Asiatic ( 14 Inch ) 2     Grass</v>
          </cell>
          <cell r="Q56" t="str">
            <v>B Daisy ( 12 Inch ) 11     Grass</v>
          </cell>
          <cell r="R56" t="str">
            <v>P n W Glad ( 14 Inch ) 11     Grass</v>
          </cell>
          <cell r="S56" t="str">
            <v>Rajni ( 14 Inch ) 11     Grass</v>
          </cell>
          <cell r="T56" t="str">
            <v>G n W Car ( 14 Inch ) 11     FF Sachet + Grass</v>
          </cell>
        </row>
        <row r="57">
          <cell r="A57">
            <v>1899</v>
          </cell>
          <cell r="B57" t="str">
            <v>Hardik Shah</v>
          </cell>
          <cell r="C57">
            <v>9811227080</v>
          </cell>
          <cell r="D57" t="str">
            <v>T-5/1402, Vipul Green</v>
          </cell>
          <cell r="E57" t="str">
            <v>Sohna Road 2</v>
          </cell>
          <cell r="F57" t="str">
            <v>Friday</v>
          </cell>
          <cell r="G57" t="str">
            <v>9 AM - 12 PM</v>
          </cell>
          <cell r="H57">
            <v>4850</v>
          </cell>
          <cell r="I57">
            <v>606.25</v>
          </cell>
          <cell r="J57" t="str">
            <v>Poise</v>
          </cell>
          <cell r="K57" t="str">
            <v>Friday n Sunday (02/04) Shift to Poise after this cycle(22/05) No Poies(28/05) Skip 1 week(13/08) Today Returned(21/08) Today Returned again(26/08) Skip 2 week (18/06) Skip only next delivery (29/07) Hold today n skip 1 week (19/01) Skip 1 week (15/08) Hold for 4 weeks (27/01) Returned today (14/11) Today returned (01/05)</v>
          </cell>
          <cell r="N57" t="str">
            <v>5  del of this cycle   -  1-cycles pmnt   Pending - Collect 4850</v>
          </cell>
          <cell r="O57" t="str">
            <v>Mix Alstroemeria ( 12 Inch ) 20     FF Sachet + Grass</v>
          </cell>
          <cell r="P57" t="e">
            <v>#N/A</v>
          </cell>
          <cell r="Q57" t="e">
            <v>#N/A</v>
          </cell>
          <cell r="R57" t="str">
            <v>Pur n P Car ( 14 Inch 26     FF Sachet + Grass</v>
          </cell>
          <cell r="S57" t="str">
            <v>B Daisy ( 12 Inch ) 26     Grass</v>
          </cell>
          <cell r="T57" t="str">
            <v>Y Asiatic ( 14 Inch ) 6     Grass</v>
          </cell>
        </row>
        <row r="58">
          <cell r="A58">
            <v>2250</v>
          </cell>
          <cell r="B58" t="str">
            <v>Saloni Gupta</v>
          </cell>
          <cell r="C58">
            <v>9810796682</v>
          </cell>
          <cell r="D58" t="str">
            <v>338, 3rd Floor, Espace</v>
          </cell>
          <cell r="E58" t="str">
            <v>Nirvana Country</v>
          </cell>
          <cell r="F58" t="str">
            <v>Sunday</v>
          </cell>
          <cell r="G58" t="str">
            <v>9 AM - 12 PM</v>
          </cell>
          <cell r="H58">
            <v>3088</v>
          </cell>
          <cell r="I58">
            <v>386</v>
          </cell>
          <cell r="J58" t="str">
            <v>Cutsomized-Biweekly</v>
          </cell>
          <cell r="K58" t="str">
            <v>Sunday n Thursday//Pls Keep Flowers in Vase// Paytm from Mayank G (17/03) Sent replacememnt today (23/03) Skip 1 week (10/04) 2 Asiatic and 5 Rajni (27/07) Paytm friom Mayank Gupta (16/09) 2 Asiatic Lily in each delivery (16/10) Today returned (17/11) Skip this sunday (03/01) Thursday -- 10 Rose and 4 Rajni // Sunday - 2 Asiatic (19/01) Whenever possible-send red Roses (23/01) Skip tom (29/01) Today returned (22/05) Send replacement tom (27/07) Hold today (14/08) Do not count last delivery (04/09) Hold today (02/10) Hold today (12/10) Hold after this cycle (27/10) Do not count last del (31/10) 2 Asiatic + 4 Rajni + 4 Glad -- thrice in a week (30/12) 2 Asiatic and 4 Rajni bi weekly pack (08/03) 2 Asiatic and 8 Rajni Every time and send 8 Rajni tom (26/03) Today returned-send tom (19/04) Skip sunday (04/07)</v>
          </cell>
          <cell r="N58" t="str">
            <v>6  del of this cycle   -  0-cycles pmnt   Completed - Collect 0</v>
          </cell>
          <cell r="O58" t="e">
            <v>#N/A</v>
          </cell>
          <cell r="P58" t="e">
            <v>#N/A</v>
          </cell>
          <cell r="Q58" t="str">
            <v>P Asiatic ( 14 Inch ) 3     Grass</v>
          </cell>
          <cell r="R58" t="str">
            <v>Y Asiatic ( 14 Inch ) 3     Grass</v>
          </cell>
          <cell r="S58" t="e">
            <v>#N/A</v>
          </cell>
          <cell r="T58" t="str">
            <v>W Asiatic 3     Grass</v>
          </cell>
        </row>
        <row r="59">
          <cell r="A59">
            <v>1467</v>
          </cell>
          <cell r="B59" t="str">
            <v>Priyanka Chaturvedi</v>
          </cell>
          <cell r="C59">
            <v>7838930274</v>
          </cell>
          <cell r="D59" t="str">
            <v xml:space="preserve">Flat No. A-303, The Peaceful Homes, Sec 70-A
</v>
          </cell>
          <cell r="E59" t="str">
            <v>Badshahpur</v>
          </cell>
          <cell r="F59" t="str">
            <v>Friday</v>
          </cell>
          <cell r="G59" t="str">
            <v>9 AM - 12 PM</v>
          </cell>
          <cell r="H59">
            <v>1600</v>
          </cell>
          <cell r="I59">
            <v>200</v>
          </cell>
          <cell r="J59" t="str">
            <v>Bloom</v>
          </cell>
          <cell r="K59" t="str">
            <v>Friday and Sunday//Saturday evening slot and Sunday morning Slot(06/08) Send 100 Gm Mogra also(03/09) Received cash of 100 today(04/09) Skip coming week(20/09) Skip 1 week(15/10) Skip tom n send on comong fridayu this week(29/01) W Car next(26/02)  Holy Change(16/03) Return today(15/04) Hold n start from July (01/05) Skip 13th Delivery (10/01) NO ROSE (29/01) Sent replacement today (05/02) Send bothe deliveries together on sunday (12/05) Skip 1 week (25/05) Send both deliveries on Sunday only (01/06) Double Delivery only on Sunday (10/06) Paytm From Gaurav Chaturvedi (26/03) Hold til next saturday (20/06) Skip this sunday (11/10) No Spray Daisy (22/11) Today REturned (12/01) Skip 2nd week (03/04) No Del between 7th to 14th (05/04) Skip this sunday (18/06) Skip tom (04/10) Skip 1 week (10/12) Today Returned (04/01)</v>
          </cell>
          <cell r="L59" t="str">
            <v>ROSE n SPRAY DAISY</v>
          </cell>
          <cell r="N59" t="str">
            <v>7  del of this cycle   -  0-cycles pmnt   Completed - Collect 0</v>
          </cell>
          <cell r="O59" t="str">
            <v>Sunflower ( 12 Inch ) 2     FF Sachet + Grass</v>
          </cell>
          <cell r="P59" t="str">
            <v>Mix Alstroemeria ( 12 Inch ) 7     FF Sachet + Grass</v>
          </cell>
          <cell r="Q59" t="str">
            <v>B Daisy ( 12 Inch ) 7     Grass</v>
          </cell>
          <cell r="R59" t="str">
            <v>Sunflower ( 12 Inch ) 2     FF Sachet + Grass</v>
          </cell>
          <cell r="S59" t="str">
            <v>B Daisy ( 12 Inch ) 7     Grass</v>
          </cell>
          <cell r="T59" t="str">
            <v>G n W Car ( 14 Inch ) 7     FF Sachet + Grass</v>
          </cell>
        </row>
        <row r="60">
          <cell r="A60">
            <v>2462</v>
          </cell>
          <cell r="B60" t="str">
            <v>Rubeey Matharu -- 1450 Pack</v>
          </cell>
          <cell r="C60">
            <v>9811601176</v>
          </cell>
          <cell r="D60" t="str">
            <v>Sirera 1, T-6/306, M3M Marina</v>
          </cell>
          <cell r="E60" t="str">
            <v>Badshahpur</v>
          </cell>
          <cell r="F60" t="str">
            <v>Sunday</v>
          </cell>
          <cell r="G60" t="str">
            <v>9 AM - 12 PM</v>
          </cell>
          <cell r="H60">
            <v>1450</v>
          </cell>
          <cell r="I60">
            <v>362.5</v>
          </cell>
          <cell r="J60" t="str">
            <v>Bliss</v>
          </cell>
          <cell r="K60" t="str">
            <v>Skip 1 week and inform before starting (08/04) Hold n start from Aug (15/05) Paytm From Amanpreet Kaur Matharu // Paytm from Gurjeet Matharu</v>
          </cell>
          <cell r="M60" t="str">
            <v>Rajni Tom (01/11)</v>
          </cell>
          <cell r="N60" t="str">
            <v>2  del of this cycle   -  1-cycles pmnt   Pending - Collect 1000</v>
          </cell>
          <cell r="O60" t="str">
            <v>Mix Alstroemeria ( 12 Inch ) 9     FF Sachet + Grass</v>
          </cell>
          <cell r="P60" t="str">
            <v>Pur n P Car ( 14 Inch ) 9     FF Sachet + Grass</v>
          </cell>
          <cell r="Q60" t="str">
            <v>B Daisy ( 12 Inch ) 9     Grass</v>
          </cell>
          <cell r="R60" t="str">
            <v>P n W Glad ( 14 Inch ) 9     Grass</v>
          </cell>
          <cell r="S60" t="str">
            <v>Sunflower ( 12 Inch ) 4     FF Sachet + Grass</v>
          </cell>
          <cell r="T60" t="str">
            <v>P Asiatic ( 14 Inch ) 3     Grass</v>
          </cell>
        </row>
        <row r="61">
          <cell r="A61">
            <v>1570</v>
          </cell>
          <cell r="B61" t="str">
            <v>Nisha Syriac</v>
          </cell>
          <cell r="C61">
            <v>9711811545</v>
          </cell>
          <cell r="D61" t="str">
            <v>G202, DLF Park Place Heights, Golf Course Road</v>
          </cell>
          <cell r="E61" t="str">
            <v>Golf Course Road</v>
          </cell>
          <cell r="F61" t="str">
            <v>Sunday</v>
          </cell>
          <cell r="G61" t="str">
            <v>9:30 Am to 2 PM</v>
          </cell>
          <cell r="H61">
            <v>1450</v>
          </cell>
          <cell r="I61">
            <v>362.5</v>
          </cell>
          <cell r="J61" t="str">
            <v>Bliss</v>
          </cell>
          <cell r="K61" t="str">
            <v>Paytm from Jacob Kuriakose(04/01) For remaining 3 Deliveries-- Guldawari//spray daisy// Orchids or Lily(06/01) Hold n start from 7th Feb(30/01) This cycle-- Car//Orchid//Lily//Spray Daisy(06/02) Skip this week and send on Tuesday(20/02) Skip 1 wek (11/03) Less Flowers sent in 2 del -- pls send 1 More Del on 1st Apr (25/03) No Rse n Gerbera (20/11) Skip 1 week (10/01) Skip 1 week 911/03) Skip 1 week (26/04) Skip 1 week (16/05) Hold till 7th Sep (13/08) Skip 1 week (19/09) Skip 1 week (03/01) No Rajni and Orchid only (21/02) Skip 1 week (27/03) Last del missed (07/04) Change day to Thursday (11/04) Return n skip next week also (07/05) Now on sunday Morning (21/05) Skip 1 week (27/06)</v>
          </cell>
          <cell r="L61" t="str">
            <v>Rajni n Orchid</v>
          </cell>
          <cell r="M61" t="str">
            <v xml:space="preserve">Single Color Flowers </v>
          </cell>
          <cell r="N61" t="str">
            <v>3  del of this cycle   -  0-cycles pmnt   Completed - Collect 0</v>
          </cell>
          <cell r="O61" t="str">
            <v>P Alstroemeria ( 12 Inch ) 16 Single Color Flower  Single Color Flower    FF Sachet + Grass</v>
          </cell>
          <cell r="P61" t="str">
            <v>P Spray Daisy ( 14 Inch ) 5     FF Sachet + Grass</v>
          </cell>
          <cell r="Q61" t="str">
            <v>Pur n P Car ( 14 Inch ) 16     FF Sachet + Grass</v>
          </cell>
          <cell r="R61" t="str">
            <v>Y Asiatic ( 14 Inch ) 3     Grass</v>
          </cell>
          <cell r="S61" t="str">
            <v>P n W Glad ( 14 Inch ) 16     Grass</v>
          </cell>
          <cell r="T61" t="str">
            <v>Sunflower ( 12 Inch ) 4     FF Sachet + Grass</v>
          </cell>
        </row>
        <row r="62">
          <cell r="A62">
            <v>2246</v>
          </cell>
          <cell r="B62" t="str">
            <v>Amita Gupta</v>
          </cell>
          <cell r="C62">
            <v>9811985450</v>
          </cell>
          <cell r="D62" t="str">
            <v>146, Cedar Crest</v>
          </cell>
          <cell r="E62" t="str">
            <v>Nirvana Country</v>
          </cell>
          <cell r="F62" t="str">
            <v>Thursday</v>
          </cell>
          <cell r="G62" t="str">
            <v>9 AM - 12 PM</v>
          </cell>
          <cell r="H62">
            <v>1600</v>
          </cell>
          <cell r="I62">
            <v>200</v>
          </cell>
          <cell r="J62" t="str">
            <v>Bloom</v>
          </cell>
          <cell r="K62" t="str">
            <v>Return today (03/10) Change to bliss (23/10) No Orchid (24/10) Send a vase tom (20/08) Upgrade to bliss (17/12)</v>
          </cell>
          <cell r="L62" t="str">
            <v>Orchid</v>
          </cell>
          <cell r="M62" t="str">
            <v>1 Vase Tom (20/08)</v>
          </cell>
          <cell r="N62" t="str">
            <v>4  del of this cycle   -  0-cycles pmnt   Completed - Collect 0</v>
          </cell>
          <cell r="O62" t="str">
            <v>Y Spray Daisy ( 14 Inch ) 2     FF Sachet + Grass</v>
          </cell>
          <cell r="P62" t="str">
            <v>Rajni ( 14 Inch ) 7     Grass</v>
          </cell>
          <cell r="Q62" t="str">
            <v>B Daisy ( 12 Inch ) 7     Grass</v>
          </cell>
          <cell r="R62" t="str">
            <v>Sunflower ( 12 Inch ) 2     FF Sachet + Grass</v>
          </cell>
          <cell r="S62" t="str">
            <v>Rajni ( 14 Inch ) 7     Grass</v>
          </cell>
          <cell r="T62" t="str">
            <v>P Spray Daisy ( 14 Inch ) 2     FF Sachet + Grass</v>
          </cell>
        </row>
        <row r="63">
          <cell r="A63">
            <v>3359</v>
          </cell>
          <cell r="B63" t="str">
            <v>Payal Soni</v>
          </cell>
          <cell r="C63">
            <v>7508901884</v>
          </cell>
          <cell r="D63" t="str">
            <v>T-9/1403, Pyramid Sec 67 A, Badshahpur Road, Near Iskcon</v>
          </cell>
          <cell r="E63" t="str">
            <v>Badshahpur</v>
          </cell>
          <cell r="F63" t="str">
            <v>Sunday</v>
          </cell>
          <cell r="G63" t="str">
            <v>9 AM - 12 PM</v>
          </cell>
          <cell r="H63">
            <v>1450</v>
          </cell>
          <cell r="I63">
            <v>362.5</v>
          </cell>
          <cell r="J63" t="str">
            <v>Bliss</v>
          </cell>
          <cell r="K63" t="str">
            <v>No Glad and day changed to Sunday 904/06)</v>
          </cell>
          <cell r="L63" t="str">
            <v>Glad</v>
          </cell>
          <cell r="N63" t="str">
            <v>2  del of this cycle   -  0-cycles pmnt   Completed - Collect 0</v>
          </cell>
          <cell r="O63" t="str">
            <v>Mix Alstroemeria ( 12 Inch ) 16     FF Sachet + Grass</v>
          </cell>
          <cell r="P63" t="str">
            <v>P Asiatic ( 14 Inch ) 3     Grass</v>
          </cell>
          <cell r="Q63" t="str">
            <v>Pur n P Car ( 14 Inch ) 16     FF Sachet + Grass</v>
          </cell>
          <cell r="R63" t="str">
            <v>Sunflower ( 12 Inch ) 4     FF Sachet + Grass</v>
          </cell>
          <cell r="S63" t="str">
            <v>Rajni ( 14 Inch ) 16     Grass</v>
          </cell>
          <cell r="T63" t="str">
            <v>Mix Alstroemeria ( 12 Inch ) 16     FF Sachet + Grass</v>
          </cell>
        </row>
        <row r="64">
          <cell r="A64">
            <v>1470</v>
          </cell>
          <cell r="B64" t="str">
            <v>Ankit Goyal</v>
          </cell>
          <cell r="C64">
            <v>9582406060</v>
          </cell>
          <cell r="D64" t="str">
            <v>A-402, La Lagune</v>
          </cell>
          <cell r="E64" t="str">
            <v>Golf Course Road</v>
          </cell>
          <cell r="F64" t="str">
            <v>Sunday</v>
          </cell>
          <cell r="G64" t="str">
            <v>9 AM - 12 PM</v>
          </cell>
          <cell r="H64">
            <v>2750</v>
          </cell>
          <cell r="I64">
            <v>687.5</v>
          </cell>
          <cell r="J64" t="str">
            <v>Elation</v>
          </cell>
          <cell r="K64" t="str">
            <v>Sunday to Thurs//Monday and Thursday// Car 1st(07/08) Referred by Divya Grg// always diff flowers(07/08) Skip 1 week(16/08) Sunday Missed-sent today(13/09) No Rose til it survives(26/09) Received 850 in advance today(16/11) Flowers returned-skip 1 weeK30/11) Skip 1 week(18/12) REturned-send next week(10/03) Skuip 1 week (25/10) Today Returned and hold for next 8 days (03/11) Skip 1 week (25/01) Skip 1 week (06/03) Return today Skip 1 week (20/04) Today Returned (08/06) Skip 1 week (05/07) Hold due to non payment (19/07) hOLD AS PAYMENT NOT RECEIVED(13/10) Skip this sunday (20/7) Skip 1 week (17/08) Skip tom (23/11) Skip 1 week (16/12) Skip tom (08/03) Skip 1 week(11/04) Skip 2 week (18/06) Today Returned (19/10) Skip 1 week (0111) Skip 1 week (07/11) Send one del tom (09/11) Skip tom (20/12)</v>
          </cell>
          <cell r="N64" t="str">
            <v>1  del of this cycle   -  1-cycles pmnt   Pending - Collect 2750</v>
          </cell>
          <cell r="O64" t="e">
            <v>#N/A</v>
          </cell>
          <cell r="P64" t="e">
            <v>#N/A</v>
          </cell>
          <cell r="Q64" t="str">
            <v>O Asiatic ( 14 Inch )' 6     2 Gypsola</v>
          </cell>
          <cell r="R64" t="str">
            <v>P n W Glad ( 14 Inch ) 32     2 Limonium</v>
          </cell>
          <cell r="S64" t="str">
            <v>P n Y Spray Daisy ( 14 Inch ) 10     2 Gypsola</v>
          </cell>
          <cell r="T64" t="str">
            <v>Rajni ( 14 Inch ) 32     2 Limonium</v>
          </cell>
        </row>
        <row r="65">
          <cell r="A65">
            <v>3284</v>
          </cell>
          <cell r="B65" t="str">
            <v>Megha Sharma</v>
          </cell>
          <cell r="C65" t="str">
            <v>9643166797 // 7351797203</v>
          </cell>
          <cell r="D65" t="str">
            <v>338, Espace, 2nd Floor</v>
          </cell>
          <cell r="E65" t="str">
            <v>Nirvana Country</v>
          </cell>
          <cell r="F65" t="str">
            <v>Sunday</v>
          </cell>
          <cell r="G65" t="str">
            <v>4 PM to 7 PM</v>
          </cell>
          <cell r="H65">
            <v>1950</v>
          </cell>
          <cell r="I65">
            <v>487.5</v>
          </cell>
          <cell r="J65" t="str">
            <v>Joy</v>
          </cell>
          <cell r="K65" t="str">
            <v>Paytm From Megha Sharma</v>
          </cell>
          <cell r="N65" t="str">
            <v>3  del of this cycle   -  0-cycles pmnt   Completed - Collect 0</v>
          </cell>
          <cell r="O65" t="str">
            <v>P n W Glad ( 14 Inch ) 22     Grass</v>
          </cell>
          <cell r="P65" t="str">
            <v>P n Y Spray Daisy ( 14 Inch ) 7     FF Sachet + Grass</v>
          </cell>
          <cell r="Q65" t="str">
            <v>B Daisy ( 12 Inch ) 22     Grass</v>
          </cell>
          <cell r="R65" t="str">
            <v>Pur n P Car ( 14 Inch 22     FF Sachet + Grass</v>
          </cell>
          <cell r="S65" t="str">
            <v>Rajni ( 14 Inch ) 22     Grass</v>
          </cell>
          <cell r="T65" t="str">
            <v>P Asiatic ( 14 Inch ) 4     Grass</v>
          </cell>
        </row>
        <row r="66">
          <cell r="A66">
            <v>2592</v>
          </cell>
          <cell r="B66" t="str">
            <v>Nidhi Prasad</v>
          </cell>
          <cell r="C66">
            <v>9899779181</v>
          </cell>
          <cell r="D66" t="str">
            <v>T-10/1003, valley View Estate</v>
          </cell>
          <cell r="E66" t="str">
            <v>Ghata</v>
          </cell>
          <cell r="F66" t="str">
            <v>Sunday</v>
          </cell>
          <cell r="G66" t="str">
            <v>9 AM to 2 PM</v>
          </cell>
          <cell r="H66">
            <v>999</v>
          </cell>
          <cell r="I66">
            <v>249.75</v>
          </cell>
          <cell r="J66" t="str">
            <v>Delight</v>
          </cell>
          <cell r="K66" t="str">
            <v>Hold n start from 29th June(14/06) Hold today due to non payment (04/01) Hold due to non payment (01/02) Hold due to non payment (08/02) HDTNP (15/02) HDTNP (22/02) HDTNP (01/03) HDTNP (08/03) HDTNP (12/04) HDTNP (07/06) Hold till 26th (07/06) Returmed today (05/07)</v>
          </cell>
          <cell r="N66" t="str">
            <v>3  del of this cycle   -  0-cycles pmnt   Completed - Collect 0</v>
          </cell>
          <cell r="O66" t="e">
            <v>#N/A</v>
          </cell>
          <cell r="P66" t="e">
            <v>#N/A</v>
          </cell>
          <cell r="Q66" t="e">
            <v>#N/A</v>
          </cell>
          <cell r="R66" t="str">
            <v>P Asiatic ( 14 Inch ) 2     Grass</v>
          </cell>
          <cell r="S66" t="str">
            <v>Rajni ( 14 Inch ) 9     Grass</v>
          </cell>
          <cell r="T66" t="str">
            <v>G n W Car ( 14 Inch ) 9     FF Sachet + Grass</v>
          </cell>
        </row>
        <row r="67">
          <cell r="A67">
            <v>1978</v>
          </cell>
          <cell r="B67" t="str">
            <v>Anu-- After 6 PM</v>
          </cell>
          <cell r="C67" t="str">
            <v>98103 39602</v>
          </cell>
          <cell r="D67" t="str">
            <v xml:space="preserve">Tower 6, 901 Fresco </v>
          </cell>
          <cell r="E67" t="str">
            <v>Nirvana Country</v>
          </cell>
          <cell r="F67" t="str">
            <v>Thursday</v>
          </cell>
          <cell r="G67" t="str">
            <v>4 Pm to 7 PM</v>
          </cell>
          <cell r="H67">
            <v>4850</v>
          </cell>
          <cell r="I67">
            <v>606.25</v>
          </cell>
          <cell r="J67" t="str">
            <v>Poise</v>
          </cell>
          <cell r="K67" t="str">
            <v xml:space="preserve"> Thursday n Sunday//No Rajni (14/03) No Rose n Gerbera n RAJNI// Skip this week n send on Tuesday evening slot (18/06) Send this Thursday to Friday (04/09) NO HELICONIA (13/09) Skip Thursday delivery (12/11) Send tom in morning (16/11) Skip Thursday del (19/11) Skip tom (23/11) Hold till 11th  (30/11) Dont send on Sunday (13/12) Skip sunday (20/12) Skip tom (08/02) Hold today (23/02) Skip 1 Week (01/06) Skip thursday Delivery (18/06) Skip this thursday and send on sunday after 6 PM (06/08) No BOP also (06/10) Do not count today del and sned on sat next (04/12) Skip saturda and sunday also (05/12) Hold today n send tom (11/12) Hold today (05/04) Hold today (16/04)</v>
          </cell>
          <cell r="L67" t="str">
            <v>ROSE n RAJNI n HELICONIA n BOP</v>
          </cell>
          <cell r="M67" t="str">
            <v>after 6 pm on 19th (16/04)</v>
          </cell>
          <cell r="N67" t="str">
            <v>1  del of this cycle   -  1-cycles pmnt   Pending - Collect 4850</v>
          </cell>
          <cell r="O67" t="str">
            <v>W Asiatic ( 14 Inch ) 2 Mix Alstroemeria ( 12 Inch ) 10 P n W Glad ( 14 Inch ) 10 FF Sachet + Grass</v>
          </cell>
          <cell r="P67" t="str">
            <v>O Asiatic ( 14 Inch ) 2 P n W Spray Daisy  14 Inch ) 4 Rajni ( 14 Inch ) 12 Grass</v>
          </cell>
          <cell r="Q67" t="str">
            <v>P Asiatic ( 14 Inch ) 2 B Daisy ( 12 Inch ) 6 Pur n P Car ( 14 Inch ) 10 Grass</v>
          </cell>
          <cell r="R67" t="str">
            <v>Y Asiatic ( 14 Inch ) 2 B Daisy ( 12 Inch ) 6 P n W Glad ( 14 Inch ) 12 Grass</v>
          </cell>
          <cell r="S67" t="str">
            <v>P Asiatic ( 14 Inch ) 2 B Daisy ( 12 Inch ) 6 Rajni ( 14 Inch ) 10 Grass</v>
          </cell>
          <cell r="T67" t="str">
            <v>Y Asiatic ( 14 Inch ) 2 P Spray Daisy ( 14 Inch ) 3 G n W Car ( 14 Inch ) 12 Grass</v>
          </cell>
        </row>
        <row r="68">
          <cell r="A68" t="str">
            <v>B56430</v>
          </cell>
          <cell r="B68" t="str">
            <v>Sonali Khullar</v>
          </cell>
          <cell r="C68">
            <v>9900094415</v>
          </cell>
          <cell r="D68" t="str">
            <v>C-1702, pioneer araya, sect 62</v>
          </cell>
          <cell r="E68" t="str">
            <v>Ghata</v>
          </cell>
          <cell r="F68" t="str">
            <v>Sunday</v>
          </cell>
          <cell r="G68" t="str">
            <v>By 9:30 AM</v>
          </cell>
          <cell r="H68">
            <v>1000</v>
          </cell>
          <cell r="I68">
            <v>1000</v>
          </cell>
          <cell r="J68" t="str">
            <v>Bouquet</v>
          </cell>
          <cell r="K68" t="str">
            <v>Car n Rajni Bouquet</v>
          </cell>
          <cell r="N68" t="str">
            <v>1  del of this cycle   -  1-cycles pmnt   Pending - Collect 1000</v>
          </cell>
          <cell r="O68" t="e">
            <v>#N/A</v>
          </cell>
          <cell r="P68" t="e">
            <v>#N/A</v>
          </cell>
          <cell r="Q68" t="e">
            <v>#N/A</v>
          </cell>
          <cell r="R68" t="e">
            <v>#N/A</v>
          </cell>
          <cell r="S68" t="e">
            <v>#N/A</v>
          </cell>
          <cell r="T68" t="str">
            <v xml:space="preserve">P n W Car + Rajni  24 Walkin Tissue Wrap    </v>
          </cell>
        </row>
        <row r="69">
          <cell r="A69" t="str">
            <v>B56428</v>
          </cell>
          <cell r="B69" t="str">
            <v>Chandrima Budhakoti</v>
          </cell>
          <cell r="C69">
            <v>9310519349</v>
          </cell>
          <cell r="D69" t="str">
            <v>C=2901, Mahindar Luminaire</v>
          </cell>
          <cell r="E69" t="str">
            <v>Ghata</v>
          </cell>
          <cell r="F69" t="str">
            <v>Saturday</v>
          </cell>
          <cell r="G69" t="str">
            <v>By 9:30 AM</v>
          </cell>
          <cell r="H69">
            <v>2495</v>
          </cell>
          <cell r="I69">
            <v>2495</v>
          </cell>
          <cell r="J69" t="str">
            <v>Bouquet</v>
          </cell>
          <cell r="K69" t="str">
            <v>5 BOP + 3 Pur Orchid + 10 W Car in Jar Vase</v>
          </cell>
          <cell r="N69" t="str">
            <v>1  del of this cycle   -  1-cycles pmnt   Pending - Collect 2495</v>
          </cell>
          <cell r="O69" t="e">
            <v>#N/A</v>
          </cell>
          <cell r="P69" t="e">
            <v>#N/A</v>
          </cell>
          <cell r="Q69" t="e">
            <v>#N/A</v>
          </cell>
          <cell r="R69" t="e">
            <v>#N/A</v>
          </cell>
          <cell r="S69" t="e">
            <v>#N/A</v>
          </cell>
          <cell r="T69" t="str">
            <v xml:space="preserve">BOP + Pur Orchid + W Car 5 + 10 + 3 Jar Vase Arrangement    </v>
          </cell>
        </row>
        <row r="70">
          <cell r="A70" t="str">
            <v>B56438</v>
          </cell>
          <cell r="B70" t="str">
            <v>Orpita Mukherjee</v>
          </cell>
          <cell r="C70">
            <v>9619927551</v>
          </cell>
          <cell r="D70" t="str">
            <v>R-22 B, WindsorCourt</v>
          </cell>
          <cell r="E70" t="str">
            <v>DLF Phase 4</v>
          </cell>
          <cell r="F70" t="str">
            <v>Sunday</v>
          </cell>
          <cell r="G70" t="str">
            <v>By 11 AM</v>
          </cell>
          <cell r="H70">
            <v>750</v>
          </cell>
          <cell r="I70">
            <v>750</v>
          </cell>
          <cell r="J70" t="str">
            <v>Bouquet</v>
          </cell>
          <cell r="K70" t="str">
            <v>5 Red Car + 1 Heliconia + 5 Rajni</v>
          </cell>
          <cell r="N70" t="str">
            <v>1  del of this cycle   -  0-cycles pmnt   Completed - Collect 0</v>
          </cell>
          <cell r="O70" t="e">
            <v>#N/A</v>
          </cell>
          <cell r="P70" t="e">
            <v>#N/A</v>
          </cell>
          <cell r="Q70" t="e">
            <v>#N/A</v>
          </cell>
          <cell r="R70" t="e">
            <v>#N/A</v>
          </cell>
          <cell r="S70" t="e">
            <v>#N/A</v>
          </cell>
          <cell r="T70" t="str">
            <v>R Car + W Asiatic + Rajni 5 + 1 + 5     Areca palm + Grass</v>
          </cell>
        </row>
        <row r="71">
          <cell r="A71">
            <v>3386</v>
          </cell>
          <cell r="B71" t="str">
            <v>Devina Duggal</v>
          </cell>
          <cell r="C71">
            <v>9992399954</v>
          </cell>
          <cell r="D71" t="str">
            <v>Sadev, C-149, Suncity, Ground Floor</v>
          </cell>
          <cell r="E71" t="str">
            <v>Golf Course Road</v>
          </cell>
          <cell r="F71" t="str">
            <v>Sunday</v>
          </cell>
          <cell r="G71" t="str">
            <v>9:30 Am to 2 PM</v>
          </cell>
          <cell r="H71">
            <v>2750</v>
          </cell>
          <cell r="I71">
            <v>687.5</v>
          </cell>
          <cell r="J71" t="str">
            <v>Elation</v>
          </cell>
          <cell r="K71" t="str">
            <v>No Exotic Greens -- send Only Extra Local Greens</v>
          </cell>
          <cell r="M71" t="str">
            <v>No Exotic Greens -- send Only Extra Local Greens</v>
          </cell>
          <cell r="N71" t="str">
            <v>4  del of this cycle   -  0-cycles pmnt   Completed - Collect 0</v>
          </cell>
          <cell r="O71" t="e">
            <v>#N/A</v>
          </cell>
          <cell r="P71" t="e">
            <v>#N/A</v>
          </cell>
          <cell r="Q71" t="str">
            <v>Pur n P Car ( 14 Inch ) 32     2 Gypsola + FF Sachet</v>
          </cell>
          <cell r="R71" t="str">
            <v>P Asiatic ( 14 Inch ) 3 P n W Glad ( 14 Inch ) 16   Extra Grass -- No Limonium or Gypsola</v>
          </cell>
          <cell r="S71" t="str">
            <v>Rajni ( 14 Inch ) 32     2 Limonium + Grass</v>
          </cell>
          <cell r="T71" t="str">
            <v>Mix Alstroemeria ( 12 Inch ) 32     2 Limonium + FF Sachet</v>
          </cell>
        </row>
        <row r="72">
          <cell r="A72">
            <v>2827</v>
          </cell>
          <cell r="B72" t="str">
            <v>Shelley Handa</v>
          </cell>
          <cell r="C72">
            <v>9899212888</v>
          </cell>
          <cell r="D72" t="str">
            <v>73, Cedar Crest</v>
          </cell>
          <cell r="E72" t="str">
            <v>Nirvana Country</v>
          </cell>
          <cell r="F72" t="str">
            <v>Sunday</v>
          </cell>
          <cell r="G72" t="str">
            <v>9 AM - 12 PM</v>
          </cell>
          <cell r="H72">
            <v>1450</v>
          </cell>
          <cell r="I72">
            <v>362.5</v>
          </cell>
          <cell r="J72" t="str">
            <v>Bliss</v>
          </cell>
          <cell r="K72" t="str">
            <v>Only Seasonal / Hold today due to non payment (02/10)  Send on Sunday this week (03/10) Hold due to non payment (09/10) Hold today and skip 2 week (27/11)  Paytm From Richa Handa (20/03)</v>
          </cell>
          <cell r="N72" t="str">
            <v>1  del of this cycle   -  1-cycles pmnt   Pending - Collect 1450</v>
          </cell>
          <cell r="O72" t="str">
            <v>Mix Alstroemeria ( 12 Inch ) 9     FF Sachet + Grass</v>
          </cell>
          <cell r="P72" t="str">
            <v>P n W Glad ( 14 Inch ) 9     Grass</v>
          </cell>
          <cell r="Q72" t="e">
            <v>#N/A</v>
          </cell>
          <cell r="R72" t="e">
            <v>#N/A</v>
          </cell>
          <cell r="S72" t="e">
            <v>#N/A</v>
          </cell>
          <cell r="T72" t="str">
            <v>G n W Car ( 14 Inch ) 16     FF Sachet + Grass</v>
          </cell>
        </row>
        <row r="73">
          <cell r="A73">
            <v>257</v>
          </cell>
          <cell r="B73" t="str">
            <v>Mrs Munjal -- After 5 PM</v>
          </cell>
          <cell r="C73">
            <v>9818871139</v>
          </cell>
          <cell r="D73" t="str">
            <v>B- 22 Sushant Lok 2, sector 56 (Behind sector 56 police station)</v>
          </cell>
          <cell r="E73" t="str">
            <v>Sector 56</v>
          </cell>
          <cell r="F73" t="str">
            <v>Sunday</v>
          </cell>
          <cell r="G73" t="str">
            <v>9 AM - 12 PM</v>
          </cell>
          <cell r="H73">
            <v>1450</v>
          </cell>
          <cell r="I73">
            <v>362.5</v>
          </cell>
          <cell r="J73" t="str">
            <v>Bliss</v>
          </cell>
          <cell r="K73" t="str">
            <v>send replcmnt tomorrow(18/08)Send Glad in next del(30/08)Skip next del(20/09)1 week extended due to Diwali(08/11)Next daisy(22/11) Skip 1 week(27/03) Skip 1 week(12/11) 2 Stick extra next week(20/02)  Sending thursday del on friday(28/05/2020) Skip 1 week (01/07/2020) Skip 1 week(22/07/20) Skip 1 Week(05/08/20) send 2 stick extra in next del(18/09/20) Skip 1 week(10/03) Skip 1 week(28/04) Skip 1 week(10/11) Paytm From 9958736444(03/07) Paytm From Sandeep Munjal // Skip 1 week (30/10) Hold today send on sunday (06/04) Change day to sunday (13/04) Skip 1 week (25/12) Skip 2 week (28/01) Skip 2 weeks (28/01) Skip 1 week (26/01) Skip 1 week (19/07) Skip 1 week (13/09) Skip tom (15/11) Hold today send tom (05/07)</v>
          </cell>
          <cell r="N73" t="str">
            <v>3  del of this cycle   -  0-cycles pmnt   Completed - Collect 0</v>
          </cell>
          <cell r="O73" t="str">
            <v>P n Y Spray Daisy ( 14 Inch ) 5     FF Sachet + Grass</v>
          </cell>
          <cell r="P73" t="str">
            <v>Pur n P Car ( 14 Inch ) 16     FF Sachet + Grass</v>
          </cell>
          <cell r="Q73" t="str">
            <v>P Eustoma ( 12 Inch ) 3     FF Sachet + Grass</v>
          </cell>
          <cell r="R73" t="str">
            <v>Y Asiatic ( 14 Inch ) 3     Grass</v>
          </cell>
          <cell r="S73" t="str">
            <v>Rajni ( 14 Inch ) 16     Grass</v>
          </cell>
          <cell r="T73" t="str">
            <v>Sunflower ( 12 Inch ) 4     FF Sachet + Grass</v>
          </cell>
        </row>
        <row r="74">
          <cell r="A74">
            <v>2494</v>
          </cell>
          <cell r="B74" t="str">
            <v>Mili Sodhi -- Before 12 PM -- 1450 Pack</v>
          </cell>
          <cell r="C74">
            <v>9312059597</v>
          </cell>
          <cell r="D74" t="str">
            <v>E-801, Bestech Park View Spa Next, Sec 67</v>
          </cell>
          <cell r="E74" t="str">
            <v>Badshahpur</v>
          </cell>
          <cell r="F74" t="str">
            <v>Sunday</v>
          </cell>
          <cell r="G74" t="str">
            <v>9 AM to 2 PM</v>
          </cell>
          <cell r="H74">
            <v>1450</v>
          </cell>
          <cell r="I74">
            <v>362.5</v>
          </cell>
          <cell r="J74" t="str">
            <v>Bliss</v>
          </cell>
          <cell r="K74" t="str">
            <v>Skip 13th n send on 14th (07/04) Today hold as flower arrangement sent (04/0%) Flower Food Next 25/05) No Del between 8th to 15th June (31/05) Today hold (13/07) Sent one del today (18/07) Skip next week (10/08) Returned -send next week (31/08) Skip 1 week (20/09) Hold between 18th to 29th Oct (13/10) Skip 1 week (08/11) Hold till 21st Dec (02/12) Skip 1 wek (22/01) Skip tom (28/02) Skip 1 week (21/03) Skip 2 week after tom (13/06)</v>
          </cell>
          <cell r="M74" t="str">
            <v>Before 12 PM (16/11)</v>
          </cell>
          <cell r="N74" t="str">
            <v>2  del of this cycle   -  0-cycles pmnt   Completed - Collect 0</v>
          </cell>
          <cell r="O74" t="str">
            <v>Mix Alstroemeria ( 12 Inch ) 9     FF Sachet + Grass</v>
          </cell>
          <cell r="P74" t="str">
            <v>Sunflower ( 12 Inch ) 2     FF Sachet + Grass</v>
          </cell>
          <cell r="Q74" t="e">
            <v>#N/A</v>
          </cell>
          <cell r="R74" t="e">
            <v>#N/A</v>
          </cell>
          <cell r="S74" t="str">
            <v>Pur n P Car ( 14 Inch ) 16     FF Sachet + Grass</v>
          </cell>
          <cell r="T74" t="str">
            <v>O Asiatic ( 14 Inch ) 3     Grass</v>
          </cell>
        </row>
        <row r="75">
          <cell r="A75">
            <v>1182</v>
          </cell>
          <cell r="B75" t="str">
            <v>Pradeep Shoran</v>
          </cell>
          <cell r="C75">
            <v>9818335503</v>
          </cell>
          <cell r="D75" t="str">
            <v>T-7/406, Valley View Estate, Gwal Pahari</v>
          </cell>
          <cell r="E75" t="str">
            <v>Ghata</v>
          </cell>
          <cell r="F75" t="str">
            <v>Sunday</v>
          </cell>
          <cell r="G75" t="str">
            <v>9 AM to 2 PM</v>
          </cell>
          <cell r="H75">
            <v>1450</v>
          </cell>
          <cell r="I75">
            <v>362.5</v>
          </cell>
          <cell r="J75" t="str">
            <v>Bliss</v>
          </cell>
          <cell r="K75" t="str">
            <v>Ref from Rachna Rathhee(23/11) NO GULDAWARI(28/12) Lily next week(04/01) Sent a eplacement(27/01) Upgraded to 850-- send 2 type of flowers including last delivery's remaining flowers(23/02) Send plain cyllindrical vase with next del(17/03) Skiped 1 week due to HOLI(29/03) Skip 1 week(22/12) NO ROSES EVER(22/12) NO ROSE(03/01) Skip 1 week(23/03) NO ROSE/ORCHID/GULDAWARI(02/04) Skip 1 week(20/05) Skip 1 week(22/06) 2 Sticks extra next(16/07) Today returned (24/12) No ROSE (07/01) 14th Jan del was missed (15/01) Today Hold (18/02) Skip 2 weeks (24/02) Sent 1 Del today (05/03) Skip 1 week (22/06) Today hold (08/07)  Paytm From Soni Shoran// No Orchid (25/05) Replacement today (07/07) Skip 2 week (02/10) Replacement tom (22/12) last sat not picked (26/05) Day changed to sunday (14/06) Sent one del today -- skip 27th (24/07) Skip this week (02/08) Picked today-dont send tom (27/09) Today missed-send next week (04/01) Skip 1 week (02/06) Skip 1 week (04/07)</v>
          </cell>
          <cell r="L75" t="str">
            <v>ROSE n ORCHID</v>
          </cell>
          <cell r="N75" t="str">
            <v>4  del of this cycle   -  0-cycles pmnt   Completed - Collect 0</v>
          </cell>
          <cell r="O75" t="e">
            <v>#N/A</v>
          </cell>
          <cell r="P75" t="str">
            <v>P Asiatic ( 14 Inch ) 3     Grass</v>
          </cell>
          <cell r="Q75" t="str">
            <v>P n W Glad ( 14 Inch ) 16     Grass</v>
          </cell>
          <cell r="R75" t="str">
            <v>P n W Car ( 14 Inch ) 16     FF Sachet + Grass</v>
          </cell>
          <cell r="S75" t="e">
            <v>#N/A</v>
          </cell>
          <cell r="T75" t="str">
            <v>Sunflower ( 12 Inch ) 4     FF Sachet + Grass</v>
          </cell>
        </row>
        <row r="76">
          <cell r="A76" t="str">
            <v>B56431</v>
          </cell>
          <cell r="B76" t="str">
            <v>Nidhi Sharma Malhotra -- BPTP -- Centra 1</v>
          </cell>
          <cell r="C76">
            <v>9999016333</v>
          </cell>
          <cell r="D76" t="str">
            <v>BPTP, Sec 61</v>
          </cell>
          <cell r="E76" t="str">
            <v>Ghata</v>
          </cell>
          <cell r="F76" t="str">
            <v>Sunday</v>
          </cell>
          <cell r="G76" t="str">
            <v>By 8 AM</v>
          </cell>
          <cell r="H76">
            <v>21400</v>
          </cell>
          <cell r="I76">
            <v>21400</v>
          </cell>
          <cell r="J76" t="str">
            <v>Special Project</v>
          </cell>
          <cell r="N76" t="str">
            <v>1  del of this cycle   -  0-cycles pmnt   In Process - Collect 0</v>
          </cell>
          <cell r="O76" t="e">
            <v>#N/A</v>
          </cell>
          <cell r="P76" t="e">
            <v>#N/A</v>
          </cell>
          <cell r="Q76" t="e">
            <v>#N/A</v>
          </cell>
          <cell r="R76" t="e">
            <v>#N/A</v>
          </cell>
          <cell r="S76" t="e">
            <v>#N/A</v>
          </cell>
          <cell r="T76" t="str">
            <v xml:space="preserve">Big Taal Pam + Hanging Amaranthus + Moss with Cleaner + All best Greens      </v>
          </cell>
        </row>
        <row r="77">
          <cell r="A77">
            <v>2450</v>
          </cell>
          <cell r="B77" t="str">
            <v xml:space="preserve">Anshuman Divyanshu </v>
          </cell>
          <cell r="C77">
            <v>9934010124</v>
          </cell>
          <cell r="D77" t="str">
            <v>G-1401, Bestech Park View Spa Next</v>
          </cell>
          <cell r="E77" t="str">
            <v>Badshahpur</v>
          </cell>
          <cell r="F77" t="str">
            <v>Sunday</v>
          </cell>
          <cell r="G77" t="str">
            <v>9:30 Am to 2 PM</v>
          </cell>
          <cell r="H77">
            <v>1450</v>
          </cell>
          <cell r="I77">
            <v>362.5</v>
          </cell>
          <cell r="J77" t="str">
            <v>Bliss</v>
          </cell>
          <cell r="K77" t="str">
            <v>Insta // return today (24/08) Hold today (28/09) HDTNP (03/05) Skip 1 week (06/06)</v>
          </cell>
          <cell r="N77" t="str">
            <v>2  del of this cycle   -  0-cycles pmnt   Completed - Collect 0</v>
          </cell>
          <cell r="O77" t="e">
            <v>#N/A</v>
          </cell>
          <cell r="P77" t="str">
            <v>O Asiatic ( 14 Inch ) 2     Grass</v>
          </cell>
          <cell r="Q77" t="str">
            <v>B Daisy ( 12 Inch ) 9     Grass</v>
          </cell>
          <cell r="R77" t="str">
            <v>Sunflower ( 12 Inch ) 2     FF Sachet + Grass</v>
          </cell>
          <cell r="S77" t="str">
            <v>Pur n P Car ( 14 Inch ) 16     FF Sachet + Grass</v>
          </cell>
          <cell r="T77" t="str">
            <v>Rajni ( 14 Inch ) 16     Grass</v>
          </cell>
        </row>
        <row r="78">
          <cell r="B78" t="str">
            <v>99718 52817</v>
          </cell>
          <cell r="C78" t="str">
            <v>99718 52817</v>
          </cell>
          <cell r="D78" t="str">
            <v xml:space="preserve"> J  901 palm drive</v>
          </cell>
          <cell r="G78">
            <v>0.52083333333333337</v>
          </cell>
          <cell r="H78">
            <v>600</v>
          </cell>
          <cell r="J78" t="str">
            <v>Bouquet</v>
          </cell>
          <cell r="K78" t="str">
            <v>Send today by 12:30 
12 pink carnations in full tissue wrap to 
Address is J901 palm drive
‪+91 99718 52817</v>
          </cell>
          <cell r="N78" t="str">
            <v>Pls Collect 600</v>
          </cell>
          <cell r="T78" t="str">
            <v xml:space="preserve">pink carnations 12 Full Tissue Wrap    </v>
          </cell>
        </row>
        <row r="79">
          <cell r="A79">
            <v>2637</v>
          </cell>
          <cell r="B79" t="str">
            <v>Shalini Kohli</v>
          </cell>
          <cell r="C79">
            <v>9999834141</v>
          </cell>
          <cell r="D79" t="str">
            <v>A-1402, Ireo Victory Valley</v>
          </cell>
          <cell r="E79" t="str">
            <v>Badshahpur</v>
          </cell>
          <cell r="F79" t="str">
            <v>Sunday</v>
          </cell>
          <cell r="G79" t="str">
            <v>9 AM - 12 PM</v>
          </cell>
          <cell r="H79">
            <v>1950</v>
          </cell>
          <cell r="I79">
            <v>487.5</v>
          </cell>
          <cell r="J79" t="str">
            <v>Joy</v>
          </cell>
          <cell r="K79" t="str">
            <v>Send on Monday instead of Sunday this week (28/05) Returned (10/08) Skip 1 week (28/08) Send replacement tom (19/10) Hold due to non payment (01/02) Send one del tom (03/02) Skip 2 week )7/03) Sent one del today (28/03) Returned (17/05) Returned today -- Death in Family (07/06) Today Returned (14/06)</v>
          </cell>
          <cell r="N79" t="str">
            <v>3  del of this cycle   -  0-cycles pmnt   Completed - Collect 0</v>
          </cell>
          <cell r="O79" t="str">
            <v>Pur Eustoma ( 12 Inch ) 2 Mix Alstroemeria ( 12 Inch ) 11   FF Sachet + Grass</v>
          </cell>
          <cell r="P79" t="str">
            <v>O Asiatic ( 14 Inch ) 2 P n W Glad ( 14 Inch ) 11   Grass</v>
          </cell>
          <cell r="Q79" t="str">
            <v>P Asiatic ( 14 Inch ) 2 P n W Glad ( 14 Inch ) 11   Grass</v>
          </cell>
          <cell r="R79" t="str">
            <v>Sunflower ( 12 Inch ) 3 Rajni ( 14 Inch ) 11   FF Sachet + Grass</v>
          </cell>
          <cell r="S79" t="str">
            <v>BOP 2 Pur n P Car ( 14 Inch ) 11   FF Sachet + Grass</v>
          </cell>
          <cell r="T79" t="str">
            <v>P n Y Spray Daisy ( 14 Inch ) 4 Mix Alstroemeria ( 12 Inch ) 10   FF Sachet + Grass</v>
          </cell>
        </row>
        <row r="80">
          <cell r="A80">
            <v>945</v>
          </cell>
          <cell r="B80" t="str">
            <v>Ms. Shuchi Chopra</v>
          </cell>
          <cell r="C80">
            <v>9910984447</v>
          </cell>
          <cell r="D80" t="str">
            <v>Flat No. 703, M3M Golf Estate, Latitude Building</v>
          </cell>
          <cell r="E80" t="str">
            <v>Badshahpur</v>
          </cell>
          <cell r="F80" t="str">
            <v>Sunday</v>
          </cell>
          <cell r="G80" t="str">
            <v>9 AM - 12 PM</v>
          </cell>
          <cell r="H80">
            <v>1950</v>
          </cell>
          <cell r="I80">
            <v>487.5</v>
          </cell>
          <cell r="J80" t="str">
            <v>Joy</v>
          </cell>
          <cell r="K80" t="str">
            <v>Sunday n Thursday//All Flower 1 by 1 (23/11) Next time 1 stick extra(24/11) Extend by 1 week(31/12) Hold today-send tom(19/01) Send on Monday till Lockdown and send some pooja frlowers (23/08/20) Sending on 16th Due to Diwali(13/11) Send onmonday instead of Sunday(26/03) Change Package to 1250(17/04) Send Mandir Flowers tom(14/12) Skip 1 week(08/09) Collect cash and no del from 1st to 15 th (29/10) Send Replacement (25/02) 5 Exotic and 5 Norma lflowers (28/04)</v>
          </cell>
          <cell r="N80" t="str">
            <v>1  del of this cycle   -  0-cycles pmnt   In Process - Collect 0</v>
          </cell>
          <cell r="O80" t="str">
            <v>BOP 2 Mix Alstroemeria ( 12 Inch ) 11   FF Sachet + Grass</v>
          </cell>
          <cell r="P80" t="str">
            <v>O Asiatic ( 14 Inch ) 2 P n W Glad ( 14 Inch ) 11   Grass</v>
          </cell>
          <cell r="Q80" t="str">
            <v>P Eustoma ( 12 Inch ) 2 Rajni ( 14 Inch ) 11   Grass</v>
          </cell>
          <cell r="R80" t="str">
            <v>Sunflower ( 12 Inch ) 2 Pur n P Car ( 14 Inch ) 11   FF Sachet + Grass</v>
          </cell>
          <cell r="S80" t="str">
            <v>BOP 2 B Daisy ( 12 Inch ) 11   FF Sachet + Grass</v>
          </cell>
          <cell r="T80" t="str">
            <v>P Asiatic ( 14 Inch ) 2 Mix Alstroemeria ( 12 Inch ) 10   Grass</v>
          </cell>
        </row>
        <row r="81">
          <cell r="A81">
            <v>2707</v>
          </cell>
          <cell r="B81" t="str">
            <v>Mrigal Vora Puri</v>
          </cell>
          <cell r="C81">
            <v>9903474654</v>
          </cell>
          <cell r="D81" t="str">
            <v>T-6A/1103, Valley View Estate</v>
          </cell>
          <cell r="E81" t="str">
            <v>Ghata</v>
          </cell>
          <cell r="F81" t="str">
            <v>Sunday</v>
          </cell>
          <cell r="G81" t="str">
            <v>9 AM - 12 PM</v>
          </cell>
          <cell r="H81">
            <v>1450</v>
          </cell>
          <cell r="I81">
            <v>362.5</v>
          </cell>
          <cell r="J81" t="str">
            <v>Bliss</v>
          </cell>
          <cell r="K81" t="str">
            <v>Glad Next (20/06) Hold today (05/1) Hold due to non payment (01/02) Hold due to non payment (08/02) HDTNP (15/02) Skip 1 week (04/04) HDTNP (03/05) HDTNP (10/05) Paytm From Akhil Puri (07/06)</v>
          </cell>
          <cell r="M81" t="str">
            <v>Glad Next (20/06)</v>
          </cell>
          <cell r="N81" t="str">
            <v>2  del of this cycle   -  1-cycles pmnt   Pending - Collect 1450</v>
          </cell>
          <cell r="O81" t="str">
            <v>Pur Eustoma ( 12 Inch ) 2 Mix Alstroemeria ( 12 Inch ) 7   FF Sachet + Grass</v>
          </cell>
          <cell r="P81" t="str">
            <v>Sunflower ( 12 Inch ) 2 P n W Glad ( 14 Inch ) 7   FF Sachet + Grass</v>
          </cell>
          <cell r="Q81" t="str">
            <v>P Asiatic ( 14 Inch ) 2 Pur n P Car ( 14 Inch ) 7   Grass</v>
          </cell>
          <cell r="R81" t="str">
            <v>P Spray Daisy ( 14 Inch ) 3 Rajni ( 14 Inch ) 7   FF Sachet + Grass</v>
          </cell>
          <cell r="S81" t="str">
            <v>Sunflower ( 12 Inch ) 2 B Daisy ( 12 Inch ) 7   FF Sachet + Grass</v>
          </cell>
          <cell r="T81" t="str">
            <v>O Asiatic ( 14 Inch ) 2 P n W Glad ( 14 Inch ) 7   Grass</v>
          </cell>
        </row>
        <row r="82">
          <cell r="A82">
            <v>2774</v>
          </cell>
          <cell r="B82" t="str">
            <v>Vandana Thakran</v>
          </cell>
          <cell r="C82">
            <v>9899589964</v>
          </cell>
          <cell r="D82" t="str">
            <v>H. No. 35, Cedar Crest</v>
          </cell>
          <cell r="E82" t="str">
            <v>Nirvana Country</v>
          </cell>
          <cell r="F82" t="str">
            <v>Sunday</v>
          </cell>
          <cell r="G82" t="str">
            <v>9 AM - 12 PM</v>
          </cell>
          <cell r="H82">
            <v>1600</v>
          </cell>
          <cell r="I82">
            <v>200</v>
          </cell>
          <cell r="J82" t="str">
            <v>Bloom</v>
          </cell>
          <cell r="N82" t="str">
            <v>5  del of this cycle   -  0-cycles pmnt   Completed - Collect 0</v>
          </cell>
          <cell r="O82" t="str">
            <v>Mix Alstroemeria ( 12 Inch ) 7     FF Sachet + Grass</v>
          </cell>
          <cell r="P82" t="str">
            <v>Rajni ( 14 Inch ) 7     Grass</v>
          </cell>
          <cell r="Q82" t="str">
            <v>B Daisy ( 12 Inch ) 7     Grass</v>
          </cell>
          <cell r="R82" t="str">
            <v>Sunflower ( 12 Inch ) 2     FF Sachet + Grass</v>
          </cell>
          <cell r="S82" t="str">
            <v>B Daisy ( 12 Inch ) 7     Grass</v>
          </cell>
          <cell r="T82" t="str">
            <v>Y Spray Daisy ( 14 Inch ) 2     FF Sachet + Grass</v>
          </cell>
        </row>
        <row r="83">
          <cell r="A83" t="str">
            <v>B56432</v>
          </cell>
          <cell r="B83" t="str">
            <v>Preeti Maira</v>
          </cell>
          <cell r="C83">
            <v>9310066367</v>
          </cell>
          <cell r="D83" t="str">
            <v>T-17/15 C, Fairway West. M3M Golf Estate</v>
          </cell>
          <cell r="E83" t="str">
            <v>Badshahpur</v>
          </cell>
          <cell r="F83" t="str">
            <v>Sunday</v>
          </cell>
          <cell r="G83" t="str">
            <v>By 11 AM</v>
          </cell>
          <cell r="H83">
            <v>600</v>
          </cell>
          <cell r="I83">
            <v>600</v>
          </cell>
          <cell r="J83" t="str">
            <v>Bouquet</v>
          </cell>
          <cell r="K83" t="str">
            <v>From Rotary Club// Wish you a very Happy Birthday.  From RCGQE (11/07)</v>
          </cell>
          <cell r="N83" t="str">
            <v>1  del of this cycle   -  0-cycles pmnt   In Process - Collect 0</v>
          </cell>
          <cell r="O83" t="e">
            <v>#N/A</v>
          </cell>
          <cell r="P83" t="e">
            <v>#N/A</v>
          </cell>
          <cell r="Q83" t="e">
            <v>#N/A</v>
          </cell>
          <cell r="R83" t="e">
            <v>#N/A</v>
          </cell>
          <cell r="S83" t="e">
            <v>#N/A</v>
          </cell>
          <cell r="T83" t="str">
            <v xml:space="preserve">P n W Car  15 Walkin Tissue Wrap Message   </v>
          </cell>
        </row>
        <row r="84">
          <cell r="A84" t="str">
            <v>B56429</v>
          </cell>
          <cell r="B84" t="str">
            <v>Dr. Mallika Batra</v>
          </cell>
          <cell r="C84">
            <v>9899072906</v>
          </cell>
          <cell r="D84" t="str">
            <v>Flat No. 103, Ivory Vourt 4, Essel Towers</v>
          </cell>
          <cell r="E84" t="str">
            <v>M G Road</v>
          </cell>
          <cell r="F84" t="str">
            <v>Sunday</v>
          </cell>
          <cell r="G84" t="str">
            <v>By 10 AM</v>
          </cell>
          <cell r="H84">
            <v>680</v>
          </cell>
          <cell r="I84">
            <v>680</v>
          </cell>
          <cell r="J84" t="str">
            <v>Bouquet</v>
          </cell>
          <cell r="K84" t="str">
            <v>12 Rajni  and 1 Asiatic</v>
          </cell>
          <cell r="N84" t="str">
            <v>1  del of this cycle   -  0-cycles pmnt   Completed - Collect 0</v>
          </cell>
          <cell r="O84" t="e">
            <v>#N/A</v>
          </cell>
          <cell r="P84" t="e">
            <v>#N/A</v>
          </cell>
          <cell r="Q84" t="e">
            <v>#N/A</v>
          </cell>
          <cell r="R84" t="e">
            <v>#N/A</v>
          </cell>
          <cell r="S84" t="e">
            <v>#N/A</v>
          </cell>
          <cell r="T84" t="str">
            <v>Rajni + O Asiatic 12 + 1     Areca palm + Grass</v>
          </cell>
        </row>
        <row r="85">
          <cell r="A85" t="str">
            <v>B50867</v>
          </cell>
          <cell r="B85" t="str">
            <v xml:space="preserve">Tanya Sahay </v>
          </cell>
          <cell r="C85">
            <v>9643169536</v>
          </cell>
          <cell r="D85" t="str">
            <v>A/187, First Floor
Today Blossoms - 1, 
Sector 47 Gurgaon 
(Near SS Plaza)</v>
          </cell>
          <cell r="H85">
            <v>680</v>
          </cell>
          <cell r="J85" t="str">
            <v>Bouquet</v>
          </cell>
          <cell r="K85" t="str">
            <v>Tanya Sahay
2 sunflowers 
2 pink asiatic 
2 Rajnigandha 
+91 96431 69536
Send via uber today immediately</v>
          </cell>
          <cell r="T85" t="str">
            <v>sunflowers +pink asiatic +Rajnigandha  2+2+2     FF Sachet + Grass</v>
          </cell>
        </row>
        <row r="86">
          <cell r="B86" t="str">
            <v>Akshita Sehgal</v>
          </cell>
          <cell r="C86">
            <v>9971913331</v>
          </cell>
          <cell r="D86" t="str">
            <v>F4/2A DLF PHASE 1</v>
          </cell>
          <cell r="H86">
            <v>1200</v>
          </cell>
          <cell r="J86" t="str">
            <v>Bouquet</v>
          </cell>
          <cell r="K86" t="str">
            <v>From Sonali khullar today 
8 Asuatic lilies in walkin tissue wrap 
To 
Akshita Sehgal
F4/2A
DLF PHASE 1
Ph 
+919971913331
Message
Happy Birthday 
From
Sonali</v>
          </cell>
          <cell r="T86" t="str">
            <v xml:space="preserve">Asiatic 8 Walkin Tissue Wrap Message   </v>
          </cell>
        </row>
        <row r="87">
          <cell r="B87" t="str">
            <v>88605 90498</v>
          </cell>
          <cell r="C87" t="str">
            <v>88605 90498</v>
          </cell>
          <cell r="D87" t="str">
            <v xml:space="preserve">MP hall fresco </v>
          </cell>
          <cell r="H87">
            <v>980</v>
          </cell>
          <cell r="J87" t="str">
            <v>Bouquet</v>
          </cell>
          <cell r="T87" t="str">
            <v xml:space="preserve">Rose+ Car 5+6 Same 2 Bouquet Khaali sutli se baandh Dena   </v>
          </cell>
        </row>
        <row r="88">
          <cell r="A88">
            <v>2856</v>
          </cell>
          <cell r="B88" t="str">
            <v>Bonita Bhatnagar</v>
          </cell>
          <cell r="C88">
            <v>9958222833</v>
          </cell>
          <cell r="D88" t="str">
            <v>C-134, Block C, Mayfield Garden</v>
          </cell>
          <cell r="E88" t="str">
            <v>Nirvana Country</v>
          </cell>
          <cell r="F88" t="str">
            <v>Sunday</v>
          </cell>
          <cell r="G88" t="str">
            <v>5 PM to 8 PM</v>
          </cell>
          <cell r="H88">
            <v>1450</v>
          </cell>
          <cell r="I88">
            <v>362.5</v>
          </cell>
          <cell r="J88" t="str">
            <v>Bliss</v>
          </cell>
          <cell r="K88" t="str">
            <v>Upgraded as per scheme to Bliss for 5 Deliveries (22/08)</v>
          </cell>
          <cell r="N88" t="str">
            <v>2  del of this cycle   -  0-cycles pmnt   Completed - Collect 0</v>
          </cell>
          <cell r="O88" t="str">
            <v>Mix Alstroemeria ( 12 Inch ) 16     FF Sachet + Grass</v>
          </cell>
          <cell r="P88" t="str">
            <v>Pur n P Car ( 14 Inch ) 16     FF Sachet + Grass</v>
          </cell>
          <cell r="Q88" t="str">
            <v>P Eustoma ( 12 Inch ) 3     FF Sachet + Grass</v>
          </cell>
          <cell r="R88" t="str">
            <v>P n W Glad ( 14 Inch ) 16     Grass</v>
          </cell>
          <cell r="S88" t="str">
            <v>Sunflower ( 12 Inch ) 4     FF Sachet + Grass</v>
          </cell>
          <cell r="T88" t="str">
            <v>Rajni ( 14 Inch ) 16     Grass</v>
          </cell>
        </row>
        <row r="89">
          <cell r="B89" t="str">
            <v xml:space="preserve">Monisha Sharma-- Before 10AM
</v>
          </cell>
          <cell r="C89">
            <v>9811152770</v>
          </cell>
          <cell r="D89" t="str">
            <v xml:space="preserve">
609A Hamilton Court    DLF Phase 4 Gurgaon  122002 
</v>
          </cell>
          <cell r="G89" t="str">
            <v>Replacement</v>
          </cell>
          <cell r="H89" t="str">
            <v>Replacement</v>
          </cell>
          <cell r="I89" t="str">
            <v>Replacement</v>
          </cell>
          <cell r="J89" t="str">
            <v>Replacement</v>
          </cell>
          <cell r="K89" t="str">
            <v>Replacement</v>
          </cell>
          <cell r="L89" t="str">
            <v>Replacement</v>
          </cell>
          <cell r="M89" t="str">
            <v>Replacement</v>
          </cell>
          <cell r="N89" t="str">
            <v>Replacement</v>
          </cell>
          <cell r="O89" t="str">
            <v>Replacement</v>
          </cell>
          <cell r="P89" t="str">
            <v>Replacement</v>
          </cell>
          <cell r="Q89" t="str">
            <v>Replacement</v>
          </cell>
          <cell r="R89" t="str">
            <v>Replacement</v>
          </cell>
          <cell r="S89" t="str">
            <v>Replacement</v>
          </cell>
          <cell r="T89" t="str">
            <v>P Eustoma 3 Greens    FF Sachet + Grass</v>
          </cell>
        </row>
        <row r="90">
          <cell r="B90" t="str">
            <v xml:space="preserve">Anushka Chopra </v>
          </cell>
          <cell r="C90">
            <v>8827506165</v>
          </cell>
          <cell r="D90" t="str">
            <v>A42 2nd floor Kibithu Homes and Villas Mayfield Garden Sector 47</v>
          </cell>
          <cell r="G90" t="str">
            <v>Before 6;15 PM</v>
          </cell>
          <cell r="H90">
            <v>700</v>
          </cell>
          <cell r="J90" t="str">
            <v>Bouquet</v>
          </cell>
          <cell r="K90" t="str">
            <v>Name of Recipient. :: Anushka Chopra 
Contact number.    :: 8827506165
Address for delivery :: A42 2nd floor Kibithu Homes and Villas Mayfield Garden Sector 47 Gurgaon 
Pls send 15 Rajnigandha in tissue wrap for 700 today from ‪+91 88275 06165‬ before 6:15 pm today</v>
          </cell>
          <cell r="T90" t="str">
            <v xml:space="preserve">Rajni 15  tissue wrap    </v>
          </cell>
        </row>
      </sheetData>
      <sheetData sheetId="12"/>
      <sheetData sheetId="13"/>
      <sheetData sheetId="14"/>
      <sheetData sheetId="15"/>
      <sheetData sheetId="16"/>
      <sheetData sheetId="17"/>
      <sheetData sheetId="18">
        <row r="2">
          <cell r="A2" t="str">
            <v>G-00064</v>
          </cell>
          <cell r="B2" t="str">
            <v>Mahesh Mishra</v>
          </cell>
          <cell r="C2">
            <v>9039286484</v>
          </cell>
          <cell r="D2" t="str">
            <v>H-21, 2nd Floor, Residency Greens, Sec 46</v>
          </cell>
          <cell r="E2" t="str">
            <v>Sector 46</v>
          </cell>
          <cell r="F2" t="str">
            <v>Sunday</v>
          </cell>
          <cell r="G2" t="str">
            <v>9:30 Am to 2 PM</v>
          </cell>
          <cell r="H2">
            <v>1450</v>
          </cell>
          <cell r="I2">
            <v>362.5</v>
          </cell>
          <cell r="J2" t="str">
            <v>Bliss</v>
          </cell>
          <cell r="K2" t="str">
            <v>From 9310895959 // Skip 1 week (09/07)</v>
          </cell>
          <cell r="N2" t="str">
            <v>4  del of this cycle   -  0-cycles pmnt   Completed - Collect 0</v>
          </cell>
          <cell r="O2" t="e">
            <v>#N/A</v>
          </cell>
          <cell r="P2" t="str">
            <v>Pur n P Car ( 14 Inch ) 16     FF Sachet + Grass</v>
          </cell>
          <cell r="Q2" t="str">
            <v>Sunflower ( 12 Inch ) 4     FF Sachet + Grass</v>
          </cell>
          <cell r="R2" t="str">
            <v>Rajni ( 14 Inch ) 16     Grass</v>
          </cell>
          <cell r="S2" t="e">
            <v>#N/A</v>
          </cell>
          <cell r="T2" t="str">
            <v>Y Asiatic ( 14 Inch ) 3     Grass</v>
          </cell>
        </row>
        <row r="3">
          <cell r="A3">
            <v>3413</v>
          </cell>
          <cell r="B3" t="str">
            <v>Prashi</v>
          </cell>
          <cell r="C3">
            <v>6299258813</v>
          </cell>
          <cell r="D3" t="str">
            <v>H. No. 34, Apna Homes girls PG, Near Mall 51, Sec 51</v>
          </cell>
          <cell r="E3" t="str">
            <v>Artemis</v>
          </cell>
          <cell r="F3" t="str">
            <v>Saturday</v>
          </cell>
          <cell r="G3" t="str">
            <v>9 AM - 12 PM</v>
          </cell>
          <cell r="H3">
            <v>1450</v>
          </cell>
          <cell r="I3">
            <v>362.5</v>
          </cell>
          <cell r="J3" t="str">
            <v>Bliss</v>
          </cell>
          <cell r="N3" t="str">
            <v>1  del of this cycle   -  0-cycles pmnt   Completed - Collect 0</v>
          </cell>
          <cell r="O3" t="e">
            <v>#N/A</v>
          </cell>
          <cell r="P3" t="e">
            <v>#N/A</v>
          </cell>
          <cell r="Q3" t="e">
            <v>#N/A</v>
          </cell>
          <cell r="R3" t="e">
            <v>#N/A</v>
          </cell>
          <cell r="S3" t="e">
            <v>#N/A</v>
          </cell>
          <cell r="T3" t="str">
            <v>G n W Car ( 14 Inch ) 16     FF Sachet + Grass</v>
          </cell>
        </row>
        <row r="4">
          <cell r="A4">
            <v>2774</v>
          </cell>
          <cell r="B4" t="str">
            <v>Vandana Thakran</v>
          </cell>
          <cell r="C4">
            <v>9899589964</v>
          </cell>
          <cell r="D4" t="str">
            <v>H. No. 35, Cedar Crest</v>
          </cell>
          <cell r="E4" t="str">
            <v>Nirvana Country</v>
          </cell>
          <cell r="F4" t="str">
            <v>Sunday</v>
          </cell>
          <cell r="G4" t="str">
            <v>9 AM - 12 PM</v>
          </cell>
          <cell r="H4">
            <v>1600</v>
          </cell>
          <cell r="I4">
            <v>200</v>
          </cell>
          <cell r="J4" t="str">
            <v>Bloom</v>
          </cell>
          <cell r="N4" t="str">
            <v>7  del of this cycle   -  0-cycles pmnt   Completed - Collect 0</v>
          </cell>
          <cell r="O4" t="str">
            <v>Rajni ( 14 Inch ) 7     Grass</v>
          </cell>
          <cell r="P4" t="str">
            <v>B Daisy ( 12 Inch ) 7     Grass</v>
          </cell>
          <cell r="Q4" t="str">
            <v>Sunflower ( 12 Inch ) 2     FF Sachet + Grass</v>
          </cell>
          <cell r="R4" t="str">
            <v>B Daisy ( 12 Inch ) 7     Grass</v>
          </cell>
          <cell r="S4" t="str">
            <v>Y Spray Daisy ( 14 Inch ) 2     FF Sachet + Grass</v>
          </cell>
          <cell r="T4" t="str">
            <v>Mix Glad ( 14 inch ) 7     Grass</v>
          </cell>
        </row>
        <row r="5">
          <cell r="A5">
            <v>237</v>
          </cell>
          <cell r="B5" t="str">
            <v>Mayom Hospital</v>
          </cell>
          <cell r="C5">
            <v>8860079525</v>
          </cell>
          <cell r="D5" t="str">
            <v>Mayom Hospital, D block south city 1</v>
          </cell>
          <cell r="E5" t="str">
            <v>South City 1</v>
          </cell>
          <cell r="F5" t="str">
            <v>Sunday</v>
          </cell>
          <cell r="G5" t="str">
            <v>9 AM - 12 PM</v>
          </cell>
          <cell r="H5">
            <v>3000</v>
          </cell>
          <cell r="I5">
            <v>375</v>
          </cell>
          <cell r="J5" t="str">
            <v>Corporate</v>
          </cell>
          <cell r="K5" t="str">
            <v>Sending on 20th instaed of 21st,bcoz of Holi(18/03) Send on Monday this week(20/03)</v>
          </cell>
          <cell r="N5" t="str">
            <v>4  del of this cycle   -  0-cycles pmnt   In Process - Collect 0</v>
          </cell>
          <cell r="O5" t="str">
            <v xml:space="preserve">P Eustoma ( 12 Inch ) 3     </v>
          </cell>
          <cell r="P5" t="str">
            <v xml:space="preserve">P Eustoma ( 12 Inch ) 3     </v>
          </cell>
          <cell r="Q5" t="str">
            <v>Mix Spray Daisy 5     Grass</v>
          </cell>
          <cell r="R5" t="str">
            <v>Rajni ( 14 Inch ) 15     Grass</v>
          </cell>
          <cell r="S5" t="str">
            <v xml:space="preserve">Mix Alstroemeria ( 12 Inch ) 12     </v>
          </cell>
          <cell r="T5" t="str">
            <v>Mix Glad ( 14 inch ) 15     Grass</v>
          </cell>
        </row>
        <row r="6">
          <cell r="A6">
            <v>2827</v>
          </cell>
          <cell r="B6" t="str">
            <v>Shelley Handa</v>
          </cell>
          <cell r="C6">
            <v>9899212888</v>
          </cell>
          <cell r="D6" t="str">
            <v>73, Cedar Crest</v>
          </cell>
          <cell r="E6" t="str">
            <v>Nirvana Country</v>
          </cell>
          <cell r="F6" t="str">
            <v>Sunday</v>
          </cell>
          <cell r="G6" t="str">
            <v>9 AM - 12 PM</v>
          </cell>
          <cell r="H6">
            <v>1450</v>
          </cell>
          <cell r="I6">
            <v>362.5</v>
          </cell>
          <cell r="J6" t="str">
            <v>Bliss</v>
          </cell>
          <cell r="K6" t="str">
            <v>Only Seasonal / Hold today due to non payment (02/10)  Send on Sunday this week (03/10) Hold due to non payment (09/10) Hold today and skip 2 week (27/11)  Paytm From Richa Handa (20/03)</v>
          </cell>
          <cell r="N6" t="str">
            <v>2  del of this cycle   -  0-cycles pmnt   Completed - Collect 0</v>
          </cell>
          <cell r="O6" t="str">
            <v>P n W Glad ( 14 Inch ) 9     Grass</v>
          </cell>
          <cell r="P6" t="e">
            <v>#N/A</v>
          </cell>
          <cell r="Q6" t="e">
            <v>#N/A</v>
          </cell>
          <cell r="R6" t="e">
            <v>#N/A</v>
          </cell>
          <cell r="S6" t="str">
            <v>G n W Car ( 14 Inch ) 16     FF Sachet + Grass</v>
          </cell>
          <cell r="T6" t="str">
            <v>Y Asiatic ( 14 Inch ) 3     Grass</v>
          </cell>
        </row>
        <row r="7">
          <cell r="A7">
            <v>3358</v>
          </cell>
          <cell r="B7" t="str">
            <v>Prasenjit</v>
          </cell>
          <cell r="C7">
            <v>9990903321</v>
          </cell>
          <cell r="D7" t="str">
            <v>T-10/1001, Vipul Belmonte</v>
          </cell>
          <cell r="E7" t="str">
            <v>DLF Phase 5</v>
          </cell>
          <cell r="F7" t="str">
            <v>Sunday</v>
          </cell>
          <cell r="G7" t="str">
            <v>9 AM - 12 PM</v>
          </cell>
          <cell r="H7">
            <v>1950</v>
          </cell>
          <cell r="I7">
            <v>487.5</v>
          </cell>
          <cell r="J7" t="str">
            <v>Joy</v>
          </cell>
          <cell r="K7" t="str">
            <v xml:space="preserve">Send Long stem </v>
          </cell>
          <cell r="M7" t="str">
            <v>Long Stem// Seasonal Next (24/05)</v>
          </cell>
          <cell r="N7" t="str">
            <v>3  del of this cycle   -  0-cycles pmnt   Completed - Collect 0</v>
          </cell>
          <cell r="O7" t="str">
            <v>R n W Car )( 14 inch ) 22     FF Sachet + Grass</v>
          </cell>
          <cell r="P7" t="str">
            <v>B Daisy ( 12 Inch ) 22     Grass</v>
          </cell>
          <cell r="Q7" t="str">
            <v>Y Asiatic ( 14 Inch ) 4     Grass</v>
          </cell>
          <cell r="R7" t="str">
            <v>Rajni ( 14 Inch ) 22     Grass</v>
          </cell>
          <cell r="S7" t="str">
            <v>P Asiatic ( 14 Inch ) 4     Grass</v>
          </cell>
          <cell r="T7" t="str">
            <v>Mix Alstroemeria ( 12 Inch ) 22     FF Sachet + Grass</v>
          </cell>
        </row>
        <row r="8">
          <cell r="A8">
            <v>2246</v>
          </cell>
          <cell r="B8" t="str">
            <v>Amita Gupta</v>
          </cell>
          <cell r="C8">
            <v>9811985450</v>
          </cell>
          <cell r="D8" t="str">
            <v>146, Cedar Crest</v>
          </cell>
          <cell r="E8" t="str">
            <v>Nirvana Country</v>
          </cell>
          <cell r="F8" t="str">
            <v>Thursday</v>
          </cell>
          <cell r="G8" t="str">
            <v>9 AM - 12 PM</v>
          </cell>
          <cell r="H8">
            <v>1600</v>
          </cell>
          <cell r="I8">
            <v>200</v>
          </cell>
          <cell r="J8" t="str">
            <v>Bloom</v>
          </cell>
          <cell r="K8" t="str">
            <v>Return today (03/10) Change to bliss (23/10) No Orchid (24/10) Send a vase tom (20/08) Upgrade to bliss (17/12)</v>
          </cell>
          <cell r="L8" t="str">
            <v>Orchid</v>
          </cell>
          <cell r="M8" t="str">
            <v>1 Vase Tom (20/08)</v>
          </cell>
          <cell r="N8" t="str">
            <v>6  del of this cycle   -  0-cycles pmnt   Completed - Collect 0</v>
          </cell>
          <cell r="O8" t="str">
            <v>Rajni ( 14 Inch ) 7     Grass</v>
          </cell>
          <cell r="P8" t="str">
            <v>B Daisy ( 12 Inch ) 7     Grass</v>
          </cell>
          <cell r="Q8" t="str">
            <v>Sunflower ( 12 Inch ) 2     FF Sachet + Grass</v>
          </cell>
          <cell r="R8" t="str">
            <v>Rajni ( 14 Inch ) 7     Grass</v>
          </cell>
          <cell r="S8" t="str">
            <v>P Spray Daisy ( 14 Inch ) 2     FF Sachet + Grass</v>
          </cell>
          <cell r="T8" t="str">
            <v>G n W Car ( 14 Inch ) 7     FF Sachet + Grass</v>
          </cell>
        </row>
        <row r="9">
          <cell r="A9">
            <v>401</v>
          </cell>
          <cell r="B9" t="str">
            <v>Nameesha Verma -- Before 12PM</v>
          </cell>
          <cell r="C9">
            <v>9899240454</v>
          </cell>
          <cell r="D9" t="str">
            <v>D-4/102, Parsvanath Exotica</v>
          </cell>
          <cell r="E9" t="str">
            <v>DLF Phase 5</v>
          </cell>
          <cell r="F9" t="str">
            <v>Thursday</v>
          </cell>
          <cell r="G9" t="str">
            <v>Before 12 PM</v>
          </cell>
          <cell r="H9">
            <v>1600</v>
          </cell>
          <cell r="I9">
            <v>200</v>
          </cell>
          <cell r="J9" t="str">
            <v>Bloom</v>
          </cell>
          <cell r="K9" t="str">
            <v>Thursday n Sunday//Sat to Thurs//Send a repacement and No Rajni till it has fragrance(24/09)Skip 1 week(12/10)send  a replacement(22/11) Returne-send next week(13/12) Star 650 Pack(15/10) 17th Oct Del returned-pls update(07/11) Send Tom instead of sat this week(12/08) Sent a replacement today(01/09) Skip 1 week(12/11) Send on Monday this week(24/11) Skip this sunday (03/12) Sent replacement today (18/03) Send replacement tom (31/03) Skip 1 week (25/04) Now Bloom (19/05) Today returned (18/06) Skip 1 week (08/08) Hold n start after 8th Oct )(20/09) Skip next del (18/11) No Del till 2nd Jan (25/12) Skip tom (24/01) Hold till 17th Jube (05/06) Skip this sunday (18/07) Skip 1 week (13/08) Today returnde (16/01) Skip tom (15/02) Today returned as flowers got late (30/03) Hold till 12th Apr (02/04)Today Returned (11/05) Hold till 18th June (02/06) Hold till 18th June (02/06) Today Returned (13/09) Do not count last del (08/11) No Del till next wednesday (09/12) Hold todxay (28/12) Skip 1 week (04/02) 3 Car extra next (20/03) Skip 1 week (09/06)</v>
          </cell>
          <cell r="M9" t="str">
            <v>3 Car extra next (20/03)</v>
          </cell>
          <cell r="N9" t="str">
            <v>7  del of this cycle   -  0-cycles pmnt   Completed - Collect 0</v>
          </cell>
          <cell r="O9" t="e">
            <v>#N/A</v>
          </cell>
          <cell r="P9" t="str">
            <v>Rajni ( 14 Inch ) 7     Grass</v>
          </cell>
          <cell r="Q9" t="str">
            <v>P n W Glad ( 14 Inch ) 7     Grass</v>
          </cell>
          <cell r="R9" t="str">
            <v>B Daisy ( 12 Inch ) 7     Grass</v>
          </cell>
          <cell r="S9" t="str">
            <v>Y Spray Daisy ( 14 Inch ) 2     FF Sachet + Grass</v>
          </cell>
          <cell r="T9" t="str">
            <v>Mix Glad ( 14 inch ) 7     Grass</v>
          </cell>
        </row>
        <row r="10">
          <cell r="A10">
            <v>3245</v>
          </cell>
          <cell r="B10" t="str">
            <v>Parul Parihar</v>
          </cell>
          <cell r="C10">
            <v>9999903582</v>
          </cell>
          <cell r="D10" t="str">
            <v>502, Adhunil Appartments, Sec 52</v>
          </cell>
          <cell r="E10" t="str">
            <v>Artemis</v>
          </cell>
          <cell r="F10" t="str">
            <v>Sunday</v>
          </cell>
          <cell r="G10" t="str">
            <v>9 AM - 12 PM</v>
          </cell>
          <cell r="H10">
            <v>1450</v>
          </cell>
          <cell r="I10">
            <v>362.5</v>
          </cell>
          <cell r="J10" t="str">
            <v>Bliss</v>
          </cell>
          <cell r="N10" t="str">
            <v>4  del of this cycle   -  0-cycles pmnt   Completed - Collect 0</v>
          </cell>
          <cell r="O10" t="str">
            <v>P n W Glad ( 14 Inch ) 16     Grass</v>
          </cell>
          <cell r="P10" t="str">
            <v>Pur Eustoma ( 12 Inch ) 3     FF Sachet + Grass</v>
          </cell>
          <cell r="Q10" t="str">
            <v>P Asiatic ( 14 Inch ) 3     Grass</v>
          </cell>
          <cell r="R10" t="str">
            <v>Rajni ( 14 Inch ) 16     Grass</v>
          </cell>
          <cell r="S10" t="str">
            <v>G n W Car ( 14 Inch ) 16     Grass</v>
          </cell>
          <cell r="T10" t="str">
            <v>P n Y Spray Daisy ( 14 Inch ) 5     FF Sachet + Grass</v>
          </cell>
        </row>
        <row r="11">
          <cell r="A11">
            <v>13</v>
          </cell>
          <cell r="B11" t="str">
            <v>Mr. Vipin Marwah</v>
          </cell>
          <cell r="C11" t="str">
            <v>9313496645//9350353662</v>
          </cell>
          <cell r="D11" t="str">
            <v>D5/502, Parsvanath Exotica</v>
          </cell>
          <cell r="E11" t="str">
            <v>DLF Phase 5</v>
          </cell>
          <cell r="F11" t="str">
            <v>Sunday</v>
          </cell>
          <cell r="G11" t="str">
            <v>9 AM - 12 PM</v>
          </cell>
          <cell r="H11">
            <v>2750</v>
          </cell>
          <cell r="I11">
            <v>687.5</v>
          </cell>
          <cell r="J11" t="str">
            <v>Elation</v>
          </cell>
          <cell r="K11" t="str">
            <v>Sat to Thurs//Only white Glad, if not available then Red Glad(21/05) Today hold-send on Sunday(23/06) Today agains hold as w glad were not avaiulbvale(26/06) Again Hold today -send on Sunday(30/06) Send 4 stick extra next (09/10) 4 Stick extra next (20/11) 26th Mar del returned (04/04) Hold today -send next week (25/06) Flowers were not vaibale-- today hold(16/07) Today Hold (10/09) hold todaty -send tom (01/10) Skip 1 week (02/10) Hold today (08/10) Today hold-send next week (26/11) Hold -send tom (31/12) Today Hold (19/05)  Today Hold *31/05)Hold today (02/06) Today hold (16/06) Today Hold (23/06) Hold Today (30/06) Today Hold (04/08) Today Hold (08/06) Hold today (15/06) Today Hold (03/08) Hold Today (24/08) Hold today (31/08) Hold due to non availability of white flowers -- send next week (04/01) Today hold -- send next week (15/02) Hold today (22/03) Today Hold (24/05) Today hold (14/06) Today hold (21/06) Today Hold (05/07)</v>
          </cell>
          <cell r="N11" t="str">
            <v>3  del of this cycle   -  0-cycles pmnt   Completed - Collect 250</v>
          </cell>
          <cell r="O11" t="str">
            <v>W Glad ( 14 Inch ) 32     Grass</v>
          </cell>
          <cell r="P11" t="str">
            <v>W Glad ( 15 Inch ) 32     Grass</v>
          </cell>
          <cell r="Q11" t="str">
            <v>W Glad ( 14 Inch ) 32     Grass</v>
          </cell>
          <cell r="R11" t="str">
            <v>W Glad ( 14 Inch ) 32     Grass</v>
          </cell>
          <cell r="S11" t="str">
            <v>W Glad ( 14 Inch ) 32     Grass</v>
          </cell>
          <cell r="T11" t="str">
            <v>W Glad ( 14 Inch ) 30     Grass</v>
          </cell>
        </row>
        <row r="12">
          <cell r="A12">
            <v>870</v>
          </cell>
          <cell r="B12" t="str">
            <v>Himabindu Kanchan</v>
          </cell>
          <cell r="C12">
            <v>9892501292</v>
          </cell>
          <cell r="D12" t="str">
            <v xml:space="preserve">D -13, Pinnacle Dlf Phase - 5 </v>
          </cell>
          <cell r="E12" t="str">
            <v>DLF Phase 5</v>
          </cell>
          <cell r="F12" t="str">
            <v>Thursday</v>
          </cell>
          <cell r="G12" t="str">
            <v>9 AM - 12 PM</v>
          </cell>
          <cell r="H12">
            <v>1600</v>
          </cell>
          <cell r="I12">
            <v>200</v>
          </cell>
          <cell r="J12" t="str">
            <v>Bloom</v>
          </cell>
          <cell r="K12" t="str">
            <v>Sunday n Thursday//Fri to Thurs//FF Sold today(19/07) Skip n start from 23rd(08/08) P n Y Rose Next(15/11) 2 Stick Extra next(17/01) Hold-send tom(14/02) Orchids Next (18/08/20) Send 3 Sponge for 120 Rs.(19/08/20) Sending tom due to Diwali(11/11) Today returned-send next week(08/01) Skip 1 week(25/02) Skip 1 week(28/04) Glad Next(09/09) Skip 1 week(21/12) Skip 1 week(20/01) Hold Tom and skip 1 week(28/01) Skip 1 week(06/07) Receibved 695v extra today(23/07) Skip 2 weeks (21/12) Skip 1 week (08/02) No Renewal without payment (04/05) Hold today (28/12) Skip 1 week 902/01) Skip 1 week (07/02) Skip this sunday (16/02) Skip 1 week (06/04) Skip sunday del (09/05) Today hold (07/07) Hold HDTNP (12/03) tom (08/12) In form before sending (27/12) Skip next del (26/06) Hold today due to non payment (02/10) Skip week (22/12) HDTNP (01/03) HDTNP (04/03) HDTNP (08/03) HDTNP (14/03)</v>
          </cell>
          <cell r="N12" t="str">
            <v>1  del of this cycle   -  1-cycles pmnt   Pending - Collect 1600</v>
          </cell>
          <cell r="O12" t="str">
            <v>P Spray Daisy ( 14 Inch ) 2     FF Sachet + Grass</v>
          </cell>
          <cell r="P12" t="str">
            <v>B Daisy ( 12 Inch ) 7     Grass</v>
          </cell>
          <cell r="Q12" t="str">
            <v>P n W Glad ( 14 Inch ) 7     Grass</v>
          </cell>
          <cell r="R12" t="str">
            <v>Mix Alstroemeria 7     Grass</v>
          </cell>
          <cell r="S12" t="str">
            <v>Rajni ( 14 Inch ) 7     Grass</v>
          </cell>
          <cell r="T12" t="str">
            <v>Mix Glad ( 14 inch ) 7     FF Sachet + Grass</v>
          </cell>
        </row>
        <row r="13">
          <cell r="A13">
            <v>2856</v>
          </cell>
          <cell r="B13" t="str">
            <v>Bonita Bhatnagar</v>
          </cell>
          <cell r="C13">
            <v>9958222833</v>
          </cell>
          <cell r="D13" t="str">
            <v>C-134, Block C, Mayfield Garden</v>
          </cell>
          <cell r="E13" t="str">
            <v>Nirvana Country</v>
          </cell>
          <cell r="F13" t="str">
            <v>Sunday</v>
          </cell>
          <cell r="G13" t="str">
            <v>5 PM to 8 PM</v>
          </cell>
          <cell r="H13">
            <v>1450</v>
          </cell>
          <cell r="I13">
            <v>362.5</v>
          </cell>
          <cell r="J13" t="str">
            <v>Bliss</v>
          </cell>
          <cell r="K13" t="str">
            <v>Upgraded as per scheme to Bliss for 5 Deliveries (22/08)</v>
          </cell>
          <cell r="N13" t="str">
            <v>3  del of this cycle   -  0-cycles pmnt   Completed - Collect 0</v>
          </cell>
          <cell r="O13" t="str">
            <v>Pur n P Car ( 14 Inch ) 16     FF Sachet + Grass</v>
          </cell>
          <cell r="P13" t="str">
            <v>P Eustoma ( 12 Inch ) 3     FF Sachet + Grass</v>
          </cell>
          <cell r="Q13" t="str">
            <v>P n W Glad ( 14 Inch ) 16     Grass</v>
          </cell>
          <cell r="R13" t="str">
            <v>Sunflower ( 12 Inch ) 4     FF Sachet + Grass</v>
          </cell>
          <cell r="S13" t="str">
            <v>Rajni ( 14 Inch ) 16     Grass</v>
          </cell>
          <cell r="T13" t="str">
            <v>O Asiatic ( 14 Inch ) 3     Grass</v>
          </cell>
        </row>
        <row r="14">
          <cell r="A14">
            <v>2639</v>
          </cell>
          <cell r="B14" t="str">
            <v>Bhanupriya Sharma</v>
          </cell>
          <cell r="C14">
            <v>9799191916</v>
          </cell>
          <cell r="D14" t="str">
            <v>37, Abundance Appartment, 4th Floor, D Block, Indira Colony-2, Sec 52 , Behind Arihant Hospital</v>
          </cell>
          <cell r="E14" t="str">
            <v>Artemis</v>
          </cell>
          <cell r="F14" t="str">
            <v>Sunday</v>
          </cell>
          <cell r="G14" t="str">
            <v>9 AM - 12 PM</v>
          </cell>
          <cell r="H14">
            <v>1450</v>
          </cell>
          <cell r="I14">
            <v>487.5</v>
          </cell>
          <cell r="J14" t="str">
            <v>Bliss</v>
          </cell>
          <cell r="K14" t="str">
            <v>Skip 1 week (16/05) today returned (06/07) Change day to delight (02/11) Paytm from Rajeev Bhambani (05/11) Upgrade to Bliss (24/01) Paytm From Aluma Care (25/03) No Lily (16/05)</v>
          </cell>
          <cell r="L14" t="str">
            <v>Lily</v>
          </cell>
          <cell r="M14" t="str">
            <v>One kInd in Bliss</v>
          </cell>
          <cell r="N14" t="str">
            <v>2  del of this cycle   -  0-cycles pmnt   Completed - Collect 0</v>
          </cell>
          <cell r="O14" t="str">
            <v>Pur n P Car ( 14 Inch ) 16     FF Sachet + Grass</v>
          </cell>
          <cell r="P14" t="str">
            <v>P n W Glad ( 14 Inch ) 16     Grass</v>
          </cell>
          <cell r="Q14" t="str">
            <v>Sunflower ( 12 Inch ) 4     FF Sachet + Grass</v>
          </cell>
          <cell r="R14" t="str">
            <v>Rajni ( 14 Inch ) 16     Grass</v>
          </cell>
          <cell r="S14" t="str">
            <v>P n Y Spray Daisy ( 14 Inch ) 5     FF Sachet + Grass</v>
          </cell>
          <cell r="T14" t="str">
            <v>G n W Car ( 14 Inch ) 16     FF Sachet + Grass</v>
          </cell>
        </row>
        <row r="15">
          <cell r="A15">
            <v>2250</v>
          </cell>
          <cell r="B15" t="str">
            <v>Saloni Gupta</v>
          </cell>
          <cell r="C15">
            <v>9810796682</v>
          </cell>
          <cell r="D15" t="str">
            <v>338, 3rd Floor, Espace</v>
          </cell>
          <cell r="E15" t="str">
            <v>Nirvana Country</v>
          </cell>
          <cell r="F15" t="str">
            <v>Sunday</v>
          </cell>
          <cell r="G15" t="str">
            <v>9 AM - 12 PM</v>
          </cell>
          <cell r="H15" t="str">
            <v>Replacment</v>
          </cell>
          <cell r="I15">
            <v>362.5</v>
          </cell>
          <cell r="J15" t="str">
            <v>Replacment</v>
          </cell>
          <cell r="K15" t="str">
            <v>Sunday n Thursday//Pls Keep Flowers in Vase// Paytm from Mayank G (17/03) Sent replacememnt today (23/03) Skip 1 week (10/04) 2 Asiatic and 5 Rajni (27/07) Paytm friom Mayank Gupta (16/09) 2 Asiatic Lily in each delivery (16/10) Today returned (17/11) Skip this sunday (03/01) Thursday -- 10 Rose and 4 Rajni // Sunday - 2 Asiatic (19/01) Whenever possible-send red Roses (23/01) Skip tom (29/01) Today returned (22/05) Send replacement tom (27/07) Hold today (14/08) Do not count last delivery (04/09) Hold today (02/10) Hold today (12/10) Hold after this cycle (27/10) Do not count last del (31/10) 2 Asiatic + 4 Rajni + 4 Glad -- thrice in a week (30/12) 2 Asiatic and 4 Rajni bi weekly pack (08/03) 2 Asiatic and 8 Rajni Every time and send 8 Rajni tom (26/03) Today returned-send tom (19/04) Skip sunday (04/07)</v>
          </cell>
          <cell r="N15" t="str">
            <v>Replacment</v>
          </cell>
          <cell r="O15" t="e">
            <v>#N/A</v>
          </cell>
          <cell r="P15" t="str">
            <v>P Asiatic ( 14 Inch ) 3     Grass</v>
          </cell>
          <cell r="Q15" t="str">
            <v>Y Asiatic ( 14 Inch ) 3     Grass</v>
          </cell>
          <cell r="R15" t="e">
            <v>#N/A</v>
          </cell>
          <cell r="S15" t="str">
            <v>W Asiatic 3     Grass</v>
          </cell>
          <cell r="T15" t="str">
            <v>Y Asiatic ( 14 Inch ) 3     Grass</v>
          </cell>
        </row>
        <row r="16">
          <cell r="A16">
            <v>571</v>
          </cell>
          <cell r="B16" t="str">
            <v>Mrs. Singh</v>
          </cell>
          <cell r="C16">
            <v>9873099320</v>
          </cell>
          <cell r="D16" t="str">
            <v>D 42, pinnacle, Dlf ph 5, Golf course road</v>
          </cell>
          <cell r="E16" t="str">
            <v>DLF Phase 5</v>
          </cell>
          <cell r="F16" t="str">
            <v>Thursday</v>
          </cell>
          <cell r="G16" t="str">
            <v>9 AM - 12 PM</v>
          </cell>
          <cell r="H16">
            <v>1600</v>
          </cell>
          <cell r="I16">
            <v>200</v>
          </cell>
          <cell r="J16" t="str">
            <v>Bloom</v>
          </cell>
          <cell r="K16" t="str">
            <v>Thursday n Sunday//Send 3 stems extra in next del(09/10)Return-send Friday(01/01/19) NO CAR(05/06) 1 stick extra next week(11/06) Paytm from Sharad Kumar(13/08) Return-send next week(02/10) Send Tom instead of this week with gerbera(19/10) Return-send next week(31/12) SENDING ON 9TH DUE TO HOLI (08/03) Send on 4th (03/10) Return today (23/10) Do not count last delivery (22/04) Hold ans start after 10th (02/08)</v>
          </cell>
          <cell r="N16" t="str">
            <v>3  del of this cycle   -  1-cycles pmnt   Pending - Collect 1600</v>
          </cell>
          <cell r="O16" t="str">
            <v>Rajni ( 14 Inch ) 7     Grass</v>
          </cell>
          <cell r="P16" t="str">
            <v>B Daisy ( 12 Inch ) 7     Grass</v>
          </cell>
          <cell r="Q16" t="str">
            <v>P Spray Daisy ( 14 Inch ) 2     FF Sachet + Grass</v>
          </cell>
          <cell r="R16" t="str">
            <v>Rajni ( 14 Inch ) 7     Grass</v>
          </cell>
          <cell r="S16" t="str">
            <v>Mix Alstroemeria ( 12 Inch ) 7     FF Sachet + Grass</v>
          </cell>
          <cell r="T16" t="str">
            <v>Y Spray Daisy ( 14 Inch ) 2     FF Sachet + Grass</v>
          </cell>
        </row>
        <row r="17">
          <cell r="A17">
            <v>3401</v>
          </cell>
          <cell r="B17" t="str">
            <v>Asheesh Handa</v>
          </cell>
          <cell r="C17">
            <v>7042482828</v>
          </cell>
          <cell r="D17" t="str">
            <v>H. No. 28, Ground Floor, M2k Whitehouse, Sector 57</v>
          </cell>
          <cell r="E17" t="str">
            <v>Artemis</v>
          </cell>
          <cell r="F17" t="str">
            <v>Sunday</v>
          </cell>
          <cell r="G17" t="str">
            <v>9 AM to 2 PM</v>
          </cell>
          <cell r="H17">
            <v>1450</v>
          </cell>
          <cell r="I17">
            <v>362.5</v>
          </cell>
          <cell r="J17" t="str">
            <v>Bliss</v>
          </cell>
          <cell r="N17" t="str">
            <v>3  del of this cycle   -  0-cycles pmnt   Completed - Collect 0</v>
          </cell>
          <cell r="O17" t="e">
            <v>#N/A</v>
          </cell>
          <cell r="P17" t="e">
            <v>#N/A</v>
          </cell>
          <cell r="Q17" t="e">
            <v>#N/A</v>
          </cell>
          <cell r="R17" t="str">
            <v>Pur n P Car ( 14 Inch ) 16     FF Sachet + Grass</v>
          </cell>
          <cell r="S17" t="str">
            <v>Sunflower ( 12 Inch ) 4     FF Sachet + Grass</v>
          </cell>
          <cell r="T17" t="str">
            <v>Mix Glad ( 14 inch ) 16     Grass</v>
          </cell>
        </row>
        <row r="18">
          <cell r="A18">
            <v>1438</v>
          </cell>
          <cell r="B18" t="str">
            <v>Aishwarya G Aiyar</v>
          </cell>
          <cell r="C18">
            <v>9884857311</v>
          </cell>
          <cell r="D18" t="str">
            <v>A-173, The Pinnacle</v>
          </cell>
          <cell r="E18" t="str">
            <v>DLF Phase 5</v>
          </cell>
          <cell r="F18" t="str">
            <v>Thursday</v>
          </cell>
          <cell r="G18" t="str">
            <v>9 AM - 12 PM</v>
          </cell>
          <cell r="H18">
            <v>1600</v>
          </cell>
          <cell r="I18">
            <v>200</v>
          </cell>
          <cell r="J18" t="str">
            <v>Bloom</v>
          </cell>
          <cell r="K18" t="str">
            <v>Sunday n Thursday//Changed to Thursday//Ref By Vidya Raja(29/06) 10 Rajni and 10 Glad Next(03/07) Bop and car Next(10/07) Asiatic n car Next(17/07) Oriental and Rajni next(24/07) 3 Anthurium and 15 Glad tom(31/07) Mix of 2 flowers next(07/08) Sent replacement of Oriental today(26/08) NO HELICONIA and BOP and send Spray daisy(02/10) Skip 1 week(11/10) Now JOY(30/03) Skip 1 week(06/04) Holdn n skip this week(21/04) Skip 1 week(30/05) Hold n start from July(11/06) Skip this sunday delivery(05/08) Skip 1 week(30/08) Skip this sunday delivery(16/09) Paytm From Vivek Raja// Skip 1 week (26/04) Now bloom (01/05) Hold till 11th June (31/05) Hold n start from Aug and inform before sending (11/07) Skip 1 week (26/09) Today Retirned (02/11) Today Hold (16/11) Hold today 928/12) Hold for Thursday (05/03) Returned (10/03) Skip this sunday (24/05) Skip 1 week (02/06) Returned ltoday (29/08) Today Returned (05/09) Hols today (31/10) Skip 1 week (18/01) Skip this week (07/03) Skip 19th and 23rd (19/10) Hold 25th Del ( 23/01) Skip sunday (18/02) Skip sunday (27/03) Dont ring bell -- keep at Door (17/05) Skip thursday (15/06)</v>
          </cell>
          <cell r="N18" t="str">
            <v>6  del of this cycle   -  0-cycles pmnt   Completed - Collect 0</v>
          </cell>
          <cell r="O18" t="str">
            <v>Rajni ( 14 Inch ) 7     Grass</v>
          </cell>
          <cell r="P18" t="str">
            <v>B Daisy ( 12 Inch ) 7     Grass</v>
          </cell>
          <cell r="Q18" t="str">
            <v>Sunflower ( 12 Inch ) 2     FF Sachet + Grass</v>
          </cell>
          <cell r="R18" t="str">
            <v>Mix Alstroemeria 7     Grass</v>
          </cell>
          <cell r="S18" t="str">
            <v>G n W Car ( 14 Inch ) 7     FF Sachet + Grass</v>
          </cell>
          <cell r="T18" t="str">
            <v>Mix Glad ( 14 inch ) 7     Grass</v>
          </cell>
        </row>
        <row r="19">
          <cell r="A19">
            <v>2855</v>
          </cell>
          <cell r="B19" t="str">
            <v>Mini Deerwoood</v>
          </cell>
          <cell r="C19">
            <v>9818447542</v>
          </cell>
          <cell r="D19" t="str">
            <v xml:space="preserve"> 332, 4th Floor, Espace</v>
          </cell>
          <cell r="E19" t="str">
            <v>Nirvana Country</v>
          </cell>
          <cell r="F19" t="str">
            <v>Sunday</v>
          </cell>
          <cell r="G19" t="str">
            <v>9 AM - 12 PM</v>
          </cell>
          <cell r="H19">
            <v>1950</v>
          </cell>
          <cell r="I19">
            <v>487.5</v>
          </cell>
          <cell r="J19" t="str">
            <v>Joy</v>
          </cell>
          <cell r="N19" t="str">
            <v>1  del of this cycle   -  1-cycles pmnt   Pending - Collect 1950</v>
          </cell>
          <cell r="O19" t="e">
            <v>#N/A</v>
          </cell>
          <cell r="P19" t="str">
            <v>Pur Eustoma ( 12 Inch ) 2 B Daisy ( 12 Inch ) 11   FF Sachet + Grass</v>
          </cell>
          <cell r="Q19" t="str">
            <v>Sunflower ( 12 Inch ) 3 Pur n P Car ( 14 Inch ) 11   FF Sachet + Grass</v>
          </cell>
          <cell r="R19" t="str">
            <v>P Asiatic ( 14 Inch ) 2 Rajni ( 14 Inch ) 11   Grass</v>
          </cell>
          <cell r="S19" t="str">
            <v>P n Y Spray Daisy ( 14 Inch ) 4 P n W Glad ( 14 Inch ) 10   FF Sachet + Grass</v>
          </cell>
          <cell r="T19" t="str">
            <v>Pur Eustoma ( 12 Inch ) 2 Mix Car 11   FF Sachet + Grass</v>
          </cell>
        </row>
        <row r="20">
          <cell r="A20">
            <v>1978</v>
          </cell>
          <cell r="B20" t="str">
            <v>Anu-- After 6 PM</v>
          </cell>
          <cell r="C20" t="str">
            <v>98103 39602</v>
          </cell>
          <cell r="D20" t="str">
            <v xml:space="preserve">Tower 6, 901 Fresco </v>
          </cell>
          <cell r="E20" t="str">
            <v>Nirvana Country</v>
          </cell>
          <cell r="F20" t="str">
            <v>Thursday</v>
          </cell>
          <cell r="G20" t="str">
            <v>4 Pm to 7 PM</v>
          </cell>
          <cell r="H20">
            <v>4850</v>
          </cell>
          <cell r="I20">
            <v>606.25</v>
          </cell>
          <cell r="J20" t="str">
            <v>Poise</v>
          </cell>
          <cell r="K20" t="str">
            <v xml:space="preserve"> Thursday n Sunday//No Rajni (14/03) No Rose n Gerbera n RAJNI// Skip this week n send on Tuesday evening slot (18/06) Send this Thursday to Friday (04/09) NO HELICONIA (13/09) Skip Thursday delivery (12/11) Send tom in morning (16/11) Skip Thursday del (19/11) Skip tom (23/11) Hold till 11th  (30/11) Dont send on Sunday (13/12) Skip sunday (20/12) Skip tom (08/02) Hold today (23/02) Skip 1 Week (01/06) Skip thursday Delivery (18/06) Skip this thursday and send on sunday after 6 PM (06/08) No BOP also (06/10) Do not count today del and sned on sat next (04/12) Skip saturda and sunday also (05/12) Hold today n send tom (11/12) Hold today (05/04) Hold today (16/04)</v>
          </cell>
          <cell r="L20" t="str">
            <v>ROSE n RAJNI n HELICONIA n BOP</v>
          </cell>
          <cell r="M20" t="str">
            <v>after 6 pm on 19th (16/04)</v>
          </cell>
          <cell r="N20" t="str">
            <v>3  del of this cycle   -  0-cycles pmnt   Completed - Collect 0</v>
          </cell>
          <cell r="O20" t="str">
            <v>O Asiatic ( 14 Inch ) 2 P n W Spray Daisy  14 Inch ) 4 Rajni ( 14 Inch ) 12 Grass</v>
          </cell>
          <cell r="P20" t="str">
            <v>P Asiatic ( 14 Inch ) 2 B Daisy ( 12 Inch ) 6 Pur n P Car ( 14 Inch ) 10 Grass</v>
          </cell>
          <cell r="Q20" t="str">
            <v>Y Asiatic ( 14 Inch ) 2 B Daisy ( 12 Inch ) 6 P n W Glad ( 14 Inch ) 12 Grass</v>
          </cell>
          <cell r="R20" t="str">
            <v>P Asiatic ( 14 Inch ) 2 B Daisy ( 12 Inch ) 6 Rajni ( 14 Inch ) 10 Grass</v>
          </cell>
          <cell r="S20" t="str">
            <v>Y Asiatic ( 14 Inch ) 2 P Spray Daisy ( 14 Inch ) 3 G n W Car ( 14 Inch ) 12 Grass</v>
          </cell>
          <cell r="T20" t="str">
            <v>W Asiatic ( 14 Inch ) 2 Pur n P Eustoma  4 Rajn ( 14 Inch ) 12 Grass</v>
          </cell>
        </row>
        <row r="21">
          <cell r="A21">
            <v>2307</v>
          </cell>
          <cell r="B21" t="str">
            <v>Alpna Jain</v>
          </cell>
          <cell r="C21">
            <v>9599336609</v>
          </cell>
          <cell r="D21" t="str">
            <v>C-64, The Icon</v>
          </cell>
          <cell r="E21" t="str">
            <v>DLF Phase 5</v>
          </cell>
          <cell r="F21" t="str">
            <v>Thursday</v>
          </cell>
          <cell r="G21" t="str">
            <v>10 AM to 2:30 PM</v>
          </cell>
          <cell r="H21">
            <v>3000</v>
          </cell>
          <cell r="I21">
            <v>375</v>
          </cell>
          <cell r="J21" t="str">
            <v>Charm</v>
          </cell>
          <cell r="K21" t="str">
            <v>Thursday n Sunday // Hold today (08/02) Keep flowers outside of Door (17/05)</v>
          </cell>
          <cell r="M21" t="str">
            <v>Keep flowers outside of door always</v>
          </cell>
          <cell r="N21" t="str">
            <v>1  del of this cycle   -  1-cycles pmnt   Pending - Collect 3000</v>
          </cell>
          <cell r="O21" t="str">
            <v>B Daisy ( 12 Inch ) 15 Keep Flowers outside of door -- Don’t call n don’t ring bell    FF Sachet + Grass</v>
          </cell>
          <cell r="P21" t="str">
            <v>Rajni ( 14 Inch ) 15 Keep Flowers at Door -- Don’t Call or Knock    Grass</v>
          </cell>
          <cell r="Q21" t="str">
            <v>Y Asiatic ( 14 Inch ) 3 Keep Flowers at door -- Don’t Call or ring the bell    Grass</v>
          </cell>
          <cell r="R21" t="str">
            <v>P n W Glad ( 14 Inch ) 15 Keep Flowesr at Door -- Don’t Ring Bell, Don’t Call    Grass</v>
          </cell>
          <cell r="S21" t="str">
            <v>Rajni ( 14 Inch ) 15 Keep Outside of Door -- Don’t Ring bell and don’t call    Grass</v>
          </cell>
          <cell r="T21" t="str">
            <v>G n W Car ( 14 Inch ) 15 Keep at door -- don’t call or knock door    FF Sachet + Grass</v>
          </cell>
        </row>
        <row r="22">
          <cell r="A22">
            <v>2779</v>
          </cell>
          <cell r="B22" t="str">
            <v>Riddhi Desai</v>
          </cell>
          <cell r="C22">
            <v>8130497969</v>
          </cell>
          <cell r="D22" t="str">
            <v>D-71, The Icon</v>
          </cell>
          <cell r="E22" t="str">
            <v>Golf Course Road</v>
          </cell>
          <cell r="F22" t="str">
            <v>Sunday</v>
          </cell>
          <cell r="G22" t="str">
            <v>9 AM to 2 PM</v>
          </cell>
          <cell r="H22">
            <v>1600</v>
          </cell>
          <cell r="I22">
            <v>200</v>
          </cell>
          <cell r="J22" t="str">
            <v>Bloom</v>
          </cell>
          <cell r="K22" t="str">
            <v>Send this week on Saturday (14/08) Skip 1 week (21/12) Hold till 2nd June (20/05)</v>
          </cell>
          <cell r="N22" t="str">
            <v>3  del of this cycle   -  0-cycles pmnt   Completed - Collect 0</v>
          </cell>
          <cell r="O22" t="str">
            <v>B Daisy ( 12 Inch ) 7     FF Sachet + Grass</v>
          </cell>
          <cell r="P22" t="str">
            <v>P n W Glad ( 14 Inch ) 7     Grass</v>
          </cell>
          <cell r="Q22" t="str">
            <v>Pur n P Car ( 14 Inch 7     FF Sachet + Grass</v>
          </cell>
          <cell r="R22" t="str">
            <v>Mix Alstroemeria 7     Grass</v>
          </cell>
          <cell r="S22" t="str">
            <v>Y Spray Daisy ( 14 Inch ) 2     FF Sachet + Grass</v>
          </cell>
          <cell r="T22" t="str">
            <v>Sunflower ( 12 Inch )  2     FF Sachet + Grass</v>
          </cell>
        </row>
        <row r="23">
          <cell r="A23">
            <v>894</v>
          </cell>
          <cell r="B23" t="str">
            <v>Dr. Roma Kumar</v>
          </cell>
          <cell r="C23" t="str">
            <v>98110 87708</v>
          </cell>
          <cell r="D23" t="str">
            <v>RT-181, Royalton Tower
Inside Princeton Estate
DLF City Phase-V
Gurgaon-122009
Haryana</v>
          </cell>
          <cell r="E23" t="str">
            <v>DLF Phase 5</v>
          </cell>
          <cell r="F23" t="str">
            <v>Thursday</v>
          </cell>
          <cell r="G23" t="str">
            <v>9 AM - 12 PM</v>
          </cell>
          <cell r="H23">
            <v>3000</v>
          </cell>
          <cell r="I23">
            <v>375</v>
          </cell>
          <cell r="J23" t="str">
            <v>Charm</v>
          </cell>
          <cell r="K23" t="str">
            <v>Sun to Thursday//NO Roses(Old) PREFER-- WHITE ROSE/RAJNIGANDHA/CHRYSANTHEMUM(18/11) Skip 1 Week(25/12) Day Changed to Monday till Lovkdown(23/08/20) Send replacement of Lilies(20/10) Day Changed to Sunday-send 1 del today and then every Sunday(30/11) Paytm from Pooja M Tripathi(26/04) Sent replacement today(30/07) Paytm of Gignger lily and eustoma added(06/11) Skip 1 week(06/11)  20 Rajnio sent in Subscription(06/02) Skip today(13/02) Rajni Next(19/02) Rajni next(02/03) Skip 1 week(02/06) Skip Sunday Delivery(13/08) Skip this thursday Delivery (28/02) Skip 1 week (28/02) No Blue Orchid (06/04) Hold today and next Sunday also (12/09) Hold today n one more del (19/09) Skip 1 week (22/02) Skip this thursday (12/03) Send replacement tom (04/05) Skip on sunday (01/06) Skip today (01/06) Skip 1 week (24/11) Hold n start from 29th Jan (18/01) Hold today (02/07) Today Hold (12/07)</v>
          </cell>
          <cell r="L23" t="str">
            <v>ORCHID</v>
          </cell>
          <cell r="N23" t="str">
            <v>8  del of this cycle   -  0-cycles pmnt   Completed - Collect 0</v>
          </cell>
          <cell r="O23" t="str">
            <v>Pur n P Car ( 14 Inch ) 15     FF Sachet + Grass</v>
          </cell>
          <cell r="P23" t="str">
            <v>B Daisy ( 12 Inch ) 15     Grass</v>
          </cell>
          <cell r="Q23" t="str">
            <v>P Oriental ( 15 Inch ) 2     Grass</v>
          </cell>
          <cell r="R23" t="str">
            <v>B Daisy ( 12 Inch ) 15     Grass</v>
          </cell>
          <cell r="S23" t="str">
            <v>P n Y Spray Daisy ( 14 Inch ) 4     FF Sachet + Grass</v>
          </cell>
          <cell r="T23" t="str">
            <v>P n Y Spray Daisy ( 14 Inch ) 4     FF Sachet + Grass</v>
          </cell>
        </row>
        <row r="24">
          <cell r="A24">
            <v>2416</v>
          </cell>
          <cell r="B24" t="str">
            <v>Dinesh Dhir</v>
          </cell>
          <cell r="C24">
            <v>9810709096</v>
          </cell>
          <cell r="D24" t="str">
            <v>D-11/9, 1st Floor, DLF Exclusive Floors</v>
          </cell>
          <cell r="E24" t="str">
            <v>DLF Phase 5</v>
          </cell>
          <cell r="F24" t="str">
            <v>Sunday</v>
          </cell>
          <cell r="G24" t="str">
            <v>9 AM - 12 PM</v>
          </cell>
          <cell r="H24">
            <v>1450</v>
          </cell>
          <cell r="I24">
            <v>362.5</v>
          </cell>
          <cell r="J24" t="str">
            <v>Bliss</v>
          </cell>
          <cell r="K24" t="str">
            <v>Hold today n send next week (15/06) Add changed (17/05)</v>
          </cell>
          <cell r="N24" t="str">
            <v>4  del of this cycle   -  0-cycles pmnt   Completed - Collect 0</v>
          </cell>
          <cell r="O24" t="str">
            <v>Sunflower ( 12 Inch ) 2     FF Sachet + Grass</v>
          </cell>
          <cell r="P24" t="str">
            <v>B Daisy ( 12 Inch ) 9     Grass</v>
          </cell>
          <cell r="Q24" t="str">
            <v>P Asiatic ( 14 Inch ) 3     Grass</v>
          </cell>
          <cell r="R24" t="str">
            <v>Pur n P Car ( 14 Inch ) 16     FF Sachet + Grass</v>
          </cell>
          <cell r="S24" t="str">
            <v>Rajni ( 14 Inch ) 16     Grass</v>
          </cell>
          <cell r="T24" t="str">
            <v>P n Y Spray Daisy ( 14 Inch ) 5     FF Sachet + Grass</v>
          </cell>
        </row>
        <row r="25">
          <cell r="A25">
            <v>1517</v>
          </cell>
          <cell r="B25" t="str">
            <v>Megha Bhardwaj</v>
          </cell>
          <cell r="C25">
            <v>9818525564</v>
          </cell>
          <cell r="D25" t="str">
            <v>B-65, 1st floor, Sushant Lok-3,HDFC School, Sec 57</v>
          </cell>
          <cell r="E25" t="str">
            <v>Artemis</v>
          </cell>
          <cell r="F25" t="str">
            <v>Sunday</v>
          </cell>
          <cell r="G25" t="str">
            <v>9 AM - 12 PM</v>
          </cell>
          <cell r="H25">
            <v>1950</v>
          </cell>
          <cell r="I25">
            <v>487.5</v>
          </cell>
          <cell r="J25" t="str">
            <v>Joy</v>
          </cell>
          <cell r="K25" t="str">
            <v>Guldawari 1st(18/09) BOP Tom(02/10) Spray daisy next(16/10) Skip 1 week(06/11) Y or Orange Rose Tom(27/11) Orchids Next(28/01) Orchids not sent-send next(30/01) Skip 1 week(17/03) Skip 1 week (09/04) Send on Saturday this week instead of Sunday -- AND DONT SEND ON 28TH(25/08) Skip 1 week (21/01) Send 1 del tom (31/03) Skip 1 week (29/06) Send friday this week on Friday evening Dont send on 15th (11/10) Skip 1 week (27/12) Skip 1 week (09/02) Hols as of now (11/04) Sent replacxement today (13/12) Skip 1 week (18/01) Hold this week (08/03) Skip 1 week(12/04) Skip 1 week (25/06) Skip tom (04/10) Send on saturday instead of sunday this week (08/10) Skip 1 week (15/11) No Orchid (18/01) Skip 1 week )28/02) Skip tom (28/03) Skip 1 week (18/04) Skip 1 week (01/06)</v>
          </cell>
          <cell r="L25" t="str">
            <v>Orchid</v>
          </cell>
          <cell r="N25" t="str">
            <v>1  del of this cycle   -  1-cycles pmnt   Pending - Collect 1950</v>
          </cell>
          <cell r="O25" t="str">
            <v>Sunflower ( 12 Inch ) 5     FF Sachet + Grass</v>
          </cell>
          <cell r="P25" t="str">
            <v>Pur n P Car ( 14 Inch ) 22     FF Sachet + Grass</v>
          </cell>
          <cell r="Q25" t="str">
            <v>Pur n P Eustoma ( 12 Inch ) 4     FF Sachet + Grass</v>
          </cell>
          <cell r="R25" t="str">
            <v>O Asiatic ( 14 Inch ) 4     Grass</v>
          </cell>
          <cell r="S25" t="str">
            <v>P n Y Spray Daisy ( 14 Inch ) 7     FF Sachet + Grass</v>
          </cell>
          <cell r="T25" t="str">
            <v>Mix Glad ( 14 inch ) 22     Grass</v>
          </cell>
        </row>
        <row r="26">
          <cell r="A26">
            <v>1140</v>
          </cell>
          <cell r="B26" t="str">
            <v>Nidhi Singh</v>
          </cell>
          <cell r="C26" t="str">
            <v>8383036664//9899389873</v>
          </cell>
          <cell r="D26" t="str">
            <v>D-8/3, Ground Floor DLF Exclusive Floors</v>
          </cell>
          <cell r="E26" t="str">
            <v>DLF Phase 5</v>
          </cell>
          <cell r="F26" t="str">
            <v>Thursday</v>
          </cell>
          <cell r="G26" t="str">
            <v>9 AM - 12 PM</v>
          </cell>
          <cell r="H26">
            <v>2300</v>
          </cell>
          <cell r="I26">
            <v>287.5</v>
          </cell>
          <cell r="J26" t="str">
            <v>Felicity</v>
          </cell>
          <cell r="K26" t="str">
            <v>Sunday n thursday //Monday n Thursday//Send Change of 200 Next(22/10) NO ROSE(22/11) Send Oriental next and send change of 2000 Next(27/11) NO ROSE // Heliconia Next(30/11) Send Change Next(13/04) 350 Received today via paytm(15/04) Flower Food Next(16/04) Send replacement of gerbera tom(20/04) Received 250 today(20/04) Send Replacement tom(20/04) Do Not Count 1 Del(22/04) Days-- Monday and Thursday(30/05) Gpay from Vivek Singh// Paytm from 9372779905-- Viveka(30/07) 1 Flower food next(01/04) Sent a replacement today(05/04) FF Next()8/04) Today del missed(02/06) REceived 1650 extra (28/12) Send replacement tom (29/08) Skip 1 week (17/10) 13th Flower Missed (17/11) Today Returned (18/12) Skip Tom (17/01) No Del from 21st to 27th July (10/07) Skip 1 week (03/12) Hold till 15th Dec (09/12) Skip this thursday (24/12) Skip on sunday (10/01) Hold till 31st Jan after 18th Del (17/01)</v>
          </cell>
          <cell r="L26" t="str">
            <v>ROSE</v>
          </cell>
          <cell r="N26" t="str">
            <v>6  del of this cycle   -  0-cycles pmnt   Completed - Collect 0</v>
          </cell>
          <cell r="O26" t="str">
            <v>O Asiatic ( 14 Inch ) 2     Grass</v>
          </cell>
          <cell r="P26" t="str">
            <v>B Daisy ( 12 Inch ) 11     Grass</v>
          </cell>
          <cell r="Q26" t="str">
            <v>Sunflower ( 12 Inch ) 3     FF Sachet + Grass</v>
          </cell>
          <cell r="R26" t="str">
            <v>O Asiatic ( 14 Inch ) 2     Grass</v>
          </cell>
          <cell r="S26" t="str">
            <v>Y Spray Daisy ( 14 Inch ) 2     FF Sachet + Grass</v>
          </cell>
          <cell r="T26" t="str">
            <v>Mix Glad ( 14 inch ) 11     Grass</v>
          </cell>
        </row>
        <row r="27">
          <cell r="A27">
            <v>2748</v>
          </cell>
          <cell r="B27" t="str">
            <v>Rishabh Suri</v>
          </cell>
          <cell r="C27">
            <v>9871320514</v>
          </cell>
          <cell r="D27" t="str">
            <v>H. No. 962, Block C, Sushant Lok, Near Ambience Public School</v>
          </cell>
          <cell r="E27" t="str">
            <v>DLF Phase 5</v>
          </cell>
          <cell r="F27" t="str">
            <v>Sunday</v>
          </cell>
          <cell r="G27" t="str">
            <v>9 AM - 12 PM</v>
          </cell>
          <cell r="H27">
            <v>1450</v>
          </cell>
          <cell r="I27">
            <v>362.5</v>
          </cell>
          <cell r="J27" t="str">
            <v>Bliss</v>
          </cell>
          <cell r="K27" t="str">
            <v>Hold n start from Sep (06/08) Paytm from Rajeev Suri (22/11) Paytm from Anu Suri (21/12)</v>
          </cell>
          <cell r="N27" t="str">
            <v>3  del of this cycle   -  0-cycles pmnt   Completed - Collect 0</v>
          </cell>
          <cell r="O27" t="str">
            <v>O Asiatic ( 14 Inch ) 3     Grass</v>
          </cell>
          <cell r="P27" t="str">
            <v>P n W Glad ( 14 Inch ) 16     Grass</v>
          </cell>
          <cell r="Q27" t="str">
            <v>Sunflower ( 12 Inch ) 4     FF Sachet + Grass</v>
          </cell>
          <cell r="R27" t="str">
            <v>Rajni ( 14 Inch ) 16     Grass</v>
          </cell>
          <cell r="S27" t="str">
            <v>G n W Car ( 14 Inch ) 16     FF Sachet + Grass</v>
          </cell>
          <cell r="T27" t="str">
            <v>P n Y Spray Daisy ( 14 Inch ) 5     FF Sachet + Grass</v>
          </cell>
        </row>
        <row r="28">
          <cell r="A28">
            <v>2724</v>
          </cell>
          <cell r="B28" t="str">
            <v>Kavita Dahiya</v>
          </cell>
          <cell r="C28">
            <v>9873400017</v>
          </cell>
          <cell r="D28" t="str">
            <v>H. No. 1391, 2nd Floor,  Sec-57 Part -2</v>
          </cell>
          <cell r="E28" t="str">
            <v>Artemis</v>
          </cell>
          <cell r="F28" t="str">
            <v>Sunday</v>
          </cell>
          <cell r="G28" t="str">
            <v>9:30 AM to 2 PM</v>
          </cell>
          <cell r="H28">
            <v>1450</v>
          </cell>
          <cell r="I28">
            <v>362.5</v>
          </cell>
          <cell r="J28" t="str">
            <v>Bliss</v>
          </cell>
          <cell r="K28" t="str">
            <v>Send on Sunday this week (27/08) No gerbera (12/09) No Sunflowers (15/11) Skip 1 week (30/12) Hold n collect 500 tom (25/02)</v>
          </cell>
          <cell r="L28" t="str">
            <v>Gerbera n Sunflower</v>
          </cell>
          <cell r="N28" t="str">
            <v>1  del of this cycle   -  1-cycles pmnt   Pending - Collect 1441</v>
          </cell>
          <cell r="O28" t="e">
            <v>#N/A</v>
          </cell>
          <cell r="P28" t="str">
            <v>Pur n P Car ( 14 Inch ) 16     FF Sachet + Grass</v>
          </cell>
          <cell r="Q28" t="str">
            <v>Sunflower ( 12 Inch ) 4     FF Sachet + Grass</v>
          </cell>
          <cell r="R28" t="str">
            <v>Rajni ( 14 Inch ) 16     Grass</v>
          </cell>
          <cell r="S28" t="str">
            <v>O Asiatic ( 14 Inch ) 3     Grass</v>
          </cell>
          <cell r="T28" t="str">
            <v>Mix Alstroemeria ( 12 Inch ) 16     FF Sachet + Grass</v>
          </cell>
        </row>
        <row r="29">
          <cell r="A29">
            <v>3351</v>
          </cell>
          <cell r="B29" t="str">
            <v>Shubhpret kaur</v>
          </cell>
          <cell r="C29">
            <v>8800898704</v>
          </cell>
          <cell r="D29" t="str">
            <v>H. No. 667, 3rd Floor, Sec 43</v>
          </cell>
          <cell r="E29" t="str">
            <v>DLF Phase 5</v>
          </cell>
          <cell r="F29" t="str">
            <v>Sunday</v>
          </cell>
          <cell r="G29" t="str">
            <v>9 AM - 12 PM</v>
          </cell>
          <cell r="H29">
            <v>1950</v>
          </cell>
          <cell r="I29">
            <v>487.5</v>
          </cell>
          <cell r="J29" t="str">
            <v>Joy</v>
          </cell>
          <cell r="K29" t="str">
            <v>Paytm From Amara Preet Singh // Change day to Sunday (13/06)</v>
          </cell>
          <cell r="N29" t="str">
            <v>4  del of this cycle   -  0-cycles pmnt   Completed - Collect 0</v>
          </cell>
          <cell r="O29" t="str">
            <v>P Asiatic ( 14 Inch ) 2 Pur n P Car ( 14 Inch ) 11   Grass</v>
          </cell>
          <cell r="P29" t="str">
            <v>Pur Eustoma ( 12 Inch ) 2 B Daisy ( 12 Inch ) 11   FF Sachet + Grass</v>
          </cell>
          <cell r="Q29" t="str">
            <v>Sunflower ( 12 Inch ) 3 P n W Glad ( 14 Inch ) 11   FF Sachet + Grass</v>
          </cell>
          <cell r="R29" t="str">
            <v>BOP  2 Rajni ( 14 Inch ) 11   FF Sachet + Grass</v>
          </cell>
          <cell r="S29" t="str">
            <v>O Asiatic ( 14 Inch ) 2 G n W Car ( 14 Inch ) 11   Grass</v>
          </cell>
          <cell r="T29" t="str">
            <v>P n W Spray Daisy ( 14 Inch ) 4 Mix Alstroemeria ( 12 Inch ) 11   FF Sachet + Grass</v>
          </cell>
        </row>
        <row r="30">
          <cell r="A30">
            <v>2200</v>
          </cell>
          <cell r="B30" t="str">
            <v>Naina Gandhi</v>
          </cell>
          <cell r="C30">
            <v>9811188863</v>
          </cell>
          <cell r="D30" t="str">
            <v>K2/105, Central Park -1</v>
          </cell>
          <cell r="E30" t="str">
            <v>Golf Course Road</v>
          </cell>
          <cell r="F30" t="str">
            <v>Thursday</v>
          </cell>
          <cell r="G30" t="str">
            <v>9 AM - 12 PM</v>
          </cell>
          <cell r="H30">
            <v>2300</v>
          </cell>
          <cell r="I30">
            <v>287.5</v>
          </cell>
          <cell r="J30" t="str">
            <v>Felicity</v>
          </cell>
          <cell r="K30" t="str">
            <v>Thursday n Sunday//Send Replacement tom (17/01) No Spray Daisy (19/02) Skip 4th Del (07/05) Do not count last del (29/08) No Flowers Tom (28/09) Skip this Thursday (01/10) Hold till 10th Nov (25/10) Hold this Sunday (13/12) Skip 1 week (01/02) Skip 1 week (16/02) Hold and start from May(28/03) Hold n start from 1st June (22/05) Skip 2 week (22/06) Skip tom (26/07) Skip 1 week (04/10) Hold tom (25/10) Skip 2 week (31/10) Skip 1 week 1 week (22/11) Skip this thursday (10/12) Skip 2 week (20/12) Skip sunday (07/01) Hold from 23rd May to 14th JUne (19/05) Skip 1 week and send on Monday (23/06)</v>
          </cell>
          <cell r="L30" t="str">
            <v>SPRAY DAISY</v>
          </cell>
          <cell r="M30" t="str">
            <v>Check for Bi weekly package</v>
          </cell>
          <cell r="N30" t="str">
            <v>6  del of this cycle   -  0-cycles pmnt   Completed - Collect 0</v>
          </cell>
          <cell r="O30" t="e">
            <v>#N/A</v>
          </cell>
          <cell r="P30" t="str">
            <v>O Asiatic ( 14 Inch )' 2     Grass</v>
          </cell>
          <cell r="Q30" t="e">
            <v>#N/A</v>
          </cell>
          <cell r="R30" t="str">
            <v>Rajni ( 14 Inch ) 11     Grass</v>
          </cell>
          <cell r="S30" t="str">
            <v>Mix Alstroemeria ( 12 Inch ) 11     FF Sachet + Grass</v>
          </cell>
          <cell r="T30" t="str">
            <v>Y Asiatic ( 14 Inch ) 2     Grass</v>
          </cell>
        </row>
        <row r="31">
          <cell r="A31">
            <v>2378</v>
          </cell>
          <cell r="B31" t="str">
            <v>Dr. Juhi Saxena</v>
          </cell>
          <cell r="C31">
            <v>9958637975</v>
          </cell>
          <cell r="D31" t="str">
            <v>G-307, 2nd Floor, Sushant Lok -2, Sec 57</v>
          </cell>
          <cell r="E31" t="str">
            <v>Artemis</v>
          </cell>
          <cell r="F31" t="str">
            <v>Sunday</v>
          </cell>
          <cell r="G31" t="str">
            <v>9 AM - 12 PM</v>
          </cell>
          <cell r="H31">
            <v>1450</v>
          </cell>
          <cell r="I31">
            <v>362.5</v>
          </cell>
          <cell r="J31" t="str">
            <v>Bliss</v>
          </cell>
          <cell r="K31" t="str">
            <v>No Glad (17/01) Hold and start from May and inform before starting (09/04) Skip 1 week 901/05) hold n returned today (12/06) Skip tom and send on Saturday -- either Rajnigandha or Car (19/06) Add changed (23/06) No Sinflower (09/07)</v>
          </cell>
          <cell r="L31" t="str">
            <v>GLAD n Sunflowers</v>
          </cell>
          <cell r="N31" t="str">
            <v>4  del of this cycle   -  0-cycles pmnt   Completed - Collect 0</v>
          </cell>
          <cell r="O31" t="e">
            <v>#N/A</v>
          </cell>
          <cell r="P31" t="e">
            <v>#N/A</v>
          </cell>
          <cell r="Q31" t="str">
            <v>Pur n P Car ( 14 Inch 16     FF Sachet + Grass</v>
          </cell>
          <cell r="R31" t="str">
            <v>Sunflower ( 12 Inch ) 4     FF Sachet + Grass</v>
          </cell>
          <cell r="S31" t="str">
            <v>Rajni ( 14 Inch ) 16     Grass</v>
          </cell>
          <cell r="T31" t="str">
            <v>O Asiatic ( 14 Inch ) 3     Grass</v>
          </cell>
        </row>
        <row r="32">
          <cell r="A32">
            <v>2316</v>
          </cell>
          <cell r="B32" t="str">
            <v>Gitanjali Kamra</v>
          </cell>
          <cell r="C32">
            <v>9811842976</v>
          </cell>
          <cell r="D32" t="str">
            <v>121, Espace, Nirvana Country</v>
          </cell>
          <cell r="E32" t="str">
            <v>Nirvana Country</v>
          </cell>
          <cell r="F32" t="str">
            <v>Sunday</v>
          </cell>
          <cell r="G32" t="str">
            <v>9 AM - 12 PM</v>
          </cell>
          <cell r="H32">
            <v>4750</v>
          </cell>
          <cell r="I32">
            <v>1187.5</v>
          </cell>
          <cell r="J32" t="str">
            <v>Enchantment</v>
          </cell>
          <cell r="K32" t="str">
            <v>Now Elation (21/09) Skip 1 week (17/12)</v>
          </cell>
          <cell r="N32" t="str">
            <v>3  del of this cycle   -  0-cycles pmnt   Completed - Collect 0</v>
          </cell>
          <cell r="O32" t="str">
            <v>O Asiatic ( 14 Inch ) 6 P n W Glad ( 14 Inch ) 30   3 Gypsola</v>
          </cell>
          <cell r="P32" t="str">
            <v>P n Y Spray Daisy ( 14 Inch ) 10 Pur n P Car ( 14 Inch ) 30   3 Limonium</v>
          </cell>
          <cell r="Q32" t="str">
            <v>BOP ( 14 Inch ) 6 Rajni ( 14 Inch ) 30   3 Gypsola</v>
          </cell>
          <cell r="R32" t="str">
            <v>P Asiatic ( 14 Inch ) 6 Mix Alstroemeria ( 12 Inch ) 30   3 Areca Palm + 3 Limonium</v>
          </cell>
          <cell r="S32" t="str">
            <v>Sunflower ( 12 Inch ) 7 G n W Car ( 14 Inch ) 30   3 Areca palm + 3 Gypsola + FF Sachet</v>
          </cell>
          <cell r="T32" t="str">
            <v>P n Pur Eustoma ( 12 Inch ) 6 Mix Glad ( 14 Inch ) 30   3 Areca Palm + 3 Limonium + FF Sachet</v>
          </cell>
        </row>
        <row r="33">
          <cell r="A33" t="str">
            <v>G-00056</v>
          </cell>
          <cell r="B33" t="str">
            <v>Triveni Wahi</v>
          </cell>
          <cell r="C33">
            <v>7503975035</v>
          </cell>
          <cell r="D33" t="str">
            <v>B-14/12 C, Dlf The Grove</v>
          </cell>
          <cell r="E33" t="str">
            <v>DLF Phase 5</v>
          </cell>
          <cell r="F33" t="str">
            <v>Sunday</v>
          </cell>
          <cell r="G33" t="str">
            <v>9 AM - 12 PM</v>
          </cell>
          <cell r="H33">
            <v>1450</v>
          </cell>
          <cell r="I33">
            <v>362.5</v>
          </cell>
          <cell r="J33" t="str">
            <v>Bliss</v>
          </cell>
          <cell r="K33" t="str">
            <v>From Madhulika Geeta Chopra // 2sesonal Extra next (05/05) Today Returned -send next week (24/05) Today returned - hold (14/06)</v>
          </cell>
          <cell r="M33" t="str">
            <v>2 sesonal Extra next (05/05)</v>
          </cell>
          <cell r="N33" t="str">
            <v>3  del of this cycle   -  0-cycles pmnt   Completed - Collect 0</v>
          </cell>
          <cell r="O33" t="str">
            <v>P n W Spray Daisy ( 14 Inch ) 5     FF Sachet + Grass</v>
          </cell>
          <cell r="P33" t="str">
            <v>P n W Spray Daisy ( 14 Inch ) 5     FF Sachet + Grass</v>
          </cell>
          <cell r="Q33" t="str">
            <v>Sunflower ( 12 Inch ) 4     FF Sachet + Grass</v>
          </cell>
          <cell r="R33" t="str">
            <v>Pur n P Car ( 14 Inch ) 16     FF Sachet + Grass</v>
          </cell>
          <cell r="S33" t="str">
            <v>O Asiatic ( 14 Inch ) 3     Grass</v>
          </cell>
          <cell r="T33" t="str">
            <v>Mix Glad ( 14 inch ) 16     Grass</v>
          </cell>
        </row>
        <row r="34">
          <cell r="A34">
            <v>2368</v>
          </cell>
          <cell r="B34" t="str">
            <v>Jasbir Singh</v>
          </cell>
          <cell r="C34">
            <v>9997092561</v>
          </cell>
          <cell r="D34" t="str">
            <v>Amber, 4th Floor, Universal Trade Centre</v>
          </cell>
          <cell r="E34" t="str">
            <v>Sohna Road 1</v>
          </cell>
          <cell r="F34" t="str">
            <v>Sunday</v>
          </cell>
          <cell r="G34" t="str">
            <v>By 7 PM</v>
          </cell>
          <cell r="H34">
            <v>12800</v>
          </cell>
          <cell r="I34">
            <v>3200</v>
          </cell>
          <cell r="J34" t="str">
            <v>Corporate</v>
          </cell>
          <cell r="N34" t="str">
            <v>3  del of this cycle   -  0-cycles pmnt   In Process - Collect 0</v>
          </cell>
          <cell r="O34" t="str">
            <v xml:space="preserve">Arrangement 1     </v>
          </cell>
          <cell r="P34" t="str">
            <v xml:space="preserve">Arrangement 1     </v>
          </cell>
          <cell r="Q34" t="str">
            <v xml:space="preserve">Arrangement 1     </v>
          </cell>
          <cell r="R34" t="str">
            <v xml:space="preserve">Arrangement 1     </v>
          </cell>
          <cell r="S34" t="str">
            <v xml:space="preserve">Arrangement 1     </v>
          </cell>
          <cell r="T34" t="str">
            <v xml:space="preserve">Arrangement 1     </v>
          </cell>
        </row>
        <row r="35">
          <cell r="A35">
            <v>3018</v>
          </cell>
          <cell r="B35" t="str">
            <v>Gurrit Kaur sethi</v>
          </cell>
          <cell r="C35">
            <v>9810918222</v>
          </cell>
          <cell r="D35" t="str">
            <v>T-2/201, Unitech Escape</v>
          </cell>
          <cell r="E35" t="str">
            <v>Nirvana Country</v>
          </cell>
          <cell r="F35" t="str">
            <v>Sunday</v>
          </cell>
          <cell r="G35" t="str">
            <v>9 AM - 12 PM</v>
          </cell>
          <cell r="H35">
            <v>1450</v>
          </cell>
          <cell r="I35">
            <v>362.5</v>
          </cell>
          <cell r="J35" t="str">
            <v>Bliss</v>
          </cell>
          <cell r="N35" t="str">
            <v>4  del of this cycle   -  0-cycles pmnt   Completed - Collect 0</v>
          </cell>
          <cell r="O35" t="str">
            <v>Sunflower ( 12 Inch ) 2     FF Sachet + Grass</v>
          </cell>
          <cell r="P35" t="str">
            <v>B Daisy ( 12 Inch ) 9     Grass</v>
          </cell>
          <cell r="Q35" t="str">
            <v>Pur n P Car ( 14 Inch 16     FF Sachet + Grass</v>
          </cell>
          <cell r="R35" t="str">
            <v>O Asiatic ( 14 Inch ) 3     Grass</v>
          </cell>
          <cell r="S35" t="str">
            <v>Rajni ( 14 Inch ) 16     Grass</v>
          </cell>
          <cell r="T35" t="str">
            <v>P n Y Spray Daisy ( 14 Inch ) 5     FF Sachet + Grass</v>
          </cell>
        </row>
        <row r="36">
          <cell r="A36">
            <v>3277</v>
          </cell>
          <cell r="B36" t="str">
            <v>M2K</v>
          </cell>
          <cell r="C36">
            <v>8595180468</v>
          </cell>
          <cell r="D36" t="str">
            <v>M2k</v>
          </cell>
          <cell r="E36" t="str">
            <v>Nirvana Country</v>
          </cell>
          <cell r="F36" t="str">
            <v>Tuesday</v>
          </cell>
          <cell r="G36" t="str">
            <v>By 8 AM</v>
          </cell>
          <cell r="H36">
            <v>10500</v>
          </cell>
          <cell r="I36">
            <v>350</v>
          </cell>
          <cell r="J36" t="str">
            <v>Corporate</v>
          </cell>
          <cell r="N36" t="str">
            <v>1  del of this cycle   -  0-cycles pmnt   In Process - Collect 0</v>
          </cell>
          <cell r="O36" t="str">
            <v xml:space="preserve">Pooja Flowers  1     </v>
          </cell>
          <cell r="P36" t="str">
            <v xml:space="preserve">Pooja Flowers  1     </v>
          </cell>
          <cell r="Q36" t="str">
            <v xml:space="preserve">Pooja Flowers  1     </v>
          </cell>
          <cell r="R36" t="str">
            <v xml:space="preserve">Pooja Flowers       </v>
          </cell>
          <cell r="S36" t="str">
            <v xml:space="preserve">Pooja Flowes       </v>
          </cell>
          <cell r="T36" t="str">
            <v xml:space="preserve">Pooja Flowers       </v>
          </cell>
        </row>
        <row r="37">
          <cell r="A37">
            <v>2112</v>
          </cell>
          <cell r="B37" t="str">
            <v>Tarushi</v>
          </cell>
          <cell r="C37">
            <v>9999761657</v>
          </cell>
          <cell r="D37" t="str">
            <v>T-3/202, Emaar The Palm Terrace, Sec 66</v>
          </cell>
          <cell r="E37" t="str">
            <v>Badshahpur</v>
          </cell>
          <cell r="F37" t="str">
            <v>Sunday</v>
          </cell>
          <cell r="G37" t="str">
            <v>9 AM - 12 PM</v>
          </cell>
          <cell r="H37">
            <v>1450</v>
          </cell>
          <cell r="I37">
            <v>362.5</v>
          </cell>
          <cell r="J37" t="str">
            <v>Bliss</v>
          </cell>
          <cell r="K37" t="str">
            <v>Asiatic next (05/06) Send 150 in next del (07/06) 150 Returned (11/06) Rose Next (09/07) Skip 1 week (24/08) Pls hold today and send tomorrow (17/08) Aster in Subscription (19/10) Skip 1 week (07/11) Skip 1 week (26/12) Next Del on Friday evening slot (30/03) Hold n start from 18th May (28/04) Hold today n next also (23/06) Hold n start from Sep (27/07) Always long stem (27/04) Send 1 Oriental and 3 Car once a cycle (29/04) Skip 1 week (21/06) Skip 1 week (16/08) Today returned (19/10) Skip 1 week (01/11) New Address updated (23/11) Hold due to non payment (11/01) Hold due to non payment (18/01) Hold due to non payment (25/01) Hold due to non payment (01/02) Hold due to non payment (08/02) HDTNP(15/02) HDTNP (19/04) Paytm From Tarushi Rastogi (28/04) HFDTNP (05/07)</v>
          </cell>
          <cell r="M37" t="str">
            <v>Mixed Flowers n Long Stem  // 1 Oriental and 2 Car Next (14/05)</v>
          </cell>
          <cell r="N37" t="str">
            <v>1  del of this cycle   -  1-cycles pmnt   Pending - Collect 1450</v>
          </cell>
          <cell r="O37" t="str">
            <v>P Eustoma ( 12 Inch ) 2 P n W Glad ( 14 Inch ) 7   FF Sachet + Grass</v>
          </cell>
          <cell r="P37" t="str">
            <v>P Asiatic ( 14 Inch ) 2 B Daisy ( 12 Inch ) 7   Grass</v>
          </cell>
          <cell r="Q37" t="str">
            <v>Sunflower ( 12 Inch ) 2 Pur n P Car ( 14 Inch ) 7   FF Sachet + Grass</v>
          </cell>
          <cell r="R37" t="e">
            <v>#N/A</v>
          </cell>
          <cell r="S37" t="str">
            <v>P Spray Daisy ( 14 Inch ) 3 Mix Alstroemeria ( 12 Inch ) 7   FF Sachet + Grass</v>
          </cell>
          <cell r="T37" t="str">
            <v>W Asiatic ( 14 Inch ) 2 Mix Glad ( 14 Inch ) 7   Grass</v>
          </cell>
        </row>
        <row r="38">
          <cell r="A38">
            <v>2997</v>
          </cell>
          <cell r="B38" t="str">
            <v>Anjana Johar</v>
          </cell>
          <cell r="C38">
            <v>9650897576</v>
          </cell>
          <cell r="D38" t="str">
            <v>T-8/201, Fresco</v>
          </cell>
          <cell r="E38" t="str">
            <v>Nirvana Country</v>
          </cell>
          <cell r="F38" t="str">
            <v>Sunday</v>
          </cell>
          <cell r="G38" t="str">
            <v>4 Pm to 7 PM</v>
          </cell>
          <cell r="H38">
            <v>1450</v>
          </cell>
          <cell r="I38">
            <v>362.5</v>
          </cell>
          <cell r="J38" t="str">
            <v>Bliss</v>
          </cell>
          <cell r="K38" t="str">
            <v>Skip 2 week (03/11) Skip 1 week (14/11) Hold today n send tom (30/11) Hold n start after 9th Jan (08/12) Send Replacement tom (23/03) Send 1 vase also (23/03) No White Flowers (01/05) No Spray Daisy (05/05) Skip 1 week (08/05) Skip 2 week and start from 25th (13/06) Skip 1 week (10/07)</v>
          </cell>
          <cell r="L38" t="str">
            <v>Spray Daisy</v>
          </cell>
          <cell r="M38" t="str">
            <v>No White Flowers</v>
          </cell>
          <cell r="N38" t="str">
            <v>4  del of this cycle   -  0-cycles pmnt   Completed - Collect 0</v>
          </cell>
          <cell r="O38" t="e">
            <v>#N/A</v>
          </cell>
          <cell r="P38" t="e">
            <v>#N/A</v>
          </cell>
          <cell r="Q38" t="str">
            <v>Sunflower ( 12 Inch ) 4     FF Sachet + Grass</v>
          </cell>
          <cell r="R38" t="str">
            <v>P Asiatic ( 14 Inch ) 3     Grass</v>
          </cell>
          <cell r="S38" t="e">
            <v>#N/A</v>
          </cell>
          <cell r="T38" t="str">
            <v>Pur n P Car ( 14 Inch ) 16     FF Sachet + Grass</v>
          </cell>
        </row>
        <row r="39">
          <cell r="A39" t="str">
            <v>B56491</v>
          </cell>
          <cell r="B39" t="str">
            <v>Pooja Mallik -- BPTP -- Centra 1</v>
          </cell>
          <cell r="C39">
            <v>7404620597</v>
          </cell>
          <cell r="D39" t="str">
            <v>BPTP, Sec 61</v>
          </cell>
          <cell r="E39" t="str">
            <v>Ghata</v>
          </cell>
          <cell r="F39" t="str">
            <v>Sunday</v>
          </cell>
          <cell r="G39" t="str">
            <v>By 1 PM</v>
          </cell>
          <cell r="H39">
            <v>1000</v>
          </cell>
          <cell r="I39">
            <v>1000</v>
          </cell>
          <cell r="J39" t="str">
            <v>Bouquet</v>
          </cell>
          <cell r="N39" t="str">
            <v>1  del of this cycle   -  0-cycles pmnt   In Process - Collect 0</v>
          </cell>
          <cell r="T39" t="str">
            <v xml:space="preserve">Semi Bloom Y  Asiatic + P n W n G Car 3 + 10 Walkin Tissue Wrap    </v>
          </cell>
        </row>
        <row r="40">
          <cell r="A40">
            <v>3252</v>
          </cell>
          <cell r="B40" t="str">
            <v>Madhumita Dhupar</v>
          </cell>
          <cell r="C40">
            <v>9999887549</v>
          </cell>
          <cell r="D40" t="str">
            <v>333, Deerwood Chase</v>
          </cell>
          <cell r="E40" t="str">
            <v>Nirvana Country</v>
          </cell>
          <cell r="F40" t="str">
            <v>Sunday</v>
          </cell>
          <cell r="G40" t="str">
            <v>9 AM to 2 PM</v>
          </cell>
          <cell r="H40">
            <v>1450</v>
          </cell>
          <cell r="I40">
            <v>362.5</v>
          </cell>
          <cell r="J40" t="str">
            <v>Bliss</v>
          </cell>
          <cell r="K40" t="str">
            <v>White Flowers in Each Delivery (10/01)</v>
          </cell>
          <cell r="N40" t="str">
            <v>4  del of this cycle   -  0-cycles pmnt   Completed - Collect 0</v>
          </cell>
          <cell r="O40" t="str">
            <v>Mix Alstroemeria ( 12 Inch ) 16     FF Sachet + Grass</v>
          </cell>
          <cell r="P40" t="str">
            <v>P Eustoma ( 12 Inch ) 3     FF Sachet + Grass</v>
          </cell>
          <cell r="Q40" t="str">
            <v>Pur n P Car ( 14 Inch 16     FF Sachet + Grass</v>
          </cell>
          <cell r="R40" t="str">
            <v>Rajni ( 14 Inch ) 16     Grass</v>
          </cell>
          <cell r="S40" t="str">
            <v>Sunflower ( 12 Inch ) 4     FF Sachet + Grass</v>
          </cell>
          <cell r="T40" t="str">
            <v>Mix Glad ( 14 inch ) 16     Grass</v>
          </cell>
        </row>
        <row r="41">
          <cell r="A41">
            <v>3238</v>
          </cell>
          <cell r="B41" t="str">
            <v>Alka Verma</v>
          </cell>
          <cell r="C41">
            <v>9910437766</v>
          </cell>
          <cell r="D41" t="str">
            <v>T-10/101, Emaar palm Terraces Select</v>
          </cell>
          <cell r="E41" t="str">
            <v>Badshahpur</v>
          </cell>
          <cell r="F41" t="str">
            <v>Sunday</v>
          </cell>
          <cell r="G41" t="str">
            <v>9 AM - 12 PM</v>
          </cell>
          <cell r="H41">
            <v>1450</v>
          </cell>
          <cell r="I41">
            <v>362.5</v>
          </cell>
          <cell r="J41" t="str">
            <v>Bliss</v>
          </cell>
          <cell r="K41" t="str">
            <v>Skip 1 week (28/03) Send Replacement tom (12/04) Skip 1 week (27/04) Skip 1 week after 14th June (06/06) Skip 1 week (16/06)</v>
          </cell>
          <cell r="N41" t="str">
            <v>2  del of this cycle   -  0-cycles pmnt   Completed - Collect 0</v>
          </cell>
          <cell r="O41" t="str">
            <v>P n Y Spray Daisy ( 14 Inch ) 5     FF Sachet + Grass</v>
          </cell>
          <cell r="P41" t="e">
            <v>#N/A</v>
          </cell>
          <cell r="Q41" t="str">
            <v>Sunflower ( 12 Inch ) 4     FF Sachet + Grass</v>
          </cell>
          <cell r="R41" t="str">
            <v>P Asiatic ( 14 Inch ) 3     Grass</v>
          </cell>
          <cell r="S41" t="str">
            <v>G n W Car ( 14 Inch ) 16     FF Sachet + Grass</v>
          </cell>
          <cell r="T41" t="str">
            <v>Glad 16     FF Sachet + Grass</v>
          </cell>
        </row>
        <row r="42">
          <cell r="A42">
            <v>3284</v>
          </cell>
          <cell r="B42" t="str">
            <v>Megha Sharma</v>
          </cell>
          <cell r="C42" t="str">
            <v>9643166797 // 7351797203</v>
          </cell>
          <cell r="D42" t="str">
            <v>338, Espace, 2nd Floor</v>
          </cell>
          <cell r="E42" t="str">
            <v>Nirvana Country</v>
          </cell>
          <cell r="F42" t="str">
            <v>Sunday</v>
          </cell>
          <cell r="G42" t="str">
            <v>4 PM to 7 PM</v>
          </cell>
          <cell r="H42">
            <v>1950</v>
          </cell>
          <cell r="I42">
            <v>487.5</v>
          </cell>
          <cell r="J42" t="str">
            <v>Joy</v>
          </cell>
          <cell r="K42" t="str">
            <v>Paytm From Megha Sharma</v>
          </cell>
          <cell r="N42" t="str">
            <v>4  del of this cycle   -  0-cycles pmnt   Completed - Collect 0</v>
          </cell>
          <cell r="O42" t="str">
            <v>P n Y Spray Daisy ( 14 Inch ) 7     FF Sachet + Grass</v>
          </cell>
          <cell r="P42" t="str">
            <v>B Daisy ( 12 Inch ) 22     Grass</v>
          </cell>
          <cell r="Q42" t="str">
            <v>Pur n P Car ( 14 Inch 22     FF Sachet + Grass</v>
          </cell>
          <cell r="R42" t="str">
            <v>Rajni ( 14 Inch ) 22     Grass</v>
          </cell>
          <cell r="S42" t="str">
            <v>P Asiatic ( 14 Inch ) 4     Grass</v>
          </cell>
          <cell r="T42" t="str">
            <v>Mix Spray Daisy 7     FF Sachet + Grass</v>
          </cell>
        </row>
        <row r="43">
          <cell r="A43">
            <v>1455</v>
          </cell>
          <cell r="B43" t="str">
            <v>Gagan Ahluwalia</v>
          </cell>
          <cell r="C43">
            <v>9811105056</v>
          </cell>
          <cell r="D43" t="str">
            <v>C-82, The Summit</v>
          </cell>
          <cell r="E43" t="str">
            <v>Golf Course Road</v>
          </cell>
          <cell r="F43" t="str">
            <v>Thursday</v>
          </cell>
          <cell r="G43" t="str">
            <v>9 AM - 12 PM</v>
          </cell>
          <cell r="H43">
            <v>2300</v>
          </cell>
          <cell r="I43">
            <v>287.5</v>
          </cell>
          <cell r="J43" t="str">
            <v>Felicity</v>
          </cell>
          <cell r="K43" t="str">
            <v>Thursday n Sunday //Gift From Ragini Ahluwalia// Flowers-- Guldawari/Orchids/Car and Asiatic(27/07) Hold n start from 2nd week of July(02/06) NO ORCHIDS (23/12) Hold till june end (07/06) Today returned (20/06) Replacement today (07/07) Hold today and start after 12th Oct (03/10) No Flowers tull 17th Nov (11/11) Hold from 15th may to 17th June (14/05) Skip 1 wek (24/06) Hold today due to non payment (02/10) Hold due to non payment (05/10) Hold due to non payment (09/10) Start from today (12/10) Skip 1 week (29/11) Hold due to non payment (11/01) Hold due to non payment (01/.02) HDTNP (15/02) HDTNP (22/02) HDTNP (26/02) HDTNP (04/03) HDTNP (08/03) HDTNP (12/03) HDTNP (14/03) No after 1st June (14/05) Hold n start after 1st June (14/05) Hold till 1st June (15/05)</v>
          </cell>
          <cell r="N43" t="str">
            <v>4  del of this cycle   -  0 -cycles pmnt   Completed - Collect 0</v>
          </cell>
          <cell r="O43" t="str">
            <v>O Asiatic ( 14 Inch ) 2     Grass</v>
          </cell>
          <cell r="P43" t="str">
            <v>B Daisy ( 12 Inch ) 11     Grass</v>
          </cell>
          <cell r="Q43" t="str">
            <v>P n W Glad ( 14 Inch ) 11     Grass</v>
          </cell>
          <cell r="R43" t="str">
            <v>Rajni ( 14 Inch ) 11     Grass</v>
          </cell>
          <cell r="S43" t="str">
            <v>G n W Car ( 14 Inch ) 11     FF Sachet + Grass</v>
          </cell>
          <cell r="T43" t="str">
            <v>Mix Glad ( 14 inch ) 11     Grass</v>
          </cell>
        </row>
        <row r="44">
          <cell r="A44">
            <v>3010</v>
          </cell>
          <cell r="B44" t="str">
            <v>Kriti Suman</v>
          </cell>
          <cell r="C44">
            <v>9771430070</v>
          </cell>
          <cell r="D44" t="str">
            <v>Studio -105, Palm Drive</v>
          </cell>
          <cell r="E44" t="str">
            <v>Badshahpur</v>
          </cell>
          <cell r="F44" t="str">
            <v>Sunday</v>
          </cell>
          <cell r="G44" t="str">
            <v>9 AM - 12 PM</v>
          </cell>
          <cell r="H44">
            <v>1450</v>
          </cell>
          <cell r="I44">
            <v>362.5</v>
          </cell>
          <cell r="J44" t="str">
            <v>Bliss</v>
          </cell>
          <cell r="K44" t="str">
            <v>Skip 1 week (16/10) Skip 1 week (26/12) No Glad (09/03) Skip 2 week (20/06)</v>
          </cell>
          <cell r="L44" t="str">
            <v>Glad</v>
          </cell>
          <cell r="N44" t="str">
            <v>1  del of this cycle   -  1-cycles pmnt   Pending - Collect 1450</v>
          </cell>
          <cell r="O44" t="str">
            <v>Sunflower ( 12 Inch ) 2     FF Sachet + Grass</v>
          </cell>
          <cell r="P44" t="e">
            <v>#N/A</v>
          </cell>
          <cell r="Q44" t="e">
            <v>#N/A</v>
          </cell>
          <cell r="R44" t="str">
            <v>Rajni ( 14 Inch ) 9     Grass</v>
          </cell>
          <cell r="S44" t="str">
            <v xml:space="preserve">O Asiatic ( 14 Inch ) 2     </v>
          </cell>
          <cell r="T44" t="str">
            <v>G n W Car ( 14 Inch ) 16     FF Sachet + Grass</v>
          </cell>
        </row>
        <row r="45">
          <cell r="A45">
            <v>1570</v>
          </cell>
          <cell r="B45" t="str">
            <v>Nisha Syriac</v>
          </cell>
          <cell r="C45">
            <v>9711811545</v>
          </cell>
          <cell r="D45" t="str">
            <v>G202, DLF Park Place Heights, Golf Course Road</v>
          </cell>
          <cell r="E45" t="str">
            <v>Golf Course Road</v>
          </cell>
          <cell r="F45" t="str">
            <v>Sunday</v>
          </cell>
          <cell r="G45" t="str">
            <v>9:30 Am to 2 PM</v>
          </cell>
          <cell r="H45">
            <v>1450</v>
          </cell>
          <cell r="I45">
            <v>362.5</v>
          </cell>
          <cell r="J45" t="str">
            <v>Bliss</v>
          </cell>
          <cell r="K45" t="str">
            <v>Paytm from Jacob Kuriakose(04/01) For remaining 3 Deliveries-- Guldawari//spray daisy// Orchids or Lily(06/01) Hold n start from 7th Feb(30/01) This cycle-- Car//Orchid//Lily//Spray Daisy(06/02) Skip this week and send on Tuesday(20/02) Skip 1 wek (11/03) Less Flowers sent in 2 del -- pls send 1 More Del on 1st Apr (25/03) No Rse n Gerbera (20/11) Skip 1 week (10/01) Skip 1 week 911/03) Skip 1 week (26/04) Skip 1 week (16/05) Hold till 7th Sep (13/08) Skip 1 week (19/09) Skip 1 week (03/01) No Rajni and Orchid only (21/02) Skip 1 week (27/03) Last del missed (07/04) Change day to Thursday (11/04) Return n skip next week also (07/05) Now on sunday Morning (21/05) Skip 1 week (27/06)</v>
          </cell>
          <cell r="L45" t="str">
            <v>Rajni n Orchid</v>
          </cell>
          <cell r="M45" t="str">
            <v xml:space="preserve">Single Color Flowers </v>
          </cell>
          <cell r="N45" t="str">
            <v>4  del of this cycle   -  0-cycles pmnt   Completed - Collect 0</v>
          </cell>
          <cell r="O45" t="str">
            <v>P Spray Daisy ( 14 Inch ) 5     FF Sachet + Grass</v>
          </cell>
          <cell r="P45" t="str">
            <v>Pur n P Car ( 14 Inch ) 16     FF Sachet + Grass</v>
          </cell>
          <cell r="Q45" t="str">
            <v>Y Asiatic ( 14 Inch ) 3     Grass</v>
          </cell>
          <cell r="R45" t="str">
            <v>P n W Glad ( 14 Inch ) 16     Grass</v>
          </cell>
          <cell r="S45" t="str">
            <v>Sunflower ( 12 Inch ) 4     FF Sachet + Grass</v>
          </cell>
          <cell r="T45" t="str">
            <v>Mix Alstroemeria ( 12 Inch ) 16     FF Sachet + Grass</v>
          </cell>
        </row>
        <row r="46">
          <cell r="A46">
            <v>1470</v>
          </cell>
          <cell r="B46" t="str">
            <v>Ankit Goyal</v>
          </cell>
          <cell r="C46">
            <v>9582406060</v>
          </cell>
          <cell r="D46" t="str">
            <v>A-402, La Lagune</v>
          </cell>
          <cell r="E46" t="str">
            <v>Golf Course Road</v>
          </cell>
          <cell r="F46" t="str">
            <v>Sunday</v>
          </cell>
          <cell r="G46" t="str">
            <v>9 AM - 12 PM</v>
          </cell>
          <cell r="H46">
            <v>2750</v>
          </cell>
          <cell r="I46">
            <v>687.5</v>
          </cell>
          <cell r="J46" t="str">
            <v>Elation</v>
          </cell>
          <cell r="K46" t="str">
            <v>Sunday to Thurs//Monday and Thursday// Car 1st(07/08) Referred by Divya Grg// always diff flowers(07/08) Skip 1 week(16/08) Sunday Missed-sent today(13/09) No Rose til it survives(26/09) Received 850 in advance today(16/11) Flowers returned-skip 1 weeK30/11) Skip 1 week(18/12) REturned-send next week(10/03) Skuip 1 week (25/10) Today Returned and hold for next 8 days (03/11) Skip 1 week (25/01) Skip 1 week (06/03) Return today Skip 1 week (20/04) Today Returned (08/06) Skip 1 week (05/07) Hold due to non payment (19/07) hOLD AS PAYMENT NOT RECEIVED(13/10) Skip this sunday (20/7) Skip 1 week (17/08) Skip tom (23/11) Skip 1 week (16/12) Skip tom (08/03) Skip 1 week(11/04) Skip 2 week (18/06) Today Returned (19/10) Skip 1 week (0111) Skip 1 week (07/11) Send one del tom (09/11) Skip tom (20/12)</v>
          </cell>
          <cell r="N46" t="str">
            <v>2  del of this cycle   -  0-cycles pmnt   Completed - Collect 0</v>
          </cell>
          <cell r="O46" t="e">
            <v>#N/A</v>
          </cell>
          <cell r="P46" t="str">
            <v>O Asiatic ( 14 Inch )' 6     2 Gypsola</v>
          </cell>
          <cell r="Q46" t="str">
            <v>P n W Glad ( 14 Inch ) 32     2 Limonium</v>
          </cell>
          <cell r="R46" t="str">
            <v>P n Y Spray Daisy ( 14 Inch ) 10     2 Gypsola</v>
          </cell>
          <cell r="S46" t="str">
            <v>Rajni ( 14 Inch ) 32     2 Limonium</v>
          </cell>
          <cell r="T46" t="str">
            <v>G n W Car ( 14 Inch ) 32     2 Gypsola + FF sachet + Grass</v>
          </cell>
        </row>
        <row r="47">
          <cell r="A47">
            <v>2458</v>
          </cell>
          <cell r="B47" t="str">
            <v>Kiran Yadav -- 1450 Pack</v>
          </cell>
          <cell r="C47">
            <v>9811801284</v>
          </cell>
          <cell r="D47" t="str">
            <v>E-1402, Palm Drive</v>
          </cell>
          <cell r="E47" t="str">
            <v>Badshahpur</v>
          </cell>
          <cell r="F47" t="str">
            <v>Sunday</v>
          </cell>
          <cell r="G47" t="str">
            <v>10 AM to 2:30 PM</v>
          </cell>
          <cell r="H47">
            <v>1450</v>
          </cell>
          <cell r="I47">
            <v>362.5</v>
          </cell>
          <cell r="J47" t="str">
            <v>Bliss</v>
          </cell>
          <cell r="K47" t="str">
            <v>Recvd 2000 Today (21/04) Pls send Rose/Gerbera and Rise laos (04/06) Skip 1 week (28/06) Skip next week after(27/09) Send Replacement tom (21/04)</v>
          </cell>
          <cell r="N47" t="str">
            <v>2  del of this cycle   -  0-cycles pmnt   CompletedNO COLLECTION-we have extra money - Collect -23</v>
          </cell>
          <cell r="O47" t="str">
            <v>Sunflower ( 12 Inch ) 2     FF Sachet + Grass</v>
          </cell>
          <cell r="P47" t="str">
            <v>B Daisy ( 12 Inch ) 9     Grass</v>
          </cell>
          <cell r="Q47" t="str">
            <v>P Asiatic ( 14 Inch ) 2     Grass</v>
          </cell>
          <cell r="R47" t="str">
            <v>Pur n P Car ( 14 Inch ) 9     FF Sachet + Grass</v>
          </cell>
          <cell r="S47" t="str">
            <v>P n W Glad ( 14 Inch ) 16     Grass</v>
          </cell>
          <cell r="T47" t="str">
            <v>P n Y Spray Daisy ( 14 Inch ) 5     FF Sachet + Grass</v>
          </cell>
        </row>
        <row r="48">
          <cell r="A48">
            <v>3386</v>
          </cell>
          <cell r="B48" t="str">
            <v>Devina Duggal</v>
          </cell>
          <cell r="C48">
            <v>9992399954</v>
          </cell>
          <cell r="D48" t="str">
            <v>Sadev, C-149, Suncity, Ground Floor</v>
          </cell>
          <cell r="E48" t="str">
            <v>Golf Course Road</v>
          </cell>
          <cell r="F48" t="str">
            <v>Sunday</v>
          </cell>
          <cell r="G48" t="str">
            <v>9:30 Am to 2 PM</v>
          </cell>
          <cell r="H48">
            <v>2750</v>
          </cell>
          <cell r="I48">
            <v>687.5</v>
          </cell>
          <cell r="J48" t="str">
            <v>Elation</v>
          </cell>
          <cell r="K48" t="str">
            <v>No Exotic Greens -- send Only Extra Local Greens</v>
          </cell>
          <cell r="M48" t="str">
            <v>No Exotic Greens -- send Only Extra Local Greens</v>
          </cell>
          <cell r="N48" t="str">
            <v>1  del of this cycle   -  1-cycles pmnt   Pending - Collect 2750</v>
          </cell>
          <cell r="O48" t="e">
            <v>#N/A</v>
          </cell>
          <cell r="P48" t="str">
            <v>Pur n P Car ( 14 Inch ) 32     2 Gypsola + FF Sachet</v>
          </cell>
          <cell r="Q48" t="str">
            <v>P Asiatic ( 14 Inch ) 3 P n W Glad ( 14 Inch ) 16   Extra Grass -- No Limonium or Gypsola</v>
          </cell>
          <cell r="R48" t="str">
            <v>Rajni ( 14 Inch ) 32     2 Limonium + Grass</v>
          </cell>
          <cell r="S48" t="str">
            <v>Mix Alstroemeria ( 12 Inch ) 32     2 Limonium + FF Sachet</v>
          </cell>
          <cell r="T48" t="str">
            <v>P n Y Spray Daisy ( 14 Inch ) 10 Pls Check with Customer for renewal and then handover    2 Gypsola + FF sachet + Grass</v>
          </cell>
        </row>
        <row r="49">
          <cell r="A49">
            <v>2580</v>
          </cell>
          <cell r="B49" t="str">
            <v>Davinder Singh</v>
          </cell>
          <cell r="C49">
            <v>9999653332</v>
          </cell>
          <cell r="D49" t="str">
            <v>T-12/002, Close North</v>
          </cell>
          <cell r="E49" t="str">
            <v>Nirvana Country</v>
          </cell>
          <cell r="F49" t="str">
            <v>Sunday</v>
          </cell>
          <cell r="G49" t="str">
            <v>9 AM - 12 PM</v>
          </cell>
          <cell r="H49">
            <v>1450</v>
          </cell>
          <cell r="I49">
            <v>362.5</v>
          </cell>
          <cell r="J49" t="str">
            <v>Bliss</v>
          </cell>
          <cell r="K49" t="str">
            <v xml:space="preserve"> Hold due to non payment (12/10) Hold due to non payment (20/12) Hold due to non payment (18/01) Hold due to non payment (25/01) Hold due to non payment (01/02) Hold due to non payment (08/02) HDTNP (15/02) HDTNP (22/02) Skip 1 week (18/04)</v>
          </cell>
          <cell r="N49" t="str">
            <v>1  del of this cycle   -  1-cycles pmnt   Pending - Collect 1450</v>
          </cell>
          <cell r="O49" t="str">
            <v>Sunflower ( 12 Inch ) 2 Pur n P Car ( 14 Inch ) 7   FF Sachet + Grass</v>
          </cell>
          <cell r="P49" t="str">
            <v>P Asiatic ( 14 Inch ) 2 B Daisy ( 12 Inch ) 7   Grass</v>
          </cell>
          <cell r="Q49" t="str">
            <v>Pur Eustoma ( 12 inch ) 2 P n W Glad ( 14 Inch ) 7   FF Sachet + Grass</v>
          </cell>
          <cell r="R49" t="str">
            <v>Sunflower ( 12 Inch ) 2 B Daisy ( 12 Inch ) 7   FF Sachet + Grass</v>
          </cell>
          <cell r="S49" t="str">
            <v>O Asiatic ( 14 Inch ) 2 Mix Alstroemeria ( 12 Inch ) 7   Grass</v>
          </cell>
          <cell r="T49" t="str">
            <v>Y Spray Daisy ( 14 Inch ) 3 G n W Car ( 14 Inch ) 7   FF Sachet + Grass</v>
          </cell>
        </row>
        <row r="50">
          <cell r="A50">
            <v>257</v>
          </cell>
          <cell r="B50" t="str">
            <v>Mrs Munjal -- After 5 PM</v>
          </cell>
          <cell r="C50">
            <v>9818871139</v>
          </cell>
          <cell r="D50" t="str">
            <v>B- 22 Sushant Lok 2, sector 56 (Behind sector 56 police station)</v>
          </cell>
          <cell r="E50" t="str">
            <v>Sector 56</v>
          </cell>
          <cell r="F50" t="str">
            <v>Sunday</v>
          </cell>
          <cell r="G50" t="str">
            <v>9 AM - 12 PM</v>
          </cell>
          <cell r="H50">
            <v>1450</v>
          </cell>
          <cell r="I50">
            <v>362.5</v>
          </cell>
          <cell r="J50" t="str">
            <v>Bliss</v>
          </cell>
          <cell r="K50" t="str">
            <v>send replcmnt tomorrow(18/08)Send Glad in next del(30/08)Skip next del(20/09)1 week extended due to Diwali(08/11)Next daisy(22/11) Skip 1 week(27/03) Skip 1 week(12/11) 2 Stick extra next week(20/02)  Sending thursday del on friday(28/05/2020) Skip 1 week (01/07/2020) Skip 1 week(22/07/20) Skip 1 Week(05/08/20) send 2 stick extra in next del(18/09/20) Skip 1 week(10/03) Skip 1 week(28/04) Skip 1 week(10/11) Paytm From 9958736444(03/07) Paytm From Sandeep Munjal // Skip 1 week (30/10) Hold today send on sunday (06/04) Change day to sunday (13/04) Skip 1 week (25/12) Skip 2 week (28/01) Skip 2 weeks (28/01) Skip 1 week (26/01) Skip 1 week (19/07) Skip 1 week (13/09) Skip tom (15/11) Hold today send tom (05/07)</v>
          </cell>
          <cell r="N50" t="str">
            <v>4  del of this cycle   -  0-cycles pmnt   Completed - Collect 0</v>
          </cell>
          <cell r="O50" t="str">
            <v>Pur n P Car ( 14 Inch ) 16     FF Sachet + Grass</v>
          </cell>
          <cell r="P50" t="str">
            <v>P Eustoma ( 12 Inch ) 3     FF Sachet + Grass</v>
          </cell>
          <cell r="Q50" t="str">
            <v>Y Asiatic ( 14 Inch ) 3     Grass</v>
          </cell>
          <cell r="R50" t="str">
            <v>Rajni ( 14 Inch ) 16     Grass</v>
          </cell>
          <cell r="S50" t="str">
            <v>Sunflower ( 12 Inch ) 4     FF Sachet + Grass</v>
          </cell>
          <cell r="T50" t="str">
            <v>Mix Alstroemeria ( 12 Inch ) 16     FF Sachet + Grass</v>
          </cell>
        </row>
        <row r="51">
          <cell r="A51">
            <v>3282</v>
          </cell>
          <cell r="B51" t="str">
            <v>Pluang Technologies India Pvt. Ltd.</v>
          </cell>
          <cell r="C51">
            <v>9650723437</v>
          </cell>
          <cell r="D51" t="str">
            <v>13th Floor, Magnum Global Park, Sec 58</v>
          </cell>
          <cell r="E51" t="str">
            <v>Ghata</v>
          </cell>
          <cell r="F51" t="str">
            <v>Sunday</v>
          </cell>
          <cell r="G51" t="str">
            <v>4 Pm to 7 PM</v>
          </cell>
          <cell r="H51">
            <v>1950</v>
          </cell>
          <cell r="I51">
            <v>487.5</v>
          </cell>
          <cell r="J51" t="str">
            <v>Joy</v>
          </cell>
          <cell r="K51" t="str">
            <v>Payment from Vibhuti --997176764 (10/03) Paytm From Sahiba Sachdeva (08/04)</v>
          </cell>
          <cell r="N51" t="str">
            <v>4  del of this cycle   -  0-cycles pmnt   Completed - Collect 0</v>
          </cell>
          <cell r="O51" t="str">
            <v>P Asiatic ( 14 Inch ) 2 Pur n P Car ( 14 Inch ) 11   Grass</v>
          </cell>
          <cell r="P51" t="str">
            <v>P n Y Spray Daisy ( 14 Inch ) 4 P n W Glad ( 14 Inch ) 11   FF Sachet + Grass</v>
          </cell>
          <cell r="Q51" t="str">
            <v>Sunflower ( 12 Inch ) 3 Rajni ( 14 Inch ) 11   FF Sachet + Grass</v>
          </cell>
          <cell r="R51" t="str">
            <v>O Asiatic ( 14 Inch ) 2 P n W Glad ( 14 Inch ) 11   Grass</v>
          </cell>
          <cell r="S51" t="str">
            <v>P n Y Spray Daisy ( 14 Inch ) 4 Mix Carnation 10   FF Sachet + Grass</v>
          </cell>
          <cell r="T51" t="str">
            <v>Pur Eustoma ( 12 Inch ) 2 Rajni 11   FF Sachet + Grass</v>
          </cell>
        </row>
        <row r="52">
          <cell r="A52">
            <v>2869</v>
          </cell>
          <cell r="B52" t="str">
            <v>Jaya Wanchoo</v>
          </cell>
          <cell r="C52">
            <v>8130245666</v>
          </cell>
          <cell r="D52" t="str">
            <v xml:space="preserve">T-8/603, The Close North
</v>
          </cell>
          <cell r="E52" t="str">
            <v>Nirvana Country</v>
          </cell>
          <cell r="F52" t="str">
            <v>Sunday</v>
          </cell>
          <cell r="G52" t="str">
            <v>10 AM to 2:30 PM</v>
          </cell>
          <cell r="H52">
            <v>2750</v>
          </cell>
          <cell r="I52">
            <v>687.5</v>
          </cell>
          <cell r="J52" t="str">
            <v>Elation</v>
          </cell>
          <cell r="N52" t="str">
            <v>2  del of this cycle   -  0-cycles pmnt   Completed - Collect 0</v>
          </cell>
          <cell r="O52" t="str">
            <v>O Asiatic ( 14 Inch ) 3 Pur n P Car ( 14 Inch ) 16   2 Limonium</v>
          </cell>
          <cell r="P52" t="str">
            <v>P n Y Spray Daisy ( 14 Inch ) 5 B Daisy ( 12 Inch ) 16   2 Gypsola + FF Sachet</v>
          </cell>
          <cell r="Q52" t="str">
            <v>Sunflower ( 12 Inch ) 4 P n W Glad ( 14 Inch ) 16   2 Limonium + FF sachet</v>
          </cell>
          <cell r="R52" t="str">
            <v>BOP 3 Rajni ( 14 Inch ) 16   2 Gypsola</v>
          </cell>
          <cell r="S52" t="str">
            <v>P Asiatic ( 14 Inch ) 3 G n W Car ( 14 Inch ) 16   2 Limonium</v>
          </cell>
          <cell r="T52" t="str">
            <v>P n Pur Eustoma ( 12 Inch ) 4 Glad 16   2 Gypsola + FF sachet + Grass</v>
          </cell>
        </row>
        <row r="53">
          <cell r="A53">
            <v>3274</v>
          </cell>
          <cell r="B53" t="str">
            <v>Meera Singh</v>
          </cell>
          <cell r="C53">
            <v>9810401220</v>
          </cell>
          <cell r="D53" t="str">
            <v>138, Tatvam Villas, Sec 48</v>
          </cell>
          <cell r="E53" t="str">
            <v>Sohna Road 2</v>
          </cell>
          <cell r="F53" t="str">
            <v>Sunday</v>
          </cell>
          <cell r="G53" t="str">
            <v>9 AM - 12 PM</v>
          </cell>
          <cell r="H53">
            <v>1950</v>
          </cell>
          <cell r="I53">
            <v>487.5</v>
          </cell>
          <cell r="J53" t="str">
            <v>Joy</v>
          </cell>
          <cell r="K53" t="str">
            <v>No Lilies and Sunflower (20/02) Skip 1 week (28/03) Paytm From Singh M (06/04) No Sunflower n Asiatic (02/05)</v>
          </cell>
          <cell r="L53" t="str">
            <v>Asiatic n Sunflowers</v>
          </cell>
          <cell r="M53" t="str">
            <v>Single Kind</v>
          </cell>
          <cell r="N53" t="str">
            <v>4  del of this cycle   -  0-cycles pmnt   Completed - Collect 0</v>
          </cell>
          <cell r="O53" t="str">
            <v>Pur n P Car ( 14 Inch ) 22     FF Sachet + Grass</v>
          </cell>
          <cell r="P53" t="str">
            <v>B Daisy ( 12 Inch ) 22     FF Sachet + Grass</v>
          </cell>
          <cell r="Q53" t="str">
            <v>Pur n P Eustoma ( 12 Inch ) 4     FF Sachet + Grass</v>
          </cell>
          <cell r="R53" t="str">
            <v>Rajni ( 14 Inch ) 22     Grass</v>
          </cell>
          <cell r="S53" t="str">
            <v>P n Y Spray Daisy ( 14 Inch ) 7     FF Sachet + Grass</v>
          </cell>
          <cell r="T53" t="str">
            <v>Mix Glad ( 14 inch ) 22     Grass</v>
          </cell>
        </row>
        <row r="54">
          <cell r="A54" t="str">
            <v>B56485</v>
          </cell>
          <cell r="B54" t="str">
            <v>Mohar Ray Dahiya Parents</v>
          </cell>
          <cell r="D54" t="str">
            <v>Primrose 7, Flat 13, Vatika City</v>
          </cell>
          <cell r="E54" t="str">
            <v>Sohna Road 1</v>
          </cell>
          <cell r="F54" t="str">
            <v>Sunday</v>
          </cell>
          <cell r="G54" t="str">
            <v>By 10 AM</v>
          </cell>
          <cell r="H54">
            <v>800</v>
          </cell>
          <cell r="I54">
            <v>800</v>
          </cell>
          <cell r="J54" t="str">
            <v>Bouquet</v>
          </cell>
          <cell r="K54" t="str">
            <v>From Mohar Ray Dahiya// 20 Mixed Car // Hapy Anniversary Maa &amp; Papa (18/07)</v>
          </cell>
          <cell r="N54" t="str">
            <v>1  del of this cycle   -  0-cycles pmnt   In Process - Collect 0</v>
          </cell>
          <cell r="O54" t="e">
            <v>#N/A</v>
          </cell>
          <cell r="P54" t="e">
            <v>#N/A</v>
          </cell>
          <cell r="Q54" t="e">
            <v>#N/A</v>
          </cell>
          <cell r="R54" t="e">
            <v>#N/A</v>
          </cell>
          <cell r="S54" t="e">
            <v>#N/A</v>
          </cell>
          <cell r="T54" t="str">
            <v xml:space="preserve">P n W N G Car  20 Walkin Tissue Wrap Message   </v>
          </cell>
        </row>
        <row r="55">
          <cell r="A55">
            <v>3179</v>
          </cell>
          <cell r="B55" t="str">
            <v>Bandhana</v>
          </cell>
          <cell r="C55">
            <v>98188998617</v>
          </cell>
          <cell r="D55" t="str">
            <v>T-5/902, Tata Primanti</v>
          </cell>
          <cell r="E55" t="str">
            <v>Badshahpur</v>
          </cell>
          <cell r="F55" t="str">
            <v>Sunday</v>
          </cell>
          <cell r="G55" t="str">
            <v>9 AM - 12 PM</v>
          </cell>
          <cell r="H55">
            <v>1950</v>
          </cell>
          <cell r="I55">
            <v>487.5</v>
          </cell>
          <cell r="J55" t="str">
            <v>Joy</v>
          </cell>
          <cell r="K55" t="str">
            <v>Single Kind // Replacement tom (08/03) No Spray Daisy and BOP (31/03)</v>
          </cell>
          <cell r="L55" t="str">
            <v>Spray Daisy n BOP</v>
          </cell>
          <cell r="M55" t="str">
            <v>Single Kind</v>
          </cell>
          <cell r="N55" t="str">
            <v>3  del of this cycle   -  0-cycles pmnt   Completed - Collect 0</v>
          </cell>
          <cell r="O55" t="str">
            <v>Mix Glad (14Inch) 22     FF Sachet + Grass</v>
          </cell>
          <cell r="P55" t="str">
            <v>Pur n P Car ( 14 Inch ) 22     FF Sachet + Grass</v>
          </cell>
          <cell r="Q55" t="str">
            <v>Pur n P Eustoma ( 12 Inch ) 4     FF Sachet + Grass</v>
          </cell>
          <cell r="R55" t="str">
            <v>Rajni ( 14 Inch ) 22     Grass</v>
          </cell>
          <cell r="S55" t="str">
            <v>P n Y Spray Daisy ( 14 Inch ) 7     FF Sachet + Grass</v>
          </cell>
          <cell r="T55" t="str">
            <v>O Asiatic ( 14 Inch ) 4     Grass</v>
          </cell>
        </row>
        <row r="56">
          <cell r="A56">
            <v>1899</v>
          </cell>
          <cell r="B56" t="str">
            <v>Hardik Shah</v>
          </cell>
          <cell r="C56">
            <v>9811227080</v>
          </cell>
          <cell r="D56" t="str">
            <v>T-5/1402, Vipul Green</v>
          </cell>
          <cell r="E56" t="str">
            <v>Sohna Road 2</v>
          </cell>
          <cell r="F56" t="str">
            <v>Friday</v>
          </cell>
          <cell r="G56" t="str">
            <v>9 AM - 12 PM</v>
          </cell>
          <cell r="H56">
            <v>4850</v>
          </cell>
          <cell r="I56">
            <v>606.25</v>
          </cell>
          <cell r="J56" t="str">
            <v>Poise</v>
          </cell>
          <cell r="K56" t="str">
            <v>Friday n Sunday (02/04) Shift to Poise after this cycle(22/05) No Poies(28/05) Skip 1 week(13/08) Today Returned(21/08) Today Returned again(26/08) Skip 2 week (18/06) Skip only next delivery (29/07) Hold today n skip 1 week (19/01) Skip 1 week (15/08) Hold for 4 weeks (27/01) Returned today (14/11) Today returned (01/05)</v>
          </cell>
          <cell r="N56" t="str">
            <v>7  del of this cycle   -  0-cycles pmnt   CompletedNO COLLECTION-we have extra money - Collect -50</v>
          </cell>
          <cell r="O56" t="e">
            <v>#N/A</v>
          </cell>
          <cell r="P56" t="e">
            <v>#N/A</v>
          </cell>
          <cell r="Q56" t="str">
            <v>Pur n P Car ( 14 Inch 26     FF Sachet + Grass</v>
          </cell>
          <cell r="R56" t="str">
            <v>B Daisy ( 12 Inch ) 26     Grass</v>
          </cell>
          <cell r="S56" t="str">
            <v>Y Asiatic ( 14 Inch ) 6     Grass</v>
          </cell>
          <cell r="T56" t="str">
            <v>G n W Car ( 14 Inch ) 26     FF Sachet + Grass</v>
          </cell>
        </row>
        <row r="57">
          <cell r="A57">
            <v>3214</v>
          </cell>
          <cell r="B57" t="str">
            <v>Sheeba Rana</v>
          </cell>
          <cell r="C57">
            <v>9958849523</v>
          </cell>
          <cell r="D57" t="str">
            <v>T-14/1202, The Close North</v>
          </cell>
          <cell r="E57" t="str">
            <v>Nirvana Country</v>
          </cell>
          <cell r="F57" t="str">
            <v>Sunday</v>
          </cell>
          <cell r="G57" t="str">
            <v>10 AM to 2:30 PM</v>
          </cell>
          <cell r="H57">
            <v>1450</v>
          </cell>
          <cell r="I57">
            <v>362.5</v>
          </cell>
          <cell r="J57" t="str">
            <v>Bliss</v>
          </cell>
          <cell r="K57" t="str">
            <v>Skip n send on 11th n then on preferred day</v>
          </cell>
          <cell r="N57" t="str">
            <v>4  del of this cycle   -  0-cycles pmnt   Completed - Collect 0</v>
          </cell>
          <cell r="O57" t="str">
            <v>Sunflower ( 12 Inch ) 2     FF Sachet + Grass</v>
          </cell>
          <cell r="P57" t="str">
            <v>B Daisy ( 12 Inch ) 9     Grass</v>
          </cell>
          <cell r="Q57" t="str">
            <v>P Asiatic ( 14 Inch ) 3     Grass</v>
          </cell>
          <cell r="R57" t="str">
            <v>Rajni ( 14 Inch ) 16     Grass</v>
          </cell>
          <cell r="S57" t="str">
            <v>Sunflower ( 12 Inch ) 4     FF Sachet + Grass</v>
          </cell>
          <cell r="T57" t="str">
            <v>G n W Car ( 14 Inch ) 16     FF Sachet + Grass</v>
          </cell>
        </row>
        <row r="58">
          <cell r="A58">
            <v>945</v>
          </cell>
          <cell r="B58" t="str">
            <v>Ms. Shuchi Chopra</v>
          </cell>
          <cell r="C58">
            <v>9910984447</v>
          </cell>
          <cell r="D58" t="str">
            <v>Flat No. 703, M3M Golf Estate, Latitude Building</v>
          </cell>
          <cell r="E58" t="str">
            <v>Badshahpur</v>
          </cell>
          <cell r="F58" t="str">
            <v>Sunday</v>
          </cell>
          <cell r="G58" t="str">
            <v>9 AM - 12 PM</v>
          </cell>
          <cell r="H58">
            <v>1950</v>
          </cell>
          <cell r="I58">
            <v>487.5</v>
          </cell>
          <cell r="J58" t="str">
            <v>Joy</v>
          </cell>
          <cell r="K58" t="str">
            <v>Sunday n Thursday//All Flower 1 by 1 (23/11) Next time 1 stick extra(24/11) Extend by 1 week(31/12) Hold today-send tom(19/01) Send on Monday till Lockdown and send some pooja frlowers (23/08/20) Sending on 16th Due to Diwali(13/11) Send onmonday instead of Sunday(26/03) Change Package to 1250(17/04) Send Mandir Flowers tom(14/12) Skip 1 week(08/09) Collect cash and no del from 1st to 15 th (29/10) Send Replacement (25/02) 5 Exotic and 5 Norma lflowers (28/04)</v>
          </cell>
          <cell r="N58" t="str">
            <v>2  del of this cycle   -  0-cycles pmnt   In Process - Collect 0</v>
          </cell>
          <cell r="O58" t="str">
            <v>O Asiatic ( 14 Inch ) 2 P n W Glad ( 14 Inch ) 11   Grass</v>
          </cell>
          <cell r="P58" t="str">
            <v>P Eustoma ( 12 Inch ) 2 Rajni ( 14 Inch ) 11   Grass</v>
          </cell>
          <cell r="Q58" t="str">
            <v>Sunflower ( 12 Inch ) 2 Pur n P Car ( 14 Inch ) 11   FF Sachet + Grass</v>
          </cell>
          <cell r="R58" t="str">
            <v>BOP 2 B Daisy ( 12 Inch ) 11   FF Sachet + Grass</v>
          </cell>
          <cell r="S58" t="str">
            <v>P Asiatic ( 14 Inch ) 2 Mix Alstroemeria ( 12 Inch ) 10   Grass</v>
          </cell>
          <cell r="T58" t="str">
            <v>P n Y Spray Daisy ( 14 Inch ) 4 Mix Glad ( 14 Inch ) 11   FF Sachet + Grass</v>
          </cell>
        </row>
        <row r="59">
          <cell r="A59">
            <v>3347</v>
          </cell>
          <cell r="B59" t="str">
            <v>Damini Dasgupta</v>
          </cell>
          <cell r="C59">
            <v>9874672103</v>
          </cell>
          <cell r="D59" t="str">
            <v>Flat No. 102, @nd Floor, Satguru Appartments, Sec 52, Wazirabad</v>
          </cell>
          <cell r="E59" t="str">
            <v>Sector 56</v>
          </cell>
          <cell r="F59" t="str">
            <v>Sunday</v>
          </cell>
          <cell r="G59" t="str">
            <v>9 AM - 12 PM</v>
          </cell>
          <cell r="H59">
            <v>1950</v>
          </cell>
          <cell r="I59">
            <v>487.5</v>
          </cell>
          <cell r="J59" t="str">
            <v>Joy</v>
          </cell>
          <cell r="K59" t="str">
            <v>Skip 1 week (09/05) Returned today (17/05) Returned today and skip 1 more week (07/06)</v>
          </cell>
          <cell r="N59" t="str">
            <v>4  del of this cycle   -  0-cycles pmnt   Completed - Collect 0</v>
          </cell>
          <cell r="O59" t="e">
            <v>#N/A</v>
          </cell>
          <cell r="P59" t="str">
            <v>B Daisy ( 12 Inch ) 22     FF Sachet + Grass</v>
          </cell>
          <cell r="Q59" t="str">
            <v>Sunflower ( 12 Inch ) 5     FF Sachet + Grass</v>
          </cell>
          <cell r="R59" t="str">
            <v>P Asiatic ( 14 Inch ) 4     Grass</v>
          </cell>
          <cell r="S59" t="str">
            <v>G n W Car ( 14 Inch ) 22     FF Sachet + Grass</v>
          </cell>
          <cell r="T59" t="str">
            <v>P n Y Spray Daisy ( 14 Inch ) 7     FF Sachet + Grass</v>
          </cell>
        </row>
        <row r="60">
          <cell r="A60" t="str">
            <v>B56489</v>
          </cell>
          <cell r="B60" t="str">
            <v>Swarnim</v>
          </cell>
          <cell r="C60">
            <v>9646030964</v>
          </cell>
          <cell r="D60" t="str">
            <v>T-5/808, Pyramid Urban Homes, Sec 70 A</v>
          </cell>
          <cell r="E60" t="str">
            <v>Badshahpur</v>
          </cell>
          <cell r="F60" t="str">
            <v>Sunday</v>
          </cell>
          <cell r="G60" t="str">
            <v>By 10 AM</v>
          </cell>
          <cell r="H60">
            <v>800</v>
          </cell>
          <cell r="I60">
            <v>800</v>
          </cell>
          <cell r="J60" t="str">
            <v>Bouquet</v>
          </cell>
          <cell r="K60" t="str">
            <v>From Divua Swarnim // 18 Rajni in Front Blue n White tissue wrap // Mere pyaare phool jaise pyaare bachchon ke liye pyaare phool.     Bahut sara pyaar,  Maa (18/07)</v>
          </cell>
          <cell r="N60" t="str">
            <v>1  del of this cycle   -  0-cycles pmnt   In Process - Collect 0</v>
          </cell>
          <cell r="O60" t="e">
            <v>#N/A</v>
          </cell>
          <cell r="P60" t="e">
            <v>#N/A</v>
          </cell>
          <cell r="Q60" t="e">
            <v>#N/A</v>
          </cell>
          <cell r="R60" t="e">
            <v>#N/A</v>
          </cell>
          <cell r="S60" t="e">
            <v>#N/A</v>
          </cell>
          <cell r="T60" t="str">
            <v xml:space="preserve">Rajni  18 Front W n B tissue Wrap Message   </v>
          </cell>
        </row>
        <row r="61">
          <cell r="A61">
            <v>2066</v>
          </cell>
          <cell r="B61" t="str">
            <v>Shilpi Tibrewal</v>
          </cell>
          <cell r="C61">
            <v>9999103067</v>
          </cell>
          <cell r="D61" t="str">
            <v>Tower-A/3803, Ireo Victory Valley, Sec 67</v>
          </cell>
          <cell r="E61" t="str">
            <v>Badshahpur</v>
          </cell>
          <cell r="F61" t="str">
            <v>Friday</v>
          </cell>
          <cell r="G61" t="str">
            <v>4 Pm to 7 PM</v>
          </cell>
          <cell r="H61">
            <v>1450</v>
          </cell>
          <cell r="I61">
            <v>362.5</v>
          </cell>
          <cell r="J61" t="str">
            <v>Replacment</v>
          </cell>
          <cell r="N61" t="str">
            <v>1  del of this cycle   -  0-cycles pmnt   In Process - Collect 0</v>
          </cell>
          <cell r="T61" t="str">
            <v>G n W Car ( 14 Inch ) 16     Grass</v>
          </cell>
        </row>
        <row r="62">
          <cell r="A62">
            <v>3243</v>
          </cell>
          <cell r="B62" t="str">
            <v>Muskan</v>
          </cell>
          <cell r="C62">
            <v>9877561166</v>
          </cell>
          <cell r="D62" t="str">
            <v>Floor - 6, Flat 601, Milan Appartment, CGHS</v>
          </cell>
          <cell r="E62" t="str">
            <v>Artemis</v>
          </cell>
          <cell r="F62" t="str">
            <v>Sunday</v>
          </cell>
          <cell r="G62" t="str">
            <v>10 AM to 2:30 PM</v>
          </cell>
          <cell r="H62">
            <v>1450</v>
          </cell>
          <cell r="I62">
            <v>362.5</v>
          </cell>
          <cell r="J62" t="str">
            <v>Bliss</v>
          </cell>
          <cell r="K62" t="str">
            <v>One Kind // Day Sunday (26/03) Mix in Joy (23/04) Change to bliss (21/06)</v>
          </cell>
          <cell r="M62" t="str">
            <v>Mix in Joy (23/04)</v>
          </cell>
          <cell r="N62" t="str">
            <v>1  del of this cycle   -  1-cycles pmnt   Pending - Collect 1450</v>
          </cell>
          <cell r="O62" t="str">
            <v>Pur n P Car ( 14 Inch ) 22     FF Sachet + Grass</v>
          </cell>
          <cell r="P62" t="str">
            <v>B Daisy ( 12 Inch ) 16     Grass</v>
          </cell>
          <cell r="Q62" t="str">
            <v>Sunflower ( 12 Inch ) 4     FF Sachet + Grass</v>
          </cell>
          <cell r="R62" t="str">
            <v>P Asiatic ( 14 Inch ) 3     Grass</v>
          </cell>
          <cell r="S62" t="str">
            <v>P n Y Spray Daisy ( 14 Inch ) 5     FF Sachet + Grass</v>
          </cell>
          <cell r="T62" t="str">
            <v>G n W Car ( 14 Inch ) 16     FF Sachet + Grass</v>
          </cell>
        </row>
        <row r="63">
          <cell r="A63">
            <v>3166</v>
          </cell>
          <cell r="B63" t="str">
            <v>Mona Gupta</v>
          </cell>
          <cell r="C63">
            <v>9999284587</v>
          </cell>
          <cell r="D63" t="str">
            <v>A-200, 2nd Floor, Today Blossomes-1, Sec 47</v>
          </cell>
          <cell r="E63" t="str">
            <v>Nirvana Country</v>
          </cell>
          <cell r="F63" t="str">
            <v>Sunday</v>
          </cell>
          <cell r="G63" t="str">
            <v>9 AM - 12 PM</v>
          </cell>
          <cell r="H63">
            <v>1450</v>
          </cell>
          <cell r="I63">
            <v>362.5</v>
          </cell>
          <cell r="J63" t="str">
            <v>Bliss</v>
          </cell>
          <cell r="K63" t="str">
            <v>Hold due to non payment (26/12) Payment from Monica Gupta (28/12) Hold due to non payment (18/01) Start from May (12/04) Four plus 1 Pack (12/04) Returned today and skip 1 week (03/05) Replacement tom (18/05) HDTNP (24/05) From Monica Gupta (24/05) HDTNP (27/05) No Carnations for next 3 deliveries (27/05) Refund 2 delivery cost and closed (01/06)</v>
          </cell>
          <cell r="M63" t="str">
            <v xml:space="preserve"> No Carnations for next 4 deliveries (27/05)</v>
          </cell>
          <cell r="N63" t="str">
            <v>3  del of this cycle   -  0-cycles pmnt   Completed - Collect 0</v>
          </cell>
          <cell r="O63" t="e">
            <v>#N/A</v>
          </cell>
          <cell r="P63" t="e">
            <v>#N/A</v>
          </cell>
          <cell r="Q63" t="e">
            <v>#N/A</v>
          </cell>
          <cell r="R63" t="e">
            <v>#N/A</v>
          </cell>
          <cell r="S63" t="str">
            <v>P Asiatic ( 14 Inch ) 3     Grass</v>
          </cell>
          <cell r="T63" t="str">
            <v>Mix Glad ( 14 inch ) 16     Grass</v>
          </cell>
        </row>
        <row r="64">
          <cell r="A64">
            <v>2878</v>
          </cell>
          <cell r="B64" t="str">
            <v>Aditi Bhatt</v>
          </cell>
          <cell r="C64">
            <v>7506091115</v>
          </cell>
          <cell r="D64" t="str">
            <v>D-225, 2nd Floor, Sushant Lok-2, Sec 56</v>
          </cell>
          <cell r="E64" t="str">
            <v>Sector 56</v>
          </cell>
          <cell r="F64" t="str">
            <v>Sunday</v>
          </cell>
          <cell r="G64" t="str">
            <v>9 AM - 12 PM</v>
          </cell>
          <cell r="H64">
            <v>1450</v>
          </cell>
          <cell r="I64">
            <v>362.5</v>
          </cell>
          <cell r="J64" t="str">
            <v>Bliss</v>
          </cell>
          <cell r="K64" t="str">
            <v>Skip 1 week (13/08) Send 1 del tom (24/08_) Day change to Sunday (26/08) Shift n send on Thursday (05/09) Skip 1 week (23/10) Skip 1 week (07/11) Remaining Deliveries on Thursday (12/11) Skip 1 week (20/01) Start from 15th Mar 911/03) No Local white gypsy (14/03) Start from 19th Apr (07/04) Paytm from Sparch Jain (21/04) Paytm from Sparsh Jain (16/05) Skip 1 week (10/06)</v>
          </cell>
          <cell r="M64" t="str">
            <v>No White Local Gypsy</v>
          </cell>
          <cell r="N64" t="str">
            <v>1  del of this cycle   -  1-cycles pmnt   Pending - Collect 1449</v>
          </cell>
          <cell r="O64" t="e">
            <v>#N/A</v>
          </cell>
          <cell r="P64" t="str">
            <v>B Daisy ( 12 Inch ) 9     Grass</v>
          </cell>
          <cell r="Q64" t="str">
            <v>Sunflower ( 12 Inch ) 4     FF Sachet + Grass</v>
          </cell>
          <cell r="R64" t="str">
            <v>Rajni ( 14 Inch ) 16     Grass</v>
          </cell>
          <cell r="S64" t="str">
            <v>P Asiatic ( 14 Inch ) 3     Grass</v>
          </cell>
          <cell r="T64" t="str">
            <v>G n W Car ( 14 Inch ) 16     FF Sachet + Grass</v>
          </cell>
        </row>
        <row r="65">
          <cell r="A65">
            <v>2592</v>
          </cell>
          <cell r="B65" t="str">
            <v>Nidhi Prasad</v>
          </cell>
          <cell r="C65">
            <v>9899779181</v>
          </cell>
          <cell r="D65" t="str">
            <v>T-10/1003, valley View Estate</v>
          </cell>
          <cell r="E65" t="str">
            <v>Ghata</v>
          </cell>
          <cell r="F65" t="str">
            <v>Sunday</v>
          </cell>
          <cell r="G65" t="str">
            <v>9 AM to 2 PM</v>
          </cell>
          <cell r="H65">
            <v>999</v>
          </cell>
          <cell r="I65">
            <v>249.75</v>
          </cell>
          <cell r="J65" t="str">
            <v>Delight</v>
          </cell>
          <cell r="K65" t="str">
            <v>Hold n start from 29th June(14/06) Hold today due to non payment (04/01) Hold due to non payment (01/02) Hold due to non payment (08/02) HDTNP (15/02) HDTNP (22/02) HDTNP (01/03) HDTNP (08/03) HDTNP (12/04) HDTNP (07/06) Hold till 26th (07/06) Returmed today (05/07)</v>
          </cell>
          <cell r="N65" t="str">
            <v>4  del of this cycle   -  0-cycles pmnt   Completed - Collect 0</v>
          </cell>
          <cell r="O65" t="e">
            <v>#N/A</v>
          </cell>
          <cell r="P65" t="e">
            <v>#N/A</v>
          </cell>
          <cell r="Q65" t="str">
            <v>P Asiatic ( 14 Inch ) 2     Grass</v>
          </cell>
          <cell r="R65" t="str">
            <v>Rajni ( 14 Inch ) 9     Grass</v>
          </cell>
          <cell r="S65" t="str">
            <v>G n W Car ( 14 Inch ) 9     FF Sachet + Grass</v>
          </cell>
          <cell r="T65" t="str">
            <v>Y Spray Daisy ( 14 Inch ) 3     FF Sachet + Grass</v>
          </cell>
        </row>
        <row r="66">
          <cell r="A66">
            <v>2637</v>
          </cell>
          <cell r="B66" t="str">
            <v>Shalini Kohli</v>
          </cell>
          <cell r="C66">
            <v>9999834141</v>
          </cell>
          <cell r="D66" t="str">
            <v>A-1402, Ireo Victory Valley</v>
          </cell>
          <cell r="E66" t="str">
            <v>Badshahpur</v>
          </cell>
          <cell r="F66" t="str">
            <v>Sunday</v>
          </cell>
          <cell r="G66" t="str">
            <v>9 AM - 12 PM</v>
          </cell>
          <cell r="H66">
            <v>1950</v>
          </cell>
          <cell r="I66">
            <v>487.5</v>
          </cell>
          <cell r="J66" t="str">
            <v>Joy</v>
          </cell>
          <cell r="K66" t="str">
            <v>Send on Monday instead of Sunday this week (28/05) Returned (10/08) Skip 1 week (28/08) Send replacement tom (19/10) Hold due to non payment (01/02) Send one del tom (03/02) Skip 2 week )7/03) Sent one del today (28/03) Returned (17/05) Returned today -- Death in Family (07/06) Today Returned (14/06)</v>
          </cell>
          <cell r="N66" t="str">
            <v>4  del of this cycle   -  0-cycles pmnt   Completed - Collect 0</v>
          </cell>
          <cell r="O66" t="str">
            <v>O Asiatic ( 14 Inch ) 2 P n W Glad ( 14 Inch ) 11   Grass</v>
          </cell>
          <cell r="P66" t="str">
            <v>P Asiatic ( 14 Inch ) 2 P n W Glad ( 14 Inch ) 11   Grass</v>
          </cell>
          <cell r="Q66" t="str">
            <v>Sunflower ( 12 Inch ) 3 Rajni ( 14 Inch ) 11   FF Sachet + Grass</v>
          </cell>
          <cell r="R66" t="str">
            <v>BOP 2 Pur n P Car ( 14 Inch ) 11   FF Sachet + Grass</v>
          </cell>
          <cell r="S66" t="str">
            <v>P n Y Spray Daisy ( 14 Inch ) 4 Mix Alstroemeria ( 12 Inch ) 10   FF Sachet + Grass</v>
          </cell>
          <cell r="T66" t="str">
            <v>O Asiatic ( 14 Inch ) 2 Mix Glad ( 14 Inch ) 11   Grass</v>
          </cell>
        </row>
        <row r="67">
          <cell r="A67">
            <v>1182</v>
          </cell>
          <cell r="B67" t="str">
            <v>Pradeep Shoran</v>
          </cell>
          <cell r="C67">
            <v>9818335503</v>
          </cell>
          <cell r="D67" t="str">
            <v>T-7/406, Valley View Estate, Gwal Pahari</v>
          </cell>
          <cell r="E67" t="str">
            <v>Ghata</v>
          </cell>
          <cell r="F67" t="str">
            <v>Sunday</v>
          </cell>
          <cell r="G67" t="str">
            <v>9 AM to 2 PM</v>
          </cell>
          <cell r="H67">
            <v>1450</v>
          </cell>
          <cell r="I67">
            <v>362.5</v>
          </cell>
          <cell r="J67" t="str">
            <v>Bliss</v>
          </cell>
          <cell r="K67" t="str">
            <v>Ref from Rachna Rathhee(23/11) NO GULDAWARI(28/12) Lily next week(04/01) Sent a eplacement(27/01) Upgraded to 850-- send 2 type of flowers including last delivery's remaining flowers(23/02) Send plain cyllindrical vase with next del(17/03) Skiped 1 week due to HOLI(29/03) Skip 1 week(22/12) NO ROSES EVER(22/12) NO ROSE(03/01) Skip 1 week(23/03) NO ROSE/ORCHID/GULDAWARI(02/04) Skip 1 week(20/05) Skip 1 week(22/06) 2 Sticks extra next(16/07) Today returned (24/12) No ROSE (07/01) 14th Jan del was missed (15/01) Today Hold (18/02) Skip 2 weeks (24/02) Sent 1 Del today (05/03) Skip 1 week (22/06) Today hold (08/07)  Paytm From Soni Shoran// No Orchid (25/05) Replacement today (07/07) Skip 2 week (02/10) Replacement tom (22/12) last sat not picked (26/05) Day changed to sunday (14/06) Sent one del today -- skip 27th (24/07) Skip this week (02/08) Picked today-dont send tom (27/09) Today missed-send next week (04/01) Skip 1 week (02/06) Skip 1 week (04/07)</v>
          </cell>
          <cell r="L67" t="str">
            <v>ROSE n ORCHID</v>
          </cell>
          <cell r="N67" t="str">
            <v>1  del of this cycle   -  1-cycles pmnt   Pending - Collect 0</v>
          </cell>
          <cell r="O67" t="str">
            <v>P Asiatic ( 14 Inch ) 3     Grass</v>
          </cell>
          <cell r="P67" t="str">
            <v>P n W Glad ( 14 Inch ) 16     Grass</v>
          </cell>
          <cell r="Q67" t="str">
            <v>P n W Car ( 14 Inch ) 16     FF Sachet + Grass</v>
          </cell>
          <cell r="R67" t="e">
            <v>#N/A</v>
          </cell>
          <cell r="S67" t="str">
            <v>Sunflower ( 12 Inch ) 4     FF Sachet + Grass</v>
          </cell>
          <cell r="T67" t="str">
            <v>Glad 16     FF Sachet + Grass</v>
          </cell>
        </row>
        <row r="68">
          <cell r="A68">
            <v>2494</v>
          </cell>
          <cell r="B68" t="str">
            <v>Mili Sodhi -- Before 12 PM -- 1450 Pack</v>
          </cell>
          <cell r="C68">
            <v>9312059597</v>
          </cell>
          <cell r="D68" t="str">
            <v>E-801, Bestech Park View Spa Next, Sec 67</v>
          </cell>
          <cell r="E68" t="str">
            <v>Badshahpur</v>
          </cell>
          <cell r="F68" t="str">
            <v>Sunday</v>
          </cell>
          <cell r="G68" t="str">
            <v>9 AM to 2 PM</v>
          </cell>
          <cell r="H68">
            <v>1450</v>
          </cell>
          <cell r="I68">
            <v>362.5</v>
          </cell>
          <cell r="J68" t="str">
            <v>Bliss</v>
          </cell>
          <cell r="K68" t="str">
            <v>Skip 13th n send on 14th (07/04) Today hold as flower arrangement sent (04/0%) Flower Food Next 25/05) No Del between 8th to 15th June (31/05) Today hold (13/07) Sent one del today (18/07) Skip next week (10/08) Returned -send next week (31/08) Skip 1 week (20/09) Hold between 18th to 29th Oct (13/10) Skip 1 week (08/11) Hold till 21st Dec (02/12) Skip 1 wek (22/01) Skip tom (28/02) Skip 1 week (21/03) Skip 2 week after tom (13/06)</v>
          </cell>
          <cell r="M68" t="str">
            <v>Before 12 PM (16/11)</v>
          </cell>
          <cell r="N68" t="str">
            <v>3  del of this cycle   -  0-cycles pmnt   Completed - Collect 0</v>
          </cell>
          <cell r="O68" t="str">
            <v>Sunflower ( 12 Inch ) 2     FF Sachet + Grass</v>
          </cell>
          <cell r="P68" t="e">
            <v>#N/A</v>
          </cell>
          <cell r="Q68" t="e">
            <v>#N/A</v>
          </cell>
          <cell r="R68" t="str">
            <v>Pur n P Car ( 14 Inch ) 16     FF Sachet + Grass</v>
          </cell>
          <cell r="S68" t="str">
            <v>O Asiatic ( 14 Inch ) 3     Grass</v>
          </cell>
          <cell r="T68" t="str">
            <v>Mix Glad ( 14 inch ) 16     Grass</v>
          </cell>
        </row>
        <row r="69">
          <cell r="A69">
            <v>2481</v>
          </cell>
          <cell r="B69" t="str">
            <v>Puneet Mahajan</v>
          </cell>
          <cell r="C69">
            <v>9810110847</v>
          </cell>
          <cell r="D69" t="str">
            <v>D-19, 4th Floor, Siuth City -2, Opp Arcadia Mall</v>
          </cell>
          <cell r="E69" t="str">
            <v>Nirvana Country</v>
          </cell>
          <cell r="F69" t="str">
            <v>Sunday</v>
          </cell>
          <cell r="G69" t="str">
            <v>9 AM - 12 PM</v>
          </cell>
          <cell r="H69">
            <v>2300</v>
          </cell>
          <cell r="I69">
            <v>287.5</v>
          </cell>
          <cell r="J69" t="str">
            <v>Felicity</v>
          </cell>
          <cell r="K69" t="str">
            <v>Send Sponge// Day Changed to Sunday (16/04) Paytm From Sri Sai makers (20/04) Change to felicity (17/05)</v>
          </cell>
          <cell r="N69" t="str">
            <v>3  del of this cycle   -  1-cycles pmnt   Pending - Collect 2300</v>
          </cell>
          <cell r="O69" t="str">
            <v>Rajni ( 14 Inch ) 11     Grass</v>
          </cell>
          <cell r="P69" t="str">
            <v>B Daisy ( 12 Inch ) 11     Grass</v>
          </cell>
          <cell r="Q69" t="str">
            <v>P n W Glad ( 14 Inch ) 11     Grass</v>
          </cell>
          <cell r="R69" t="str">
            <v>P n W Car ( 14 Inch ) 11     FF Sachet + Grass</v>
          </cell>
          <cell r="S69" t="str">
            <v>Mix Alstroemeria ( 12 Inch ) 11     FF Sachet + Grass</v>
          </cell>
          <cell r="T69" t="str">
            <v>Y Spray Daisy ( 14 Inch ) 3   Collect Payment Collect Payment FF Sachet + Grass</v>
          </cell>
        </row>
        <row r="70">
          <cell r="A70">
            <v>2707</v>
          </cell>
          <cell r="B70" t="str">
            <v>Mrigal Vora Puri</v>
          </cell>
          <cell r="C70">
            <v>9903474654</v>
          </cell>
          <cell r="D70" t="str">
            <v>T-6A/1103, Valley View Estate</v>
          </cell>
          <cell r="E70" t="str">
            <v>Ghata</v>
          </cell>
          <cell r="F70" t="str">
            <v>Sunday</v>
          </cell>
          <cell r="G70" t="str">
            <v>9 AM - 12 PM</v>
          </cell>
          <cell r="H70">
            <v>1450</v>
          </cell>
          <cell r="I70">
            <v>362.5</v>
          </cell>
          <cell r="J70" t="str">
            <v>Bliss</v>
          </cell>
          <cell r="K70" t="str">
            <v>Glad Next (20/06) Hold today (05/1) Hold due to non payment (01/02) Hold due to non payment (08/02) HDTNP (15/02) Skip 1 week (04/04) HDTNP (03/05) HDTNP (10/05) Paytm From Akhil Puri (07/06)</v>
          </cell>
          <cell r="M70" t="str">
            <v>Glad Next (20/06)</v>
          </cell>
          <cell r="N70" t="str">
            <v>3  del of this cycle   -  0-cycles pmnt   Completed - Collect 0</v>
          </cell>
          <cell r="O70" t="str">
            <v>Sunflower ( 12 Inch ) 2 P n W Glad ( 14 Inch ) 7   FF Sachet + Grass</v>
          </cell>
          <cell r="P70" t="str">
            <v>P Asiatic ( 14 Inch ) 2 Pur n P Car ( 14 Inch ) 7   Grass</v>
          </cell>
          <cell r="Q70" t="str">
            <v>P Spray Daisy ( 14 Inch ) 3 Rajni ( 14 Inch ) 7   FF Sachet + Grass</v>
          </cell>
          <cell r="R70" t="str">
            <v>Sunflower ( 12 Inch ) 2 B Daisy ( 12 Inch ) 7   FF Sachet + Grass</v>
          </cell>
          <cell r="S70" t="str">
            <v>O Asiatic ( 14 Inch ) 2 P n W Glad ( 14 Inch ) 7   Grass</v>
          </cell>
          <cell r="T70" t="str">
            <v>Y Spray Daisy ( 14 Inch ) 3 G n W Car ( 14 Inch ) 7   FF Sachet + Grass</v>
          </cell>
        </row>
        <row r="71">
          <cell r="A71">
            <v>2450</v>
          </cell>
          <cell r="B71" t="str">
            <v xml:space="preserve">Anshuman Divyanshu </v>
          </cell>
          <cell r="C71">
            <v>9934010124</v>
          </cell>
          <cell r="D71" t="str">
            <v>G-1401, Bestech Park View Spa Next</v>
          </cell>
          <cell r="E71" t="str">
            <v>Badshahpur</v>
          </cell>
          <cell r="F71" t="str">
            <v>Sunday</v>
          </cell>
          <cell r="G71" t="str">
            <v>9:30 Am to 2 PM</v>
          </cell>
          <cell r="H71">
            <v>1450</v>
          </cell>
          <cell r="I71">
            <v>362.5</v>
          </cell>
          <cell r="J71" t="str">
            <v>Bliss</v>
          </cell>
          <cell r="K71" t="str">
            <v>Insta // return today (24/08) Hold today (28/09) HDTNP (03/05) Skip 1 week (06/06)</v>
          </cell>
          <cell r="N71" t="str">
            <v>3  del of this cycle   -  0-cycles pmnt   Completed - Collect 0</v>
          </cell>
          <cell r="O71" t="str">
            <v>O Asiatic ( 14 Inch ) 2     Grass</v>
          </cell>
          <cell r="P71" t="str">
            <v>B Daisy ( 12 Inch ) 9     Grass</v>
          </cell>
          <cell r="Q71" t="str">
            <v>Sunflower ( 12 Inch ) 2     FF Sachet + Grass</v>
          </cell>
          <cell r="R71" t="str">
            <v>Pur n P Car ( 14 Inch ) 16     FF Sachet + Grass</v>
          </cell>
          <cell r="S71" t="str">
            <v>Rajni ( 14 Inch ) 16     Grass</v>
          </cell>
          <cell r="T71" t="str">
            <v>P n Y Spray Daisy ( 14 Inch ) 5     FF Sachet + Grass</v>
          </cell>
        </row>
        <row r="72">
          <cell r="A72" t="str">
            <v>CP00001</v>
          </cell>
          <cell r="B72" t="str">
            <v>Pooja Mallik -- BPTP -- Centra 1</v>
          </cell>
          <cell r="C72">
            <v>7404620597</v>
          </cell>
          <cell r="D72" t="str">
            <v>BPTP, Sec 61</v>
          </cell>
          <cell r="E72" t="str">
            <v>Ghata</v>
          </cell>
          <cell r="F72" t="str">
            <v>Sunday</v>
          </cell>
          <cell r="G72" t="str">
            <v>By 10 AM</v>
          </cell>
          <cell r="H72">
            <v>30000</v>
          </cell>
          <cell r="I72">
            <v>30000</v>
          </cell>
          <cell r="J72" t="str">
            <v>Corporate</v>
          </cell>
          <cell r="N72" t="str">
            <v>1  del of this cycle   -  0-cycles pmnt   In Process - Collect 0</v>
          </cell>
          <cell r="O72" t="e">
            <v>#N/A</v>
          </cell>
          <cell r="P72" t="e">
            <v>#N/A</v>
          </cell>
          <cell r="Q72" t="e">
            <v>#N/A</v>
          </cell>
          <cell r="R72" t="e">
            <v>#N/A</v>
          </cell>
          <cell r="S72" t="e">
            <v>#N/A</v>
          </cell>
          <cell r="T72" t="str">
            <v xml:space="preserve">G n W Car + G n W Spray daisy + W Alstroemeria + G n W Orchid + W Asiatic + W Oriental + G n W Anthurium + G n W Eustoma 220 + 40 + 40 + 20 + 30 + 6 + 10 + 20 Big Monstera + Big Palm + Arocaria + Local Steel Grass + Baby Dollar Other Grass   </v>
          </cell>
        </row>
        <row r="73">
          <cell r="A73">
            <v>2192</v>
          </cell>
          <cell r="B73" t="str">
            <v>Prabhdeep Kaur</v>
          </cell>
          <cell r="C73">
            <v>7456879082</v>
          </cell>
          <cell r="D73" t="str">
            <v>C-173, 2nd Floor,South City 2</v>
          </cell>
          <cell r="E73" t="str">
            <v>Nirvana Country</v>
          </cell>
          <cell r="F73" t="str">
            <v>Sunday</v>
          </cell>
          <cell r="G73" t="str">
            <v>9 AM - 12 PM</v>
          </cell>
          <cell r="H73">
            <v>1450</v>
          </cell>
          <cell r="I73">
            <v>362.5</v>
          </cell>
          <cell r="J73" t="str">
            <v>Bliss</v>
          </cell>
          <cell r="K73" t="str">
            <v>Today Returned (18/08) Gpay from Preity Dadwal (20/10) Hold after current cuycle (22/12) Today Returned (29/12) Today returned (17/08) Today returned (16/11) Do not count 25th Jan Del (01/03) Pne more payment received today (2/03) Sent one del today -skip tom (07/03) Today Returned (21/06)</v>
          </cell>
          <cell r="N73" t="str">
            <v>2  del of this cycle   -  1-cycles pmnt   In process - Collect 0</v>
          </cell>
          <cell r="O73" t="str">
            <v>Pur n P Car ( 14 Inch ) 16     FF Sachet + Grass</v>
          </cell>
          <cell r="P73" t="str">
            <v>P Eustoma ( 12 Inch ) 3     FF Sachet + Grass</v>
          </cell>
          <cell r="Q73" t="str">
            <v>Sunflower ( 12 Inch ) 4     FF Sachet + Grass</v>
          </cell>
          <cell r="R73" t="str">
            <v>Rajni ( 14 Inch ) 16     Grass</v>
          </cell>
          <cell r="S73" t="str">
            <v>O Asiatic ( 14 Inch ) 3     Grass</v>
          </cell>
          <cell r="T73" t="str">
            <v>Mix Glad ( 14 inch ) 16     Grass</v>
          </cell>
        </row>
        <row r="74">
          <cell r="A74">
            <v>234</v>
          </cell>
          <cell r="B74" t="str">
            <v>jaya Chakrabarti-- Before 10 AM</v>
          </cell>
          <cell r="C74">
            <v>9810390185</v>
          </cell>
          <cell r="D74" t="str">
            <v>A 56, FF, south City 2, sonha road, gurgaon</v>
          </cell>
          <cell r="E74" t="str">
            <v>Nirvana Country</v>
          </cell>
          <cell r="F74" t="str">
            <v>Sunday</v>
          </cell>
          <cell r="G74" t="str">
            <v>9 AM - 12 PM</v>
          </cell>
          <cell r="H74">
            <v>1450</v>
          </cell>
          <cell r="I74">
            <v>362.5</v>
          </cell>
          <cell r="J74" t="str">
            <v>Bliss</v>
          </cell>
          <cell r="K74" t="str">
            <v>Friday n MOnday(31/03) NO BOP N HELICONIA// and send rajni next(28/03) Upgrade to 1450 and NO HELICONIA (02/03) Shift to bliss (27/04) Rajni Next (29/06) Shift to Sunday now (30/06) Today returned(20/09) Today Returned (10/12) Today returned (11/04) Received one payment today (12/11) HDTNP (01/03) HDTNP (08/03) HDTNP (14/03)</v>
          </cell>
          <cell r="L74" t="str">
            <v>BOP n HELICONIA</v>
          </cell>
          <cell r="N74" t="str">
            <v>4  del of this cycle   -  0-cycles pmnt   Completed - Collect 0</v>
          </cell>
          <cell r="O74" t="str">
            <v>Pur n P Car ( 14 Inch ) 16     FF Sachet + Grass</v>
          </cell>
          <cell r="P74" t="str">
            <v>Pur Eustoma ( 12 Inch ) 3     FF Sachet + Grass</v>
          </cell>
          <cell r="Q74" t="str">
            <v>P Asiatic ( 14 Inch ) 3     Grass</v>
          </cell>
          <cell r="R74" t="str">
            <v>Rajni ( 14 Inch ) 16     Grass</v>
          </cell>
          <cell r="S74" t="str">
            <v>Sunflower ( 12 Inch ) 4     FF Sachet + Grass</v>
          </cell>
          <cell r="T74" t="str">
            <v>Mix Glad ( 14 inch ) 16     Grass</v>
          </cell>
        </row>
        <row r="75">
          <cell r="A75">
            <v>3222</v>
          </cell>
          <cell r="B75" t="str">
            <v>Bibhuti Vikram Singh</v>
          </cell>
          <cell r="C75">
            <v>9811912776</v>
          </cell>
          <cell r="D75" t="str">
            <v>T-6A/104, Valley View Estate, Gwal pahari</v>
          </cell>
          <cell r="E75" t="str">
            <v>Ghata</v>
          </cell>
          <cell r="F75" t="str">
            <v>Sunday</v>
          </cell>
          <cell r="G75" t="str">
            <v>9 AM - 12 PM</v>
          </cell>
          <cell r="H75">
            <v>1450</v>
          </cell>
          <cell r="I75">
            <v>362.5</v>
          </cell>
          <cell r="J75" t="str">
            <v>Bliss</v>
          </cell>
          <cell r="K75" t="str">
            <v>One Kind // Return today (18/07)(</v>
          </cell>
          <cell r="M75" t="str">
            <v>One Kind</v>
          </cell>
          <cell r="N75" t="str">
            <v>4  del of this cycle   -  0-cycles pmnt   Completed - Collect 0</v>
          </cell>
          <cell r="O75" t="e">
            <v>#N/A</v>
          </cell>
          <cell r="P75" t="e">
            <v>#N/A</v>
          </cell>
          <cell r="Q75" t="e">
            <v>#N/A</v>
          </cell>
          <cell r="R75" t="e">
            <v>#N/A</v>
          </cell>
          <cell r="S75" t="e">
            <v>#N/A</v>
          </cell>
          <cell r="T75" t="str">
            <v>P n Y Spray Daisy ( 14 Inch ) 5     FF Sachet + Grass</v>
          </cell>
        </row>
        <row r="76">
          <cell r="A76">
            <v>2550</v>
          </cell>
          <cell r="B76" t="str">
            <v>Pooja Singh</v>
          </cell>
          <cell r="C76">
            <v>9810123062</v>
          </cell>
          <cell r="D76" t="str">
            <v>B-289, 3rd Floor, Anantraj Estates, Sec 63 A</v>
          </cell>
          <cell r="E76" t="str">
            <v>Ghata</v>
          </cell>
          <cell r="F76" t="str">
            <v>Sunday</v>
          </cell>
          <cell r="G76" t="str">
            <v>9 AM - 12 PM</v>
          </cell>
          <cell r="H76">
            <v>1450</v>
          </cell>
          <cell r="I76">
            <v>362.5</v>
          </cell>
          <cell r="J76" t="str">
            <v>Bliss</v>
          </cell>
          <cell r="K76" t="str">
            <v>Hold today n sned on Tuesday (18/05) Skip this week and send on Monday(01/01/26) Return today (18/01) Skip this Sunday and sned on Tuesday this week (27/06) Send on Tuesday this week(11/07)</v>
          </cell>
          <cell r="N76" t="str">
            <v>2  del of this cycle   -  0-cycles pmnt   Completed - Collect 0</v>
          </cell>
          <cell r="O76" t="str">
            <v>P Spray Daisy ( 14 Inch ) 3 Pur n P Car ( 14 Inch ) 7   FF Sachet + Grass</v>
          </cell>
          <cell r="P76" t="str">
            <v>P Asiatic ( 14 Inch ) 2 B Daisy ( 12 Inch ) 7   Grass</v>
          </cell>
          <cell r="Q76" t="e">
            <v>#N/A</v>
          </cell>
          <cell r="R76" t="str">
            <v>Sunflower ( 12 Inch ) 2 P n W Glad ( 14 Inch ) 7   FF Sachet + Grass</v>
          </cell>
          <cell r="S76" t="e">
            <v>#N/A</v>
          </cell>
          <cell r="T76" t="str">
            <v>O Asiatic ( 14 Inch ) 2 Mix Car 7   Grass</v>
          </cell>
        </row>
        <row r="77">
          <cell r="A77">
            <v>3359</v>
          </cell>
          <cell r="B77" t="str">
            <v>Payal Soni</v>
          </cell>
          <cell r="C77">
            <v>7508901884</v>
          </cell>
          <cell r="D77" t="str">
            <v>T-9/1403, Pyramid Sec 67 A, Badshahpur Road, Near Iskcon</v>
          </cell>
          <cell r="E77" t="str">
            <v>Badshahpur</v>
          </cell>
          <cell r="F77" t="str">
            <v>Sunday</v>
          </cell>
          <cell r="G77" t="str">
            <v>9 AM - 12 PM</v>
          </cell>
          <cell r="H77">
            <v>1450</v>
          </cell>
          <cell r="I77">
            <v>362.5</v>
          </cell>
          <cell r="J77" t="str">
            <v>Bliss</v>
          </cell>
          <cell r="K77" t="str">
            <v>No Glad and day changed to Sunday (04/06) No alstroemeria (12/07)</v>
          </cell>
          <cell r="L77" t="str">
            <v>Glad n Alstroemeria (12/07)</v>
          </cell>
          <cell r="N77" t="str">
            <v>3  del of this cycle   -  0-cycles pmnt   Completed - Collect 0</v>
          </cell>
          <cell r="O77" t="str">
            <v>P Asiatic ( 14 Inch ) 3     Grass</v>
          </cell>
          <cell r="P77" t="str">
            <v>Pur n P Car ( 14 Inch ) 16     FF Sachet + Grass</v>
          </cell>
          <cell r="Q77" t="str">
            <v>Sunflower ( 12 Inch ) 4     FF Sachet + Grass</v>
          </cell>
          <cell r="R77" t="str">
            <v>Rajni ( 14 Inch ) 16     Grass</v>
          </cell>
          <cell r="S77" t="str">
            <v>B Orchid  5     Grass</v>
          </cell>
          <cell r="T77" t="str">
            <v>P n W Spray Daisy ( 14 Inch ) 5     FF Sachet + Grass</v>
          </cell>
        </row>
        <row r="78">
          <cell r="A78">
            <v>2255</v>
          </cell>
          <cell r="B78" t="str">
            <v>Prerna -- Rosewood</v>
          </cell>
          <cell r="C78">
            <v>9910778929</v>
          </cell>
          <cell r="D78" t="str">
            <v>D-154, Rosewood City, Sector 50</v>
          </cell>
          <cell r="E78" t="str">
            <v>Nirvana Country</v>
          </cell>
          <cell r="F78" t="str">
            <v>Sunday</v>
          </cell>
          <cell r="G78" t="str">
            <v>9:30 Am to 2 PM</v>
          </cell>
          <cell r="H78">
            <v>1450</v>
          </cell>
          <cell r="I78">
            <v>362.5</v>
          </cell>
          <cell r="J78" t="str">
            <v>Bliss</v>
          </cell>
          <cell r="K78" t="str">
            <v>Sent replacement today (21/04) Skip 1 week (04/12) Skip tom (14/06) Return today (06/07) 27th Del Missed (03/08)Skip 22/23rd Nov (08/11) Paytm From Prerna Sharma // Skip 1 week (07/02) Hold n start after 9 th June (10/05)</v>
          </cell>
          <cell r="N78" t="str">
            <v>2  del of this cycle   -  0-cycles pmnt   Completed - Collect 0</v>
          </cell>
          <cell r="O78" t="str">
            <v>Pur n P Car ( 14 Inch ) 16     FF Sachet + Grass</v>
          </cell>
          <cell r="P78" t="str">
            <v>Pur Eustoma ( 12 Inch ) 3     FF Sachet + Grass</v>
          </cell>
          <cell r="Q78" t="str">
            <v>Rajni 16     Grass</v>
          </cell>
          <cell r="R78" t="str">
            <v>Sunflower ( 12 Inch ) 4     FF Sachet + Grass</v>
          </cell>
          <cell r="S78" t="str">
            <v>P n W Glad ( 14 Inch ) 16     Grass</v>
          </cell>
          <cell r="T78" t="str">
            <v>Mix Car 16     FF Sachet + Grass</v>
          </cell>
        </row>
        <row r="79">
          <cell r="A79">
            <v>2462</v>
          </cell>
          <cell r="B79" t="str">
            <v xml:space="preserve">Rubeey Matharu </v>
          </cell>
          <cell r="C79">
            <v>9811601176</v>
          </cell>
          <cell r="D79" t="str">
            <v>Sirera 1, T-6/306, M3M Marina</v>
          </cell>
          <cell r="E79" t="str">
            <v>Badshahpur</v>
          </cell>
          <cell r="F79" t="str">
            <v>Sunday</v>
          </cell>
          <cell r="G79" t="str">
            <v>9 AM - 12 PM</v>
          </cell>
          <cell r="H79">
            <v>1450</v>
          </cell>
          <cell r="I79">
            <v>362.5</v>
          </cell>
          <cell r="J79" t="str">
            <v>Bliss</v>
          </cell>
          <cell r="K79" t="str">
            <v>Skip 1 week and inform before starting (08/04) Hold n start from Aug (15/05) Paytm From Amanpreet Kaur Matharu // Paytm from Gurjeet Matharu // Send 1 Asuatic Tom (12/07)</v>
          </cell>
          <cell r="M79" t="str">
            <v>Rajni Tom (01/11)</v>
          </cell>
          <cell r="N79" t="str">
            <v>3  del of this cycle   -  0-cycles pmnt   Completed - Collect 0</v>
          </cell>
          <cell r="O79" t="str">
            <v>Pur n P Car ( 14 Inch ) 9     FF Sachet + Grass</v>
          </cell>
          <cell r="P79" t="str">
            <v>B Daisy ( 12 Inch ) 9     Grass</v>
          </cell>
          <cell r="Q79" t="str">
            <v>P n W Glad ( 14 Inch ) 9     Grass</v>
          </cell>
          <cell r="R79" t="str">
            <v>Sunflower ( 12 Inch ) 4     FF Sachet + Grass</v>
          </cell>
          <cell r="S79" t="str">
            <v>P Asiatic ( 14 Inch ) 3     Grass</v>
          </cell>
          <cell r="T79" t="str">
            <v>Alstromia 16     FF Sachet + Grass</v>
          </cell>
        </row>
        <row r="80">
          <cell r="A80" t="str">
            <v>B46944</v>
          </cell>
          <cell r="B80" t="str">
            <v>Albi</v>
          </cell>
          <cell r="C80">
            <v>9999236508</v>
          </cell>
          <cell r="D80" t="str">
            <v>G-3/1A, DLF Phase 1</v>
          </cell>
          <cell r="E80" t="str">
            <v>DLF Phase 1</v>
          </cell>
          <cell r="F80" t="str">
            <v>Thursday</v>
          </cell>
          <cell r="G80" t="str">
            <v>By 9 AM</v>
          </cell>
          <cell r="H80">
            <v>28000</v>
          </cell>
          <cell r="I80">
            <v>7000</v>
          </cell>
          <cell r="J80" t="str">
            <v>Customized</v>
          </cell>
          <cell r="K80" t="str">
            <v>Now at every 10 days (18/12)</v>
          </cell>
          <cell r="N80" t="str">
            <v>3  del of this cycle   -  0-cycles pmnt   In Process - Collect 0</v>
          </cell>
          <cell r="O80" t="str">
            <v xml:space="preserve">P Oriental + Y Asiatic + P n W Spray Daisy + Pur n P Car + Pur Eustoma + Pur Anthurium 4 + 4 +10 + 35 + 6 Dilli patti + Fish Tail + Other Greens    </v>
          </cell>
          <cell r="P80" t="e">
            <v>#N/A</v>
          </cell>
          <cell r="Q80" t="str">
            <v xml:space="preserve">W Oriental + R Asiatic + R n W Spray Daisy + R n W Car + R n W Anthurium + W Orchid  4 + 4 + 12 + 30 + 4 + 7 Mogra 200 Gm   </v>
          </cell>
          <cell r="R80" t="str">
            <v xml:space="preserve">W Oriental + G Anthurium + G Lotus Pd + Baloon Flower + G n W Car + Big Monstera 4 + 6 + 8 + 8 + 15 W Oriental + Limonium 2 + 3 ( In Suraahi Vase) Mogra  300 Gm </v>
          </cell>
          <cell r="T80" t="str">
            <v xml:space="preserve">P Oriental + Y Asiatic + P n Y Spray Daisy + Pur Orchid + P Anthurium + P n Y Car 4 + 4 + 15 + 10 + 4 + 30 Mogra + Big Monstera + Big Palm +Baby Dollar +  Normal Grass 300 Gm   </v>
          </cell>
        </row>
        <row r="81">
          <cell r="A81">
            <v>1467</v>
          </cell>
          <cell r="B81" t="str">
            <v>Priyanka Chaturvedi</v>
          </cell>
          <cell r="C81">
            <v>7838930274</v>
          </cell>
          <cell r="D81" t="str">
            <v xml:space="preserve">Flat No. A-303, The Peaceful Homes, Sec 70-A
</v>
          </cell>
          <cell r="E81" t="str">
            <v>Badshahpur</v>
          </cell>
          <cell r="F81" t="str">
            <v>Friday</v>
          </cell>
          <cell r="G81" t="str">
            <v>9 AM - 12 PM</v>
          </cell>
          <cell r="H81">
            <v>1600</v>
          </cell>
          <cell r="I81">
            <v>200</v>
          </cell>
          <cell r="J81" t="str">
            <v>Bloom</v>
          </cell>
          <cell r="K81" t="str">
            <v>Friday and Sunday//Saturday evening slot and Sunday morning Slot(06/08) Send 100 Gm Mogra also(03/09) Received cash of 100 today(04/09) Skip coming week(20/09) Skip 1 week(15/10) Skip tom n send on comong fridayu this week(29/01) W Car next(26/02)  Holy Change(16/03) Return today(15/04) Hold n start from July (01/05) Skip 13th Delivery (10/01) NO ROSE (29/01) Sent replacement today (05/02) Send bothe deliveries together on sunday (12/05) Skip 1 week (25/05) Send both deliveries on Sunday only (01/06) Double Delivery only on Sunday (10/06) Paytm From Gaurav Chaturvedi (26/03) Hold til next saturday (20/06) Skip this sunday (11/10) No Spray Daisy (22/11) Today REturned (12/01) Skip 2nd week (03/04) No Del between 7th to 14th (05/04) Skip this sunday (18/06) Skip tom (04/10) Skip 1 week (10/12) Today Returned (04/01)</v>
          </cell>
          <cell r="L81" t="str">
            <v>ROSE n SPRAY DAISY</v>
          </cell>
          <cell r="N81" t="str">
            <v>1  del of this cycle   -  1-cycles pmnt   Pending - Collect 1600</v>
          </cell>
          <cell r="O81" t="str">
            <v>Mix Alstroemeria ( 12 Inch ) 7     FF Sachet + Grass</v>
          </cell>
          <cell r="P81" t="str">
            <v>B Daisy ( 12 Inch ) 7     Grass</v>
          </cell>
          <cell r="Q81" t="str">
            <v>Sunflower ( 12 Inch ) 2     FF Sachet + Grass</v>
          </cell>
          <cell r="R81" t="str">
            <v>B Daisy ( 12 Inch ) 7     Grass</v>
          </cell>
          <cell r="S81" t="str">
            <v>G n W Car ( 14 Inch ) 7     FF Sachet + Grass</v>
          </cell>
          <cell r="T81" t="str">
            <v>Sunflower ( 12 Inch )  2     FF Sachet + Grass</v>
          </cell>
        </row>
        <row r="82">
          <cell r="B82" t="str">
            <v xml:space="preserve">smriti verma </v>
          </cell>
          <cell r="C82" t="str">
            <v>98710 00812</v>
          </cell>
          <cell r="D82" t="str">
            <v>C 2901, ireo victory valley, sector 67, Gurgaon</v>
          </cell>
          <cell r="G82" t="str">
            <v>Only Payment</v>
          </cell>
          <cell r="H82" t="str">
            <v>Only Payment</v>
          </cell>
          <cell r="I82" t="str">
            <v>Only Payment</v>
          </cell>
          <cell r="J82" t="str">
            <v>Only Payment</v>
          </cell>
          <cell r="K82" t="str">
            <v>Only Payment</v>
          </cell>
          <cell r="L82" t="str">
            <v>Only Payment</v>
          </cell>
          <cell r="M82" t="str">
            <v>Only Payment</v>
          </cell>
          <cell r="N82" t="str">
            <v>Only Payment</v>
          </cell>
          <cell r="O82" t="str">
            <v>Only Payment</v>
          </cell>
          <cell r="P82" t="str">
            <v>Only Payment</v>
          </cell>
          <cell r="Q82" t="str">
            <v>Only Payment</v>
          </cell>
          <cell r="R82" t="str">
            <v>Only Payment</v>
          </cell>
          <cell r="S82" t="str">
            <v>Only Payment</v>
          </cell>
          <cell r="T82" t="str">
            <v>Only Payment Only Payment Only Payment Only Payment Only Payment Only Payment Only Payment</v>
          </cell>
        </row>
        <row r="83">
          <cell r="B83" t="str">
            <v xml:space="preserve">Namrata Khandelwal </v>
          </cell>
          <cell r="C83">
            <v>9818392977</v>
          </cell>
          <cell r="D83" t="str">
            <v>1119, Magnolia</v>
          </cell>
          <cell r="G83" t="str">
            <v>Before 10.30</v>
          </cell>
          <cell r="H83">
            <v>1700</v>
          </cell>
          <cell r="J83" t="str">
            <v>Bouquet</v>
          </cell>
          <cell r="K83" t="str">
            <v>Pls send one bouquet with 3 semi bloom pink oriental lily and 6 green n yellow spray daisy in fuil brown wrap to Mameata khandelwal today before 10:30 am for 1700</v>
          </cell>
          <cell r="T83" t="str">
            <v xml:space="preserve">Semi Bloom P Oriental+ G n Y Spray Daisy 3+6 Full Brown Wrap    </v>
          </cell>
        </row>
        <row r="84">
          <cell r="B84" t="str">
            <v>Deeksha Kidiyur</v>
          </cell>
          <cell r="C84" t="str">
            <v>96500 52435</v>
          </cell>
          <cell r="D84" t="str">
            <v>1402, tower 1, The Close North</v>
          </cell>
          <cell r="G84" t="str">
            <v>By 4 Pm</v>
          </cell>
          <cell r="H84">
            <v>1400</v>
          </cell>
          <cell r="J84" t="str">
            <v>Bouquet</v>
          </cell>
          <cell r="K84" t="str">
            <v>Plz make this and deliver to 1402, tower 1, The Close North plz by 4pm today
Deeksha Kidiyur
+91 96500 52435</v>
          </cell>
          <cell r="T84" t="str">
            <v xml:space="preserve">W Asiatic+ P n W Car  Tissue Wrp    </v>
          </cell>
        </row>
        <row r="85">
          <cell r="B85" t="str">
            <v>Priyanka Katyal</v>
          </cell>
          <cell r="C85">
            <v>9958565556</v>
          </cell>
          <cell r="D85" t="str">
            <v>1487, Saraswati Kunj, Sector 53</v>
          </cell>
          <cell r="G85" t="str">
            <v>Before 2 Pm</v>
          </cell>
          <cell r="H85">
            <v>1950</v>
          </cell>
          <cell r="J85" t="str">
            <v>Bouquet</v>
          </cell>
          <cell r="K85" t="str">
            <v>Priyanka Katyal
3 oriental white -ek do khule phool bhi chalenge 
10 White carnations 
4 white spray daisies 
Gypso
In white tissue wrap 
before 2:30 today 
Amount 1950</v>
          </cell>
          <cell r="T85" t="str">
            <v xml:space="preserve">W Oriental+W Car+ W Spray Daisy 3+10+4 In white tissue wrap     </v>
          </cell>
        </row>
        <row r="86">
          <cell r="B86" t="str">
            <v>Vidya Raja</v>
          </cell>
          <cell r="C86">
            <v>9899096420</v>
          </cell>
          <cell r="D86" t="str">
            <v>C-122, Belvedere Tower, DLF -2</v>
          </cell>
          <cell r="H86">
            <v>1800</v>
          </cell>
          <cell r="J86" t="str">
            <v>Bouquet</v>
          </cell>
          <cell r="K86" t="str">
            <v>Pls send a bouquet with 12 mix ( pink, white, yellow and green button daisy ) and 15 pink n white n purple carnations in multicolor tissue wrap today at Vidya raja — +91 98990 96420, cost 1800 , adddess with message 
Happy birthday Ammama - hope you always keep smiling like this. 
Rudra, Shiv and Chutney</v>
          </cell>
          <cell r="T86" t="str">
            <v xml:space="preserve">Mix Spray Daisy+ Mix Car 12+15 Multicolor tissue wrap  Message  </v>
          </cell>
        </row>
        <row r="87">
          <cell r="B87" t="str">
            <v>Mrs. Joya Lal</v>
          </cell>
          <cell r="C87">
            <v>9811085124</v>
          </cell>
          <cell r="D87" t="str">
            <v>B 47 ff south city 2 ,Behavior nd B Block market</v>
          </cell>
          <cell r="H87">
            <v>850</v>
          </cell>
          <cell r="J87" t="str">
            <v>Bouquet</v>
          </cell>
          <cell r="T87" t="str">
            <v xml:space="preserve">Asiatc+ Mix Car  Tissue Wrp    </v>
          </cell>
        </row>
        <row r="88">
          <cell r="B88" t="str">
            <v>Scottish School</v>
          </cell>
          <cell r="D88" t="str">
            <v>Scottish School, Sec 57</v>
          </cell>
          <cell r="H88">
            <v>2000</v>
          </cell>
          <cell r="J88" t="str">
            <v>Corporate Bouquet</v>
          </cell>
          <cell r="K88" t="str">
            <v>Pls send ine basket type arrangement to scottish school today in evening — Range — 2000</v>
          </cell>
          <cell r="T88" t="str">
            <v xml:space="preserve">Basket 1     </v>
          </cell>
        </row>
        <row r="89">
          <cell r="B89" t="str">
            <v>Anish sir will pick in 40 mins</v>
          </cell>
          <cell r="C89" t="str">
            <v>Anish sir will pick in 40 mins</v>
          </cell>
          <cell r="D89" t="str">
            <v>Anish sir will pick in 40 mins</v>
          </cell>
          <cell r="E89" t="str">
            <v>Anish sir will pick in 40 mins</v>
          </cell>
          <cell r="F89" t="str">
            <v>Anish sir will pick in 40 mins</v>
          </cell>
          <cell r="G89" t="str">
            <v>Anish sir will pick in 40 mins</v>
          </cell>
          <cell r="H89">
            <v>800</v>
          </cell>
          <cell r="I89">
            <v>800</v>
          </cell>
          <cell r="J89" t="str">
            <v>Bouquet</v>
          </cell>
          <cell r="K89" t="str">
            <v>Keep ready 2 bouquets of 10 roses each- white and red mix
Dono mein 10-10 rose 
Anish sir will pick in 40 mins</v>
          </cell>
          <cell r="T89" t="str">
            <v xml:space="preserve">R n W Rose 10 2 Bouquet    </v>
          </cell>
        </row>
        <row r="90">
          <cell r="B90" t="str">
            <v xml:space="preserve">Amita </v>
          </cell>
          <cell r="C90">
            <v>9910103697</v>
          </cell>
          <cell r="D90" t="str">
            <v xml:space="preserve">T 2 1202 North close </v>
          </cell>
          <cell r="G90" t="str">
            <v>6:30pm</v>
          </cell>
          <cell r="H90">
            <v>1350</v>
          </cell>
          <cell r="I90">
            <v>1350</v>
          </cell>
          <cell r="J90" t="str">
            <v>Bouquet</v>
          </cell>
          <cell r="T90" t="str">
            <v xml:space="preserve">Mix Flowers  Basket 1     </v>
          </cell>
        </row>
      </sheetData>
      <sheetData sheetId="19"/>
      <sheetData sheetId="20"/>
      <sheetData sheetId="21"/>
      <sheetData sheetId="22"/>
      <sheetData sheetId="23"/>
      <sheetData sheetId="24"/>
      <sheetData sheetId="25">
        <row r="2">
          <cell r="A2">
            <v>2246</v>
          </cell>
          <cell r="B2" t="str">
            <v>Amita Gupta</v>
          </cell>
          <cell r="C2">
            <v>9811985450</v>
          </cell>
          <cell r="D2" t="str">
            <v>146, Cedar Crest</v>
          </cell>
          <cell r="E2" t="str">
            <v>Nirvana Country</v>
          </cell>
          <cell r="F2" t="str">
            <v>Thursday</v>
          </cell>
          <cell r="G2" t="str">
            <v>9 AM - 12 PM</v>
          </cell>
          <cell r="H2">
            <v>1600</v>
          </cell>
          <cell r="I2">
            <v>200</v>
          </cell>
          <cell r="J2" t="str">
            <v>Bloom</v>
          </cell>
          <cell r="K2" t="str">
            <v>Return today (03/10) Change to bliss (23/10) No Orchid (24/10) Send a vase tom (20/08) Upgrade to bliss (17/12)</v>
          </cell>
          <cell r="L2" t="str">
            <v>Orchid</v>
          </cell>
          <cell r="M2" t="str">
            <v>1 Vase Tom (20/08)</v>
          </cell>
          <cell r="N2" t="str">
            <v>8  del of this cycle   -  0-cycles pmnt   Completed - Collect 0</v>
          </cell>
          <cell r="O2" t="str">
            <v>B Daisy ( 12 Inch ) 7     Grass</v>
          </cell>
          <cell r="P2" t="str">
            <v>Sunflower ( 12 Inch ) 2     FF Sachet + Grass</v>
          </cell>
          <cell r="Q2" t="str">
            <v>Rajni ( 14 Inch ) 7     Grass</v>
          </cell>
          <cell r="R2" t="str">
            <v>P Spray Daisy ( 14 Inch ) 2     FF Sachet + Grass</v>
          </cell>
          <cell r="S2" t="str">
            <v>G n W Car ( 14 Inch ) 7     FF Sachet + Grass</v>
          </cell>
          <cell r="T2" t="str">
            <v>Rajni ( 14 Inch ) 7     Grass</v>
          </cell>
        </row>
        <row r="3">
          <cell r="A3">
            <v>3358</v>
          </cell>
          <cell r="B3" t="str">
            <v>Prasenjit</v>
          </cell>
          <cell r="C3">
            <v>9990903321</v>
          </cell>
          <cell r="D3" t="str">
            <v>T-10/1001, Vipul Belmonte</v>
          </cell>
          <cell r="E3" t="str">
            <v>DLF Phase 5</v>
          </cell>
          <cell r="F3" t="str">
            <v>Sunday</v>
          </cell>
          <cell r="G3" t="str">
            <v>9 AM - 12 PM</v>
          </cell>
          <cell r="H3">
            <v>1950</v>
          </cell>
          <cell r="I3">
            <v>487.5</v>
          </cell>
          <cell r="J3" t="str">
            <v>Joy</v>
          </cell>
          <cell r="K3" t="str">
            <v xml:space="preserve">Send Long stem </v>
          </cell>
          <cell r="M3" t="str">
            <v>Long Stem// Seasonal Next (24/05)</v>
          </cell>
          <cell r="N3" t="str">
            <v>4  del of this cycle   -  0-cycles pmnt   Completed - Collect 0</v>
          </cell>
          <cell r="O3" t="str">
            <v>B Daisy ( 12 Inch ) 22     Grass</v>
          </cell>
          <cell r="P3" t="str">
            <v>Y Asiatic ( 14 Inch ) 4     Grass</v>
          </cell>
          <cell r="Q3" t="str">
            <v>Rajni ( 14 Inch ) 22     Grass</v>
          </cell>
          <cell r="R3" t="str">
            <v>P Asiatic ( 14 Inch ) 4     Grass</v>
          </cell>
          <cell r="S3" t="str">
            <v>Mix Alstroemeria ( 12 Inch ) 22     FF Sachet + Grass</v>
          </cell>
          <cell r="T3" t="str">
            <v>P n W Spray Daosy ( 14 Inch ) 7     FF Sachet + Grass</v>
          </cell>
        </row>
        <row r="4">
          <cell r="A4">
            <v>401</v>
          </cell>
          <cell r="B4" t="str">
            <v>Nameesha Verma -- Before 12PM</v>
          </cell>
          <cell r="C4">
            <v>9899240454</v>
          </cell>
          <cell r="D4" t="str">
            <v>D-4/102, Parsvanath Exotica</v>
          </cell>
          <cell r="E4" t="str">
            <v>DLF Phase 5</v>
          </cell>
          <cell r="F4" t="str">
            <v>Thursday</v>
          </cell>
          <cell r="G4" t="str">
            <v>Before 12 PM</v>
          </cell>
          <cell r="H4">
            <v>1600</v>
          </cell>
          <cell r="I4">
            <v>200</v>
          </cell>
          <cell r="J4" t="str">
            <v>Bloom</v>
          </cell>
          <cell r="K4" t="str">
            <v>Thursday n Sunday//Sat to Thurs//Send a repacement and No Rajni till it has fragrance(24/09)Skip 1 week(12/10)send  a replacement(22/11) Returne-send next week(13/12) Star 650 Pack(15/10) 17th Oct Del returned-pls update(07/11) Send Tom instead of sat this week(12/08) Sent a replacement today(01/09) Skip 1 week(12/11) Send on Monday this week(24/11) Skip this sunday (03/12) Sent replacement today (18/03) Send replacement tom (31/03) Skip 1 week (25/04) Now Bloom (19/05) Today returned (18/06) Skip 1 week (08/08) Hold n start after 8th Oct )(20/09) Skip next del (18/11) No Del till 2nd Jan (25/12) Skip tom (24/01) Hold till 17th Jube (05/06) Skip this sunday (18/07) Skip 1 week (13/08) Today returnde (16/01) Skip tom (15/02) Today returned as flowers got late (30/03) Hold till 12th Apr (02/04)Today Returned (11/05) Hold till 18th June (02/06) Hold till 18th June (02/06) Today Returned (13/09) Do not count last del (08/11) No Del till next wednesday (09/12) Hold todxay (28/12) Skip 1 week (04/02) 3 Car extra next (20/03) Skip 1 week (09/06)</v>
          </cell>
          <cell r="M4" t="str">
            <v>3 Car extra next (20/03)</v>
          </cell>
          <cell r="N4" t="str">
            <v>1  del of this cycle   -  1-cycles pmnt   Pending - Collect 1600</v>
          </cell>
          <cell r="O4" t="str">
            <v>Rajni ( 14 Inch ) 7     Grass</v>
          </cell>
          <cell r="P4" t="str">
            <v>P n W Glad ( 14 Inch ) 7     Grass</v>
          </cell>
          <cell r="Q4" t="str">
            <v>B Daisy ( 12 Inch ) 7     Grass</v>
          </cell>
          <cell r="R4" t="str">
            <v>Y Spray Daisy ( 14 Inch ) 2     FF Sachet + Grass</v>
          </cell>
          <cell r="S4" t="str">
            <v>Mix Glad ( 14 inch ) 7     Grass</v>
          </cell>
          <cell r="T4" t="str">
            <v>Sunflower ( 12 Inch ) 2     FF Sachet + Grass</v>
          </cell>
        </row>
        <row r="5">
          <cell r="A5">
            <v>2827</v>
          </cell>
          <cell r="B5" t="str">
            <v>Shelley Handa</v>
          </cell>
          <cell r="C5">
            <v>9899212888</v>
          </cell>
          <cell r="D5" t="str">
            <v>73, Cedar Crest</v>
          </cell>
          <cell r="E5" t="str">
            <v>Nirvana Country</v>
          </cell>
          <cell r="F5" t="str">
            <v>Sunday</v>
          </cell>
          <cell r="G5" t="str">
            <v>9 AM - 12 PM</v>
          </cell>
          <cell r="H5">
            <v>1450</v>
          </cell>
          <cell r="I5">
            <v>362.5</v>
          </cell>
          <cell r="J5" t="str">
            <v>Bliss</v>
          </cell>
          <cell r="K5" t="str">
            <v>Only Seasonal / Hold today due to non payment (02/10)  Send on Sunday this week (03/10) Hold due to non payment (09/10) Hold today and skip 2 week (27/11)  Paytm From Richa Handa (20/03)</v>
          </cell>
          <cell r="N5" t="str">
            <v>3  del of this cycle   -  0-cycles pmnt   Completed - Collect 0</v>
          </cell>
          <cell r="O5" t="e">
            <v>#N/A</v>
          </cell>
          <cell r="P5" t="e">
            <v>#N/A</v>
          </cell>
          <cell r="Q5" t="e">
            <v>#N/A</v>
          </cell>
          <cell r="R5" t="str">
            <v>G n W Car ( 14 Inch ) 16     FF Sachet + Grass</v>
          </cell>
          <cell r="S5" t="str">
            <v>Y Asiatic ( 14 Inch ) 3     Grass</v>
          </cell>
          <cell r="T5" t="str">
            <v>O Glad 16     FF Sachet + Grass</v>
          </cell>
        </row>
        <row r="6">
          <cell r="A6">
            <v>2774</v>
          </cell>
          <cell r="B6" t="str">
            <v>Vandana Thakran</v>
          </cell>
          <cell r="C6">
            <v>9899589964</v>
          </cell>
          <cell r="D6" t="str">
            <v>H. No. 35, Cedar Crest</v>
          </cell>
          <cell r="E6" t="str">
            <v>Nirvana Country</v>
          </cell>
          <cell r="F6" t="str">
            <v>Sunday</v>
          </cell>
          <cell r="G6" t="str">
            <v>9 AM - 12 PM</v>
          </cell>
          <cell r="H6">
            <v>1600</v>
          </cell>
          <cell r="I6">
            <v>200</v>
          </cell>
          <cell r="J6" t="str">
            <v>Bloom</v>
          </cell>
          <cell r="N6" t="str">
            <v>1  del of this cycle   -  1-cycles pmnt   Pending - Collect 1600</v>
          </cell>
          <cell r="O6" t="str">
            <v>B Daisy ( 12 Inch ) 7     Grass</v>
          </cell>
          <cell r="P6" t="str">
            <v>Sunflower ( 12 Inch ) 2     FF Sachet + Grass</v>
          </cell>
          <cell r="Q6" t="str">
            <v>B Daisy ( 12 Inch ) 7     Grass</v>
          </cell>
          <cell r="R6" t="str">
            <v>Y Spray Daisy ( 14 Inch ) 2     FF Sachet + Grass</v>
          </cell>
          <cell r="S6" t="str">
            <v>Mix Glad ( 14 inch ) 7     Grass</v>
          </cell>
          <cell r="T6" t="str">
            <v>R n W Car ( 14 Inch ) 7     FF Sachet + Grass</v>
          </cell>
        </row>
        <row r="7">
          <cell r="A7">
            <v>894</v>
          </cell>
          <cell r="B7" t="str">
            <v>Dr. Roma Kumar</v>
          </cell>
          <cell r="C7" t="str">
            <v>98110 87708</v>
          </cell>
          <cell r="D7" t="str">
            <v>RT-181, Royalton Tower
Inside Princeton Estate
DLF City Phase-V
Gurgaon-122009
Haryana</v>
          </cell>
          <cell r="E7" t="str">
            <v>DLF Phase 5</v>
          </cell>
          <cell r="F7" t="str">
            <v>Thursday</v>
          </cell>
          <cell r="G7" t="str">
            <v>9 AM - 12 PM</v>
          </cell>
          <cell r="H7">
            <v>3000</v>
          </cell>
          <cell r="I7">
            <v>375</v>
          </cell>
          <cell r="J7" t="str">
            <v>Charm</v>
          </cell>
          <cell r="K7" t="str">
            <v>Sun to Thursday//NO Roses(Old) PREFER-- WHITE ROSE/RAJNIGANDHA/CHRYSANTHEMUM(18/11) Skip 1 Week(25/12) Day Changed to Monday till Lovkdown(23/08/20) Send replacement of Lilies(20/10) Day Changed to Sunday-send 1 del today and then every Sunday(30/11) Paytm from Pooja M Tripathi(26/04) Sent replacement today(30/07) Paytm of Gignger lily and eustoma added(06/11) Skip 1 week(06/11)  20 Rajnio sent in Subscription(06/02) Skip today(13/02) Rajni Next(19/02) Rajni next(02/03) Skip 1 week(02/06) Skip Sunday Delivery(13/08) Skip this thursday Delivery (28/02) Skip 1 week (28/02) No Blue Orchid (06/04) Hold today and next Sunday also (12/09) Hold today n one more del (19/09) Skip 1 week (22/02) Skip this thursday (12/03) Send replacement tom (04/05) Skip on sunday (01/06) Skip today (01/06) Skip 1 week (24/11) Hold n start from 29th Jan (18/01) Hold today (02/07) Today Hold (12/07)</v>
          </cell>
          <cell r="L7" t="str">
            <v>ORCHID</v>
          </cell>
          <cell r="N7" t="str">
            <v>2  del of this cycle   -  1-cycles pmnt   Pending - Collect 3000</v>
          </cell>
          <cell r="O7" t="str">
            <v>B Daisy ( 12 Inch ) 15     Grass</v>
          </cell>
          <cell r="P7" t="str">
            <v>P Oriental ( 15 Inch ) 2     Grass</v>
          </cell>
          <cell r="Q7" t="str">
            <v>B Daisy ( 12 Inch ) 15     Grass</v>
          </cell>
          <cell r="R7" t="str">
            <v>P n Y Spray Daisy ( 14 Inch ) 4     FF Sachet + Grass</v>
          </cell>
          <cell r="S7" t="str">
            <v>P n Y Spray Daisy ( 14 Inch ) 4     FF Sachet + Grass</v>
          </cell>
          <cell r="T7" t="str">
            <v>W Oriental ( 15 Inch ) 2     Grass</v>
          </cell>
        </row>
        <row r="8">
          <cell r="A8">
            <v>2416</v>
          </cell>
          <cell r="B8" t="str">
            <v>Dinesh Dhir</v>
          </cell>
          <cell r="C8">
            <v>9810709096</v>
          </cell>
          <cell r="D8" t="str">
            <v>D-11/9, 1st Floor, DLF Exclusive Floors</v>
          </cell>
          <cell r="E8" t="str">
            <v>DLF Phase 5</v>
          </cell>
          <cell r="F8" t="str">
            <v>Sunday</v>
          </cell>
          <cell r="G8" t="str">
            <v>9 AM - 12 PM</v>
          </cell>
          <cell r="H8">
            <v>1450</v>
          </cell>
          <cell r="I8">
            <v>362.5</v>
          </cell>
          <cell r="J8" t="str">
            <v>Bliss</v>
          </cell>
          <cell r="K8" t="str">
            <v>Hold today n send next week (15/06) Add changed (17/05)</v>
          </cell>
          <cell r="N8" t="str">
            <v>1  del of this cycle   -  1-cycles pmnt   Pending - Collect 1450</v>
          </cell>
          <cell r="O8" t="str">
            <v>B Daisy ( 12 Inch ) 9     Grass</v>
          </cell>
          <cell r="P8" t="str">
            <v>P Asiatic ( 14 Inch ) 3     Grass</v>
          </cell>
          <cell r="Q8" t="str">
            <v>Pur n P Car ( 14 Inch ) 16     FF Sachet + Grass</v>
          </cell>
          <cell r="R8" t="str">
            <v>Rajni ( 14 Inch ) 16     Grass</v>
          </cell>
          <cell r="S8" t="str">
            <v>P n Y Spray Daisy ( 14 Inch ) 5     FF Sachet + Grass</v>
          </cell>
          <cell r="T8" t="str">
            <v>O Glad ( 14 Inch ) 16     Grass</v>
          </cell>
        </row>
        <row r="9">
          <cell r="A9">
            <v>2856</v>
          </cell>
          <cell r="B9" t="str">
            <v>Bonita Bhatnagar</v>
          </cell>
          <cell r="C9">
            <v>9958222833</v>
          </cell>
          <cell r="D9" t="str">
            <v>C-134, Block C, Mayfield Garden</v>
          </cell>
          <cell r="E9" t="str">
            <v>Nirvana Country</v>
          </cell>
          <cell r="F9" t="str">
            <v>Sunday</v>
          </cell>
          <cell r="G9" t="str">
            <v>5 PM to 8 PM</v>
          </cell>
          <cell r="H9">
            <v>1450</v>
          </cell>
          <cell r="I9">
            <v>362.5</v>
          </cell>
          <cell r="J9" t="str">
            <v>Bliss</v>
          </cell>
          <cell r="K9" t="str">
            <v>Upgraded as per scheme to Bliss for 5 Deliveries (22/08)</v>
          </cell>
          <cell r="N9" t="str">
            <v>4  del of this cycle   -  0-cycles pmnt   Completed - Collect 0</v>
          </cell>
          <cell r="O9" t="str">
            <v>P Eustoma ( 12 Inch ) 3     FF Sachet + Grass</v>
          </cell>
          <cell r="P9" t="str">
            <v>P n W Glad ( 14 Inch ) 16     Grass</v>
          </cell>
          <cell r="Q9" t="str">
            <v>Sunflower ( 12 Inch ) 4     FF Sachet + Grass</v>
          </cell>
          <cell r="R9" t="str">
            <v>Rajni ( 14 Inch ) 16     Grass</v>
          </cell>
          <cell r="S9" t="str">
            <v>O Asiatic ( 14 Inch ) 3     Grass</v>
          </cell>
          <cell r="T9" t="str">
            <v>Shd Pur  n W Car ( 14 Inch ) 16     FF Sachet + Grass</v>
          </cell>
        </row>
        <row r="10">
          <cell r="A10">
            <v>3384</v>
          </cell>
          <cell r="B10" t="str">
            <v>Saloni Gupta</v>
          </cell>
          <cell r="C10">
            <v>9810796682</v>
          </cell>
          <cell r="D10" t="str">
            <v>338, 3rd Floor, Espace</v>
          </cell>
          <cell r="E10" t="str">
            <v>Nirvana Country</v>
          </cell>
          <cell r="F10" t="str">
            <v>Thursday</v>
          </cell>
          <cell r="G10" t="str">
            <v>9 AM - 12 PM</v>
          </cell>
          <cell r="H10">
            <v>1545</v>
          </cell>
          <cell r="I10">
            <v>386.25</v>
          </cell>
          <cell r="J10" t="str">
            <v>Customized</v>
          </cell>
          <cell r="K10" t="str">
            <v>Sunday n Thursday//Pls Keep Flowers in Vase// Paytm from Mayank G (17/03) Sent replacememnt today (23/03) Skip 1 week (10/04) 2 Asiatic and 5 Rajni (27/07) Paytm friom Mayank Gupta (16/09) 2 Asiatic Lily in each delivery (16/10) Today returned (17/11) Skip this sunday (03/01) Thursday -- 10 Rose and 4 Rajni // Sunday - 2 Asiatic (19/01) Whenever possible-send red Roses (23/01) Skip tom (29/01) Today returned (22/05) Send replacement tom (27/07) Hold today (14/08) Do not count last delivery (04/09) Hold today (02/10) Hold today (12/10) Hold after this cycle (27/10) Do not count last del (31/10) 2 Asiatic + 4 Rajni + 4 Glad -- thrice in a week (30/12) 2 Asiatic and 4 Rajni bi weekly pack (08/03) 2 Asiatic and 8 Rajni Every time and send 8 Rajni tom (26/03) Today returned-send tom (19/04)</v>
          </cell>
          <cell r="N10" t="str">
            <v>1  del of this cycle   -  1-cycles pmnt   Pending - Collect 1545</v>
          </cell>
          <cell r="O10" t="e">
            <v>#N/A</v>
          </cell>
          <cell r="P10" t="e">
            <v>#N/A</v>
          </cell>
          <cell r="Q10" t="e">
            <v>#N/A</v>
          </cell>
          <cell r="R10" t="e">
            <v>#N/A</v>
          </cell>
          <cell r="S10" t="e">
            <v>#N/A</v>
          </cell>
          <cell r="T10" t="str">
            <v>Y Asiatic ( 14 Inch ) 3     Grass</v>
          </cell>
        </row>
        <row r="11">
          <cell r="A11">
            <v>3413</v>
          </cell>
          <cell r="B11" t="str">
            <v>Prashi</v>
          </cell>
          <cell r="C11">
            <v>6299258813</v>
          </cell>
          <cell r="D11" t="str">
            <v>H. No. 34, Apna Homes girls PG, Near Mall 51, Sec 51</v>
          </cell>
          <cell r="E11" t="str">
            <v>Artemis</v>
          </cell>
          <cell r="F11" t="str">
            <v>Saturday</v>
          </cell>
          <cell r="G11" t="str">
            <v>9 AM - 12 PM</v>
          </cell>
          <cell r="H11">
            <v>1450</v>
          </cell>
          <cell r="I11">
            <v>362.5</v>
          </cell>
          <cell r="J11" t="str">
            <v>Bliss</v>
          </cell>
          <cell r="N11" t="str">
            <v>2  del of this cycle   -  0-cycles pmnt   Completed - Collect 0</v>
          </cell>
          <cell r="O11" t="e">
            <v>#N/A</v>
          </cell>
          <cell r="P11" t="e">
            <v>#N/A</v>
          </cell>
          <cell r="Q11" t="e">
            <v>#N/A</v>
          </cell>
          <cell r="R11" t="e">
            <v>#N/A</v>
          </cell>
          <cell r="S11" t="str">
            <v>G n W Car ( 14 Inch ) 16     FF Sachet + Grass</v>
          </cell>
          <cell r="T11" t="str">
            <v>O Asiatic ( 14 Inch ) 3     Grass</v>
          </cell>
        </row>
        <row r="12">
          <cell r="A12">
            <v>2855</v>
          </cell>
          <cell r="B12" t="str">
            <v>Mini Deerwoood</v>
          </cell>
          <cell r="C12">
            <v>9818447542</v>
          </cell>
          <cell r="D12" t="str">
            <v xml:space="preserve"> 332, 4th Floor, Espace</v>
          </cell>
          <cell r="E12" t="str">
            <v>Nirvana Country</v>
          </cell>
          <cell r="F12" t="str">
            <v>Sunday</v>
          </cell>
          <cell r="G12" t="str">
            <v>9 AM - 12 PM</v>
          </cell>
          <cell r="H12">
            <v>1950</v>
          </cell>
          <cell r="I12">
            <v>487.5</v>
          </cell>
          <cell r="J12" t="str">
            <v>Joy</v>
          </cell>
          <cell r="N12" t="str">
            <v>2  del of this cycle   -  1-cycles pmnt   Pending - Collect 1950</v>
          </cell>
          <cell r="O12" t="str">
            <v>Pur Eustoma ( 12 Inch ) 2 B Daisy ( 12 Inch ) 11   FF Sachet + Grass</v>
          </cell>
          <cell r="P12" t="str">
            <v>Sunflower ( 12 Inch ) 3 Pur n P Car ( 14 Inch ) 11   FF Sachet + Grass</v>
          </cell>
          <cell r="Q12" t="str">
            <v>P Asiatic ( 14 Inch ) 2 Rajni ( 14 Inch ) 11   Grass</v>
          </cell>
          <cell r="R12" t="str">
            <v>P n Y Spray Daisy ( 14 Inch ) 4 P n W Glad ( 14 Inch ) 10   FF Sachet + Grass</v>
          </cell>
          <cell r="S12" t="str">
            <v>Pur Eustoma ( 12 Inch ) 2 Mix Car 11   FF Sachet + Grass</v>
          </cell>
          <cell r="T12" t="str">
            <v>W Asiatic ( 14 Inch ) 2 Rajni 11   Grass</v>
          </cell>
        </row>
        <row r="13">
          <cell r="A13">
            <v>3284</v>
          </cell>
          <cell r="B13" t="str">
            <v>Megha Sharma</v>
          </cell>
          <cell r="C13" t="str">
            <v>9643166797 // 7351797203</v>
          </cell>
          <cell r="D13" t="str">
            <v>338, Espace, 2nd Floor</v>
          </cell>
          <cell r="E13" t="str">
            <v>Nirvana Country</v>
          </cell>
          <cell r="F13" t="str">
            <v>Sunday</v>
          </cell>
          <cell r="G13" t="str">
            <v>4 PM to 7 PM</v>
          </cell>
          <cell r="H13">
            <v>1950</v>
          </cell>
          <cell r="I13">
            <v>487.5</v>
          </cell>
          <cell r="J13" t="str">
            <v>Joy</v>
          </cell>
          <cell r="K13" t="str">
            <v>Paytm From Megha Sharma</v>
          </cell>
          <cell r="N13" t="str">
            <v>1  del of this cycle   -  1-cycles pmnt   Pending - Collect 1950</v>
          </cell>
          <cell r="O13" t="str">
            <v>B Daisy ( 12 Inch ) 22     Grass</v>
          </cell>
          <cell r="P13" t="str">
            <v>Pur n P Car ( 14 Inch 22     FF Sachet + Grass</v>
          </cell>
          <cell r="Q13" t="str">
            <v>Rajni ( 14 Inch ) 22     Grass</v>
          </cell>
          <cell r="R13" t="str">
            <v>P Asiatic ( 14 Inch ) 4     Grass</v>
          </cell>
          <cell r="S13" t="str">
            <v>Mix Spray Daisy 7     FF Sachet + Grass</v>
          </cell>
          <cell r="T13" t="str">
            <v>Shd Pur n Y  Car 14     FF Sachet + Grass</v>
          </cell>
        </row>
        <row r="14">
          <cell r="A14">
            <v>2997</v>
          </cell>
          <cell r="B14" t="str">
            <v>Anjana Johar</v>
          </cell>
          <cell r="C14">
            <v>9650897576</v>
          </cell>
          <cell r="D14" t="str">
            <v>T-8/201, Fresco</v>
          </cell>
          <cell r="E14" t="str">
            <v>Nirvana Country</v>
          </cell>
          <cell r="F14" t="str">
            <v>Sunday</v>
          </cell>
          <cell r="G14" t="str">
            <v>4 Pm to 7 PM</v>
          </cell>
          <cell r="H14">
            <v>1450</v>
          </cell>
          <cell r="I14">
            <v>362.5</v>
          </cell>
          <cell r="J14" t="str">
            <v>Bliss</v>
          </cell>
          <cell r="K14" t="str">
            <v>Skip 2 week (03/11) Skip 1 week (14/11) Hold today n send tom (30/11) Hold n start after 9th Jan (08/12) Send Replacement tom (23/03) Send 1 vase also (23/03) No White Flowers (01/05) No Spray Daisy (05/05) Skip 1 week (08/05) Skip 2 week and start from 25th (13/06) Skip 1 week (10/07)</v>
          </cell>
          <cell r="L14" t="str">
            <v>Spray Daisy</v>
          </cell>
          <cell r="M14" t="str">
            <v>No White Flowers</v>
          </cell>
          <cell r="N14" t="str">
            <v>1  del of this cycle   -  1-cycles pmnt   Pending - Collect 1450</v>
          </cell>
          <cell r="O14" t="e">
            <v>#N/A</v>
          </cell>
          <cell r="P14" t="str">
            <v>Sunflower ( 12 Inch ) 4     FF Sachet + Grass</v>
          </cell>
          <cell r="Q14" t="str">
            <v>P Asiatic ( 14 Inch ) 3     Grass</v>
          </cell>
          <cell r="R14" t="e">
            <v>#N/A</v>
          </cell>
          <cell r="S14" t="str">
            <v>Pur n P Car ( 14 Inch ) 16     FF Sachet + Grass</v>
          </cell>
          <cell r="T14" t="str">
            <v>O Glad 16     FF Sachet + Grass</v>
          </cell>
        </row>
        <row r="15">
          <cell r="A15">
            <v>3245</v>
          </cell>
          <cell r="B15" t="str">
            <v>Parul Parihar</v>
          </cell>
          <cell r="C15">
            <v>9999903582</v>
          </cell>
          <cell r="D15" t="str">
            <v>502, Adhunil Appartments, Sec 52</v>
          </cell>
          <cell r="E15" t="str">
            <v>Artemis</v>
          </cell>
          <cell r="F15" t="str">
            <v>Sunday</v>
          </cell>
          <cell r="G15" t="str">
            <v>9 AM - 12 PM</v>
          </cell>
          <cell r="H15">
            <v>1450</v>
          </cell>
          <cell r="I15">
            <v>362.5</v>
          </cell>
          <cell r="J15" t="str">
            <v>Bliss</v>
          </cell>
          <cell r="N15" t="str">
            <v>1  del of this cycle   -  1-cycles pmnt   Pending - Collect 1450</v>
          </cell>
          <cell r="O15" t="str">
            <v>Pur Eustoma ( 12 Inch ) 3     FF Sachet + Grass</v>
          </cell>
          <cell r="P15" t="str">
            <v>P Asiatic ( 14 Inch ) 3     Grass</v>
          </cell>
          <cell r="Q15" t="str">
            <v>Rajni ( 14 Inch ) 16     Grass</v>
          </cell>
          <cell r="R15" t="str">
            <v>G n W Car ( 14 Inch ) 16     Grass</v>
          </cell>
          <cell r="S15" t="str">
            <v>P n Y Spray Daisy ( 14 Inch ) 5     FF Sachet + Grass</v>
          </cell>
          <cell r="T15" t="str">
            <v>O Glad ( 14 Inch ) 16     Grass</v>
          </cell>
        </row>
        <row r="16">
          <cell r="A16">
            <v>2316</v>
          </cell>
          <cell r="B16" t="str">
            <v>Gitanjali Kamra</v>
          </cell>
          <cell r="C16">
            <v>9811842976</v>
          </cell>
          <cell r="D16" t="str">
            <v>121, Espace, Nirvana Country</v>
          </cell>
          <cell r="E16" t="str">
            <v>Nirvana Country</v>
          </cell>
          <cell r="F16" t="str">
            <v>Sunday</v>
          </cell>
          <cell r="G16" t="str">
            <v>9 AM - 12 PM</v>
          </cell>
          <cell r="H16">
            <v>4750</v>
          </cell>
          <cell r="I16">
            <v>1187.5</v>
          </cell>
          <cell r="J16" t="str">
            <v>Enchantment</v>
          </cell>
          <cell r="K16" t="str">
            <v>Now Elation (21/09) Skip 1 week (17/12)</v>
          </cell>
          <cell r="N16" t="str">
            <v>4  del of this cycle   -  0-cycles pmnt   Completed - Collect 0</v>
          </cell>
          <cell r="O16" t="str">
            <v>P n Y Spray Daisy ( 14 Inch ) 10 Pur n P Car ( 14 Inch ) 30   3 Limonium</v>
          </cell>
          <cell r="P16" t="str">
            <v>BOP ( 14 Inch ) 6 Rajni ( 14 Inch ) 30   3 Gypsola</v>
          </cell>
          <cell r="Q16" t="str">
            <v>P Asiatic ( 14 Inch ) 6 Mix Alstroemeria ( 12 Inch ) 30   3 Areca Palm + 3 Limonium</v>
          </cell>
          <cell r="R16" t="str">
            <v>Sunflower ( 12 Inch ) 7 G n W Car ( 14 Inch ) 30   3 Areca palm + 3 Gypsola + FF Sachet</v>
          </cell>
          <cell r="S16" t="str">
            <v>P n Pur Eustoma ( 12 Inch ) 6 Mix Glad ( 14 Inch ) 30   3 Areca Palm + 3 Limonium + FF Sachet</v>
          </cell>
          <cell r="T16" t="str">
            <v>W Oriental ( 15 Inch ) 4 Mix Car 21   3 Areca Palm + 3 Gypsola</v>
          </cell>
        </row>
        <row r="17">
          <cell r="A17">
            <v>1140</v>
          </cell>
          <cell r="B17" t="str">
            <v>Nidhi Singh</v>
          </cell>
          <cell r="C17" t="str">
            <v>8383036664//9899389873</v>
          </cell>
          <cell r="D17" t="str">
            <v>D-8/3, Ground Floor DLF Exclusive Floors</v>
          </cell>
          <cell r="E17" t="str">
            <v>DLF Phase 5</v>
          </cell>
          <cell r="F17" t="str">
            <v>Thursday</v>
          </cell>
          <cell r="G17" t="str">
            <v>9 AM - 12 PM</v>
          </cell>
          <cell r="H17">
            <v>2300</v>
          </cell>
          <cell r="I17">
            <v>287.5</v>
          </cell>
          <cell r="J17" t="str">
            <v>Felicity</v>
          </cell>
          <cell r="K17" t="str">
            <v>Sunday n thursday //Monday n Thursday//Send Change of 200 Next(22/10) NO ROSE(22/11) Send Oriental next and send change of 2000 Next(27/11) NO ROSE // Heliconia Next(30/11) Send Change Next(13/04) 350 Received today via paytm(15/04) Flower Food Next(16/04) Send replacement of gerbera tom(20/04) Received 250 today(20/04) Send Replacement tom(20/04) Do Not Count 1 Del(22/04) Days-- Monday and Thursday(30/05) Gpay from Vivek Singh// Paytm from 9372779905-- Viveka(30/07) 1 Flower food next(01/04) Sent a replacement today(05/04) FF Next()8/04) Today del missed(02/06) REceived 1650 extra (28/12) Send replacement tom (29/08) Skip 1 week (17/10) 13th Flower Missed (17/11) Today Returned (18/12) Skip Tom (17/01) No Del from 21st to 27th July (10/07) Skip 1 week (03/12) Hold till 15th Dec (09/12) Skip this thursday (24/12) Skip on sunday (10/01) Hold till 31st Jan after 18th Del (17/01)</v>
          </cell>
          <cell r="L17" t="str">
            <v>ROSE</v>
          </cell>
          <cell r="N17" t="str">
            <v>8  del of this cycle   -  0-cycles pmnt   Completed - Collect 0</v>
          </cell>
          <cell r="O17" t="str">
            <v>B Daisy ( 12 Inch ) 11     Grass</v>
          </cell>
          <cell r="P17" t="str">
            <v>Sunflower ( 12 Inch ) 3     FF Sachet + Grass</v>
          </cell>
          <cell r="Q17" t="str">
            <v>O Asiatic ( 14 Inch ) 2     Grass</v>
          </cell>
          <cell r="R17" t="str">
            <v>Y Spray Daisy ( 14 Inch ) 2     FF Sachet + Grass</v>
          </cell>
          <cell r="S17" t="str">
            <v>Mix Glad ( 14 inch ) 11     Grass</v>
          </cell>
          <cell r="T17" t="str">
            <v>R n W Car ( 14 Inch ) 11     FF Sachet + Grass</v>
          </cell>
        </row>
        <row r="18">
          <cell r="A18">
            <v>1438</v>
          </cell>
          <cell r="B18" t="str">
            <v>Aishwarya G Aiyar</v>
          </cell>
          <cell r="C18">
            <v>9884857311</v>
          </cell>
          <cell r="D18" t="str">
            <v>A-173, The Pinnacle</v>
          </cell>
          <cell r="E18" t="str">
            <v>DLF Phase 5</v>
          </cell>
          <cell r="F18" t="str">
            <v>Thursday</v>
          </cell>
          <cell r="G18" t="str">
            <v>9 AM - 12 PM</v>
          </cell>
          <cell r="H18">
            <v>1600</v>
          </cell>
          <cell r="I18">
            <v>200</v>
          </cell>
          <cell r="J18" t="str">
            <v>Bloom</v>
          </cell>
          <cell r="K18" t="str">
            <v>Sunday n Thursday//Changed to Thursday//Ref By Vidya Raja(29/06) 10 Rajni and 10 Glad Next(03/07) Bop and car Next(10/07) Asiatic n car Next(17/07) Oriental and Rajni next(24/07) 3 Anthurium and 15 Glad tom(31/07) Mix of 2 flowers next(07/08) Sent replacement of Oriental today(26/08) NO HELICONIA and BOP and send Spray daisy(02/10) Skip 1 week(11/10) Now JOY(30/03) Skip 1 week(06/04) Holdn n skip this week(21/04) Skip 1 week(30/05) Hold n start from July(11/06) Skip this sunday delivery(05/08) Skip 1 week(30/08) Skip this sunday delivery(16/09) Paytm From Vivek Raja// Skip 1 week (26/04) Now bloom (01/05) Hold till 11th June (31/05) Hold n start from Aug and inform before sending (11/07) Skip 1 week (26/09) Today Retirned (02/11) Today Hold (16/11) Hold today 928/12) Hold for Thursday (05/03) Returned (10/03) Skip this sunday (24/05) Skip 1 week (02/06) Returned ltoday (29/08) Today Returned (05/09) Hols today (31/10) Skip 1 week (18/01) Skip this week (07/03) Skip 19th and 23rd (19/10) Hold 25th Del ( 23/01) Skip sunday (18/02) Skip sunday (27/03) Dont ring bell -- keep at Door (17/05) Skip thursday (15/06)</v>
          </cell>
          <cell r="N18" t="str">
            <v>8  del of this cycle   -  0-cycles pmnt   Completed - Collect 0</v>
          </cell>
          <cell r="O18" t="str">
            <v>B Daisy ( 12 Inch ) 7     Grass</v>
          </cell>
          <cell r="P18" t="str">
            <v>Sunflower ( 12 Inch ) 2     FF Sachet + Grass</v>
          </cell>
          <cell r="Q18" t="str">
            <v>Mix Alstroemeria 7     Grass</v>
          </cell>
          <cell r="R18" t="str">
            <v>G n W Car ( 14 Inch ) 7     FF Sachet + Grass</v>
          </cell>
          <cell r="S18" t="str">
            <v>Mix Glad ( 14 inch ) 7     Grass</v>
          </cell>
          <cell r="T18" t="str">
            <v>Alstromia 7     FF Sachet + Grass</v>
          </cell>
        </row>
        <row r="19">
          <cell r="A19">
            <v>3018</v>
          </cell>
          <cell r="B19" t="str">
            <v>Gurrit Kaur sethi</v>
          </cell>
          <cell r="C19">
            <v>9810918222</v>
          </cell>
          <cell r="D19" t="str">
            <v>T-2/201, Unitech Escape</v>
          </cell>
          <cell r="E19" t="str">
            <v>Nirvana Country</v>
          </cell>
          <cell r="F19" t="str">
            <v>Sunday</v>
          </cell>
          <cell r="G19" t="str">
            <v>9 AM - 12 PM</v>
          </cell>
          <cell r="H19">
            <v>1450</v>
          </cell>
          <cell r="I19">
            <v>362.5</v>
          </cell>
          <cell r="J19" t="str">
            <v>Bliss</v>
          </cell>
          <cell r="N19" t="str">
            <v>1  del of this cycle   -  1-cycles pmnt   Pending - Collect 1450</v>
          </cell>
          <cell r="O19" t="str">
            <v>B Daisy ( 12 Inch ) 9     Grass</v>
          </cell>
          <cell r="P19" t="str">
            <v>Pur n P Car ( 14 Inch 16     FF Sachet + Grass</v>
          </cell>
          <cell r="Q19" t="str">
            <v>O Asiatic ( 14 Inch ) 3     Grass</v>
          </cell>
          <cell r="R19" t="str">
            <v>Rajni ( 14 Inch ) 16     Grass</v>
          </cell>
          <cell r="S19" t="str">
            <v>P n Y Spray Daisy ( 14 Inch ) 5     FF Sachet + Grass</v>
          </cell>
          <cell r="T19" t="str">
            <v>O Glad 16     FF Sachet + Grass</v>
          </cell>
        </row>
        <row r="20">
          <cell r="A20">
            <v>1978</v>
          </cell>
          <cell r="B20" t="str">
            <v>Anu-- After 6 PM</v>
          </cell>
          <cell r="C20" t="str">
            <v>98103 39602</v>
          </cell>
          <cell r="D20" t="str">
            <v xml:space="preserve">Tower 6, 901 Fresco </v>
          </cell>
          <cell r="E20" t="str">
            <v>Nirvana Country</v>
          </cell>
          <cell r="F20" t="str">
            <v>Thursday</v>
          </cell>
          <cell r="G20" t="str">
            <v>4 Pm to 7 PM</v>
          </cell>
          <cell r="H20">
            <v>4850</v>
          </cell>
          <cell r="I20">
            <v>606.25</v>
          </cell>
          <cell r="J20" t="str">
            <v>Poise</v>
          </cell>
          <cell r="K20" t="str">
            <v xml:space="preserve"> Thursday n Sunday//No Rajni (14/03) No Rose n Gerbera n RAJNI// Skip this week n send on Tuesday evening slot (18/06) Send this Thursday to Friday (04/09) NO HELICONIA (13/09) Skip Thursday delivery (12/11) Send tom in morning (16/11) Skip Thursday del (19/11) Skip tom (23/11) Hold till 11th  (30/11) Dont send on Sunday (13/12) Skip sunday (20/12) Skip tom (08/02) Hold today (23/02) Skip 1 Week (01/06) Skip thursday Delivery (18/06) Skip this thursday and send on sunday after 6 PM (06/08) No BOP also (06/10) Do not count today del and sned on sat next (04/12) Skip saturda and sunday also (05/12) Hold today n send tom (11/12) Hold today (05/04) Hold today (16/04)</v>
          </cell>
          <cell r="L20" t="str">
            <v>ROSE n RAJNI n HELICONIA n BOP</v>
          </cell>
          <cell r="M20" t="str">
            <v>after 6 pm on 19th (16/04)</v>
          </cell>
          <cell r="N20" t="str">
            <v>5  del of this cycle   -  0-cycles pmnt   Completed - Collect 0</v>
          </cell>
          <cell r="O20" t="str">
            <v>P Asiatic ( 14 Inch ) 2 B Daisy ( 12 Inch ) 6 Pur n P Car ( 14 Inch ) 10 Grass</v>
          </cell>
          <cell r="P20" t="str">
            <v>Y Asiatic ( 14 Inch ) 2 B Daisy ( 12 Inch ) 6 P n W Glad ( 14 Inch ) 12 Grass</v>
          </cell>
          <cell r="Q20" t="str">
            <v>P Asiatic ( 14 Inch ) 2 B Daisy ( 12 Inch ) 6 Rajni ( 14 Inch ) 10 Grass</v>
          </cell>
          <cell r="R20" t="str">
            <v>Y Asiatic ( 14 Inch ) 2 P Spray Daisy ( 14 Inch ) 3 G n W Car ( 14 Inch ) 12 Grass</v>
          </cell>
          <cell r="S20" t="str">
            <v>W Asiatic ( 14 Inch ) 2 Pur n P Eustoma  4 Rajn ( 14 Inch ) 12 Grass</v>
          </cell>
          <cell r="T20" t="str">
            <v>Y Asiatic ( 14 Inch ) 2 Sunflower ( 12 Inch ) 3 Pur n P Car ( 14 Inch ) 12 Grass</v>
          </cell>
        </row>
        <row r="21">
          <cell r="A21">
            <v>870</v>
          </cell>
          <cell r="B21" t="str">
            <v>Himabindu Kanchan</v>
          </cell>
          <cell r="C21">
            <v>9892501292</v>
          </cell>
          <cell r="D21" t="str">
            <v xml:space="preserve">D -13, Pinnacle Dlf Phase - 5 </v>
          </cell>
          <cell r="E21" t="str">
            <v>DLF Phase 5</v>
          </cell>
          <cell r="F21" t="str">
            <v>Thursday</v>
          </cell>
          <cell r="G21" t="str">
            <v>9 AM - 12 PM</v>
          </cell>
          <cell r="H21">
            <v>1600</v>
          </cell>
          <cell r="I21">
            <v>200</v>
          </cell>
          <cell r="J21" t="str">
            <v>Bloom</v>
          </cell>
          <cell r="K21" t="str">
            <v>Sunday n Thursday//Fri to Thurs//FF Sold today(19/07) Skip n start from 23rd(08/08) P n Y Rose Next(15/11) 2 Stick Extra next(17/01) Hold-send tom(14/02) Orchids Next (18/08/20) Send 3 Sponge for 120 Rs.(19/08/20) Sending tom due to Diwali(11/11) Today returned-send next week(08/01) Skip 1 week(25/02) Skip 1 week(28/04) Glad Next(09/09) Skip 1 week(21/12) Skip 1 week(20/01) Hold Tom and skip 1 week(28/01) Skip 1 week(06/07) Receibved 695v extra today(23/07) Skip 2 weeks (21/12) Skip 1 week (08/02) No Renewal without payment (04/05) Hold today (28/12) Skip 1 week 902/01) Skip 1 week (07/02) Skip this sunday (16/02) Skip 1 week (06/04) Skip sunday del (09/05) Today hold (07/07) Hold HDTNP (12/03) tom (08/12) In form before sending (27/12) Skip next del (26/06) Hold today due to non payment (02/10) Skip week (22/12) HDTNP (01/03) HDTNP (04/03) HDTNP (08/03) HDTNP (14/03)</v>
          </cell>
          <cell r="N21" t="str">
            <v>3  del of this cycle   -  1-cycles pmnt   Pending - Collect 1600</v>
          </cell>
          <cell r="O21" t="str">
            <v>B Daisy ( 12 Inch ) 7     Grass</v>
          </cell>
          <cell r="P21" t="str">
            <v>P n W Glad ( 14 Inch ) 7     Grass</v>
          </cell>
          <cell r="Q21" t="str">
            <v>Mix Alstroemeria 7     Grass</v>
          </cell>
          <cell r="R21" t="str">
            <v>Rajni ( 14 Inch ) 7     Grass</v>
          </cell>
          <cell r="S21" t="str">
            <v>Mix Glad ( 14 inch ) 7     FF Sachet + Grass</v>
          </cell>
          <cell r="T21" t="str">
            <v>Alstromia 7     FF Sachet + Grass</v>
          </cell>
        </row>
        <row r="22">
          <cell r="A22">
            <v>945</v>
          </cell>
          <cell r="B22" t="str">
            <v>Ms. Shuchi Chopra</v>
          </cell>
          <cell r="C22">
            <v>9910984447</v>
          </cell>
          <cell r="D22" t="str">
            <v>Flat No. 703, M3M Golf Estate, Latitude Building</v>
          </cell>
          <cell r="E22" t="str">
            <v>Badshahpur</v>
          </cell>
          <cell r="F22" t="str">
            <v>Sunday</v>
          </cell>
          <cell r="G22" t="str">
            <v>9 AM - 12 PM</v>
          </cell>
          <cell r="H22">
            <v>1950</v>
          </cell>
          <cell r="I22">
            <v>487.5</v>
          </cell>
          <cell r="J22" t="str">
            <v>Joy</v>
          </cell>
          <cell r="K22" t="str">
            <v>Sunday n Thursday//All Flower 1 by 1 (23/11) Next time 1 stick extra(24/11) Extend by 1 week(31/12) Hold today-send tom(19/01) Send on Monday till Lockdown and send some pooja frlowers (23/08/20) Sending on 16th Due to Diwali(13/11) Send onmonday instead of Sunday(26/03) Change Package to 1250(17/04) Send Mandir Flowers tom(14/12) Skip 1 week(08/09) Collect cash and no del from 1st to 15 th (29/10) Send Replacement (25/02) 5 Exotic and 5 Norma lflowers (28/04)</v>
          </cell>
          <cell r="N22" t="str">
            <v>3  del of this cycle   -  0-cycles pmnt   In Process - Collect 0</v>
          </cell>
          <cell r="O22" t="str">
            <v>P Eustoma ( 12 Inch ) 2 Rajni ( 14 Inch ) 11   Grass</v>
          </cell>
          <cell r="P22" t="str">
            <v>Sunflower ( 12 Inch ) 2 Pur n P Car ( 14 Inch ) 11   FF Sachet + Grass</v>
          </cell>
          <cell r="Q22" t="str">
            <v>BOP 2 B Daisy ( 12 Inch ) 11   FF Sachet + Grass</v>
          </cell>
          <cell r="R22" t="str">
            <v>P Asiatic ( 14 Inch ) 2 Mix Alstroemeria ( 12 Inch ) 10   Grass</v>
          </cell>
          <cell r="S22" t="str">
            <v>P n Y Spray Daisy ( 14 Inch ) 4 Mix Glad ( 14 Inch ) 11   FF Sachet + Grass</v>
          </cell>
          <cell r="T22" t="str">
            <v>Pur Eustoma ( 12 Inch ) 2 P n W Car ( 14 Inch ) 11   FF Sachet + Grass</v>
          </cell>
        </row>
        <row r="23">
          <cell r="A23" t="str">
            <v>B56559</v>
          </cell>
          <cell r="B23" t="str">
            <v>Hitesh Kumar</v>
          </cell>
          <cell r="C23">
            <v>9650111956</v>
          </cell>
          <cell r="D23" t="str">
            <v>T-1/801, Uniworld Gardens</v>
          </cell>
          <cell r="E23" t="str">
            <v>Sohna Road 1</v>
          </cell>
          <cell r="F23" t="str">
            <v>Sunday</v>
          </cell>
          <cell r="G23" t="str">
            <v>By 10 AM</v>
          </cell>
          <cell r="H23">
            <v>1900</v>
          </cell>
          <cell r="I23">
            <v>1900</v>
          </cell>
          <cell r="J23" t="str">
            <v>Bouquet</v>
          </cell>
          <cell r="K23" t="str">
            <v>From Raj Kumar // 12 Sunflower in Single Wrap // Happy Golden Birthday… Stay blessed always… From Papa n Mommy (25/07)</v>
          </cell>
          <cell r="N23" t="str">
            <v>1  del of this cycle   -  0-cycles pmnt   Completed - Collect 0</v>
          </cell>
          <cell r="O23" t="e">
            <v>#N/A</v>
          </cell>
          <cell r="P23" t="e">
            <v>#N/A</v>
          </cell>
          <cell r="Q23" t="e">
            <v>#N/A</v>
          </cell>
          <cell r="R23" t="e">
            <v>#N/A</v>
          </cell>
          <cell r="S23" t="e">
            <v>#N/A</v>
          </cell>
          <cell r="T23" t="str">
            <v xml:space="preserve">Sunflower ( 12 Inch ) 12 Single Wrap Message   </v>
          </cell>
        </row>
        <row r="24">
          <cell r="A24">
            <v>2307</v>
          </cell>
          <cell r="B24" t="str">
            <v>Alpna Jain</v>
          </cell>
          <cell r="C24">
            <v>9599336609</v>
          </cell>
          <cell r="D24" t="str">
            <v>C-64, The Icon</v>
          </cell>
          <cell r="E24" t="str">
            <v>DLF Phase 5</v>
          </cell>
          <cell r="F24" t="str">
            <v>Thursday</v>
          </cell>
          <cell r="G24" t="str">
            <v>10 AM to 2:30 PM</v>
          </cell>
          <cell r="H24">
            <v>3000</v>
          </cell>
          <cell r="I24">
            <v>375</v>
          </cell>
          <cell r="J24" t="str">
            <v>Charm</v>
          </cell>
          <cell r="K24" t="str">
            <v>Thursday n Sunday // Hold today (08/02) Keep flowers outside of Door (17/05)</v>
          </cell>
          <cell r="M24" t="str">
            <v>Keep flowers outside of door always</v>
          </cell>
          <cell r="N24" t="str">
            <v>3  del of this cycle   -  1-cycles pmnt   Pending - Collect 3000</v>
          </cell>
          <cell r="O24" t="str">
            <v>Rajni ( 14 Inch ) 15 Keep Flowers at Door -- Don’t Call or Knock    Grass</v>
          </cell>
          <cell r="P24" t="str">
            <v>Y Asiatic ( 14 Inch ) 3 Keep Flowers at door -- Don’t Call or ring the bell    Grass</v>
          </cell>
          <cell r="Q24" t="str">
            <v>P n W Glad ( 14 Inch ) 15 Keep Flowesr at Door -- Don’t Ring Bell, Don’t Call    Grass</v>
          </cell>
          <cell r="R24" t="str">
            <v>Rajni ( 14 Inch ) 15 Keep Outside of Door -- Don’t Ring bell and don’t call    Grass</v>
          </cell>
          <cell r="S24" t="str">
            <v>G n W Car ( 14 Inch ) 15 Keep at door -- don’t call or knock door    FF Sachet + Grass</v>
          </cell>
          <cell r="T24" t="str">
            <v>Rajni ( 14 Inch ) 15 Keep at Door -- Don’t call or ring bell    FF Sachet + Grass</v>
          </cell>
        </row>
        <row r="25">
          <cell r="A25">
            <v>2779</v>
          </cell>
          <cell r="B25" t="str">
            <v>Riddhi Desai</v>
          </cell>
          <cell r="C25">
            <v>8130497969</v>
          </cell>
          <cell r="D25" t="str">
            <v>D-71, The Icon</v>
          </cell>
          <cell r="E25" t="str">
            <v>Golf Course Road</v>
          </cell>
          <cell r="F25" t="str">
            <v>Sunday</v>
          </cell>
          <cell r="G25" t="str">
            <v>9 AM to 2 PM</v>
          </cell>
          <cell r="H25">
            <v>1600</v>
          </cell>
          <cell r="I25">
            <v>200</v>
          </cell>
          <cell r="J25" t="str">
            <v>Bloom</v>
          </cell>
          <cell r="K25" t="str">
            <v>Send this week on Saturday (14/08) Skip 1 week (21/12) Hold till 2nd June (20/05)</v>
          </cell>
          <cell r="N25" t="str">
            <v>5  del of this cycle   -  0-cycles pmnt   Completed - Collect 0</v>
          </cell>
          <cell r="O25" t="str">
            <v>P n W Glad ( 14 Inch ) 7     Grass</v>
          </cell>
          <cell r="P25" t="str">
            <v>Pur n P Car ( 14 Inch 7     FF Sachet + Grass</v>
          </cell>
          <cell r="Q25" t="str">
            <v>Mix Alstroemeria 7     Grass</v>
          </cell>
          <cell r="R25" t="str">
            <v>Y Spray Daisy ( 14 Inch ) 2     FF Sachet + Grass</v>
          </cell>
          <cell r="S25" t="str">
            <v>Sunflower ( 12 Inch )  2     FF Sachet + Grass</v>
          </cell>
          <cell r="T25" t="str">
            <v>R n W Car ( 14 Inch ) 7     FF Sachet + Grass</v>
          </cell>
        </row>
        <row r="26">
          <cell r="A26">
            <v>2637</v>
          </cell>
          <cell r="B26" t="str">
            <v>Shalini Kohli</v>
          </cell>
          <cell r="C26">
            <v>9999834141</v>
          </cell>
          <cell r="D26" t="str">
            <v>A-1402, Ireo Victory Valley</v>
          </cell>
          <cell r="E26" t="str">
            <v>Badshahpur</v>
          </cell>
          <cell r="F26" t="str">
            <v>Sunday</v>
          </cell>
          <cell r="G26" t="str">
            <v>9 AM - 12 PM</v>
          </cell>
          <cell r="H26">
            <v>1950</v>
          </cell>
          <cell r="I26">
            <v>487.5</v>
          </cell>
          <cell r="J26" t="str">
            <v>Joy</v>
          </cell>
          <cell r="K26" t="str">
            <v>Send on Monday instead of Sunday this week (28/05) Returned (10/08) Skip 1 week (28/08) Send replacement tom (19/10) Hold due to non payment (01/02) Send one del tom (03/02) Skip 2 week )7/03) Sent one del today (28/03) Returned (17/05) Returned today -- Death in Family (07/06) Today Returned (14/06)</v>
          </cell>
          <cell r="N26" t="str">
            <v>1  del of this cycle   -  1-cycles pmnt   Pending - Collect 1950</v>
          </cell>
          <cell r="O26" t="str">
            <v>P Asiatic ( 14 Inch ) 2 P n W Glad ( 14 Inch ) 11   Grass</v>
          </cell>
          <cell r="P26" t="str">
            <v>Sunflower ( 12 Inch ) 3 Rajni ( 14 Inch ) 11   FF Sachet + Grass</v>
          </cell>
          <cell r="Q26" t="str">
            <v>BOP 2 Pur n P Car ( 14 Inch ) 11   FF Sachet + Grass</v>
          </cell>
          <cell r="R26" t="str">
            <v>P n Y Spray Daisy ( 14 Inch ) 4 Mix Alstroemeria ( 12 Inch ) 10   FF Sachet + Grass</v>
          </cell>
          <cell r="S26" t="str">
            <v>O Asiatic ( 14 Inch ) 2 Mix Glad ( 14 Inch ) 11   Grass</v>
          </cell>
          <cell r="T26" t="str">
            <v>Sunflower ( 12 Inch ) 3 Mix Car 11   FF Sachet + Grass</v>
          </cell>
        </row>
        <row r="27">
          <cell r="A27">
            <v>2368</v>
          </cell>
          <cell r="B27" t="str">
            <v>Jasbir Singh</v>
          </cell>
          <cell r="C27">
            <v>9997092561</v>
          </cell>
          <cell r="D27" t="str">
            <v>Amber, 4th Floor, Universal Trade Centre</v>
          </cell>
          <cell r="E27" t="str">
            <v>Sohna Road 1</v>
          </cell>
          <cell r="F27" t="str">
            <v>Sunday</v>
          </cell>
          <cell r="G27" t="str">
            <v>By 7 PM</v>
          </cell>
          <cell r="H27">
            <v>12800</v>
          </cell>
          <cell r="I27">
            <v>3200</v>
          </cell>
          <cell r="J27" t="str">
            <v>Corporate</v>
          </cell>
          <cell r="N27" t="str">
            <v>4  del of this cycle   -  0-cycles pmnt   In Process - Collect 0</v>
          </cell>
          <cell r="O27" t="str">
            <v xml:space="preserve">Arrangement 1     </v>
          </cell>
          <cell r="P27" t="str">
            <v xml:space="preserve">Arrangement 1     </v>
          </cell>
          <cell r="Q27" t="str">
            <v xml:space="preserve">Arrangement 1     </v>
          </cell>
          <cell r="R27" t="str">
            <v xml:space="preserve">Arrangement 1     </v>
          </cell>
          <cell r="S27" t="str">
            <v xml:space="preserve">Arrangement 1     </v>
          </cell>
          <cell r="T27" t="str">
            <v xml:space="preserve">Arrangement 1     </v>
          </cell>
        </row>
        <row r="28">
          <cell r="A28">
            <v>2869</v>
          </cell>
          <cell r="B28" t="str">
            <v>Jaya Wanchoo</v>
          </cell>
          <cell r="C28">
            <v>8130245666</v>
          </cell>
          <cell r="D28" t="str">
            <v xml:space="preserve">T-8/603, The Close North
</v>
          </cell>
          <cell r="E28" t="str">
            <v>Nirvana Country</v>
          </cell>
          <cell r="F28" t="str">
            <v>Sunday</v>
          </cell>
          <cell r="G28" t="str">
            <v>10 AM to 2:30 PM</v>
          </cell>
          <cell r="H28">
            <v>2750</v>
          </cell>
          <cell r="I28">
            <v>687.5</v>
          </cell>
          <cell r="J28" t="str">
            <v>Elation</v>
          </cell>
          <cell r="N28" t="str">
            <v>3  del of this cycle   -  0-cycles pmnt   Completed - Collect 0</v>
          </cell>
          <cell r="O28" t="str">
            <v>P n Y Spray Daisy ( 14 Inch ) 5 B Daisy ( 12 Inch ) 16   2 Gypsola + FF Sachet</v>
          </cell>
          <cell r="P28" t="str">
            <v>Sunflower ( 12 Inch ) 4 P n W Glad ( 14 Inch ) 16   2 Limonium + FF sachet</v>
          </cell>
          <cell r="Q28" t="str">
            <v>BOP 3 Rajni ( 14 Inch ) 16   2 Gypsola</v>
          </cell>
          <cell r="R28" t="str">
            <v>P Asiatic ( 14 Inch ) 3 G n W Car ( 14 Inch ) 16   2 Limonium</v>
          </cell>
          <cell r="S28" t="str">
            <v>P n Pur Eustoma ( 12 Inch ) 4 Glad 16   2 Gypsola + FF sachet + Grass</v>
          </cell>
          <cell r="T28" t="str">
            <v>W n Y Spray Daisy ( 14 Inch ) 5 Mix Car 16   FF Sachet + Grass</v>
          </cell>
        </row>
        <row r="29">
          <cell r="A29">
            <v>3282</v>
          </cell>
          <cell r="B29" t="str">
            <v>Pluang Technologies India Pvt. Ltd.</v>
          </cell>
          <cell r="C29">
            <v>9650723437</v>
          </cell>
          <cell r="D29" t="str">
            <v>13th Floor, Magnum Global Park, Sec 58</v>
          </cell>
          <cell r="E29" t="str">
            <v>Ghata</v>
          </cell>
          <cell r="F29" t="str">
            <v>Sunday</v>
          </cell>
          <cell r="G29" t="str">
            <v>4 Pm to 7 PM</v>
          </cell>
          <cell r="H29">
            <v>1950</v>
          </cell>
          <cell r="I29">
            <v>487.5</v>
          </cell>
          <cell r="J29" t="str">
            <v>Joy</v>
          </cell>
          <cell r="K29" t="str">
            <v>Payment from Vibhuti --997176764 (10/03) Paytm From Sahiba Sachdeva (08/04)</v>
          </cell>
          <cell r="N29" t="str">
            <v>1  del of this cycle   -  0-cycles pmnt   Completed - Collect 0</v>
          </cell>
          <cell r="O29" t="str">
            <v>P n Y Spray Daisy ( 14 Inch ) 4 P n W Glad ( 14 Inch ) 11   FF Sachet + Grass</v>
          </cell>
          <cell r="P29" t="str">
            <v>Sunflower ( 12 Inch ) 3 Rajni ( 14 Inch ) 11   FF Sachet + Grass</v>
          </cell>
          <cell r="Q29" t="str">
            <v>O Asiatic ( 14 Inch ) 2 P n W Glad ( 14 Inch ) 11   Grass</v>
          </cell>
          <cell r="R29" t="str">
            <v>P n Y Spray Daisy ( 14 Inch ) 4 Mix Carnation 10   FF Sachet + Grass</v>
          </cell>
          <cell r="S29" t="str">
            <v>Pur Eustoma ( 12 Inch ) 2 Rajni 11   FF Sachet + Grass</v>
          </cell>
          <cell r="T29" t="str">
            <v>Sunflower ( 12 Inch ) 3 O Glad 11   FF Sachet + Grass</v>
          </cell>
        </row>
        <row r="30">
          <cell r="A30" t="str">
            <v>B56435</v>
          </cell>
          <cell r="B30" t="str">
            <v>Anupma Triginayat</v>
          </cell>
          <cell r="C30">
            <v>9971637210</v>
          </cell>
          <cell r="D30" t="str">
            <v>A-201, GPL Eden Heights, Sec 70</v>
          </cell>
          <cell r="E30" t="str">
            <v>Badshahpur</v>
          </cell>
          <cell r="F30" t="str">
            <v>Sunday</v>
          </cell>
          <cell r="G30" t="str">
            <v>By 11 AM</v>
          </cell>
          <cell r="H30">
            <v>600</v>
          </cell>
          <cell r="I30">
            <v>600</v>
          </cell>
          <cell r="J30" t="str">
            <v>Bouquet</v>
          </cell>
          <cell r="K30" t="str">
            <v>From Rotary Club// Wish you a very Happy Birthday.  From RCGQE (11/07)</v>
          </cell>
          <cell r="N30" t="str">
            <v>1  del of this cycle   -  0-cycles pmnt   In Process - Collect 0</v>
          </cell>
          <cell r="O30" t="e">
            <v>#N/A</v>
          </cell>
          <cell r="P30" t="e">
            <v>#N/A</v>
          </cell>
          <cell r="Q30" t="e">
            <v>#N/A</v>
          </cell>
          <cell r="R30" t="e">
            <v>#N/A</v>
          </cell>
          <cell r="S30" t="e">
            <v>#N/A</v>
          </cell>
          <cell r="T30" t="str">
            <v xml:space="preserve">P n W Car  15 Walkin Tissue Wrap Message   </v>
          </cell>
        </row>
        <row r="31">
          <cell r="A31">
            <v>2639</v>
          </cell>
          <cell r="B31" t="str">
            <v>Bhanupriya Sharma</v>
          </cell>
          <cell r="C31">
            <v>9799191916</v>
          </cell>
          <cell r="D31" t="str">
            <v>37, Abundance Appartment, 4th Floor, D Block, Indira Colony-2, Sec 52 , Behind Arihant Hospital</v>
          </cell>
          <cell r="E31" t="str">
            <v>Artemis</v>
          </cell>
          <cell r="F31" t="str">
            <v>Sunday</v>
          </cell>
          <cell r="G31" t="str">
            <v>9 AM - 12 PM</v>
          </cell>
          <cell r="H31">
            <v>1450</v>
          </cell>
          <cell r="I31">
            <v>487.5</v>
          </cell>
          <cell r="J31" t="str">
            <v>Bliss</v>
          </cell>
          <cell r="K31" t="str">
            <v>Skip 1 week (16/05) today returned (06/07) Change day to delight (02/11) Paytm from Rajeev Bhambani (05/11) Upgrade to Bliss (24/01) Paytm From Aluma Care (25/03) No Lily (16/05)</v>
          </cell>
          <cell r="L31" t="str">
            <v>Lily</v>
          </cell>
          <cell r="M31" t="str">
            <v>One kInd in Bliss</v>
          </cell>
          <cell r="N31" t="str">
            <v>3  del of this cycle   -  0-cycles pmnt   Completed - Collect 0</v>
          </cell>
          <cell r="O31" t="str">
            <v>P n W Glad ( 14 Inch ) 16     Grass</v>
          </cell>
          <cell r="P31" t="str">
            <v>Sunflower ( 12 Inch ) 4     FF Sachet + Grass</v>
          </cell>
          <cell r="Q31" t="str">
            <v>Rajni ( 14 Inch ) 16     Grass</v>
          </cell>
          <cell r="R31" t="str">
            <v>P n Y Spray Daisy ( 14 Inch ) 5     FF Sachet + Grass</v>
          </cell>
          <cell r="S31" t="str">
            <v>G n W Car ( 14 Inch ) 16     FF Sachet + Grass</v>
          </cell>
          <cell r="T31" t="str">
            <v>O Glad 16     FF Sachet + Grass</v>
          </cell>
        </row>
        <row r="32">
          <cell r="A32">
            <v>3401</v>
          </cell>
          <cell r="B32" t="str">
            <v>Asheesh Handa</v>
          </cell>
          <cell r="C32">
            <v>7042482828</v>
          </cell>
          <cell r="D32" t="str">
            <v>H. No. 28, Ground Floor, M2k Whitehouse, Sector 57</v>
          </cell>
          <cell r="E32" t="str">
            <v>Artemis</v>
          </cell>
          <cell r="F32" t="str">
            <v>Sunday</v>
          </cell>
          <cell r="G32" t="str">
            <v>9 AM to 2 PM</v>
          </cell>
          <cell r="H32">
            <v>1450</v>
          </cell>
          <cell r="I32">
            <v>362.5</v>
          </cell>
          <cell r="J32" t="str">
            <v>Bliss</v>
          </cell>
          <cell r="N32" t="str">
            <v>4  del of this cycle   -  0-cycles pmnt   Completed - Collect 0</v>
          </cell>
          <cell r="O32" t="e">
            <v>#N/A</v>
          </cell>
          <cell r="P32" t="e">
            <v>#N/A</v>
          </cell>
          <cell r="Q32" t="str">
            <v>Pur n P Car ( 14 Inch ) 16     FF Sachet + Grass</v>
          </cell>
          <cell r="R32" t="str">
            <v>Sunflower ( 12 Inch ) 4     FF Sachet + Grass</v>
          </cell>
          <cell r="S32" t="str">
            <v>Mix Glad ( 14 inch ) 16     Grass</v>
          </cell>
          <cell r="T32" t="str">
            <v>O Asiatic ( 14 Inch ) 3     Grass</v>
          </cell>
        </row>
        <row r="33">
          <cell r="A33">
            <v>2450</v>
          </cell>
          <cell r="B33" t="str">
            <v xml:space="preserve">Anshuman Divyanshu </v>
          </cell>
          <cell r="C33">
            <v>9934010124</v>
          </cell>
          <cell r="D33" t="str">
            <v>G-1401, Bestech Park View Spa Next</v>
          </cell>
          <cell r="E33" t="str">
            <v>Badshahpur</v>
          </cell>
          <cell r="F33" t="str">
            <v>Sunday</v>
          </cell>
          <cell r="G33" t="str">
            <v>9:30 Am to 2 PM</v>
          </cell>
          <cell r="H33">
            <v>1450</v>
          </cell>
          <cell r="I33">
            <v>362.5</v>
          </cell>
          <cell r="J33" t="str">
            <v>Bliss</v>
          </cell>
          <cell r="K33" t="str">
            <v>Insta // return today (24/08) Hold today (28/09) HDTNP (03/05) Skip 1 week (06/06)</v>
          </cell>
          <cell r="N33" t="str">
            <v>4  del of this cycle   -  0-cycles pmnt   Completed - Collect 0</v>
          </cell>
          <cell r="O33" t="str">
            <v>B Daisy ( 12 Inch ) 9     Grass</v>
          </cell>
          <cell r="P33" t="str">
            <v>Sunflower ( 12 Inch ) 2     FF Sachet + Grass</v>
          </cell>
          <cell r="Q33" t="str">
            <v>Pur n P Car ( 14 Inch ) 16     FF Sachet + Grass</v>
          </cell>
          <cell r="R33" t="str">
            <v>Rajni ( 14 Inch ) 16     Grass</v>
          </cell>
          <cell r="S33" t="str">
            <v>P n Y Spray Daisy ( 14 Inch ) 5     FF Sachet + Grass</v>
          </cell>
          <cell r="T33" t="str">
            <v>O Asiatic ( 14 Inch ) 3     Grass</v>
          </cell>
        </row>
        <row r="34">
          <cell r="A34">
            <v>2724</v>
          </cell>
          <cell r="B34" t="str">
            <v>Kavita Dahiya</v>
          </cell>
          <cell r="C34">
            <v>9873400017</v>
          </cell>
          <cell r="D34" t="str">
            <v>H. No. 1391, 2nd Floor,  Sec-57 Part -2</v>
          </cell>
          <cell r="E34" t="str">
            <v>Artemis</v>
          </cell>
          <cell r="F34" t="str">
            <v>Sunday</v>
          </cell>
          <cell r="G34" t="str">
            <v>9:30 AM to 2 PM</v>
          </cell>
          <cell r="H34">
            <v>1450</v>
          </cell>
          <cell r="I34">
            <v>362.5</v>
          </cell>
          <cell r="J34" t="str">
            <v>Bliss</v>
          </cell>
          <cell r="K34" t="str">
            <v>Send on Sunday this week (27/08) No gerbera (12/09) No Sunflowers (15/11) Skip 1 week (30/12) Hold n collect 500 tom (25/02)</v>
          </cell>
          <cell r="L34" t="str">
            <v>Gerbera n Sunflower</v>
          </cell>
          <cell r="N34" t="str">
            <v>2  del of this cycle   -  0-cycles pmnt   CompletedNO COLLECTION-we have extra money - Collect -9</v>
          </cell>
          <cell r="O34" t="str">
            <v>Pur n P Car ( 14 Inch ) 16     FF Sachet + Grass</v>
          </cell>
          <cell r="P34" t="str">
            <v>Sunflower ( 12 Inch ) 4     FF Sachet + Grass</v>
          </cell>
          <cell r="Q34" t="str">
            <v>Rajni ( 14 Inch ) 16     Grass</v>
          </cell>
          <cell r="R34" t="str">
            <v>O Asiatic ( 14 Inch ) 3     Grass</v>
          </cell>
          <cell r="S34" t="str">
            <v>Mix Alstroemeria ( 12 Inch ) 16     FF Sachet + Grass</v>
          </cell>
          <cell r="T34" t="str">
            <v>P n W Spray Daosy ( 14 Inch ) 5     FF Sachet + Grass</v>
          </cell>
        </row>
        <row r="35">
          <cell r="A35">
            <v>3179</v>
          </cell>
          <cell r="B35" t="str">
            <v>Bandhana</v>
          </cell>
          <cell r="C35">
            <v>98188998617</v>
          </cell>
          <cell r="D35" t="str">
            <v>T-5/902, Tata Primanti</v>
          </cell>
          <cell r="E35" t="str">
            <v>Badshahpur</v>
          </cell>
          <cell r="F35" t="str">
            <v>Sunday</v>
          </cell>
          <cell r="G35" t="str">
            <v>9 AM - 12 PM</v>
          </cell>
          <cell r="H35">
            <v>1950</v>
          </cell>
          <cell r="I35">
            <v>487.5</v>
          </cell>
          <cell r="J35" t="str">
            <v>Joy</v>
          </cell>
          <cell r="K35" t="str">
            <v>Single Kind // Replacement tom (08/03) No Spray Daisy and BOP (31/03)</v>
          </cell>
          <cell r="L35" t="str">
            <v>Spray Daisy n BOP</v>
          </cell>
          <cell r="M35" t="str">
            <v>Single Kind</v>
          </cell>
          <cell r="N35" t="str">
            <v>4  del of this cycle   -  0-cycles pmnt   Completed - Collect 0</v>
          </cell>
          <cell r="O35" t="str">
            <v>Pur n P Car ( 14 Inch ) 22     FF Sachet + Grass</v>
          </cell>
          <cell r="P35" t="str">
            <v>Pur n P Eustoma ( 12 Inch ) 4     FF Sachet + Grass</v>
          </cell>
          <cell r="Q35" t="str">
            <v>Rajni ( 14 Inch ) 22     Grass</v>
          </cell>
          <cell r="R35" t="str">
            <v>P n Y Spray Daisy ( 14 Inch ) 7     FF Sachet + Grass</v>
          </cell>
          <cell r="S35" t="str">
            <v>O Asiatic ( 14 Inch ) 4     Grass</v>
          </cell>
          <cell r="T35" t="str">
            <v>O Glad 22     FF Sachet + Grass</v>
          </cell>
        </row>
        <row r="36">
          <cell r="A36">
            <v>3274</v>
          </cell>
          <cell r="B36" t="str">
            <v>Meera Singh</v>
          </cell>
          <cell r="C36">
            <v>9810401220</v>
          </cell>
          <cell r="D36" t="str">
            <v>138, Tatvam Villas, Sec 48</v>
          </cell>
          <cell r="E36" t="str">
            <v>Sohna Road 2</v>
          </cell>
          <cell r="F36" t="str">
            <v>Sunday</v>
          </cell>
          <cell r="G36" t="str">
            <v>9 AM - 12 PM</v>
          </cell>
          <cell r="H36">
            <v>1950</v>
          </cell>
          <cell r="I36">
            <v>487.5</v>
          </cell>
          <cell r="J36" t="str">
            <v>Joy</v>
          </cell>
          <cell r="K36" t="str">
            <v>No Lilies and Sunflower (20/02) Skip 1 week (28/03) Paytm From Singh M (06/04) No Sunflower n Asiatic (02/05)</v>
          </cell>
          <cell r="L36" t="str">
            <v>Asiatic n Sunflowers</v>
          </cell>
          <cell r="M36" t="str">
            <v>Single Kind</v>
          </cell>
          <cell r="N36" t="str">
            <v>1  del of this cycle   -  1-cycles pmnt   Pending - Collect 1950</v>
          </cell>
          <cell r="O36" t="str">
            <v>B Daisy ( 12 Inch ) 22     FF Sachet + Grass</v>
          </cell>
          <cell r="P36" t="str">
            <v>Pur n P Eustoma ( 12 Inch ) 4     FF Sachet + Grass</v>
          </cell>
          <cell r="Q36" t="str">
            <v>Rajni ( 14 Inch ) 22     Grass</v>
          </cell>
          <cell r="R36" t="str">
            <v>P n Y Spray Daisy ( 14 Inch ) 7     FF Sachet + Grass</v>
          </cell>
          <cell r="S36" t="str">
            <v>Mix Glad ( 14 inch ) 22     Grass</v>
          </cell>
          <cell r="T36" t="str">
            <v>R n W Car ( 14 Inch ) 22     FF Sachet + Grass</v>
          </cell>
        </row>
        <row r="37">
          <cell r="A37">
            <v>1899</v>
          </cell>
          <cell r="B37" t="str">
            <v>Hardik Shah</v>
          </cell>
          <cell r="C37">
            <v>9811227080</v>
          </cell>
          <cell r="D37" t="str">
            <v>T-5/1402, Vipul Green</v>
          </cell>
          <cell r="E37" t="str">
            <v>Sohna Road 2</v>
          </cell>
          <cell r="F37" t="str">
            <v>Friday</v>
          </cell>
          <cell r="G37" t="str">
            <v>9 AM - 12 PM</v>
          </cell>
          <cell r="H37">
            <v>4850</v>
          </cell>
          <cell r="I37">
            <v>606.25</v>
          </cell>
          <cell r="J37" t="str">
            <v>Poise</v>
          </cell>
          <cell r="K37" t="str">
            <v>Friday n Sunday (02/04) Shift to Poise after this cycle(22/05) No Poies(28/05) Skip 1 week(13/08) Today Returned(21/08) Today Returned again(26/08) Skip 2 week (18/06) Skip only next delivery (29/07) Hold today n skip 1 week (19/01) Skip 1 week (15/08) Hold for 4 weeks (27/01) Returned today (14/11) Today returned (01/05)</v>
          </cell>
          <cell r="N37" t="str">
            <v>1  del of this cycle   -  0-cycles pmnt   CompletedNO COLLECTION-we have extra money - Collect -50</v>
          </cell>
          <cell r="O37" t="e">
            <v>#N/A</v>
          </cell>
          <cell r="P37" t="str">
            <v>Pur n P Car ( 14 Inch 26     FF Sachet + Grass</v>
          </cell>
          <cell r="Q37" t="str">
            <v>B Daisy ( 12 Inch ) 26     Grass</v>
          </cell>
          <cell r="R37" t="str">
            <v>Y Asiatic ( 14 Inch ) 6     Grass</v>
          </cell>
          <cell r="S37" t="str">
            <v>G n W Car ( 14 Inch ) 26     FF Sachet + Grass</v>
          </cell>
          <cell r="T37" t="str">
            <v>W Oriental ( 15 Inch ) 4     Grass</v>
          </cell>
        </row>
        <row r="38">
          <cell r="A38">
            <v>2748</v>
          </cell>
          <cell r="B38" t="str">
            <v>Rishabh Suri</v>
          </cell>
          <cell r="C38">
            <v>9871320514</v>
          </cell>
          <cell r="D38" t="str">
            <v>H. No. 962, Block C, Sushant Lok, Near Ambience Public School</v>
          </cell>
          <cell r="E38" t="str">
            <v>DLF Phase 5</v>
          </cell>
          <cell r="F38" t="str">
            <v>Sunday</v>
          </cell>
          <cell r="G38" t="str">
            <v>9 AM - 12 PM</v>
          </cell>
          <cell r="H38">
            <v>1450</v>
          </cell>
          <cell r="I38">
            <v>362.5</v>
          </cell>
          <cell r="J38" t="str">
            <v>Bliss</v>
          </cell>
          <cell r="K38" t="str">
            <v>Hold n start from Sep (06/08) Paytm from Rajeev Suri (22/11) Paytm from Anu Suri (21/12)</v>
          </cell>
          <cell r="N38" t="str">
            <v>4  del of this cycle   -  0-cycles pmnt   Completed - Collect 0</v>
          </cell>
          <cell r="O38" t="str">
            <v>P n W Glad ( 14 Inch ) 16     Grass</v>
          </cell>
          <cell r="P38" t="str">
            <v>Sunflower ( 12 Inch ) 4     FF Sachet + Grass</v>
          </cell>
          <cell r="Q38" t="str">
            <v>Rajni ( 14 Inch ) 16     Grass</v>
          </cell>
          <cell r="R38" t="str">
            <v>G n W Car ( 14 Inch ) 16     FF Sachet + Grass</v>
          </cell>
          <cell r="S38" t="str">
            <v>P n Y Spray Daisy ( 14 Inch ) 5     FF Sachet + Grass</v>
          </cell>
          <cell r="T38" t="str">
            <v>W Asiatic ( 14 Inch ) 3     Grass</v>
          </cell>
        </row>
        <row r="39">
          <cell r="A39">
            <v>2494</v>
          </cell>
          <cell r="B39" t="str">
            <v>Mili Sodhi -- Before 12 PM -- 1450 Pack</v>
          </cell>
          <cell r="C39">
            <v>9312059597</v>
          </cell>
          <cell r="D39" t="str">
            <v>E-801, Bestech Park View Spa Next, Sec 67</v>
          </cell>
          <cell r="E39" t="str">
            <v>Badshahpur</v>
          </cell>
          <cell r="F39" t="str">
            <v>Sunday</v>
          </cell>
          <cell r="G39" t="str">
            <v>9 AM to 2 PM</v>
          </cell>
          <cell r="H39">
            <v>1450</v>
          </cell>
          <cell r="I39">
            <v>362.5</v>
          </cell>
          <cell r="J39" t="str">
            <v>Bliss</v>
          </cell>
          <cell r="K39" t="str">
            <v>Skip 13th n send on 14th (07/04) Today hold as flower arrangement sent (04/0%) Flower Food Next 25/05) No Del between 8th to 15th June (31/05) Today hold (13/07) Sent one del today (18/07) Skip next week (10/08) Returned -send next week (31/08) Skip 1 week (20/09) Hold between 18th to 29th Oct (13/10) Skip 1 week (08/11) Hold till 21st Dec (02/12) Skip 1 wek (22/01) Skip tom (28/02) Skip 1 week (21/03) Skip 2 week after tom (13/06)</v>
          </cell>
          <cell r="M39" t="str">
            <v>Before 12 PM (16/11)</v>
          </cell>
          <cell r="N39" t="str">
            <v>4  del of this cycle   -  0-cycles pmnt   Completed - Collect 0</v>
          </cell>
          <cell r="O39" t="e">
            <v>#N/A</v>
          </cell>
          <cell r="P39" t="e">
            <v>#N/A</v>
          </cell>
          <cell r="Q39" t="str">
            <v>Pur n P Car ( 14 Inch ) 16     FF Sachet + Grass</v>
          </cell>
          <cell r="R39" t="str">
            <v>O Asiatic ( 14 Inch ) 3     Grass</v>
          </cell>
          <cell r="S39" t="str">
            <v>Mix Glad ( 14 inch ) 16     Grass</v>
          </cell>
          <cell r="T39" t="str">
            <v>P n Y Spray Daisy ( 14 Inch ) 5     FF Sachet + Grass</v>
          </cell>
        </row>
        <row r="40">
          <cell r="A40">
            <v>1920</v>
          </cell>
          <cell r="B40" t="str">
            <v>Indira Bishnoi</v>
          </cell>
          <cell r="C40">
            <v>9871094919</v>
          </cell>
          <cell r="D40" t="str">
            <v>B-13/1, 2nd Floor, DLF Phase 1</v>
          </cell>
          <cell r="E40" t="str">
            <v>DLF Phase 1</v>
          </cell>
          <cell r="F40" t="str">
            <v>Saturday</v>
          </cell>
          <cell r="G40" t="str">
            <v>4 PM to 7PM</v>
          </cell>
          <cell r="H40">
            <v>1450</v>
          </cell>
          <cell r="I40">
            <v>362.5</v>
          </cell>
          <cell r="J40" t="str">
            <v>Bliss</v>
          </cell>
          <cell r="K40" t="str">
            <v>Return-send on Monday(22/12) On 30th For Collection(29/12) Send on Monday for Collection(19/10) 1 stick extra next(13/12) Rajni next(06/03) UPI from Hum Prasad Bhusal(26/06/2020) Send someone on sunmday for collection(18/09/20) Sending Del Tom Due to Diwali(11/11) Return-send tom(01/10) Phone Pe From Aman Agarwal// NO CAR FOR 2ND n 3RD FLOOR(20/07) Paytm from Mandeep Kumar Kori (04/11) Hold after this cycle (08/01) Skip 2 week (18/07) Hold due to non payment (11/10)</v>
          </cell>
          <cell r="N40" t="str">
            <v>3  del of this cycle   -  0-cycles pmnt   Completed - Collect 0</v>
          </cell>
          <cell r="O40" t="e">
            <v>#N/A</v>
          </cell>
          <cell r="P40" t="e">
            <v>#N/A</v>
          </cell>
          <cell r="Q40" t="e">
            <v>#N/A</v>
          </cell>
          <cell r="R40" t="e">
            <v>#N/A</v>
          </cell>
          <cell r="S40" t="e">
            <v>#N/A</v>
          </cell>
          <cell r="T40" t="str">
            <v>O Asiatic ( 14 Inch ) 3     Grass</v>
          </cell>
        </row>
        <row r="41">
          <cell r="A41">
            <v>2378</v>
          </cell>
          <cell r="B41" t="str">
            <v>Dr. Juhi Saxena</v>
          </cell>
          <cell r="C41">
            <v>9958637975</v>
          </cell>
          <cell r="D41" t="str">
            <v>G-307, 2nd Floor, Sushant Lok -2, Sec 57</v>
          </cell>
          <cell r="E41" t="str">
            <v>Artemis</v>
          </cell>
          <cell r="F41" t="str">
            <v>Sunday</v>
          </cell>
          <cell r="G41" t="str">
            <v>9 AM - 12 PM</v>
          </cell>
          <cell r="H41">
            <v>1450</v>
          </cell>
          <cell r="I41">
            <v>362.5</v>
          </cell>
          <cell r="J41" t="str">
            <v>Bliss</v>
          </cell>
          <cell r="K41" t="str">
            <v>No Glad (17/01) Hold and start from May and inform before starting (09/04) Skip 1 week 901/05) hold n returned today (12/06) Skip tom and send on Saturday -- either Rajnigandha or Car (19/06) Add changed (23/06) No Sinflower (09/07)</v>
          </cell>
          <cell r="L41" t="str">
            <v>GLAD n Sunflowers</v>
          </cell>
          <cell r="N41" t="str">
            <v>1  del of this cycle   -  1-cycles pmnt   Pending - Collect 1450</v>
          </cell>
          <cell r="O41" t="e">
            <v>#N/A</v>
          </cell>
          <cell r="P41" t="str">
            <v>Pur n P Car ( 14 Inch 16     FF Sachet + Grass</v>
          </cell>
          <cell r="Q41" t="str">
            <v>Sunflower ( 12 Inch ) 4     FF Sachet + Grass</v>
          </cell>
          <cell r="R41" t="str">
            <v>Rajni ( 14 Inch ) 16     Grass</v>
          </cell>
          <cell r="S41" t="str">
            <v>O Asiatic ( 14 Inch ) 3     Grass</v>
          </cell>
          <cell r="T41" t="str">
            <v>Mix Car 16     FF Sachet + Grass</v>
          </cell>
        </row>
        <row r="42">
          <cell r="A42">
            <v>2200</v>
          </cell>
          <cell r="B42" t="str">
            <v>Naina Gandhi</v>
          </cell>
          <cell r="C42">
            <v>9811188863</v>
          </cell>
          <cell r="D42" t="str">
            <v>K2/105, Central Park -1</v>
          </cell>
          <cell r="E42" t="str">
            <v>Golf Course Road</v>
          </cell>
          <cell r="F42" t="str">
            <v>Thursday</v>
          </cell>
          <cell r="G42" t="str">
            <v>9 AM - 12 PM</v>
          </cell>
          <cell r="H42">
            <v>2300</v>
          </cell>
          <cell r="I42">
            <v>287.5</v>
          </cell>
          <cell r="J42" t="str">
            <v>Felicity</v>
          </cell>
          <cell r="K42" t="str">
            <v>Thursday n Sunday//Send Replacement tom (17/01) No Spray Daisy (19/02) Skip 4th Del (07/05) Do not count last del (29/08) No Flowers Tom (28/09) Skip this Thursday (01/10) Hold till 10th Nov (25/10) Hold this Sunday (13/12) Skip 1 week (01/02) Skip 1 week (16/02) Hold and start from May(28/03) Hold n start from 1st June (22/05) Skip 2 week (22/06) Skip tom (26/07) Skip 1 week (04/10) Hold tom (25/10) Skip 2 week (31/10) Skip 1 week 1 week (22/11) Skip this thursday (10/12) Skip 2 week (20/12) Skip sunday (07/01) Hold from 23rd May to 14th JUne (19/05) Skip 1 week and send on Monday (23/06)</v>
          </cell>
          <cell r="L42" t="str">
            <v>SPRAY DAISY</v>
          </cell>
          <cell r="M42" t="str">
            <v>Check for Bi weekly package</v>
          </cell>
          <cell r="N42" t="str">
            <v>8  del of this cycle   -  0-cycles pmnt   Completed - Collect 0</v>
          </cell>
          <cell r="O42" t="str">
            <v>O Asiatic ( 14 Inch )' 2     Grass</v>
          </cell>
          <cell r="P42" t="e">
            <v>#N/A</v>
          </cell>
          <cell r="Q42" t="str">
            <v>Rajni ( 14 Inch ) 11     Grass</v>
          </cell>
          <cell r="R42" t="str">
            <v>Mix Alstroemeria ( 12 Inch ) 11     FF Sachet + Grass</v>
          </cell>
          <cell r="S42" t="str">
            <v>Y Asiatic ( 14 Inch ) 2     Grass</v>
          </cell>
          <cell r="T42" t="str">
            <v>Sunflower ( 12 Inch ) 3     FF Sachet + Grass</v>
          </cell>
        </row>
        <row r="43">
          <cell r="A43">
            <v>1517</v>
          </cell>
          <cell r="B43" t="str">
            <v>Megha Bhardwaj</v>
          </cell>
          <cell r="C43">
            <v>9818525564</v>
          </cell>
          <cell r="D43" t="str">
            <v>B-65, 1st floor, Sushant Lok-3,HDFC School, Sec 57</v>
          </cell>
          <cell r="E43" t="str">
            <v>Artemis</v>
          </cell>
          <cell r="F43" t="str">
            <v>Sunday</v>
          </cell>
          <cell r="G43" t="str">
            <v>9 AM - 12 PM</v>
          </cell>
          <cell r="H43">
            <v>1950</v>
          </cell>
          <cell r="I43">
            <v>487.5</v>
          </cell>
          <cell r="J43" t="str">
            <v>Joy</v>
          </cell>
          <cell r="K43" t="str">
            <v>Guldawari 1st(18/09) BOP Tom(02/10) Spray daisy next(16/10) Skip 1 week(06/11) Y or Orange Rose Tom(27/11) Orchids Next(28/01) Orchids not sent-send next(30/01) Skip 1 week(17/03) Skip 1 week (09/04) Send on Saturday this week instead of Sunday -- AND DONT SEND ON 28TH(25/08) Skip 1 week (21/01) Send 1 del tom (31/03) Skip 1 week (29/06) Send friday this week on Friday evening Dont send on 15th (11/10) Skip 1 week (27/12) Skip 1 week (09/02) Hols as of now (11/04) Sent replacxement today (13/12) Skip 1 week (18/01) Hold this week (08/03) Skip 1 week(12/04) Skip 1 week (25/06) Skip tom (04/10) Send on saturday instead of sunday this week (08/10) Skip 1 week (15/11) No Orchid (18/01) Skip 1 week )28/02) Skip tom (28/03) Skip 1 week (18/04) Skip 1 week (01/06)</v>
          </cell>
          <cell r="L43" t="str">
            <v>Orchid</v>
          </cell>
          <cell r="N43" t="str">
            <v>2  del of this cycle   -  1-cycles pmnt   Pending - Collect 1950</v>
          </cell>
          <cell r="O43" t="str">
            <v>Pur n P Car ( 14 Inch ) 22     FF Sachet + Grass</v>
          </cell>
          <cell r="P43" t="str">
            <v>Pur n P Eustoma ( 12 Inch ) 4     FF Sachet + Grass</v>
          </cell>
          <cell r="Q43" t="str">
            <v>O Asiatic ( 14 Inch ) 4     Grass</v>
          </cell>
          <cell r="R43" t="str">
            <v>P n Y Spray Daisy ( 14 Inch ) 7     FF Sachet + Grass</v>
          </cell>
          <cell r="S43" t="str">
            <v>Mix Glad ( 14 inch ) 22     Grass</v>
          </cell>
          <cell r="T43" t="str">
            <v>R n W Car ( 14 Inch ) 22     FF Sachet + Grass</v>
          </cell>
        </row>
        <row r="44">
          <cell r="A44" t="str">
            <v>G-00056</v>
          </cell>
          <cell r="B44" t="str">
            <v>Triveni Wahi</v>
          </cell>
          <cell r="C44">
            <v>7503975035</v>
          </cell>
          <cell r="D44" t="str">
            <v>B-14/12 C, Dlf The Grove</v>
          </cell>
          <cell r="E44" t="str">
            <v>DLF Phase 5</v>
          </cell>
          <cell r="F44" t="str">
            <v>Sunday</v>
          </cell>
          <cell r="G44" t="str">
            <v>9 AM - 12 PM</v>
          </cell>
          <cell r="H44">
            <v>1450</v>
          </cell>
          <cell r="I44">
            <v>362.5</v>
          </cell>
          <cell r="J44" t="str">
            <v>Bliss</v>
          </cell>
          <cell r="K44" t="str">
            <v>From Madhulika Geeta Chopra // 2sesonal Extra next (05/05) Today Returned -send next week (24/05) Today returned - hold (14/06)</v>
          </cell>
          <cell r="M44" t="str">
            <v>2 sesonal Extra next (05/05)</v>
          </cell>
          <cell r="N44" t="str">
            <v>4  del of this cycle   -  0-cycles pmnt   Completed - Collect 0</v>
          </cell>
          <cell r="O44" t="str">
            <v>P n W Spray Daisy ( 14 Inch ) 5     FF Sachet + Grass</v>
          </cell>
          <cell r="P44" t="str">
            <v>Sunflower ( 12 Inch ) 4     FF Sachet + Grass</v>
          </cell>
          <cell r="Q44" t="str">
            <v>Pur n P Car ( 14 Inch ) 16     FF Sachet + Grass</v>
          </cell>
          <cell r="R44" t="str">
            <v>O Asiatic ( 14 Inch ) 3     Grass</v>
          </cell>
          <cell r="S44" t="str">
            <v>Mix Glad ( 14 inch ) 16     Grass</v>
          </cell>
          <cell r="T44" t="str">
            <v>Mix Spray Daisy 5     FF Sachet + Grass</v>
          </cell>
        </row>
        <row r="45">
          <cell r="A45">
            <v>1455</v>
          </cell>
          <cell r="B45" t="str">
            <v>Gagan Ahluwalia</v>
          </cell>
          <cell r="C45">
            <v>9811105056</v>
          </cell>
          <cell r="D45" t="str">
            <v>C-82, The Summit</v>
          </cell>
          <cell r="E45" t="str">
            <v>Golf Course Road</v>
          </cell>
          <cell r="F45" t="str">
            <v>Thursday</v>
          </cell>
          <cell r="G45" t="str">
            <v>9 AM - 12 PM</v>
          </cell>
          <cell r="H45">
            <v>2300</v>
          </cell>
          <cell r="I45">
            <v>287.5</v>
          </cell>
          <cell r="J45" t="str">
            <v>Felicity</v>
          </cell>
          <cell r="K45" t="str">
            <v>Thursday n Sunday //Gift From Ragini Ahluwalia// Flowers-- Guldawari/Orchids/Car and Asiatic(27/07) Hold n start from 2nd week of July(02/06) NO ORCHIDS (23/12) Hold till june end (07/06) Today returned (20/06) Replacement today (07/07) Hold today and start after 12th Oct (03/10) No Flowers tull 17th Nov (11/11) Hold from 15th may to 17th June (14/05) Skip 1 wek (24/06) Hold today due to non payment (02/10) Hold due to non payment (05/10) Hold due to non payment (09/10) Start from today (12/10) Skip 1 week (29/11) Hold due to non payment (11/01) Hold due to non payment (01/.02) HDTNP (15/02) HDTNP (22/02) HDTNP (26/02) HDTNP (04/03) HDTNP (08/03) HDTNP (12/03) HDTNP (14/03) No after 1st June (14/05) Hold n start after 1st June (14/05) Hold till 1st June (15/05)</v>
          </cell>
          <cell r="N45" t="str">
            <v>6  del of this cycle   -  0-cycles pmnt   Completed - Collect 0</v>
          </cell>
          <cell r="O45" t="str">
            <v>B Daisy ( 12 Inch ) 11     Grass</v>
          </cell>
          <cell r="P45" t="str">
            <v>P n W Glad ( 14 Inch ) 11     Grass</v>
          </cell>
          <cell r="Q45" t="str">
            <v>Rajni ( 14 Inch ) 11     Grass</v>
          </cell>
          <cell r="R45" t="str">
            <v>G n W Car ( 14 Inch ) 11     FF Sachet + Grass</v>
          </cell>
          <cell r="S45" t="str">
            <v>Mix Glad ( 14 inch ) 11     Grass</v>
          </cell>
          <cell r="T45" t="str">
            <v>Asiatic 2     FF Sachet + Grass</v>
          </cell>
        </row>
        <row r="46">
          <cell r="A46">
            <v>3144</v>
          </cell>
          <cell r="B46" t="str">
            <v>Samar Singh</v>
          </cell>
          <cell r="C46">
            <v>9582363043</v>
          </cell>
          <cell r="D46" t="str">
            <v>C-13, DLF Icon</v>
          </cell>
          <cell r="E46" t="str">
            <v>DLF Phase 5</v>
          </cell>
          <cell r="F46" t="str">
            <v>Thursday</v>
          </cell>
          <cell r="G46" t="str">
            <v>9 AM to 2 PM</v>
          </cell>
          <cell r="H46">
            <v>1450</v>
          </cell>
          <cell r="I46">
            <v>362.5</v>
          </cell>
          <cell r="J46" t="str">
            <v>Bliss</v>
          </cell>
          <cell r="K46" t="str">
            <v>Mixed Flowers // Day Changed to Sunday (20/12) Day Changed to Thursday (10/01) Skip 2 week (11/02) Send one Del tom (07/07) Today hold n send on Sunday (23/07)</v>
          </cell>
          <cell r="M46" t="str">
            <v>Mixed Flowers</v>
          </cell>
          <cell r="N46" t="str">
            <v>4  del of this cycle   -  0-cycles pmnt   Completed - Collect 0</v>
          </cell>
          <cell r="O46" t="e">
            <v>#N/A</v>
          </cell>
          <cell r="P46" t="e">
            <v>#N/A</v>
          </cell>
          <cell r="Q46" t="e">
            <v>#N/A</v>
          </cell>
          <cell r="R46" t="e">
            <v>#N/A</v>
          </cell>
          <cell r="S46" t="e">
            <v>#N/A</v>
          </cell>
          <cell r="T46" t="str">
            <v>O Asiatic ( 14 Inch ) 2 Mix Glad ( 14 Inch ) 7   Grass</v>
          </cell>
        </row>
        <row r="47">
          <cell r="A47">
            <v>3359</v>
          </cell>
          <cell r="B47" t="str">
            <v>Payal Soni</v>
          </cell>
          <cell r="C47">
            <v>7508901884</v>
          </cell>
          <cell r="D47" t="str">
            <v>T-9/1403, Pyramid Sec 67 A, Badshahpur Road, Near Iskcon</v>
          </cell>
          <cell r="E47" t="str">
            <v>Badshahpur</v>
          </cell>
          <cell r="F47" t="str">
            <v>Sunday</v>
          </cell>
          <cell r="G47" t="str">
            <v>9 AM - 12 PM</v>
          </cell>
          <cell r="H47">
            <v>1450</v>
          </cell>
          <cell r="I47">
            <v>362.5</v>
          </cell>
          <cell r="J47" t="str">
            <v>Bliss</v>
          </cell>
          <cell r="K47" t="str">
            <v>No Glad and day changed to Sunday (04/06) No alstroemeria (12/07)</v>
          </cell>
          <cell r="L47" t="str">
            <v>Glad n Alstroemeria (12/07)</v>
          </cell>
          <cell r="N47" t="str">
            <v>4  del of this cycle   -  0-cycles pmnt   Completed - Collect 0</v>
          </cell>
          <cell r="O47" t="str">
            <v>Pur n P Car ( 14 Inch ) 16     FF Sachet + Grass</v>
          </cell>
          <cell r="P47" t="str">
            <v>Sunflower ( 12 Inch ) 4     FF Sachet + Grass</v>
          </cell>
          <cell r="Q47" t="str">
            <v>Rajni ( 14 Inch ) 16     Grass</v>
          </cell>
          <cell r="R47" t="str">
            <v>B Orchid  5     Grass</v>
          </cell>
          <cell r="S47" t="str">
            <v>P n W Spray Daisy ( 14 Inch ) 5     FF Sachet + Grass</v>
          </cell>
          <cell r="T47" t="str">
            <v>W Asiatic ( 14 Inch ) 3     Grass</v>
          </cell>
        </row>
        <row r="48">
          <cell r="A48">
            <v>2192</v>
          </cell>
          <cell r="B48" t="str">
            <v>Prabhdeep Kaur</v>
          </cell>
          <cell r="C48">
            <v>7456879082</v>
          </cell>
          <cell r="D48" t="str">
            <v>C-173, 2nd Floor,South City 2</v>
          </cell>
          <cell r="E48" t="str">
            <v>Nirvana Country</v>
          </cell>
          <cell r="F48" t="str">
            <v>Sunday</v>
          </cell>
          <cell r="G48" t="str">
            <v>9 AM - 12 PM</v>
          </cell>
          <cell r="H48">
            <v>1450</v>
          </cell>
          <cell r="I48">
            <v>362.5</v>
          </cell>
          <cell r="J48" t="str">
            <v>Bliss</v>
          </cell>
          <cell r="K48" t="str">
            <v>Today Returned (18/08) Gpay from Preity Dadwal (20/10) Hold after current cuycle (22/12) Today Returned (29/12) Today returned (17/08) Today returned (16/11) Do not count 25th Jan Del (01/03) Pne more payment received today (2/03) Sent one del today -skip tom (07/03) Today Returned (21/06)</v>
          </cell>
          <cell r="N48" t="str">
            <v>3  del of this cycle   -  1-cycles pmnt   Pending - Collect 1450</v>
          </cell>
          <cell r="O48" t="str">
            <v>P Eustoma ( 12 Inch ) 3     FF Sachet + Grass</v>
          </cell>
          <cell r="P48" t="str">
            <v>Sunflower ( 12 Inch ) 4     FF Sachet + Grass</v>
          </cell>
          <cell r="Q48" t="str">
            <v>Rajni ( 14 Inch ) 16     Grass</v>
          </cell>
          <cell r="R48" t="str">
            <v>O Asiatic ( 14 Inch ) 3     Grass</v>
          </cell>
          <cell r="S48" t="str">
            <v>Mix Glad ( 14 inch ) 16     Grass</v>
          </cell>
          <cell r="T48" t="str">
            <v>R n W Car ( 14 Inch ) 16     FF Sachet + Grass</v>
          </cell>
        </row>
        <row r="49">
          <cell r="A49">
            <v>2580</v>
          </cell>
          <cell r="B49" t="str">
            <v>Davinder Singh</v>
          </cell>
          <cell r="C49">
            <v>9999653332</v>
          </cell>
          <cell r="D49" t="str">
            <v>T-12/002, Close North</v>
          </cell>
          <cell r="E49" t="str">
            <v>Nirvana Country</v>
          </cell>
          <cell r="F49" t="str">
            <v>Sunday</v>
          </cell>
          <cell r="G49" t="str">
            <v>9 AM - 12 PM</v>
          </cell>
          <cell r="H49">
            <v>1450</v>
          </cell>
          <cell r="I49">
            <v>362.5</v>
          </cell>
          <cell r="J49" t="str">
            <v>Bliss</v>
          </cell>
          <cell r="K49" t="str">
            <v xml:space="preserve"> Hold due to non payment (12/10) Hold due to non payment (20/12) Hold due to non payment (18/01) Hold due to non payment (25/01) Hold due to non payment (01/02) Hold due to non payment (08/02) HDTNP (15/02) HDTNP (22/02) Skip 1 week (18/04)</v>
          </cell>
          <cell r="N49" t="str">
            <v>2  del of this cycle   -  1-cycles pmnt   Pending - Collect 1450</v>
          </cell>
          <cell r="O49" t="str">
            <v>P Asiatic ( 14 Inch ) 2 B Daisy ( 12 Inch ) 7   Grass</v>
          </cell>
          <cell r="P49" t="str">
            <v>Pur Eustoma ( 12 inch ) 2 P n W Glad ( 14 Inch ) 7   FF Sachet + Grass</v>
          </cell>
          <cell r="Q49" t="str">
            <v>Sunflower ( 12 Inch ) 2 B Daisy ( 12 Inch ) 7   FF Sachet + Grass</v>
          </cell>
          <cell r="R49" t="str">
            <v>O Asiatic ( 14 Inch ) 2 Mix Alstroemeria ( 12 Inch ) 7   Grass</v>
          </cell>
          <cell r="S49" t="str">
            <v>Y Spray Daisy ( 14 Inch ) 3 G n W Car ( 14 Inch ) 7   FF Sachet + Grass</v>
          </cell>
          <cell r="T49" t="str">
            <v>P Eustoma ( 12 Inch ) 2 Mix Glad ( 14 Inch ) 7   FF Sachet + Grass</v>
          </cell>
        </row>
        <row r="50">
          <cell r="A50">
            <v>2462</v>
          </cell>
          <cell r="B50" t="str">
            <v xml:space="preserve">Rubeey Matharu </v>
          </cell>
          <cell r="C50">
            <v>9811601176</v>
          </cell>
          <cell r="D50" t="str">
            <v>Sirera 1, T-6/306, M3M Marina</v>
          </cell>
          <cell r="E50" t="str">
            <v>Badshahpur</v>
          </cell>
          <cell r="F50" t="str">
            <v>Sunday</v>
          </cell>
          <cell r="G50" t="str">
            <v>9 AM - 12 PM</v>
          </cell>
          <cell r="H50">
            <v>1450</v>
          </cell>
          <cell r="I50">
            <v>362.5</v>
          </cell>
          <cell r="J50" t="str">
            <v>Bliss</v>
          </cell>
          <cell r="K50" t="str">
            <v>Skip 1 week and inform before starting (08/04) Hold n start from Aug (15/05) Paytm From Amanpreet Kaur Matharu // Paytm from Gurjeet Matharu // Send 1 Asuatic Tom (12/07)</v>
          </cell>
          <cell r="M50" t="str">
            <v>Rajni Tom (01/11)</v>
          </cell>
          <cell r="N50" t="str">
            <v>4  del of this cycle   -  0-cycles pmnt   Completed - Collect 0</v>
          </cell>
          <cell r="O50" t="str">
            <v>B Daisy ( 12 Inch ) 9     Grass</v>
          </cell>
          <cell r="P50" t="str">
            <v>P n W Glad ( 14 Inch ) 9     Grass</v>
          </cell>
          <cell r="Q50" t="str">
            <v>Sunflower ( 12 Inch ) 4     FF Sachet + Grass</v>
          </cell>
          <cell r="R50" t="str">
            <v>P Asiatic ( 14 Inch ) 3     Grass</v>
          </cell>
          <cell r="S50" t="str">
            <v>Alstromia 16     FF Sachet + Grass</v>
          </cell>
          <cell r="T50" t="str">
            <v>R n W Car ( 14 Inch ) 16     FF Sachet + Grass</v>
          </cell>
        </row>
        <row r="51">
          <cell r="A51">
            <v>2481</v>
          </cell>
          <cell r="B51" t="str">
            <v>Puneet Mahajan</v>
          </cell>
          <cell r="C51">
            <v>9810110847</v>
          </cell>
          <cell r="D51" t="str">
            <v>D-19, 4th Floor, Siuth City -2, Opp Arcadia Mall</v>
          </cell>
          <cell r="E51" t="str">
            <v>Nirvana Country</v>
          </cell>
          <cell r="F51" t="str">
            <v>Sunday</v>
          </cell>
          <cell r="G51" t="str">
            <v>9 AM - 12 PM</v>
          </cell>
          <cell r="H51">
            <v>2300</v>
          </cell>
          <cell r="I51">
            <v>287.5</v>
          </cell>
          <cell r="J51" t="str">
            <v>Felicity</v>
          </cell>
          <cell r="K51" t="str">
            <v>Send Sponge// Day Changed to Sunday (16/04) Paytm From Sri Sai makers (20/04) Change to felicity (17/05) HDTNP (23/07)</v>
          </cell>
          <cell r="N51" t="str">
            <v>4  del of this cycle   -  0-cycles pmnt   Completed - Collect 0</v>
          </cell>
          <cell r="O51" t="str">
            <v>B Daisy ( 12 Inch ) 11     Grass</v>
          </cell>
          <cell r="P51" t="str">
            <v>P n W Glad ( 14 Inch ) 11     Grass</v>
          </cell>
          <cell r="Q51" t="str">
            <v>P n W Car ( 14 Inch ) 11     FF Sachet + Grass</v>
          </cell>
          <cell r="R51" t="str">
            <v>Mix Alstroemeria ( 12 Inch ) 11     FF Sachet + Grass</v>
          </cell>
          <cell r="S51" t="str">
            <v>Y Spray Daisy ( 14 Inch ) 3   Collect Payment Collect Payment FF Sachet + Grass</v>
          </cell>
          <cell r="T51" t="str">
            <v>O Glad ( 14 Inch ) 11     Grass</v>
          </cell>
        </row>
        <row r="52">
          <cell r="A52">
            <v>2434</v>
          </cell>
          <cell r="B52" t="str">
            <v>Manasi Sardana</v>
          </cell>
          <cell r="C52">
            <v>9825966349</v>
          </cell>
          <cell r="D52" t="str">
            <v>T-8/303, The South Close</v>
          </cell>
          <cell r="E52" t="str">
            <v>Nirvana Country</v>
          </cell>
          <cell r="F52" t="str">
            <v>Sunday</v>
          </cell>
          <cell r="G52" t="str">
            <v>9 AM to 2 PM</v>
          </cell>
          <cell r="H52">
            <v>1450</v>
          </cell>
          <cell r="I52">
            <v>362.5</v>
          </cell>
          <cell r="J52" t="str">
            <v>Bliss</v>
          </cell>
          <cell r="K52" t="str">
            <v>Rajni is preferred // Skip 1 week (17/05) paytm From Phadke Mansi Pradeep // Skip 1 week (01/01/26) Skip 1 week (24/01) Today returned (15/02) Replacement tom (06/07) Skip 1 week (17/07)</v>
          </cell>
          <cell r="M52" t="str">
            <v>Rajni referred</v>
          </cell>
          <cell r="N52" t="str">
            <v>1  del of this cycle   -  1-cycles pmnt   Pending - Collect 1450</v>
          </cell>
          <cell r="O52" t="str">
            <v>Y Asiatic ( 14 Inch ) 2 Pur n P Car ( 14 Inch ) 7   Grass</v>
          </cell>
          <cell r="P52" t="str">
            <v>P Spray Daisy ( 14 Inch ) 3 Rajni ( 14 Inch ) 7   FF Sachet + Grass</v>
          </cell>
          <cell r="Q52" t="str">
            <v>Sunflower ( 12 Inch ) 2 B Daisy ( 12 Inch ) 7   FF Sachet + Grass</v>
          </cell>
          <cell r="R52" t="str">
            <v>P Asiatic ( 14 Inch ) 2 Mix Alstroemeria ( 12 Inch ) 7   Grass</v>
          </cell>
          <cell r="S52" t="e">
            <v>#N/A</v>
          </cell>
          <cell r="T52" t="str">
            <v>Sunflower ( 12 Inch ) 2 P n W Car ( 14 Inch ) 7   FF Sachet + Grass</v>
          </cell>
        </row>
        <row r="53">
          <cell r="A53">
            <v>3214</v>
          </cell>
          <cell r="B53" t="str">
            <v>Sheeba Rana</v>
          </cell>
          <cell r="C53">
            <v>9958849523</v>
          </cell>
          <cell r="D53" t="str">
            <v>T-14/1202, The Close North</v>
          </cell>
          <cell r="E53" t="str">
            <v>Nirvana Country</v>
          </cell>
          <cell r="F53" t="str">
            <v>Sunday</v>
          </cell>
          <cell r="G53" t="str">
            <v>10 AM to 2:30 PM</v>
          </cell>
          <cell r="H53">
            <v>1450</v>
          </cell>
          <cell r="I53">
            <v>362.5</v>
          </cell>
          <cell r="J53" t="str">
            <v>Bliss</v>
          </cell>
          <cell r="K53" t="str">
            <v>Skip n send on 11th n then on preferred day</v>
          </cell>
          <cell r="N53" t="str">
            <v>1  del of this cycle   -  1-cycles pmnt   Pending - Collect 1450</v>
          </cell>
          <cell r="O53" t="str">
            <v>B Daisy ( 12 Inch ) 9     Grass</v>
          </cell>
          <cell r="P53" t="str">
            <v>P Asiatic ( 14 Inch ) 3     Grass</v>
          </cell>
          <cell r="Q53" t="str">
            <v>Rajni ( 14 Inch ) 16     Grass</v>
          </cell>
          <cell r="R53" t="str">
            <v>Sunflower ( 12 Inch ) 4     FF Sachet + Grass</v>
          </cell>
          <cell r="S53" t="str">
            <v>G n W Car ( 14 Inch ) 16     FF Sachet + Grass</v>
          </cell>
          <cell r="T53" t="str">
            <v>O Asiatic ( 14 Inch ) 3     Grass</v>
          </cell>
        </row>
        <row r="54">
          <cell r="A54">
            <v>234</v>
          </cell>
          <cell r="B54" t="str">
            <v>jaya Chakrabarti-- Before 10 AM</v>
          </cell>
          <cell r="C54">
            <v>9810390185</v>
          </cell>
          <cell r="D54" t="str">
            <v>A 56, FF, south City 2, sonha road, gurgaon</v>
          </cell>
          <cell r="E54" t="str">
            <v>Nirvana Country</v>
          </cell>
          <cell r="F54" t="str">
            <v>Sunday</v>
          </cell>
          <cell r="G54" t="str">
            <v>9 AM - 12 PM</v>
          </cell>
          <cell r="H54">
            <v>1450</v>
          </cell>
          <cell r="I54">
            <v>362.5</v>
          </cell>
          <cell r="J54" t="str">
            <v>Bliss</v>
          </cell>
          <cell r="K54" t="str">
            <v>Friday n MOnday(31/03) NO BOP N HELICONIA// and send rajni next(28/03) Upgrade to 1450 and NO HELICONIA (02/03) Shift to bliss (27/04) Rajni Next (29/06) Shift to Sunday now (30/06) Today returned(20/09) Today Returned (10/12) Today returned (11/04) Received one payment today (12/11) HDTNP (01/03) HDTNP (08/03) HDTNP (14/03)</v>
          </cell>
          <cell r="L54" t="str">
            <v>BOP n HELICONIA</v>
          </cell>
          <cell r="N54" t="str">
            <v>1  del of this cycle   -  1-cycles pmnt   Pending - Collect 1450</v>
          </cell>
          <cell r="O54" t="str">
            <v>Pur Eustoma ( 12 Inch ) 3     FF Sachet + Grass</v>
          </cell>
          <cell r="P54" t="str">
            <v>P Asiatic ( 14 Inch ) 3     Grass</v>
          </cell>
          <cell r="Q54" t="str">
            <v>Rajni ( 14 Inch ) 16     Grass</v>
          </cell>
          <cell r="R54" t="str">
            <v>Sunflower ( 12 Inch ) 4     FF Sachet + Grass</v>
          </cell>
          <cell r="S54" t="str">
            <v>Mix Glad ( 14 inch ) 16     Grass</v>
          </cell>
          <cell r="T54" t="str">
            <v>P n Y Spray Daisy ( 14 Inch ) 5     FF Sachet + Grass</v>
          </cell>
        </row>
        <row r="55">
          <cell r="A55">
            <v>1467</v>
          </cell>
          <cell r="B55" t="str">
            <v>Priyanka Chaturvedi</v>
          </cell>
          <cell r="C55">
            <v>7838930274</v>
          </cell>
          <cell r="D55" t="str">
            <v xml:space="preserve">Flat No. A-303, The Peaceful Homes, Sec 70-A
</v>
          </cell>
          <cell r="E55" t="str">
            <v>Badshahpur</v>
          </cell>
          <cell r="F55" t="str">
            <v>Friday</v>
          </cell>
          <cell r="G55" t="str">
            <v>9 AM - 12 PM</v>
          </cell>
          <cell r="H55">
            <v>1600</v>
          </cell>
          <cell r="I55">
            <v>200</v>
          </cell>
          <cell r="J55" t="str">
            <v>Bloom</v>
          </cell>
          <cell r="K55" t="str">
            <v>Friday and Sunday//Saturday evening slot and Sunday morning Slot(06/08) Send 100 Gm Mogra also(03/09) Received cash of 100 today(04/09) Skip coming week(20/09) Skip 1 week(15/10) Skip tom n send on comong fridayu this week(29/01) W Car next(26/02)  Holy Change(16/03) Return today(15/04) Hold n start from July (01/05) Skip 13th Delivery (10/01) NO ROSE (29/01) Sent replacement today (05/02) Send bothe deliveries together on sunday (12/05) Skip 1 week (25/05) Send both deliveries on Sunday only (01/06) Double Delivery only on Sunday (10/06) Paytm From Gaurav Chaturvedi (26/03) Hold til next saturday (20/06) Skip this sunday (11/10) No Spray Daisy (22/11) Today REturned (12/01) Skip 2nd week (03/04) No Del between 7th to 14th (05/04) Skip this sunday (18/06) Skip tom (04/10) Skip 1 week (10/12) Today Returned (04/01)</v>
          </cell>
          <cell r="L55" t="str">
            <v>ROSE n SPRAY DAISY</v>
          </cell>
          <cell r="N55" t="str">
            <v>3  del of this cycle   -  0-cycles pmnt   Completed - Collect 0</v>
          </cell>
          <cell r="O55" t="str">
            <v>B Daisy ( 12 Inch ) 7     Grass</v>
          </cell>
          <cell r="P55" t="str">
            <v>Sunflower ( 12 Inch ) 2     FF Sachet + Grass</v>
          </cell>
          <cell r="Q55" t="str">
            <v>B Daisy ( 12 Inch ) 7     Grass</v>
          </cell>
          <cell r="R55" t="str">
            <v>G n W Car ( 14 Inch ) 7     FF Sachet + Grass</v>
          </cell>
          <cell r="S55" t="str">
            <v>Sunflower ( 12 Inch )  2     FF Sachet + Grass</v>
          </cell>
          <cell r="T55" t="str">
            <v>O Glad ( 14 Inch ) 7     Grass</v>
          </cell>
        </row>
        <row r="56">
          <cell r="A56">
            <v>3416</v>
          </cell>
          <cell r="B56" t="str">
            <v>Rashmi Jhawar</v>
          </cell>
          <cell r="C56">
            <v>7042544266</v>
          </cell>
          <cell r="D56" t="str">
            <v>3/5 Hamelia Street, Vatika City</v>
          </cell>
          <cell r="E56" t="str">
            <v>Sohna Road 1</v>
          </cell>
          <cell r="F56" t="str">
            <v>Monday</v>
          </cell>
          <cell r="G56" t="str">
            <v>9 AM - 12 PM</v>
          </cell>
          <cell r="H56">
            <v>1710</v>
          </cell>
          <cell r="I56">
            <v>427.5</v>
          </cell>
          <cell r="J56" t="str">
            <v>Customized</v>
          </cell>
          <cell r="K56" t="str">
            <v>With 1 Pink Gypsola every week (25/07)</v>
          </cell>
          <cell r="N56" t="str">
            <v>1  del of this cycle   -  0-cycles pmnt   Completed - Collect 0</v>
          </cell>
          <cell r="O56" t="e">
            <v>#N/A</v>
          </cell>
          <cell r="P56" t="e">
            <v>#N/A</v>
          </cell>
          <cell r="Q56" t="e">
            <v>#N/A</v>
          </cell>
          <cell r="R56" t="e">
            <v>#N/A</v>
          </cell>
          <cell r="S56" t="e">
            <v>#N/A</v>
          </cell>
          <cell r="T56" t="str">
            <v>R n W Car ( 14 Inch ) 16     1 Big Pink Gypsola</v>
          </cell>
        </row>
        <row r="57">
          <cell r="A57">
            <v>1570</v>
          </cell>
          <cell r="B57" t="str">
            <v>Nisha Syriac</v>
          </cell>
          <cell r="C57">
            <v>9711811545</v>
          </cell>
          <cell r="D57" t="str">
            <v>G202, DLF Park Place Heights, Golf Course Road</v>
          </cell>
          <cell r="E57" t="str">
            <v>Golf Course Road</v>
          </cell>
          <cell r="F57" t="str">
            <v>Sunday</v>
          </cell>
          <cell r="G57" t="str">
            <v>9:30 Am to 2 PM</v>
          </cell>
          <cell r="H57">
            <v>1450</v>
          </cell>
          <cell r="I57">
            <v>362.5</v>
          </cell>
          <cell r="J57" t="str">
            <v>Bliss</v>
          </cell>
          <cell r="K57" t="str">
            <v>Paytm from Jacob Kuriakose(04/01) For remaining 3 Deliveries-- Guldawari//spray daisy// Orchids or Lily(06/01) Hold n start from 7th Feb(30/01) This cycle-- Car//Orchid//Lily//Spray Daisy(06/02) Skip this week and send on Tuesday(20/02) Skip 1 wek (11/03) Less Flowers sent in 2 del -- pls send 1 More Del on 1st Apr (25/03) No Rse n Gerbera (20/11) Skip 1 week (10/01) Skip 1 week 911/03) Skip 1 week (26/04) Skip 1 week (16/05) Hold till 7th Sep (13/08) Skip 1 week (19/09) Skip 1 week (03/01) No Rajni and Orchid only (21/02) Skip 1 week (27/03) Last del missed (07/04) Change day to Thursday (11/04) Return n skip next week also (07/05) Now on sunday Morning (21/05) Skip 1 week (27/06)</v>
          </cell>
          <cell r="L57" t="str">
            <v>Rajni n Orchid</v>
          </cell>
          <cell r="M57" t="str">
            <v xml:space="preserve">Single Color Flowers </v>
          </cell>
          <cell r="N57" t="str">
            <v>1  del of this cycle   -  1-cycles pmnt   Pending - Collect 1450</v>
          </cell>
          <cell r="O57" t="str">
            <v>Pur n P Car ( 14 Inch ) 16     FF Sachet + Grass</v>
          </cell>
          <cell r="P57" t="str">
            <v>Y Asiatic ( 14 Inch ) 3     Grass</v>
          </cell>
          <cell r="Q57" t="str">
            <v>P n W Glad ( 14 Inch ) 16     Grass</v>
          </cell>
          <cell r="R57" t="str">
            <v>Sunflower ( 12 Inch ) 4     FF Sachet + Grass</v>
          </cell>
          <cell r="S57" t="str">
            <v>Mix Alstroemeria ( 12 Inch ) 16     FF Sachet + Grass</v>
          </cell>
          <cell r="T57" t="str">
            <v>P n Y Spray Daisy ( 14 Inch ) 5     FF Sachet + Grass</v>
          </cell>
        </row>
        <row r="58">
          <cell r="A58">
            <v>3238</v>
          </cell>
          <cell r="B58" t="str">
            <v>Alka Verma</v>
          </cell>
          <cell r="C58">
            <v>9910437766</v>
          </cell>
          <cell r="D58" t="str">
            <v>T-10/101, Emaar palm Terraces Select</v>
          </cell>
          <cell r="E58" t="str">
            <v>Badshahpur</v>
          </cell>
          <cell r="F58" t="str">
            <v>Sunday</v>
          </cell>
          <cell r="G58" t="str">
            <v>9 AM - 12 PM</v>
          </cell>
          <cell r="H58">
            <v>1450</v>
          </cell>
          <cell r="I58">
            <v>362.5</v>
          </cell>
          <cell r="J58" t="str">
            <v>Bliss</v>
          </cell>
          <cell r="K58" t="str">
            <v>Skip 1 week (28/03) Send Replacement tom (12/04) Skip 1 week (27/04) Skip 1 week after 14th June (06/06) Skip 1 week (16/06)</v>
          </cell>
          <cell r="N58" t="str">
            <v>3  del of this cycle   -  0-cycles pmnt   Completed - Collect 0</v>
          </cell>
          <cell r="O58" t="e">
            <v>#N/A</v>
          </cell>
          <cell r="P58" t="str">
            <v>Sunflower ( 12 Inch ) 4     FF Sachet + Grass</v>
          </cell>
          <cell r="Q58" t="str">
            <v>P Asiatic ( 14 Inch ) 3     Grass</v>
          </cell>
          <cell r="R58" t="str">
            <v>G n W Car ( 14 Inch ) 16     FF Sachet + Grass</v>
          </cell>
          <cell r="S58" t="str">
            <v>Glad 16     FF Sachet + Grass</v>
          </cell>
          <cell r="T58" t="str">
            <v>P n Y Spray Daisy ( 14 Inch ) 5     FF Sachet + Grass</v>
          </cell>
        </row>
        <row r="59">
          <cell r="A59">
            <v>2255</v>
          </cell>
          <cell r="B59" t="str">
            <v>Prerna -- Rosewood</v>
          </cell>
          <cell r="C59">
            <v>9910778929</v>
          </cell>
          <cell r="D59" t="str">
            <v>D-154, Rosewood City, Sector 50</v>
          </cell>
          <cell r="E59" t="str">
            <v>Nirvana Country</v>
          </cell>
          <cell r="F59" t="str">
            <v>Sunday</v>
          </cell>
          <cell r="G59" t="str">
            <v>9:30 Am to 2 PM</v>
          </cell>
          <cell r="H59">
            <v>1450</v>
          </cell>
          <cell r="I59">
            <v>362.5</v>
          </cell>
          <cell r="J59" t="str">
            <v>Bliss</v>
          </cell>
          <cell r="K59" t="str">
            <v>Sent replacement today (21/04) Skip 1 week (04/12) Skip tom (14/06) Return today (06/07) 27th Del Missed (03/08)Skip 22/23rd Nov (08/11) Paytm From Prerna Sharma // Skip 1 week (07/02) Hold n start after 9 th June (10/05)</v>
          </cell>
          <cell r="N59" t="str">
            <v>3  del of this cycle   -  0-cycles pmnt   Completed - Collect 0</v>
          </cell>
          <cell r="O59" t="str">
            <v>Pur Eustoma ( 12 Inch ) 3     FF Sachet + Grass</v>
          </cell>
          <cell r="P59" t="str">
            <v>Rajni 16     Grass</v>
          </cell>
          <cell r="Q59" t="str">
            <v>Sunflower ( 12 Inch ) 4     FF Sachet + Grass</v>
          </cell>
          <cell r="R59" t="str">
            <v>P n W Glad ( 14 Inch ) 16     Grass</v>
          </cell>
          <cell r="S59" t="str">
            <v>Mix Car 16     FF Sachet + Grass</v>
          </cell>
          <cell r="T59" t="str">
            <v>W Asiatic ( 14 Inch ) 3     Grass</v>
          </cell>
        </row>
        <row r="60">
          <cell r="A60">
            <v>1898</v>
          </cell>
          <cell r="B60" t="str">
            <v>Shipra</v>
          </cell>
          <cell r="C60">
            <v>8447778677</v>
          </cell>
          <cell r="D60" t="str">
            <v xml:space="preserve">C-94 Trinity </v>
          </cell>
          <cell r="E60" t="str">
            <v>DLF Phase 5</v>
          </cell>
          <cell r="F60" t="str">
            <v>Saturday</v>
          </cell>
          <cell r="G60" t="str">
            <v>4 Pm to 7 PM</v>
          </cell>
          <cell r="H60">
            <v>1600</v>
          </cell>
          <cell r="I60">
            <v>200</v>
          </cell>
          <cell r="J60" t="str">
            <v>Bloom</v>
          </cell>
          <cell r="K60" t="str">
            <v>Thursday and Sunday// Rajni 1st(02/04) Changed to evening slot(07/04) Today Returned(17/04) Skip Sunday del(17/06) Skip this Thursday(28/06) Skip 1 week(13/08) Skip Tom Flowers(01/10) Paytm From Shipra Rastogi (20/02) Skip 1 wek (22/03) Skip Thursday delivery (04/04) Today Returned (09/04) Skip sunday delivery (29/09) Yesterday returned (22/12) Return today (28/01) Skip tom (23/03) Skip 1 week (10/04) Eustoma Next (26/05) Hold for 10 days (06/06) Sennd one del Tom (05/08) Hold today and skip next (15/08) Hold today n skip 1 week (21/11) Skip this sunday (21/12) Paytm from Shipra Rastogi (02/03) Hold today (23/03) 250 received via paytm (30/03) 1000 cash and 250 paytm (31/03) Hold from 10th to 21st June-25(11/06) Hold today due to nonpayment (02/10) Hold due to non payment (05/10) Yesterday returned (24/10) Skip 1 week (24/12) Hold due to non payment (07/01) Hold due to non payment (11/01) Hold due to non payment (14/01) Hold due to non payment (18/01) HDTNP (15/02) HDTNP(22/02) HDTNP (26/02) HDTNP (01/03) HDTNP (04/03) HDTNP (08/03) HDTNP (12/03) HDTNP (14/03) HDTNP (10/05) hdtnp (14/05) No Flowers from 17th to 24th (17/06) HDTNP (12/07) HDTNP (16/07) HDTNP (19/07)</v>
          </cell>
          <cell r="N60" t="str">
            <v>4  del of this cycle   -  0-cycles pmnt   Completed - Collect 0</v>
          </cell>
          <cell r="O60" t="e">
            <v>#N/A</v>
          </cell>
          <cell r="P60" t="str">
            <v>P n W Car ( 14 Inch ) 7     FF Sachet + Grass</v>
          </cell>
          <cell r="Q60" t="str">
            <v>B Daisy ( 12 Inch ) 7     Grass</v>
          </cell>
          <cell r="R60" t="e">
            <v>#N/A</v>
          </cell>
          <cell r="S60" t="e">
            <v>#N/A</v>
          </cell>
          <cell r="T60" t="str">
            <v>R n W Car ( 14 Inch ) 7     FF Sachet + Grass</v>
          </cell>
        </row>
        <row r="61">
          <cell r="A61">
            <v>1470</v>
          </cell>
          <cell r="B61" t="str">
            <v>Ankit Goyal</v>
          </cell>
          <cell r="C61">
            <v>9582406060</v>
          </cell>
          <cell r="D61" t="str">
            <v>A-402, La Lagune</v>
          </cell>
          <cell r="E61" t="str">
            <v>Golf Course Road</v>
          </cell>
          <cell r="F61" t="str">
            <v>Sunday</v>
          </cell>
          <cell r="G61" t="str">
            <v>9 AM - 12 PM</v>
          </cell>
          <cell r="H61">
            <v>2750</v>
          </cell>
          <cell r="I61">
            <v>687.5</v>
          </cell>
          <cell r="J61" t="str">
            <v>Elation</v>
          </cell>
          <cell r="K61" t="str">
            <v>Sunday to Thurs//Monday and Thursday// Car 1st(07/08) Referred by Divya Grg// always diff flowers(07/08) Skip 1 week(16/08) Sunday Missed-sent today(13/09) No Rose til it survives(26/09) Received 850 in advance today(16/11) Flowers returned-skip 1 weeK30/11) Skip 1 week(18/12) REturned-send next week(10/03) Skuip 1 week (25/10) Today Returned and hold for next 8 days (03/11) Skip 1 week (25/01) Skip 1 week (06/03) Return today Skip 1 week (20/04) Today Returned (08/06) Skip 1 week (05/07) Hold due to non payment (19/07) hOLD AS PAYMENT NOT RECEIVED(13/10) Skip this sunday (20/7) Skip 1 week (17/08) Skip tom (23/11) Skip 1 week (16/12) Skip tom (08/03) Skip 1 week(11/04) Skip 2 week (18/06) Today Returned (19/10) Skip 1 week (0111) Skip 1 week (07/11) Send one del tom (09/11) Skip tom (20/12)</v>
          </cell>
          <cell r="N61" t="str">
            <v>3  del of this cycle   -  0-cycles pmnt   Completed - Collect 0</v>
          </cell>
          <cell r="O61" t="str">
            <v>O Asiatic ( 14 Inch )' 6     2 Gypsola</v>
          </cell>
          <cell r="P61" t="str">
            <v>P n W Glad ( 14 Inch ) 32     2 Limonium</v>
          </cell>
          <cell r="Q61" t="str">
            <v>P n Y Spray Daisy ( 14 Inch ) 10     2 Gypsola</v>
          </cell>
          <cell r="R61" t="str">
            <v>Rajni ( 14 Inch ) 32     2 Limonium</v>
          </cell>
          <cell r="S61" t="str">
            <v>G n W Car ( 14 Inch ) 32     2 Gypsola + FF sachet + Grass</v>
          </cell>
          <cell r="T61" t="str">
            <v>Sunflower ( 12 Inch ) 5     FF Sachet + Grass</v>
          </cell>
        </row>
        <row r="62">
          <cell r="A62">
            <v>2550</v>
          </cell>
          <cell r="B62" t="str">
            <v>Pooja Singh</v>
          </cell>
          <cell r="C62">
            <v>9810123062</v>
          </cell>
          <cell r="D62" t="str">
            <v>B-289, 3rd Floor, Anantraj Estates, Sec 63 A</v>
          </cell>
          <cell r="E62" t="str">
            <v>Ghata</v>
          </cell>
          <cell r="F62" t="str">
            <v>Sunday</v>
          </cell>
          <cell r="G62" t="str">
            <v>9 AM - 12 PM</v>
          </cell>
          <cell r="H62">
            <v>1450</v>
          </cell>
          <cell r="I62">
            <v>362.5</v>
          </cell>
          <cell r="J62" t="str">
            <v>Bliss</v>
          </cell>
          <cell r="K62" t="str">
            <v>Hold today n sned on Tuesday (18/05) Skip this week and send on Monday(01/01/26) Return today (18/01) Skip this Sunday and sned on Tuesday this week (27/06) Send on Tuesday this week(11/07)</v>
          </cell>
          <cell r="N62" t="str">
            <v>3  del of this cycle   -  0-cycles pmnt   Completed - Collect 0</v>
          </cell>
          <cell r="O62" t="str">
            <v>P Asiatic ( 14 Inch ) 2 B Daisy ( 12 Inch ) 7   Grass</v>
          </cell>
          <cell r="P62" t="e">
            <v>#N/A</v>
          </cell>
          <cell r="Q62" t="str">
            <v>Sunflower ( 12 Inch ) 2 P n W Glad ( 14 Inch ) 7   FF Sachet + Grass</v>
          </cell>
          <cell r="R62" t="e">
            <v>#N/A</v>
          </cell>
          <cell r="S62" t="str">
            <v>O Asiatic ( 14 Inch ) 2 Mix Car 7   Grass</v>
          </cell>
          <cell r="T62" t="str">
            <v>Sunflower ( 12 Inch ) 2 O Glad 7   FF Sachet + Grass</v>
          </cell>
        </row>
        <row r="63">
          <cell r="A63">
            <v>3252</v>
          </cell>
          <cell r="B63" t="str">
            <v>Madhumita Dhupar</v>
          </cell>
          <cell r="C63">
            <v>9999887549</v>
          </cell>
          <cell r="D63" t="str">
            <v>333, Deerwood Chase</v>
          </cell>
          <cell r="E63" t="str">
            <v>Nirvana Country</v>
          </cell>
          <cell r="F63" t="str">
            <v>Sunday</v>
          </cell>
          <cell r="G63" t="str">
            <v>9 AM to 2 PM</v>
          </cell>
          <cell r="H63">
            <v>1450</v>
          </cell>
          <cell r="I63">
            <v>362.5</v>
          </cell>
          <cell r="J63" t="str">
            <v>Bliss</v>
          </cell>
          <cell r="K63" t="str">
            <v>White Flowers in Each Delivery (10/01)</v>
          </cell>
          <cell r="N63" t="str">
            <v>1  del of this cycle   -  1-cycles pmnt   Pending - Collect 1450</v>
          </cell>
          <cell r="O63" t="str">
            <v>P Eustoma ( 12 Inch ) 3     FF Sachet + Grass</v>
          </cell>
          <cell r="P63" t="str">
            <v>Pur n P Car ( 14 Inch 16     FF Sachet + Grass</v>
          </cell>
          <cell r="Q63" t="str">
            <v>Rajni ( 14 Inch ) 16     Grass</v>
          </cell>
          <cell r="R63" t="str">
            <v>Sunflower ( 12 Inch ) 4     FF Sachet + Grass</v>
          </cell>
          <cell r="S63" t="str">
            <v>Mix Glad ( 14 inch ) 16     Grass</v>
          </cell>
          <cell r="T63" t="str">
            <v>O Asiatic ( 14 Inch ) 3     Grass</v>
          </cell>
        </row>
        <row r="64">
          <cell r="A64">
            <v>2200</v>
          </cell>
          <cell r="B64" t="str">
            <v>Naina Gandhi</v>
          </cell>
          <cell r="C64">
            <v>9811188863</v>
          </cell>
          <cell r="D64" t="str">
            <v>K2/105, Central Park -1</v>
          </cell>
          <cell r="G64" t="str">
            <v>Replacment</v>
          </cell>
          <cell r="H64" t="str">
            <v>Replacment</v>
          </cell>
          <cell r="I64" t="str">
            <v>Replacment</v>
          </cell>
          <cell r="J64" t="str">
            <v>Replacment</v>
          </cell>
          <cell r="K64" t="str">
            <v>Replacment</v>
          </cell>
          <cell r="L64" t="str">
            <v>Replacment</v>
          </cell>
          <cell r="M64" t="str">
            <v>Replacment</v>
          </cell>
          <cell r="N64" t="str">
            <v>Replacment</v>
          </cell>
          <cell r="T64" t="str">
            <v>Sunflower ( 12 Inch ) 2     Grass</v>
          </cell>
        </row>
        <row r="65">
          <cell r="A65">
            <v>3166</v>
          </cell>
          <cell r="B65" t="str">
            <v>Mona Gupta</v>
          </cell>
          <cell r="C65">
            <v>9999284587</v>
          </cell>
          <cell r="D65" t="str">
            <v>A-200, 2nd Floor, Today Blossomes-1, Sec 47</v>
          </cell>
          <cell r="E65" t="str">
            <v>Nirvana Country</v>
          </cell>
          <cell r="F65" t="str">
            <v>Sunday</v>
          </cell>
          <cell r="G65" t="str">
            <v>9 AM - 12 PM</v>
          </cell>
          <cell r="H65">
            <v>1450</v>
          </cell>
          <cell r="I65">
            <v>362.5</v>
          </cell>
          <cell r="J65" t="str">
            <v>Bliss</v>
          </cell>
          <cell r="K65" t="str">
            <v>Hold due to non payment (26/12) Payment from Monica Gupta (28/12) Hold due to non payment (18/01) Start from May (12/04) Four plus 1 Pack (12/04) Returned today and skip 1 week (03/05) Replacement tom (18/05) HDTNP (24/05) From Monica Gupta (24/05) HDTNP (27/05) No Carnations for next 3 deliveries (27/05) Refund 2 delivery cost and closed (01/06)</v>
          </cell>
          <cell r="M65" t="str">
            <v xml:space="preserve"> No Carnations for next 4 deliveries (27/05)</v>
          </cell>
          <cell r="N65" t="str">
            <v>4  del of this cycle   -  0-cycles pmnt   Completed - Collect 0</v>
          </cell>
          <cell r="O65" t="e">
            <v>#N/A</v>
          </cell>
          <cell r="P65" t="e">
            <v>#N/A</v>
          </cell>
          <cell r="Q65" t="e">
            <v>#N/A</v>
          </cell>
          <cell r="R65" t="str">
            <v>P Asiatic ( 14 Inch ) 3     Grass</v>
          </cell>
          <cell r="S65" t="str">
            <v>Mix Glad ( 14 inch ) 16     Grass</v>
          </cell>
          <cell r="T65" t="str">
            <v>R n W Car ( 14 Inch ) 16     FF Sachet + Grass</v>
          </cell>
        </row>
        <row r="66">
          <cell r="A66" t="str">
            <v>B46944</v>
          </cell>
          <cell r="B66" t="str">
            <v>Albi</v>
          </cell>
          <cell r="C66">
            <v>9999236508</v>
          </cell>
          <cell r="D66" t="str">
            <v>G-3/1A, DLF Phase 1</v>
          </cell>
          <cell r="E66" t="str">
            <v>DLF Phase 1</v>
          </cell>
          <cell r="F66" t="str">
            <v>Thursday</v>
          </cell>
          <cell r="G66" t="str">
            <v>By 9 AM</v>
          </cell>
          <cell r="H66">
            <v>28000</v>
          </cell>
          <cell r="I66">
            <v>7000</v>
          </cell>
          <cell r="J66" t="str">
            <v>Customized</v>
          </cell>
          <cell r="K66" t="str">
            <v>Now at every 10 days (18/12)</v>
          </cell>
          <cell r="N66" t="str">
            <v>4  del of this cycle   -  0-cycles pmnt   In Process - Collect 0</v>
          </cell>
          <cell r="O66" t="e">
            <v>#N/A</v>
          </cell>
          <cell r="P66" t="str">
            <v xml:space="preserve">W Oriental + R Asiatic + R n W Spray Daisy + R n W Car + R n W Anthurium + W Orchid  4 + 4 + 12 + 30 + 4 + 7 Mogra 200 Gm   </v>
          </cell>
          <cell r="Q66" t="str">
            <v xml:space="preserve">W Oriental + G Anthurium + G Lotus Pd + Baloon Flower + G n W Car + Big Monstera 4 + 6 + 8 + 8 + 15 W Oriental + Limonium 2 + 3 ( In Suraahi Vase) Mogra  300 Gm </v>
          </cell>
          <cell r="R66" t="str">
            <v xml:space="preserve">      </v>
          </cell>
          <cell r="S66" t="str">
            <v xml:space="preserve">P Oriental + Y Asiatic + P n Y Spray Daisy + Pur Orchid + P Anthurium + P n Y Car 4 + 4 + 15 + 10 + 4 + 30 Mogra + Big Monstera + Big Palm +Baby Dollar +  Normal Grass 300 Gm   </v>
          </cell>
          <cell r="T66" t="str">
            <v xml:space="preserve">P Asiatic + W Oriental 4 + 4 P n W Car + P n W Spray Daisy + P n W Anthurium + Eustoma 40 + 15 + 4 + 5 Premium Ferns + Other Greens  </v>
          </cell>
        </row>
        <row r="67">
          <cell r="A67">
            <v>3243</v>
          </cell>
          <cell r="B67" t="str">
            <v>Muskan</v>
          </cell>
          <cell r="C67">
            <v>9877561166</v>
          </cell>
          <cell r="D67" t="str">
            <v>Floor - 6, Flat 601, Milan Appartment, CGHS</v>
          </cell>
          <cell r="E67" t="str">
            <v>Artemis</v>
          </cell>
          <cell r="F67" t="str">
            <v>Sunday</v>
          </cell>
          <cell r="G67" t="str">
            <v>10 AM to 2:30 PM</v>
          </cell>
          <cell r="H67">
            <v>1450</v>
          </cell>
          <cell r="I67">
            <v>362.5</v>
          </cell>
          <cell r="J67" t="str">
            <v>Bliss</v>
          </cell>
          <cell r="K67" t="str">
            <v>One Kind // Day Sunday (26/03) Mix in Joy (23/04) Change to bliss (21/06)</v>
          </cell>
          <cell r="M67" t="str">
            <v>Mix in Joy (23/04)</v>
          </cell>
          <cell r="N67" t="str">
            <v>2  del of this cycle   -  1-cycles pmnt   Pending - Collect 1450</v>
          </cell>
          <cell r="O67" t="str">
            <v>B Daisy ( 12 Inch ) 16     Grass</v>
          </cell>
          <cell r="P67" t="str">
            <v>Sunflower ( 12 Inch ) 4     FF Sachet + Grass</v>
          </cell>
          <cell r="Q67" t="str">
            <v>P Asiatic ( 14 Inch ) 3     Grass</v>
          </cell>
          <cell r="R67" t="str">
            <v>P n Y Spray Daisy ( 14 Inch ) 5     FF Sachet + Grass</v>
          </cell>
          <cell r="S67" t="str">
            <v>G n W Car ( 14 Inch ) 16     FF Sachet + Grass</v>
          </cell>
          <cell r="T67" t="str">
            <v>O Glad ( 14 Inch ) 16     Grass</v>
          </cell>
        </row>
        <row r="68">
          <cell r="A68" t="str">
            <v>B56434</v>
          </cell>
          <cell r="B68" t="str">
            <v>Alsk Gupta</v>
          </cell>
          <cell r="C68">
            <v>9212715069</v>
          </cell>
          <cell r="D68" t="str">
            <v>Urban Design Concept, LGF Shop No. 1, J. S. Tower, Metro Pillar No. 55, Sikanderpur</v>
          </cell>
          <cell r="E68" t="str">
            <v>M G Road</v>
          </cell>
          <cell r="F68" t="str">
            <v>Sunday</v>
          </cell>
          <cell r="G68" t="str">
            <v>By 11 AM</v>
          </cell>
          <cell r="H68">
            <v>600</v>
          </cell>
          <cell r="I68">
            <v>600</v>
          </cell>
          <cell r="J68" t="str">
            <v>Bouquet</v>
          </cell>
          <cell r="K68" t="str">
            <v>From Rotary Club// Wish you a very Happy Birthday.  From RCGQE (11/07)</v>
          </cell>
          <cell r="N68" t="str">
            <v>1  del of this cycle   -  0-cycles pmnt   In Process - Collect 0</v>
          </cell>
          <cell r="O68" t="e">
            <v>#N/A</v>
          </cell>
          <cell r="P68" t="e">
            <v>#N/A</v>
          </cell>
          <cell r="Q68" t="e">
            <v>#N/A</v>
          </cell>
          <cell r="R68" t="e">
            <v>#N/A</v>
          </cell>
          <cell r="S68" t="e">
            <v>#N/A</v>
          </cell>
          <cell r="T68" t="str">
            <v xml:space="preserve">P n W Car  15 Walkin Tissue Wrap Message   </v>
          </cell>
        </row>
        <row r="69">
          <cell r="A69">
            <v>3277</v>
          </cell>
          <cell r="B69" t="str">
            <v>M2K</v>
          </cell>
          <cell r="C69">
            <v>8595180468</v>
          </cell>
          <cell r="D69" t="str">
            <v>M2k</v>
          </cell>
          <cell r="E69" t="str">
            <v>Nirvana Country</v>
          </cell>
          <cell r="F69" t="str">
            <v>Tuesday</v>
          </cell>
          <cell r="G69" t="str">
            <v>By 8 AM</v>
          </cell>
          <cell r="H69">
            <v>10500</v>
          </cell>
          <cell r="I69">
            <v>350</v>
          </cell>
          <cell r="J69" t="str">
            <v>Corporate</v>
          </cell>
          <cell r="N69" t="str">
            <v>2  del of this cycle   -  0-cycles pmnt   In Process - Collect 0</v>
          </cell>
          <cell r="O69" t="str">
            <v xml:space="preserve">Pooja Flowers  1     </v>
          </cell>
          <cell r="P69" t="str">
            <v xml:space="preserve">Pooja Flowers  1     </v>
          </cell>
          <cell r="Q69" t="str">
            <v xml:space="preserve">Pooja Flowers       </v>
          </cell>
          <cell r="R69" t="str">
            <v xml:space="preserve">Pooja Flowes       </v>
          </cell>
          <cell r="S69" t="str">
            <v xml:space="preserve">Pooja Flowers       </v>
          </cell>
          <cell r="T69" t="str">
            <v xml:space="preserve">Pooja Flowers       </v>
          </cell>
        </row>
        <row r="70">
          <cell r="A70" t="str">
            <v>B56560</v>
          </cell>
          <cell r="B70" t="str">
            <v>Jitendra</v>
          </cell>
          <cell r="C70">
            <v>8800156951</v>
          </cell>
          <cell r="D70" t="str">
            <v>Trehan Luxury Floors</v>
          </cell>
          <cell r="E70" t="str">
            <v>Badshahpur</v>
          </cell>
          <cell r="F70" t="str">
            <v>Sunday</v>
          </cell>
          <cell r="G70" t="str">
            <v>By 9:30 AM</v>
          </cell>
          <cell r="H70">
            <v>1196</v>
          </cell>
          <cell r="I70">
            <v>1196</v>
          </cell>
          <cell r="J70" t="str">
            <v>Bouquet</v>
          </cell>
          <cell r="N70" t="str">
            <v>1  del of this cycle   -  0-cycles pmnt   In Process - Collect 0</v>
          </cell>
          <cell r="O70" t="e">
            <v>#N/A</v>
          </cell>
          <cell r="P70" t="e">
            <v>#N/A</v>
          </cell>
          <cell r="Q70" t="e">
            <v>#N/A</v>
          </cell>
          <cell r="R70" t="e">
            <v>#N/A</v>
          </cell>
          <cell r="S70" t="e">
            <v>#N/A</v>
          </cell>
          <cell r="T70" t="str">
            <v xml:space="preserve">Trehan Srt 1     </v>
          </cell>
        </row>
        <row r="71">
          <cell r="A71">
            <v>3386</v>
          </cell>
          <cell r="B71" t="str">
            <v>Devina Duggal</v>
          </cell>
          <cell r="C71">
            <v>9992399954</v>
          </cell>
          <cell r="D71" t="str">
            <v>Sadev, C-149, Suncity, Ground Floor</v>
          </cell>
          <cell r="E71" t="str">
            <v>Golf Course Road</v>
          </cell>
          <cell r="F71" t="str">
            <v>Sunday</v>
          </cell>
          <cell r="G71" t="str">
            <v>9:30 Am to 2 PM</v>
          </cell>
          <cell r="H71">
            <v>2750</v>
          </cell>
          <cell r="I71">
            <v>687.5</v>
          </cell>
          <cell r="J71" t="str">
            <v>Elation</v>
          </cell>
          <cell r="K71" t="str">
            <v>No Exotic Greens -- send Only Extra Local Greens</v>
          </cell>
          <cell r="M71" t="str">
            <v>No Exotic Greens -- send Only Extra Local Greens</v>
          </cell>
          <cell r="N71" t="str">
            <v>2  del of this cycle   -  1-cycles pmnt   Pending - Collect 2750</v>
          </cell>
          <cell r="O71" t="str">
            <v>Pur n P Car ( 14 Inch ) 32     2 Gypsola + FF Sachet</v>
          </cell>
          <cell r="P71" t="str">
            <v>P Asiatic ( 14 Inch ) 3 P n W Glad ( 14 Inch ) 16   Extra Grass -- No Limonium or Gypsola</v>
          </cell>
          <cell r="Q71" t="str">
            <v>Rajni ( 14 Inch ) 32     2 Limonium + Grass</v>
          </cell>
          <cell r="R71" t="str">
            <v>Mix Alstroemeria ( 12 Inch ) 32     2 Limonium + FF Sachet</v>
          </cell>
          <cell r="S71" t="str">
            <v>P n Y Spray Daisy ( 14 Inch ) 10 Pls Check with Customer for renewal and then handover    2 Gypsola + FF sachet + Grass</v>
          </cell>
          <cell r="T71" t="str">
            <v>W Asiatic ( 14 Inch ) 6 Pese Jarur Lene Hai  Ensure Collection and Call if not Paid Ensure Collection and Call if not Paid 2 Gypsola + Grass</v>
          </cell>
        </row>
        <row r="72">
          <cell r="A72">
            <v>2707</v>
          </cell>
          <cell r="B72" t="str">
            <v>Mrigal Vora Puri</v>
          </cell>
          <cell r="C72">
            <v>9903474654</v>
          </cell>
          <cell r="D72" t="str">
            <v>T-6A/1103, Valley View Estate</v>
          </cell>
          <cell r="E72" t="str">
            <v>Ghata</v>
          </cell>
          <cell r="F72" t="str">
            <v>Sunday</v>
          </cell>
          <cell r="G72" t="str">
            <v>9 AM - 12 PM</v>
          </cell>
          <cell r="H72">
            <v>1450</v>
          </cell>
          <cell r="I72">
            <v>362.5</v>
          </cell>
          <cell r="J72" t="str">
            <v>Bliss</v>
          </cell>
          <cell r="K72" t="str">
            <v>Glad Next (20/06) Hold today (05/1) Hold due to non payment (01/02) Hold due to non payment (08/02) HDTNP (15/02) Skip 1 week (04/04) HDTNP (03/05) HDTNP (10/05) Paytm From Akhil Puri (07/06)</v>
          </cell>
          <cell r="M72" t="str">
            <v>Glad Next (20/06)</v>
          </cell>
          <cell r="N72" t="str">
            <v>4  del of this cycle   -  0-cycles pmnt   Completed - Collect 0</v>
          </cell>
          <cell r="O72" t="str">
            <v>P Asiatic ( 14 Inch ) 2 Pur n P Car ( 14 Inch ) 7   Grass</v>
          </cell>
          <cell r="P72" t="str">
            <v>P Spray Daisy ( 14 Inch ) 3 Rajni ( 14 Inch ) 7   FF Sachet + Grass</v>
          </cell>
          <cell r="Q72" t="str">
            <v>Sunflower ( 12 Inch ) 2 B Daisy ( 12 Inch ) 7   FF Sachet + Grass</v>
          </cell>
          <cell r="R72" t="str">
            <v>O Asiatic ( 14 Inch ) 2 P n W Glad ( 14 Inch ) 7   Grass</v>
          </cell>
          <cell r="S72" t="str">
            <v>Y Spray Daisy ( 14 Inch ) 3 G n W Car ( 14 Inch ) 7   FF Sachet + Grass</v>
          </cell>
          <cell r="T72" t="str">
            <v>P Eustoma ( 12 Inch ) 2 Rajni 7   FF Sachet + Grass</v>
          </cell>
        </row>
        <row r="73">
          <cell r="A73">
            <v>2878</v>
          </cell>
          <cell r="B73" t="str">
            <v>Aditi Bhatt</v>
          </cell>
          <cell r="C73">
            <v>7506091115</v>
          </cell>
          <cell r="D73" t="str">
            <v>D-225, 2nd Floor, Sushant Lok-2, Sec 56</v>
          </cell>
          <cell r="E73" t="str">
            <v>Sector 56</v>
          </cell>
          <cell r="F73" t="str">
            <v>Sunday</v>
          </cell>
          <cell r="G73" t="str">
            <v>9 AM - 12 PM</v>
          </cell>
          <cell r="H73">
            <v>1450</v>
          </cell>
          <cell r="I73">
            <v>362.5</v>
          </cell>
          <cell r="J73" t="str">
            <v>Bliss</v>
          </cell>
          <cell r="K73" t="str">
            <v>Skip 1 week (13/08) Send 1 del tom (24/08_) Day change to Sunday (26/08) Shift n send on Thursday (05/09) Skip 1 week (23/10) Skip 1 week (07/11) Remaining Deliveries on Thursday (12/11) Skip 1 week (20/01) Start from 15th Mar 911/03) No Local white gypsy (14/03) Start from 19th Apr (07/04) Paytm from Sparch Jain (21/04) Paytm from Sparsh Jain (16/05) Skip 1 week (10/06)</v>
          </cell>
          <cell r="M73" t="str">
            <v>No White Local Gypsy</v>
          </cell>
          <cell r="N73" t="str">
            <v>2  del of this cycle   -  0-cycles pmnt   Completed - Collect 0</v>
          </cell>
          <cell r="O73" t="str">
            <v>B Daisy ( 12 Inch ) 9     Grass</v>
          </cell>
          <cell r="P73" t="str">
            <v>Sunflower ( 12 Inch ) 4     FF Sachet + Grass</v>
          </cell>
          <cell r="Q73" t="str">
            <v>Rajni ( 14 Inch ) 16     Grass</v>
          </cell>
          <cell r="R73" t="str">
            <v>P Asiatic ( 14 Inch ) 3     Grass</v>
          </cell>
          <cell r="S73" t="str">
            <v>G n W Car ( 14 Inch ) 16     FF Sachet + Grass</v>
          </cell>
          <cell r="T73" t="str">
            <v>O Glad ( 14 Inch ) 16     Grass</v>
          </cell>
        </row>
        <row r="74">
          <cell r="A74">
            <v>1182</v>
          </cell>
          <cell r="B74" t="str">
            <v>Pradeep Shoran</v>
          </cell>
          <cell r="C74">
            <v>9818335503</v>
          </cell>
          <cell r="D74" t="str">
            <v>T-7/406, Valley View Estate, Gwal Pahari</v>
          </cell>
          <cell r="E74" t="str">
            <v>Ghata</v>
          </cell>
          <cell r="F74" t="str">
            <v>Sunday</v>
          </cell>
          <cell r="G74" t="str">
            <v>9 AM to 2 PM</v>
          </cell>
          <cell r="H74">
            <v>1450</v>
          </cell>
          <cell r="I74">
            <v>362.5</v>
          </cell>
          <cell r="J74" t="str">
            <v>Bliss</v>
          </cell>
          <cell r="K74" t="str">
            <v>Ref from Rachna Rathhee(23/11) NO GULDAWARI(28/12) Lily next week(04/01) Sent a eplacement(27/01) Upgraded to 850-- send 2 type of flowers including last delivery's remaining flowers(23/02) Send plain cyllindrical vase with next del(17/03) Skiped 1 week due to HOLI(29/03) Skip 1 week(22/12) NO ROSES EVER(22/12) NO ROSE(03/01) Skip 1 week(23/03) NO ROSE/ORCHID/GULDAWARI(02/04) Skip 1 week(20/05) Skip 1 week(22/06) 2 Sticks extra next(16/07) Today returned (24/12) No ROSE (07/01) 14th Jan del was missed (15/01) Today Hold (18/02) Skip 2 weeks (24/02) Sent 1 Del today (05/03) Skip 1 week (22/06) Today hold (08/07)  Paytm From Soni Shoran// No Orchid (25/05) Replacement today (07/07) Skip 2 week (02/10) Replacement tom (22/12) last sat not picked (26/05) Day changed to sunday (14/06) Sent one del today -- skip 27th (24/07) Skip this week (02/08) Picked today-dont send tom (27/09) Today missed-send next week (04/01) Skip 1 week (02/06) Skip 1 week (04/07)</v>
          </cell>
          <cell r="L74" t="str">
            <v>ROSE n ORCHID</v>
          </cell>
          <cell r="N74" t="str">
            <v>2  del of this cycle   -  0-cycles pmnt   Completed - Collect 0</v>
          </cell>
          <cell r="O74" t="str">
            <v>P n W Glad ( 14 Inch ) 16     Grass</v>
          </cell>
          <cell r="P74" t="str">
            <v>P n W Car ( 14 Inch ) 16     FF Sachet + Grass</v>
          </cell>
          <cell r="Q74" t="e">
            <v>#N/A</v>
          </cell>
          <cell r="R74" t="str">
            <v>Sunflower ( 12 Inch ) 4     FF Sachet + Grass</v>
          </cell>
          <cell r="S74" t="str">
            <v>Glad 16     FF Sachet + Grass</v>
          </cell>
          <cell r="T74" t="str">
            <v>O Asiatic ( 14 Inch ) 3     Grass</v>
          </cell>
        </row>
        <row r="75">
          <cell r="A75" t="str">
            <v>B56527</v>
          </cell>
          <cell r="B75" t="str">
            <v>Jasbir Singh</v>
          </cell>
          <cell r="C75" t="str">
            <v>9997092561 // 999453496</v>
          </cell>
          <cell r="D75" t="str">
            <v>Amber, 4th Floor, Universal Trade Centre</v>
          </cell>
          <cell r="E75" t="str">
            <v>Sohna Road 1</v>
          </cell>
          <cell r="F75" t="str">
            <v>Friday</v>
          </cell>
          <cell r="G75" t="str">
            <v>By 11 AM</v>
          </cell>
          <cell r="H75">
            <v>30000</v>
          </cell>
          <cell r="I75">
            <v>30000</v>
          </cell>
          <cell r="J75" t="str">
            <v>Special Project</v>
          </cell>
          <cell r="K75" t="str">
            <v>White n Blue color theme// Need to check about wooden basket with orchids</v>
          </cell>
          <cell r="N75" t="str">
            <v>1  del of this cycle   -  0-cycles pmnt   In Process - Collect 0</v>
          </cell>
          <cell r="O75" t="e">
            <v>#N/A</v>
          </cell>
          <cell r="P75" t="e">
            <v>#N/A</v>
          </cell>
          <cell r="Q75" t="e">
            <v>#N/A</v>
          </cell>
          <cell r="R75" t="e">
            <v>#N/A</v>
          </cell>
          <cell r="S75" t="e">
            <v>#N/A</v>
          </cell>
          <cell r="T75" t="str">
            <v xml:space="preserve">W Button Daisy + W Spray Daisy + W Car + W Orchid + W Anthurium + W Eustoma  + B Orchid  20 + 20 + 120 + 20 + 20 + 20 + 80 B Preserved Hydrangea + W Protea + W Brunia 8 + 4 + 2 Bunch Premium Ferns + Other Greens  </v>
          </cell>
        </row>
        <row r="76">
          <cell r="A76">
            <v>2458</v>
          </cell>
          <cell r="B76" t="str">
            <v>Kiran Yadav -- 1450 Pack</v>
          </cell>
          <cell r="C76">
            <v>9811801284</v>
          </cell>
          <cell r="D76" t="str">
            <v>E-1402, Palm Drive</v>
          </cell>
          <cell r="E76" t="str">
            <v>Badshahpur</v>
          </cell>
          <cell r="F76" t="str">
            <v>Sunday</v>
          </cell>
          <cell r="G76" t="str">
            <v>10 AM to 2:30 PM</v>
          </cell>
          <cell r="H76">
            <v>1450</v>
          </cell>
          <cell r="I76">
            <v>362.5</v>
          </cell>
          <cell r="J76" t="str">
            <v>Bliss</v>
          </cell>
          <cell r="K76" t="str">
            <v>Recvd 2000 Today (21/04) Pls send Rose/Gerbera and Rise laos (04/06) Skip 1 week (28/06) Skip next week after(27/09) Send Replacement tom (21/04)</v>
          </cell>
          <cell r="N76" t="str">
            <v>3  del of this cycle   -  0-cycles pmnt   CompletedNO COLLECTION-we have extra money - Collect -23</v>
          </cell>
          <cell r="O76" t="str">
            <v>B Daisy ( 12 Inch ) 9     Grass</v>
          </cell>
          <cell r="P76" t="str">
            <v>P Asiatic ( 14 Inch ) 2     Grass</v>
          </cell>
          <cell r="Q76" t="str">
            <v>Pur n P Car ( 14 Inch ) 9     FF Sachet + Grass</v>
          </cell>
          <cell r="R76" t="str">
            <v>P n W Glad ( 14 Inch ) 16     Grass</v>
          </cell>
          <cell r="S76" t="str">
            <v>P n Y Spray Daisy ( 14 Inch ) 5     FF Sachet + Grass</v>
          </cell>
          <cell r="T76" t="str">
            <v>B Daisy 16     FF Sachet + Grass</v>
          </cell>
        </row>
        <row r="77">
          <cell r="A77">
            <v>3010</v>
          </cell>
          <cell r="B77" t="str">
            <v>Kriti Suman</v>
          </cell>
          <cell r="C77">
            <v>9771430070</v>
          </cell>
          <cell r="D77" t="str">
            <v>Studio -105, Palm Drive</v>
          </cell>
          <cell r="E77" t="str">
            <v>Badshahpur</v>
          </cell>
          <cell r="F77" t="str">
            <v>Sunday</v>
          </cell>
          <cell r="G77" t="str">
            <v>9 AM - 12 PM</v>
          </cell>
          <cell r="H77">
            <v>1450</v>
          </cell>
          <cell r="I77">
            <v>362.5</v>
          </cell>
          <cell r="J77" t="str">
            <v>Bliss</v>
          </cell>
          <cell r="K77" t="str">
            <v>Skip 1 week (16/10) Skip 1 week (26/12) No Glad (09/03) Skip 2 week (20/06)</v>
          </cell>
          <cell r="L77" t="str">
            <v>Glad</v>
          </cell>
          <cell r="N77" t="str">
            <v>2  del of this cycle   -  0-cycles pmnt   Completed - Collect 0</v>
          </cell>
          <cell r="O77" t="e">
            <v>#N/A</v>
          </cell>
          <cell r="P77" t="e">
            <v>#N/A</v>
          </cell>
          <cell r="Q77" t="str">
            <v>Rajni ( 14 Inch ) 9     Grass</v>
          </cell>
          <cell r="R77" t="str">
            <v xml:space="preserve">O Asiatic ( 14 Inch ) 2     </v>
          </cell>
          <cell r="S77" t="str">
            <v>G n W Car ( 14 Inch ) 16     FF Sachet + Grass</v>
          </cell>
          <cell r="T77" t="str">
            <v>P n Y Spray Daisy ( 14 Inch ) 5     FF Sachet + Grass</v>
          </cell>
        </row>
        <row r="78">
          <cell r="A78">
            <v>2592</v>
          </cell>
          <cell r="B78" t="str">
            <v>Nidhi Prasad</v>
          </cell>
          <cell r="C78">
            <v>9899779181</v>
          </cell>
          <cell r="D78" t="str">
            <v>T-10/1003, valley View Estate</v>
          </cell>
          <cell r="E78" t="str">
            <v>Ghata</v>
          </cell>
          <cell r="F78" t="str">
            <v>Sunday</v>
          </cell>
          <cell r="G78" t="str">
            <v>9 AM to 2 PM</v>
          </cell>
          <cell r="H78">
            <v>1450</v>
          </cell>
          <cell r="I78">
            <v>362.5</v>
          </cell>
          <cell r="J78" t="str">
            <v>Delight</v>
          </cell>
          <cell r="K78" t="str">
            <v>Hold n start from 29th June(14/06) Hold today due to non payment (04/01) Hold due to non payment (01/02) Hold due to non payment (08/02) HDTNP (15/02) HDTNP (22/02) HDTNP (01/03) HDTNP (08/03) HDTNP (12/04) HDTNP (07/06) Hold till 26th (07/06) Returmed today (05/07)</v>
          </cell>
          <cell r="N78" t="str">
            <v>1  del of this cycle   -  1-cycles pmnt   Pending - Collect 1450</v>
          </cell>
          <cell r="O78" t="e">
            <v>#N/A</v>
          </cell>
          <cell r="P78" t="str">
            <v>P Asiatic ( 14 Inch ) 2     Grass</v>
          </cell>
          <cell r="Q78" t="str">
            <v>Rajni ( 14 Inch ) 9     Grass</v>
          </cell>
          <cell r="R78" t="str">
            <v>G n W Car ( 14 Inch ) 9     FF Sachet + Grass</v>
          </cell>
          <cell r="S78" t="str">
            <v>Y Spray Daisy ( 14 Inch ) 3     FF Sachet + Grass</v>
          </cell>
          <cell r="T78" t="str">
            <v>O Glad ( 14 Inch ) 16     Grass</v>
          </cell>
        </row>
        <row r="79">
          <cell r="A79">
            <v>2112</v>
          </cell>
          <cell r="B79" t="str">
            <v>Tarushi</v>
          </cell>
          <cell r="C79">
            <v>9999761657</v>
          </cell>
          <cell r="D79" t="str">
            <v>T-3/202, Emaar The Palm Terrace, Sec 66</v>
          </cell>
          <cell r="E79" t="str">
            <v>Badshahpur</v>
          </cell>
          <cell r="F79" t="str">
            <v>Sunday</v>
          </cell>
          <cell r="G79" t="str">
            <v>9 AM - 12 PM</v>
          </cell>
          <cell r="H79">
            <v>1450</v>
          </cell>
          <cell r="I79">
            <v>362.5</v>
          </cell>
          <cell r="J79" t="str">
            <v>Bliss</v>
          </cell>
          <cell r="K79" t="str">
            <v>Asiatic next (05/06) Send 150 in next del (07/06) 150 Returned (11/06) Rose Next (09/07) Skip 1 week (24/08) Pls hold today and send tomorrow (17/08) Aster in Subscription (19/10) Skip 1 week (07/11) Skip 1 week (26/12) Next Del on Friday evening slot (30/03) Hold n start from 18th May (28/04) Hold today n next also (23/06) Hold n start from Sep (27/07) Always long stem (27/04) Send 1 Oriental and 3 Car once a cycle (29/04) Skip 1 week (21/06) Skip 1 week (16/08) Today returned (19/10) Skip 1 week (01/11) New Address updated (23/11) Hold due to non payment (11/01) Hold due to non payment (18/01) Hold due to non payment (25/01) Hold due to non payment (01/02) Hold due to non payment (08/02) HDTNP(15/02) HDTNP (19/04) Paytm From Tarushi Rastogi (28/04) HFDTNP (05/07)</v>
          </cell>
          <cell r="M79" t="str">
            <v>Mixed Flowers n Long Stem  // 1 Oriental and 2 Car Next (14/05)</v>
          </cell>
          <cell r="N79" t="str">
            <v>2  del of this cycle   -  1-cycles pmnt   Pending - Collect 1450</v>
          </cell>
          <cell r="O79" t="str">
            <v>P Asiatic ( 14 Inch ) 2 B Daisy ( 12 Inch ) 7   Grass</v>
          </cell>
          <cell r="P79" t="str">
            <v>Sunflower ( 12 Inch ) 2 Pur n P Car ( 14 Inch ) 7   FF Sachet + Grass</v>
          </cell>
          <cell r="Q79" t="e">
            <v>#N/A</v>
          </cell>
          <cell r="R79" t="str">
            <v>P Spray Daisy ( 14 Inch ) 3 Mix Alstroemeria ( 12 Inch ) 7   FF Sachet + Grass</v>
          </cell>
          <cell r="S79" t="str">
            <v>W Asiatic ( 14 Inch ) 2 Mix Glad ( 14 Inch ) 7   Grass</v>
          </cell>
          <cell r="T79" t="str">
            <v>Sunflower ( 12 Inch ) 2 P n W Car ( 14 Inch ) 7   FF Sachet + Grass</v>
          </cell>
        </row>
        <row r="80">
          <cell r="B80" t="str">
            <v>Myra Lashkari</v>
          </cell>
          <cell r="C80" t="str">
            <v>98213 73399‬</v>
          </cell>
          <cell r="D80" t="str">
            <v>House Number 1 Aaron Ville Dhani Sector 48
Gurgaon</v>
          </cell>
          <cell r="G80" t="str">
            <v>6 To 8</v>
          </cell>
          <cell r="H80">
            <v>1500</v>
          </cell>
          <cell r="J80" t="str">
            <v>Bouquet</v>
          </cell>
          <cell r="K80" t="str">
            <v>Myra Lashkari
House Number 1
Aaron Ville Dhani
Near Tatvam Villas
Sector 48
Gurgaon
‪+91 98213 73399‬
Dearest Myra,
Its been a privilege to watch you transform from a beautiful toddler into a beautiful model, a beautiful soul, and a beauty inside out. And now a lawyer. Heartiest congratulations.
Love and light always, 
Seshu uncle, Deepa Aunty, Stuti and Shrey.
Pls send today from Deepa Kulkarni between 6 to 8pm for 1500</v>
          </cell>
          <cell r="T80" t="str">
            <v xml:space="preserve">P Oriental+ P n W  Car 3+10 Tissue Wrap Message   </v>
          </cell>
        </row>
        <row r="81">
          <cell r="B81" t="str">
            <v>Anil Kr Gupta</v>
          </cell>
          <cell r="C81" t="str">
            <v xml:space="preserve">99101 05001 </v>
          </cell>
          <cell r="D81" t="str">
            <v>T-8/901, The Close, South Nirvana County , Gurgaon</v>
          </cell>
          <cell r="G81" t="str">
            <v>Before 12.30 Pm</v>
          </cell>
          <cell r="H81">
            <v>1000</v>
          </cell>
          <cell r="J81" t="str">
            <v>Bouquet</v>
          </cell>
          <cell r="K81" t="str">
            <v>Send before 12:30 today 
3 yellow asiatic and 10 shaded orange carnations in tissue wrap to 
Anil Kr Gupta
T-8/901, The Close, South Nirvana County , Gurgaon
99101 05001 
tissue yellow and white</v>
          </cell>
          <cell r="T81" t="str">
            <v xml:space="preserve">Y Asiatic+ Shd O Car 3+10 tissue yellow and white    </v>
          </cell>
        </row>
        <row r="82">
          <cell r="A82">
            <v>237</v>
          </cell>
          <cell r="B82" t="str">
            <v>Mayom Hospital</v>
          </cell>
          <cell r="C82">
            <v>8860079525</v>
          </cell>
          <cell r="D82" t="str">
            <v>Mayom Hospital, D block south city 1</v>
          </cell>
          <cell r="E82" t="str">
            <v>South City 1</v>
          </cell>
          <cell r="F82" t="str">
            <v>Sunday</v>
          </cell>
          <cell r="G82" t="str">
            <v>9 AM - 12 PM</v>
          </cell>
          <cell r="H82">
            <v>3000</v>
          </cell>
          <cell r="I82">
            <v>375</v>
          </cell>
          <cell r="J82" t="str">
            <v>Corporate</v>
          </cell>
          <cell r="K82" t="str">
            <v>Sending on 20th instaed of 21st,bcoz of Holi(18/03) Send on Monday this week(20/03)</v>
          </cell>
          <cell r="N82" t="str">
            <v>1  del of this cycle   -  0-cycles pmnt   In Process - Collect 0</v>
          </cell>
          <cell r="O82" t="str">
            <v xml:space="preserve">P Eustoma ( 12 Inch ) 3     </v>
          </cell>
          <cell r="P82" t="str">
            <v>Mix Spray Daisy 5     Grass</v>
          </cell>
          <cell r="Q82" t="str">
            <v>Rajni ( 14 Inch ) 15     Grass</v>
          </cell>
          <cell r="R82" t="str">
            <v xml:space="preserve">Mix Alstroemeria ( 12 Inch ) 12     </v>
          </cell>
          <cell r="S82" t="str">
            <v>Mix Glad ( 14 inch ) 15     Grass</v>
          </cell>
          <cell r="T82" t="str">
            <v xml:space="preserve">Mix Spray Daisy 5     </v>
          </cell>
        </row>
        <row r="83">
          <cell r="B83" t="str">
            <v>Tanvee</v>
          </cell>
          <cell r="C83" t="str">
            <v>98103 00703</v>
          </cell>
          <cell r="D83" t="str">
            <v>001, Tower 16, The Close North</v>
          </cell>
          <cell r="G83" t="str">
            <v>Before 5 pm</v>
          </cell>
          <cell r="H83">
            <v>2330</v>
          </cell>
          <cell r="J83" t="str">
            <v>Bouquet</v>
          </cell>
          <cell r="K83" t="str">
            <v>Today to 
Tanvee
+91 98103 00703
6 oriental lilies white 
2 green button daisies
2 blue daisies in 
White and green tissue wrap 
- oriental open and closed mix kar Dena, open kam buds zyada
- ⁠stems long rakhna 
- ⁠faila ke banana jisse bada lage
- ⁠pack karne ke pehle ek photo bhej dena customer ko dikhana hai</v>
          </cell>
          <cell r="T83" t="str">
            <v xml:space="preserve">W Oriental+ G Button Daisy+ B Daisy 6+2+2 White and green tissue wrap     </v>
          </cell>
        </row>
        <row r="84">
          <cell r="A84">
            <v>3166</v>
          </cell>
          <cell r="B84" t="str">
            <v>Mona Gupta</v>
          </cell>
          <cell r="C84">
            <v>9999284587</v>
          </cell>
          <cell r="D84" t="str">
            <v>A-200, 2nd Floor, Today Blossomes-1, Sec 47</v>
          </cell>
          <cell r="G84" t="str">
            <v>Replacment</v>
          </cell>
          <cell r="H84" t="str">
            <v>Replacment</v>
          </cell>
          <cell r="I84" t="str">
            <v>Replacment</v>
          </cell>
          <cell r="J84" t="str">
            <v>Replacment</v>
          </cell>
          <cell r="K84" t="str">
            <v>Replacment</v>
          </cell>
          <cell r="L84" t="str">
            <v>Replacment</v>
          </cell>
          <cell r="M84" t="str">
            <v>Replacment</v>
          </cell>
          <cell r="N84" t="str">
            <v>Replacment</v>
          </cell>
          <cell r="T84" t="str">
            <v>W Car 1     Grass</v>
          </cell>
        </row>
      </sheetData>
      <sheetData sheetId="26"/>
      <sheetData sheetId="27"/>
      <sheetData sheetId="28"/>
      <sheetData sheetId="29"/>
      <sheetData sheetId="30"/>
      <sheetData sheetId="3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1-08-26"/>
      <sheetName val="02-08-26"/>
      <sheetName val=" 03-08-26"/>
      <sheetName val="04-08-26"/>
      <sheetName val=" 05-08-26"/>
      <sheetName val="06-08-26"/>
      <sheetName val="07-08-26"/>
      <sheetName val="08-08-26"/>
    </sheetNames>
    <sheetDataSet>
      <sheetData sheetId="0"/>
      <sheetData sheetId="1">
        <row r="2">
          <cell r="B2">
            <v>8132874566</v>
          </cell>
          <cell r="C2">
            <v>8132874566</v>
          </cell>
          <cell r="D2" t="str">
            <v xml:space="preserve">Sgt university. Sgt hostel gate no. 6 sgt hospital. 
Budhera Haryana 122505 </v>
          </cell>
          <cell r="G2" t="str">
            <v>By 6:30</v>
          </cell>
          <cell r="H2">
            <v>1500</v>
          </cell>
          <cell r="I2">
            <v>1500</v>
          </cell>
          <cell r="J2" t="str">
            <v>Bouquet</v>
          </cell>
          <cell r="T2" t="str">
            <v xml:space="preserve">W Asiatic+ R n P Rose 2+15 Same Wrap in Update    </v>
          </cell>
        </row>
        <row r="3">
          <cell r="A3" t="str">
            <v>B46944</v>
          </cell>
          <cell r="B3" t="str">
            <v>Albi</v>
          </cell>
          <cell r="C3">
            <v>9999236508</v>
          </cell>
          <cell r="D3" t="str">
            <v>G-3/1A, DLF Phase 1</v>
          </cell>
          <cell r="E3" t="str">
            <v>DLF Phase 1</v>
          </cell>
          <cell r="F3" t="str">
            <v>Thursday</v>
          </cell>
          <cell r="G3" t="str">
            <v>By 9 AM</v>
          </cell>
          <cell r="H3">
            <v>28000</v>
          </cell>
          <cell r="I3">
            <v>7000</v>
          </cell>
          <cell r="J3" t="str">
            <v>Customized</v>
          </cell>
          <cell r="K3" t="str">
            <v>Now at every 10 days (18/12)</v>
          </cell>
          <cell r="N3" t="str">
            <v>1  del of this cycle   -  0-cycles pmnt   In Process - Collect 0</v>
          </cell>
          <cell r="O3" t="str">
            <v xml:space="preserve">W Oriental + R Asiatic + R n W Spray Daisy + R n W Car + R n W Anthurium + W Orchid  4 + 4 + 12 + 30 + 4 + 7 Mogra 200 Gm   </v>
          </cell>
          <cell r="P3" t="str">
            <v xml:space="preserve">W Oriental + G Anthurium + G Lotus Pd + Baloon Flower + G n W Car + Big Monstera 4 + 6 + 8 + 8 + 15 W Oriental + Limonium 2 + 3 ( In Suraahi Vase) Mogra  300 Gm </v>
          </cell>
          <cell r="Q3" t="str">
            <v xml:space="preserve">      </v>
          </cell>
          <cell r="R3" t="str">
            <v xml:space="preserve">P Oriental + Y Asiatic + P n Y Spray Daisy + Pur Orchid + P Anthurium + P n Y Car 4 + 4 + 15 + 10 + 4 + 30 Mogra + Big Monstera + Big Palm +Baby Dollar +  Normal Grass 300 Gm   </v>
          </cell>
          <cell r="S3" t="str">
            <v xml:space="preserve">P Asiatic + W Oriental 4 + 4 P n W Car + P n W Spray Daisy + P n W Anthurium + Eustoma 40 + 15 + 4 + 5 Premium Ferns + Other Greens  </v>
          </cell>
          <cell r="T3" t="str">
            <v xml:space="preserve">W Oriental + W Asiatic + Pur Eustoma + B Daisy + Pur n W Anthurium + P n W Spray Daisy 4 + 4 + 6 + 10 + 4 + 6 Mogra + Premoum Ferns 300 Gm + as per Requirement Fish Tail Half Bunch </v>
          </cell>
        </row>
        <row r="4">
          <cell r="A4">
            <v>2368</v>
          </cell>
          <cell r="B4" t="str">
            <v>Jasbir Singh</v>
          </cell>
          <cell r="C4">
            <v>9997092561</v>
          </cell>
          <cell r="D4" t="str">
            <v>Amber, 4th Floor, Universal Trade Centre</v>
          </cell>
          <cell r="E4" t="str">
            <v>Sohna Road 1</v>
          </cell>
          <cell r="F4" t="str">
            <v>Sunday</v>
          </cell>
          <cell r="G4" t="str">
            <v>By 7 PM</v>
          </cell>
          <cell r="H4">
            <v>12800</v>
          </cell>
          <cell r="I4">
            <v>3200</v>
          </cell>
          <cell r="J4" t="str">
            <v>Corporate</v>
          </cell>
          <cell r="N4" t="str">
            <v>1  del of this cycle   -  0-cycles pmnt   In Process - Collect 0</v>
          </cell>
          <cell r="O4" t="str">
            <v xml:space="preserve">Arrangement 1     </v>
          </cell>
          <cell r="P4" t="str">
            <v xml:space="preserve">Arrangement 1     </v>
          </cell>
          <cell r="Q4" t="str">
            <v xml:space="preserve">Arrangement 1     </v>
          </cell>
          <cell r="R4" t="str">
            <v xml:space="preserve">Arrangement 1     </v>
          </cell>
          <cell r="S4" t="str">
            <v xml:space="preserve">Arrangement 1     </v>
          </cell>
          <cell r="T4" t="str">
            <v xml:space="preserve">Arrangement  1     </v>
          </cell>
        </row>
        <row r="5">
          <cell r="A5" t="str">
            <v>B56625</v>
          </cell>
          <cell r="B5" t="str">
            <v xml:space="preserve">Deepa </v>
          </cell>
          <cell r="C5">
            <v>9560493601</v>
          </cell>
          <cell r="D5" t="str">
            <v>Pick Up</v>
          </cell>
          <cell r="E5" t="str">
            <v>Pick up</v>
          </cell>
          <cell r="F5" t="str">
            <v>Sunday</v>
          </cell>
          <cell r="G5" t="str">
            <v>By 3 PM</v>
          </cell>
          <cell r="H5">
            <v>3500</v>
          </cell>
          <cell r="I5">
            <v>4000</v>
          </cell>
          <cell r="J5" t="str">
            <v>Bouquet</v>
          </cell>
          <cell r="K5" t="str">
            <v xml:space="preserve">Photo Frame with around 70 Gerbera </v>
          </cell>
          <cell r="N5" t="str">
            <v>1  del of this cycle   -  0-cycles pmnt   In Process - Collect 0</v>
          </cell>
          <cell r="O5" t="e">
            <v>#N/A</v>
          </cell>
          <cell r="P5" t="e">
            <v>#N/A</v>
          </cell>
          <cell r="Q5" t="e">
            <v>#N/A</v>
          </cell>
          <cell r="R5" t="e">
            <v>#N/A</v>
          </cell>
          <cell r="S5" t="e">
            <v>#N/A</v>
          </cell>
          <cell r="T5" t="str">
            <v xml:space="preserve">W Gerbera 60 Frame Arrangement    </v>
          </cell>
        </row>
        <row r="6">
          <cell r="B6" t="str">
            <v xml:space="preserve">Priyanka Gupta </v>
          </cell>
          <cell r="D6" t="str">
            <v>House number 38 , Second Floor 
F Block South  City 2
Sector 50</v>
          </cell>
          <cell r="G6" t="str">
            <v>Before 4</v>
          </cell>
          <cell r="H6">
            <v>900</v>
          </cell>
          <cell r="I6">
            <v>900</v>
          </cell>
          <cell r="J6" t="str">
            <v>Bouquet</v>
          </cell>
          <cell r="K6" t="str">
            <v>Send today before 4 
From ‪+91 70309 81469‬
4 asiatic lilies - mix of orange in white in tissue wrap - 900 received 
to 
Priyanka Gupta 
House number 38 , Second Floor 
F Block South  City 2
Sector 50
7030981469</v>
          </cell>
          <cell r="T6" t="str">
            <v xml:space="preserve">O n W Asiatic 4 tissie wrap     </v>
          </cell>
        </row>
        <row r="7">
          <cell r="A7">
            <v>1978</v>
          </cell>
          <cell r="B7" t="str">
            <v>Anu-- After 6 PM</v>
          </cell>
          <cell r="C7" t="str">
            <v>98103 39602</v>
          </cell>
          <cell r="D7" t="str">
            <v xml:space="preserve">Tower 6, 901 Fresco </v>
          </cell>
          <cell r="E7" t="str">
            <v>Nirvana Country</v>
          </cell>
          <cell r="F7" t="str">
            <v>Thursday</v>
          </cell>
          <cell r="G7" t="str">
            <v>4 Pm to 7 PM</v>
          </cell>
          <cell r="H7">
            <v>4850</v>
          </cell>
          <cell r="I7">
            <v>606.25</v>
          </cell>
          <cell r="J7" t="str">
            <v>Poise</v>
          </cell>
          <cell r="K7" t="str">
            <v xml:space="preserve"> Thursday n Sunday//No Rajni (14/03) No Rose n Gerbera n RAJNI// Skip this week n send on Tuesday evening slot (18/06) Send this Thursday to Friday (04/09) NO HELICONIA (13/09) Skip Thursday delivery (12/11) Send tom in morning (16/11) Skip Thursday del (19/11) Skip tom (23/11) Hold till 11th  (30/11) Dont send on Sunday (13/12) Skip sunday (20/12) Skip tom (08/02) Hold today (23/02) Skip 1 Week (01/06) Skip thursday Delivery (18/06) Skip this thursday and send on sunday after 6 PM (06/08) No BOP also (06/10) Do not count today del and sned on sat next (04/12) Skip saturda and sunday also (05/12) Hold today n send tom (11/12) Hold today (05/04) Hold today (16/04)</v>
          </cell>
          <cell r="L7" t="str">
            <v>ROSE n RAJNI n HELICONIA n BOP</v>
          </cell>
          <cell r="M7" t="str">
            <v>after 6 pm on 19th (16/04)</v>
          </cell>
          <cell r="N7" t="str">
            <v>7  del of this cycle   -  0-cycles pmnt   Completed - Collect 0</v>
          </cell>
          <cell r="O7" t="str">
            <v>Y Asiatic ( 14 Inch ) 2 B Daisy ( 12 Inch ) 6 P n W Glad ( 14 Inch ) 12 Grass</v>
          </cell>
          <cell r="P7" t="str">
            <v>P Asiatic ( 14 Inch ) 2 B Daisy ( 12 Inch ) 6 Rajni ( 14 Inch ) 10 Grass</v>
          </cell>
          <cell r="Q7" t="str">
            <v>Y Asiatic ( 14 Inch ) 2 P Spray Daisy ( 14 Inch ) 3 G n W Car ( 14 Inch ) 12 Grass</v>
          </cell>
          <cell r="R7" t="str">
            <v>W Asiatic ( 14 Inch ) 2 Pur n P Eustoma  4 Rajn ( 14 Inch ) 12 Grass</v>
          </cell>
          <cell r="S7" t="str">
            <v>Y Asiatic ( 14 Inch ) 2 Sunflower ( 12 Inch ) 3 Pur n P Car ( 14 Inch ) 12 Grass</v>
          </cell>
          <cell r="T7" t="str">
            <v>W  Asiatic ( 14 Inch ) 2 Green  n Y Spray Daisy ( 14 Inch ) 4 Rajni 10 2 Gypsola + Grass</v>
          </cell>
        </row>
        <row r="8">
          <cell r="A8">
            <v>2856</v>
          </cell>
          <cell r="B8" t="str">
            <v>Bonita Bhatnagar</v>
          </cell>
          <cell r="C8">
            <v>9958222833</v>
          </cell>
          <cell r="D8" t="str">
            <v>C-134, Block C, Mayfield Garden</v>
          </cell>
          <cell r="E8" t="str">
            <v>Nirvana Country</v>
          </cell>
          <cell r="F8" t="str">
            <v>Sunday</v>
          </cell>
          <cell r="G8" t="str">
            <v>5 PM to 8 PM</v>
          </cell>
          <cell r="H8">
            <v>1450</v>
          </cell>
          <cell r="I8">
            <v>362.5</v>
          </cell>
          <cell r="J8" t="str">
            <v>Bliss</v>
          </cell>
          <cell r="K8" t="str">
            <v>Upgraded as per scheme to Bliss for 5 Deliveries (22/08)</v>
          </cell>
          <cell r="N8" t="str">
            <v>1  del of this cycle   -  1-cycles pmnt   Pending - Collect 1450</v>
          </cell>
          <cell r="O8" t="str">
            <v>P n W Glad ( 14 Inch ) 16     Grass</v>
          </cell>
          <cell r="P8" t="str">
            <v>Sunflower ( 12 Inch ) 4     FF Sachet + Grass</v>
          </cell>
          <cell r="Q8" t="str">
            <v>Rajni ( 14 Inch ) 16     Grass</v>
          </cell>
          <cell r="R8" t="str">
            <v>O Asiatic ( 14 Inch ) 3     Grass</v>
          </cell>
          <cell r="S8" t="str">
            <v>Shd Pur  n W Car ( 14 Inch ) 16     FF Sachet + Grass</v>
          </cell>
          <cell r="T8" t="str">
            <v>R n W Car ( 14 Inch ) 16     FF Sachet + Grass</v>
          </cell>
        </row>
        <row r="9">
          <cell r="A9">
            <v>3358</v>
          </cell>
          <cell r="B9" t="str">
            <v>Prasenjit</v>
          </cell>
          <cell r="C9">
            <v>9990903321</v>
          </cell>
          <cell r="D9" t="str">
            <v>T-10/1001, Vipul Belmonte</v>
          </cell>
          <cell r="E9" t="str">
            <v>DLF Phase 5</v>
          </cell>
          <cell r="F9" t="str">
            <v>Sunday</v>
          </cell>
          <cell r="G9" t="str">
            <v>9 AM - 12 PM</v>
          </cell>
          <cell r="H9">
            <v>1950</v>
          </cell>
          <cell r="I9">
            <v>487.5</v>
          </cell>
          <cell r="J9" t="str">
            <v>Joy</v>
          </cell>
          <cell r="K9" t="str">
            <v xml:space="preserve">Send Long stem </v>
          </cell>
          <cell r="M9" t="str">
            <v>Long Stem// Seasonal Next (24/05)</v>
          </cell>
          <cell r="N9" t="str">
            <v>1  del of this cycle   -  1-cycles pmnt   Pending - Collect 1950</v>
          </cell>
          <cell r="O9" t="str">
            <v>Y Asiatic ( 14 Inch ) 4     Grass</v>
          </cell>
          <cell r="P9" t="str">
            <v>Rajni ( 14 Inch ) 22     Grass</v>
          </cell>
          <cell r="Q9" t="str">
            <v>P Asiatic ( 14 Inch ) 4     Grass</v>
          </cell>
          <cell r="R9" t="str">
            <v>Mix Alstroemeria ( 12 Inch ) 22     FF Sachet + Grass</v>
          </cell>
          <cell r="S9" t="str">
            <v>P n W Spray Daosy ( 14 Inch ) 7     FF Sachet + Grass</v>
          </cell>
          <cell r="T9" t="str">
            <v>R n W Car ( 14 Inch ) 22     FF Sachet + Grass</v>
          </cell>
        </row>
        <row r="10">
          <cell r="A10" t="str">
            <v>G-00064</v>
          </cell>
          <cell r="B10" t="str">
            <v>Mahesh Mishra</v>
          </cell>
          <cell r="C10">
            <v>9039286484</v>
          </cell>
          <cell r="D10" t="str">
            <v>H-21, 2nd Floor, Residency Greens, Sec 46</v>
          </cell>
          <cell r="E10" t="str">
            <v>Sector 46</v>
          </cell>
          <cell r="F10" t="str">
            <v>Sunday</v>
          </cell>
          <cell r="G10" t="str">
            <v>9:30 Am to 2 PM</v>
          </cell>
          <cell r="H10">
            <v>1450</v>
          </cell>
          <cell r="I10">
            <v>362.5</v>
          </cell>
          <cell r="J10" t="str">
            <v>Bliss</v>
          </cell>
          <cell r="K10" t="str">
            <v>From 9310895959 // Skip 1 week (09/07)</v>
          </cell>
          <cell r="N10" t="str">
            <v>2  del of this cycle   -  1-cycles pmnt   Pending - Collect 1450</v>
          </cell>
          <cell r="O10" t="str">
            <v>Sunflower ( 12 Inch ) 4     FF Sachet + Grass</v>
          </cell>
          <cell r="P10" t="str">
            <v>Rajni ( 14 Inch ) 16     Grass</v>
          </cell>
          <cell r="Q10" t="e">
            <v>#N/A</v>
          </cell>
          <cell r="R10" t="str">
            <v>Y Asiatic ( 14 Inch ) 3     Grass</v>
          </cell>
          <cell r="S10" t="e">
            <v>#N/A</v>
          </cell>
          <cell r="T10" t="str">
            <v>R n W Car ( 14 Inch ) 16     FF Sachet + Grass</v>
          </cell>
        </row>
        <row r="11">
          <cell r="A11">
            <v>2246</v>
          </cell>
          <cell r="B11" t="str">
            <v>Amita Gupta</v>
          </cell>
          <cell r="C11">
            <v>9811985450</v>
          </cell>
          <cell r="D11" t="str">
            <v>146, Cedar Crest</v>
          </cell>
          <cell r="E11" t="str">
            <v>Nirvana Country</v>
          </cell>
          <cell r="F11" t="str">
            <v>Thursday</v>
          </cell>
          <cell r="G11" t="str">
            <v>9 AM - 12 PM</v>
          </cell>
          <cell r="H11">
            <v>1600</v>
          </cell>
          <cell r="I11">
            <v>200</v>
          </cell>
          <cell r="J11" t="str">
            <v>Bloom</v>
          </cell>
          <cell r="K11" t="str">
            <v>Return today (03/10) Change to bliss (23/10) No Orchid (24/10) Send a vase tom (20/08) Upgrade to bliss (17/12)</v>
          </cell>
          <cell r="L11" t="str">
            <v>Orchid</v>
          </cell>
          <cell r="M11" t="str">
            <v>1 Vase Tom (20/08)</v>
          </cell>
          <cell r="N11" t="str">
            <v>2  del of this cycle   -  0-cycles pmnt   Completed - Collect 0</v>
          </cell>
          <cell r="O11" t="str">
            <v>Sunflower ( 12 Inch ) 2     FF Sachet + Grass</v>
          </cell>
          <cell r="P11" t="str">
            <v>Rajni ( 14 Inch ) 7     Grass</v>
          </cell>
          <cell r="Q11" t="str">
            <v>P Spray Daisy ( 14 Inch ) 2     FF Sachet + Grass</v>
          </cell>
          <cell r="R11" t="str">
            <v>G n W Car ( 14 Inch ) 7     FF Sachet + Grass</v>
          </cell>
          <cell r="S11" t="str">
            <v>Rajni ( 14 Inch ) 7     Grass</v>
          </cell>
          <cell r="T11" t="str">
            <v>Y Spray Daisy ( 14 Inch ) 2     Grass</v>
          </cell>
        </row>
        <row r="12">
          <cell r="A12">
            <v>2827</v>
          </cell>
          <cell r="B12" t="str">
            <v>Shelley Handa</v>
          </cell>
          <cell r="C12">
            <v>9899212888</v>
          </cell>
          <cell r="D12" t="str">
            <v>73, Cedar Crest</v>
          </cell>
          <cell r="E12" t="str">
            <v>Nirvana Country</v>
          </cell>
          <cell r="F12" t="str">
            <v>Sunday</v>
          </cell>
          <cell r="G12" t="str">
            <v>9 AM - 12 PM</v>
          </cell>
          <cell r="H12">
            <v>1450</v>
          </cell>
          <cell r="I12">
            <v>362.5</v>
          </cell>
          <cell r="J12" t="str">
            <v>Bliss</v>
          </cell>
          <cell r="K12" t="str">
            <v>Only Seasonal / Hold today due to non payment (02/10)  Send on Sunday this week (03/10) Hold due to non payment (09/10) Hold today and skip 2 week (27/11)  Paytm From Richa Handa (20/03)</v>
          </cell>
          <cell r="N12" t="str">
            <v>4  del of this cycle   -  0-cycles pmnt   Completed - Collect 0</v>
          </cell>
          <cell r="O12" t="e">
            <v>#N/A</v>
          </cell>
          <cell r="P12" t="e">
            <v>#N/A</v>
          </cell>
          <cell r="Q12" t="str">
            <v>G n W Car ( 14 Inch ) 16     FF Sachet + Grass</v>
          </cell>
          <cell r="R12" t="str">
            <v>Y Asiatic ( 14 Inch ) 3     Grass</v>
          </cell>
          <cell r="S12" t="str">
            <v>O Glad 16     FF Sachet + Grass</v>
          </cell>
          <cell r="T12" t="str">
            <v>P n Y Spray Daisy ( 14 Inch ) 5     Grass</v>
          </cell>
        </row>
        <row r="13">
          <cell r="A13">
            <v>401</v>
          </cell>
          <cell r="B13" t="str">
            <v>Nameesha Verma -- Before 12PM</v>
          </cell>
          <cell r="C13">
            <v>9899240454</v>
          </cell>
          <cell r="D13" t="str">
            <v>D-4/102, Parsvanath Exotica</v>
          </cell>
          <cell r="E13" t="str">
            <v>DLF Phase 5</v>
          </cell>
          <cell r="F13" t="str">
            <v>Thursday</v>
          </cell>
          <cell r="G13" t="str">
            <v>Before 12 PM</v>
          </cell>
          <cell r="H13">
            <v>1600</v>
          </cell>
          <cell r="I13">
            <v>200</v>
          </cell>
          <cell r="J13" t="str">
            <v>Bloom</v>
          </cell>
          <cell r="K13" t="str">
            <v>Thursday n Sunday//Sat to Thurs//Send a repacement and No Rajni till it has fragrance(24/09)Skip 1 week(12/10)send  a replacement(22/11) Returne-send next week(13/12) Star 650 Pack(15/10) 17th Oct Del returned-pls update(07/11) Send Tom instead of sat this week(12/08) Sent a replacement today(01/09) Skip 1 week(12/11) Send on Monday this week(24/11) Skip this sunday (03/12) Sent replacement today (18/03) Send replacement tom (31/03) Skip 1 week (25/04) Now Bloom (19/05) Today returned (18/06) Skip 1 week (08/08) Hold n start after 8th Oct )(20/09) Skip next del (18/11) No Del till 2nd Jan (25/12) Skip tom (24/01) Hold till 17th Jube (05/06) Skip this sunday (18/07) Skip 1 week (13/08) Today returnde (16/01) Skip tom (15/02) Today returned as flowers got late (30/03) Hold till 12th Apr (02/04)Today Returned (11/05) Hold till 18th June (02/06) Hold till 18th June (02/06) Today Returned (13/09) Do not count last del (08/11) No Del till next wednesday (09/12) Hold todxay (28/12) Skip 1 week (04/02) 3 Car extra next (20/03) Skip 1 week (09/06)</v>
          </cell>
          <cell r="M13" t="str">
            <v>3 Car extra next (20/03)</v>
          </cell>
          <cell r="N13" t="str">
            <v>3  del of this cycle   -  0-cycles pmnt   Completed - Collect 0</v>
          </cell>
          <cell r="O13" t="str">
            <v>P n W Glad ( 14 Inch ) 7     Grass</v>
          </cell>
          <cell r="P13" t="str">
            <v>B Daisy ( 12 Inch ) 7     Grass</v>
          </cell>
          <cell r="Q13" t="str">
            <v>Y Spray Daisy ( 14 Inch ) 2     FF Sachet + Grass</v>
          </cell>
          <cell r="R13" t="str">
            <v>Mix Glad ( 14 inch ) 7     Grass</v>
          </cell>
          <cell r="S13" t="str">
            <v>Sunflower ( 12 Inch ) 2     FF Sachet + Grass</v>
          </cell>
          <cell r="T13" t="str">
            <v>P Spray Daisy ( 14 Inch ) 2     FF Sachet + Grass</v>
          </cell>
        </row>
        <row r="14">
          <cell r="A14">
            <v>2467</v>
          </cell>
          <cell r="B14" t="str">
            <v>Poorva Gera</v>
          </cell>
          <cell r="C14">
            <v>9891144787</v>
          </cell>
          <cell r="D14" t="str">
            <v>E-56, 1st Floor, Aarde City, Sec 52</v>
          </cell>
          <cell r="E14" t="str">
            <v>Sushant Estate</v>
          </cell>
          <cell r="F14" t="str">
            <v>Sunday</v>
          </cell>
          <cell r="G14" t="str">
            <v>10 AM to 2:30 PM</v>
          </cell>
          <cell r="H14">
            <v>1450</v>
          </cell>
          <cell r="I14">
            <v>362.5</v>
          </cell>
          <cell r="J14" t="str">
            <v>Bliss</v>
          </cell>
          <cell r="K14" t="str">
            <v>Skip 2 week (22/12) Skip 2 week (23/02) Skip 1 week (31/03) Hold for 1 month (21/04) Skip 2 week (13/06) Start from August (04/07)</v>
          </cell>
          <cell r="N14" t="str">
            <v>1  del of this cycle   -  1-cycles pmnt   Pending - Collect 1450</v>
          </cell>
          <cell r="O14" t="str">
            <v>P n W Glad ( 14 Inch ) 9     Grass</v>
          </cell>
          <cell r="P14" t="e">
            <v>#N/A</v>
          </cell>
          <cell r="Q14" t="e">
            <v>#N/A</v>
          </cell>
          <cell r="R14" t="e">
            <v>#N/A</v>
          </cell>
          <cell r="S14" t="e">
            <v>#N/A</v>
          </cell>
          <cell r="T14" t="str">
            <v>R n W Car ( 14 Inch ) 16     FF Sachet + Grass</v>
          </cell>
        </row>
        <row r="15">
          <cell r="A15">
            <v>3277</v>
          </cell>
          <cell r="B15" t="str">
            <v>M2K</v>
          </cell>
          <cell r="C15">
            <v>8595180468</v>
          </cell>
          <cell r="D15" t="str">
            <v>M2k</v>
          </cell>
          <cell r="E15" t="str">
            <v>Nirvana Country</v>
          </cell>
          <cell r="F15" t="str">
            <v>Tuesday</v>
          </cell>
          <cell r="G15" t="str">
            <v>By 8 AM</v>
          </cell>
          <cell r="H15">
            <v>10500</v>
          </cell>
          <cell r="I15">
            <v>350</v>
          </cell>
          <cell r="J15" t="str">
            <v>Corporate</v>
          </cell>
          <cell r="N15" t="str">
            <v>3  del of this cycle   -  0-cycles pmnt   In Process - Collect 0</v>
          </cell>
          <cell r="O15" t="str">
            <v xml:space="preserve">Pooja Flowers  1     </v>
          </cell>
          <cell r="P15" t="str">
            <v xml:space="preserve">Pooja Flowers       </v>
          </cell>
          <cell r="Q15" t="str">
            <v xml:space="preserve">Pooja Flowes       </v>
          </cell>
          <cell r="R15" t="str">
            <v xml:space="preserve">Pooja Flowers       </v>
          </cell>
          <cell r="S15" t="str">
            <v xml:space="preserve">Pooja Flowers       </v>
          </cell>
          <cell r="T15" t="str">
            <v xml:space="preserve">Pooja Flowers       </v>
          </cell>
        </row>
        <row r="16">
          <cell r="A16">
            <v>13</v>
          </cell>
          <cell r="B16" t="str">
            <v>Mr. Vipin Marwah</v>
          </cell>
          <cell r="C16" t="str">
            <v>9313496645//9350353662</v>
          </cell>
          <cell r="D16" t="str">
            <v>D5/502, Parsvanath Exotica</v>
          </cell>
          <cell r="E16" t="str">
            <v>DLF Phase 5</v>
          </cell>
          <cell r="F16" t="str">
            <v>Sunday</v>
          </cell>
          <cell r="G16" t="str">
            <v>9 AM - 12 PM</v>
          </cell>
          <cell r="H16">
            <v>2750</v>
          </cell>
          <cell r="I16">
            <v>687.5</v>
          </cell>
          <cell r="J16" t="str">
            <v>Elation</v>
          </cell>
          <cell r="K16" t="str">
            <v>Sat to Thurs//Only white Glad, if not available then Red Glad(21/05) Today hold-send on Sunday(23/06) Today agains hold as w glad were not avaiulbvale(26/06) Again Hold today -send on Sunday(30/06) Send 4 stick extra next (09/10) 4 Stick extra next (20/11) 26th Mar del returned (04/04) Hold today -send next week (25/06) Flowers were not vaibale-- today hold(16/07) Today Hold (10/09) hold todaty -send tom (01/10) Skip 1 week (02/10) Hold today (08/10) Today hold-send next week (26/11) Hold -send tom (31/12) Today Hold (19/05)  Today Hold *31/05)Hold today (02/06) Today hold (16/06) Today Hold (23/06) Hold Today (30/06) Today Hold (04/08) Today Hold (08/06) Hold today (15/06) Today Hold (03/08) Hold Today (24/08) Hold today (31/08) Hold due to non availability of white flowers -- send next week (04/01) Today hold -- send next week (15/02) Hold today (22/03) Today Hold (24/05) Today hold (14/06) Today hold (21/06) Today Hold (05/07) Hol;d today (19/07) Hold today (26/07)</v>
          </cell>
          <cell r="N16" t="str">
            <v>3  del of this cycle   -  0-cycles pmnt   Completed - Collect 250</v>
          </cell>
          <cell r="O16" t="str">
            <v>W Glad ( 14 Inch ) 32     Grass</v>
          </cell>
          <cell r="P16" t="str">
            <v>W Glad ( 14 Inch ) 32     Grass</v>
          </cell>
          <cell r="Q16" t="str">
            <v>W Glad ( 14 Inch ) 32     Grass</v>
          </cell>
          <cell r="R16" t="str">
            <v>W Glad ( 14 Inch ) 30     Grass</v>
          </cell>
          <cell r="S16" t="e">
            <v>#N/A</v>
          </cell>
          <cell r="T16" t="str">
            <v>W Glad ( 14 Inch ) 32     Grass</v>
          </cell>
        </row>
        <row r="17">
          <cell r="A17">
            <v>2774</v>
          </cell>
          <cell r="B17" t="str">
            <v>Vandana Thakran</v>
          </cell>
          <cell r="C17">
            <v>9899589964</v>
          </cell>
          <cell r="D17" t="str">
            <v>H. No. 35, Cedar Crest</v>
          </cell>
          <cell r="E17" t="str">
            <v>Nirvana Country</v>
          </cell>
          <cell r="F17" t="str">
            <v>Sunday</v>
          </cell>
          <cell r="G17" t="str">
            <v>9 AM - 12 PM</v>
          </cell>
          <cell r="H17">
            <v>1600</v>
          </cell>
          <cell r="I17">
            <v>200</v>
          </cell>
          <cell r="J17" t="str">
            <v>Bloom</v>
          </cell>
          <cell r="N17" t="str">
            <v>3  del of this cycle   -  0-cycles pmnt   Completed - Collect 0</v>
          </cell>
          <cell r="O17" t="str">
            <v>Sunflower ( 12 Inch ) 2     FF Sachet + Grass</v>
          </cell>
          <cell r="P17" t="str">
            <v>B Daisy ( 12 Inch ) 7     Grass</v>
          </cell>
          <cell r="Q17" t="str">
            <v>Y Spray Daisy ( 14 Inch ) 2     FF Sachet + Grass</v>
          </cell>
          <cell r="R17" t="str">
            <v>Mix Glad ( 14 inch ) 7     Grass</v>
          </cell>
          <cell r="S17" t="str">
            <v>R n W Car ( 14 Inch ) 7     FF Sachet + Grass</v>
          </cell>
          <cell r="T17" t="str">
            <v>Mix Alstroemeria ( 12 Inch ) 7     FF Sachet + Grass</v>
          </cell>
        </row>
        <row r="18">
          <cell r="A18">
            <v>3347</v>
          </cell>
          <cell r="B18" t="str">
            <v>Damini Dasgupta</v>
          </cell>
          <cell r="C18">
            <v>9874672103</v>
          </cell>
          <cell r="D18" t="str">
            <v>Flat No. 102, @nd Floor, Satguru Appartments, Sec 52, Wazirabad</v>
          </cell>
          <cell r="E18" t="str">
            <v>Sector 56</v>
          </cell>
          <cell r="F18" t="str">
            <v>Sunday</v>
          </cell>
          <cell r="G18" t="str">
            <v>9 AM - 12 PM</v>
          </cell>
          <cell r="H18">
            <v>1950</v>
          </cell>
          <cell r="I18">
            <v>487.5</v>
          </cell>
          <cell r="J18" t="str">
            <v>Joy</v>
          </cell>
          <cell r="K18" t="str">
            <v>Skip 1 week (09/05) Returned today (17/05) Returned today and skip 1 more week (07/06)</v>
          </cell>
          <cell r="N18" t="str">
            <v>2  del of this cycle   -  1-cycles pmnt   Pending - Collect 1950</v>
          </cell>
          <cell r="O18" t="str">
            <v>Sunflower ( 12 Inch ) 5     FF Sachet + Grass</v>
          </cell>
          <cell r="P18" t="str">
            <v>P Asiatic ( 14 Inch ) 4     Grass</v>
          </cell>
          <cell r="Q18" t="str">
            <v>G n W Car ( 14 Inch ) 22     FF Sachet + Grass</v>
          </cell>
          <cell r="R18" t="str">
            <v>P n Y Spray Daisy ( 14 Inch ) 7     FF Sachet + Grass</v>
          </cell>
          <cell r="S18" t="e">
            <v>#N/A</v>
          </cell>
          <cell r="T18" t="str">
            <v>R n W Car ( 14 Inch ) 16     FF Sachet + Grass</v>
          </cell>
        </row>
        <row r="19">
          <cell r="A19">
            <v>3243</v>
          </cell>
          <cell r="B19" t="str">
            <v>Muskan</v>
          </cell>
          <cell r="C19">
            <v>9877561166</v>
          </cell>
          <cell r="D19" t="str">
            <v>Floor - 6, Flat 601, Milan Appartment, CGHS</v>
          </cell>
          <cell r="E19" t="str">
            <v>Artemis</v>
          </cell>
          <cell r="F19" t="str">
            <v>Sunday</v>
          </cell>
          <cell r="G19" t="str">
            <v>10 AM to 2:30 PM</v>
          </cell>
          <cell r="H19">
            <v>1450</v>
          </cell>
          <cell r="I19">
            <v>362.5</v>
          </cell>
          <cell r="J19" t="str">
            <v>Bliss</v>
          </cell>
          <cell r="K19" t="str">
            <v>One Kind // Day Sunday (26/03) Mix in Joy (23/04) Change to bliss (21/06)</v>
          </cell>
          <cell r="M19" t="str">
            <v>Mix in Joy (23/04)</v>
          </cell>
          <cell r="N19" t="str">
            <v>3  del of this cycle   -  0-cycles pmnt   Completed - Collect 0</v>
          </cell>
          <cell r="O19" t="str">
            <v>Sunflower ( 12 Inch ) 4     FF Sachet + Grass</v>
          </cell>
          <cell r="P19" t="str">
            <v>P Asiatic ( 14 Inch ) 3     Grass</v>
          </cell>
          <cell r="Q19" t="str">
            <v>P n Y Spray Daisy ( 14 Inch ) 5     FF Sachet + Grass</v>
          </cell>
          <cell r="R19" t="str">
            <v>G n W Car ( 14 Inch ) 16     FF Sachet + Grass</v>
          </cell>
          <cell r="S19" t="str">
            <v>O Glad ( 14 Inch ) 16     Grass</v>
          </cell>
          <cell r="T19" t="str">
            <v>Mix Alstroemeria ( 12 Inch ) 16     FF Sachet + Grass</v>
          </cell>
        </row>
        <row r="20">
          <cell r="A20">
            <v>3214</v>
          </cell>
          <cell r="B20" t="str">
            <v>Sheeba Rana</v>
          </cell>
          <cell r="C20">
            <v>9958849523</v>
          </cell>
          <cell r="D20" t="str">
            <v>T-14/1202, The Close North</v>
          </cell>
          <cell r="E20" t="str">
            <v>Nirvana Country</v>
          </cell>
          <cell r="F20" t="str">
            <v>Sunday</v>
          </cell>
          <cell r="G20" t="str">
            <v>10 AM to 2:30 PM</v>
          </cell>
          <cell r="H20">
            <v>1450</v>
          </cell>
          <cell r="I20">
            <v>362.5</v>
          </cell>
          <cell r="J20" t="str">
            <v>Bliss</v>
          </cell>
          <cell r="K20" t="str">
            <v>Skip n send on 11th n then on preferred day</v>
          </cell>
          <cell r="N20" t="str">
            <v>2  del of this cycle   -  0-cycles pmnt   Completed - Collect 0</v>
          </cell>
          <cell r="O20" t="str">
            <v>P Asiatic ( 14 Inch ) 3     Grass</v>
          </cell>
          <cell r="P20" t="str">
            <v>Rajni ( 14 Inch ) 16     Grass</v>
          </cell>
          <cell r="Q20" t="str">
            <v>Sunflower ( 12 Inch ) 4     FF Sachet + Grass</v>
          </cell>
          <cell r="R20" t="str">
            <v>G n W Car ( 14 Inch ) 16     FF Sachet + Grass</v>
          </cell>
          <cell r="S20" t="str">
            <v>O Asiatic ( 14 Inch ) 3     Grass</v>
          </cell>
          <cell r="T20" t="str">
            <v>P n Y Spray Daisy ( 14 Inch ) 5     FF Sachet + Grass</v>
          </cell>
        </row>
        <row r="21">
          <cell r="A21">
            <v>2869</v>
          </cell>
          <cell r="B21" t="str">
            <v>Jaya Wanchoo</v>
          </cell>
          <cell r="C21">
            <v>8130245666</v>
          </cell>
          <cell r="D21" t="str">
            <v xml:space="preserve">T-8/603, The Close North
</v>
          </cell>
          <cell r="E21" t="str">
            <v>Nirvana Country</v>
          </cell>
          <cell r="F21" t="str">
            <v>Sunday</v>
          </cell>
          <cell r="G21" t="str">
            <v>10 AM to 2:30 PM</v>
          </cell>
          <cell r="H21">
            <v>2750</v>
          </cell>
          <cell r="I21">
            <v>687.5</v>
          </cell>
          <cell r="J21" t="str">
            <v>Elation</v>
          </cell>
          <cell r="N21" t="str">
            <v>4  del of this cycle   -  0-cycles pmnt   Completed - Collect 0</v>
          </cell>
          <cell r="O21" t="str">
            <v>Sunflower ( 12 Inch ) 4 P n W Glad ( 14 Inch ) 16   2 Limonium + FF sachet</v>
          </cell>
          <cell r="P21" t="str">
            <v>BOP 3 Rajni ( 14 Inch ) 16   2 Gypsola</v>
          </cell>
          <cell r="Q21" t="str">
            <v>P Asiatic ( 14 Inch ) 3 G n W Car ( 14 Inch ) 16   2 Limonium</v>
          </cell>
          <cell r="R21" t="str">
            <v>P n Pur Eustoma ( 12 Inch ) 4 Glad 16   2 Gypsola + FF sachet + Grass</v>
          </cell>
          <cell r="S21" t="str">
            <v>W n Y Spray Daisy ( 14 Inch ) 5 Mix Car 16   FF Sachet + Grass</v>
          </cell>
          <cell r="T21" t="str">
            <v>Sunflower ( 12 Inch ) 6 Mix Alstroemeria ( 12 Inch ) 15   FF Sachet + Grass</v>
          </cell>
        </row>
        <row r="22">
          <cell r="A22">
            <v>894</v>
          </cell>
          <cell r="B22" t="str">
            <v>Dr. Roma Kumar</v>
          </cell>
          <cell r="C22" t="str">
            <v>98110 87708</v>
          </cell>
          <cell r="D22" t="str">
            <v>RT-181, Royalton Tower
Inside Princeton Estate
DLF City Phase-V
Gurgaon-122009
Haryana</v>
          </cell>
          <cell r="E22" t="str">
            <v>DLF Phase 5</v>
          </cell>
          <cell r="F22" t="str">
            <v>Thursday</v>
          </cell>
          <cell r="G22" t="str">
            <v>9 AM - 12 PM</v>
          </cell>
          <cell r="H22">
            <v>3000</v>
          </cell>
          <cell r="I22">
            <v>375</v>
          </cell>
          <cell r="J22" t="str">
            <v>Charm</v>
          </cell>
          <cell r="K22" t="str">
            <v>Sun to Thursday//NO Roses(Old) PREFER-- WHITE ROSE/RAJNIGANDHA/CHRYSANTHEMUM(18/11) Skip 1 Week(25/12) Day Changed to Monday till Lovkdown(23/08/20) Send replacement of Lilies(20/10) Day Changed to Sunday-send 1 del today and then every Sunday(30/11) Paytm from Pooja M Tripathi(26/04) Sent replacement today(30/07) Paytm of Gignger lily and eustoma added(06/11) Skip 1 week(06/11)  20 Rajnio sent in Subscription(06/02) Skip today(13/02) Rajni Next(19/02) Rajni next(02/03) Skip 1 week(02/06) Skip Sunday Delivery(13/08) Skip this thursday Delivery (28/02) Skip 1 week (28/02) No Blue Orchid (06/04) Hold today and next Sunday also (12/09) Hold today n one more del (19/09) Skip 1 week (22/02) Skip this thursday (12/03) Send replacement tom (04/05) Skip on sunday (01/06) Skip today (01/06) Skip 1 week (24/11) Hold n start from 29th Jan (18/01) Hold today (02/07) Today Hold (12/07) Hold today (26/07)</v>
          </cell>
          <cell r="L22" t="str">
            <v>ORCHID</v>
          </cell>
          <cell r="N22" t="str">
            <v>3  del of this cycle   -  1-cycles pmnt   Pending - Collect 3000</v>
          </cell>
          <cell r="O22" t="str">
            <v>P Oriental ( 15 Inch ) 2     Grass</v>
          </cell>
          <cell r="P22" t="str">
            <v>B Daisy ( 12 Inch ) 15     Grass</v>
          </cell>
          <cell r="Q22" t="str">
            <v>P n Y Spray Daisy ( 14 Inch ) 4     FF Sachet + Grass</v>
          </cell>
          <cell r="R22" t="str">
            <v>P n Y Spray Daisy ( 14 Inch ) 4     FF Sachet + Grass</v>
          </cell>
          <cell r="S22" t="str">
            <v>W Oriental ( 15 Inch ) 2     Grass</v>
          </cell>
          <cell r="T22" t="str">
            <v>Mix Glad ( 14 Inch ) 15     Grass</v>
          </cell>
        </row>
        <row r="23">
          <cell r="A23">
            <v>3384</v>
          </cell>
          <cell r="B23" t="str">
            <v>Saloni Gupta</v>
          </cell>
          <cell r="C23">
            <v>9810796682</v>
          </cell>
          <cell r="D23" t="str">
            <v>338, 3rd Floor, Espace</v>
          </cell>
          <cell r="E23" t="str">
            <v>Nirvana Country</v>
          </cell>
          <cell r="F23" t="str">
            <v>Thursday</v>
          </cell>
          <cell r="G23" t="str">
            <v>9 AM - 12 PM</v>
          </cell>
          <cell r="H23">
            <v>1545</v>
          </cell>
          <cell r="I23">
            <v>386.25</v>
          </cell>
          <cell r="J23" t="str">
            <v>Customized</v>
          </cell>
          <cell r="K23" t="str">
            <v>Sunday n Thursday//Pls Keep Flowers in Vase// Paytm from Mayank G (17/03) Sent replacememnt today (23/03) Skip 1 week (10/04) 2 Asiatic and 5 Rajni (27/07) Paytm friom Mayank Gupta (16/09) 2 Asiatic Lily in each delivery (16/10) Today returned (17/11) Skip this sunday (03/01) Thursday -- 10 Rose and 4 Rajni // Sunday - 2 Asiatic (19/01) Whenever possible-send red Roses (23/01) Skip tom (29/01) Today returned (22/05) Send replacement tom (27/07) Hold today (14/08) Do not count last delivery (04/09) Hold today (02/10) Hold today (12/10) Hold after this cycle (27/10) Do not count last del (31/10) 2 Asiatic + 4 Rajni + 4 Glad -- thrice in a week (30/12) 2 Asiatic and 4 Rajni bi weekly pack (08/03) 2 Asiatic and 8 Rajni Every time and send 8 Rajni tom (26/03) Today returned-send tom (19/04)</v>
          </cell>
          <cell r="N23" t="str">
            <v>2  del of this cycle   -  0-cycles pmnt   Completed - Collect 0</v>
          </cell>
          <cell r="O23" t="e">
            <v>#N/A</v>
          </cell>
          <cell r="P23" t="e">
            <v>#N/A</v>
          </cell>
          <cell r="Q23" t="e">
            <v>#N/A</v>
          </cell>
          <cell r="R23" t="e">
            <v>#N/A</v>
          </cell>
          <cell r="S23" t="str">
            <v>Y Asiatic ( 14 Inch ) 3     Grass</v>
          </cell>
          <cell r="T23" t="str">
            <v xml:space="preserve">O Asiatic ( 14 Inch ) 3     </v>
          </cell>
        </row>
        <row r="24">
          <cell r="A24">
            <v>2416</v>
          </cell>
          <cell r="B24" t="str">
            <v>Dinesh Dhir</v>
          </cell>
          <cell r="C24">
            <v>9810709096</v>
          </cell>
          <cell r="D24" t="str">
            <v>D-11/9, 1st Floor, DLF Exclusive Floors</v>
          </cell>
          <cell r="E24" t="str">
            <v>DLF Phase 5</v>
          </cell>
          <cell r="F24" t="str">
            <v>Sunday</v>
          </cell>
          <cell r="G24" t="str">
            <v>9 AM - 12 PM</v>
          </cell>
          <cell r="H24">
            <v>1450</v>
          </cell>
          <cell r="I24">
            <v>362.5</v>
          </cell>
          <cell r="J24" t="str">
            <v>Bliss</v>
          </cell>
          <cell r="K24" t="str">
            <v>Hold today n send next week (15/06) Add changed (17/05)</v>
          </cell>
          <cell r="N24" t="str">
            <v>2  del of this cycle   -  0-cycles pmnt   Completed - Collect 0</v>
          </cell>
          <cell r="O24" t="str">
            <v>P Asiatic ( 14 Inch ) 3     Grass</v>
          </cell>
          <cell r="P24" t="str">
            <v>Pur n P Car ( 14 Inch ) 16     FF Sachet + Grass</v>
          </cell>
          <cell r="Q24" t="str">
            <v>Rajni ( 14 Inch ) 16     Grass</v>
          </cell>
          <cell r="R24" t="str">
            <v>P n Y Spray Daisy ( 14 Inch ) 5     FF Sachet + Grass</v>
          </cell>
          <cell r="S24" t="str">
            <v>O Glad ( 14 Inch ) 16     Grass</v>
          </cell>
          <cell r="T24" t="str">
            <v>Mix Alstroemeria ( 12 Inch ) 16     FF Sachet + Grass</v>
          </cell>
        </row>
        <row r="25">
          <cell r="A25">
            <v>2580</v>
          </cell>
          <cell r="B25" t="str">
            <v>Davinder Singh</v>
          </cell>
          <cell r="C25">
            <v>9999653332</v>
          </cell>
          <cell r="D25" t="str">
            <v>T-12/002, Close North</v>
          </cell>
          <cell r="E25" t="str">
            <v>Nirvana Country</v>
          </cell>
          <cell r="F25" t="str">
            <v>Sunday</v>
          </cell>
          <cell r="G25" t="str">
            <v>9 AM - 12 PM</v>
          </cell>
          <cell r="H25">
            <v>1450</v>
          </cell>
          <cell r="I25">
            <v>362.5</v>
          </cell>
          <cell r="J25" t="str">
            <v>Bliss</v>
          </cell>
          <cell r="K25" t="str">
            <v xml:space="preserve"> Hold due to non payment (12/10) Hold due to non payment (20/12) Hold due to non payment (18/01) Hold due to non payment (25/01) Hold due to non payment (01/02) Hold due to non payment (08/02) HDTNP (15/02) HDTNP (22/02) Skip 1 week (18/04)</v>
          </cell>
          <cell r="N25" t="str">
            <v>3  del of this cycle   -  1-cycles pmnt   Pending - Collect 1450</v>
          </cell>
          <cell r="O25" t="str">
            <v>Pur Eustoma ( 12 inch ) 2 P n W Glad ( 14 Inch ) 7   FF Sachet + Grass</v>
          </cell>
          <cell r="P25" t="str">
            <v>Sunflower ( 12 Inch ) 2 B Daisy ( 12 Inch ) 7   FF Sachet + Grass</v>
          </cell>
          <cell r="Q25" t="str">
            <v>O Asiatic ( 14 Inch ) 2 Mix Alstroemeria ( 12 Inch ) 7   Grass</v>
          </cell>
          <cell r="R25" t="str">
            <v>Y Spray Daisy ( 14 Inch ) 3 G n W Car ( 14 Inch ) 7   FF Sachet + Grass</v>
          </cell>
          <cell r="S25" t="str">
            <v>P Eustoma ( 12 Inch ) 2 Mix Glad ( 14 Inch ) 7   FF Sachet + Grass</v>
          </cell>
          <cell r="T25" t="str">
            <v>Sunflower ( 12 Inch ) 2 Mix Glad ( 14 Inch ) 7   FF Sachet + Grass</v>
          </cell>
        </row>
        <row r="26">
          <cell r="A26">
            <v>1140</v>
          </cell>
          <cell r="B26" t="str">
            <v>Nidhi Singh</v>
          </cell>
          <cell r="C26" t="str">
            <v>8383036664//9899389873</v>
          </cell>
          <cell r="D26" t="str">
            <v>D-8/3, Ground Floor DLF Exclusive Floors</v>
          </cell>
          <cell r="E26" t="str">
            <v>DLF Phase 5</v>
          </cell>
          <cell r="F26" t="str">
            <v>Thursday</v>
          </cell>
          <cell r="G26" t="str">
            <v>9 AM - 12 PM</v>
          </cell>
          <cell r="H26">
            <v>2300</v>
          </cell>
          <cell r="I26">
            <v>287.5</v>
          </cell>
          <cell r="J26" t="str">
            <v>Felicity</v>
          </cell>
          <cell r="K26" t="str">
            <v>Sunday n thursday //Monday n Thursday//Send Change of 200 Next(22/10) NO ROSE(22/11) Send Oriental next and send change of 2000 Next(27/11) NO ROSE // Heliconia Next(30/11) Send Change Next(13/04) 350 Received today via paytm(15/04) Flower Food Next(16/04) Send replacement of gerbera tom(20/04) Received 250 today(20/04) Send Replacement tom(20/04) Do Not Count 1 Del(22/04) Days-- Monday and Thursday(30/05) Gpay from Vivek Singh// Paytm from 9372779905-- Viveka(30/07) 1 Flower food next(01/04) Sent a replacement today(05/04) FF Next()8/04) Today del missed(02/06) REceived 1650 extra (28/12) Send replacement tom (29/08) Skip 1 week (17/10) 13th Flower Missed (17/11) Today Returned (18/12) Skip Tom (17/01) No Del from 21st to 27th July (10/07) Skip 1 week (03/12) Hold till 15th Dec (09/12) Skip this thursday (24/12) Skip on sunday (10/01) Hold till 31st Jan after 18th Del (17/01)</v>
          </cell>
          <cell r="L26" t="str">
            <v>ROSE</v>
          </cell>
          <cell r="N26" t="str">
            <v>2  del of this cycle   -  0-cycles pmnt   Completed - Collect 0</v>
          </cell>
          <cell r="O26" t="str">
            <v>Sunflower ( 12 Inch ) 3     FF Sachet + Grass</v>
          </cell>
          <cell r="P26" t="str">
            <v>O Asiatic ( 14 Inch ) 2     Grass</v>
          </cell>
          <cell r="Q26" t="str">
            <v>Y Spray Daisy ( 14 Inch ) 2     FF Sachet + Grass</v>
          </cell>
          <cell r="R26" t="str">
            <v>Mix Glad ( 14 inch ) 11     Grass</v>
          </cell>
          <cell r="S26" t="str">
            <v>R n W Car ( 14 Inch ) 11     FF Sachet + Grass</v>
          </cell>
          <cell r="T26" t="str">
            <v>Pink Eustoma ( 12 Inch ) 3     FF Sachet + Grass</v>
          </cell>
        </row>
        <row r="27">
          <cell r="A27">
            <v>2434</v>
          </cell>
          <cell r="B27" t="str">
            <v>Manasi Sardana</v>
          </cell>
          <cell r="C27">
            <v>9825966349</v>
          </cell>
          <cell r="D27" t="str">
            <v>T-8/303, The South Close</v>
          </cell>
          <cell r="E27" t="str">
            <v>Nirvana Country</v>
          </cell>
          <cell r="F27" t="str">
            <v>Sunday</v>
          </cell>
          <cell r="G27" t="str">
            <v>9 AM to 2 PM</v>
          </cell>
          <cell r="H27">
            <v>1450</v>
          </cell>
          <cell r="I27">
            <v>362.5</v>
          </cell>
          <cell r="J27" t="str">
            <v>Bliss</v>
          </cell>
          <cell r="K27" t="str">
            <v>Rajni is preferred // Skip 1 week (17/05) paytm From Phadke Mansi Pradeep // Skip 1 week (01/01/26) Skip 1 week (24/01) Today returned (15/02) Replacement tom (06/07) Skip 1 week (17/07)</v>
          </cell>
          <cell r="M27" t="str">
            <v>Rajni referred</v>
          </cell>
          <cell r="N27" t="str">
            <v>2  del of this cycle   -  0-cycles pmnt   Completed - Collect 0</v>
          </cell>
          <cell r="O27" t="str">
            <v>P Spray Daisy ( 14 Inch ) 3 Rajni ( 14 Inch ) 7   FF Sachet + Grass</v>
          </cell>
          <cell r="P27" t="str">
            <v>Sunflower ( 12 Inch ) 2 B Daisy ( 12 Inch ) 7   FF Sachet + Grass</v>
          </cell>
          <cell r="Q27" t="str">
            <v>P Asiatic ( 14 Inch ) 2 Mix Alstroemeria ( 12 Inch ) 7   Grass</v>
          </cell>
          <cell r="R27" t="e">
            <v>#N/A</v>
          </cell>
          <cell r="S27" t="str">
            <v>Sunflower ( 12 Inch ) 2 P n W Car ( 14 Inch ) 7   FF Sachet + Grass</v>
          </cell>
          <cell r="T27" t="str">
            <v>Pur Eustoma ( 12 Inch ) 2 P n W Car ( 14 Inch ) 7   FF Sachet + Grass</v>
          </cell>
        </row>
        <row r="28">
          <cell r="A28">
            <v>1438</v>
          </cell>
          <cell r="B28" t="str">
            <v>Aishwarya G Aiyar</v>
          </cell>
          <cell r="C28">
            <v>9884857311</v>
          </cell>
          <cell r="D28" t="str">
            <v>A-173, The Pinnacle</v>
          </cell>
          <cell r="E28" t="str">
            <v>DLF Phase 5</v>
          </cell>
          <cell r="F28" t="str">
            <v>Thursday</v>
          </cell>
          <cell r="G28" t="str">
            <v>9 AM - 12 PM</v>
          </cell>
          <cell r="H28">
            <v>1600</v>
          </cell>
          <cell r="I28">
            <v>200</v>
          </cell>
          <cell r="J28" t="str">
            <v>Bloom</v>
          </cell>
          <cell r="K28" t="str">
            <v>Sunday n Thursday//Changed to Thursday//Ref By Vidya Raja(29/06) 10 Rajni and 10 Glad Next(03/07) Bop and car Next(10/07) Asiatic n car Next(17/07) Oriental and Rajni next(24/07) 3 Anthurium and 15 Glad tom(31/07) Mix of 2 flowers next(07/08) Sent replacement of Oriental today(26/08) NO HELICONIA and BOP and send Spray daisy(02/10) Skip 1 week(11/10) Now JOY(30/03) Skip 1 week(06/04) Holdn n skip this week(21/04) Skip 1 week(30/05) Hold n start from July(11/06) Skip this sunday delivery(05/08) Skip 1 week(30/08) Skip this sunday delivery(16/09) Paytm From Vivek Raja// Skip 1 week (26/04) Now bloom (01/05) Hold till 11th June (31/05) Hold n start from Aug and inform before sending (11/07) Skip 1 week (26/09) Today Retirned (02/11) Today Hold (16/11) Hold today 928/12) Hold for Thursday (05/03) Returned (10/03) Skip this sunday (24/05) Skip 1 week (02/06) Returned ltoday (29/08) Today Returned (05/09) Hols today (31/10) Skip 1 week (18/01) Skip this week (07/03) Skip 19th and 23rd (19/10) Hold 25th Del ( 23/01) Skip sunday (18/02) Skip sunday (27/03) Dont ring bell -- keep at Door (17/05) Skip thursday (15/06)</v>
          </cell>
          <cell r="N28" t="str">
            <v>2  del of this cycle   -  1-cycles pmnt   Pending - Collect 1600</v>
          </cell>
          <cell r="O28" t="str">
            <v>Sunflower ( 12 Inch ) 2     FF Sachet + Grass</v>
          </cell>
          <cell r="P28" t="str">
            <v>Mix Alstroemeria 7     Grass</v>
          </cell>
          <cell r="Q28" t="str">
            <v>G n W Car ( 14 Inch ) 7     FF Sachet + Grass</v>
          </cell>
          <cell r="R28" t="str">
            <v>Mix Glad ( 14 inch ) 7     Grass</v>
          </cell>
          <cell r="S28" t="str">
            <v>Alstromia 7     FF Sachet + Grass</v>
          </cell>
          <cell r="T28" t="str">
            <v>Mix Glad ( 14 Inch ) 7     FF Sachet + Grass</v>
          </cell>
        </row>
        <row r="29">
          <cell r="A29">
            <v>870</v>
          </cell>
          <cell r="B29" t="str">
            <v>Himabindu Kanchan</v>
          </cell>
          <cell r="C29">
            <v>9892501292</v>
          </cell>
          <cell r="D29" t="str">
            <v xml:space="preserve">D -13, Pinnacle Dlf Phase - 5 </v>
          </cell>
          <cell r="E29" t="str">
            <v>DLF Phase 5</v>
          </cell>
          <cell r="F29" t="str">
            <v>Thursday</v>
          </cell>
          <cell r="G29" t="str">
            <v>9 AM - 12 PM</v>
          </cell>
          <cell r="H29">
            <v>1600</v>
          </cell>
          <cell r="I29">
            <v>200</v>
          </cell>
          <cell r="J29" t="str">
            <v>Bloom</v>
          </cell>
          <cell r="K29" t="str">
            <v>Sunday n Thursday//Fri to Thurs//FF Sold today(19/07) Skip n start from 23rd(08/08) P n Y Rose Next(15/11) 2 Stick Extra next(17/01) Hold-send tom(14/02) Orchids Next (18/08/20) Send 3 Sponge for 120 Rs.(19/08/20) Sending tom due to Diwali(11/11) Today returned-send next week(08/01) Skip 1 week(25/02) Skip 1 week(28/04) Glad Next(09/09) Skip 1 week(21/12) Skip 1 week(20/01) Hold Tom and skip 1 week(28/01) Skip 1 week(06/07) Receibved 695v extra today(23/07) Skip 2 weeks (21/12) Skip 1 week (08/02) No Renewal without payment (04/05) Hold today (28/12) Skip 1 week 902/01) Skip 1 week (07/02) Skip this sunday (16/02) Skip 1 week (06/04) Skip sunday del (09/05) Today hold (07/07) Hold HDTNP (12/03) tom (08/12) In form before sending (27/12) Skip next del (26/06) Hold today due to non payment (02/10) Skip week (22/12) HDTNP (01/03) HDTNP (04/03) HDTNP (08/03) HDTNP (14/03)</v>
          </cell>
          <cell r="N29" t="str">
            <v>5  del of this cycle   -  0-cycles pmnt   Completed - Collect 0</v>
          </cell>
          <cell r="O29" t="str">
            <v>P n W Glad ( 14 Inch ) 7     Grass</v>
          </cell>
          <cell r="P29" t="str">
            <v>Mix Alstroemeria 7     Grass</v>
          </cell>
          <cell r="Q29" t="str">
            <v>Rajni ( 14 Inch ) 7     Grass</v>
          </cell>
          <cell r="R29" t="str">
            <v>Mix Glad ( 14 inch ) 7     FF Sachet + Grass</v>
          </cell>
          <cell r="S29" t="str">
            <v>Alstromia 7     FF Sachet + Grass</v>
          </cell>
          <cell r="T29" t="str">
            <v>Mix Alstroemeria ( 12 Inch ) 7     FF Sachet + Grass</v>
          </cell>
        </row>
        <row r="30">
          <cell r="A30">
            <v>3245</v>
          </cell>
          <cell r="B30" t="str">
            <v>Parul Parihar</v>
          </cell>
          <cell r="C30">
            <v>9999903582</v>
          </cell>
          <cell r="D30" t="str">
            <v>502, Adhunil Appartments, Sec 52</v>
          </cell>
          <cell r="E30" t="str">
            <v>Artemis</v>
          </cell>
          <cell r="F30" t="str">
            <v>Sunday</v>
          </cell>
          <cell r="G30" t="str">
            <v>9 AM - 12 PM</v>
          </cell>
          <cell r="H30">
            <v>1450</v>
          </cell>
          <cell r="I30">
            <v>362.5</v>
          </cell>
          <cell r="J30" t="str">
            <v>Bliss</v>
          </cell>
          <cell r="K30" t="str">
            <v>Hold Today (26/07)</v>
          </cell>
          <cell r="N30" t="str">
            <v>1  del of this cycle   -  1-cycles pmnt   Pending - Collect 1450</v>
          </cell>
          <cell r="O30" t="str">
            <v>P Asiatic ( 14 Inch ) 3     Grass</v>
          </cell>
          <cell r="P30" t="str">
            <v>Rajni ( 14 Inch ) 16     Grass</v>
          </cell>
          <cell r="Q30" t="str">
            <v>G n W Car ( 14 Inch ) 16     Grass</v>
          </cell>
          <cell r="R30" t="str">
            <v>P n Y Spray Daisy ( 14 Inch ) 5     FF Sachet + Grass</v>
          </cell>
          <cell r="S30" t="str">
            <v>O Glad ( 14 Inch ) 16     Grass</v>
          </cell>
          <cell r="T30" t="str">
            <v>Mix Alstroemeria ( 12 Inch ) 16     Grass</v>
          </cell>
        </row>
        <row r="31">
          <cell r="A31">
            <v>2855</v>
          </cell>
          <cell r="B31" t="str">
            <v>Mini Deerwoood</v>
          </cell>
          <cell r="C31">
            <v>9818447542</v>
          </cell>
          <cell r="D31" t="str">
            <v xml:space="preserve"> 332, 4th Floor, Espace</v>
          </cell>
          <cell r="E31" t="str">
            <v>Nirvana Country</v>
          </cell>
          <cell r="F31" t="str">
            <v>Sunday</v>
          </cell>
          <cell r="G31" t="str">
            <v>9 AM - 12 PM</v>
          </cell>
          <cell r="H31">
            <v>1950</v>
          </cell>
          <cell r="I31">
            <v>487.5</v>
          </cell>
          <cell r="J31" t="str">
            <v>Joy</v>
          </cell>
          <cell r="N31" t="str">
            <v>3  del of this cycle   -  0-cycles pmnt   Completed - Collect 0</v>
          </cell>
          <cell r="O31" t="str">
            <v>Sunflower ( 12 Inch ) 3 Pur n P Car ( 14 Inch ) 11   FF Sachet + Grass</v>
          </cell>
          <cell r="P31" t="str">
            <v>P Asiatic ( 14 Inch ) 2 Rajni ( 14 Inch ) 11   Grass</v>
          </cell>
          <cell r="Q31" t="str">
            <v>P n Y Spray Daisy ( 14 Inch ) 4 P n W Glad ( 14 Inch ) 10   FF Sachet + Grass</v>
          </cell>
          <cell r="R31" t="str">
            <v>Pur Eustoma ( 12 Inch ) 2 Mix Car 11   FF Sachet + Grass</v>
          </cell>
          <cell r="S31" t="str">
            <v>W Asiatic ( 14 Inch ) 2 Rajni 11   Grass</v>
          </cell>
          <cell r="T31" t="str">
            <v>Sunflower ( 12 Inch ) 3 Mix Alstroemeria ( 12 Inch ) 11   FF Sachet + Grass</v>
          </cell>
        </row>
        <row r="32">
          <cell r="A32">
            <v>3252</v>
          </cell>
          <cell r="B32" t="str">
            <v>Madhumita Dhupar</v>
          </cell>
          <cell r="C32">
            <v>9999887549</v>
          </cell>
          <cell r="D32" t="str">
            <v>333, Deerwood Chase</v>
          </cell>
          <cell r="E32" t="str">
            <v>Nirvana Country</v>
          </cell>
          <cell r="F32" t="str">
            <v>Sunday</v>
          </cell>
          <cell r="G32" t="str">
            <v>9 AM to 2 PM</v>
          </cell>
          <cell r="H32">
            <v>1450</v>
          </cell>
          <cell r="I32">
            <v>362.5</v>
          </cell>
          <cell r="J32" t="str">
            <v>Bliss</v>
          </cell>
          <cell r="K32" t="str">
            <v>White Flowers in Each Delivery (10/01)</v>
          </cell>
          <cell r="N32" t="str">
            <v>2  del of this cycle   -  0-cycles pmnt   Completed - Collect 0</v>
          </cell>
          <cell r="O32" t="str">
            <v>Pur n P Car ( 14 Inch 16     FF Sachet + Grass</v>
          </cell>
          <cell r="P32" t="str">
            <v>Rajni ( 14 Inch ) 16     Grass</v>
          </cell>
          <cell r="Q32" t="str">
            <v>Sunflower ( 12 Inch ) 4     FF Sachet + Grass</v>
          </cell>
          <cell r="R32" t="str">
            <v>Mix Glad ( 14 inch ) 16     Grass</v>
          </cell>
          <cell r="S32" t="str">
            <v>O Asiatic ( 14 Inch ) 3     Grass</v>
          </cell>
          <cell r="T32" t="str">
            <v>Mix Alstroemeria ( 12 Inch ) 16     Grass</v>
          </cell>
        </row>
        <row r="33">
          <cell r="A33">
            <v>2639</v>
          </cell>
          <cell r="B33" t="str">
            <v>Bhanupriya Sharma</v>
          </cell>
          <cell r="C33">
            <v>9799191916</v>
          </cell>
          <cell r="D33" t="str">
            <v>37, Abundance Appartment, 4th Floor, D Block, Indira Colony-2, Sec 52 , Behind Arihant Hospital</v>
          </cell>
          <cell r="E33" t="str">
            <v>Artemis</v>
          </cell>
          <cell r="F33" t="str">
            <v>Sunday</v>
          </cell>
          <cell r="G33" t="str">
            <v>9 AM - 12 PM</v>
          </cell>
          <cell r="H33">
            <v>1450</v>
          </cell>
          <cell r="I33">
            <v>487.5</v>
          </cell>
          <cell r="J33" t="str">
            <v>Bliss</v>
          </cell>
          <cell r="K33" t="str">
            <v>Skip 1 week (16/05) today returned (06/07) Change day to delight (02/11) Paytm from Rajeev Bhambani (05/11) Upgrade to Bliss (24/01) Paytm From Aluma Care (25/03) No Lily (16/05)</v>
          </cell>
          <cell r="L33" t="str">
            <v>Lily</v>
          </cell>
          <cell r="M33" t="str">
            <v>One kInd in Bliss</v>
          </cell>
          <cell r="N33" t="str">
            <v>4  del of this cycle   -  0-cycles pmnt   Completed - Collect 0</v>
          </cell>
          <cell r="O33" t="str">
            <v>Sunflower ( 12 Inch ) 4     FF Sachet + Grass</v>
          </cell>
          <cell r="P33" t="str">
            <v>Rajni ( 14 Inch ) 16     Grass</v>
          </cell>
          <cell r="Q33" t="str">
            <v>P n Y Spray Daisy ( 14 Inch ) 5     FF Sachet + Grass</v>
          </cell>
          <cell r="R33" t="str">
            <v>G n W Car ( 14 Inch ) 16     FF Sachet + Grass</v>
          </cell>
          <cell r="S33" t="str">
            <v>O Glad 16     FF Sachet + Grass</v>
          </cell>
          <cell r="T33" t="str">
            <v>O Asiatic ( 14 Inch ) 3     Grass</v>
          </cell>
        </row>
        <row r="34">
          <cell r="A34">
            <v>2316</v>
          </cell>
          <cell r="B34" t="str">
            <v>Gitanjali Kamra</v>
          </cell>
          <cell r="C34">
            <v>9811842976</v>
          </cell>
          <cell r="D34" t="str">
            <v>121, Espace, Nirvana Country</v>
          </cell>
          <cell r="E34" t="str">
            <v>Nirvana Country</v>
          </cell>
          <cell r="F34" t="str">
            <v>Sunday</v>
          </cell>
          <cell r="G34" t="str">
            <v>9 AM - 12 PM</v>
          </cell>
          <cell r="H34">
            <v>4750</v>
          </cell>
          <cell r="I34">
            <v>1187.5</v>
          </cell>
          <cell r="J34" t="str">
            <v>Enchantment</v>
          </cell>
          <cell r="K34" t="str">
            <v>Now Elation (21/09) Skip 1 week (17/12)</v>
          </cell>
          <cell r="N34" t="str">
            <v>1  del of this cycle   -  0-cycles pmnt   Completed - Collect 0</v>
          </cell>
          <cell r="O34" t="str">
            <v>BOP ( 14 Inch ) 6 Rajni ( 14 Inch ) 30   3 Gypsola</v>
          </cell>
          <cell r="P34" t="str">
            <v>P Asiatic ( 14 Inch ) 6 Mix Alstroemeria ( 12 Inch ) 30   3 Areca Palm + 3 Limonium</v>
          </cell>
          <cell r="Q34" t="str">
            <v>Sunflower ( 12 Inch ) 7 G n W Car ( 14 Inch ) 30   3 Areca palm + 3 Gypsola + FF Sachet</v>
          </cell>
          <cell r="R34" t="str">
            <v>P n Pur Eustoma ( 12 Inch ) 6 Mix Glad ( 14 Inch ) 30   3 Areca Palm + 3 Limonium + FF Sachet</v>
          </cell>
          <cell r="S34" t="str">
            <v>W Oriental ( 15 Inch ) 4 Mix Car 21   3 Areca Palm + 3 Gypsola</v>
          </cell>
          <cell r="T34" t="str">
            <v>BOP ( 15 Inch ) 5 Rajni ( 14 Inch ) 30   3 Areca Palm + 3 Gypsola</v>
          </cell>
        </row>
        <row r="35">
          <cell r="A35">
            <v>2255</v>
          </cell>
          <cell r="B35" t="str">
            <v>Prerna -- Rosewood</v>
          </cell>
          <cell r="C35">
            <v>9910778929</v>
          </cell>
          <cell r="D35" t="str">
            <v>D-154, Rosewood City, Sector 50</v>
          </cell>
          <cell r="E35" t="str">
            <v>Nirvana Country</v>
          </cell>
          <cell r="F35" t="str">
            <v>Sunday</v>
          </cell>
          <cell r="G35" t="str">
            <v>9:30 Am to 2 PM</v>
          </cell>
          <cell r="H35">
            <v>1450</v>
          </cell>
          <cell r="I35">
            <v>362.5</v>
          </cell>
          <cell r="J35" t="str">
            <v>Bliss</v>
          </cell>
          <cell r="K35" t="str">
            <v>Sent replacement today (21/04) Skip 1 week (04/12) Skip tom (14/06) Return today (06/07) 27th Del Missed (03/08)Skip 22/23rd Nov (08/11) Paytm From Prerna Sharma // Skip 1 week (07/02) Hold n start after 9 th June (10/05)</v>
          </cell>
          <cell r="N35" t="str">
            <v>4  del of this cycle   -  0-cycles pmnt   Completed - Collect 0</v>
          </cell>
          <cell r="O35" t="str">
            <v>Rajni 16     Grass</v>
          </cell>
          <cell r="P35" t="str">
            <v>Sunflower ( 12 Inch ) 4     FF Sachet + Grass</v>
          </cell>
          <cell r="Q35" t="str">
            <v>P n W Glad ( 14 Inch ) 16     Grass</v>
          </cell>
          <cell r="R35" t="str">
            <v>Mix Car 16     FF Sachet + Grass</v>
          </cell>
          <cell r="S35" t="str">
            <v>W Asiatic ( 14 Inch ) 3     Grass</v>
          </cell>
          <cell r="T35" t="str">
            <v>Mix Alstroemeria ( 12 Inch ) 16     Grass</v>
          </cell>
        </row>
        <row r="36">
          <cell r="A36">
            <v>2878</v>
          </cell>
          <cell r="B36" t="str">
            <v>Aditi Bhatt</v>
          </cell>
          <cell r="C36">
            <v>7506091115</v>
          </cell>
          <cell r="D36" t="str">
            <v>D-225, 2nd Floor, Sushant Lok-2, Sec 56</v>
          </cell>
          <cell r="E36" t="str">
            <v>Sector 56</v>
          </cell>
          <cell r="F36" t="str">
            <v>Sunday</v>
          </cell>
          <cell r="G36" t="str">
            <v>9 AM - 12 PM</v>
          </cell>
          <cell r="H36">
            <v>1450</v>
          </cell>
          <cell r="I36">
            <v>362.5</v>
          </cell>
          <cell r="J36" t="str">
            <v>Bliss</v>
          </cell>
          <cell r="K36" t="str">
            <v>Skip 1 week (13/08) Send 1 del tom (24/08_) Day change to Sunday (26/08) Shift n send on Thursday (05/09) Skip 1 week (23/10) Skip 1 week (07/11) Remaining Deliveries on Thursday (12/11) Skip 1 week (20/01) Start from 15th Mar 911/03) No Local white gypsy (14/03) Start from 19th Apr (07/04) Paytm from Sparch Jain (21/04) Paytm from Sparsh Jain (16/05) Skip 1 week (10/06)</v>
          </cell>
          <cell r="M36" t="str">
            <v>No White Local Gypsy</v>
          </cell>
          <cell r="N36" t="str">
            <v>3  del of this cycle   -  0-cycles pmnt   Completed - Collect 0</v>
          </cell>
          <cell r="O36" t="str">
            <v>Sunflower ( 12 Inch ) 4     FF Sachet + Grass</v>
          </cell>
          <cell r="P36" t="str">
            <v>Rajni ( 14 Inch ) 16     Grass</v>
          </cell>
          <cell r="Q36" t="str">
            <v>P Asiatic ( 14 Inch ) 3     Grass</v>
          </cell>
          <cell r="R36" t="str">
            <v>G n W Car ( 14 Inch ) 16     FF Sachet + Grass</v>
          </cell>
          <cell r="S36" t="str">
            <v>O Glad ( 14 Inch ) 16     Grass</v>
          </cell>
          <cell r="T36" t="str">
            <v>O n Green  Spray Daisy ( 14 Inch ) 5     FF Sachet + Grass</v>
          </cell>
        </row>
        <row r="37">
          <cell r="A37">
            <v>3018</v>
          </cell>
          <cell r="B37" t="str">
            <v>Gurrit Kaur sethi</v>
          </cell>
          <cell r="C37">
            <v>9810918222</v>
          </cell>
          <cell r="D37" t="str">
            <v>T-2/201, Unitech Escape</v>
          </cell>
          <cell r="E37" t="str">
            <v>Nirvana Country</v>
          </cell>
          <cell r="F37" t="str">
            <v>Sunday</v>
          </cell>
          <cell r="G37" t="str">
            <v>9 AM - 12 PM</v>
          </cell>
          <cell r="H37">
            <v>1450</v>
          </cell>
          <cell r="I37">
            <v>362.5</v>
          </cell>
          <cell r="J37" t="str">
            <v>Bliss</v>
          </cell>
          <cell r="N37" t="str">
            <v>2  del of this cycle   -  0-cycles pmnt   Completed - Collect 0</v>
          </cell>
          <cell r="O37" t="str">
            <v>Pur n P Car ( 14 Inch 16     FF Sachet + Grass</v>
          </cell>
          <cell r="P37" t="str">
            <v>O Asiatic ( 14 Inch ) 3     Grass</v>
          </cell>
          <cell r="Q37" t="str">
            <v>Rajni ( 14 Inch ) 16     Grass</v>
          </cell>
          <cell r="R37" t="str">
            <v>P n Y Spray Daisy ( 14 Inch ) 5     FF Sachet + Grass</v>
          </cell>
          <cell r="S37" t="str">
            <v>O Glad 16     FF Sachet + Grass</v>
          </cell>
          <cell r="T37" t="str">
            <v>R n W Car ( 14 Inch ) 16     Grass</v>
          </cell>
        </row>
        <row r="38">
          <cell r="A38">
            <v>945</v>
          </cell>
          <cell r="B38" t="str">
            <v>Ms. Shuchi Chopra</v>
          </cell>
          <cell r="C38">
            <v>9910984447</v>
          </cell>
          <cell r="D38" t="str">
            <v>Flat No. 703, M3M Golf Estate, Latitude Building</v>
          </cell>
          <cell r="E38" t="str">
            <v>Badshahpur</v>
          </cell>
          <cell r="F38" t="str">
            <v>Sunday</v>
          </cell>
          <cell r="G38" t="str">
            <v>9 AM - 12 PM</v>
          </cell>
          <cell r="H38">
            <v>1950</v>
          </cell>
          <cell r="I38">
            <v>487.5</v>
          </cell>
          <cell r="J38" t="str">
            <v>Joy</v>
          </cell>
          <cell r="K38" t="str">
            <v>Sunday n Thursday//All Flower 1 by 1 (23/11) Next time 1 stick extra(24/11) Extend by 1 week(31/12) Hold today-send tom(19/01) Send on Monday till Lockdown and send some pooja frlowers (23/08/20) Sending on 16th Due to Diwali(13/11) Send onmonday instead of Sunday(26/03) Change Package to 1250(17/04) Send Mandir Flowers tom(14/12) Skip 1 week(08/09) Collect cash and no del from 1st to 15 th (29/10) Send Replacement (25/02) 5 Exotic and 5 Norma lflowers (28/04)</v>
          </cell>
          <cell r="N38" t="str">
            <v>4  del of this cycle   -  0-cycles pmnt   In Process - Collect 0</v>
          </cell>
          <cell r="O38" t="str">
            <v>Sunflower ( 12 Inch ) 2 Pur n P Car ( 14 Inch ) 11   FF Sachet + Grass</v>
          </cell>
          <cell r="P38" t="str">
            <v>BOP 2 B Daisy ( 12 Inch ) 11   FF Sachet + Grass</v>
          </cell>
          <cell r="Q38" t="str">
            <v>P Asiatic ( 14 Inch ) 2 Mix Alstroemeria ( 12 Inch ) 10   Grass</v>
          </cell>
          <cell r="R38" t="str">
            <v>P n Y Spray Daisy ( 14 Inch ) 4 Mix Glad ( 14 Inch ) 11   FF Sachet + Grass</v>
          </cell>
          <cell r="S38" t="str">
            <v>Pur Eustoma ( 12 Inch ) 2 P n W Car ( 14 Inch ) 11   FF Sachet + Grass</v>
          </cell>
          <cell r="T38" t="str">
            <v>Sunflower ( 12 Inch ) 3 P n W Car ( 14 Inch ) 11   FF Sachet + Grass</v>
          </cell>
        </row>
        <row r="39">
          <cell r="A39">
            <v>2637</v>
          </cell>
          <cell r="B39" t="str">
            <v>Shalini Kohli</v>
          </cell>
          <cell r="C39">
            <v>9999834141</v>
          </cell>
          <cell r="D39" t="str">
            <v>A-1402, Ireo Victory Valley</v>
          </cell>
          <cell r="E39" t="str">
            <v>Badshahpur</v>
          </cell>
          <cell r="F39" t="str">
            <v>Sunday</v>
          </cell>
          <cell r="G39" t="str">
            <v>9 AM - 12 PM</v>
          </cell>
          <cell r="H39">
            <v>1950</v>
          </cell>
          <cell r="I39">
            <v>487.5</v>
          </cell>
          <cell r="J39" t="str">
            <v>Joy</v>
          </cell>
          <cell r="K39" t="str">
            <v>Send on Monday instead of Sunday this week (28/05) Returned (10/08) Skip 1 week (28/08) Send replacement tom (19/10) Hold due to non payment (01/02) Send one del tom (03/02) Skip 2 week )7/03) Sent one del today (28/03) Returned (17/05) Returned today -- Death in Family (07/06) Today Returned (14/06)</v>
          </cell>
          <cell r="N39" t="str">
            <v>2  del of this cycle   -  0-cycles pmnt   Completed - Collect 0</v>
          </cell>
          <cell r="O39" t="str">
            <v>Sunflower ( 12 Inch ) 3 Rajni ( 14 Inch ) 11   FF Sachet + Grass</v>
          </cell>
          <cell r="P39" t="str">
            <v>BOP 2 Pur n P Car ( 14 Inch ) 11   FF Sachet + Grass</v>
          </cell>
          <cell r="Q39" t="str">
            <v>P n Y Spray Daisy ( 14 Inch ) 4 Mix Alstroemeria ( 12 Inch ) 10   FF Sachet + Grass</v>
          </cell>
          <cell r="R39" t="str">
            <v>O Asiatic ( 14 Inch ) 2 Mix Glad ( 14 Inch ) 11   Grass</v>
          </cell>
          <cell r="S39" t="str">
            <v>Sunflower ( 12 Inch ) 3 Mix Car 11   FF Sachet + Grass</v>
          </cell>
          <cell r="T39" t="str">
            <v>Sunflower ( 12 Inch ) 3 P n W Car ( 14 Inch ) 11   FF Sachet + Grass</v>
          </cell>
        </row>
        <row r="40">
          <cell r="A40">
            <v>571</v>
          </cell>
          <cell r="B40" t="str">
            <v>Mrs. Singh</v>
          </cell>
          <cell r="C40">
            <v>9873099320</v>
          </cell>
          <cell r="D40" t="str">
            <v>D 42, pinnacle, Dlf ph 5, Golf course road</v>
          </cell>
          <cell r="E40" t="str">
            <v>DLF Phase 5</v>
          </cell>
          <cell r="F40" t="str">
            <v>Thursday</v>
          </cell>
          <cell r="G40" t="str">
            <v>9 AM - 12 PM</v>
          </cell>
          <cell r="H40">
            <v>1600</v>
          </cell>
          <cell r="I40">
            <v>200</v>
          </cell>
          <cell r="J40" t="str">
            <v>Bloom</v>
          </cell>
          <cell r="K40" t="str">
            <v>Thursday n Sunday//Send 3 stems extra in next del(09/10)Return-send Friday(01/01/19) NO CAR(05/06) 1 stick extra next week(11/06) Paytm from Sharad Kumar(13/08) Return-send next week(02/10) Send Tom instead of this week with gerbera(19/10) Return-send next week(31/12) SENDING ON 9TH DUE TO HOLI (08/03) Send on 4th (03/10) Return today (23/10) Do not count last delivery (22/04) Hold ans start after 10th (02/08) Today Returned (19/07) Hold till 31st July (22/07) One Del tom (30/07)</v>
          </cell>
          <cell r="N40" t="str">
            <v>4  del of this cycle   -  0-cycles pmnt   Completed - Collect 0</v>
          </cell>
          <cell r="O40" t="str">
            <v>P Spray Daisy ( 14 Inch ) 2     FF Sachet + Grass</v>
          </cell>
          <cell r="P40" t="str">
            <v>Rajni ( 14 Inch ) 7     Grass</v>
          </cell>
          <cell r="Q40" t="str">
            <v>Mix Alstroemeria ( 12 Inch ) 7     FF Sachet + Grass</v>
          </cell>
          <cell r="R40" t="str">
            <v>Y Spray Daisy ( 14 Inch ) 2     FF Sachet + Grass</v>
          </cell>
          <cell r="S40" t="e">
            <v>#N/A</v>
          </cell>
          <cell r="T40" t="str">
            <v>Rajni ( 14 Inch ) 7     Grass</v>
          </cell>
        </row>
        <row r="41">
          <cell r="A41">
            <v>2450</v>
          </cell>
          <cell r="B41" t="str">
            <v xml:space="preserve">Anshuman Divyanshu </v>
          </cell>
          <cell r="C41">
            <v>9934010124</v>
          </cell>
          <cell r="D41" t="str">
            <v>G-1401, Bestech Park View Spa Next</v>
          </cell>
          <cell r="E41" t="str">
            <v>Badshahpur</v>
          </cell>
          <cell r="F41" t="str">
            <v>Sunday</v>
          </cell>
          <cell r="G41" t="str">
            <v>9:30 Am to 2 PM</v>
          </cell>
          <cell r="H41">
            <v>1450</v>
          </cell>
          <cell r="I41">
            <v>362.5</v>
          </cell>
          <cell r="J41" t="str">
            <v>Bliss</v>
          </cell>
          <cell r="K41" t="str">
            <v>Insta // return today (24/08) Hold today (28/09) HDTNP (03/05) Skip 1 week (06/06)</v>
          </cell>
          <cell r="N41" t="str">
            <v>1  del of this cycle   -  1-cycles pmnt   Pending - Collect 1450</v>
          </cell>
          <cell r="O41" t="str">
            <v>Sunflower ( 12 Inch ) 2     FF Sachet + Grass</v>
          </cell>
          <cell r="P41" t="str">
            <v>Pur n P Car ( 14 Inch ) 16     FF Sachet + Grass</v>
          </cell>
          <cell r="Q41" t="str">
            <v>Rajni ( 14 Inch ) 16     Grass</v>
          </cell>
          <cell r="R41" t="str">
            <v>P n Y Spray Daisy ( 14 Inch ) 5     FF Sachet + Grass</v>
          </cell>
          <cell r="S41" t="str">
            <v>O Asiatic ( 14 Inch ) 3     Grass</v>
          </cell>
          <cell r="T41" t="str">
            <v>Mix Glad ( 14 Inch ) 16     Grass</v>
          </cell>
        </row>
        <row r="42">
          <cell r="A42">
            <v>2724</v>
          </cell>
          <cell r="B42" t="str">
            <v>Kavita Dahiya</v>
          </cell>
          <cell r="C42">
            <v>9873400017</v>
          </cell>
          <cell r="D42" t="str">
            <v>H. No. 1391, 2nd Floor,  Sec-57 Part -2</v>
          </cell>
          <cell r="E42" t="str">
            <v>Artemis</v>
          </cell>
          <cell r="F42" t="str">
            <v>Sunday</v>
          </cell>
          <cell r="G42" t="str">
            <v>9:30 AM to 2 PM</v>
          </cell>
          <cell r="H42">
            <v>1450</v>
          </cell>
          <cell r="I42">
            <v>362.5</v>
          </cell>
          <cell r="J42" t="str">
            <v>Bliss</v>
          </cell>
          <cell r="K42" t="str">
            <v>Send on Sunday this week (27/08) No gerbera (12/09) No Sunflowers (15/11) Skip 1 week (30/12) Hold n collect 500 tom (25/02)</v>
          </cell>
          <cell r="L42" t="str">
            <v>Gerbera n Sunflower</v>
          </cell>
          <cell r="N42" t="str">
            <v>3  del of this cycle   -  0-cycles pmnt   CompletedNO COLLECTION-we have extra money - Collect -9</v>
          </cell>
          <cell r="O42" t="str">
            <v>Sunflower ( 12 Inch ) 4     FF Sachet + Grass</v>
          </cell>
          <cell r="P42" t="str">
            <v>Rajni ( 14 Inch ) 16     Grass</v>
          </cell>
          <cell r="Q42" t="str">
            <v>O Asiatic ( 14 Inch ) 3     Grass</v>
          </cell>
          <cell r="R42" t="str">
            <v>Mix Alstroemeria ( 12 Inch ) 16     FF Sachet + Grass</v>
          </cell>
          <cell r="S42" t="str">
            <v>P n W Spray Daosy ( 14 Inch ) 5     FF Sachet + Grass</v>
          </cell>
          <cell r="T42" t="str">
            <v>R n W Car ( 14 Inch ) 16     FF Sachet + Grass</v>
          </cell>
        </row>
        <row r="43">
          <cell r="A43">
            <v>2307</v>
          </cell>
          <cell r="B43" t="str">
            <v>Alpna Jain</v>
          </cell>
          <cell r="C43">
            <v>9599336609</v>
          </cell>
          <cell r="D43" t="str">
            <v>C-64, The Icon</v>
          </cell>
          <cell r="E43" t="str">
            <v>DLF Phase 5</v>
          </cell>
          <cell r="F43" t="str">
            <v>Thursday</v>
          </cell>
          <cell r="G43" t="str">
            <v>10 AM to 2:30 PM</v>
          </cell>
          <cell r="H43">
            <v>3000</v>
          </cell>
          <cell r="I43">
            <v>375</v>
          </cell>
          <cell r="J43" t="str">
            <v>Charm</v>
          </cell>
          <cell r="K43" t="str">
            <v>Thursday n Sunday // Hold today (08/02) Keep flowers outside of Door (17/05)</v>
          </cell>
          <cell r="M43" t="str">
            <v>Keep flowers outside of door always</v>
          </cell>
          <cell r="N43" t="str">
            <v>5  del of this cycle   -  0-cycles pmnt   Completed - Collect 0</v>
          </cell>
          <cell r="O43" t="str">
            <v>Y Asiatic ( 14 Inch ) 3 Keep Flowers at door -- Don’t Call or ring the bell    Grass</v>
          </cell>
          <cell r="P43" t="str">
            <v>P n W Glad ( 14 Inch ) 15 Keep Flowesr at Door -- Don’t Ring Bell, Don’t Call    Grass</v>
          </cell>
          <cell r="Q43" t="str">
            <v>Rajni ( 14 Inch ) 15 Keep Outside of Door -- Don’t Ring bell and don’t call    Grass</v>
          </cell>
          <cell r="R43" t="str">
            <v>G n W Car ( 14 Inch ) 15 Keep at door -- don’t call or knock door    FF Sachet + Grass</v>
          </cell>
          <cell r="S43" t="str">
            <v>Rajni ( 14 Inch ) 15 Keep at Door -- Don’t call or ring bell    FF Sachet + Grass</v>
          </cell>
          <cell r="T43" t="str">
            <v>Sunflower ( 12 Inch ) 4     FF Sachet + Grass</v>
          </cell>
        </row>
        <row r="44">
          <cell r="A44">
            <v>2378</v>
          </cell>
          <cell r="B44" t="str">
            <v>Dr. Juhi Saxena</v>
          </cell>
          <cell r="C44">
            <v>9958637975</v>
          </cell>
          <cell r="D44" t="str">
            <v>G-307, 2nd Floor, Sushant Lok -2, Sec 57</v>
          </cell>
          <cell r="E44" t="str">
            <v>Artemis</v>
          </cell>
          <cell r="F44" t="str">
            <v>Sunday</v>
          </cell>
          <cell r="G44" t="str">
            <v>9 AM - 12 PM</v>
          </cell>
          <cell r="H44">
            <v>1450</v>
          </cell>
          <cell r="I44">
            <v>362.5</v>
          </cell>
          <cell r="J44" t="str">
            <v>Bliss</v>
          </cell>
          <cell r="K44" t="str">
            <v>No Glad (17/01) Hold and start from May and inform before starting (09/04) Skip 1 week 901/05) hold n returned today (12/06) Skip tom and send on Saturday -- either Rajnigandha or Car (19/06) Add changed (23/06) No Sinflower (09/07)</v>
          </cell>
          <cell r="L44" t="str">
            <v>GLAD n Sunflowers</v>
          </cell>
          <cell r="N44" t="str">
            <v>2  del of this cycle   -  0-cycles pmnt   Completed - Collect 0</v>
          </cell>
          <cell r="O44" t="str">
            <v>Pur n P Car ( 14 Inch 16     FF Sachet + Grass</v>
          </cell>
          <cell r="P44" t="str">
            <v>Sunflower ( 12 Inch ) 4     FF Sachet + Grass</v>
          </cell>
          <cell r="Q44" t="str">
            <v>Rajni ( 14 Inch ) 16     Grass</v>
          </cell>
          <cell r="R44" t="str">
            <v>O Asiatic ( 14 Inch ) 3     Grass</v>
          </cell>
          <cell r="S44" t="str">
            <v>Mix Car 16     FF Sachet + Grass</v>
          </cell>
          <cell r="T44" t="str">
            <v>Mix Alstroemeria ( 12 Inch ) 16     FF Sachet + Grass</v>
          </cell>
        </row>
        <row r="45">
          <cell r="A45">
            <v>2192</v>
          </cell>
          <cell r="B45" t="str">
            <v>Prabhdeep Kaur</v>
          </cell>
          <cell r="C45">
            <v>7456879082</v>
          </cell>
          <cell r="D45" t="str">
            <v>C-173, 2nd Floor,South City 2</v>
          </cell>
          <cell r="E45" t="str">
            <v>Nirvana Country</v>
          </cell>
          <cell r="F45" t="str">
            <v>Sunday</v>
          </cell>
          <cell r="G45" t="str">
            <v>9 AM - 12 PM</v>
          </cell>
          <cell r="H45">
            <v>1450</v>
          </cell>
          <cell r="I45">
            <v>362.5</v>
          </cell>
          <cell r="J45" t="str">
            <v>Bliss</v>
          </cell>
          <cell r="K45" t="str">
            <v>Today Returned (18/08) Gpay from Preity Dadwal (20/10) Hold after current cuycle (22/12) Today Returned (29/12) Today returned (17/08) Today returned (16/11) Do not count 25th Jan Del (01/03) Pne more payment received today (2/03) Sent one del today -skip tom (07/03) Today Returned (21/06)</v>
          </cell>
          <cell r="N45" t="str">
            <v>4  del of this cycle   -  0-cycles pmnt   Completed - Collect 0</v>
          </cell>
          <cell r="O45" t="str">
            <v>Sunflower ( 12 Inch ) 4     FF Sachet + Grass</v>
          </cell>
          <cell r="P45" t="str">
            <v>Rajni ( 14 Inch ) 16     Grass</v>
          </cell>
          <cell r="Q45" t="str">
            <v>O Asiatic ( 14 Inch ) 3     Grass</v>
          </cell>
          <cell r="R45" t="str">
            <v>Mix Glad ( 14 inch ) 16     Grass</v>
          </cell>
          <cell r="S45" t="str">
            <v>R n W Car ( 14 Inch ) 16     FF Sachet + Grass</v>
          </cell>
          <cell r="T45" t="str">
            <v>P n Y Spray Daisy ( 14 Inch ) 5     FF Sachet + Grass</v>
          </cell>
        </row>
        <row r="46">
          <cell r="A46">
            <v>2481</v>
          </cell>
          <cell r="B46" t="str">
            <v>Puneet Mahajan</v>
          </cell>
          <cell r="C46">
            <v>9810110847</v>
          </cell>
          <cell r="D46" t="str">
            <v>D-19, 4th Floor, Siuth City -2, Opp Arcadia Mall</v>
          </cell>
          <cell r="E46" t="str">
            <v>Nirvana Country</v>
          </cell>
          <cell r="F46" t="str">
            <v>Sunday</v>
          </cell>
          <cell r="G46" t="str">
            <v>9 AM - 12 PM</v>
          </cell>
          <cell r="H46">
            <v>2300</v>
          </cell>
          <cell r="I46">
            <v>287.5</v>
          </cell>
          <cell r="J46" t="str">
            <v>Felicity</v>
          </cell>
          <cell r="K46" t="str">
            <v>Send Sponge// Day Changed to Sunday (16/04) Paytm From Sri Sai makers (20/04) Change to felicity (17/05) HDTNP (23/07)</v>
          </cell>
          <cell r="N46" t="str">
            <v>6  del of this cycle   -  0-cycles pmnt   Completed - Collect 0</v>
          </cell>
          <cell r="O46" t="str">
            <v>P n W Glad ( 14 Inch ) 11     Grass</v>
          </cell>
          <cell r="P46" t="str">
            <v>P n W Car ( 14 Inch ) 11     FF Sachet + Grass</v>
          </cell>
          <cell r="Q46" t="str">
            <v>Mix Alstroemeria ( 12 Inch ) 11     FF Sachet + Grass</v>
          </cell>
          <cell r="R46" t="str">
            <v>Y Spray Daisy ( 14 Inch ) 3   Collect Payment Collect Payment FF Sachet + Grass</v>
          </cell>
          <cell r="S46" t="str">
            <v>O Glad ( 14 Inch ) 11     Grass</v>
          </cell>
          <cell r="T46" t="str">
            <v>Rajni ( 14 Inch ) 11     Grass</v>
          </cell>
        </row>
        <row r="47">
          <cell r="A47">
            <v>234</v>
          </cell>
          <cell r="B47" t="str">
            <v>jaya Chakrabarti-- Before 10 AM</v>
          </cell>
          <cell r="C47">
            <v>9810390185</v>
          </cell>
          <cell r="D47" t="str">
            <v>A 56, FF, south City 2, sonha road, gurgaon</v>
          </cell>
          <cell r="E47" t="str">
            <v>Nirvana Country</v>
          </cell>
          <cell r="F47" t="str">
            <v>Sunday</v>
          </cell>
          <cell r="G47" t="str">
            <v>9 AM - 12 PM</v>
          </cell>
          <cell r="H47">
            <v>1450</v>
          </cell>
          <cell r="I47">
            <v>362.5</v>
          </cell>
          <cell r="J47" t="str">
            <v>Bliss</v>
          </cell>
          <cell r="K47" t="str">
            <v>Friday n MOnday(31/03) NO BOP N HELICONIA// and send rajni next(28/03) Upgrade to 1450 and NO HELICONIA (02/03) Shift to bliss (27/04) Rajni Next (29/06) Shift to Sunday now (30/06) Today returned(20/09) Today Returned (10/12) Today returned (11/04) Received one payment today (12/11) HDTNP (01/03) HDTNP (08/03) HDTNP (14/03)</v>
          </cell>
          <cell r="L47" t="str">
            <v>BOP n HELICONIA</v>
          </cell>
          <cell r="N47" t="str">
            <v>2  del of this cycle   -  0-cycles pmnt   Completed - Collect 0</v>
          </cell>
          <cell r="O47" t="str">
            <v>P Asiatic ( 14 Inch ) 3     Grass</v>
          </cell>
          <cell r="P47" t="str">
            <v>Rajni ( 14 Inch ) 16     Grass</v>
          </cell>
          <cell r="Q47" t="str">
            <v>Sunflower ( 12 Inch ) 4     FF Sachet + Grass</v>
          </cell>
          <cell r="R47" t="str">
            <v>Mix Glad ( 14 inch ) 16     Grass</v>
          </cell>
          <cell r="S47" t="str">
            <v>P n Y Spray Daisy ( 14 Inch ) 5     FF Sachet + Grass</v>
          </cell>
          <cell r="T47" t="str">
            <v>R n W Car ( 14 Inch ) 16     FF Sachet + Grass</v>
          </cell>
        </row>
        <row r="48">
          <cell r="A48">
            <v>3401</v>
          </cell>
          <cell r="B48" t="str">
            <v>Asheesh Handa</v>
          </cell>
          <cell r="C48">
            <v>7042482828</v>
          </cell>
          <cell r="D48" t="str">
            <v>H. No. 28, Ground Floor, M2k Whitehouse, Sector 57</v>
          </cell>
          <cell r="E48" t="str">
            <v>Artemis</v>
          </cell>
          <cell r="F48" t="str">
            <v>Sunday</v>
          </cell>
          <cell r="G48" t="str">
            <v>9 AM to 2 PM</v>
          </cell>
          <cell r="H48">
            <v>1450</v>
          </cell>
          <cell r="I48">
            <v>362.5</v>
          </cell>
          <cell r="J48" t="str">
            <v>Bliss</v>
          </cell>
          <cell r="N48" t="str">
            <v>1  del of this cycle   -  0-cycles pmnt   Completed - Collect 0</v>
          </cell>
          <cell r="O48" t="e">
            <v>#N/A</v>
          </cell>
          <cell r="P48" t="str">
            <v>Pur n P Car ( 14 Inch ) 16     FF Sachet + Grass</v>
          </cell>
          <cell r="Q48" t="str">
            <v>Sunflower ( 12 Inch ) 4     FF Sachet + Grass</v>
          </cell>
          <cell r="R48" t="str">
            <v>Mix Glad ( 14 inch ) 16     Grass</v>
          </cell>
          <cell r="S48" t="str">
            <v>O Asiatic ( 14 Inch ) 3     Grass</v>
          </cell>
          <cell r="T48" t="str">
            <v>O n G Spray Daisy ( 14 Inch ) 5     FF Sachet + Grass</v>
          </cell>
        </row>
        <row r="49">
          <cell r="A49">
            <v>3284</v>
          </cell>
          <cell r="B49" t="str">
            <v>Megha Sharma</v>
          </cell>
          <cell r="C49" t="str">
            <v>9643166797 // 7351797203</v>
          </cell>
          <cell r="D49" t="str">
            <v>338, Espace, 2nd Floor</v>
          </cell>
          <cell r="E49" t="str">
            <v>Nirvana Country</v>
          </cell>
          <cell r="F49" t="str">
            <v>Sunday</v>
          </cell>
          <cell r="G49" t="str">
            <v>4 PM to 7 PM</v>
          </cell>
          <cell r="H49">
            <v>1950</v>
          </cell>
          <cell r="I49">
            <v>487.5</v>
          </cell>
          <cell r="J49" t="str">
            <v>Joy</v>
          </cell>
          <cell r="K49" t="str">
            <v>Paytm From Megha Sharma</v>
          </cell>
          <cell r="N49" t="str">
            <v>2  del of this cycle   -  0-cycles pmnt   Completed - Collect 0</v>
          </cell>
          <cell r="O49" t="str">
            <v>Pur n P Car ( 14 Inch 22     FF Sachet + Grass</v>
          </cell>
          <cell r="P49" t="str">
            <v>Rajni ( 14 Inch ) 22     Grass</v>
          </cell>
          <cell r="Q49" t="str">
            <v>P Asiatic ( 14 Inch ) 4     Grass</v>
          </cell>
          <cell r="R49" t="str">
            <v>Mix Spray Daisy 7     FF Sachet + Grass</v>
          </cell>
          <cell r="S49" t="str">
            <v>Shd Pur n Y  Car 14     FF Sachet + Grass</v>
          </cell>
          <cell r="T49" t="str">
            <v>Mix Glad ( 14 Inch ) 22     Grass</v>
          </cell>
        </row>
        <row r="50">
          <cell r="A50" t="str">
            <v>G-00067</v>
          </cell>
          <cell r="B50" t="str">
            <v>Mrs. Neeti</v>
          </cell>
          <cell r="C50">
            <v>8588870498</v>
          </cell>
          <cell r="D50" t="str">
            <v>F-002, Park View City 1</v>
          </cell>
          <cell r="E50" t="str">
            <v>Sohna Road 2</v>
          </cell>
          <cell r="F50" t="str">
            <v>Sunday</v>
          </cell>
          <cell r="G50" t="str">
            <v>9 AM to 2 PM</v>
          </cell>
          <cell r="H50">
            <v>1450</v>
          </cell>
          <cell r="I50">
            <v>362.5</v>
          </cell>
          <cell r="J50" t="str">
            <v>Bliss</v>
          </cell>
          <cell r="K50" t="str">
            <v>From Anuradha Kalani</v>
          </cell>
          <cell r="N50" t="str">
            <v>1  del of this cycle   -  0-cycles pmnt   Completed - Collect 0</v>
          </cell>
          <cell r="S50" t="e">
            <v>#N/A</v>
          </cell>
          <cell r="T50" t="str">
            <v xml:space="preserve">R n W Car ( 14 Inch ) 16     </v>
          </cell>
        </row>
        <row r="51">
          <cell r="A51">
            <v>2779</v>
          </cell>
          <cell r="B51" t="str">
            <v>Riddhi Desai</v>
          </cell>
          <cell r="C51">
            <v>8130497969</v>
          </cell>
          <cell r="D51" t="str">
            <v>D-71, The Icon</v>
          </cell>
          <cell r="E51" t="str">
            <v>Golf Course Road</v>
          </cell>
          <cell r="F51" t="str">
            <v>Sunday</v>
          </cell>
          <cell r="G51" t="str">
            <v>9 AM to 2 PM</v>
          </cell>
          <cell r="H51">
            <v>1600</v>
          </cell>
          <cell r="I51">
            <v>200</v>
          </cell>
          <cell r="J51" t="str">
            <v>Bloom</v>
          </cell>
          <cell r="K51" t="str">
            <v>Send this week on Saturday (14/08) Skip 1 week (21/12) Hold till 2nd June (20/05)</v>
          </cell>
          <cell r="N51" t="str">
            <v>7  del of this cycle   -  0-cycles pmnt   Completed - Collect 0</v>
          </cell>
          <cell r="O51" t="str">
            <v>Pur n P Car ( 14 Inch 7     FF Sachet + Grass</v>
          </cell>
          <cell r="P51" t="str">
            <v>Mix Alstroemeria 7     Grass</v>
          </cell>
          <cell r="Q51" t="str">
            <v>Y Spray Daisy ( 14 Inch ) 2     FF Sachet + Grass</v>
          </cell>
          <cell r="R51" t="str">
            <v>Sunflower ( 12 Inch )  2     FF Sachet + Grass</v>
          </cell>
          <cell r="S51" t="str">
            <v>R n W Car ( 14 Inch ) 7     FF Sachet + Grass</v>
          </cell>
          <cell r="T51" t="str">
            <v>P Spray Daisy ( 14 Inch ) 2     FF Sachet + Grass</v>
          </cell>
        </row>
        <row r="52">
          <cell r="A52">
            <v>3274</v>
          </cell>
          <cell r="B52" t="str">
            <v>Meera Singh</v>
          </cell>
          <cell r="C52">
            <v>9810401220</v>
          </cell>
          <cell r="D52" t="str">
            <v>138, Tatvam Villas, Sec 48</v>
          </cell>
          <cell r="E52" t="str">
            <v>Sohna Road 2</v>
          </cell>
          <cell r="F52" t="str">
            <v>Sunday</v>
          </cell>
          <cell r="G52" t="str">
            <v>9 AM - 12 PM</v>
          </cell>
          <cell r="H52">
            <v>1950</v>
          </cell>
          <cell r="I52">
            <v>487.5</v>
          </cell>
          <cell r="J52" t="str">
            <v>Joy</v>
          </cell>
          <cell r="K52" t="str">
            <v>No Lilies and Sunflower (20/02) Skip 1 week (28/03) Paytm From Singh M (06/04) No Sunflower n Asiatic (02/05)</v>
          </cell>
          <cell r="L52" t="str">
            <v>Asiatic n Sunflowers</v>
          </cell>
          <cell r="M52" t="str">
            <v>Single Kind</v>
          </cell>
          <cell r="N52" t="str">
            <v>2  del of this cycle   -  1-cycles pmnt   Pending - Collect 1950</v>
          </cell>
          <cell r="O52" t="str">
            <v>Pur n P Eustoma ( 12 Inch ) 4     FF Sachet + Grass</v>
          </cell>
          <cell r="P52" t="str">
            <v>Rajni ( 14 Inch ) 22     Grass</v>
          </cell>
          <cell r="Q52" t="str">
            <v>P n Y Spray Daisy ( 14 Inch ) 7     FF Sachet + Grass</v>
          </cell>
          <cell r="R52" t="str">
            <v>Mix Glad ( 14 inch ) 22     Grass</v>
          </cell>
          <cell r="S52" t="str">
            <v>R n W Car ( 14 Inch ) 22     FF Sachet + Grass</v>
          </cell>
          <cell r="T52" t="str">
            <v>P Asiatic ( 14 Inch ) 4     Grass</v>
          </cell>
        </row>
        <row r="53">
          <cell r="A53">
            <v>2748</v>
          </cell>
          <cell r="B53" t="str">
            <v>Rishabh Suri</v>
          </cell>
          <cell r="C53">
            <v>9871320514</v>
          </cell>
          <cell r="D53" t="str">
            <v>H. No. 962, Block C, Sushant Lok, Near Ambience Public School</v>
          </cell>
          <cell r="E53" t="str">
            <v>DLF Phase 5</v>
          </cell>
          <cell r="F53" t="str">
            <v>Sunday</v>
          </cell>
          <cell r="G53" t="str">
            <v>9 AM - 12 PM</v>
          </cell>
          <cell r="H53">
            <v>1450</v>
          </cell>
          <cell r="I53">
            <v>362.5</v>
          </cell>
          <cell r="J53" t="str">
            <v>Bliss</v>
          </cell>
          <cell r="K53" t="str">
            <v>Hold n start from Sep (06/08) Paytm from Rajeev Suri (22/11) Paytm from Anu Suri (21/12)</v>
          </cell>
          <cell r="N53" t="str">
            <v>1  del of this cycle   -  1-cycles pmnt   Pending - Collect 1450</v>
          </cell>
          <cell r="O53" t="str">
            <v>Sunflower ( 12 Inch ) 4     FF Sachet + Grass</v>
          </cell>
          <cell r="P53" t="str">
            <v>Rajni ( 14 Inch ) 16     Grass</v>
          </cell>
          <cell r="Q53" t="str">
            <v>G n W Car ( 14 Inch ) 16     FF Sachet + Grass</v>
          </cell>
          <cell r="R53" t="str">
            <v>P n Y Spray Daisy ( 14 Inch ) 5     FF Sachet + Grass</v>
          </cell>
          <cell r="S53" t="str">
            <v>W Asiatic ( 14 Inch ) 3     Grass</v>
          </cell>
          <cell r="T53" t="str">
            <v>O Alstroemeria ( 12 Inch ) 16     FF Sachet + Grass</v>
          </cell>
        </row>
        <row r="54">
          <cell r="A54">
            <v>1517</v>
          </cell>
          <cell r="B54" t="str">
            <v>Megha Bhardwaj</v>
          </cell>
          <cell r="C54">
            <v>9818525564</v>
          </cell>
          <cell r="D54" t="str">
            <v>B-65, 1st floor, Sushant Lok-3,HDFC School, Sec 57</v>
          </cell>
          <cell r="E54" t="str">
            <v>Artemis</v>
          </cell>
          <cell r="F54" t="str">
            <v>Sunday</v>
          </cell>
          <cell r="G54" t="str">
            <v>9 AM - 12 PM</v>
          </cell>
          <cell r="H54">
            <v>1950</v>
          </cell>
          <cell r="I54">
            <v>487.5</v>
          </cell>
          <cell r="J54" t="str">
            <v>Joy</v>
          </cell>
          <cell r="K54" t="str">
            <v>Guldawari 1st(18/09) BOP Tom(02/10) Spray daisy next(16/10) Skip 1 week(06/11) Y or Orange Rose Tom(27/11) Orchids Next(28/01) Orchids not sent-send next(30/01) Skip 1 week(17/03) Skip 1 week (09/04) Send on Saturday this week instead of Sunday -- AND DONT SEND ON 28TH(25/08) Skip 1 week (21/01) Send 1 del tom (31/03) Skip 1 week (29/06) Send friday this week on Friday evening Dont send on 15th (11/10) Skip 1 week (27/12) Skip 1 week (09/02) Hols as of now (11/04) Sent replacxement today (13/12) Skip 1 week (18/01) Hold this week (08/03) Skip 1 week(12/04) Skip 1 week (25/06) Skip tom (04/10) Send on saturday instead of sunday this week (08/10) Skip 1 week (15/11) No Orchid (18/01) Skip 1 week )28/02) Skip tom (28/03) Skip 1 week (18/04) Skip 1 week (01/06)</v>
          </cell>
          <cell r="L54" t="str">
            <v>Orchid</v>
          </cell>
          <cell r="N54" t="str">
            <v>3  del of this cycle   -  1-cycles pmnt   Pending - Collect 1950</v>
          </cell>
          <cell r="O54" t="str">
            <v>Pur n P Eustoma ( 12 Inch ) 4     FF Sachet + Grass</v>
          </cell>
          <cell r="P54" t="str">
            <v>O Asiatic ( 14 Inch ) 4     Grass</v>
          </cell>
          <cell r="Q54" t="str">
            <v>P n Y Spray Daisy ( 14 Inch ) 7     FF Sachet + Grass</v>
          </cell>
          <cell r="R54" t="str">
            <v>Mix Glad ( 14 inch ) 22     Grass</v>
          </cell>
          <cell r="S54" t="str">
            <v>R n W Car ( 14 Inch ) 22     FF Sachet + Grass</v>
          </cell>
          <cell r="T54" t="str">
            <v>Sunflower ( 12 Inch ) 4     FF Sachet + Grass</v>
          </cell>
        </row>
        <row r="55">
          <cell r="A55">
            <v>2494</v>
          </cell>
          <cell r="B55" t="str">
            <v>Mili Sodhi -- Before 12 PM -- 1450 Pack</v>
          </cell>
          <cell r="C55">
            <v>9312059597</v>
          </cell>
          <cell r="D55" t="str">
            <v>E-801, Bestech Park View Spa Next, Sec 67</v>
          </cell>
          <cell r="E55" t="str">
            <v>Badshahpur</v>
          </cell>
          <cell r="F55" t="str">
            <v>Sunday</v>
          </cell>
          <cell r="G55" t="str">
            <v>9 AM to 2 PM</v>
          </cell>
          <cell r="H55">
            <v>1450</v>
          </cell>
          <cell r="I55">
            <v>362.5</v>
          </cell>
          <cell r="J55" t="str">
            <v>Bliss</v>
          </cell>
          <cell r="K55" t="str">
            <v>Skip 13th n send on 14th (07/04) Today hold as flower arrangement sent (04/0%) Flower Food Next 25/05) No Del between 8th to 15th June (31/05) Today hold (13/07) Sent one del today (18/07) Skip next week (10/08) Returned -send next week (31/08) Skip 1 week (20/09) Hold between 18th to 29th Oct (13/10) Skip 1 week (08/11) Hold till 21st Dec (02/12) Skip 1 wek (22/01) Skip tom (28/02) Skip 1 week (21/03) Skip 2 week after tom (13/06)</v>
          </cell>
          <cell r="M55" t="str">
            <v>Before 12 PM (16/11)</v>
          </cell>
          <cell r="N55" t="str">
            <v>1  del of this cycle   -  1-cycles pmnt   Pending - Collect 1450</v>
          </cell>
          <cell r="O55" t="e">
            <v>#N/A</v>
          </cell>
          <cell r="P55" t="str">
            <v>Pur n P Car ( 14 Inch ) 16     FF Sachet + Grass</v>
          </cell>
          <cell r="Q55" t="str">
            <v>O Asiatic ( 14 Inch ) 3     Grass</v>
          </cell>
          <cell r="R55" t="str">
            <v>Mix Glad ( 14 inch ) 16     Grass</v>
          </cell>
          <cell r="S55" t="str">
            <v>P n Y Spray Daisy ( 14 Inch ) 5     FF Sachet + Grass</v>
          </cell>
          <cell r="T55" t="str">
            <v>Mix Alstroemeria ( 12 Inch ) 16     FF Sachet + Grass</v>
          </cell>
        </row>
        <row r="56">
          <cell r="A56">
            <v>3359</v>
          </cell>
          <cell r="B56" t="str">
            <v>Payal Soni</v>
          </cell>
          <cell r="C56">
            <v>7508901884</v>
          </cell>
          <cell r="D56" t="str">
            <v>T-9/1403, Pyramid Sec 67 A, Badshahpur Road, Near Iskcon</v>
          </cell>
          <cell r="E56" t="str">
            <v>Badshahpur</v>
          </cell>
          <cell r="F56" t="str">
            <v>Sunday</v>
          </cell>
          <cell r="G56" t="str">
            <v>9 AM - 12 PM</v>
          </cell>
          <cell r="H56">
            <v>1450</v>
          </cell>
          <cell r="I56">
            <v>362.5</v>
          </cell>
          <cell r="J56" t="str">
            <v>Bliss</v>
          </cell>
          <cell r="K56" t="str">
            <v>No Glad and day changed to Sunday (04/06) No alstroemeria (12/07)</v>
          </cell>
          <cell r="L56" t="str">
            <v>Glad n Alstroemeria (12/07)</v>
          </cell>
          <cell r="N56" t="str">
            <v>1  del of this cycle   -  1-cycles pmnt   Pending - Collect 1450</v>
          </cell>
          <cell r="O56" t="str">
            <v>Sunflower ( 12 Inch ) 4     FF Sachet + Grass</v>
          </cell>
          <cell r="P56" t="str">
            <v>Rajni ( 14 Inch ) 16     Grass</v>
          </cell>
          <cell r="Q56" t="str">
            <v>B Orchid  5     Grass</v>
          </cell>
          <cell r="R56" t="str">
            <v>P n W Spray Daisy ( 14 Inch ) 5     FF Sachet + Grass</v>
          </cell>
          <cell r="S56" t="str">
            <v>W Asiatic ( 14 Inch ) 3     Grass</v>
          </cell>
          <cell r="T56" t="str">
            <v>R n W Car ( 14 Inch ) 16     FF Sachet + Grass</v>
          </cell>
        </row>
        <row r="57">
          <cell r="A57">
            <v>2550</v>
          </cell>
          <cell r="B57" t="str">
            <v>Pooja Singh</v>
          </cell>
          <cell r="C57">
            <v>9810123062</v>
          </cell>
          <cell r="D57" t="str">
            <v>B-289, 3rd Floor, Anantraj Estates, Sec 63 A</v>
          </cell>
          <cell r="E57" t="str">
            <v>Ghata</v>
          </cell>
          <cell r="F57" t="str">
            <v>Sunday</v>
          </cell>
          <cell r="G57" t="str">
            <v>9 AM - 12 PM</v>
          </cell>
          <cell r="H57">
            <v>1450</v>
          </cell>
          <cell r="I57">
            <v>362.5</v>
          </cell>
          <cell r="J57" t="str">
            <v>Bliss</v>
          </cell>
          <cell r="K57" t="str">
            <v>Hold today n sned on Tuesday (18/05) Skip this week and send on Monday(01/01/26) Return today (18/01) Skip this Sunday and sned on Tuesday this week (27/06) Send on Tuesday this week(11/07)</v>
          </cell>
          <cell r="N57" t="str">
            <v>4  del of this cycle   -  0-cycles pmnt   Completed - Collect 0</v>
          </cell>
          <cell r="O57" t="e">
            <v>#N/A</v>
          </cell>
          <cell r="P57" t="str">
            <v>Sunflower ( 12 Inch ) 2 P n W Glad ( 14 Inch ) 7   FF Sachet + Grass</v>
          </cell>
          <cell r="Q57" t="e">
            <v>#N/A</v>
          </cell>
          <cell r="R57" t="str">
            <v>O Asiatic ( 14 Inch ) 2 Mix Car 7   Grass</v>
          </cell>
          <cell r="S57" t="str">
            <v>Sunflower ( 12 Inch ) 2 O Glad 7   FF Sachet + Grass</v>
          </cell>
          <cell r="T57" t="str">
            <v>W Asiatic ( 14 Inch ) 2 Mix Alstroemeria ( 12 Inch ) 7   FF Sachet + Grass</v>
          </cell>
        </row>
        <row r="58">
          <cell r="A58">
            <v>2462</v>
          </cell>
          <cell r="B58" t="str">
            <v xml:space="preserve">Rubeey Matharu </v>
          </cell>
          <cell r="C58">
            <v>9811601176</v>
          </cell>
          <cell r="D58" t="str">
            <v>Sirera 1, T-6/306, M3M Marina</v>
          </cell>
          <cell r="E58" t="str">
            <v>Badshahpur</v>
          </cell>
          <cell r="F58" t="str">
            <v>Sunday</v>
          </cell>
          <cell r="G58" t="str">
            <v>9 AM - 12 PM</v>
          </cell>
          <cell r="H58">
            <v>1450</v>
          </cell>
          <cell r="I58">
            <v>362.5</v>
          </cell>
          <cell r="J58" t="str">
            <v>Bliss</v>
          </cell>
          <cell r="K58" t="str">
            <v>Skip 1 week and inform before starting (08/04) Hold n start from Aug (15/05) Paytm From Amanpreet Kaur Matharu // Paytm from Gurjeet Matharu // Send 1 Asuatic Tom (12/07)</v>
          </cell>
          <cell r="M58" t="str">
            <v>Rajni Tom (01/11)</v>
          </cell>
          <cell r="N58" t="str">
            <v>1  del of this cycle   -  0-cycles pmnt   Completed - Collect 0</v>
          </cell>
          <cell r="O58" t="str">
            <v>P n W Glad ( 14 Inch ) 9     Grass</v>
          </cell>
          <cell r="P58" t="str">
            <v>Sunflower ( 12 Inch ) 4     FF Sachet + Grass</v>
          </cell>
          <cell r="Q58" t="str">
            <v>P Asiatic ( 14 Inch ) 3     Grass</v>
          </cell>
          <cell r="R58" t="str">
            <v>Alstromia 16     FF Sachet + Grass</v>
          </cell>
          <cell r="S58" t="str">
            <v>R n W Car ( 14 Inch ) 16     FF Sachet + Grass</v>
          </cell>
          <cell r="T58" t="str">
            <v>P n Y Spray Daisy ( 14 Inch ) 5     FF Sachet + Grass</v>
          </cell>
        </row>
        <row r="59">
          <cell r="A59" t="str">
            <v>G-00056</v>
          </cell>
          <cell r="B59" t="str">
            <v>Triveni Wahi</v>
          </cell>
          <cell r="C59">
            <v>7503975035</v>
          </cell>
          <cell r="D59" t="str">
            <v>B-14/12 C, Dlf The Grove</v>
          </cell>
          <cell r="E59" t="str">
            <v>DLF Phase 5</v>
          </cell>
          <cell r="F59" t="str">
            <v>Sunday</v>
          </cell>
          <cell r="G59" t="str">
            <v>9 AM - 12 PM</v>
          </cell>
          <cell r="H59">
            <v>1450</v>
          </cell>
          <cell r="I59">
            <v>362.5</v>
          </cell>
          <cell r="J59" t="str">
            <v>Bliss</v>
          </cell>
          <cell r="K59" t="str">
            <v>From Madhulika Geeta Chopra // 2sesonal Extra next (05/05) Today Returned -send next week (24/05) Today returned - hold (14/06)</v>
          </cell>
          <cell r="M59" t="str">
            <v>2 sesonal Extra next (05/05)</v>
          </cell>
          <cell r="N59" t="str">
            <v>1  del of this cycle   -  0-cycles pmnt   Completed - Collect 0</v>
          </cell>
          <cell r="O59" t="str">
            <v>Sunflower ( 12 Inch ) 4     FF Sachet + Grass</v>
          </cell>
          <cell r="P59" t="str">
            <v>Pur n P Car ( 14 Inch ) 16     FF Sachet + Grass</v>
          </cell>
          <cell r="Q59" t="str">
            <v>O Asiatic ( 14 Inch ) 3     Grass</v>
          </cell>
          <cell r="R59" t="str">
            <v>Mix Glad ( 14 inch ) 16     Grass</v>
          </cell>
          <cell r="S59" t="str">
            <v>Mix Spray Daisy 5     FF Sachet + Grass</v>
          </cell>
          <cell r="T59" t="str">
            <v>P Eustoma ( 12 Inch )  3     FF Sachet + Grass</v>
          </cell>
        </row>
        <row r="60">
          <cell r="A60">
            <v>1467</v>
          </cell>
          <cell r="B60" t="str">
            <v>Priyanka Chaturvedi</v>
          </cell>
          <cell r="C60">
            <v>7838930274</v>
          </cell>
          <cell r="D60" t="str">
            <v xml:space="preserve">Flat No. A-303, The Peaceful Homes, Sec 70-A
</v>
          </cell>
          <cell r="E60" t="str">
            <v>Badshahpur</v>
          </cell>
          <cell r="F60" t="str">
            <v>Friday</v>
          </cell>
          <cell r="G60" t="str">
            <v>9 AM - 12 PM</v>
          </cell>
          <cell r="H60">
            <v>1600</v>
          </cell>
          <cell r="I60">
            <v>200</v>
          </cell>
          <cell r="J60" t="str">
            <v>Bloom</v>
          </cell>
          <cell r="K60" t="str">
            <v>Friday and Sunday//Saturday evening slot and Sunday morning Slot(06/08) Send 100 Gm Mogra also(03/09) Received cash of 100 today(04/09) Skip coming week(20/09) Skip 1 week(15/10) Skip tom n send on comong fridayu this week(29/01) W Car next(26/02)  Holy Change(16/03) Return today(15/04) Hold n start from July (01/05) Skip 13th Delivery (10/01) NO ROSE (29/01) Sent replacement today (05/02) Send bothe deliveries together on sunday (12/05) Skip 1 week (25/05) Send both deliveries on Sunday only (01/06) Double Delivery only on Sunday (10/06) Paytm From Gaurav Chaturvedi (26/03) Hold til next saturday (20/06) Skip this sunday (11/10) No Spray Daisy (22/11) Today REturned (12/01) Skip 2nd week (03/04) No Del between 7th to 14th (05/04) Skip this sunday (18/06) Skip tom (04/10) Skip 1 week (10/12) Today Returned (04/01)</v>
          </cell>
          <cell r="L60" t="str">
            <v>ROSE n SPRAY DAISY</v>
          </cell>
          <cell r="N60" t="str">
            <v>5  del of this cycle   -  0-cycles pmnt   Completed - Collect 0</v>
          </cell>
          <cell r="O60" t="str">
            <v>Sunflower ( 12 Inch ) 2     FF Sachet + Grass</v>
          </cell>
          <cell r="P60" t="str">
            <v>B Daisy ( 12 Inch ) 7     Grass</v>
          </cell>
          <cell r="Q60" t="str">
            <v>G n W Car ( 14 Inch ) 7     FF Sachet + Grass</v>
          </cell>
          <cell r="R60" t="str">
            <v>Sunflower ( 12 Inch )  2     FF Sachet + Grass</v>
          </cell>
          <cell r="S60" t="str">
            <v>O Glad ( 14 Inch ) 7     Grass</v>
          </cell>
          <cell r="T60" t="str">
            <v>Mix Alstroemeria ( 12 Inch ) 7     FF Sachet + Grass</v>
          </cell>
        </row>
        <row r="61">
          <cell r="A61">
            <v>2707</v>
          </cell>
          <cell r="B61" t="str">
            <v>Mrigal Vora Puri</v>
          </cell>
          <cell r="C61">
            <v>9903474654</v>
          </cell>
          <cell r="D61" t="str">
            <v>T-6A/1103, Valley View Estate</v>
          </cell>
          <cell r="E61" t="str">
            <v>Ghata</v>
          </cell>
          <cell r="F61" t="str">
            <v>Sunday</v>
          </cell>
          <cell r="G61" t="str">
            <v>9 AM - 12 PM</v>
          </cell>
          <cell r="H61">
            <v>1450</v>
          </cell>
          <cell r="I61">
            <v>362.5</v>
          </cell>
          <cell r="J61" t="str">
            <v>Bliss</v>
          </cell>
          <cell r="K61" t="str">
            <v>Glad Next (20/06) Hold today (05/1) Hold due to non payment (01/02) Hold due to non payment (08/02) HDTNP (15/02) Skip 1 week (04/04) HDTNP (03/05) HDTNP (10/05) Paytm From Akhil Puri (07/06)</v>
          </cell>
          <cell r="M61" t="str">
            <v>Glad Next (20/06)</v>
          </cell>
          <cell r="N61" t="str">
            <v>1  del of this cycle   -  1-cycles pmnt   Pending - Collect 1450</v>
          </cell>
          <cell r="O61" t="str">
            <v>P Spray Daisy ( 14 Inch ) 3 Rajni ( 14 Inch ) 7   FF Sachet + Grass</v>
          </cell>
          <cell r="P61" t="str">
            <v>Sunflower ( 12 Inch ) 2 B Daisy ( 12 Inch ) 7   FF Sachet + Grass</v>
          </cell>
          <cell r="Q61" t="str">
            <v>O Asiatic ( 14 Inch ) 2 P n W Glad ( 14 Inch ) 7   Grass</v>
          </cell>
          <cell r="R61" t="str">
            <v>Y Spray Daisy ( 14 Inch ) 3 G n W Car ( 14 Inch ) 7   FF Sachet + Grass</v>
          </cell>
          <cell r="S61" t="str">
            <v>P Eustoma ( 12 Inch ) 2 Rajni 7   FF Sachet + Grass</v>
          </cell>
          <cell r="T61" t="str">
            <v>Sunflower ( 12 Inch ) 2 Mix Alstroemeria ( 12 Inch ) 7   FF Sachet + Grass</v>
          </cell>
        </row>
        <row r="62">
          <cell r="A62">
            <v>3416</v>
          </cell>
          <cell r="B62" t="str">
            <v>Rashmi Jhawar</v>
          </cell>
          <cell r="C62">
            <v>7042544266</v>
          </cell>
          <cell r="D62" t="str">
            <v>Sovereign 4 , 301 vatika city. Sector 49. Gurgaon -122018</v>
          </cell>
          <cell r="E62" t="str">
            <v>Sohna Road 1</v>
          </cell>
          <cell r="F62" t="str">
            <v>Monday</v>
          </cell>
          <cell r="G62" t="str">
            <v>9 AM - 12 PM</v>
          </cell>
          <cell r="H62">
            <v>1710</v>
          </cell>
          <cell r="I62">
            <v>427.5</v>
          </cell>
          <cell r="J62" t="str">
            <v>Customized</v>
          </cell>
          <cell r="K62" t="str">
            <v>With 1 Pink Gypsola every week (25/07)</v>
          </cell>
          <cell r="N62" t="str">
            <v>2  del of this cycle   -  0-cycles pmnt   Completed - Collect 0</v>
          </cell>
          <cell r="O62" t="e">
            <v>#N/A</v>
          </cell>
          <cell r="P62" t="e">
            <v>#N/A</v>
          </cell>
          <cell r="Q62" t="e">
            <v>#N/A</v>
          </cell>
          <cell r="R62" t="e">
            <v>#N/A</v>
          </cell>
          <cell r="S62" t="str">
            <v>R n W Car ( 14 Inch ) 16     1 Big Pink Gypsola</v>
          </cell>
          <cell r="T62" t="str">
            <v xml:space="preserve">O  Asiatic ( 14 Inch ) 3     </v>
          </cell>
        </row>
        <row r="63">
          <cell r="A63">
            <v>1570</v>
          </cell>
          <cell r="B63" t="str">
            <v>Nisha Syriac</v>
          </cell>
          <cell r="C63">
            <v>9711811545</v>
          </cell>
          <cell r="D63" t="str">
            <v>G202, DLF Park Place Heights, Golf Course Road</v>
          </cell>
          <cell r="E63" t="str">
            <v>Golf Course Road</v>
          </cell>
          <cell r="F63" t="str">
            <v>Sunday</v>
          </cell>
          <cell r="G63" t="str">
            <v>9:30 Am to 2 PM</v>
          </cell>
          <cell r="H63">
            <v>1450</v>
          </cell>
          <cell r="I63">
            <v>362.5</v>
          </cell>
          <cell r="J63" t="str">
            <v>Bliss</v>
          </cell>
          <cell r="K63" t="str">
            <v>Paytm from Jacob Kuriakose(04/01) For remaining 3 Deliveries-- Guldawari//spray daisy// Orchids or Lily(06/01) Hold n start from 7th Feb(30/01) This cycle-- Car//Orchid//Lily//Spray Daisy(06/02) Skip this week and send on Tuesday(20/02) Skip 1 wek (11/03) Less Flowers sent in 2 del -- pls send 1 More Del on 1st Apr (25/03) No Rse n Gerbera (20/11) Skip 1 week (10/01) Skip 1 week 911/03) Skip 1 week (26/04) Skip 1 week (16/05) Hold till 7th Sep (13/08) Skip 1 week (19/09) Skip 1 week (03/01) No Rajni and Orchid only (21/02) Skip 1 week (27/03) Last del missed (07/04) Change day to Thursday (11/04) Return n skip next week also (07/05) Now on sunday Morning (21/05) Skip 1 week (27/06)</v>
          </cell>
          <cell r="L63" t="str">
            <v>Rajni n Orchid</v>
          </cell>
          <cell r="M63" t="str">
            <v xml:space="preserve">Single Color Flowers </v>
          </cell>
          <cell r="N63" t="str">
            <v>2  del of this cycle   -  0-cycles pmnt   Completed - Collect 0</v>
          </cell>
          <cell r="O63" t="str">
            <v>Y Asiatic ( 14 Inch ) 3     Grass</v>
          </cell>
          <cell r="P63" t="str">
            <v>P n W Glad ( 14 Inch ) 16     Grass</v>
          </cell>
          <cell r="Q63" t="str">
            <v>Sunflower ( 12 Inch ) 4     FF Sachet + Grass</v>
          </cell>
          <cell r="R63" t="str">
            <v>Mix Alstroemeria ( 12 Inch ) 16     FF Sachet + Grass</v>
          </cell>
          <cell r="S63" t="str">
            <v>P n Y Spray Daisy ( 14 Inch ) 5     FF Sachet + Grass</v>
          </cell>
          <cell r="T63" t="str">
            <v>R n W Car ( 14 Inch ) 16     FF Sachet + Grass</v>
          </cell>
        </row>
        <row r="64">
          <cell r="A64">
            <v>2639</v>
          </cell>
          <cell r="B64" t="str">
            <v>Bhanupriya Sharma</v>
          </cell>
          <cell r="C64">
            <v>9799191916</v>
          </cell>
          <cell r="D64" t="str">
            <v>37, Abundance Appartment, 4th Floor, D Block, Indira Colony-2, Sec 52 , Behind Arihant Hospital</v>
          </cell>
          <cell r="E64" t="str">
            <v>9 AM - 12 PM</v>
          </cell>
          <cell r="F64">
            <v>1450</v>
          </cell>
          <cell r="G64" t="str">
            <v xml:space="preserve"> </v>
          </cell>
          <cell r="H64">
            <v>1450</v>
          </cell>
          <cell r="I64" t="str">
            <v>Replacement</v>
          </cell>
          <cell r="J64" t="str">
            <v>Bliss</v>
          </cell>
          <cell r="P64" t="str">
            <v>Grass</v>
          </cell>
          <cell r="T64" t="str">
            <v xml:space="preserve">R n W Car ( 14 Inch ) 16     </v>
          </cell>
        </row>
        <row r="65">
          <cell r="A65">
            <v>3238</v>
          </cell>
          <cell r="B65" t="str">
            <v>Alka Verma</v>
          </cell>
          <cell r="C65">
            <v>9910437766</v>
          </cell>
          <cell r="D65" t="str">
            <v>T-10/101, Emaar palm Terraces Select</v>
          </cell>
          <cell r="E65" t="str">
            <v>Badshahpur</v>
          </cell>
          <cell r="F65" t="str">
            <v>Sunday</v>
          </cell>
          <cell r="G65" t="str">
            <v>9 AM - 12 PM</v>
          </cell>
          <cell r="H65">
            <v>1450</v>
          </cell>
          <cell r="I65">
            <v>362.5</v>
          </cell>
          <cell r="J65" t="str">
            <v>Bliss</v>
          </cell>
          <cell r="K65" t="str">
            <v>Skip 1 week (28/03) Send Replacement tom (12/04) Skip 1 week (27/04) Skip 1 week after 14th June (06/06) Skip 1 week (16/06)</v>
          </cell>
          <cell r="N65" t="str">
            <v>4  del of this cycle   -  0-cycles pmnt   Completed - Collect 0</v>
          </cell>
          <cell r="O65" t="str">
            <v>Sunflower ( 12 Inch ) 4     FF Sachet + Grass</v>
          </cell>
          <cell r="P65" t="str">
            <v>P Asiatic ( 14 Inch ) 3     Grass</v>
          </cell>
          <cell r="Q65" t="str">
            <v>G n W Car ( 14 Inch ) 16     FF Sachet + Grass</v>
          </cell>
          <cell r="R65" t="str">
            <v>Glad 16     FF Sachet + Grass</v>
          </cell>
          <cell r="S65" t="str">
            <v>P n Y Spray Daisy ( 14 Inch ) 5     FF Sachet + Grass</v>
          </cell>
          <cell r="T65" t="str">
            <v>R n W Car ( 14 Inch ) 16     FF Sachet + Grass</v>
          </cell>
        </row>
        <row r="66">
          <cell r="A66">
            <v>3179</v>
          </cell>
          <cell r="B66" t="str">
            <v>Bandhana</v>
          </cell>
          <cell r="C66">
            <v>98188998617</v>
          </cell>
          <cell r="D66" t="str">
            <v>T-5/902, Tata Primanti</v>
          </cell>
          <cell r="E66" t="str">
            <v>Badshahpur</v>
          </cell>
          <cell r="F66" t="str">
            <v>Sunday</v>
          </cell>
          <cell r="G66" t="str">
            <v>9 AM - 12 PM</v>
          </cell>
          <cell r="H66">
            <v>1950</v>
          </cell>
          <cell r="I66">
            <v>487.5</v>
          </cell>
          <cell r="J66" t="str">
            <v>Joy</v>
          </cell>
          <cell r="K66" t="str">
            <v>Single Kind // Replacement tom (08/03) No Spray Daisy and BOP (31/03)</v>
          </cell>
          <cell r="L66" t="str">
            <v>Spray Daisy n BOP</v>
          </cell>
          <cell r="M66" t="str">
            <v>Single Kind</v>
          </cell>
          <cell r="N66" t="str">
            <v>1  del of this cycle   -  1-cycles pmnt   Pending - Collect 1950</v>
          </cell>
          <cell r="O66" t="str">
            <v>Pur n P Eustoma ( 12 Inch ) 4     FF Sachet + Grass</v>
          </cell>
          <cell r="P66" t="str">
            <v>Rajni ( 14 Inch ) 22     Grass</v>
          </cell>
          <cell r="Q66" t="str">
            <v>P n Y Spray Daisy ( 14 Inch ) 7     FF Sachet + Grass</v>
          </cell>
          <cell r="R66" t="str">
            <v>O Asiatic ( 14 Inch ) 4     Grass</v>
          </cell>
          <cell r="S66" t="str">
            <v>O Glad 22     FF Sachet + Grass</v>
          </cell>
          <cell r="T66" t="str">
            <v>R n W Car ( 14 Inch ) 22     FF Sachet + Grass</v>
          </cell>
        </row>
        <row r="67">
          <cell r="A67">
            <v>3183</v>
          </cell>
          <cell r="B67" t="str">
            <v>Mamta Saxena</v>
          </cell>
          <cell r="C67">
            <v>9810638001</v>
          </cell>
          <cell r="D67" t="str">
            <v>BC 104 Nirvana</v>
          </cell>
          <cell r="G67" t="str">
            <v xml:space="preserve">Before 1 Pm </v>
          </cell>
          <cell r="H67">
            <v>1450</v>
          </cell>
          <cell r="I67">
            <v>1450</v>
          </cell>
          <cell r="J67" t="str">
            <v>Bliss</v>
          </cell>
          <cell r="T67" t="str">
            <v>Sunflower ( 12 Inch ) 3     FF Sachet + Grass</v>
          </cell>
        </row>
        <row r="68">
          <cell r="A68">
            <v>2458</v>
          </cell>
          <cell r="B68" t="str">
            <v>Kiran Yadav -- 1450 Pack</v>
          </cell>
          <cell r="C68">
            <v>9811801284</v>
          </cell>
          <cell r="D68" t="str">
            <v>E-1402, Palm Drive</v>
          </cell>
          <cell r="E68" t="str">
            <v>Badshahpur</v>
          </cell>
          <cell r="F68" t="str">
            <v>Sunday</v>
          </cell>
          <cell r="G68" t="str">
            <v>10 AM to 2:30 PM</v>
          </cell>
          <cell r="H68">
            <v>1450</v>
          </cell>
          <cell r="I68">
            <v>362.5</v>
          </cell>
          <cell r="J68" t="str">
            <v>Bliss</v>
          </cell>
          <cell r="K68" t="str">
            <v>Recvd 2000 Today (21/04) Pls send Rose/Gerbera and Rise laos (04/06) Skip 1 week (28/06) Skip next week after(27/09) Send Replacement tom (21/04)</v>
          </cell>
          <cell r="N68" t="str">
            <v>4  del of this cycle   -  0-cycles pmnt   CompletedNO COLLECTION-we have extra money - Collect -23</v>
          </cell>
          <cell r="O68" t="str">
            <v>P Asiatic ( 14 Inch ) 2     Grass</v>
          </cell>
          <cell r="P68" t="str">
            <v>Pur n P Car ( 14 Inch ) 9     FF Sachet + Grass</v>
          </cell>
          <cell r="Q68" t="str">
            <v>P n W Glad ( 14 Inch ) 16     Grass</v>
          </cell>
          <cell r="R68" t="str">
            <v>P n Y Spray Daisy ( 14 Inch ) 5     FF Sachet + Grass</v>
          </cell>
          <cell r="S68" t="str">
            <v>B Daisy 16     FF Sachet + Grass</v>
          </cell>
          <cell r="T68" t="str">
            <v>Mix Alstroemeria ( 12 Inch ) 16     FF Sachet + Grass</v>
          </cell>
        </row>
        <row r="69">
          <cell r="B69" t="str">
            <v>Reema</v>
          </cell>
          <cell r="C69" t="str">
            <v>98112 81042</v>
          </cell>
          <cell r="D69" t="str">
            <v>24/2 Emilia b2 Vatika City</v>
          </cell>
          <cell r="G69" t="str">
            <v xml:space="preserve">Before 2.30 PM </v>
          </cell>
          <cell r="H69">
            <v>1940</v>
          </cell>
          <cell r="I69">
            <v>1940</v>
          </cell>
          <cell r="J69" t="str">
            <v>Bouquet</v>
          </cell>
          <cell r="K69" t="str">
            <v>24/2 Emilia b2
Reema
+91 98112 81042
Pls send 3 semi bloom Asiatic lily and 6 mix carnations in walkin tissue wrap today before 2:30 pm , pls don’t ask for payment..</v>
          </cell>
          <cell r="T69" t="str">
            <v xml:space="preserve">semi bloom Asiatic lily  and   mix carnations 3+6 walkin tissue wrap O Asiatic and white Asuatic lilies 7 walkin tissue wrap </v>
          </cell>
        </row>
        <row r="70">
          <cell r="A70">
            <v>1182</v>
          </cell>
          <cell r="B70" t="str">
            <v>Pradeep Shoran</v>
          </cell>
          <cell r="C70">
            <v>9818335503</v>
          </cell>
          <cell r="D70" t="str">
            <v>T-7/406, Valley View Estate, Gwal Pahari</v>
          </cell>
          <cell r="E70" t="str">
            <v>Ghata</v>
          </cell>
          <cell r="F70" t="str">
            <v>Sunday</v>
          </cell>
          <cell r="G70" t="str">
            <v>9 AM to 2 PM</v>
          </cell>
          <cell r="H70">
            <v>1450</v>
          </cell>
          <cell r="I70">
            <v>362.5</v>
          </cell>
          <cell r="J70" t="str">
            <v>Bliss</v>
          </cell>
          <cell r="K70" t="str">
            <v>Ref from Rachna Rathhee(23/11) NO GULDAWARI(28/12) Lily next week(04/01) Sent a eplacement(27/01) Upgraded to 850-- send 2 type of flowers including last delivery's remaining flowers(23/02) Send plain cyllindrical vase with next del(17/03) Skiped 1 week due to HOLI(29/03) Skip 1 week(22/12) NO ROSES EVER(22/12) NO ROSE(03/01) Skip 1 week(23/03) NO ROSE/ORCHID/GULDAWARI(02/04) Skip 1 week(20/05) Skip 1 week(22/06) 2 Sticks extra next(16/07) Today returned (24/12) No ROSE (07/01) 14th Jan del was missed (15/01) Today Hold (18/02) Skip 2 weeks (24/02) Sent 1 Del today (05/03) Skip 1 week (22/06) Today hold (08/07)  Paytm From Soni Shoran// No Orchid (25/05) Replacement today (07/07) Skip 2 week (02/10) Replacement tom (22/12) last sat not picked (26/05) Day changed to sunday (14/06) Sent one del today -- skip 27th (24/07) Skip this week (02/08) Picked today-dont send tom (27/09) Today missed-send next week (04/01) Skip 1 week (02/06) Skip 1 week (04/07)</v>
          </cell>
          <cell r="L70" t="str">
            <v>ROSE n ORCHID</v>
          </cell>
          <cell r="N70" t="str">
            <v>3  del of this cycle   -  0-cycles pmnt   Completed - Collect 0</v>
          </cell>
          <cell r="O70" t="str">
            <v>P n W Car ( 14 Inch ) 16     FF Sachet + Grass</v>
          </cell>
          <cell r="P70" t="e">
            <v>#N/A</v>
          </cell>
          <cell r="Q70" t="str">
            <v>Sunflower ( 12 Inch ) 4     FF Sachet + Grass</v>
          </cell>
          <cell r="R70" t="str">
            <v>Glad 16     FF Sachet + Grass</v>
          </cell>
          <cell r="S70" t="str">
            <v>O Asiatic ( 14 Inch ) 3     Grass</v>
          </cell>
          <cell r="T70" t="str">
            <v>Mix Alstroemeria ( 12 Inch ) 16     Grass</v>
          </cell>
        </row>
        <row r="71">
          <cell r="A71">
            <v>3010</v>
          </cell>
          <cell r="B71" t="str">
            <v>Kriti Suman</v>
          </cell>
          <cell r="C71">
            <v>9771430070</v>
          </cell>
          <cell r="D71" t="str">
            <v>Studio -105, Palm Drive</v>
          </cell>
          <cell r="E71" t="str">
            <v>Badshahpur</v>
          </cell>
          <cell r="F71" t="str">
            <v>Sunday</v>
          </cell>
          <cell r="G71" t="str">
            <v>9 AM - 12 PM</v>
          </cell>
          <cell r="H71">
            <v>1450</v>
          </cell>
          <cell r="I71">
            <v>362.5</v>
          </cell>
          <cell r="J71" t="str">
            <v>Bliss</v>
          </cell>
          <cell r="K71" t="str">
            <v>Skip 1 week (16/10) Skip 1 week (26/12) No Glad (09/03) Skip 2 week (20/06)</v>
          </cell>
          <cell r="L71" t="str">
            <v>Glad</v>
          </cell>
          <cell r="N71" t="str">
            <v>3  del of this cycle   -  0-cycles pmnt   Completed - Collect 0</v>
          </cell>
          <cell r="O71" t="e">
            <v>#N/A</v>
          </cell>
          <cell r="P71" t="str">
            <v>Rajni ( 14 Inch ) 9     Grass</v>
          </cell>
          <cell r="Q71" t="str">
            <v xml:space="preserve">O Asiatic ( 14 Inch ) 2     </v>
          </cell>
          <cell r="R71" t="str">
            <v>G n W Car ( 14 Inch ) 16     FF Sachet + Grass</v>
          </cell>
          <cell r="S71" t="str">
            <v>P n Y Spray Daisy ( 14 Inch ) 5     FF Sachet + Grass</v>
          </cell>
          <cell r="T71" t="str">
            <v>Mix Glad ( 14 Inch ) 16     FF Sachet + Grass</v>
          </cell>
        </row>
        <row r="72">
          <cell r="A72">
            <v>2592</v>
          </cell>
          <cell r="B72" t="str">
            <v>Nidhi Prasad</v>
          </cell>
          <cell r="C72">
            <v>9899779181</v>
          </cell>
          <cell r="D72" t="str">
            <v>T-10/1003, valley View Estate</v>
          </cell>
          <cell r="E72" t="str">
            <v>Ghata</v>
          </cell>
          <cell r="F72" t="str">
            <v>Sunday</v>
          </cell>
          <cell r="G72" t="str">
            <v>9 AM to 2 PM</v>
          </cell>
          <cell r="H72">
            <v>1450</v>
          </cell>
          <cell r="I72">
            <v>362.5</v>
          </cell>
          <cell r="J72" t="str">
            <v>Delight</v>
          </cell>
          <cell r="K72" t="str">
            <v>Hold n start from 29th June(14/06) Hold today due to non payment (04/01) Hold due to non payment (01/02) Hold due to non payment (08/02) HDTNP (15/02) HDTNP (22/02) HDTNP (01/03) HDTNP (08/03) HDTNP (12/04) HDTNP (07/06) Hold till 26th (07/06) Returmed today (05/07)</v>
          </cell>
          <cell r="N72" t="str">
            <v>2  del of this cycle   -  1-cycles pmnt   Pending - Collect 1450</v>
          </cell>
          <cell r="O72" t="str">
            <v>P Asiatic ( 14 Inch ) 2     Grass</v>
          </cell>
          <cell r="P72" t="str">
            <v>Rajni ( 14 Inch ) 9     Grass</v>
          </cell>
          <cell r="Q72" t="str">
            <v>G n W Car ( 14 Inch ) 9     FF Sachet + Grass</v>
          </cell>
          <cell r="R72" t="str">
            <v>Y Spray Daisy ( 14 Inch ) 3     FF Sachet + Grass</v>
          </cell>
          <cell r="S72" t="str">
            <v>O Glad ( 14 Inch ) 16     Grass</v>
          </cell>
          <cell r="T72" t="str">
            <v>W Asiatic ( 14 Inch ) 3     Grass</v>
          </cell>
        </row>
        <row r="73">
          <cell r="A73">
            <v>3386</v>
          </cell>
          <cell r="B73" t="str">
            <v>Devina Duggal</v>
          </cell>
          <cell r="C73">
            <v>9992399954</v>
          </cell>
          <cell r="D73" t="str">
            <v>Sadev, C-149, Suncity, Ground Floor</v>
          </cell>
          <cell r="E73" t="str">
            <v>Golf Course Road</v>
          </cell>
          <cell r="F73" t="str">
            <v>Sunday</v>
          </cell>
          <cell r="G73" t="str">
            <v>9:30 Am to 2 PM</v>
          </cell>
          <cell r="H73">
            <v>2750</v>
          </cell>
          <cell r="I73">
            <v>687.5</v>
          </cell>
          <cell r="J73" t="str">
            <v>Collection Only</v>
          </cell>
          <cell r="K73" t="str">
            <v>No Exotic Greens -- send Only Extra Local Greens</v>
          </cell>
          <cell r="M73" t="str">
            <v>No Exotic Greens -- send Only Extra Local Greens</v>
          </cell>
          <cell r="N73" t="str">
            <v>3  del of this cycle   -  1-cycles pmnt   Pending - Collect 2750</v>
          </cell>
          <cell r="O73" t="str">
            <v>P Asiatic ( 14 Inch ) 3 P n W Glad ( 14 Inch ) 16   Extra Grass -- No Limonium or Gypsola</v>
          </cell>
          <cell r="P73" t="str">
            <v>Rajni ( 14 Inch ) 32     2 Limonium + Grass</v>
          </cell>
          <cell r="Q73" t="str">
            <v>Mix Alstroemeria ( 12 Inch ) 32     2 Limonium + FF Sachet</v>
          </cell>
          <cell r="R73" t="str">
            <v>P n Y Spray Daisy ( 14 Inch ) 10 Pls Check with Customer for renewal and then handover    2 Gypsola + FF sachet + Grass</v>
          </cell>
          <cell r="S73" t="str">
            <v>W Asiatic ( 14 Inch ) 6 Pese Jarur Lene Hai  Ensure Collection and Call if not Paid Ensure Collection and Call if not Paid 2 Gypsola + Grass</v>
          </cell>
          <cell r="T73" t="str">
            <v xml:space="preserve">Collect Rs 1375 Carry Change Carry Receipt Bool    </v>
          </cell>
        </row>
        <row r="74">
          <cell r="A74">
            <v>2112</v>
          </cell>
          <cell r="B74" t="str">
            <v>Tarushi</v>
          </cell>
          <cell r="C74">
            <v>9999761657</v>
          </cell>
          <cell r="D74" t="str">
            <v>T-3/202, Emaar The Palm Terrace, Sec 66</v>
          </cell>
          <cell r="E74" t="str">
            <v>Badshahpur</v>
          </cell>
          <cell r="F74" t="str">
            <v>Sunday</v>
          </cell>
          <cell r="G74" t="str">
            <v>9 AM - 12 PM</v>
          </cell>
          <cell r="H74">
            <v>1450</v>
          </cell>
          <cell r="I74">
            <v>362.5</v>
          </cell>
          <cell r="J74" t="str">
            <v>Bliss</v>
          </cell>
          <cell r="K74" t="str">
            <v>Asiatic next (05/06) Send 150 in next del (07/06) 150 Returned (11/06) Rose Next (09/07) Skip 1 week (24/08) Pls hold today and send tomorrow (17/08) Aster in Subscription (19/10) Skip 1 week (07/11) Skip 1 week (26/12) Next Del on Friday evening slot (30/03) Hold n start from 18th May (28/04) Hold today n next also (23/06) Hold n start from Sep (27/07) Always long stem (27/04) Send 1 Oriental and 3 Car once a cycle (29/04) Skip 1 week (21/06) Skip 1 week (16/08) Today returned (19/10) Skip 1 week (01/11) New Address updated (23/11) Hold due to non payment (11/01) Hold due to non payment (18/01) Hold due to non payment (25/01) Hold due to non payment (01/02) Hold due to non payment (08/02) HDTNP(15/02) HDTNP (19/04) Paytm From Tarushi Rastogi (28/04) HDTNP (05/07) HDTNP (26/07)</v>
          </cell>
          <cell r="M74" t="str">
            <v>Mixed Flowers n Long Stem  // 1 Oriental and 2 Car Next (14/05)</v>
          </cell>
          <cell r="N74" t="str">
            <v>2  del of this cycle   -  1-cycles pmnt   Pending - Collect 1450</v>
          </cell>
          <cell r="O74" t="str">
            <v>Sunflower ( 12 Inch ) 2 Pur n P Car ( 14 Inch ) 7   FF Sachet + Grass</v>
          </cell>
          <cell r="P74" t="e">
            <v>#N/A</v>
          </cell>
          <cell r="Q74" t="str">
            <v>P Spray Daisy ( 14 Inch ) 3 Mix Alstroemeria ( 12 Inch ) 7   FF Sachet + Grass</v>
          </cell>
          <cell r="R74" t="str">
            <v>W Asiatic ( 14 Inch ) 2 Mix Glad ( 14 Inch ) 7   Grass</v>
          </cell>
          <cell r="S74" t="str">
            <v>Sunflower ( 12 Inch ) 2 P n W Car ( 14 Inch ) 7   FF Sachet + Grass</v>
          </cell>
          <cell r="T74" t="str">
            <v>P Eustoma ( 12 Inch )  2 P n W Car ( 14 Inch ) 7   FF Sachet + Grass</v>
          </cell>
        </row>
        <row r="75">
          <cell r="B75" t="str">
            <v>98187 52857</v>
          </cell>
          <cell r="C75" t="str">
            <v>98187 52857</v>
          </cell>
          <cell r="D75" t="str">
            <v>Birla Navya Amoda-2 Appt-42 first floor. Sec-63A. Pin-122102.</v>
          </cell>
          <cell r="G75" t="str">
            <v xml:space="preserve">Before 3 Pm </v>
          </cell>
          <cell r="H75">
            <v>750</v>
          </cell>
          <cell r="I75">
            <v>750</v>
          </cell>
          <cell r="J75" t="str">
            <v>Bouquet</v>
          </cell>
          <cell r="K75" t="str">
            <v>Birla Navya Amoda-2
Appt-42 first floor. 
Sec-63A. 
Pin-122102.
+91 98187 52857
Please send today 
2:30 pm
Please collect 750
Please send blank card</v>
          </cell>
          <cell r="T75" t="str">
            <v xml:space="preserve">Red and Yellow Rose  5+10 Walkin Tissue Wrap Blank Card Also   </v>
          </cell>
        </row>
        <row r="76">
          <cell r="A76">
            <v>1470</v>
          </cell>
          <cell r="B76" t="str">
            <v>Ankit Goyal</v>
          </cell>
          <cell r="C76">
            <v>9582406060</v>
          </cell>
          <cell r="D76" t="str">
            <v>A-402, La Lagune</v>
          </cell>
          <cell r="E76" t="str">
            <v>Golf Course Road</v>
          </cell>
          <cell r="F76" t="str">
            <v>Sunday</v>
          </cell>
          <cell r="G76" t="str">
            <v>9 AM - 12 PM</v>
          </cell>
          <cell r="H76">
            <v>2750</v>
          </cell>
          <cell r="I76">
            <v>687.5</v>
          </cell>
          <cell r="J76" t="str">
            <v>Elation</v>
          </cell>
          <cell r="K76" t="str">
            <v>Sunday to Thurs//Monday and Thursday// Car 1st(07/08) Referred by Divya Grg// always diff flowers(07/08) Skip 1 week(16/08) Sunday Missed-sent today(13/09) No Rose til it survives(26/09) Received 850 in advance today(16/11) Flowers returned-skip 1 weeK30/11) Skip 1 week(18/12) REturned-send next week(10/03) Skuip 1 week (25/10) Today Returned and hold for next 8 days (03/11) Skip 1 week (25/01) Skip 1 week (06/03) Return today Skip 1 week (20/04) Today Returned (08/06) Skip 1 week (05/07) Hold due to non payment (19/07) hOLD AS PAYMENT NOT RECEIVED(13/10) Skip this sunday (20/7) Skip 1 week (17/08) Skip tom (23/11) Skip 1 week (16/12) Skip tom (08/03) Skip 1 week(11/04) Skip 2 week (18/06) Today Returned (19/10) Skip 1 week (0111) Skip 1 week (07/11) Send one del tom (09/11) Skip tom (20/12)</v>
          </cell>
          <cell r="N76" t="str">
            <v>4  del of this cycle   -  0-cycles pmnt   Completed - Collect 0</v>
          </cell>
          <cell r="O76" t="str">
            <v>P n W Glad ( 14 Inch ) 32     2 Limonium</v>
          </cell>
          <cell r="P76" t="str">
            <v>P n Y Spray Daisy ( 14 Inch ) 10     2 Gypsola</v>
          </cell>
          <cell r="Q76" t="str">
            <v>Rajni ( 14 Inch ) 32     2 Limonium</v>
          </cell>
          <cell r="R76" t="str">
            <v>G n W Car ( 14 Inch ) 32     2 Gypsola + FF sachet + Grass</v>
          </cell>
          <cell r="S76" t="str">
            <v>Sunflower ( 12 Inch ) 5     FF Sachet + Grass</v>
          </cell>
          <cell r="T76" t="str">
            <v>O Asiatic ( 14 Inch ) 6     Grass</v>
          </cell>
        </row>
        <row r="77">
          <cell r="A77">
            <v>3405</v>
          </cell>
          <cell r="B77" t="str">
            <v>Supriya Pahwa</v>
          </cell>
          <cell r="C77">
            <v>9811665304</v>
          </cell>
          <cell r="D77" t="str">
            <v>N6/004, Paras Irene, Sec 70 A</v>
          </cell>
          <cell r="G77" t="str">
            <v>9 AM - 12 PM</v>
          </cell>
          <cell r="H77">
            <v>1450</v>
          </cell>
          <cell r="I77">
            <v>1450</v>
          </cell>
          <cell r="J77" t="str">
            <v>Bliss</v>
          </cell>
          <cell r="K77" t="str">
            <v>Send one delivery of Supriya pahwa today —
9811665304
N-6/004, Paras Irene, Sec 70 A, Gurgaon</v>
          </cell>
          <cell r="T77" t="str">
            <v>P n W Car ( 14 Inch ) 16     FF Sachet + Grass</v>
          </cell>
        </row>
        <row r="78">
          <cell r="A78">
            <v>1899</v>
          </cell>
          <cell r="B78" t="str">
            <v>Hardik Shah</v>
          </cell>
          <cell r="C78">
            <v>9811227080</v>
          </cell>
          <cell r="D78" t="str">
            <v>T-5/1402, Vipul Green</v>
          </cell>
          <cell r="E78" t="str">
            <v>Sohna Road 2</v>
          </cell>
          <cell r="F78" t="str">
            <v>Friday</v>
          </cell>
          <cell r="G78" t="str">
            <v>9 AM - 12 PM</v>
          </cell>
          <cell r="H78">
            <v>4850</v>
          </cell>
          <cell r="I78">
            <v>606.25</v>
          </cell>
          <cell r="J78" t="str">
            <v>Poise</v>
          </cell>
          <cell r="K78" t="str">
            <v>Friday n Sunday (02/04) Shift to Poise after this cycle(22/05) No Poies(28/05) Skip 1 week(13/08) Today Returned(21/08) Today Returned again(26/08) Skip 2 week (18/06) Skip only next delivery (29/07) Hold today n skip 1 week (19/01) Skip 1 week (15/08) Hold for 4 weeks (27/01) Returned today (14/11) Today returned (01/05)</v>
          </cell>
          <cell r="N78" t="str">
            <v>3  del of this cycle   -  0-cycles pmnt   Completed - Collect 0</v>
          </cell>
          <cell r="O78" t="str">
            <v>Pur n P Car ( 14 Inch 26     FF Sachet + Grass</v>
          </cell>
          <cell r="P78" t="str">
            <v>B Daisy ( 12 Inch ) 26     Grass</v>
          </cell>
          <cell r="Q78" t="str">
            <v>Y Asiatic ( 14 Inch ) 6     Grass</v>
          </cell>
          <cell r="R78" t="str">
            <v>G n W Car ( 14 Inch ) 26     FF Sachet + Grass</v>
          </cell>
          <cell r="S78" t="str">
            <v>W Oriental ( 15 Inch ) 4     Grass</v>
          </cell>
          <cell r="T78" t="str">
            <v>Mix Glad ( 14 Inch ) 20     Grass</v>
          </cell>
        </row>
        <row r="79">
          <cell r="A79">
            <v>3026</v>
          </cell>
          <cell r="B79" t="str">
            <v>Richa Jindal</v>
          </cell>
          <cell r="C79">
            <v>9818372485</v>
          </cell>
          <cell r="D79" t="str">
            <v>E-1001, The Vilas, Akashmeen Marg, DLF Phase 2</v>
          </cell>
          <cell r="H79">
            <v>1450</v>
          </cell>
          <cell r="I79">
            <v>1450</v>
          </cell>
          <cell r="J79" t="str">
            <v>Bliss</v>
          </cell>
          <cell r="T79" t="str">
            <v xml:space="preserve">O Glad  16     </v>
          </cell>
        </row>
        <row r="80">
          <cell r="A80">
            <v>237</v>
          </cell>
          <cell r="B80" t="str">
            <v>Mayom Hospital</v>
          </cell>
          <cell r="C80">
            <v>8860079525</v>
          </cell>
          <cell r="D80" t="str">
            <v>Mayom Hospital, D block south city 1</v>
          </cell>
          <cell r="E80" t="str">
            <v>South City 1</v>
          </cell>
          <cell r="F80" t="str">
            <v>Sunday</v>
          </cell>
          <cell r="G80" t="str">
            <v>9 AM - 12 PM</v>
          </cell>
          <cell r="H80">
            <v>3000</v>
          </cell>
          <cell r="I80">
            <v>375</v>
          </cell>
          <cell r="J80" t="str">
            <v>Corporate</v>
          </cell>
          <cell r="K80" t="str">
            <v>Sending on 20th instaed of 21st,bcoz of Holi(18/03) Send on Monday this week(20/03)</v>
          </cell>
          <cell r="N80" t="str">
            <v>2  del of this cycle   -  0-cycles pmnt   In Process - Collect 0</v>
          </cell>
          <cell r="O80" t="str">
            <v>Mix Spray Daisy 5     Grass</v>
          </cell>
          <cell r="P80" t="str">
            <v>Rajni ( 14 Inch ) 15     Grass</v>
          </cell>
          <cell r="Q80" t="str">
            <v xml:space="preserve">Mix Alstroemeria ( 12 Inch ) 12     </v>
          </cell>
          <cell r="R80" t="str">
            <v>Mix Glad ( 14 inch ) 15     Grass</v>
          </cell>
          <cell r="S80" t="str">
            <v xml:space="preserve">Mix Spray Daisy 5     </v>
          </cell>
          <cell r="T80" t="str">
            <v xml:space="preserve">W Asiatic ( 14 Inch ) 3     </v>
          </cell>
        </row>
        <row r="81">
          <cell r="B81" t="str">
            <v>Neetu kalra</v>
          </cell>
          <cell r="C81" t="str">
            <v xml:space="preserve"> 98185 21815</v>
          </cell>
          <cell r="D81" t="str">
            <v>79, first floor Narang Colony Janakpuri</v>
          </cell>
          <cell r="H81">
            <v>2000</v>
          </cell>
          <cell r="I81">
            <v>2000</v>
          </cell>
          <cell r="J81" t="str">
            <v>Bouquet</v>
          </cell>
          <cell r="K81" t="str">
            <v>Neetu kalra
+91 98185 21815
79, first floor Narang Colony Janakpuri
Happy friendship day my KK, m blessed to have u around always 🤗
Pls send 4 semi bloom mix oriental lily and 8 mix green and yellow spray daisy in Korean sheet today from Anu fresco</v>
          </cell>
          <cell r="T81" t="str">
            <v xml:space="preserve">Semi bloom mix oriental lily and mix green and yellow spray daisy  4+8 Korean sheet  Massage   </v>
          </cell>
        </row>
        <row r="82">
          <cell r="B82" t="str">
            <v> 89011 45375‬</v>
          </cell>
          <cell r="C82" t="str">
            <v> 89011 45375‬</v>
          </cell>
          <cell r="D82" t="str">
            <v>Please wrap 2 sunflowers individually in tissue paper , 
‪+91 89011 45375‬ is arranging a pickup  in 5 mnts..</v>
          </cell>
          <cell r="H82">
            <v>300</v>
          </cell>
          <cell r="I82">
            <v>300</v>
          </cell>
          <cell r="J82" t="str">
            <v>Bouquet</v>
          </cell>
          <cell r="K82" t="str">
            <v>Please wrap 2 sunflowers individually in tissue paper , 
‪+91 89011 45375‬ is arranging a pickup  in 5 mnts..</v>
          </cell>
          <cell r="T82" t="str">
            <v xml:space="preserve">Sunflower ( 12 Inch ) 2  Tissue Wrap   </v>
          </cell>
        </row>
        <row r="83">
          <cell r="B83" t="str">
            <v> 89011 45375‬ is arranging a pickup  in 5 mnts..</v>
          </cell>
          <cell r="C83" t="str">
            <v> 89011 45375‬ is arranging a pickup  in 5 mnts..</v>
          </cell>
          <cell r="D83" t="str">
            <v> 89011 45375‬ is arranging a pickup  in 5 mnts..</v>
          </cell>
          <cell r="E83" t="str">
            <v> 89011 45375‬ is arranging a pickup  in 5 mnts..</v>
          </cell>
          <cell r="F83" t="str">
            <v> 89011 45375‬ is arranging a pickup  in 5 mnts..</v>
          </cell>
          <cell r="G83" t="str">
            <v> 89011 45375‬ is arranging a pickup  in 5 mnts..</v>
          </cell>
          <cell r="H83">
            <v>300</v>
          </cell>
          <cell r="I83">
            <v>300</v>
          </cell>
          <cell r="J83" t="str">
            <v>Bouquet</v>
          </cell>
          <cell r="T83" t="str">
            <v xml:space="preserve">Sunflower ( 12 Inch ) 2     </v>
          </cell>
        </row>
        <row r="84">
          <cell r="A84">
            <v>1898</v>
          </cell>
          <cell r="B84" t="str">
            <v>Shipra</v>
          </cell>
          <cell r="C84">
            <v>8447778677</v>
          </cell>
          <cell r="D84" t="str">
            <v xml:space="preserve">C-94 Trinity </v>
          </cell>
          <cell r="E84" t="str">
            <v>DLF Phase 5</v>
          </cell>
          <cell r="F84" t="str">
            <v>Saturday</v>
          </cell>
          <cell r="G84" t="str">
            <v>4 Pm to 7 PM</v>
          </cell>
          <cell r="H84">
            <v>1600</v>
          </cell>
          <cell r="I84">
            <v>200</v>
          </cell>
          <cell r="J84" t="str">
            <v>Bloom</v>
          </cell>
          <cell r="K84" t="str">
            <v>Thursday and Sunday// Rajni 1st(02/04) Changed to evening slot(07/04) Today Returned(17/04) Skip Sunday del(17/06) Skip this Thursday(28/06) Skip 1 week(13/08) Skip Tom Flowers(01/10) Paytm From Shipra Rastogi (20/02) Skip 1 wek (22/03) Skip Thursday delivery (04/04) Today Returned (09/04) Skip sunday delivery (29/09) Yesterday returned (22/12) Return today (28/01) Skip tom (23/03) Skip 1 week (10/04) Eustoma Next (26/05) Hold for 10 days (06/06) Sennd one del Tom (05/08) Hold today and skip next (15/08) Hold today n skip 1 week (21/11) Skip this sunday (21/12) Paytm from Shipra Rastogi (02/03) Hold today (23/03) 250 received via paytm (30/03) 1000 cash and 250 paytm (31/03) Hold from 10th to 21st June-25(11/06) Hold today due to nonpayment (02/10) Hold due to non payment (05/10) Yesterday returned (24/10) Skip 1 week (24/12) Hold due to non payment (07/01) Hold due to non payment (11/01) Hold due to non payment (14/01) Hold due to non payment (18/01) HDTNP (15/02) HDTNP(22/02) HDTNP (26/02) HDTNP (01/03) HDTNP (04/03) HDTNP (08/03) HDTNP (12/03) HDTNP (14/03) HDTNP (10/05) hdtnp (14/05) No Flowers from 17th to 24th (17/06) HDTNP (12/07) HDTNP (16/07) HDTNP (19/07)</v>
          </cell>
          <cell r="N84" t="str">
            <v>6  del of this cycle   -  0-cycles pmnt   Completed - Collect 0</v>
          </cell>
          <cell r="O84" t="str">
            <v>P n W Car ( 14 Inch ) 7     FF Sachet + Grass</v>
          </cell>
          <cell r="P84" t="str">
            <v>B Daisy ( 12 Inch ) 7     Grass</v>
          </cell>
          <cell r="Q84" t="e">
            <v>#N/A</v>
          </cell>
          <cell r="R84" t="e">
            <v>#N/A</v>
          </cell>
          <cell r="S84" t="str">
            <v>R n W Car ( 14 Inch ) 7     FF Sachet + Grass</v>
          </cell>
          <cell r="T84" t="str">
            <v>Mix Glad ( 14 Inch ) 7     Grass</v>
          </cell>
        </row>
        <row r="85">
          <cell r="B85" t="str">
            <v>Yogesh Gulati</v>
          </cell>
          <cell r="D85" t="str">
            <v>Sovereign C-3, 
1201A, 13th Floor
Vatika City</v>
          </cell>
          <cell r="H85">
            <v>1000</v>
          </cell>
          <cell r="I85">
            <v>1000</v>
          </cell>
          <cell r="J85" t="str">
            <v>Bouquet</v>
          </cell>
          <cell r="K85" t="str">
            <v>Address:
Yogesh Gulati
Sovereign C-3, 
1201A, 13th Floor
Vatika City
Happy Birthday Gullu
Love &amp; Wishes
Meenakshi &amp; Suresh
Pls send a bouquet with 5 sunflowers and 5 blue daisy in front walkin tissue wrap today from Meenakshi hibiscus for 1000</v>
          </cell>
          <cell r="T85" t="str">
            <v xml:space="preserve">Sunflowers+ B Daisy 5+5 Walking Tissue Wrap Message   </v>
          </cell>
        </row>
        <row r="86">
          <cell r="A86" t="str">
            <v>B56626</v>
          </cell>
          <cell r="B86" t="str">
            <v>Mini Deerwood</v>
          </cell>
          <cell r="C86">
            <v>9818447542</v>
          </cell>
          <cell r="D86" t="str">
            <v xml:space="preserve"> 332, 4th Floor, Espace</v>
          </cell>
          <cell r="E86" t="str">
            <v>Nirvana Country</v>
          </cell>
          <cell r="F86" t="str">
            <v>Sunday</v>
          </cell>
          <cell r="G86" t="str">
            <v>9 AM - 12 PM</v>
          </cell>
          <cell r="H86">
            <v>700</v>
          </cell>
          <cell r="I86">
            <v>700</v>
          </cell>
          <cell r="J86" t="str">
            <v>Bouquet</v>
          </cell>
          <cell r="K86" t="str">
            <v>Rajni + 2 Sunflower Bouquet</v>
          </cell>
          <cell r="N86" t="str">
            <v>1  del of this cycle   -  1-cycles pmnt   Pending - Collect 700</v>
          </cell>
          <cell r="O86" t="e">
            <v>#N/A</v>
          </cell>
          <cell r="P86" t="e">
            <v>#N/A</v>
          </cell>
          <cell r="Q86" t="e">
            <v>#N/A</v>
          </cell>
          <cell r="R86" t="e">
            <v>#N/A</v>
          </cell>
          <cell r="S86" t="e">
            <v>#N/A</v>
          </cell>
          <cell r="T86" t="str">
            <v xml:space="preserve">Rajni + Sunflowers  10 + 2 Single Wrap    </v>
          </cell>
        </row>
        <row r="87">
          <cell r="B87" t="str">
            <v>Arun Kumar Gupta</v>
          </cell>
          <cell r="C87">
            <v>9810149406</v>
          </cell>
          <cell r="D87" t="str">
            <v>Urban Design Concept, LGF Shop No. 1, J.S. Tower, Metro Pillar No.55, Sikanderpur, Gurugram - 122002</v>
          </cell>
          <cell r="G87" t="str">
            <v>before 11am</v>
          </cell>
          <cell r="H87">
            <v>600</v>
          </cell>
          <cell r="I87">
            <v>600</v>
          </cell>
          <cell r="J87" t="str">
            <v>Bouquet</v>
          </cell>
          <cell r="K87" t="str">
            <v>Rotary bouquet
Sir, 
Today (2-Aug) is Birthday of Rtn. Arun Kumar Gupta
Address: Urban Design Concept, LGF Shop No. 1, J.S. Tower, Metro Pillar No.55, Sikanderpur, Gurugram - 122002
Ph: 9810149406
Wish you a very happy birthday.
Regards,
RCGQE
Send one bouquet with 15 carnations in walkin tissue wrap today before 11am</v>
          </cell>
          <cell r="T87" t="str">
            <v xml:space="preserve">P n W Car ( 14 Inch ) 15 walkin tissue wrap  Massage   </v>
          </cell>
        </row>
        <row r="88">
          <cell r="B88" t="str">
            <v>Reena</v>
          </cell>
          <cell r="C88" t="str">
            <v> 98117 73116‬</v>
          </cell>
          <cell r="D88" t="str">
            <v>The Ivy Apartments 
Tower G House number 14B 13th floor Sushant lok 1 Sector 28</v>
          </cell>
          <cell r="H88">
            <v>600</v>
          </cell>
          <cell r="I88">
            <v>600</v>
          </cell>
          <cell r="J88" t="str">
            <v>Bouquet</v>
          </cell>
          <cell r="K88" t="str">
            <v>Send today from Sugandhi 
12 pink and whte carnations in tissie wrap 
600 received
To
The Ivy Apartments 
Tower G
House number 14B
13th floor
Sushant lok 1
Sector 28
‪+91 98117 73116‬
Message 
Dear Reena, 
Happy Friendship Day
From
Pragya</v>
          </cell>
          <cell r="T88" t="str">
            <v xml:space="preserve">P n W Car ( 14 Inch ) 12 tissie wrap  Massage   </v>
          </cell>
        </row>
        <row r="89">
          <cell r="A89">
            <v>2858</v>
          </cell>
          <cell r="B89" t="str">
            <v>Devika Tandon</v>
          </cell>
          <cell r="C89">
            <v>8527991304</v>
          </cell>
          <cell r="D89" t="str">
            <v>A-293, AIPL The Peaceful Homes</v>
          </cell>
          <cell r="E89" t="str">
            <v>Badshahpur</v>
          </cell>
          <cell r="F89" t="str">
            <v>Friday</v>
          </cell>
          <cell r="G89" t="str">
            <v>4 PM to 7PM</v>
          </cell>
          <cell r="H89">
            <v>1450</v>
          </cell>
          <cell r="I89">
            <v>362.5</v>
          </cell>
          <cell r="J89" t="str">
            <v>Bliss</v>
          </cell>
          <cell r="K89" t="str">
            <v>HDTNP (31/07) Send tom (01/08)</v>
          </cell>
          <cell r="N89" t="str">
            <v>3  del of this cycle   -  0-cycles pmnt   Completed - Collect 0</v>
          </cell>
          <cell r="O89" t="e">
            <v>#N/A</v>
          </cell>
          <cell r="P89" t="e">
            <v>#N/A</v>
          </cell>
          <cell r="Q89" t="e">
            <v>#N/A</v>
          </cell>
          <cell r="R89" t="e">
            <v>#N/A</v>
          </cell>
          <cell r="S89" t="e">
            <v>#N/A</v>
          </cell>
          <cell r="T89" t="str">
            <v>Sunflower ( 12 Inch ) 3     Grass</v>
          </cell>
        </row>
        <row r="90">
          <cell r="A90" t="str">
            <v>B56624</v>
          </cell>
          <cell r="B90" t="str">
            <v>Scottish -- Malibu Town</v>
          </cell>
          <cell r="D90" t="str">
            <v>Park Drive, Malibu</v>
          </cell>
          <cell r="E90" t="str">
            <v>Sector 56</v>
          </cell>
          <cell r="F90" t="str">
            <v>Friday</v>
          </cell>
          <cell r="G90" t="str">
            <v>By 10:30 AM</v>
          </cell>
          <cell r="H90">
            <v>8500</v>
          </cell>
          <cell r="I90">
            <v>8500</v>
          </cell>
          <cell r="J90" t="str">
            <v>Corporate Bouquet</v>
          </cell>
          <cell r="N90" t="str">
            <v>1  del of this cycle   -  0-cycles pmnt   In Process - Collect 0</v>
          </cell>
          <cell r="O90" t="e">
            <v>#N/A</v>
          </cell>
          <cell r="P90" t="e">
            <v>#N/A</v>
          </cell>
          <cell r="Q90" t="e">
            <v>#N/A</v>
          </cell>
          <cell r="R90" t="e">
            <v>#N/A</v>
          </cell>
          <cell r="S90" t="e">
            <v>#N/A</v>
          </cell>
          <cell r="T90" t="str">
            <v xml:space="preserve">Semi Bloom W Oriental + Pur Anthurium + W Saintini Buttin Daisy + Shaded Pur n W Car 10 + 7 + 15 + 15 Jute Wrap Use Limonium  Share Before Packing Thoda achchge se faila kar banana </v>
          </cell>
        </row>
        <row r="91">
          <cell r="A91">
            <v>3282</v>
          </cell>
          <cell r="B91" t="str">
            <v>Pluang Technologies India Pvt. Ltd.</v>
          </cell>
          <cell r="C91">
            <v>9650723437</v>
          </cell>
          <cell r="D91" t="str">
            <v>13th Floor, Magnum Global Park, Sec 58</v>
          </cell>
          <cell r="E91" t="str">
            <v>Ghata</v>
          </cell>
          <cell r="F91" t="str">
            <v>Sunday</v>
          </cell>
          <cell r="G91" t="str">
            <v>4 Pm to 7 PM</v>
          </cell>
          <cell r="H91">
            <v>1950</v>
          </cell>
          <cell r="I91">
            <v>487.5</v>
          </cell>
          <cell r="J91" t="str">
            <v>Joy</v>
          </cell>
          <cell r="K91" t="str">
            <v>Payment from Vibhuti --997176764 (10/03) Paytm From Sahiba Sachdeva (08/04)</v>
          </cell>
          <cell r="N91" t="str">
            <v>2  del of this cycle   -  0-cycles pmnt   Completed - Collect 0</v>
          </cell>
          <cell r="O91" t="str">
            <v>Sunflower ( 12 Inch ) 3 Rajni ( 14 Inch ) 11   FF Sachet + Grass</v>
          </cell>
          <cell r="P91" t="str">
            <v>O Asiatic ( 14 Inch ) 2 P n W Glad ( 14 Inch ) 11   Grass</v>
          </cell>
          <cell r="Q91" t="str">
            <v>P n Y Spray Daisy ( 14 Inch ) 4 Mix Carnation 10   FF Sachet + Grass</v>
          </cell>
          <cell r="R91" t="str">
            <v>Pur Eustoma ( 12 Inch ) 2 Rajni 11   FF Sachet + Grass</v>
          </cell>
          <cell r="S91" t="str">
            <v>Sunflower ( 12 Inch ) 3 O Glad 11   FF Sachet + Grass</v>
          </cell>
          <cell r="T91" t="str">
            <v>W Asiatic ( 14 Inch ) 2 Mix Alstroemeria ( 12 Inch ) 11   FF Sachet + Grass</v>
          </cell>
        </row>
        <row r="92">
          <cell r="B92" t="str">
            <v xml:space="preserve">Sreeja Srinivasan </v>
          </cell>
          <cell r="C92" t="str">
            <v>98216 26732‬</v>
          </cell>
          <cell r="D92" t="str">
            <v>J-104A,Adani Samsara Vilasa,Sector-63, Sector 63, Gurugram</v>
          </cell>
          <cell r="G92" t="str">
            <v>By 1 Pm TO 3 Pm Positevely</v>
          </cell>
          <cell r="H92">
            <v>600</v>
          </cell>
          <cell r="I92">
            <v>600</v>
          </cell>
          <cell r="J92" t="str">
            <v>Bouquet</v>
          </cell>
          <cell r="K92" t="str">
            <v>From Deepti Sinha today 
15 pink and white carnation in same wrap 
To 
Sreeja Srinivasan 
J-104A,Adani Samsara Vilasa,Sector-63, Sector 63, Gurugram
‪+91 98216 26732‬
Message - 
Dear Sreeja! 
Happy friendships day! 
Lots of love 
Deepti</v>
          </cell>
          <cell r="T92" t="str">
            <v xml:space="preserve">pink and white carnation 15 walkin tissue wrap  Massage   </v>
          </cell>
        </row>
      </sheetData>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82546-8A22-4837-81EA-5C08346569A4}">
  <dimension ref="A1:AD76"/>
  <sheetViews>
    <sheetView topLeftCell="A73" zoomScale="60" zoomScaleNormal="60" workbookViewId="0">
      <selection activeCell="K75" sqref="K75"/>
    </sheetView>
  </sheetViews>
  <sheetFormatPr defaultRowHeight="14" x14ac:dyDescent="0.3"/>
  <cols>
    <col min="1" max="1" width="6.59765625" customWidth="1"/>
    <col min="3" max="7" width="8.796875" hidden="1" customWidth="1"/>
    <col min="9" max="9" width="8.796875" hidden="1" customWidth="1"/>
    <col min="11" max="11" width="142.59765625" customWidth="1"/>
  </cols>
  <sheetData>
    <row r="1" spans="1:30" ht="96.85" customHeight="1" x14ac:dyDescent="0.3">
      <c r="A1" s="1" t="s">
        <v>0</v>
      </c>
      <c r="B1" s="2" t="s">
        <v>1</v>
      </c>
      <c r="C1" s="3" t="s">
        <v>2</v>
      </c>
      <c r="D1" s="4" t="s">
        <v>3</v>
      </c>
      <c r="E1" s="4" t="s">
        <v>4</v>
      </c>
      <c r="F1" s="4" t="s">
        <v>5</v>
      </c>
      <c r="G1" s="4" t="s">
        <v>6</v>
      </c>
      <c r="H1" s="5" t="s">
        <v>7</v>
      </c>
      <c r="I1" s="5" t="s">
        <v>8</v>
      </c>
      <c r="J1" s="2" t="s">
        <v>9</v>
      </c>
      <c r="K1" s="4" t="s">
        <v>10</v>
      </c>
      <c r="L1" s="6" t="s">
        <v>11</v>
      </c>
      <c r="M1" s="6" t="s">
        <v>12</v>
      </c>
      <c r="N1" s="7" t="s">
        <v>13</v>
      </c>
      <c r="O1" s="29" t="s">
        <v>333</v>
      </c>
      <c r="P1" s="29" t="s">
        <v>334</v>
      </c>
      <c r="Q1" s="29" t="s">
        <v>335</v>
      </c>
      <c r="R1" s="29" t="s">
        <v>336</v>
      </c>
      <c r="S1" s="29" t="s">
        <v>337</v>
      </c>
      <c r="T1" s="29" t="s">
        <v>338</v>
      </c>
      <c r="U1" s="29" t="s">
        <v>339</v>
      </c>
      <c r="V1" s="29" t="s">
        <v>340</v>
      </c>
      <c r="W1" s="29" t="s">
        <v>339</v>
      </c>
      <c r="X1" s="29" t="s">
        <v>341</v>
      </c>
      <c r="Y1" s="29" t="s">
        <v>339</v>
      </c>
      <c r="Z1" s="29" t="s">
        <v>342</v>
      </c>
      <c r="AA1" s="29" t="s">
        <v>343</v>
      </c>
      <c r="AB1" s="29" t="s">
        <v>344</v>
      </c>
      <c r="AC1" s="29" t="s">
        <v>345</v>
      </c>
      <c r="AD1" s="29" t="s">
        <v>346</v>
      </c>
    </row>
    <row r="2" spans="1:30" ht="96.85" customHeight="1" x14ac:dyDescent="0.3">
      <c r="A2" s="8">
        <v>13</v>
      </c>
      <c r="B2" s="9" t="s">
        <v>14</v>
      </c>
      <c r="C2" s="8" t="s">
        <v>15</v>
      </c>
      <c r="D2" s="1" t="s">
        <v>16</v>
      </c>
      <c r="E2" s="8" t="s">
        <v>17</v>
      </c>
      <c r="F2" s="8" t="s">
        <v>18</v>
      </c>
      <c r="G2" s="10" t="s">
        <v>19</v>
      </c>
      <c r="H2" s="11">
        <v>2750</v>
      </c>
      <c r="I2" s="12">
        <v>687.5</v>
      </c>
      <c r="J2" s="11" t="s">
        <v>20</v>
      </c>
      <c r="K2" s="8" t="s">
        <v>21</v>
      </c>
      <c r="L2" s="12"/>
      <c r="M2" s="12"/>
      <c r="N2" s="13" t="s">
        <v>22</v>
      </c>
      <c r="O2" s="13" t="str">
        <f>VLOOKUP(A2,'[1]05-07-26'!$A$2:$T$85,20,0)</f>
        <v>W Glad ( 14 Inch ) 32     Grass</v>
      </c>
      <c r="P2" s="13" t="str">
        <f>VLOOKUP(A2,'[1]12-07-26'!$A$2:$T$90,20,0)</f>
        <v>W Glad ( 14 Inch ) 32     Grass</v>
      </c>
      <c r="Q2" s="13" t="str">
        <f>VLOOKUP(A2,'[1]19-07-26'!$A$2:$T$90,20,0)</f>
        <v>W Glad ( 14 Inch ) 30     Grass</v>
      </c>
      <c r="R2" s="13" t="e">
        <f>VLOOKUP(A2,'[1]26-07-26'!$A$2:$T$84,20,0)</f>
        <v>#N/A</v>
      </c>
      <c r="S2" s="13" t="str">
        <f>VLOOKUP(A2,'[2]02-08-26'!$A$2:$T$92,20,0)</f>
        <v>W Glad ( 14 Inch ) 32     Grass</v>
      </c>
      <c r="T2" s="13" t="s">
        <v>378</v>
      </c>
      <c r="U2" s="13">
        <v>32</v>
      </c>
      <c r="V2" s="13"/>
      <c r="W2" s="13"/>
      <c r="X2" s="13"/>
      <c r="Y2" s="13"/>
      <c r="Z2" s="13" t="s">
        <v>363</v>
      </c>
      <c r="AA2" s="13"/>
      <c r="AB2" s="13"/>
      <c r="AC2" s="13"/>
      <c r="AD2" s="13"/>
    </row>
    <row r="3" spans="1:30" ht="96.85" customHeight="1" x14ac:dyDescent="0.3">
      <c r="A3" s="1">
        <v>2467</v>
      </c>
      <c r="B3" s="9" t="s">
        <v>23</v>
      </c>
      <c r="C3" s="14">
        <v>9891144787</v>
      </c>
      <c r="D3" s="11" t="s">
        <v>24</v>
      </c>
      <c r="E3" s="11" t="s">
        <v>25</v>
      </c>
      <c r="F3" s="11" t="s">
        <v>18</v>
      </c>
      <c r="G3" s="10" t="s">
        <v>26</v>
      </c>
      <c r="H3" s="12">
        <v>1450</v>
      </c>
      <c r="I3" s="12">
        <v>362.5</v>
      </c>
      <c r="J3" s="8" t="s">
        <v>27</v>
      </c>
      <c r="K3" s="11" t="s">
        <v>28</v>
      </c>
      <c r="L3" s="12"/>
      <c r="M3" s="12"/>
      <c r="N3" s="13" t="s">
        <v>29</v>
      </c>
      <c r="O3" s="13" t="e">
        <f>VLOOKUP(A3,'[1]05-07-26'!$A$2:$T$85,20,0)</f>
        <v>#N/A</v>
      </c>
      <c r="P3" s="13" t="e">
        <f>VLOOKUP(A3,'[1]12-07-26'!$A$2:$T$90,20,0)</f>
        <v>#N/A</v>
      </c>
      <c r="Q3" s="13" t="e">
        <f>VLOOKUP(A3,'[1]19-07-26'!$A$2:$T$90,20,0)</f>
        <v>#N/A</v>
      </c>
      <c r="R3" s="13" t="e">
        <f>VLOOKUP(A3,'[1]26-07-26'!$A$2:$T$84,20,0)</f>
        <v>#N/A</v>
      </c>
      <c r="S3" s="13" t="str">
        <f>VLOOKUP(A3,'[2]02-08-26'!$A$2:$T$92,20,0)</f>
        <v>R n W Car ( 14 Inch ) 16     FF Sachet + Grass</v>
      </c>
      <c r="T3" s="13" t="s">
        <v>368</v>
      </c>
      <c r="U3" s="13">
        <v>5</v>
      </c>
      <c r="V3" s="13"/>
      <c r="W3" s="13"/>
      <c r="X3" s="13" t="s">
        <v>431</v>
      </c>
      <c r="Y3" s="13" t="s">
        <v>431</v>
      </c>
      <c r="Z3" s="13" t="s">
        <v>362</v>
      </c>
      <c r="AA3" s="13"/>
      <c r="AB3" s="13"/>
      <c r="AC3" s="13"/>
      <c r="AD3" s="13"/>
    </row>
    <row r="4" spans="1:30" ht="96.85" customHeight="1" x14ac:dyDescent="0.3">
      <c r="A4" s="1">
        <v>1898</v>
      </c>
      <c r="B4" s="15" t="s">
        <v>30</v>
      </c>
      <c r="C4" s="12">
        <v>8447778677</v>
      </c>
      <c r="D4" s="11" t="s">
        <v>31</v>
      </c>
      <c r="E4" s="11" t="s">
        <v>17</v>
      </c>
      <c r="F4" s="11" t="s">
        <v>32</v>
      </c>
      <c r="G4" s="16" t="s">
        <v>33</v>
      </c>
      <c r="H4" s="11">
        <v>1600</v>
      </c>
      <c r="I4" s="12">
        <v>200</v>
      </c>
      <c r="J4" s="11" t="s">
        <v>34</v>
      </c>
      <c r="K4" s="11" t="s">
        <v>35</v>
      </c>
      <c r="L4" s="12"/>
      <c r="M4" s="12"/>
      <c r="N4" s="13" t="s">
        <v>347</v>
      </c>
      <c r="O4" s="13" t="str">
        <f>VLOOKUP(A4,'[1]05-07-26'!$A$2:$T$85,20,0)</f>
        <v>B Daisy ( 12 Inch ) 7     Grass</v>
      </c>
      <c r="P4" s="13" t="e">
        <f>VLOOKUP(A4,'[1]12-07-26'!$A$2:$T$90,20,0)</f>
        <v>#N/A</v>
      </c>
      <c r="Q4" s="13" t="e">
        <f>VLOOKUP(A4,'[1]19-07-26'!$A$2:$T$90,20,0)</f>
        <v>#N/A</v>
      </c>
      <c r="R4" s="13" t="str">
        <f>VLOOKUP(A4,'[1]26-07-26'!$A$2:$T$84,20,0)</f>
        <v>R n W Car ( 14 Inch ) 7     FF Sachet + Grass</v>
      </c>
      <c r="S4" s="13" t="str">
        <f>VLOOKUP(A4,'[2]02-08-26'!$A$2:$T$92,20,0)</f>
        <v>Mix Glad ( 14 Inch ) 7     Grass</v>
      </c>
      <c r="T4" s="13" t="s">
        <v>351</v>
      </c>
      <c r="U4" s="13">
        <v>7</v>
      </c>
      <c r="V4" s="13"/>
      <c r="W4" s="13"/>
      <c r="X4" s="13"/>
      <c r="Y4" s="13"/>
      <c r="Z4" s="13" t="s">
        <v>362</v>
      </c>
      <c r="AA4" s="13"/>
      <c r="AB4" s="13"/>
      <c r="AC4" s="13"/>
      <c r="AD4" s="13"/>
    </row>
    <row r="5" spans="1:30" ht="96.85" customHeight="1" x14ac:dyDescent="0.3">
      <c r="A5" s="1">
        <v>571</v>
      </c>
      <c r="B5" s="9" t="s">
        <v>37</v>
      </c>
      <c r="C5" s="1">
        <v>9873099320</v>
      </c>
      <c r="D5" s="1" t="s">
        <v>38</v>
      </c>
      <c r="E5" s="8" t="s">
        <v>17</v>
      </c>
      <c r="F5" s="8" t="s">
        <v>39</v>
      </c>
      <c r="G5" s="10" t="s">
        <v>19</v>
      </c>
      <c r="H5" s="12">
        <v>1600</v>
      </c>
      <c r="I5" s="12">
        <v>200</v>
      </c>
      <c r="J5" s="11" t="s">
        <v>34</v>
      </c>
      <c r="K5" s="8" t="s">
        <v>40</v>
      </c>
      <c r="L5" s="12"/>
      <c r="M5" s="12"/>
      <c r="N5" s="13" t="s">
        <v>348</v>
      </c>
      <c r="O5" s="13" t="str">
        <f>VLOOKUP(A5,'[1]05-07-26'!$A$2:$T$85,20,0)</f>
        <v>Rajni ( 14 Inch ) 7     Grass</v>
      </c>
      <c r="P5" s="13" t="str">
        <f>VLOOKUP(A5,'[1]12-07-26'!$A$2:$T$90,20,0)</f>
        <v>Mix Alstroemeria ( 12 Inch ) 7     FF Sachet + Grass</v>
      </c>
      <c r="Q5" s="13" t="str">
        <f>VLOOKUP(A5,'[1]19-07-26'!$A$2:$T$90,20,0)</f>
        <v>Y Spray Daisy ( 14 Inch ) 2     FF Sachet + Grass</v>
      </c>
      <c r="R5" s="13" t="e">
        <f>VLOOKUP(A5,'[1]26-07-26'!$A$2:$T$84,20,0)</f>
        <v>#N/A</v>
      </c>
      <c r="S5" s="13" t="str">
        <f>VLOOKUP(A5,'[2]02-08-26'!$A$2:$T$92,20,0)</f>
        <v>Rajni ( 14 Inch ) 7     Grass</v>
      </c>
      <c r="T5" s="13" t="s">
        <v>352</v>
      </c>
      <c r="U5" s="13">
        <v>2</v>
      </c>
      <c r="V5" s="13"/>
      <c r="W5" s="13"/>
      <c r="X5" s="13"/>
      <c r="Y5" s="13"/>
      <c r="Z5" s="13" t="s">
        <v>362</v>
      </c>
      <c r="AA5" s="13"/>
      <c r="AB5" s="13"/>
      <c r="AC5" s="13"/>
      <c r="AD5" s="13"/>
    </row>
    <row r="6" spans="1:30" ht="96.85" customHeight="1" x14ac:dyDescent="0.3">
      <c r="A6" s="1">
        <v>2550</v>
      </c>
      <c r="B6" s="9" t="s">
        <v>42</v>
      </c>
      <c r="C6" s="12">
        <v>9810123062</v>
      </c>
      <c r="D6" s="11" t="s">
        <v>43</v>
      </c>
      <c r="E6" s="11" t="s">
        <v>44</v>
      </c>
      <c r="F6" s="11" t="s">
        <v>18</v>
      </c>
      <c r="G6" s="10" t="s">
        <v>19</v>
      </c>
      <c r="H6" s="12">
        <v>1450</v>
      </c>
      <c r="I6" s="12">
        <v>362.5</v>
      </c>
      <c r="J6" s="11" t="s">
        <v>27</v>
      </c>
      <c r="K6" s="11" t="s">
        <v>45</v>
      </c>
      <c r="L6" s="12"/>
      <c r="M6" s="12"/>
      <c r="N6" s="13" t="s">
        <v>36</v>
      </c>
      <c r="O6" s="13" t="str">
        <f>VLOOKUP(A6,'[1]05-07-26'!$A$2:$T$85,20,0)</f>
        <v>Sunflower ( 12 Inch ) 2 P n W Glad ( 14 Inch ) 7   FF Sachet + Grass</v>
      </c>
      <c r="P6" s="13" t="e">
        <f>VLOOKUP(A6,'[1]12-07-26'!$A$2:$T$90,20,0)</f>
        <v>#N/A</v>
      </c>
      <c r="Q6" s="13" t="str">
        <f>VLOOKUP(A6,'[1]19-07-26'!$A$2:$T$90,20,0)</f>
        <v>O Asiatic ( 14 Inch ) 2 Mix Car 7   Grass</v>
      </c>
      <c r="R6" s="13" t="str">
        <f>VLOOKUP(A6,'[1]26-07-26'!$A$2:$T$84,20,0)</f>
        <v>Sunflower ( 12 Inch ) 2 O Glad 7   FF Sachet + Grass</v>
      </c>
      <c r="S6" s="13" t="str">
        <f>VLOOKUP(A6,'[2]02-08-26'!$A$2:$T$92,20,0)</f>
        <v>W Asiatic ( 14 Inch ) 2 Mix Alstroemeria ( 12 Inch ) 7   FF Sachet + Grass</v>
      </c>
      <c r="T6" s="13" t="s">
        <v>369</v>
      </c>
      <c r="U6" s="13">
        <v>2</v>
      </c>
      <c r="V6" s="13" t="s">
        <v>357</v>
      </c>
      <c r="W6" s="13">
        <v>7</v>
      </c>
      <c r="X6" s="13"/>
      <c r="Y6" s="13"/>
      <c r="Z6" s="13" t="s">
        <v>362</v>
      </c>
      <c r="AA6" s="13"/>
      <c r="AB6" s="13"/>
      <c r="AC6" s="13"/>
      <c r="AD6" s="13"/>
    </row>
    <row r="7" spans="1:30" ht="96.85" customHeight="1" x14ac:dyDescent="0.3">
      <c r="A7" s="1">
        <v>2481</v>
      </c>
      <c r="B7" s="17" t="s">
        <v>46</v>
      </c>
      <c r="C7" s="12">
        <v>9810110847</v>
      </c>
      <c r="D7" s="11" t="s">
        <v>47</v>
      </c>
      <c r="E7" s="11" t="s">
        <v>48</v>
      </c>
      <c r="F7" s="11" t="s">
        <v>18</v>
      </c>
      <c r="G7" s="10" t="s">
        <v>19</v>
      </c>
      <c r="H7" s="12">
        <v>2300</v>
      </c>
      <c r="I7" s="12">
        <v>287.5</v>
      </c>
      <c r="J7" s="11" t="s">
        <v>49</v>
      </c>
      <c r="K7" s="11" t="s">
        <v>50</v>
      </c>
      <c r="L7" s="12"/>
      <c r="M7" s="12"/>
      <c r="N7" s="13" t="s">
        <v>347</v>
      </c>
      <c r="O7" s="13" t="str">
        <f>VLOOKUP(A7,'[1]05-07-26'!$A$2:$T$85,20,0)</f>
        <v>P n W Car ( 14 Inch ) 11     FF Sachet + Grass</v>
      </c>
      <c r="P7" s="13" t="str">
        <f>VLOOKUP(A7,'[1]12-07-26'!$A$2:$T$90,20,0)</f>
        <v>Mix Alstroemeria ( 12 Inch ) 11     FF Sachet + Grass</v>
      </c>
      <c r="Q7" s="13" t="str">
        <f>VLOOKUP(A7,'[1]19-07-26'!$A$2:$T$90,20,0)</f>
        <v>Y Spray Daisy ( 14 Inch ) 3   Collect Payment Collect Payment FF Sachet + Grass</v>
      </c>
      <c r="R7" s="13" t="str">
        <f>VLOOKUP(A7,'[1]26-07-26'!$A$2:$T$84,20,0)</f>
        <v>O Glad ( 14 Inch ) 11     Grass</v>
      </c>
      <c r="S7" s="13" t="str">
        <f>VLOOKUP(A7,'[2]02-08-26'!$A$2:$T$92,20,0)</f>
        <v>Rajni ( 14 Inch ) 11     Grass</v>
      </c>
      <c r="T7" s="13" t="s">
        <v>351</v>
      </c>
      <c r="U7" s="13">
        <v>11</v>
      </c>
      <c r="V7" s="13"/>
      <c r="W7" s="13"/>
      <c r="X7" s="13"/>
      <c r="Y7" s="13"/>
      <c r="Z7" s="13" t="s">
        <v>362</v>
      </c>
      <c r="AA7" s="13"/>
      <c r="AB7" s="13"/>
      <c r="AC7" s="13"/>
      <c r="AD7" s="13"/>
    </row>
    <row r="8" spans="1:30" ht="96.85" customHeight="1" x14ac:dyDescent="0.3">
      <c r="A8" s="1">
        <v>2878</v>
      </c>
      <c r="B8" s="9" t="s">
        <v>51</v>
      </c>
      <c r="C8" s="14">
        <v>7506091115</v>
      </c>
      <c r="D8" s="11" t="s">
        <v>52</v>
      </c>
      <c r="E8" s="11" t="s">
        <v>53</v>
      </c>
      <c r="F8" s="11" t="s">
        <v>18</v>
      </c>
      <c r="G8" s="10" t="s">
        <v>19</v>
      </c>
      <c r="H8" s="12">
        <v>1450</v>
      </c>
      <c r="I8" s="12">
        <v>362.5</v>
      </c>
      <c r="J8" s="8" t="s">
        <v>27</v>
      </c>
      <c r="K8" s="11" t="s">
        <v>54</v>
      </c>
      <c r="L8" s="12"/>
      <c r="M8" s="11" t="s">
        <v>55</v>
      </c>
      <c r="N8" s="13" t="s">
        <v>36</v>
      </c>
      <c r="O8" s="13" t="str">
        <f>VLOOKUP(A8,'[1]05-07-26'!$A$2:$T$85,20,0)</f>
        <v>Rajni ( 14 Inch ) 16     Grass</v>
      </c>
      <c r="P8" s="13" t="str">
        <f>VLOOKUP(A8,'[1]12-07-26'!$A$2:$T$90,20,0)</f>
        <v>P Asiatic ( 14 Inch ) 3     Grass</v>
      </c>
      <c r="Q8" s="13" t="str">
        <f>VLOOKUP(A8,'[1]19-07-26'!$A$2:$T$90,20,0)</f>
        <v>G n W Car ( 14 Inch ) 16     FF Sachet + Grass</v>
      </c>
      <c r="R8" s="13" t="str">
        <f>VLOOKUP(A8,'[1]26-07-26'!$A$2:$T$84,20,0)</f>
        <v>O Glad ( 14 Inch ) 16     Grass</v>
      </c>
      <c r="S8" s="13" t="str">
        <f>VLOOKUP(A8,'[2]02-08-26'!$A$2:$T$92,20,0)</f>
        <v>O n Green  Spray Daisy ( 14 Inch ) 5     FF Sachet + Grass</v>
      </c>
      <c r="T8" s="13" t="s">
        <v>351</v>
      </c>
      <c r="U8" s="13">
        <v>16</v>
      </c>
      <c r="V8" s="13"/>
      <c r="W8" s="13"/>
      <c r="X8" s="13"/>
      <c r="Y8" s="13"/>
      <c r="Z8" s="13" t="s">
        <v>362</v>
      </c>
      <c r="AA8" s="13"/>
      <c r="AB8" s="13"/>
      <c r="AC8" s="13"/>
      <c r="AD8" s="13"/>
    </row>
    <row r="9" spans="1:30" ht="96.85" customHeight="1" x14ac:dyDescent="0.3">
      <c r="A9" s="1">
        <v>2434</v>
      </c>
      <c r="B9" s="9" t="s">
        <v>56</v>
      </c>
      <c r="C9" s="12">
        <v>9825966349</v>
      </c>
      <c r="D9" s="11" t="s">
        <v>57</v>
      </c>
      <c r="E9" s="11" t="s">
        <v>48</v>
      </c>
      <c r="F9" s="11" t="s">
        <v>18</v>
      </c>
      <c r="G9" s="11" t="s">
        <v>58</v>
      </c>
      <c r="H9" s="12">
        <v>1450</v>
      </c>
      <c r="I9" s="12">
        <v>362.5</v>
      </c>
      <c r="J9" s="11" t="s">
        <v>27</v>
      </c>
      <c r="K9" s="11" t="s">
        <v>59</v>
      </c>
      <c r="L9" s="12"/>
      <c r="M9" s="11" t="s">
        <v>60</v>
      </c>
      <c r="N9" s="13" t="s">
        <v>41</v>
      </c>
      <c r="O9" s="13" t="str">
        <f>VLOOKUP(A9,'[1]05-07-26'!$A$2:$T$85,20,0)</f>
        <v>Sunflower ( 12 Inch ) 2 B Daisy ( 12 Inch ) 7   FF Sachet + Grass</v>
      </c>
      <c r="P9" s="13" t="str">
        <f>VLOOKUP(A9,'[1]12-07-26'!$A$2:$T$90,20,0)</f>
        <v>P Asiatic ( 14 Inch ) 2 Mix Alstroemeria ( 12 Inch ) 7   Grass</v>
      </c>
      <c r="Q9" s="13" t="e">
        <f>VLOOKUP(A9,'[1]19-07-26'!$A$2:$T$90,20,0)</f>
        <v>#N/A</v>
      </c>
      <c r="R9" s="13" t="str">
        <f>VLOOKUP(A9,'[1]26-07-26'!$A$2:$T$84,20,0)</f>
        <v>Sunflower ( 12 Inch ) 2 P n W Car ( 14 Inch ) 7   FF Sachet + Grass</v>
      </c>
      <c r="S9" s="13" t="str">
        <f>VLOOKUP(A9,'[2]02-08-26'!$A$2:$T$92,20,0)</f>
        <v>Pur Eustoma ( 12 Inch ) 2 P n W Car ( 14 Inch ) 7   FF Sachet + Grass</v>
      </c>
      <c r="T9" s="13" t="s">
        <v>358</v>
      </c>
      <c r="U9" s="13">
        <v>3</v>
      </c>
      <c r="V9" s="13" t="s">
        <v>354</v>
      </c>
      <c r="W9" s="13">
        <v>7</v>
      </c>
      <c r="X9" s="13"/>
      <c r="Y9" s="13"/>
      <c r="Z9" s="13" t="s">
        <v>362</v>
      </c>
      <c r="AA9" s="13"/>
      <c r="AB9" s="13"/>
      <c r="AC9" s="13"/>
      <c r="AD9" s="13"/>
    </row>
    <row r="10" spans="1:30" ht="96.85" customHeight="1" x14ac:dyDescent="0.3">
      <c r="A10" s="1">
        <v>2580</v>
      </c>
      <c r="B10" s="18" t="s">
        <v>61</v>
      </c>
      <c r="C10" s="12">
        <v>9999653332</v>
      </c>
      <c r="D10" s="11" t="s">
        <v>62</v>
      </c>
      <c r="E10" s="11" t="s">
        <v>48</v>
      </c>
      <c r="F10" s="11" t="s">
        <v>18</v>
      </c>
      <c r="G10" s="10" t="s">
        <v>19</v>
      </c>
      <c r="H10" s="12">
        <v>1450</v>
      </c>
      <c r="I10" s="12">
        <v>362.5</v>
      </c>
      <c r="J10" s="11" t="s">
        <v>27</v>
      </c>
      <c r="K10" s="11" t="s">
        <v>63</v>
      </c>
      <c r="L10" s="12"/>
      <c r="M10" s="12"/>
      <c r="N10" s="13" t="s">
        <v>36</v>
      </c>
      <c r="O10" s="13" t="str">
        <f>VLOOKUP(A10,'[1]05-07-26'!$A$2:$T$85,20,0)</f>
        <v>Sunflower ( 12 Inch ) 2 B Daisy ( 12 Inch ) 7   FF Sachet + Grass</v>
      </c>
      <c r="P10" s="13" t="str">
        <f>VLOOKUP(A10,'[1]12-07-26'!$A$2:$T$90,20,0)</f>
        <v>O Asiatic ( 14 Inch ) 2 Mix Alstroemeria ( 12 Inch ) 7   Grass</v>
      </c>
      <c r="Q10" s="13" t="str">
        <f>VLOOKUP(A10,'[1]19-07-26'!$A$2:$T$90,20,0)</f>
        <v>Y Spray Daisy ( 14 Inch ) 3 G n W Car ( 14 Inch ) 7   FF Sachet + Grass</v>
      </c>
      <c r="R10" s="13" t="str">
        <f>VLOOKUP(A10,'[1]26-07-26'!$A$2:$T$84,20,0)</f>
        <v>P Eustoma ( 12 Inch ) 2 Mix Glad ( 14 Inch ) 7   FF Sachet + Grass</v>
      </c>
      <c r="S10" s="13" t="str">
        <f>VLOOKUP(A10,'[2]02-08-26'!$A$2:$T$92,20,0)</f>
        <v>Sunflower ( 12 Inch ) 2 Mix Glad ( 14 Inch ) 7   FF Sachet + Grass</v>
      </c>
      <c r="T10" s="13" t="s">
        <v>356</v>
      </c>
      <c r="U10" s="13">
        <v>2</v>
      </c>
      <c r="V10" s="13" t="s">
        <v>351</v>
      </c>
      <c r="W10" s="13">
        <v>7</v>
      </c>
      <c r="X10" s="13"/>
      <c r="Y10" s="13"/>
      <c r="Z10" s="13" t="s">
        <v>363</v>
      </c>
      <c r="AA10" s="13"/>
      <c r="AB10" s="13"/>
      <c r="AC10" s="13"/>
      <c r="AD10" s="13"/>
    </row>
    <row r="11" spans="1:30" ht="96.85" customHeight="1" x14ac:dyDescent="0.3">
      <c r="A11" s="1">
        <v>3386</v>
      </c>
      <c r="B11" s="9" t="s">
        <v>64</v>
      </c>
      <c r="C11" s="12">
        <v>9992399954</v>
      </c>
      <c r="D11" s="11" t="s">
        <v>65</v>
      </c>
      <c r="E11" s="11" t="s">
        <v>66</v>
      </c>
      <c r="F11" s="11" t="s">
        <v>18</v>
      </c>
      <c r="G11" s="11" t="s">
        <v>67</v>
      </c>
      <c r="H11" s="12">
        <v>2750</v>
      </c>
      <c r="I11" s="12">
        <v>687.5</v>
      </c>
      <c r="J11" s="11" t="s">
        <v>430</v>
      </c>
      <c r="K11" s="11" t="s">
        <v>68</v>
      </c>
      <c r="L11" s="12"/>
      <c r="M11" s="11" t="s">
        <v>68</v>
      </c>
      <c r="N11" s="13" t="s">
        <v>69</v>
      </c>
      <c r="O11" s="13" t="str">
        <f>VLOOKUP(A11,'[1]05-07-26'!$A$2:$T$85,20,0)</f>
        <v>Rajni ( 14 Inch ) 32     2 Limonium + Grass</v>
      </c>
      <c r="P11" s="13" t="str">
        <f>VLOOKUP(A11,'[1]12-07-26'!$A$2:$T$90,20,0)</f>
        <v>Mix Alstroemeria ( 12 Inch ) 32     2 Limonium + FF Sachet</v>
      </c>
      <c r="Q11" s="13" t="str">
        <f>VLOOKUP(A11,'[1]19-07-26'!$A$2:$T$90,20,0)</f>
        <v>P n Y Spray Daisy ( 14 Inch ) 10 Pls Check with Customer for renewal and then handover    2 Gypsola + FF sachet + Grass</v>
      </c>
      <c r="R11" s="13" t="str">
        <f>VLOOKUP(A11,'[1]26-07-26'!$A$2:$T$84,20,0)</f>
        <v>W Asiatic ( 14 Inch ) 6 Pese Jarur Lene Hai  Ensure Collection and Call if not Paid Ensure Collection and Call if not Paid 2 Gypsola + Grass</v>
      </c>
      <c r="S11" s="13" t="str">
        <f>VLOOKUP(A11,'[2]02-08-26'!$A$2:$T$92,20,0)</f>
        <v xml:space="preserve">Collect Rs 1375 Carry Change Carry Receipt Bool    </v>
      </c>
      <c r="T11" s="13" t="s">
        <v>379</v>
      </c>
      <c r="U11" s="13" t="s">
        <v>380</v>
      </c>
      <c r="V11" s="13"/>
      <c r="W11" s="13"/>
      <c r="X11" s="13" t="s">
        <v>431</v>
      </c>
      <c r="Y11" s="13" t="s">
        <v>431</v>
      </c>
      <c r="Z11" s="13"/>
      <c r="AA11" s="13"/>
      <c r="AB11" s="13"/>
      <c r="AC11" s="13"/>
      <c r="AD11" s="13"/>
    </row>
    <row r="12" spans="1:30" ht="96.85" customHeight="1" x14ac:dyDescent="0.3">
      <c r="A12" s="1">
        <v>870</v>
      </c>
      <c r="B12" s="18" t="s">
        <v>70</v>
      </c>
      <c r="C12" s="1">
        <v>9892501292</v>
      </c>
      <c r="D12" s="1" t="s">
        <v>71</v>
      </c>
      <c r="E12" s="1" t="s">
        <v>17</v>
      </c>
      <c r="F12" s="8" t="s">
        <v>39</v>
      </c>
      <c r="G12" s="10" t="s">
        <v>19</v>
      </c>
      <c r="H12" s="12">
        <v>1600</v>
      </c>
      <c r="I12" s="12">
        <v>200</v>
      </c>
      <c r="J12" s="11" t="s">
        <v>34</v>
      </c>
      <c r="K12" s="8" t="s">
        <v>72</v>
      </c>
      <c r="L12" s="12"/>
      <c r="M12" s="12"/>
      <c r="N12" s="13" t="s">
        <v>349</v>
      </c>
      <c r="O12" s="13" t="str">
        <f>VLOOKUP(A12,'[1]05-07-26'!$A$2:$T$85,20,0)</f>
        <v>Mix Alstroemeria 7     Grass</v>
      </c>
      <c r="P12" s="13" t="str">
        <f>VLOOKUP(A12,'[1]12-07-26'!$A$2:$T$90,20,0)</f>
        <v>Rajni ( 14 Inch ) 7     Grass</v>
      </c>
      <c r="Q12" s="13" t="str">
        <f>VLOOKUP(A12,'[1]19-07-26'!$A$2:$T$90,20,0)</f>
        <v>Mix Glad ( 14 inch ) 7     FF Sachet + Grass</v>
      </c>
      <c r="R12" s="13" t="str">
        <f>VLOOKUP(A12,'[1]26-07-26'!$A$2:$T$84,20,0)</f>
        <v>Alstromia 7     FF Sachet + Grass</v>
      </c>
      <c r="S12" s="13" t="str">
        <f>VLOOKUP(A12,'[2]02-08-26'!$A$2:$T$92,20,0)</f>
        <v>Mix Alstroemeria ( 12 Inch ) 7     FF Sachet + Grass</v>
      </c>
      <c r="T12" s="13" t="s">
        <v>354</v>
      </c>
      <c r="U12" s="13">
        <v>7</v>
      </c>
      <c r="V12" s="13"/>
      <c r="W12" s="13"/>
      <c r="X12" s="13"/>
      <c r="Y12" s="13"/>
      <c r="Z12" s="13" t="s">
        <v>363</v>
      </c>
      <c r="AA12" s="13"/>
      <c r="AB12" s="13"/>
      <c r="AC12" s="13"/>
      <c r="AD12" s="13"/>
    </row>
    <row r="13" spans="1:30" ht="96.85" customHeight="1" x14ac:dyDescent="0.3">
      <c r="A13" s="1">
        <v>2724</v>
      </c>
      <c r="B13" s="9" t="s">
        <v>73</v>
      </c>
      <c r="C13" s="9">
        <v>9873400017</v>
      </c>
      <c r="D13" s="11" t="s">
        <v>74</v>
      </c>
      <c r="E13" s="11" t="s">
        <v>75</v>
      </c>
      <c r="F13" s="11" t="s">
        <v>18</v>
      </c>
      <c r="G13" s="12" t="s">
        <v>76</v>
      </c>
      <c r="H13" s="12">
        <v>1450</v>
      </c>
      <c r="I13" s="12">
        <v>362.5</v>
      </c>
      <c r="J13" s="11" t="s">
        <v>27</v>
      </c>
      <c r="K13" s="11" t="s">
        <v>77</v>
      </c>
      <c r="L13" s="11" t="s">
        <v>78</v>
      </c>
      <c r="M13" s="12"/>
      <c r="N13" s="13" t="s">
        <v>79</v>
      </c>
      <c r="O13" s="13" t="str">
        <f>VLOOKUP(A13,'[1]05-07-26'!$A$2:$T$85,20,0)</f>
        <v>Rajni ( 14 Inch ) 16     Grass</v>
      </c>
      <c r="P13" s="13" t="str">
        <f>VLOOKUP(A13,'[1]12-07-26'!$A$2:$T$90,20,0)</f>
        <v>O Asiatic ( 14 Inch ) 3     Grass</v>
      </c>
      <c r="Q13" s="13" t="str">
        <f>VLOOKUP(A13,'[1]19-07-26'!$A$2:$T$90,20,0)</f>
        <v>Mix Alstroemeria ( 12 Inch ) 16     FF Sachet + Grass</v>
      </c>
      <c r="R13" s="13" t="str">
        <f>VLOOKUP(A13,'[1]26-07-26'!$A$2:$T$84,20,0)</f>
        <v>P n W Spray Daosy ( 14 Inch ) 5     FF Sachet + Grass</v>
      </c>
      <c r="S13" s="13" t="str">
        <f>VLOOKUP(A13,'[2]02-08-26'!$A$2:$T$92,20,0)</f>
        <v>R n W Car ( 14 Inch ) 16     FF Sachet + Grass</v>
      </c>
      <c r="T13" s="13" t="s">
        <v>354</v>
      </c>
      <c r="U13" s="13">
        <v>16</v>
      </c>
      <c r="V13" s="13"/>
      <c r="W13" s="13"/>
      <c r="X13" s="13"/>
      <c r="Y13" s="13"/>
      <c r="Z13" s="13" t="s">
        <v>363</v>
      </c>
      <c r="AA13" s="13"/>
      <c r="AB13" s="13"/>
      <c r="AC13" s="13"/>
      <c r="AD13" s="13"/>
    </row>
    <row r="14" spans="1:30" ht="96.85" customHeight="1" x14ac:dyDescent="0.3">
      <c r="A14" s="1">
        <v>3010</v>
      </c>
      <c r="B14" s="9" t="s">
        <v>80</v>
      </c>
      <c r="C14" s="14">
        <v>9771430070</v>
      </c>
      <c r="D14" s="11" t="s">
        <v>81</v>
      </c>
      <c r="E14" s="11" t="s">
        <v>82</v>
      </c>
      <c r="F14" s="11" t="s">
        <v>18</v>
      </c>
      <c r="G14" s="10" t="s">
        <v>19</v>
      </c>
      <c r="H14" s="12">
        <v>1450</v>
      </c>
      <c r="I14" s="12">
        <v>362.5</v>
      </c>
      <c r="J14" s="8" t="s">
        <v>27</v>
      </c>
      <c r="K14" s="11" t="s">
        <v>83</v>
      </c>
      <c r="L14" s="11" t="s">
        <v>84</v>
      </c>
      <c r="M14" s="12"/>
      <c r="N14" s="13" t="s">
        <v>36</v>
      </c>
      <c r="O14" s="13" t="str">
        <f>VLOOKUP(A14,'[1]05-07-26'!$A$2:$T$85,20,0)</f>
        <v>Rajni ( 14 Inch ) 9     Grass</v>
      </c>
      <c r="P14" s="13" t="str">
        <f>VLOOKUP(A14,'[1]12-07-26'!$A$2:$T$90,20,0)</f>
        <v xml:space="preserve">O Asiatic ( 14 Inch ) 2     </v>
      </c>
      <c r="Q14" s="13" t="str">
        <f>VLOOKUP(A14,'[1]19-07-26'!$A$2:$T$90,20,0)</f>
        <v>G n W Car ( 14 Inch ) 16     FF Sachet + Grass</v>
      </c>
      <c r="R14" s="13" t="str">
        <f>VLOOKUP(A14,'[1]26-07-26'!$A$2:$T$84,20,0)</f>
        <v>P n Y Spray Daisy ( 14 Inch ) 5     FF Sachet + Grass</v>
      </c>
      <c r="S14" s="13" t="str">
        <f>VLOOKUP(A14,'[2]02-08-26'!$A$2:$T$92,20,0)</f>
        <v>Mix Glad ( 14 Inch ) 16     FF Sachet + Grass</v>
      </c>
      <c r="T14" s="13" t="s">
        <v>351</v>
      </c>
      <c r="U14" s="13">
        <v>16</v>
      </c>
      <c r="V14" s="13"/>
      <c r="W14" s="13"/>
      <c r="X14" s="13"/>
      <c r="Y14" s="13"/>
      <c r="Z14" s="13" t="s">
        <v>362</v>
      </c>
      <c r="AA14" s="13"/>
      <c r="AB14" s="13"/>
      <c r="AC14" s="13"/>
      <c r="AD14" s="13"/>
    </row>
    <row r="15" spans="1:30" ht="96.85" customHeight="1" x14ac:dyDescent="0.3">
      <c r="A15" s="1">
        <v>3277</v>
      </c>
      <c r="B15" s="9" t="s">
        <v>85</v>
      </c>
      <c r="C15" s="12">
        <v>8595180468</v>
      </c>
      <c r="D15" s="11" t="s">
        <v>86</v>
      </c>
      <c r="E15" s="11" t="s">
        <v>48</v>
      </c>
      <c r="F15" s="11" t="s">
        <v>87</v>
      </c>
      <c r="G15" s="11" t="s">
        <v>88</v>
      </c>
      <c r="H15" s="12">
        <v>10500</v>
      </c>
      <c r="I15" s="12">
        <v>350</v>
      </c>
      <c r="J15" s="8" t="s">
        <v>89</v>
      </c>
      <c r="K15" s="12"/>
      <c r="L15" s="12"/>
      <c r="M15" s="12"/>
      <c r="N15" s="13" t="s">
        <v>90</v>
      </c>
      <c r="O15" s="13" t="str">
        <f>VLOOKUP(A15,'[1]05-07-26'!$A$2:$T$85,20,0)</f>
        <v xml:space="preserve">Pooja Flowers       </v>
      </c>
      <c r="P15" s="13" t="str">
        <f>VLOOKUP(A15,'[1]12-07-26'!$A$2:$T$90,20,0)</f>
        <v xml:space="preserve">Pooja Flowes       </v>
      </c>
      <c r="Q15" s="13" t="str">
        <f>VLOOKUP(A15,'[1]19-07-26'!$A$2:$T$90,20,0)</f>
        <v xml:space="preserve">Pooja Flowers       </v>
      </c>
      <c r="R15" s="13" t="str">
        <f>VLOOKUP(A15,'[1]26-07-26'!$A$2:$T$84,20,0)</f>
        <v xml:space="preserve">Pooja Flowers       </v>
      </c>
      <c r="S15" s="13" t="str">
        <f>VLOOKUP(A15,'[2]02-08-26'!$A$2:$T$92,20,0)</f>
        <v xml:space="preserve">Pooja Flowers       </v>
      </c>
      <c r="T15" s="13" t="s">
        <v>371</v>
      </c>
      <c r="U15" s="13"/>
      <c r="V15" s="13"/>
      <c r="W15" s="13"/>
      <c r="X15" s="13"/>
      <c r="Y15" s="13"/>
      <c r="Z15" s="13"/>
      <c r="AA15" s="13"/>
      <c r="AB15" s="13"/>
      <c r="AC15" s="13"/>
      <c r="AD15" s="13"/>
    </row>
    <row r="16" spans="1:30" ht="96.85" customHeight="1" x14ac:dyDescent="0.3">
      <c r="A16" s="1">
        <v>2855</v>
      </c>
      <c r="B16" s="9" t="s">
        <v>91</v>
      </c>
      <c r="C16" s="9">
        <v>9818447542</v>
      </c>
      <c r="D16" s="11" t="s">
        <v>92</v>
      </c>
      <c r="E16" s="11" t="s">
        <v>48</v>
      </c>
      <c r="F16" s="11" t="s">
        <v>18</v>
      </c>
      <c r="G16" s="10" t="s">
        <v>19</v>
      </c>
      <c r="H16" s="12">
        <v>1950</v>
      </c>
      <c r="I16" s="12">
        <v>487.5</v>
      </c>
      <c r="J16" s="11" t="s">
        <v>93</v>
      </c>
      <c r="K16" s="12"/>
      <c r="L16" s="12"/>
      <c r="M16" s="12"/>
      <c r="N16" s="13" t="s">
        <v>36</v>
      </c>
      <c r="O16" s="13" t="str">
        <f>VLOOKUP(A16,'[1]05-07-26'!$A$2:$T$85,20,0)</f>
        <v>P Asiatic ( 14 Inch ) 2 Rajni ( 14 Inch ) 11   Grass</v>
      </c>
      <c r="P16" s="13" t="str">
        <f>VLOOKUP(A16,'[1]12-07-26'!$A$2:$T$90,20,0)</f>
        <v>P n Y Spray Daisy ( 14 Inch ) 4 P n W Glad ( 14 Inch ) 10   FF Sachet + Grass</v>
      </c>
      <c r="Q16" s="13" t="str">
        <f>VLOOKUP(A16,'[1]19-07-26'!$A$2:$T$90,20,0)</f>
        <v>Pur Eustoma ( 12 Inch ) 2 Mix Car 11   FF Sachet + Grass</v>
      </c>
      <c r="R16" s="13" t="str">
        <f>VLOOKUP(A16,'[1]26-07-26'!$A$2:$T$84,20,0)</f>
        <v>W Asiatic ( 14 Inch ) 2 Rajni 11   Grass</v>
      </c>
      <c r="S16" s="13" t="str">
        <f>VLOOKUP(A16,'[2]02-08-26'!$A$2:$T$92,20,0)</f>
        <v>Sunflower ( 12 Inch ) 3 Mix Alstroemeria ( 12 Inch ) 11   FF Sachet + Grass</v>
      </c>
      <c r="T16" s="13" t="s">
        <v>375</v>
      </c>
      <c r="U16" s="13">
        <v>4</v>
      </c>
      <c r="V16" s="13" t="s">
        <v>354</v>
      </c>
      <c r="W16" s="13">
        <v>11</v>
      </c>
      <c r="X16" s="13"/>
      <c r="Y16" s="13"/>
      <c r="Z16" s="13" t="s">
        <v>362</v>
      </c>
      <c r="AA16" s="13"/>
      <c r="AB16" s="13"/>
      <c r="AC16" s="13"/>
      <c r="AD16" s="13"/>
    </row>
    <row r="17" spans="1:30" ht="96.85" customHeight="1" x14ac:dyDescent="0.3">
      <c r="A17" s="1">
        <v>3243</v>
      </c>
      <c r="B17" s="9" t="s">
        <v>94</v>
      </c>
      <c r="C17" s="12">
        <v>9877561166</v>
      </c>
      <c r="D17" s="11" t="s">
        <v>95</v>
      </c>
      <c r="E17" s="11" t="s">
        <v>75</v>
      </c>
      <c r="F17" s="11" t="s">
        <v>18</v>
      </c>
      <c r="G17" s="10" t="s">
        <v>26</v>
      </c>
      <c r="H17" s="12">
        <v>1450</v>
      </c>
      <c r="I17" s="12">
        <v>362.5</v>
      </c>
      <c r="J17" s="8" t="s">
        <v>27</v>
      </c>
      <c r="K17" s="11" t="s">
        <v>96</v>
      </c>
      <c r="L17" s="12"/>
      <c r="M17" s="11" t="s">
        <v>97</v>
      </c>
      <c r="N17" s="13" t="s">
        <v>36</v>
      </c>
      <c r="O17" s="13" t="str">
        <f>VLOOKUP(A17,'[1]05-07-26'!$A$2:$T$85,20,0)</f>
        <v>P Asiatic ( 14 Inch ) 3     Grass</v>
      </c>
      <c r="P17" s="13" t="str">
        <f>VLOOKUP(A17,'[1]12-07-26'!$A$2:$T$90,20,0)</f>
        <v>P n Y Spray Daisy ( 14 Inch ) 5     FF Sachet + Grass</v>
      </c>
      <c r="Q17" s="13" t="str">
        <f>VLOOKUP(A17,'[1]19-07-26'!$A$2:$T$90,20,0)</f>
        <v>G n W Car ( 14 Inch ) 16     FF Sachet + Grass</v>
      </c>
      <c r="R17" s="13" t="str">
        <f>VLOOKUP(A17,'[1]26-07-26'!$A$2:$T$84,20,0)</f>
        <v>O Glad ( 14 Inch ) 16     Grass</v>
      </c>
      <c r="S17" s="13" t="str">
        <f>VLOOKUP(A17,'[2]02-08-26'!$A$2:$T$92,20,0)</f>
        <v>Mix Alstroemeria ( 12 Inch ) 16     FF Sachet + Grass</v>
      </c>
      <c r="T17" s="13" t="s">
        <v>356</v>
      </c>
      <c r="U17" s="13">
        <v>3</v>
      </c>
      <c r="V17" s="13"/>
      <c r="W17" s="13"/>
      <c r="X17" s="13"/>
      <c r="Y17" s="13"/>
      <c r="Z17" s="13" t="s">
        <v>363</v>
      </c>
      <c r="AA17" s="13"/>
      <c r="AB17" s="13"/>
      <c r="AC17" s="13"/>
      <c r="AD17" s="13"/>
    </row>
    <row r="18" spans="1:30" ht="96.85" customHeight="1" x14ac:dyDescent="0.3">
      <c r="A18" s="1">
        <v>1182</v>
      </c>
      <c r="B18" s="9" t="s">
        <v>99</v>
      </c>
      <c r="C18" s="12">
        <v>9818335503</v>
      </c>
      <c r="D18" s="11" t="s">
        <v>100</v>
      </c>
      <c r="E18" s="11" t="s">
        <v>44</v>
      </c>
      <c r="F18" s="11" t="s">
        <v>18</v>
      </c>
      <c r="G18" s="10" t="s">
        <v>58</v>
      </c>
      <c r="H18" s="11">
        <v>1450</v>
      </c>
      <c r="I18" s="12">
        <v>362.5</v>
      </c>
      <c r="J18" s="11" t="s">
        <v>27</v>
      </c>
      <c r="K18" s="11" t="s">
        <v>101</v>
      </c>
      <c r="L18" s="11" t="s">
        <v>102</v>
      </c>
      <c r="M18" s="12"/>
      <c r="N18" s="13" t="s">
        <v>36</v>
      </c>
      <c r="O18" s="13" t="e">
        <f>VLOOKUP(A18,'[1]05-07-26'!$A$2:$T$85,20,0)</f>
        <v>#N/A</v>
      </c>
      <c r="P18" s="13" t="str">
        <f>VLOOKUP(A18,'[1]12-07-26'!$A$2:$T$90,20,0)</f>
        <v>Sunflower ( 12 Inch ) 4     FF Sachet + Grass</v>
      </c>
      <c r="Q18" s="13" t="str">
        <f>VLOOKUP(A18,'[1]19-07-26'!$A$2:$T$90,20,0)</f>
        <v>Glad 16     FF Sachet + Grass</v>
      </c>
      <c r="R18" s="13" t="str">
        <f>VLOOKUP(A18,'[1]26-07-26'!$A$2:$T$84,20,0)</f>
        <v>O Asiatic ( 14 Inch ) 3     Grass</v>
      </c>
      <c r="S18" s="13" t="str">
        <f>VLOOKUP(A18,'[2]02-08-26'!$A$2:$T$92,20,0)</f>
        <v>Mix Alstroemeria ( 12 Inch ) 16     Grass</v>
      </c>
      <c r="T18" s="13" t="s">
        <v>355</v>
      </c>
      <c r="U18" s="13">
        <v>16</v>
      </c>
      <c r="V18" s="13"/>
      <c r="W18" s="13"/>
      <c r="X18" s="13"/>
      <c r="Y18" s="13"/>
      <c r="Z18" s="13" t="s">
        <v>362</v>
      </c>
      <c r="AA18" s="13"/>
      <c r="AB18" s="13"/>
      <c r="AC18" s="13"/>
      <c r="AD18" s="13"/>
    </row>
    <row r="19" spans="1:30" ht="96.85" customHeight="1" x14ac:dyDescent="0.3">
      <c r="A19" s="1">
        <v>3413</v>
      </c>
      <c r="B19" s="9" t="s">
        <v>103</v>
      </c>
      <c r="C19" s="12">
        <v>6299258813</v>
      </c>
      <c r="D19" s="11" t="s">
        <v>104</v>
      </c>
      <c r="E19" s="11" t="s">
        <v>75</v>
      </c>
      <c r="F19" s="11" t="s">
        <v>32</v>
      </c>
      <c r="G19" s="10" t="s">
        <v>19</v>
      </c>
      <c r="H19" s="12">
        <v>1450</v>
      </c>
      <c r="I19" s="12">
        <v>362.5</v>
      </c>
      <c r="J19" s="11" t="s">
        <v>27</v>
      </c>
      <c r="K19" s="11" t="s">
        <v>105</v>
      </c>
      <c r="L19" s="12"/>
      <c r="M19" s="12"/>
      <c r="N19" s="13" t="s">
        <v>36</v>
      </c>
      <c r="O19" s="13" t="e">
        <f>VLOOKUP(A19,'[1]05-07-26'!$A$2:$T$85,20,0)</f>
        <v>#N/A</v>
      </c>
      <c r="P19" s="13" t="e">
        <f>VLOOKUP(A19,'[1]12-07-26'!$A$2:$T$90,20,0)</f>
        <v>#N/A</v>
      </c>
      <c r="Q19" s="13" t="str">
        <f>VLOOKUP(A19,'[1]19-07-26'!$A$2:$T$90,20,0)</f>
        <v>G n W Car ( 14 Inch ) 16     FF Sachet + Grass</v>
      </c>
      <c r="R19" s="13" t="str">
        <f>VLOOKUP(A19,'[1]26-07-26'!$A$2:$T$84,20,0)</f>
        <v>O Asiatic ( 14 Inch ) 3     Grass</v>
      </c>
      <c r="S19" s="13" t="e">
        <f>VLOOKUP(A19,'[2]02-08-26'!$A$2:$T$92,20,0)</f>
        <v>#N/A</v>
      </c>
      <c r="T19" s="13" t="s">
        <v>368</v>
      </c>
      <c r="U19" s="13">
        <v>5</v>
      </c>
      <c r="V19" s="13"/>
      <c r="W19" s="13"/>
      <c r="X19" s="13"/>
      <c r="Y19" s="13"/>
      <c r="Z19" s="13" t="s">
        <v>362</v>
      </c>
      <c r="AA19" s="13"/>
      <c r="AB19" s="13"/>
      <c r="AC19" s="13"/>
      <c r="AD19" s="13"/>
    </row>
    <row r="20" spans="1:30" ht="96.85" customHeight="1" x14ac:dyDescent="0.3">
      <c r="A20" s="1">
        <v>1467</v>
      </c>
      <c r="B20" s="9" t="s">
        <v>106</v>
      </c>
      <c r="C20" s="12">
        <v>7838930274</v>
      </c>
      <c r="D20" s="11" t="s">
        <v>107</v>
      </c>
      <c r="E20" s="11" t="s">
        <v>82</v>
      </c>
      <c r="F20" s="11" t="s">
        <v>108</v>
      </c>
      <c r="G20" s="10" t="s">
        <v>19</v>
      </c>
      <c r="H20" s="12">
        <v>1600</v>
      </c>
      <c r="I20" s="12">
        <v>200</v>
      </c>
      <c r="J20" s="11" t="s">
        <v>34</v>
      </c>
      <c r="K20" s="11" t="s">
        <v>109</v>
      </c>
      <c r="L20" s="11" t="s">
        <v>110</v>
      </c>
      <c r="M20" s="12"/>
      <c r="N20" s="13" t="s">
        <v>349</v>
      </c>
      <c r="O20" s="13" t="str">
        <f>VLOOKUP(A20,'[1]05-07-26'!$A$2:$T$85,20,0)</f>
        <v>B Daisy ( 12 Inch ) 7     Grass</v>
      </c>
      <c r="P20" s="13" t="str">
        <f>VLOOKUP(A20,'[1]12-07-26'!$A$2:$T$90,20,0)</f>
        <v>G n W Car ( 14 Inch ) 7     FF Sachet + Grass</v>
      </c>
      <c r="Q20" s="13" t="str">
        <f>VLOOKUP(A20,'[1]19-07-26'!$A$2:$T$90,20,0)</f>
        <v>Sunflower ( 12 Inch )  2     FF Sachet + Grass</v>
      </c>
      <c r="R20" s="13" t="str">
        <f>VLOOKUP(A20,'[1]26-07-26'!$A$2:$T$84,20,0)</f>
        <v>O Glad ( 14 Inch ) 7     Grass</v>
      </c>
      <c r="S20" s="13" t="str">
        <f>VLOOKUP(A20,'[2]02-08-26'!$A$2:$T$92,20,0)</f>
        <v>Mix Alstroemeria ( 12 Inch ) 7     FF Sachet + Grass</v>
      </c>
      <c r="T20" s="13" t="s">
        <v>353</v>
      </c>
      <c r="U20" s="13">
        <v>7</v>
      </c>
      <c r="V20" s="13"/>
      <c r="W20" s="13"/>
      <c r="X20" s="13"/>
      <c r="Y20" s="13"/>
      <c r="Z20" s="13" t="s">
        <v>363</v>
      </c>
      <c r="AA20" s="13"/>
      <c r="AB20" s="13"/>
      <c r="AC20" s="13"/>
      <c r="AD20" s="13"/>
    </row>
    <row r="21" spans="1:30" ht="96.85" customHeight="1" x14ac:dyDescent="0.3">
      <c r="A21" s="8">
        <v>894</v>
      </c>
      <c r="B21" s="19" t="s">
        <v>111</v>
      </c>
      <c r="C21" s="20" t="s">
        <v>112</v>
      </c>
      <c r="D21" s="20" t="s">
        <v>113</v>
      </c>
      <c r="E21" s="8" t="s">
        <v>17</v>
      </c>
      <c r="F21" s="8" t="s">
        <v>39</v>
      </c>
      <c r="G21" s="10" t="s">
        <v>19</v>
      </c>
      <c r="H21" s="12">
        <v>3000</v>
      </c>
      <c r="I21" s="12">
        <v>375</v>
      </c>
      <c r="J21" s="11" t="s">
        <v>114</v>
      </c>
      <c r="K21" s="8" t="s">
        <v>115</v>
      </c>
      <c r="L21" s="11" t="s">
        <v>116</v>
      </c>
      <c r="M21" s="12"/>
      <c r="N21" s="13" t="s">
        <v>350</v>
      </c>
      <c r="O21" s="13" t="str">
        <f>VLOOKUP(A21,'[1]05-07-26'!$A$2:$T$85,20,0)</f>
        <v>B Daisy ( 12 Inch ) 15     Grass</v>
      </c>
      <c r="P21" s="13" t="str">
        <f>VLOOKUP(A21,'[1]12-07-26'!$A$2:$T$90,20,0)</f>
        <v>P n Y Spray Daisy ( 14 Inch ) 4     FF Sachet + Grass</v>
      </c>
      <c r="Q21" s="13" t="str">
        <f>VLOOKUP(A21,'[1]19-07-26'!$A$2:$T$90,20,0)</f>
        <v>P n Y Spray Daisy ( 14 Inch ) 4     FF Sachet + Grass</v>
      </c>
      <c r="R21" s="13" t="str">
        <f>VLOOKUP(A21,'[1]26-07-26'!$A$2:$T$84,20,0)</f>
        <v>W Oriental ( 15 Inch ) 2     Grass</v>
      </c>
      <c r="S21" s="13" t="str">
        <f>VLOOKUP(A21,'[2]02-08-26'!$A$2:$T$92,20,0)</f>
        <v>Mix Glad ( 14 Inch ) 15     Grass</v>
      </c>
      <c r="T21" s="13" t="s">
        <v>355</v>
      </c>
      <c r="U21" s="13">
        <v>15</v>
      </c>
      <c r="V21" s="13"/>
      <c r="W21" s="13"/>
      <c r="X21" s="13"/>
      <c r="Y21" s="13"/>
      <c r="Z21" s="13" t="s">
        <v>362</v>
      </c>
      <c r="AA21" s="13"/>
      <c r="AB21" s="13"/>
      <c r="AC21" s="13"/>
      <c r="AD21" s="13"/>
    </row>
    <row r="22" spans="1:30" ht="96.85" customHeight="1" x14ac:dyDescent="0.3">
      <c r="A22" s="1">
        <v>3018</v>
      </c>
      <c r="B22" s="9" t="s">
        <v>117</v>
      </c>
      <c r="C22" s="14">
        <v>9810918222</v>
      </c>
      <c r="D22" s="11" t="s">
        <v>118</v>
      </c>
      <c r="E22" s="11" t="s">
        <v>48</v>
      </c>
      <c r="F22" s="11" t="s">
        <v>18</v>
      </c>
      <c r="G22" s="10" t="s">
        <v>19</v>
      </c>
      <c r="H22" s="12">
        <v>1450</v>
      </c>
      <c r="I22" s="12">
        <v>362.5</v>
      </c>
      <c r="J22" s="8" t="s">
        <v>27</v>
      </c>
      <c r="K22" s="12"/>
      <c r="L22" s="12"/>
      <c r="M22" s="12"/>
      <c r="N22" s="13" t="s">
        <v>41</v>
      </c>
      <c r="O22" s="13" t="str">
        <f>VLOOKUP(A22,'[1]05-07-26'!$A$2:$T$85,20,0)</f>
        <v>O Asiatic ( 14 Inch ) 3     Grass</v>
      </c>
      <c r="P22" s="13" t="str">
        <f>VLOOKUP(A22,'[1]12-07-26'!$A$2:$T$90,20,0)</f>
        <v>Rajni ( 14 Inch ) 16     Grass</v>
      </c>
      <c r="Q22" s="13" t="str">
        <f>VLOOKUP(A22,'[1]19-07-26'!$A$2:$T$90,20,0)</f>
        <v>P n Y Spray Daisy ( 14 Inch ) 5     FF Sachet + Grass</v>
      </c>
      <c r="R22" s="13" t="str">
        <f>VLOOKUP(A22,'[1]26-07-26'!$A$2:$T$84,20,0)</f>
        <v>O Glad 16     FF Sachet + Grass</v>
      </c>
      <c r="S22" s="13" t="str">
        <f>VLOOKUP(A22,'[2]02-08-26'!$A$2:$T$92,20,0)</f>
        <v>R n W Car ( 14 Inch ) 16     Grass</v>
      </c>
      <c r="T22" s="13" t="s">
        <v>351</v>
      </c>
      <c r="U22" s="13">
        <v>16</v>
      </c>
      <c r="V22" s="13"/>
      <c r="W22" s="13"/>
      <c r="X22" s="13"/>
      <c r="Y22" s="13"/>
      <c r="Z22" s="13" t="s">
        <v>362</v>
      </c>
      <c r="AA22" s="13"/>
      <c r="AB22" s="13"/>
      <c r="AC22" s="13"/>
      <c r="AD22" s="13"/>
    </row>
    <row r="23" spans="1:30" ht="96.85" customHeight="1" x14ac:dyDescent="0.3">
      <c r="A23" s="1">
        <v>2997</v>
      </c>
      <c r="B23" s="9" t="s">
        <v>119</v>
      </c>
      <c r="C23" s="12">
        <v>9650897576</v>
      </c>
      <c r="D23" s="11" t="s">
        <v>120</v>
      </c>
      <c r="E23" s="11" t="s">
        <v>48</v>
      </c>
      <c r="F23" s="11" t="s">
        <v>18</v>
      </c>
      <c r="G23" s="16" t="s">
        <v>33</v>
      </c>
      <c r="H23" s="12">
        <v>1450</v>
      </c>
      <c r="I23" s="12">
        <v>362.5</v>
      </c>
      <c r="J23" s="8" t="s">
        <v>27</v>
      </c>
      <c r="K23" s="11" t="s">
        <v>121</v>
      </c>
      <c r="L23" s="11" t="s">
        <v>122</v>
      </c>
      <c r="M23" s="11" t="s">
        <v>123</v>
      </c>
      <c r="N23" s="13" t="s">
        <v>124</v>
      </c>
      <c r="O23" s="13" t="str">
        <f>VLOOKUP(A23,'[1]05-07-26'!$A$2:$T$85,20,0)</f>
        <v>P Asiatic ( 14 Inch ) 3     Grass</v>
      </c>
      <c r="P23" s="13" t="e">
        <f>VLOOKUP(A23,'[1]12-07-26'!$A$2:$T$90,20,0)</f>
        <v>#N/A</v>
      </c>
      <c r="Q23" s="13" t="str">
        <f>VLOOKUP(A23,'[1]19-07-26'!$A$2:$T$90,20,0)</f>
        <v>Pur n P Car ( 14 Inch ) 16     FF Sachet + Grass</v>
      </c>
      <c r="R23" s="13" t="str">
        <f>VLOOKUP(A23,'[1]26-07-26'!$A$2:$T$84,20,0)</f>
        <v>O Glad 16     FF Sachet + Grass</v>
      </c>
      <c r="S23" s="13" t="e">
        <f>VLOOKUP(A23,'[2]02-08-26'!$A$2:$T$92,20,0)</f>
        <v>#N/A</v>
      </c>
      <c r="T23" s="13" t="s">
        <v>365</v>
      </c>
      <c r="U23" s="13">
        <v>5</v>
      </c>
      <c r="V23" s="13"/>
      <c r="W23" s="13"/>
      <c r="X23" s="13"/>
      <c r="Y23" s="13"/>
      <c r="Z23" s="13" t="s">
        <v>362</v>
      </c>
      <c r="AA23" s="13"/>
      <c r="AB23" s="13"/>
      <c r="AC23" s="13"/>
      <c r="AD23" s="13"/>
    </row>
    <row r="24" spans="1:30" ht="96.85" customHeight="1" x14ac:dyDescent="0.3">
      <c r="A24" s="1">
        <v>2416</v>
      </c>
      <c r="B24" s="9" t="s">
        <v>125</v>
      </c>
      <c r="C24" s="14">
        <v>9810709096</v>
      </c>
      <c r="D24" s="11" t="s">
        <v>126</v>
      </c>
      <c r="E24" s="11" t="s">
        <v>17</v>
      </c>
      <c r="F24" s="11" t="s">
        <v>18</v>
      </c>
      <c r="G24" s="10" t="s">
        <v>19</v>
      </c>
      <c r="H24" s="12">
        <v>1450</v>
      </c>
      <c r="I24" s="12">
        <v>362.5</v>
      </c>
      <c r="J24" s="8" t="s">
        <v>27</v>
      </c>
      <c r="K24" s="11" t="s">
        <v>127</v>
      </c>
      <c r="L24" s="12"/>
      <c r="M24" s="12"/>
      <c r="N24" s="13" t="s">
        <v>41</v>
      </c>
      <c r="O24" s="13" t="str">
        <f>VLOOKUP(A24,'[1]05-07-26'!$A$2:$T$85,20,0)</f>
        <v>Pur n P Car ( 14 Inch ) 16     FF Sachet + Grass</v>
      </c>
      <c r="P24" s="13" t="str">
        <f>VLOOKUP(A24,'[1]12-07-26'!$A$2:$T$90,20,0)</f>
        <v>Rajni ( 14 Inch ) 16     Grass</v>
      </c>
      <c r="Q24" s="13" t="str">
        <f>VLOOKUP(A24,'[1]19-07-26'!$A$2:$T$90,20,0)</f>
        <v>P n Y Spray Daisy ( 14 Inch ) 5     FF Sachet + Grass</v>
      </c>
      <c r="R24" s="13" t="str">
        <f>VLOOKUP(A24,'[1]26-07-26'!$A$2:$T$84,20,0)</f>
        <v>O Glad ( 14 Inch ) 16     Grass</v>
      </c>
      <c r="S24" s="13" t="str">
        <f>VLOOKUP(A24,'[2]02-08-26'!$A$2:$T$92,20,0)</f>
        <v>Mix Alstroemeria ( 12 Inch ) 16     FF Sachet + Grass</v>
      </c>
      <c r="T24" s="13" t="s">
        <v>360</v>
      </c>
      <c r="U24" s="13">
        <v>3</v>
      </c>
      <c r="V24" s="13"/>
      <c r="W24" s="13"/>
      <c r="X24" s="13"/>
      <c r="Y24" s="13"/>
      <c r="Z24" s="13" t="s">
        <v>363</v>
      </c>
      <c r="AA24" s="13"/>
      <c r="AB24" s="13"/>
      <c r="AC24" s="13"/>
      <c r="AD24" s="13"/>
    </row>
    <row r="25" spans="1:30" ht="96.85" customHeight="1" x14ac:dyDescent="0.3">
      <c r="A25" s="1">
        <v>2378</v>
      </c>
      <c r="B25" s="9" t="s">
        <v>128</v>
      </c>
      <c r="C25" s="14">
        <v>9958637975</v>
      </c>
      <c r="D25" s="11" t="s">
        <v>129</v>
      </c>
      <c r="E25" s="11" t="s">
        <v>75</v>
      </c>
      <c r="F25" s="11" t="s">
        <v>18</v>
      </c>
      <c r="G25" s="12" t="s">
        <v>19</v>
      </c>
      <c r="H25" s="12">
        <v>1450</v>
      </c>
      <c r="I25" s="12">
        <v>362.5</v>
      </c>
      <c r="J25" s="8" t="s">
        <v>27</v>
      </c>
      <c r="K25" s="11" t="s">
        <v>130</v>
      </c>
      <c r="L25" s="11" t="s">
        <v>131</v>
      </c>
      <c r="M25" s="12"/>
      <c r="N25" s="13" t="s">
        <v>41</v>
      </c>
      <c r="O25" s="13" t="str">
        <f>VLOOKUP(A25,'[1]05-07-26'!$A$2:$T$85,20,0)</f>
        <v>Sunflower ( 12 Inch ) 4     FF Sachet + Grass</v>
      </c>
      <c r="P25" s="13" t="str">
        <f>VLOOKUP(A25,'[1]12-07-26'!$A$2:$T$90,20,0)</f>
        <v>Rajni ( 14 Inch ) 16     Grass</v>
      </c>
      <c r="Q25" s="13" t="str">
        <f>VLOOKUP(A25,'[1]19-07-26'!$A$2:$T$90,20,0)</f>
        <v>O Asiatic ( 14 Inch ) 3     Grass</v>
      </c>
      <c r="R25" s="13" t="str">
        <f>VLOOKUP(A25,'[1]26-07-26'!$A$2:$T$84,20,0)</f>
        <v>Mix Car 16     FF Sachet + Grass</v>
      </c>
      <c r="S25" s="13" t="str">
        <f>VLOOKUP(A25,'[2]02-08-26'!$A$2:$T$92,20,0)</f>
        <v>Mix Alstroemeria ( 12 Inch ) 16     FF Sachet + Grass</v>
      </c>
      <c r="T25" s="13" t="s">
        <v>368</v>
      </c>
      <c r="U25" s="13">
        <v>5</v>
      </c>
      <c r="V25" s="13"/>
      <c r="W25" s="13"/>
      <c r="X25" s="13"/>
      <c r="Y25" s="13"/>
      <c r="Z25" s="13" t="s">
        <v>362</v>
      </c>
      <c r="AA25" s="13"/>
      <c r="AB25" s="13"/>
      <c r="AC25" s="13"/>
      <c r="AD25" s="13"/>
    </row>
    <row r="26" spans="1:30" ht="96.85" customHeight="1" x14ac:dyDescent="0.3">
      <c r="A26" s="1">
        <v>1899</v>
      </c>
      <c r="B26" s="9" t="s">
        <v>132</v>
      </c>
      <c r="C26" s="12">
        <v>9811227080</v>
      </c>
      <c r="D26" s="11" t="s">
        <v>133</v>
      </c>
      <c r="E26" s="11" t="s">
        <v>134</v>
      </c>
      <c r="F26" s="11" t="s">
        <v>108</v>
      </c>
      <c r="G26" s="10" t="s">
        <v>19</v>
      </c>
      <c r="H26" s="11">
        <v>4850</v>
      </c>
      <c r="I26" s="12">
        <v>606.25</v>
      </c>
      <c r="J26" s="21" t="s">
        <v>135</v>
      </c>
      <c r="K26" s="11" t="s">
        <v>136</v>
      </c>
      <c r="L26" s="12"/>
      <c r="M26" s="12"/>
      <c r="N26" s="13" t="s">
        <v>350</v>
      </c>
      <c r="O26" s="13" t="str">
        <f>VLOOKUP(A26,'[1]05-07-26'!$A$2:$T$85,20,0)</f>
        <v>B Daisy ( 12 Inch ) 26     Grass</v>
      </c>
      <c r="P26" s="13" t="str">
        <f>VLOOKUP(A26,'[1]12-07-26'!$A$2:$T$90,20,0)</f>
        <v>Y Asiatic ( 14 Inch ) 6     Grass</v>
      </c>
      <c r="Q26" s="13" t="str">
        <f>VLOOKUP(A26,'[1]19-07-26'!$A$2:$T$90,20,0)</f>
        <v>G n W Car ( 14 Inch ) 26     FF Sachet + Grass</v>
      </c>
      <c r="R26" s="13" t="str">
        <f>VLOOKUP(A26,'[1]26-07-26'!$A$2:$T$84,20,0)</f>
        <v>W Oriental ( 15 Inch ) 4     Grass</v>
      </c>
      <c r="S26" s="13" t="str">
        <f>VLOOKUP(A26,'[2]02-08-26'!$A$2:$T$92,20,0)</f>
        <v>Mix Glad ( 14 Inch ) 20     Grass</v>
      </c>
      <c r="T26" s="13" t="s">
        <v>356</v>
      </c>
      <c r="U26" s="13">
        <v>6</v>
      </c>
      <c r="V26" s="13"/>
      <c r="W26" s="13"/>
      <c r="X26" s="13"/>
      <c r="Y26" s="13"/>
      <c r="Z26" s="13" t="s">
        <v>363</v>
      </c>
      <c r="AA26" s="13"/>
      <c r="AB26" s="13"/>
      <c r="AC26" s="13"/>
      <c r="AD26" s="13"/>
    </row>
    <row r="27" spans="1:30" ht="96.85" customHeight="1" x14ac:dyDescent="0.3">
      <c r="A27" s="1">
        <v>234</v>
      </c>
      <c r="B27" s="18" t="s">
        <v>137</v>
      </c>
      <c r="C27" s="1">
        <v>9810390185</v>
      </c>
      <c r="D27" s="1" t="s">
        <v>138</v>
      </c>
      <c r="E27" s="11" t="s">
        <v>48</v>
      </c>
      <c r="F27" s="8" t="s">
        <v>18</v>
      </c>
      <c r="G27" s="10" t="s">
        <v>19</v>
      </c>
      <c r="H27" s="12">
        <v>1450</v>
      </c>
      <c r="I27" s="12">
        <v>362.5</v>
      </c>
      <c r="J27" s="11" t="s">
        <v>27</v>
      </c>
      <c r="K27" s="8" t="s">
        <v>139</v>
      </c>
      <c r="L27" s="11" t="s">
        <v>140</v>
      </c>
      <c r="M27" s="12"/>
      <c r="N27" s="13" t="s">
        <v>41</v>
      </c>
      <c r="O27" s="13" t="str">
        <f>VLOOKUP(A27,'[1]05-07-26'!$A$2:$T$85,20,0)</f>
        <v>Rajni ( 14 Inch ) 16     Grass</v>
      </c>
      <c r="P27" s="13" t="str">
        <f>VLOOKUP(A27,'[1]12-07-26'!$A$2:$T$90,20,0)</f>
        <v>Sunflower ( 12 Inch ) 4     FF Sachet + Grass</v>
      </c>
      <c r="Q27" s="13" t="str">
        <f>VLOOKUP(A27,'[1]19-07-26'!$A$2:$T$90,20,0)</f>
        <v>Mix Glad ( 14 inch ) 16     Grass</v>
      </c>
      <c r="R27" s="13" t="str">
        <f>VLOOKUP(A27,'[1]26-07-26'!$A$2:$T$84,20,0)</f>
        <v>P n Y Spray Daisy ( 14 Inch ) 5     FF Sachet + Grass</v>
      </c>
      <c r="S27" s="13" t="str">
        <f>VLOOKUP(A27,'[2]02-08-26'!$A$2:$T$92,20,0)</f>
        <v>R n W Car ( 14 Inch ) 16     FF Sachet + Grass</v>
      </c>
      <c r="T27" s="13" t="s">
        <v>360</v>
      </c>
      <c r="U27" s="13">
        <v>3</v>
      </c>
      <c r="V27" s="13"/>
      <c r="W27" s="13"/>
      <c r="X27" s="13"/>
      <c r="Y27" s="13"/>
      <c r="Z27" s="13" t="s">
        <v>363</v>
      </c>
      <c r="AA27" s="13"/>
      <c r="AB27" s="13"/>
      <c r="AC27" s="13"/>
      <c r="AD27" s="13"/>
    </row>
    <row r="28" spans="1:30" ht="96.85" customHeight="1" x14ac:dyDescent="0.3">
      <c r="A28" s="1">
        <v>3252</v>
      </c>
      <c r="B28" s="9" t="s">
        <v>141</v>
      </c>
      <c r="C28" s="12">
        <v>9999887549</v>
      </c>
      <c r="D28" s="11" t="s">
        <v>142</v>
      </c>
      <c r="E28" s="11" t="s">
        <v>48</v>
      </c>
      <c r="F28" s="11" t="s">
        <v>18</v>
      </c>
      <c r="G28" s="10" t="s">
        <v>58</v>
      </c>
      <c r="H28" s="11">
        <v>1450</v>
      </c>
      <c r="I28" s="12">
        <v>362.5</v>
      </c>
      <c r="J28" s="11" t="s">
        <v>27</v>
      </c>
      <c r="K28" s="11" t="s">
        <v>143</v>
      </c>
      <c r="L28" s="12"/>
      <c r="M28" s="12"/>
      <c r="N28" s="13" t="s">
        <v>41</v>
      </c>
      <c r="O28" s="13" t="str">
        <f>VLOOKUP(A28,'[1]05-07-26'!$A$2:$T$85,20,0)</f>
        <v>Rajni ( 14 Inch ) 16     Grass</v>
      </c>
      <c r="P28" s="13" t="str">
        <f>VLOOKUP(A28,'[1]12-07-26'!$A$2:$T$90,20,0)</f>
        <v>Sunflower ( 12 Inch ) 4     FF Sachet + Grass</v>
      </c>
      <c r="Q28" s="13" t="str">
        <f>VLOOKUP(A28,'[1]19-07-26'!$A$2:$T$90,20,0)</f>
        <v>Mix Glad ( 14 inch ) 16     Grass</v>
      </c>
      <c r="R28" s="13" t="str">
        <f>VLOOKUP(A28,'[1]26-07-26'!$A$2:$T$84,20,0)</f>
        <v>O Asiatic ( 14 Inch ) 3     Grass</v>
      </c>
      <c r="S28" s="13" t="str">
        <f>VLOOKUP(A28,'[2]02-08-26'!$A$2:$T$92,20,0)</f>
        <v>Mix Alstroemeria ( 12 Inch ) 16     Grass</v>
      </c>
      <c r="T28" s="13" t="s">
        <v>355</v>
      </c>
      <c r="U28" s="13">
        <v>16</v>
      </c>
      <c r="V28" s="13"/>
      <c r="W28" s="13"/>
      <c r="X28" s="13"/>
      <c r="Y28" s="13"/>
      <c r="Z28" s="13" t="s">
        <v>362</v>
      </c>
      <c r="AA28" s="13"/>
      <c r="AB28" s="13"/>
      <c r="AC28" s="13"/>
      <c r="AD28" s="13"/>
    </row>
    <row r="29" spans="1:30" ht="96.85" customHeight="1" x14ac:dyDescent="0.3">
      <c r="A29" s="1">
        <v>237</v>
      </c>
      <c r="B29" s="22" t="s">
        <v>144</v>
      </c>
      <c r="C29" s="1">
        <v>8860079525</v>
      </c>
      <c r="D29" s="1" t="s">
        <v>145</v>
      </c>
      <c r="E29" s="1" t="s">
        <v>146</v>
      </c>
      <c r="F29" s="8" t="s">
        <v>18</v>
      </c>
      <c r="G29" s="10" t="s">
        <v>19</v>
      </c>
      <c r="H29" s="12">
        <v>3000</v>
      </c>
      <c r="I29" s="12">
        <v>375</v>
      </c>
      <c r="J29" s="8" t="s">
        <v>89</v>
      </c>
      <c r="K29" s="8" t="s">
        <v>147</v>
      </c>
      <c r="L29" s="12"/>
      <c r="M29" s="12"/>
      <c r="N29" s="13" t="s">
        <v>148</v>
      </c>
      <c r="O29" s="13" t="str">
        <f>VLOOKUP(A29,'[1]05-07-26'!$A$2:$T$85,20,0)</f>
        <v>Rajni ( 14 Inch ) 15     Grass</v>
      </c>
      <c r="P29" s="13" t="str">
        <f>VLOOKUP(A29,'[1]12-07-26'!$A$2:$T$90,20,0)</f>
        <v xml:space="preserve">Mix Alstroemeria ( 12 Inch ) 12     </v>
      </c>
      <c r="Q29" s="13" t="str">
        <f>VLOOKUP(A29,'[1]19-07-26'!$A$2:$T$90,20,0)</f>
        <v>Mix Glad ( 14 inch ) 15     Grass</v>
      </c>
      <c r="R29" s="13" t="str">
        <f>VLOOKUP(A29,'[1]26-07-26'!$A$2:$T$84,20,0)</f>
        <v xml:space="preserve">Mix Spray Daisy 5     </v>
      </c>
      <c r="S29" s="13" t="str">
        <f>VLOOKUP(A29,'[2]02-08-26'!$A$2:$T$92,20,0)</f>
        <v xml:space="preserve">W Asiatic ( 14 Inch ) 3     </v>
      </c>
      <c r="T29" s="13" t="s">
        <v>368</v>
      </c>
      <c r="U29" s="13">
        <v>4</v>
      </c>
      <c r="V29" s="13"/>
      <c r="W29" s="13"/>
      <c r="X29" s="13"/>
      <c r="Y29" s="13"/>
      <c r="Z29" s="13"/>
      <c r="AA29" s="13"/>
      <c r="AB29" s="13"/>
      <c r="AC29" s="13"/>
      <c r="AD29" s="13"/>
    </row>
    <row r="30" spans="1:30" ht="96.85" customHeight="1" x14ac:dyDescent="0.3">
      <c r="A30" s="1">
        <v>3274</v>
      </c>
      <c r="B30" s="9" t="s">
        <v>149</v>
      </c>
      <c r="C30" s="12">
        <v>9810401220</v>
      </c>
      <c r="D30" s="11" t="s">
        <v>150</v>
      </c>
      <c r="E30" s="11" t="s">
        <v>134</v>
      </c>
      <c r="F30" s="11" t="s">
        <v>18</v>
      </c>
      <c r="G30" s="10" t="s">
        <v>19</v>
      </c>
      <c r="H30" s="12">
        <v>1950</v>
      </c>
      <c r="I30" s="12">
        <v>487.5</v>
      </c>
      <c r="J30" s="11" t="s">
        <v>93</v>
      </c>
      <c r="K30" s="11" t="s">
        <v>151</v>
      </c>
      <c r="L30" s="11" t="s">
        <v>152</v>
      </c>
      <c r="M30" s="11" t="s">
        <v>153</v>
      </c>
      <c r="N30" s="13" t="s">
        <v>41</v>
      </c>
      <c r="O30" s="13" t="str">
        <f>VLOOKUP(A30,'[1]05-07-26'!$A$2:$T$85,20,0)</f>
        <v>Rajni ( 14 Inch ) 22     Grass</v>
      </c>
      <c r="P30" s="13" t="str">
        <f>VLOOKUP(A30,'[1]12-07-26'!$A$2:$T$90,20,0)</f>
        <v>P n Y Spray Daisy ( 14 Inch ) 7     FF Sachet + Grass</v>
      </c>
      <c r="Q30" s="13" t="str">
        <f>VLOOKUP(A30,'[1]19-07-26'!$A$2:$T$90,20,0)</f>
        <v>Mix Glad ( 14 inch ) 22     Grass</v>
      </c>
      <c r="R30" s="13" t="str">
        <f>VLOOKUP(A30,'[1]26-07-26'!$A$2:$T$84,20,0)</f>
        <v>R n W Car ( 14 Inch ) 22     FF Sachet + Grass</v>
      </c>
      <c r="S30" s="13" t="str">
        <f>VLOOKUP(A30,'[2]02-08-26'!$A$2:$T$92,20,0)</f>
        <v>P Asiatic ( 14 Inch ) 4     Grass</v>
      </c>
      <c r="T30" s="13" t="s">
        <v>351</v>
      </c>
      <c r="U30" s="13">
        <v>22</v>
      </c>
      <c r="V30" s="13"/>
      <c r="W30" s="13"/>
      <c r="X30" s="13"/>
      <c r="Y30" s="13"/>
      <c r="Z30" s="13" t="s">
        <v>362</v>
      </c>
      <c r="AA30" s="13"/>
      <c r="AB30" s="13"/>
      <c r="AC30" s="13"/>
      <c r="AD30" s="13"/>
    </row>
    <row r="31" spans="1:30" ht="96.85" customHeight="1" x14ac:dyDescent="0.3">
      <c r="A31" s="1">
        <v>3284</v>
      </c>
      <c r="B31" s="9" t="s">
        <v>154</v>
      </c>
      <c r="C31" s="11" t="s">
        <v>155</v>
      </c>
      <c r="D31" s="11" t="s">
        <v>156</v>
      </c>
      <c r="E31" s="11" t="s">
        <v>48</v>
      </c>
      <c r="F31" s="11" t="s">
        <v>18</v>
      </c>
      <c r="G31" s="16" t="s">
        <v>157</v>
      </c>
      <c r="H31" s="12">
        <v>1950</v>
      </c>
      <c r="I31" s="12">
        <v>487.5</v>
      </c>
      <c r="J31" s="11" t="s">
        <v>93</v>
      </c>
      <c r="K31" s="11" t="s">
        <v>158</v>
      </c>
      <c r="L31" s="12"/>
      <c r="M31" s="12"/>
      <c r="N31" s="13" t="s">
        <v>41</v>
      </c>
      <c r="O31" s="13" t="str">
        <f>VLOOKUP(A31,'[1]05-07-26'!$A$2:$T$85,20,0)</f>
        <v>Rajni ( 14 Inch ) 22     Grass</v>
      </c>
      <c r="P31" s="13" t="str">
        <f>VLOOKUP(A31,'[1]12-07-26'!$A$2:$T$90,20,0)</f>
        <v>P Asiatic ( 14 Inch ) 4     Grass</v>
      </c>
      <c r="Q31" s="13" t="str">
        <f>VLOOKUP(A31,'[1]19-07-26'!$A$2:$T$90,20,0)</f>
        <v>Mix Spray Daisy 7     FF Sachet + Grass</v>
      </c>
      <c r="R31" s="13" t="str">
        <f>VLOOKUP(A31,'[1]26-07-26'!$A$2:$T$84,20,0)</f>
        <v>Shd Pur n Y  Car 14     FF Sachet + Grass</v>
      </c>
      <c r="S31" s="13" t="str">
        <f>VLOOKUP(A31,'[2]02-08-26'!$A$2:$T$92,20,0)</f>
        <v>Mix Glad ( 14 Inch ) 22     Grass</v>
      </c>
      <c r="T31" s="13" t="s">
        <v>376</v>
      </c>
      <c r="U31" s="13">
        <v>4</v>
      </c>
      <c r="V31" s="13"/>
      <c r="W31" s="13"/>
      <c r="X31" s="13"/>
      <c r="Y31" s="13"/>
      <c r="Z31" s="13" t="s">
        <v>362</v>
      </c>
      <c r="AA31" s="13"/>
      <c r="AB31" s="13"/>
      <c r="AC31" s="13"/>
      <c r="AD31" s="13"/>
    </row>
    <row r="32" spans="1:30" ht="96.85" customHeight="1" x14ac:dyDescent="0.3">
      <c r="A32" s="1">
        <v>257</v>
      </c>
      <c r="B32" s="9" t="s">
        <v>159</v>
      </c>
      <c r="C32" s="1">
        <v>9818871139</v>
      </c>
      <c r="D32" s="1" t="s">
        <v>160</v>
      </c>
      <c r="E32" s="1" t="s">
        <v>53</v>
      </c>
      <c r="F32" s="8" t="s">
        <v>18</v>
      </c>
      <c r="G32" s="10" t="s">
        <v>19</v>
      </c>
      <c r="H32" s="12">
        <v>1450</v>
      </c>
      <c r="I32" s="12">
        <v>362.5</v>
      </c>
      <c r="J32" s="11" t="s">
        <v>27</v>
      </c>
      <c r="K32" s="8" t="s">
        <v>161</v>
      </c>
      <c r="L32" s="12"/>
      <c r="M32" s="12"/>
      <c r="N32" s="13" t="s">
        <v>124</v>
      </c>
      <c r="O32" s="13" t="str">
        <f>VLOOKUP(A32,'[1]05-07-26'!$A$2:$T$85,20,0)</f>
        <v>Rajni ( 14 Inch ) 16     Grass</v>
      </c>
      <c r="P32" s="13" t="str">
        <f>VLOOKUP(A32,'[1]12-07-26'!$A$2:$T$90,20,0)</f>
        <v>Sunflower ( 12 Inch ) 4     FF Sachet + Grass</v>
      </c>
      <c r="Q32" s="13" t="str">
        <f>VLOOKUP(A32,'[1]19-07-26'!$A$2:$T$90,20,0)</f>
        <v>Mix Alstroemeria ( 12 Inch ) 16     FF Sachet + Grass</v>
      </c>
      <c r="R32" s="13" t="e">
        <f>VLOOKUP(A32,'[1]26-07-26'!$A$2:$T$84,20,0)</f>
        <v>#N/A</v>
      </c>
      <c r="S32" s="13" t="e">
        <f>VLOOKUP(A32,'[2]02-08-26'!$A$2:$T$92,20,0)</f>
        <v>#N/A</v>
      </c>
      <c r="T32" s="13" t="s">
        <v>370</v>
      </c>
      <c r="U32" s="13">
        <v>3</v>
      </c>
      <c r="V32" s="13"/>
      <c r="W32" s="13"/>
      <c r="X32" s="13"/>
      <c r="Y32" s="13"/>
      <c r="Z32" s="13" t="s">
        <v>363</v>
      </c>
      <c r="AA32" s="13"/>
      <c r="AB32" s="13"/>
      <c r="AC32" s="13"/>
      <c r="AD32" s="13"/>
    </row>
    <row r="33" spans="1:30" ht="96.85" customHeight="1" x14ac:dyDescent="0.3">
      <c r="A33" s="1">
        <v>401</v>
      </c>
      <c r="B33" s="9" t="s">
        <v>162</v>
      </c>
      <c r="C33" s="1">
        <v>9899240454</v>
      </c>
      <c r="D33" s="8" t="s">
        <v>163</v>
      </c>
      <c r="E33" s="8" t="s">
        <v>17</v>
      </c>
      <c r="F33" s="8" t="s">
        <v>39</v>
      </c>
      <c r="G33" s="10" t="s">
        <v>164</v>
      </c>
      <c r="H33" s="12">
        <v>1600</v>
      </c>
      <c r="I33" s="12">
        <v>200</v>
      </c>
      <c r="J33" s="11" t="s">
        <v>34</v>
      </c>
      <c r="K33" s="8" t="s">
        <v>165</v>
      </c>
      <c r="L33" s="12"/>
      <c r="M33" s="11" t="s">
        <v>166</v>
      </c>
      <c r="N33" s="13" t="s">
        <v>350</v>
      </c>
      <c r="O33" s="13" t="str">
        <f>VLOOKUP(A33,'[1]05-07-26'!$A$2:$T$85,20,0)</f>
        <v>B Daisy ( 12 Inch ) 7     Grass</v>
      </c>
      <c r="P33" s="13" t="str">
        <f>VLOOKUP(A33,'[1]12-07-26'!$A$2:$T$90,20,0)</f>
        <v>Y Spray Daisy ( 14 Inch ) 2     FF Sachet + Grass</v>
      </c>
      <c r="Q33" s="13" t="str">
        <f>VLOOKUP(A33,'[1]19-07-26'!$A$2:$T$90,20,0)</f>
        <v>Mix Glad ( 14 inch ) 7     Grass</v>
      </c>
      <c r="R33" s="13" t="str">
        <f>VLOOKUP(A33,'[1]26-07-26'!$A$2:$T$84,20,0)</f>
        <v>Sunflower ( 12 Inch ) 2     FF Sachet + Grass</v>
      </c>
      <c r="S33" s="13" t="str">
        <f>VLOOKUP(A33,'[2]02-08-26'!$A$2:$T$92,20,0)</f>
        <v>P Spray Daisy ( 14 Inch ) 2     FF Sachet + Grass</v>
      </c>
      <c r="T33" s="13" t="s">
        <v>357</v>
      </c>
      <c r="U33" s="13">
        <v>7</v>
      </c>
      <c r="V33" s="13"/>
      <c r="W33" s="13"/>
      <c r="X33" s="13"/>
      <c r="Y33" s="13"/>
      <c r="Z33" s="13" t="s">
        <v>362</v>
      </c>
      <c r="AA33" s="13"/>
      <c r="AB33" s="13"/>
      <c r="AC33" s="13"/>
      <c r="AD33" s="13"/>
    </row>
    <row r="34" spans="1:30" ht="96.85" customHeight="1" x14ac:dyDescent="0.3">
      <c r="A34" s="1">
        <v>2592</v>
      </c>
      <c r="B34" s="23" t="s">
        <v>167</v>
      </c>
      <c r="C34" s="14">
        <v>9899779181</v>
      </c>
      <c r="D34" s="11" t="s">
        <v>168</v>
      </c>
      <c r="E34" s="11" t="s">
        <v>44</v>
      </c>
      <c r="F34" s="11" t="s">
        <v>18</v>
      </c>
      <c r="G34" s="10" t="s">
        <v>58</v>
      </c>
      <c r="H34" s="12">
        <v>1450</v>
      </c>
      <c r="I34" s="12">
        <v>362.5</v>
      </c>
      <c r="J34" s="8" t="s">
        <v>169</v>
      </c>
      <c r="K34" s="11" t="s">
        <v>170</v>
      </c>
      <c r="L34" s="12"/>
      <c r="M34" s="12"/>
      <c r="N34" s="13" t="s">
        <v>171</v>
      </c>
      <c r="O34" s="13" t="str">
        <f>VLOOKUP(A34,'[1]05-07-26'!$A$2:$T$85,20,0)</f>
        <v>Rajni ( 14 Inch ) 9     Grass</v>
      </c>
      <c r="P34" s="13" t="str">
        <f>VLOOKUP(A34,'[1]12-07-26'!$A$2:$T$90,20,0)</f>
        <v>G n W Car ( 14 Inch ) 9     FF Sachet + Grass</v>
      </c>
      <c r="Q34" s="13" t="str">
        <f>VLOOKUP(A34,'[1]19-07-26'!$A$2:$T$90,20,0)</f>
        <v>Y Spray Daisy ( 14 Inch ) 3     FF Sachet + Grass</v>
      </c>
      <c r="R34" s="13" t="str">
        <f>VLOOKUP(A34,'[1]26-07-26'!$A$2:$T$84,20,0)</f>
        <v>O Glad ( 14 Inch ) 16     Grass</v>
      </c>
      <c r="S34" s="13" t="str">
        <f>VLOOKUP(A34,'[2]02-08-26'!$A$2:$T$92,20,0)</f>
        <v>W Asiatic ( 14 Inch ) 3     Grass</v>
      </c>
      <c r="T34" s="13" t="s">
        <v>351</v>
      </c>
      <c r="U34" s="13">
        <v>16</v>
      </c>
      <c r="V34" s="13"/>
      <c r="W34" s="13"/>
      <c r="X34" s="13"/>
      <c r="Y34" s="13"/>
      <c r="Z34" s="13" t="s">
        <v>362</v>
      </c>
      <c r="AA34" s="13"/>
      <c r="AB34" s="13"/>
      <c r="AC34" s="13"/>
      <c r="AD34" s="13"/>
    </row>
    <row r="35" spans="1:30" ht="96.85" customHeight="1" x14ac:dyDescent="0.3">
      <c r="A35" s="1">
        <v>3245</v>
      </c>
      <c r="B35" s="9" t="s">
        <v>172</v>
      </c>
      <c r="C35" s="12">
        <v>9999903582</v>
      </c>
      <c r="D35" s="11" t="s">
        <v>173</v>
      </c>
      <c r="E35" s="11" t="s">
        <v>75</v>
      </c>
      <c r="F35" s="11" t="s">
        <v>18</v>
      </c>
      <c r="G35" s="10" t="s">
        <v>19</v>
      </c>
      <c r="H35" s="12">
        <v>1450</v>
      </c>
      <c r="I35" s="12">
        <v>362.5</v>
      </c>
      <c r="J35" s="8" t="s">
        <v>27</v>
      </c>
      <c r="K35" s="11" t="s">
        <v>174</v>
      </c>
      <c r="L35" s="12"/>
      <c r="M35" s="12"/>
      <c r="N35" s="13" t="s">
        <v>124</v>
      </c>
      <c r="O35" s="13" t="str">
        <f>VLOOKUP(A35,'[1]05-07-26'!$A$2:$T$85,20,0)</f>
        <v>Rajni ( 14 Inch ) 16     Grass</v>
      </c>
      <c r="P35" s="13" t="str">
        <f>VLOOKUP(A35,'[1]12-07-26'!$A$2:$T$90,20,0)</f>
        <v>G n W Car ( 14 Inch ) 16     Grass</v>
      </c>
      <c r="Q35" s="13" t="str">
        <f>VLOOKUP(A35,'[1]19-07-26'!$A$2:$T$90,20,0)</f>
        <v>P n Y Spray Daisy ( 14 Inch ) 5     FF Sachet + Grass</v>
      </c>
      <c r="R35" s="13" t="str">
        <f>VLOOKUP(A35,'[1]26-07-26'!$A$2:$T$84,20,0)</f>
        <v>O Glad ( 14 Inch ) 16     Grass</v>
      </c>
      <c r="S35" s="13" t="str">
        <f>VLOOKUP(A35,'[2]02-08-26'!$A$2:$T$92,20,0)</f>
        <v>Mix Alstroemeria ( 12 Inch ) 16     Grass</v>
      </c>
      <c r="T35" s="13" t="s">
        <v>370</v>
      </c>
      <c r="U35" s="13">
        <v>3</v>
      </c>
      <c r="V35" s="13"/>
      <c r="W35" s="13"/>
      <c r="X35" s="13"/>
      <c r="Y35" s="13"/>
      <c r="Z35" s="13" t="s">
        <v>363</v>
      </c>
      <c r="AA35" s="13"/>
      <c r="AB35" s="13"/>
      <c r="AC35" s="13"/>
      <c r="AD35" s="13"/>
    </row>
    <row r="36" spans="1:30" ht="96.85" customHeight="1" x14ac:dyDescent="0.3">
      <c r="A36" s="1">
        <v>3282</v>
      </c>
      <c r="B36" s="9" t="s">
        <v>175</v>
      </c>
      <c r="C36" s="12">
        <v>9650723437</v>
      </c>
      <c r="D36" s="11" t="s">
        <v>176</v>
      </c>
      <c r="E36" s="11" t="s">
        <v>44</v>
      </c>
      <c r="F36" s="11" t="s">
        <v>18</v>
      </c>
      <c r="G36" s="16" t="s">
        <v>33</v>
      </c>
      <c r="H36" s="12">
        <v>1950</v>
      </c>
      <c r="I36" s="12">
        <v>487.5</v>
      </c>
      <c r="J36" s="11" t="s">
        <v>93</v>
      </c>
      <c r="K36" s="11" t="s">
        <v>177</v>
      </c>
      <c r="L36" s="12"/>
      <c r="M36" s="12"/>
      <c r="N36" s="13" t="s">
        <v>41</v>
      </c>
      <c r="O36" s="13" t="str">
        <f>VLOOKUP(A36,'[1]05-07-26'!$A$2:$T$85,20,0)</f>
        <v>O Asiatic ( 14 Inch ) 2 P n W Glad ( 14 Inch ) 11   Grass</v>
      </c>
      <c r="P36" s="13" t="str">
        <f>VLOOKUP(A36,'[1]12-07-26'!$A$2:$T$90,20,0)</f>
        <v>P n Y Spray Daisy ( 14 Inch ) 4 Mix Carnation 10   FF Sachet + Grass</v>
      </c>
      <c r="Q36" s="13" t="str">
        <f>VLOOKUP(A36,'[1]19-07-26'!$A$2:$T$90,20,0)</f>
        <v>Pur Eustoma ( 12 Inch ) 2 Rajni 11   FF Sachet + Grass</v>
      </c>
      <c r="R36" s="13" t="str">
        <f>VLOOKUP(A36,'[1]26-07-26'!$A$2:$T$84,20,0)</f>
        <v>Sunflower ( 12 Inch ) 3 O Glad 11   FF Sachet + Grass</v>
      </c>
      <c r="S36" s="13" t="str">
        <f>VLOOKUP(A36,'[2]02-08-26'!$A$2:$T$92,20,0)</f>
        <v>W Asiatic ( 14 Inch ) 2 Mix Alstroemeria ( 12 Inch ) 11   FF Sachet + Grass</v>
      </c>
      <c r="T36" s="13" t="s">
        <v>368</v>
      </c>
      <c r="U36" s="13">
        <v>4</v>
      </c>
      <c r="V36" s="13" t="s">
        <v>357</v>
      </c>
      <c r="W36" s="13">
        <v>11</v>
      </c>
      <c r="X36" s="13"/>
      <c r="Y36" s="13"/>
      <c r="Z36" s="13" t="s">
        <v>362</v>
      </c>
      <c r="AA36" s="13"/>
      <c r="AB36" s="13"/>
      <c r="AC36" s="13"/>
      <c r="AD36" s="13"/>
    </row>
    <row r="37" spans="1:30" ht="96.85" customHeight="1" x14ac:dyDescent="0.3">
      <c r="A37" s="1">
        <v>3416</v>
      </c>
      <c r="B37" s="9" t="s">
        <v>178</v>
      </c>
      <c r="C37" s="12">
        <v>7042544266</v>
      </c>
      <c r="D37" s="11" t="s">
        <v>179</v>
      </c>
      <c r="E37" s="11" t="s">
        <v>180</v>
      </c>
      <c r="F37" s="11" t="s">
        <v>181</v>
      </c>
      <c r="G37" s="10" t="s">
        <v>19</v>
      </c>
      <c r="H37" s="12">
        <v>1710</v>
      </c>
      <c r="I37" s="12">
        <v>427.5</v>
      </c>
      <c r="J37" s="11" t="s">
        <v>182</v>
      </c>
      <c r="K37" s="11" t="s">
        <v>183</v>
      </c>
      <c r="L37" s="12"/>
      <c r="M37" s="12"/>
      <c r="N37" s="13" t="s">
        <v>41</v>
      </c>
      <c r="O37" s="13" t="e">
        <f>VLOOKUP(A37,'[1]05-07-26'!$A$2:$T$85,20,0)</f>
        <v>#N/A</v>
      </c>
      <c r="P37" s="13" t="e">
        <f>VLOOKUP(A37,'[1]12-07-26'!$A$2:$T$90,20,0)</f>
        <v>#N/A</v>
      </c>
      <c r="Q37" s="13" t="e">
        <f>VLOOKUP(A37,'[1]19-07-26'!$A$2:$T$90,20,0)</f>
        <v>#N/A</v>
      </c>
      <c r="R37" s="13" t="str">
        <f>VLOOKUP(A37,'[1]26-07-26'!$A$2:$T$84,20,0)</f>
        <v>R n W Car ( 14 Inch ) 16     1 Big Pink Gypsola</v>
      </c>
      <c r="S37" s="13" t="str">
        <f>VLOOKUP(A37,'[2]02-08-26'!$A$2:$T$92,20,0)</f>
        <v xml:space="preserve">O  Asiatic ( 14 Inch ) 3     </v>
      </c>
      <c r="T37" s="13" t="s">
        <v>354</v>
      </c>
      <c r="U37" s="13">
        <v>16</v>
      </c>
      <c r="V37" s="13"/>
      <c r="W37" s="13"/>
      <c r="X37" s="13"/>
      <c r="Y37" s="13"/>
      <c r="Z37" s="13"/>
      <c r="AA37" s="13"/>
      <c r="AB37" s="13"/>
      <c r="AC37" s="13"/>
      <c r="AD37" s="13"/>
    </row>
    <row r="38" spans="1:30" ht="96.85" customHeight="1" x14ac:dyDescent="0.3">
      <c r="A38" s="1">
        <v>2637</v>
      </c>
      <c r="B38" s="15" t="s">
        <v>184</v>
      </c>
      <c r="C38" s="11">
        <v>9999834141</v>
      </c>
      <c r="D38" s="11" t="s">
        <v>185</v>
      </c>
      <c r="E38" s="11" t="s">
        <v>82</v>
      </c>
      <c r="F38" s="11" t="s">
        <v>18</v>
      </c>
      <c r="G38" s="10" t="s">
        <v>19</v>
      </c>
      <c r="H38" s="12">
        <v>1950</v>
      </c>
      <c r="I38" s="12">
        <v>487.5</v>
      </c>
      <c r="J38" s="11" t="s">
        <v>93</v>
      </c>
      <c r="K38" s="11" t="s">
        <v>186</v>
      </c>
      <c r="L38" s="12"/>
      <c r="M38" s="12"/>
      <c r="N38" s="13" t="s">
        <v>41</v>
      </c>
      <c r="O38" s="13" t="str">
        <f>VLOOKUP(A38,'[1]05-07-26'!$A$2:$T$85,20,0)</f>
        <v>BOP 2 Pur n P Car ( 14 Inch ) 11   FF Sachet + Grass</v>
      </c>
      <c r="P38" s="13" t="str">
        <f>VLOOKUP(A38,'[1]12-07-26'!$A$2:$T$90,20,0)</f>
        <v>P n Y Spray Daisy ( 14 Inch ) 4 Mix Alstroemeria ( 12 Inch ) 10   FF Sachet + Grass</v>
      </c>
      <c r="Q38" s="13" t="str">
        <f>VLOOKUP(A38,'[1]19-07-26'!$A$2:$T$90,20,0)</f>
        <v>O Asiatic ( 14 Inch ) 2 Mix Glad ( 14 Inch ) 11   Grass</v>
      </c>
      <c r="R38" s="13" t="str">
        <f>VLOOKUP(A38,'[1]26-07-26'!$A$2:$T$84,20,0)</f>
        <v>Sunflower ( 12 Inch ) 3 Mix Car 11   FF Sachet + Grass</v>
      </c>
      <c r="S38" s="13" t="str">
        <f>VLOOKUP(A38,'[2]02-08-26'!$A$2:$T$92,20,0)</f>
        <v>Sunflower ( 12 Inch ) 3 P n W Car ( 14 Inch ) 11   FF Sachet + Grass</v>
      </c>
      <c r="T38" s="13" t="s">
        <v>359</v>
      </c>
      <c r="U38" s="13">
        <v>4</v>
      </c>
      <c r="V38" s="13" t="s">
        <v>351</v>
      </c>
      <c r="W38" s="13">
        <v>11</v>
      </c>
      <c r="X38" s="13"/>
      <c r="Y38" s="13"/>
      <c r="Z38" s="13" t="s">
        <v>362</v>
      </c>
      <c r="AA38" s="13"/>
      <c r="AB38" s="13"/>
      <c r="AC38" s="13"/>
      <c r="AD38" s="13"/>
    </row>
    <row r="39" spans="1:30" ht="96.85" customHeight="1" x14ac:dyDescent="0.3">
      <c r="A39" s="8">
        <v>3214</v>
      </c>
      <c r="B39" s="9" t="s">
        <v>187</v>
      </c>
      <c r="C39" s="14">
        <v>9958849523</v>
      </c>
      <c r="D39" s="11" t="s">
        <v>188</v>
      </c>
      <c r="E39" s="11" t="s">
        <v>48</v>
      </c>
      <c r="F39" s="11" t="s">
        <v>18</v>
      </c>
      <c r="G39" s="11" t="s">
        <v>26</v>
      </c>
      <c r="H39" s="12">
        <v>1450</v>
      </c>
      <c r="I39" s="12">
        <v>362.5</v>
      </c>
      <c r="J39" s="8" t="s">
        <v>27</v>
      </c>
      <c r="K39" s="11" t="s">
        <v>189</v>
      </c>
      <c r="L39" s="12"/>
      <c r="M39" s="12"/>
      <c r="N39" s="13" t="s">
        <v>41</v>
      </c>
      <c r="O39" s="13" t="str">
        <f>VLOOKUP(A39,'[1]05-07-26'!$A$2:$T$85,20,0)</f>
        <v>Rajni ( 14 Inch ) 16     Grass</v>
      </c>
      <c r="P39" s="13" t="str">
        <f>VLOOKUP(A39,'[1]12-07-26'!$A$2:$T$90,20,0)</f>
        <v>Sunflower ( 12 Inch ) 4     FF Sachet + Grass</v>
      </c>
      <c r="Q39" s="13" t="str">
        <f>VLOOKUP(A39,'[1]19-07-26'!$A$2:$T$90,20,0)</f>
        <v>G n W Car ( 14 Inch ) 16     FF Sachet + Grass</v>
      </c>
      <c r="R39" s="13" t="str">
        <f>VLOOKUP(A39,'[1]26-07-26'!$A$2:$T$84,20,0)</f>
        <v>O Asiatic ( 14 Inch ) 3     Grass</v>
      </c>
      <c r="S39" s="13" t="str">
        <f>VLOOKUP(A39,'[2]02-08-26'!$A$2:$T$92,20,0)</f>
        <v>P n Y Spray Daisy ( 14 Inch ) 5     FF Sachet + Grass</v>
      </c>
      <c r="T39" s="13" t="s">
        <v>354</v>
      </c>
      <c r="U39" s="13">
        <v>16</v>
      </c>
      <c r="V39" s="13"/>
      <c r="W39" s="13"/>
      <c r="X39" s="13"/>
      <c r="Y39" s="13"/>
      <c r="Z39" s="13" t="s">
        <v>363</v>
      </c>
      <c r="AA39" s="13"/>
      <c r="AB39" s="13"/>
      <c r="AC39" s="13"/>
      <c r="AD39" s="13"/>
    </row>
    <row r="40" spans="1:30" ht="96.85" customHeight="1" x14ac:dyDescent="0.3">
      <c r="A40" s="1">
        <v>2774</v>
      </c>
      <c r="B40" s="9" t="s">
        <v>190</v>
      </c>
      <c r="C40" s="12">
        <v>9899589964</v>
      </c>
      <c r="D40" s="11" t="s">
        <v>191</v>
      </c>
      <c r="E40" s="11" t="s">
        <v>48</v>
      </c>
      <c r="F40" s="11" t="s">
        <v>18</v>
      </c>
      <c r="G40" s="10" t="s">
        <v>19</v>
      </c>
      <c r="H40" s="12">
        <v>1600</v>
      </c>
      <c r="I40" s="12">
        <v>200</v>
      </c>
      <c r="J40" s="11" t="s">
        <v>34</v>
      </c>
      <c r="K40" s="12"/>
      <c r="L40" s="12"/>
      <c r="M40" s="12"/>
      <c r="N40" s="13" t="s">
        <v>350</v>
      </c>
      <c r="O40" s="13" t="str">
        <f>VLOOKUP(A40,'[1]05-07-26'!$A$2:$T$85,20,0)</f>
        <v>B Daisy ( 12 Inch ) 7     Grass</v>
      </c>
      <c r="P40" s="13" t="str">
        <f>VLOOKUP(A40,'[1]12-07-26'!$A$2:$T$90,20,0)</f>
        <v>Y Spray Daisy ( 14 Inch ) 2     FF Sachet + Grass</v>
      </c>
      <c r="Q40" s="13" t="str">
        <f>VLOOKUP(A40,'[1]19-07-26'!$A$2:$T$90,20,0)</f>
        <v>Mix Glad ( 14 inch ) 7     Grass</v>
      </c>
      <c r="R40" s="13" t="str">
        <f>VLOOKUP(A40,'[1]26-07-26'!$A$2:$T$84,20,0)</f>
        <v>R n W Car ( 14 Inch ) 7     FF Sachet + Grass</v>
      </c>
      <c r="S40" s="13" t="str">
        <f>VLOOKUP(A40,'[2]02-08-26'!$A$2:$T$92,20,0)</f>
        <v>Mix Alstroemeria ( 12 Inch ) 7     FF Sachet + Grass</v>
      </c>
      <c r="T40" s="13" t="s">
        <v>354</v>
      </c>
      <c r="U40" s="13">
        <v>7</v>
      </c>
      <c r="V40" s="13"/>
      <c r="W40" s="13"/>
      <c r="X40" s="13"/>
      <c r="Y40" s="13"/>
      <c r="Z40" s="13" t="s">
        <v>363</v>
      </c>
      <c r="AA40" s="13"/>
      <c r="AB40" s="13"/>
      <c r="AC40" s="13"/>
      <c r="AD40" s="13"/>
    </row>
    <row r="41" spans="1:30" ht="96.85" customHeight="1" x14ac:dyDescent="0.3">
      <c r="A41" s="1">
        <v>1438</v>
      </c>
      <c r="B41" s="24" t="s">
        <v>192</v>
      </c>
      <c r="C41" s="12">
        <v>9884857311</v>
      </c>
      <c r="D41" s="11" t="s">
        <v>193</v>
      </c>
      <c r="E41" s="11" t="s">
        <v>17</v>
      </c>
      <c r="F41" s="11" t="s">
        <v>39</v>
      </c>
      <c r="G41" s="10" t="s">
        <v>19</v>
      </c>
      <c r="H41" s="12">
        <v>1600</v>
      </c>
      <c r="I41" s="12">
        <v>200</v>
      </c>
      <c r="J41" s="11" t="s">
        <v>34</v>
      </c>
      <c r="K41" s="11" t="s">
        <v>194</v>
      </c>
      <c r="L41" s="12"/>
      <c r="M41" s="12"/>
      <c r="N41" s="13" t="s">
        <v>36</v>
      </c>
      <c r="O41" s="13" t="str">
        <f>VLOOKUP(A41,'[1]05-07-26'!$A$2:$T$85,20,0)</f>
        <v>Mix Alstroemeria 7     Grass</v>
      </c>
      <c r="P41" s="13" t="str">
        <f>VLOOKUP(A41,'[1]12-07-26'!$A$2:$T$90,20,0)</f>
        <v>G n W Car ( 14 Inch ) 7     FF Sachet + Grass</v>
      </c>
      <c r="Q41" s="13" t="str">
        <f>VLOOKUP(A41,'[1]19-07-26'!$A$2:$T$90,20,0)</f>
        <v>Mix Glad ( 14 inch ) 7     Grass</v>
      </c>
      <c r="R41" s="13" t="str">
        <f>VLOOKUP(A41,'[1]26-07-26'!$A$2:$T$84,20,0)</f>
        <v>Alstromia 7     FF Sachet + Grass</v>
      </c>
      <c r="S41" s="13" t="str">
        <f>VLOOKUP(A41,'[2]02-08-26'!$A$2:$T$92,20,0)</f>
        <v>Mix Glad ( 14 Inch ) 7     FF Sachet + Grass</v>
      </c>
      <c r="T41" s="13" t="s">
        <v>358</v>
      </c>
      <c r="U41" s="13">
        <v>2</v>
      </c>
      <c r="V41" s="13"/>
      <c r="W41" s="13"/>
      <c r="X41" s="13"/>
      <c r="Y41" s="13"/>
      <c r="Z41" s="13" t="s">
        <v>362</v>
      </c>
      <c r="AA41" s="13"/>
      <c r="AB41" s="13"/>
      <c r="AC41" s="13"/>
      <c r="AD41" s="13"/>
    </row>
    <row r="42" spans="1:30" ht="96.85" customHeight="1" x14ac:dyDescent="0.3">
      <c r="A42" s="1">
        <v>3401</v>
      </c>
      <c r="B42" s="9" t="s">
        <v>195</v>
      </c>
      <c r="C42" s="12">
        <v>7042482828</v>
      </c>
      <c r="D42" s="11" t="s">
        <v>196</v>
      </c>
      <c r="E42" s="11" t="s">
        <v>75</v>
      </c>
      <c r="F42" s="11" t="s">
        <v>18</v>
      </c>
      <c r="G42" s="11" t="s">
        <v>58</v>
      </c>
      <c r="H42" s="12">
        <v>1450</v>
      </c>
      <c r="I42" s="12">
        <v>362.5</v>
      </c>
      <c r="J42" s="11" t="s">
        <v>27</v>
      </c>
      <c r="K42" s="12"/>
      <c r="L42" s="12"/>
      <c r="M42" s="12"/>
      <c r="N42" s="13" t="s">
        <v>124</v>
      </c>
      <c r="O42" s="13" t="str">
        <f>VLOOKUP(A42,'[1]05-07-26'!$A$2:$T$85,20,0)</f>
        <v>Pur n P Car ( 14 Inch ) 16     FF Sachet + Grass</v>
      </c>
      <c r="P42" s="13" t="str">
        <f>VLOOKUP(A42,'[1]12-07-26'!$A$2:$T$90,20,0)</f>
        <v>Sunflower ( 12 Inch ) 4     FF Sachet + Grass</v>
      </c>
      <c r="Q42" s="13" t="str">
        <f>VLOOKUP(A42,'[1]19-07-26'!$A$2:$T$90,20,0)</f>
        <v>Mix Glad ( 14 inch ) 16     Grass</v>
      </c>
      <c r="R42" s="13" t="str">
        <f>VLOOKUP(A42,'[1]26-07-26'!$A$2:$T$84,20,0)</f>
        <v>O Asiatic ( 14 Inch ) 3     Grass</v>
      </c>
      <c r="S42" s="13" t="str">
        <f>VLOOKUP(A42,'[2]02-08-26'!$A$2:$T$92,20,0)</f>
        <v>O n G Spray Daisy ( 14 Inch ) 5     FF Sachet + Grass</v>
      </c>
      <c r="T42" s="13" t="s">
        <v>351</v>
      </c>
      <c r="U42" s="13">
        <v>16</v>
      </c>
      <c r="V42" s="13"/>
      <c r="W42" s="13"/>
      <c r="X42" s="13"/>
      <c r="Y42" s="13"/>
      <c r="Z42" s="13" t="s">
        <v>362</v>
      </c>
      <c r="AA42" s="13"/>
      <c r="AB42" s="13"/>
      <c r="AC42" s="13"/>
      <c r="AD42" s="13"/>
    </row>
    <row r="43" spans="1:30" ht="96.85" customHeight="1" x14ac:dyDescent="0.3">
      <c r="A43" s="1">
        <v>2316</v>
      </c>
      <c r="B43" s="9" t="s">
        <v>197</v>
      </c>
      <c r="C43" s="12">
        <v>9811842976</v>
      </c>
      <c r="D43" s="11" t="s">
        <v>198</v>
      </c>
      <c r="E43" s="11" t="s">
        <v>48</v>
      </c>
      <c r="F43" s="11" t="s">
        <v>18</v>
      </c>
      <c r="G43" s="10" t="s">
        <v>19</v>
      </c>
      <c r="H43" s="11">
        <v>4750</v>
      </c>
      <c r="I43" s="12">
        <v>1187.5</v>
      </c>
      <c r="J43" s="11" t="s">
        <v>199</v>
      </c>
      <c r="K43" s="11" t="s">
        <v>200</v>
      </c>
      <c r="L43" s="12"/>
      <c r="M43" s="12"/>
      <c r="N43" s="13" t="s">
        <v>124</v>
      </c>
      <c r="O43" s="13" t="str">
        <f>VLOOKUP(A43,'[1]05-07-26'!$A$2:$T$85,20,0)</f>
        <v>P Asiatic ( 14 Inch ) 6 Mix Alstroemeria ( 12 Inch ) 30   3 Areca Palm + 3 Limonium</v>
      </c>
      <c r="P43" s="13" t="str">
        <f>VLOOKUP(A43,'[1]12-07-26'!$A$2:$T$90,20,0)</f>
        <v>Sunflower ( 12 Inch ) 7 G n W Car ( 14 Inch ) 30   3 Areca palm + 3 Gypsola + FF Sachet</v>
      </c>
      <c r="Q43" s="13" t="str">
        <f>VLOOKUP(A43,'[1]19-07-26'!$A$2:$T$90,20,0)</f>
        <v>P n Pur Eustoma ( 12 Inch ) 6 Mix Glad ( 14 Inch ) 30   3 Areca Palm + 3 Limonium + FF Sachet</v>
      </c>
      <c r="R43" s="13" t="str">
        <f>VLOOKUP(A43,'[1]26-07-26'!$A$2:$T$84,20,0)</f>
        <v>W Oriental ( 15 Inch ) 4 Mix Car 21   3 Areca Palm + 3 Gypsola</v>
      </c>
      <c r="S43" s="13" t="str">
        <f>VLOOKUP(A43,'[2]02-08-26'!$A$2:$T$92,20,0)</f>
        <v>BOP ( 15 Inch ) 5 Rajni ( 14 Inch ) 30   3 Areca Palm + 3 Gypsola</v>
      </c>
      <c r="T43" s="13" t="s">
        <v>368</v>
      </c>
      <c r="U43" s="13">
        <v>10</v>
      </c>
      <c r="V43" s="13" t="s">
        <v>351</v>
      </c>
      <c r="W43" s="13">
        <v>20</v>
      </c>
      <c r="X43" s="13"/>
      <c r="Y43" s="13"/>
      <c r="Z43" s="13" t="s">
        <v>381</v>
      </c>
      <c r="AA43" s="13"/>
      <c r="AB43" s="13"/>
      <c r="AC43" s="13"/>
      <c r="AD43" s="13"/>
    </row>
    <row r="44" spans="1:30" ht="96.85" customHeight="1" x14ac:dyDescent="0.3">
      <c r="A44" s="1">
        <v>1140</v>
      </c>
      <c r="B44" s="9" t="s">
        <v>201</v>
      </c>
      <c r="C44" s="11" t="s">
        <v>202</v>
      </c>
      <c r="D44" s="11" t="s">
        <v>203</v>
      </c>
      <c r="E44" s="11" t="s">
        <v>17</v>
      </c>
      <c r="F44" s="11" t="s">
        <v>39</v>
      </c>
      <c r="G44" s="10" t="s">
        <v>19</v>
      </c>
      <c r="H44" s="12">
        <v>2300</v>
      </c>
      <c r="I44" s="12">
        <v>287.5</v>
      </c>
      <c r="J44" s="11" t="s">
        <v>49</v>
      </c>
      <c r="K44" s="11" t="s">
        <v>204</v>
      </c>
      <c r="L44" s="11" t="s">
        <v>205</v>
      </c>
      <c r="M44" s="12"/>
      <c r="N44" s="13" t="s">
        <v>36</v>
      </c>
      <c r="O44" s="13" t="str">
        <f>VLOOKUP(A44,'[1]05-07-26'!$A$2:$T$85,20,0)</f>
        <v>O Asiatic ( 14 Inch ) 2     Grass</v>
      </c>
      <c r="P44" s="13" t="str">
        <f>VLOOKUP(A44,'[1]12-07-26'!$A$2:$T$90,20,0)</f>
        <v>Y Spray Daisy ( 14 Inch ) 2     FF Sachet + Grass</v>
      </c>
      <c r="Q44" s="13" t="str">
        <f>VLOOKUP(A44,'[1]19-07-26'!$A$2:$T$90,20,0)</f>
        <v>Mix Glad ( 14 inch ) 11     Grass</v>
      </c>
      <c r="R44" s="13" t="str">
        <f>VLOOKUP(A44,'[1]26-07-26'!$A$2:$T$84,20,0)</f>
        <v>R n W Car ( 14 Inch ) 11     FF Sachet + Grass</v>
      </c>
      <c r="S44" s="13" t="str">
        <f>VLOOKUP(A44,'[2]02-08-26'!$A$2:$T$92,20,0)</f>
        <v>Pink Eustoma ( 12 Inch ) 3     FF Sachet + Grass</v>
      </c>
      <c r="T44" s="13" t="s">
        <v>358</v>
      </c>
      <c r="U44" s="13">
        <v>3</v>
      </c>
      <c r="V44" s="13"/>
      <c r="W44" s="13"/>
      <c r="X44" s="13"/>
      <c r="Y44" s="13"/>
      <c r="Z44" s="13" t="s">
        <v>362</v>
      </c>
      <c r="AA44" s="13"/>
      <c r="AB44" s="13"/>
      <c r="AC44" s="13"/>
      <c r="AD44" s="13"/>
    </row>
    <row r="45" spans="1:30" ht="96.85" customHeight="1" x14ac:dyDescent="0.3">
      <c r="A45" s="8" t="s">
        <v>206</v>
      </c>
      <c r="B45" s="9" t="s">
        <v>207</v>
      </c>
      <c r="C45" s="12">
        <v>9999236508</v>
      </c>
      <c r="D45" s="11" t="s">
        <v>208</v>
      </c>
      <c r="E45" s="11" t="s">
        <v>209</v>
      </c>
      <c r="F45" s="11" t="s">
        <v>39</v>
      </c>
      <c r="G45" s="11" t="s">
        <v>210</v>
      </c>
      <c r="H45" s="12">
        <v>28000</v>
      </c>
      <c r="I45" s="12">
        <v>7000</v>
      </c>
      <c r="J45" s="12" t="s">
        <v>182</v>
      </c>
      <c r="K45" s="11" t="s">
        <v>211</v>
      </c>
      <c r="L45" s="12"/>
      <c r="M45" s="12"/>
      <c r="N45" s="13" t="s">
        <v>212</v>
      </c>
      <c r="O45" s="13" t="str">
        <f>VLOOKUP(A45,'[1]05-07-26'!$A$2:$T$85,20,0)</f>
        <v xml:space="preserve">W Oriental + G Anthurium + G Lotus Pd + Baloon Flower + G n W Car + Big Monstera 4 + 6 + 8 + 8 + 15 W Oriental + Limonium 2 + 3 ( In Suraahi Vase) Mogra  300 Gm </v>
      </c>
      <c r="P45" s="13" t="str">
        <f>VLOOKUP(A45,'[1]12-07-26'!$A$2:$T$90,20,0)</f>
        <v xml:space="preserve">      </v>
      </c>
      <c r="Q45" s="13" t="str">
        <f>VLOOKUP(A45,'[1]19-07-26'!$A$2:$T$90,20,0)</f>
        <v xml:space="preserve">P Oriental + Y Asiatic + P n Y Spray Daisy + Pur Orchid + P Anthurium + P n Y Car 4 + 4 + 15 + 10 + 4 + 30 Mogra + Big Monstera + Big Palm +Baby Dollar +  Normal Grass 300 Gm   </v>
      </c>
      <c r="R45" s="13" t="str">
        <f>VLOOKUP(A45,'[1]26-07-26'!$A$2:$T$84,20,0)</f>
        <v xml:space="preserve">P Asiatic + W Oriental 4 + 4 P n W Car + P n W Spray Daisy + P n W Anthurium + Eustoma 40 + 15 + 4 + 5 Premium Ferns + Other Greens  </v>
      </c>
      <c r="S45" s="13" t="str">
        <f>VLOOKUP(A45,'[2]02-08-26'!$A$2:$T$92,20,0)</f>
        <v xml:space="preserve">W Oriental + W Asiatic + Pur Eustoma + B Daisy + Pur n W Anthurium + P n W Spray Daisy 4 + 4 + 6 + 10 + 4 + 6 Mogra + Premoum Ferns 300 Gm + as per Requirement Fish Tail Half Bunch </v>
      </c>
      <c r="T45" s="13" t="s">
        <v>373</v>
      </c>
      <c r="U45" s="13" t="s">
        <v>432</v>
      </c>
      <c r="V45" s="13"/>
      <c r="W45" s="13"/>
      <c r="X45" s="13"/>
      <c r="Y45" s="13"/>
      <c r="Z45" s="13"/>
      <c r="AA45" s="13"/>
      <c r="AB45" s="13"/>
      <c r="AC45" s="13"/>
      <c r="AD45" s="13"/>
    </row>
    <row r="46" spans="1:30" ht="96.85" customHeight="1" x14ac:dyDescent="0.3">
      <c r="A46" s="1">
        <v>2450</v>
      </c>
      <c r="B46" s="9" t="s">
        <v>213</v>
      </c>
      <c r="C46" s="14">
        <v>9934010124</v>
      </c>
      <c r="D46" s="11" t="s">
        <v>214</v>
      </c>
      <c r="E46" s="11" t="s">
        <v>82</v>
      </c>
      <c r="F46" s="11" t="s">
        <v>18</v>
      </c>
      <c r="G46" s="11" t="s">
        <v>67</v>
      </c>
      <c r="H46" s="12">
        <v>1450</v>
      </c>
      <c r="I46" s="12">
        <v>362.5</v>
      </c>
      <c r="J46" s="8" t="s">
        <v>27</v>
      </c>
      <c r="K46" s="11" t="s">
        <v>215</v>
      </c>
      <c r="L46" s="12"/>
      <c r="M46" s="12"/>
      <c r="N46" s="13" t="s">
        <v>124</v>
      </c>
      <c r="O46" s="13" t="str">
        <f>VLOOKUP(A46,'[1]05-07-26'!$A$2:$T$85,20,0)</f>
        <v>Pur n P Car ( 14 Inch ) 16     FF Sachet + Grass</v>
      </c>
      <c r="P46" s="13" t="str">
        <f>VLOOKUP(A46,'[1]12-07-26'!$A$2:$T$90,20,0)</f>
        <v>Rajni ( 14 Inch ) 16     Grass</v>
      </c>
      <c r="Q46" s="13" t="str">
        <f>VLOOKUP(A46,'[1]19-07-26'!$A$2:$T$90,20,0)</f>
        <v>P n Y Spray Daisy ( 14 Inch ) 5     FF Sachet + Grass</v>
      </c>
      <c r="R46" s="13" t="str">
        <f>VLOOKUP(A46,'[1]26-07-26'!$A$2:$T$84,20,0)</f>
        <v>O Asiatic ( 14 Inch ) 3     Grass</v>
      </c>
      <c r="S46" s="13" t="str">
        <f>VLOOKUP(A46,'[2]02-08-26'!$A$2:$T$92,20,0)</f>
        <v>Mix Glad ( 14 Inch ) 16     Grass</v>
      </c>
      <c r="T46" s="13" t="s">
        <v>351</v>
      </c>
      <c r="U46" s="13">
        <v>16</v>
      </c>
      <c r="V46" s="13"/>
      <c r="W46" s="13"/>
      <c r="X46" s="13"/>
      <c r="Y46" s="13"/>
      <c r="Z46" s="13" t="s">
        <v>362</v>
      </c>
      <c r="AA46" s="13"/>
      <c r="AB46" s="13"/>
      <c r="AC46" s="13"/>
      <c r="AD46" s="13"/>
    </row>
    <row r="47" spans="1:30" ht="96.85" customHeight="1" x14ac:dyDescent="0.3">
      <c r="A47" s="1">
        <v>3179</v>
      </c>
      <c r="B47" s="9" t="s">
        <v>216</v>
      </c>
      <c r="C47" s="12">
        <v>98188998617</v>
      </c>
      <c r="D47" s="11" t="s">
        <v>217</v>
      </c>
      <c r="E47" s="11" t="s">
        <v>82</v>
      </c>
      <c r="F47" s="11" t="s">
        <v>18</v>
      </c>
      <c r="G47" s="10" t="s">
        <v>19</v>
      </c>
      <c r="H47" s="12">
        <v>1950</v>
      </c>
      <c r="I47" s="12">
        <v>487.5</v>
      </c>
      <c r="J47" s="11" t="s">
        <v>93</v>
      </c>
      <c r="K47" s="11" t="s">
        <v>218</v>
      </c>
      <c r="L47" s="11" t="s">
        <v>219</v>
      </c>
      <c r="M47" s="11" t="s">
        <v>153</v>
      </c>
      <c r="N47" s="13" t="s">
        <v>124</v>
      </c>
      <c r="O47" s="13" t="str">
        <f>VLOOKUP(A47,'[1]05-07-26'!$A$2:$T$85,20,0)</f>
        <v>Rajni ( 14 Inch ) 22     Grass</v>
      </c>
      <c r="P47" s="13" t="str">
        <f>VLOOKUP(A47,'[1]12-07-26'!$A$2:$T$90,20,0)</f>
        <v>P n Y Spray Daisy ( 14 Inch ) 7     FF Sachet + Grass</v>
      </c>
      <c r="Q47" s="13" t="str">
        <f>VLOOKUP(A47,'[1]19-07-26'!$A$2:$T$90,20,0)</f>
        <v>O Asiatic ( 14 Inch ) 4     Grass</v>
      </c>
      <c r="R47" s="13" t="str">
        <f>VLOOKUP(A47,'[1]26-07-26'!$A$2:$T$84,20,0)</f>
        <v>O Glad 22     FF Sachet + Grass</v>
      </c>
      <c r="S47" s="13" t="str">
        <f>VLOOKUP(A47,'[2]02-08-26'!$A$2:$T$92,20,0)</f>
        <v>R n W Car ( 14 Inch ) 22     FF Sachet + Grass</v>
      </c>
      <c r="T47" s="13" t="s">
        <v>376</v>
      </c>
      <c r="U47" s="13">
        <v>4</v>
      </c>
      <c r="V47" s="13"/>
      <c r="W47" s="13"/>
      <c r="X47" s="13"/>
      <c r="Y47" s="13"/>
      <c r="Z47" s="13" t="s">
        <v>362</v>
      </c>
      <c r="AA47" s="13"/>
      <c r="AB47" s="13"/>
      <c r="AC47" s="13"/>
      <c r="AD47" s="13"/>
    </row>
    <row r="48" spans="1:30" ht="96.85" customHeight="1" x14ac:dyDescent="0.3">
      <c r="A48" s="1">
        <v>2856</v>
      </c>
      <c r="B48" s="9" t="s">
        <v>220</v>
      </c>
      <c r="C48" s="12">
        <v>9958222833</v>
      </c>
      <c r="D48" s="11" t="s">
        <v>221</v>
      </c>
      <c r="E48" s="11" t="s">
        <v>48</v>
      </c>
      <c r="F48" s="11" t="s">
        <v>18</v>
      </c>
      <c r="G48" s="16" t="s">
        <v>222</v>
      </c>
      <c r="H48" s="12">
        <v>1450</v>
      </c>
      <c r="I48" s="12">
        <v>362.5</v>
      </c>
      <c r="J48" s="11" t="s">
        <v>27</v>
      </c>
      <c r="K48" s="11" t="s">
        <v>223</v>
      </c>
      <c r="L48" s="12"/>
      <c r="M48" s="12"/>
      <c r="N48" s="13" t="s">
        <v>374</v>
      </c>
      <c r="O48" s="13" t="str">
        <f>VLOOKUP(A48,'[1]05-07-26'!$A$2:$T$85,20,0)</f>
        <v>Sunflower ( 12 Inch ) 4     FF Sachet + Grass</v>
      </c>
      <c r="P48" s="13" t="str">
        <f>VLOOKUP(A48,'[1]12-07-26'!$A$2:$T$90,20,0)</f>
        <v>Rajni ( 14 Inch ) 16     Grass</v>
      </c>
      <c r="Q48" s="13" t="str">
        <f>VLOOKUP(A48,'[1]19-07-26'!$A$2:$T$90,20,0)</f>
        <v>O Asiatic ( 14 Inch ) 3     Grass</v>
      </c>
      <c r="R48" s="13" t="str">
        <f>VLOOKUP(A48,'[1]26-07-26'!$A$2:$T$84,20,0)</f>
        <v>Shd Pur  n W Car ( 14 Inch ) 16     FF Sachet + Grass</v>
      </c>
      <c r="S48" s="13" t="str">
        <f>VLOOKUP(A48,'[2]02-08-26'!$A$2:$T$92,20,0)</f>
        <v>R n W Car ( 14 Inch ) 16     FF Sachet + Grass</v>
      </c>
      <c r="T48" s="13" t="s">
        <v>368</v>
      </c>
      <c r="U48" s="13">
        <v>5</v>
      </c>
      <c r="V48" s="13"/>
      <c r="W48" s="13"/>
      <c r="X48" s="13"/>
      <c r="Y48" s="13"/>
      <c r="Z48" s="13" t="s">
        <v>362</v>
      </c>
      <c r="AA48" s="13"/>
      <c r="AB48" s="13"/>
      <c r="AC48" s="13"/>
      <c r="AD48" s="13"/>
    </row>
    <row r="49" spans="1:30" ht="96.85" customHeight="1" x14ac:dyDescent="0.3">
      <c r="A49" s="1">
        <v>2368</v>
      </c>
      <c r="B49" s="9" t="s">
        <v>224</v>
      </c>
      <c r="C49" s="12">
        <v>9997092561</v>
      </c>
      <c r="D49" s="11" t="s">
        <v>225</v>
      </c>
      <c r="E49" s="11" t="s">
        <v>180</v>
      </c>
      <c r="F49" s="11" t="s">
        <v>18</v>
      </c>
      <c r="G49" s="25" t="s">
        <v>226</v>
      </c>
      <c r="H49" s="12">
        <v>12800</v>
      </c>
      <c r="I49" s="12">
        <v>3200</v>
      </c>
      <c r="J49" s="8" t="s">
        <v>89</v>
      </c>
      <c r="K49" s="12"/>
      <c r="L49" s="12"/>
      <c r="M49" s="12"/>
      <c r="N49" s="13" t="s">
        <v>212</v>
      </c>
      <c r="O49" s="13" t="str">
        <f>VLOOKUP(A49,'[1]05-07-26'!$A$2:$T$85,20,0)</f>
        <v xml:space="preserve">Arrangement 1     </v>
      </c>
      <c r="P49" s="13" t="str">
        <f>VLOOKUP(A49,'[1]12-07-26'!$A$2:$T$90,20,0)</f>
        <v xml:space="preserve">Arrangement 1     </v>
      </c>
      <c r="Q49" s="13" t="str">
        <f>VLOOKUP(A49,'[1]19-07-26'!$A$2:$T$90,20,0)</f>
        <v xml:space="preserve">Arrangement 1     </v>
      </c>
      <c r="R49" s="13" t="str">
        <f>VLOOKUP(A49,'[1]26-07-26'!$A$2:$T$84,20,0)</f>
        <v xml:space="preserve">Arrangement 1     </v>
      </c>
      <c r="S49" s="13" t="str">
        <f>VLOOKUP(A49,'[2]02-08-26'!$A$2:$T$92,20,0)</f>
        <v xml:space="preserve">Arrangement  1     </v>
      </c>
      <c r="T49" s="13" t="s">
        <v>372</v>
      </c>
      <c r="U49" s="13">
        <v>1</v>
      </c>
      <c r="V49" s="13"/>
      <c r="W49" s="13"/>
      <c r="X49" s="13"/>
      <c r="Y49" s="13"/>
      <c r="Z49" s="13"/>
      <c r="AA49" s="13"/>
      <c r="AB49" s="13"/>
      <c r="AC49" s="13"/>
      <c r="AD49" s="13"/>
    </row>
    <row r="50" spans="1:30" ht="96.85" customHeight="1" x14ac:dyDescent="0.3">
      <c r="A50" s="1">
        <v>2494</v>
      </c>
      <c r="B50" s="9" t="s">
        <v>227</v>
      </c>
      <c r="C50" s="14">
        <v>9312059597</v>
      </c>
      <c r="D50" s="11" t="s">
        <v>228</v>
      </c>
      <c r="E50" s="11" t="s">
        <v>82</v>
      </c>
      <c r="F50" s="11" t="s">
        <v>18</v>
      </c>
      <c r="G50" s="11" t="s">
        <v>58</v>
      </c>
      <c r="H50" s="12">
        <v>1450</v>
      </c>
      <c r="I50" s="12">
        <v>362.5</v>
      </c>
      <c r="J50" s="8" t="s">
        <v>27</v>
      </c>
      <c r="K50" s="11" t="s">
        <v>229</v>
      </c>
      <c r="L50" s="12"/>
      <c r="M50" s="11" t="s">
        <v>230</v>
      </c>
      <c r="N50" s="13" t="s">
        <v>124</v>
      </c>
      <c r="O50" s="13" t="str">
        <f>VLOOKUP(A50,'[1]05-07-26'!$A$2:$T$85,20,0)</f>
        <v>Pur n P Car ( 14 Inch ) 16     FF Sachet + Grass</v>
      </c>
      <c r="P50" s="13" t="str">
        <f>VLOOKUP(A50,'[1]12-07-26'!$A$2:$T$90,20,0)</f>
        <v>O Asiatic ( 14 Inch ) 3     Grass</v>
      </c>
      <c r="Q50" s="13" t="str">
        <f>VLOOKUP(A50,'[1]19-07-26'!$A$2:$T$90,20,0)</f>
        <v>Mix Glad ( 14 inch ) 16     Grass</v>
      </c>
      <c r="R50" s="13" t="str">
        <f>VLOOKUP(A50,'[1]26-07-26'!$A$2:$T$84,20,0)</f>
        <v>P n Y Spray Daisy ( 14 Inch ) 5     FF Sachet + Grass</v>
      </c>
      <c r="S50" s="13" t="str">
        <f>VLOOKUP(A50,'[2]02-08-26'!$A$2:$T$92,20,0)</f>
        <v>Mix Alstroemeria ( 12 Inch ) 16     FF Sachet + Grass</v>
      </c>
      <c r="T50" s="13" t="s">
        <v>355</v>
      </c>
      <c r="U50" s="13">
        <v>16</v>
      </c>
      <c r="V50" s="13"/>
      <c r="W50" s="13"/>
      <c r="X50" s="13"/>
      <c r="Y50" s="13"/>
      <c r="Z50" s="13" t="s">
        <v>362</v>
      </c>
      <c r="AA50" s="13"/>
      <c r="AB50" s="13"/>
      <c r="AC50" s="13"/>
      <c r="AD50" s="13"/>
    </row>
    <row r="51" spans="1:30" ht="96.85" customHeight="1" x14ac:dyDescent="0.3">
      <c r="A51" s="1">
        <v>2707</v>
      </c>
      <c r="B51" s="9" t="s">
        <v>231</v>
      </c>
      <c r="C51" s="12">
        <v>9903474654</v>
      </c>
      <c r="D51" s="11" t="s">
        <v>232</v>
      </c>
      <c r="E51" s="11" t="s">
        <v>44</v>
      </c>
      <c r="F51" s="11" t="s">
        <v>18</v>
      </c>
      <c r="G51" s="10" t="s">
        <v>19</v>
      </c>
      <c r="H51" s="12">
        <v>1450</v>
      </c>
      <c r="I51" s="12">
        <v>362.5</v>
      </c>
      <c r="J51" s="11" t="s">
        <v>27</v>
      </c>
      <c r="K51" s="11" t="s">
        <v>233</v>
      </c>
      <c r="L51" s="12"/>
      <c r="M51" s="11" t="s">
        <v>234</v>
      </c>
      <c r="N51" s="13" t="s">
        <v>29</v>
      </c>
      <c r="O51" s="13" t="str">
        <f>VLOOKUP(A51,'[1]05-07-26'!$A$2:$T$85,20,0)</f>
        <v>Sunflower ( 12 Inch ) 2 B Daisy ( 12 Inch ) 7   FF Sachet + Grass</v>
      </c>
      <c r="P51" s="13" t="str">
        <f>VLOOKUP(A51,'[1]12-07-26'!$A$2:$T$90,20,0)</f>
        <v>O Asiatic ( 14 Inch ) 2 P n W Glad ( 14 Inch ) 7   Grass</v>
      </c>
      <c r="Q51" s="13" t="str">
        <f>VLOOKUP(A51,'[1]19-07-26'!$A$2:$T$90,20,0)</f>
        <v>Y Spray Daisy ( 14 Inch ) 3 G n W Car ( 14 Inch ) 7   FF Sachet + Grass</v>
      </c>
      <c r="R51" s="13" t="str">
        <f>VLOOKUP(A51,'[1]26-07-26'!$A$2:$T$84,20,0)</f>
        <v>P Eustoma ( 12 Inch ) 2 Rajni 7   FF Sachet + Grass</v>
      </c>
      <c r="S51" s="13" t="str">
        <f>VLOOKUP(A51,'[2]02-08-26'!$A$2:$T$92,20,0)</f>
        <v>Sunflower ( 12 Inch ) 2 Mix Alstroemeria ( 12 Inch ) 7   FF Sachet + Grass</v>
      </c>
      <c r="T51" s="13" t="s">
        <v>356</v>
      </c>
      <c r="U51" s="13">
        <v>2</v>
      </c>
      <c r="V51" s="13" t="s">
        <v>354</v>
      </c>
      <c r="W51" s="13">
        <v>7</v>
      </c>
      <c r="X51" s="13" t="s">
        <v>431</v>
      </c>
      <c r="Y51" s="13" t="s">
        <v>431</v>
      </c>
      <c r="Z51" s="13" t="s">
        <v>363</v>
      </c>
      <c r="AA51" s="13"/>
      <c r="AB51" s="13"/>
      <c r="AC51" s="13"/>
      <c r="AD51" s="13"/>
    </row>
    <row r="52" spans="1:30" ht="96.85" customHeight="1" x14ac:dyDescent="0.3">
      <c r="A52" s="8" t="s">
        <v>235</v>
      </c>
      <c r="B52" s="9" t="s">
        <v>236</v>
      </c>
      <c r="C52" s="12">
        <v>8588870498</v>
      </c>
      <c r="D52" s="11" t="s">
        <v>237</v>
      </c>
      <c r="E52" s="11" t="s">
        <v>134</v>
      </c>
      <c r="F52" s="11" t="s">
        <v>18</v>
      </c>
      <c r="G52" s="11" t="s">
        <v>58</v>
      </c>
      <c r="H52" s="12">
        <v>1450</v>
      </c>
      <c r="I52" s="12">
        <v>362.5</v>
      </c>
      <c r="J52" s="26" t="s">
        <v>27</v>
      </c>
      <c r="K52" s="11" t="s">
        <v>238</v>
      </c>
      <c r="L52" s="12"/>
      <c r="M52" s="12"/>
      <c r="N52" s="13" t="s">
        <v>124</v>
      </c>
      <c r="O52" s="13" t="e">
        <f>VLOOKUP(A52,'[1]05-07-26'!$A$2:$T$85,20,0)</f>
        <v>#N/A</v>
      </c>
      <c r="P52" s="13" t="e">
        <f>VLOOKUP(A52,'[1]12-07-26'!$A$2:$T$90,20,0)</f>
        <v>#N/A</v>
      </c>
      <c r="Q52" s="13" t="e">
        <f>VLOOKUP(A52,'[1]19-07-26'!$A$2:$T$90,20,0)</f>
        <v>#N/A</v>
      </c>
      <c r="R52" s="13" t="e">
        <f>VLOOKUP(A52,'[1]26-07-26'!$A$2:$T$84,20,0)</f>
        <v>#N/A</v>
      </c>
      <c r="S52" s="13" t="str">
        <f>VLOOKUP(A52,'[2]02-08-26'!$A$2:$T$92,20,0)</f>
        <v xml:space="preserve">R n W Car ( 14 Inch ) 16     </v>
      </c>
      <c r="T52" s="13" t="s">
        <v>368</v>
      </c>
      <c r="U52" s="13">
        <v>5</v>
      </c>
      <c r="V52" s="13"/>
      <c r="W52" s="13"/>
      <c r="X52" s="13"/>
      <c r="Y52" s="13"/>
      <c r="Z52" s="13" t="s">
        <v>362</v>
      </c>
      <c r="AA52" s="13"/>
      <c r="AB52" s="13"/>
      <c r="AC52" s="13"/>
      <c r="AD52" s="13"/>
    </row>
    <row r="53" spans="1:30" ht="96.85" customHeight="1" x14ac:dyDescent="0.3">
      <c r="A53" s="1">
        <v>3359</v>
      </c>
      <c r="B53" s="9" t="s">
        <v>239</v>
      </c>
      <c r="C53" s="12">
        <v>7508901884</v>
      </c>
      <c r="D53" s="11" t="s">
        <v>240</v>
      </c>
      <c r="E53" s="11" t="s">
        <v>82</v>
      </c>
      <c r="F53" s="11" t="s">
        <v>18</v>
      </c>
      <c r="G53" s="10" t="s">
        <v>19</v>
      </c>
      <c r="H53" s="12">
        <v>1450</v>
      </c>
      <c r="I53" s="12">
        <v>362.5</v>
      </c>
      <c r="J53" s="11" t="s">
        <v>27</v>
      </c>
      <c r="K53" s="11" t="s">
        <v>241</v>
      </c>
      <c r="L53" s="11" t="s">
        <v>242</v>
      </c>
      <c r="M53" s="12"/>
      <c r="N53" s="13" t="s">
        <v>124</v>
      </c>
      <c r="O53" s="13" t="str">
        <f>VLOOKUP(A53,'[1]05-07-26'!$A$2:$T$85,20,0)</f>
        <v>Rajni ( 14 Inch ) 16     Grass</v>
      </c>
      <c r="P53" s="13" t="str">
        <f>VLOOKUP(A53,'[1]12-07-26'!$A$2:$T$90,20,0)</f>
        <v>B Orchid  5     Grass</v>
      </c>
      <c r="Q53" s="13" t="str">
        <f>VLOOKUP(A53,'[1]19-07-26'!$A$2:$T$90,20,0)</f>
        <v>P n W Spray Daisy ( 14 Inch ) 5     FF Sachet + Grass</v>
      </c>
      <c r="R53" s="13" t="str">
        <f>VLOOKUP(A53,'[1]26-07-26'!$A$2:$T$84,20,0)</f>
        <v>W Asiatic ( 14 Inch ) 3     Grass</v>
      </c>
      <c r="S53" s="13" t="str">
        <f>VLOOKUP(A53,'[2]02-08-26'!$A$2:$T$92,20,0)</f>
        <v>R n W Car ( 14 Inch ) 16     FF Sachet + Grass</v>
      </c>
      <c r="T53" s="13" t="s">
        <v>353</v>
      </c>
      <c r="U53" s="13">
        <v>16</v>
      </c>
      <c r="V53" s="13"/>
      <c r="W53" s="13"/>
      <c r="X53" s="13"/>
      <c r="Y53" s="13"/>
      <c r="Z53" s="13" t="s">
        <v>363</v>
      </c>
      <c r="AA53" s="13"/>
      <c r="AB53" s="13"/>
      <c r="AC53" s="13"/>
      <c r="AD53" s="13"/>
    </row>
    <row r="54" spans="1:30" ht="96.85" customHeight="1" x14ac:dyDescent="0.3">
      <c r="A54" s="1">
        <v>3358</v>
      </c>
      <c r="B54" s="9" t="s">
        <v>243</v>
      </c>
      <c r="C54" s="12">
        <v>9990903321</v>
      </c>
      <c r="D54" s="11" t="s">
        <v>244</v>
      </c>
      <c r="E54" s="11" t="s">
        <v>17</v>
      </c>
      <c r="F54" s="11" t="s">
        <v>18</v>
      </c>
      <c r="G54" s="10" t="s">
        <v>19</v>
      </c>
      <c r="H54" s="12">
        <v>1950</v>
      </c>
      <c r="I54" s="12">
        <v>487.5</v>
      </c>
      <c r="J54" s="8" t="s">
        <v>93</v>
      </c>
      <c r="K54" s="11" t="s">
        <v>245</v>
      </c>
      <c r="L54" s="12"/>
      <c r="M54" s="11" t="s">
        <v>246</v>
      </c>
      <c r="N54" s="13" t="s">
        <v>374</v>
      </c>
      <c r="O54" s="13" t="str">
        <f>VLOOKUP(A54,'[1]05-07-26'!$A$2:$T$85,20,0)</f>
        <v>Rajni ( 14 Inch ) 22     Grass</v>
      </c>
      <c r="P54" s="13" t="str">
        <f>VLOOKUP(A54,'[1]12-07-26'!$A$2:$T$90,20,0)</f>
        <v>P Asiatic ( 14 Inch ) 4     Grass</v>
      </c>
      <c r="Q54" s="13" t="str">
        <f>VLOOKUP(A54,'[1]19-07-26'!$A$2:$T$90,20,0)</f>
        <v>Mix Alstroemeria ( 12 Inch ) 22     FF Sachet + Grass</v>
      </c>
      <c r="R54" s="13" t="str">
        <f>VLOOKUP(A54,'[1]26-07-26'!$A$2:$T$84,20,0)</f>
        <v>P n W Spray Daosy ( 14 Inch ) 7     FF Sachet + Grass</v>
      </c>
      <c r="S54" s="13" t="str">
        <f>VLOOKUP(A54,'[2]02-08-26'!$A$2:$T$92,20,0)</f>
        <v>R n W Car ( 14 Inch ) 22     FF Sachet + Grass</v>
      </c>
      <c r="T54" s="13" t="s">
        <v>376</v>
      </c>
      <c r="U54" s="13">
        <v>4</v>
      </c>
      <c r="V54" s="13"/>
      <c r="W54" s="13"/>
      <c r="X54" s="13"/>
      <c r="Y54" s="13"/>
      <c r="Z54" s="13" t="s">
        <v>362</v>
      </c>
      <c r="AA54" s="13"/>
      <c r="AB54" s="13"/>
      <c r="AC54" s="13"/>
      <c r="AD54" s="13"/>
    </row>
    <row r="55" spans="1:30" ht="96.85" customHeight="1" x14ac:dyDescent="0.3">
      <c r="A55" s="1">
        <v>2748</v>
      </c>
      <c r="B55" s="9" t="s">
        <v>247</v>
      </c>
      <c r="C55" s="12">
        <v>9871320514</v>
      </c>
      <c r="D55" s="11" t="s">
        <v>248</v>
      </c>
      <c r="E55" s="11" t="s">
        <v>17</v>
      </c>
      <c r="F55" s="11" t="s">
        <v>18</v>
      </c>
      <c r="G55" s="10" t="s">
        <v>19</v>
      </c>
      <c r="H55" s="12">
        <v>1450</v>
      </c>
      <c r="I55" s="12">
        <v>362.5</v>
      </c>
      <c r="J55" s="8" t="s">
        <v>27</v>
      </c>
      <c r="K55" s="11" t="s">
        <v>249</v>
      </c>
      <c r="L55" s="12"/>
      <c r="M55" s="12"/>
      <c r="N55" s="13" t="s">
        <v>29</v>
      </c>
      <c r="O55" s="13" t="str">
        <f>VLOOKUP(A55,'[1]05-07-26'!$A$2:$T$85,20,0)</f>
        <v>Rajni ( 14 Inch ) 16     Grass</v>
      </c>
      <c r="P55" s="13" t="str">
        <f>VLOOKUP(A55,'[1]12-07-26'!$A$2:$T$90,20,0)</f>
        <v>G n W Car ( 14 Inch ) 16     FF Sachet + Grass</v>
      </c>
      <c r="Q55" s="13" t="str">
        <f>VLOOKUP(A55,'[1]19-07-26'!$A$2:$T$90,20,0)</f>
        <v>P n Y Spray Daisy ( 14 Inch ) 5     FF Sachet + Grass</v>
      </c>
      <c r="R55" s="13" t="str">
        <f>VLOOKUP(A55,'[1]26-07-26'!$A$2:$T$84,20,0)</f>
        <v>W Asiatic ( 14 Inch ) 3     Grass</v>
      </c>
      <c r="S55" s="13" t="str">
        <f>VLOOKUP(A55,'[2]02-08-26'!$A$2:$T$92,20,0)</f>
        <v>O Alstroemeria ( 12 Inch ) 16     FF Sachet + Grass</v>
      </c>
      <c r="T55" s="13" t="s">
        <v>354</v>
      </c>
      <c r="U55" s="13">
        <v>16</v>
      </c>
      <c r="V55" s="13"/>
      <c r="W55" s="13"/>
      <c r="X55" s="13" t="s">
        <v>431</v>
      </c>
      <c r="Y55" s="13" t="s">
        <v>431</v>
      </c>
      <c r="Z55" s="13" t="s">
        <v>363</v>
      </c>
      <c r="AA55" s="13"/>
      <c r="AB55" s="13"/>
      <c r="AC55" s="13"/>
      <c r="AD55" s="13"/>
    </row>
    <row r="56" spans="1:30" ht="96.85" customHeight="1" x14ac:dyDescent="0.3">
      <c r="A56" s="1">
        <v>2462</v>
      </c>
      <c r="B56" s="9" t="s">
        <v>250</v>
      </c>
      <c r="C56" s="14">
        <v>9811601176</v>
      </c>
      <c r="D56" s="11" t="s">
        <v>251</v>
      </c>
      <c r="E56" s="11" t="s">
        <v>82</v>
      </c>
      <c r="F56" s="11" t="s">
        <v>18</v>
      </c>
      <c r="G56" s="10" t="s">
        <v>19</v>
      </c>
      <c r="H56" s="12">
        <v>1450</v>
      </c>
      <c r="I56" s="12">
        <v>362.5</v>
      </c>
      <c r="J56" s="8" t="s">
        <v>27</v>
      </c>
      <c r="K56" s="11" t="s">
        <v>252</v>
      </c>
      <c r="L56" s="12"/>
      <c r="M56" s="11" t="s">
        <v>253</v>
      </c>
      <c r="N56" s="13" t="s">
        <v>124</v>
      </c>
      <c r="O56" s="13" t="str">
        <f>VLOOKUP(A56,'[1]05-07-26'!$A$2:$T$85,20,0)</f>
        <v>Sunflower ( 12 Inch ) 4     FF Sachet + Grass</v>
      </c>
      <c r="P56" s="13" t="str">
        <f>VLOOKUP(A56,'[1]12-07-26'!$A$2:$T$90,20,0)</f>
        <v>P Asiatic ( 14 Inch ) 3     Grass</v>
      </c>
      <c r="Q56" s="13" t="str">
        <f>VLOOKUP(A56,'[1]19-07-26'!$A$2:$T$90,20,0)</f>
        <v>Alstromia 16     FF Sachet + Grass</v>
      </c>
      <c r="R56" s="13" t="str">
        <f>VLOOKUP(A56,'[1]26-07-26'!$A$2:$T$84,20,0)</f>
        <v>R n W Car ( 14 Inch ) 16     FF Sachet + Grass</v>
      </c>
      <c r="S56" s="13" t="str">
        <f>VLOOKUP(A56,'[2]02-08-26'!$A$2:$T$92,20,0)</f>
        <v>P n Y Spray Daisy ( 14 Inch ) 5     FF Sachet + Grass</v>
      </c>
      <c r="T56" s="13" t="s">
        <v>354</v>
      </c>
      <c r="U56" s="13">
        <v>16</v>
      </c>
      <c r="V56" s="13"/>
      <c r="W56" s="13"/>
      <c r="X56" s="13"/>
      <c r="Y56" s="13"/>
      <c r="Z56" s="13" t="s">
        <v>363</v>
      </c>
      <c r="AA56" s="13"/>
      <c r="AB56" s="13"/>
      <c r="AC56" s="13"/>
      <c r="AD56" s="13"/>
    </row>
    <row r="57" spans="1:30" ht="96.85" customHeight="1" x14ac:dyDescent="0.3">
      <c r="A57" s="8" t="s">
        <v>254</v>
      </c>
      <c r="B57" s="9" t="s">
        <v>255</v>
      </c>
      <c r="C57" s="1">
        <v>7503975035</v>
      </c>
      <c r="D57" s="8" t="s">
        <v>256</v>
      </c>
      <c r="E57" s="11" t="s">
        <v>17</v>
      </c>
      <c r="F57" s="11" t="s">
        <v>18</v>
      </c>
      <c r="G57" s="10" t="s">
        <v>19</v>
      </c>
      <c r="H57" s="12">
        <v>1450</v>
      </c>
      <c r="I57" s="12">
        <v>362.5</v>
      </c>
      <c r="J57" s="8" t="s">
        <v>27</v>
      </c>
      <c r="K57" s="11" t="s">
        <v>257</v>
      </c>
      <c r="L57" s="11" t="s">
        <v>258</v>
      </c>
      <c r="M57" s="11" t="s">
        <v>259</v>
      </c>
      <c r="N57" s="13" t="s">
        <v>124</v>
      </c>
      <c r="O57" s="13" t="str">
        <f>VLOOKUP(A57,'[1]05-07-26'!$A$2:$T$85,20,0)</f>
        <v>Pur n P Car ( 14 Inch ) 16     FF Sachet + Grass</v>
      </c>
      <c r="P57" s="13" t="str">
        <f>VLOOKUP(A57,'[1]12-07-26'!$A$2:$T$90,20,0)</f>
        <v>O Asiatic ( 14 Inch ) 3     Grass</v>
      </c>
      <c r="Q57" s="13" t="str">
        <f>VLOOKUP(A57,'[1]19-07-26'!$A$2:$T$90,20,0)</f>
        <v>Mix Glad ( 14 inch ) 16     Grass</v>
      </c>
      <c r="R57" s="13" t="str">
        <f>VLOOKUP(A57,'[1]26-07-26'!$A$2:$T$84,20,0)</f>
        <v>Mix Spray Daisy 5     FF Sachet + Grass</v>
      </c>
      <c r="S57" s="13" t="str">
        <f>VLOOKUP(A57,'[2]02-08-26'!$A$2:$T$92,20,0)</f>
        <v>P Eustoma ( 12 Inch )  3     FF Sachet + Grass</v>
      </c>
      <c r="T57" s="13" t="s">
        <v>355</v>
      </c>
      <c r="U57" s="13">
        <v>16</v>
      </c>
      <c r="V57" s="13"/>
      <c r="W57" s="13"/>
      <c r="X57" s="13"/>
      <c r="Y57" s="13"/>
      <c r="Z57" s="13" t="s">
        <v>362</v>
      </c>
      <c r="AA57" s="13"/>
      <c r="AB57" s="13"/>
      <c r="AC57" s="13"/>
      <c r="AD57" s="13"/>
    </row>
    <row r="58" spans="1:30" ht="96.85" customHeight="1" x14ac:dyDescent="0.3">
      <c r="A58" s="1">
        <v>3183</v>
      </c>
      <c r="B58" s="9" t="s">
        <v>260</v>
      </c>
      <c r="C58" s="12">
        <v>9810638001</v>
      </c>
      <c r="D58" s="11" t="s">
        <v>261</v>
      </c>
      <c r="E58" s="11" t="s">
        <v>48</v>
      </c>
      <c r="F58" s="11" t="s">
        <v>18</v>
      </c>
      <c r="G58" s="10" t="s">
        <v>19</v>
      </c>
      <c r="H58" s="12">
        <v>1450</v>
      </c>
      <c r="I58" s="12">
        <v>362.5</v>
      </c>
      <c r="J58" s="8" t="s">
        <v>27</v>
      </c>
      <c r="K58" s="8"/>
      <c r="L58" s="12"/>
      <c r="M58" s="12"/>
      <c r="N58" s="13" t="s">
        <v>124</v>
      </c>
      <c r="O58" s="13" t="e">
        <f>VLOOKUP(A58,'[1]05-07-26'!$A$2:$T$85,20,0)</f>
        <v>#N/A</v>
      </c>
      <c r="P58" s="13" t="e">
        <f>VLOOKUP(A58,'[1]12-07-26'!$A$2:$T$90,20,0)</f>
        <v>#N/A</v>
      </c>
      <c r="Q58" s="13" t="e">
        <f>VLOOKUP(A58,'[1]19-07-26'!$A$2:$T$90,20,0)</f>
        <v>#N/A</v>
      </c>
      <c r="R58" s="13" t="e">
        <f>VLOOKUP(A58,'[1]26-07-26'!$A$2:$T$84,20,0)</f>
        <v>#N/A</v>
      </c>
      <c r="S58" s="13" t="str">
        <f>VLOOKUP(A58,'[2]02-08-26'!$A$2:$T$92,20,0)</f>
        <v>Sunflower ( 12 Inch ) 3     FF Sachet + Grass</v>
      </c>
      <c r="T58" s="13" t="s">
        <v>355</v>
      </c>
      <c r="U58" s="13">
        <v>16</v>
      </c>
      <c r="V58" s="13"/>
      <c r="W58" s="13"/>
      <c r="X58" s="13"/>
      <c r="Y58" s="13"/>
      <c r="Z58" s="13" t="s">
        <v>362</v>
      </c>
      <c r="AA58" s="13"/>
      <c r="AB58" s="13"/>
      <c r="AC58" s="13"/>
      <c r="AD58" s="13"/>
    </row>
    <row r="59" spans="1:30" ht="96.85" customHeight="1" x14ac:dyDescent="0.3">
      <c r="A59" s="8" t="s">
        <v>262</v>
      </c>
      <c r="B59" s="9" t="s">
        <v>263</v>
      </c>
      <c r="C59" s="12">
        <v>9310066367</v>
      </c>
      <c r="D59" s="11" t="s">
        <v>264</v>
      </c>
      <c r="E59" s="11" t="s">
        <v>82</v>
      </c>
      <c r="F59" s="11" t="s">
        <v>18</v>
      </c>
      <c r="G59" s="11" t="s">
        <v>265</v>
      </c>
      <c r="H59" s="12">
        <v>600</v>
      </c>
      <c r="I59" s="12">
        <v>600</v>
      </c>
      <c r="J59" s="8" t="s">
        <v>266</v>
      </c>
      <c r="K59" s="11" t="s">
        <v>267</v>
      </c>
      <c r="L59" s="12"/>
      <c r="M59" s="12"/>
      <c r="N59" s="13" t="s">
        <v>268</v>
      </c>
      <c r="O59" s="13" t="e">
        <f>VLOOKUP(A59,'[1]05-07-26'!$A$2:$T$85,20,0)</f>
        <v>#N/A</v>
      </c>
      <c r="P59" s="13" t="e">
        <f>VLOOKUP(A59,'[1]12-07-26'!$A$2:$T$90,20,0)</f>
        <v>#N/A</v>
      </c>
      <c r="Q59" s="13" t="e">
        <f>VLOOKUP(A59,'[1]19-07-26'!$A$2:$T$90,20,0)</f>
        <v>#N/A</v>
      </c>
      <c r="R59" s="13" t="e">
        <f>VLOOKUP(A59,'[1]26-07-26'!$A$2:$T$84,20,0)</f>
        <v>#N/A</v>
      </c>
      <c r="S59" s="13" t="e">
        <f>VLOOKUP(A59,'[2]02-08-26'!$A$2:$T$92,20,0)</f>
        <v>#N/A</v>
      </c>
      <c r="T59" s="13" t="s">
        <v>357</v>
      </c>
      <c r="U59" s="13">
        <v>15</v>
      </c>
      <c r="V59" s="13" t="s">
        <v>364</v>
      </c>
      <c r="W59" s="13"/>
      <c r="X59" s="13"/>
      <c r="Y59" s="13"/>
      <c r="Z59" s="13"/>
      <c r="AA59" s="13"/>
      <c r="AB59" s="13"/>
      <c r="AC59" s="13"/>
      <c r="AD59" s="13"/>
    </row>
    <row r="60" spans="1:30" ht="96.85" customHeight="1" x14ac:dyDescent="0.3">
      <c r="A60" s="1">
        <v>2458</v>
      </c>
      <c r="B60" s="9" t="s">
        <v>269</v>
      </c>
      <c r="C60" s="14">
        <v>9811801284</v>
      </c>
      <c r="D60" s="11" t="s">
        <v>270</v>
      </c>
      <c r="E60" s="11" t="s">
        <v>82</v>
      </c>
      <c r="F60" s="11" t="s">
        <v>18</v>
      </c>
      <c r="G60" s="10" t="s">
        <v>26</v>
      </c>
      <c r="H60" s="12">
        <v>1450</v>
      </c>
      <c r="I60" s="12">
        <v>362.5</v>
      </c>
      <c r="J60" s="8" t="s">
        <v>27</v>
      </c>
      <c r="K60" s="11" t="s">
        <v>271</v>
      </c>
      <c r="L60" s="12"/>
      <c r="M60" s="12"/>
      <c r="N60" s="13" t="s">
        <v>272</v>
      </c>
      <c r="O60" s="13" t="str">
        <f>VLOOKUP(A60,'[1]05-07-26'!$A$2:$T$85,20,0)</f>
        <v>Pur n P Car ( 14 Inch ) 9     FF Sachet + Grass</v>
      </c>
      <c r="P60" s="13" t="str">
        <f>VLOOKUP(A60,'[1]12-07-26'!$A$2:$T$90,20,0)</f>
        <v>P n W Glad ( 14 Inch ) 16     Grass</v>
      </c>
      <c r="Q60" s="13" t="str">
        <f>VLOOKUP(A60,'[1]19-07-26'!$A$2:$T$90,20,0)</f>
        <v>P n Y Spray Daisy ( 14 Inch ) 5     FF Sachet + Grass</v>
      </c>
      <c r="R60" s="13" t="str">
        <f>VLOOKUP(A60,'[1]26-07-26'!$A$2:$T$84,20,0)</f>
        <v>B Daisy 16     FF Sachet + Grass</v>
      </c>
      <c r="S60" s="13" t="str">
        <f>VLOOKUP(A60,'[2]02-08-26'!$A$2:$T$92,20,0)</f>
        <v>Mix Alstroemeria ( 12 Inch ) 16     FF Sachet + Grass</v>
      </c>
      <c r="T60" s="13" t="s">
        <v>370</v>
      </c>
      <c r="U60" s="13">
        <v>3</v>
      </c>
      <c r="V60" s="13"/>
      <c r="W60" s="13"/>
      <c r="X60" s="13"/>
      <c r="Y60" s="13"/>
      <c r="Z60" s="13" t="s">
        <v>363</v>
      </c>
      <c r="AA60" s="13"/>
      <c r="AB60" s="13"/>
      <c r="AC60" s="13"/>
      <c r="AD60" s="13"/>
    </row>
    <row r="61" spans="1:30" ht="96.85" customHeight="1" x14ac:dyDescent="0.3">
      <c r="A61" s="1">
        <v>2307</v>
      </c>
      <c r="B61" s="9" t="s">
        <v>273</v>
      </c>
      <c r="C61" s="12">
        <v>9599336609</v>
      </c>
      <c r="D61" s="11" t="s">
        <v>274</v>
      </c>
      <c r="E61" s="11" t="s">
        <v>17</v>
      </c>
      <c r="F61" s="11" t="s">
        <v>39</v>
      </c>
      <c r="G61" s="10" t="s">
        <v>26</v>
      </c>
      <c r="H61" s="12">
        <v>3000</v>
      </c>
      <c r="I61" s="12">
        <v>375</v>
      </c>
      <c r="J61" s="11" t="s">
        <v>114</v>
      </c>
      <c r="K61" s="11" t="s">
        <v>275</v>
      </c>
      <c r="L61" s="12"/>
      <c r="M61" s="27" t="s">
        <v>276</v>
      </c>
      <c r="N61" s="13" t="s">
        <v>349</v>
      </c>
      <c r="O61" s="13" t="str">
        <f>VLOOKUP(A61,'[1]05-07-26'!$A$2:$T$85,20,0)</f>
        <v>P n W Glad ( 14 Inch ) 15 Keep Flowesr at Door -- Don’t Ring Bell, Don’t Call    Grass</v>
      </c>
      <c r="P61" s="13" t="str">
        <f>VLOOKUP(A61,'[1]12-07-26'!$A$2:$T$90,20,0)</f>
        <v>Rajni ( 14 Inch ) 15 Keep Outside of Door -- Don’t Ring bell and don’t call    Grass</v>
      </c>
      <c r="Q61" s="13" t="str">
        <f>VLOOKUP(A61,'[1]19-07-26'!$A$2:$T$90,20,0)</f>
        <v>G n W Car ( 14 Inch ) 15 Keep at door -- don’t call or knock door    FF Sachet + Grass</v>
      </c>
      <c r="R61" s="13" t="str">
        <f>VLOOKUP(A61,'[1]26-07-26'!$A$2:$T$84,20,0)</f>
        <v>Rajni ( 14 Inch ) 15 Keep at Door -- Don’t call or ring bell    FF Sachet + Grass</v>
      </c>
      <c r="S61" s="13" t="str">
        <f>VLOOKUP(A61,'[2]02-08-26'!$A$2:$T$92,20,0)</f>
        <v>Sunflower ( 12 Inch ) 4     FF Sachet + Grass</v>
      </c>
      <c r="T61" s="13" t="s">
        <v>359</v>
      </c>
      <c r="U61" s="13">
        <v>4</v>
      </c>
      <c r="V61" s="13"/>
      <c r="W61" s="13"/>
      <c r="X61" s="13"/>
      <c r="Y61" s="13"/>
      <c r="Z61" s="13" t="s">
        <v>362</v>
      </c>
      <c r="AA61" s="13"/>
      <c r="AB61" s="13"/>
      <c r="AC61" s="13"/>
      <c r="AD61" s="13"/>
    </row>
    <row r="62" spans="1:30" ht="96.85" customHeight="1" x14ac:dyDescent="0.3">
      <c r="A62" s="1">
        <v>3424</v>
      </c>
      <c r="B62" s="9" t="s">
        <v>277</v>
      </c>
      <c r="C62" s="11" t="s">
        <v>278</v>
      </c>
      <c r="D62" s="11" t="s">
        <v>279</v>
      </c>
      <c r="E62" s="11" t="s">
        <v>280</v>
      </c>
      <c r="F62" s="11" t="s">
        <v>32</v>
      </c>
      <c r="G62" s="11" t="s">
        <v>67</v>
      </c>
      <c r="H62" s="12">
        <v>1450</v>
      </c>
      <c r="I62" s="12">
        <v>362.5</v>
      </c>
      <c r="J62" s="11" t="s">
        <v>27</v>
      </c>
      <c r="K62" s="11" t="s">
        <v>281</v>
      </c>
      <c r="L62" s="12"/>
      <c r="M62" s="12"/>
      <c r="N62" s="13" t="s">
        <v>282</v>
      </c>
      <c r="O62" s="13" t="e">
        <f>VLOOKUP(A62,'[1]05-07-26'!$A$2:$T$85,20,0)</f>
        <v>#N/A</v>
      </c>
      <c r="P62" s="13" t="e">
        <f>VLOOKUP(A62,'[1]12-07-26'!$A$2:$T$90,20,0)</f>
        <v>#N/A</v>
      </c>
      <c r="Q62" s="13" t="e">
        <f>VLOOKUP(A62,'[1]19-07-26'!$A$2:$T$90,20,0)</f>
        <v>#N/A</v>
      </c>
      <c r="R62" s="13" t="e">
        <f>VLOOKUP(A62,'[1]26-07-26'!$A$2:$T$84,20,0)</f>
        <v>#N/A</v>
      </c>
      <c r="S62" s="13" t="e">
        <f>VLOOKUP(A62,'[2]02-08-26'!$A$2:$T$92,20,0)</f>
        <v>#N/A</v>
      </c>
      <c r="T62" s="13" t="s">
        <v>357</v>
      </c>
      <c r="U62" s="13">
        <v>16</v>
      </c>
      <c r="V62" s="13"/>
      <c r="W62" s="13"/>
      <c r="X62" s="13"/>
      <c r="Y62" s="13"/>
      <c r="Z62" s="13" t="s">
        <v>362</v>
      </c>
      <c r="AA62" s="13"/>
      <c r="AB62" s="13"/>
      <c r="AC62" s="13"/>
      <c r="AD62" s="13"/>
    </row>
    <row r="63" spans="1:30" ht="96.85" customHeight="1" x14ac:dyDescent="0.3">
      <c r="A63" s="1">
        <v>3143</v>
      </c>
      <c r="B63" s="9" t="s">
        <v>283</v>
      </c>
      <c r="C63" s="14">
        <v>8850376353</v>
      </c>
      <c r="D63" s="11" t="s">
        <v>284</v>
      </c>
      <c r="E63" s="11" t="s">
        <v>17</v>
      </c>
      <c r="F63" s="11" t="s">
        <v>18</v>
      </c>
      <c r="G63" s="10" t="s">
        <v>58</v>
      </c>
      <c r="H63" s="12">
        <v>1450</v>
      </c>
      <c r="I63" s="12">
        <v>362.5</v>
      </c>
      <c r="J63" s="8" t="s">
        <v>27</v>
      </c>
      <c r="K63" s="11" t="s">
        <v>285</v>
      </c>
      <c r="L63" s="11" t="s">
        <v>122</v>
      </c>
      <c r="M63" s="12"/>
      <c r="N63" s="13" t="s">
        <v>286</v>
      </c>
      <c r="O63" s="13" t="str">
        <f>VLOOKUP(A63,'[1]05-07-26'!$A$2:$T$85,20,0)</f>
        <v>O Asiatic ( 14 Inch ) 2     Grass</v>
      </c>
      <c r="P63" s="13" t="e">
        <f>VLOOKUP(A63,'[1]12-07-26'!$A$2:$T$90,20,0)</f>
        <v>#N/A</v>
      </c>
      <c r="Q63" s="13" t="e">
        <f>VLOOKUP(A63,'[1]19-07-26'!$A$2:$T$90,20,0)</f>
        <v>#N/A</v>
      </c>
      <c r="R63" s="13" t="e">
        <f>VLOOKUP(A63,'[1]26-07-26'!$A$2:$T$84,20,0)</f>
        <v>#N/A</v>
      </c>
      <c r="S63" s="13" t="e">
        <f>VLOOKUP(A63,'[2]02-08-26'!$A$2:$T$92,20,0)</f>
        <v>#N/A</v>
      </c>
      <c r="T63" s="13" t="s">
        <v>355</v>
      </c>
      <c r="U63" s="13">
        <v>16</v>
      </c>
      <c r="V63" s="13"/>
      <c r="W63" s="13"/>
      <c r="X63" s="13"/>
      <c r="Y63" s="13"/>
      <c r="Z63" s="13" t="s">
        <v>362</v>
      </c>
      <c r="AA63" s="13"/>
      <c r="AB63" s="13"/>
      <c r="AC63" s="13"/>
      <c r="AD63" s="13"/>
    </row>
    <row r="64" spans="1:30" ht="96.85" customHeight="1" x14ac:dyDescent="0.3">
      <c r="A64" s="8" t="s">
        <v>287</v>
      </c>
      <c r="B64" s="9" t="s">
        <v>288</v>
      </c>
      <c r="C64" s="12">
        <v>9891465513</v>
      </c>
      <c r="D64" s="11" t="s">
        <v>289</v>
      </c>
      <c r="E64" s="11" t="s">
        <v>17</v>
      </c>
      <c r="F64" s="11" t="s">
        <v>18</v>
      </c>
      <c r="G64" s="10" t="s">
        <v>98</v>
      </c>
      <c r="H64" s="12">
        <v>600</v>
      </c>
      <c r="I64" s="12">
        <v>600</v>
      </c>
      <c r="J64" s="11" t="s">
        <v>266</v>
      </c>
      <c r="K64" s="11" t="s">
        <v>290</v>
      </c>
      <c r="L64" s="12"/>
      <c r="M64" s="12"/>
      <c r="N64" s="13" t="s">
        <v>268</v>
      </c>
      <c r="O64" s="13" t="e">
        <f>VLOOKUP(A64,'[1]05-07-26'!$A$2:$T$85,20,0)</f>
        <v>#N/A</v>
      </c>
      <c r="P64" s="13" t="e">
        <f>VLOOKUP(A64,'[1]12-07-26'!$A$2:$T$90,20,0)</f>
        <v>#N/A</v>
      </c>
      <c r="Q64" s="13" t="e">
        <f>VLOOKUP(A64,'[1]19-07-26'!$A$2:$T$90,20,0)</f>
        <v>#N/A</v>
      </c>
      <c r="R64" s="13" t="e">
        <f>VLOOKUP(A64,'[1]26-07-26'!$A$2:$T$84,20,0)</f>
        <v>#N/A</v>
      </c>
      <c r="S64" s="13" t="e">
        <f>VLOOKUP(A64,'[2]02-08-26'!$A$2:$T$92,20,0)</f>
        <v>#N/A</v>
      </c>
      <c r="T64" s="13" t="s">
        <v>365</v>
      </c>
      <c r="U64" s="13">
        <v>7</v>
      </c>
      <c r="V64" s="13" t="s">
        <v>366</v>
      </c>
      <c r="W64" s="13" t="s">
        <v>367</v>
      </c>
      <c r="X64" s="13"/>
      <c r="Y64" s="13"/>
      <c r="Z64" s="13"/>
      <c r="AA64" s="13"/>
      <c r="AB64" s="13"/>
      <c r="AC64" s="13"/>
      <c r="AD64" s="13"/>
    </row>
    <row r="65" spans="1:30" ht="96.85" customHeight="1" x14ac:dyDescent="0.3">
      <c r="A65" s="1">
        <v>1978</v>
      </c>
      <c r="B65" s="9" t="s">
        <v>291</v>
      </c>
      <c r="C65" s="12" t="s">
        <v>292</v>
      </c>
      <c r="D65" s="11" t="s">
        <v>293</v>
      </c>
      <c r="E65" s="11" t="s">
        <v>48</v>
      </c>
      <c r="F65" s="11" t="s">
        <v>39</v>
      </c>
      <c r="G65" s="25" t="s">
        <v>33</v>
      </c>
      <c r="H65" s="12">
        <v>4850</v>
      </c>
      <c r="I65" s="12">
        <v>606.25</v>
      </c>
      <c r="J65" s="21" t="s">
        <v>135</v>
      </c>
      <c r="K65" s="11" t="s">
        <v>294</v>
      </c>
      <c r="L65" s="11" t="s">
        <v>295</v>
      </c>
      <c r="M65" s="11" t="s">
        <v>296</v>
      </c>
      <c r="N65" s="13" t="s">
        <v>297</v>
      </c>
      <c r="O65" s="13" t="str">
        <f>VLOOKUP(A65,'[1]05-07-26'!$A$2:$T$85,20,0)</f>
        <v>P Asiatic ( 14 Inch ) 2 B Daisy ( 12 Inch ) 6 Rajni ( 14 Inch ) 10 Grass</v>
      </c>
      <c r="P65" s="13" t="str">
        <f>VLOOKUP(A65,'[1]12-07-26'!$A$2:$T$90,20,0)</f>
        <v>Y Asiatic ( 14 Inch ) 2 P Spray Daisy ( 14 Inch ) 3 G n W Car ( 14 Inch ) 12 Grass</v>
      </c>
      <c r="Q65" s="13" t="str">
        <f>VLOOKUP(A65,'[1]19-07-26'!$A$2:$T$90,20,0)</f>
        <v>W Asiatic ( 14 Inch ) 2 Pur n P Eustoma  4 Rajn ( 14 Inch ) 12 Grass</v>
      </c>
      <c r="R65" s="13" t="str">
        <f>VLOOKUP(A65,'[1]26-07-26'!$A$2:$T$84,20,0)</f>
        <v>Y Asiatic ( 14 Inch ) 2 Sunflower ( 12 Inch ) 3 Pur n P Car ( 14 Inch ) 12 Grass</v>
      </c>
      <c r="S65" s="13" t="str">
        <f>VLOOKUP(A65,'[2]02-08-26'!$A$2:$T$92,20,0)</f>
        <v>W  Asiatic ( 14 Inch ) 2 Green  n Y Spray Daisy ( 14 Inch ) 4 Rajni 10 2 Gypsola + Grass</v>
      </c>
      <c r="T65" s="13" t="s">
        <v>360</v>
      </c>
      <c r="U65" s="13">
        <v>2</v>
      </c>
      <c r="V65" s="13" t="s">
        <v>361</v>
      </c>
      <c r="W65" s="13">
        <v>3</v>
      </c>
      <c r="X65" s="13" t="s">
        <v>357</v>
      </c>
      <c r="Y65" s="13">
        <v>12</v>
      </c>
      <c r="Z65" s="13" t="s">
        <v>363</v>
      </c>
      <c r="AA65" s="13"/>
      <c r="AB65" s="13"/>
      <c r="AC65" s="13"/>
      <c r="AD65" s="13"/>
    </row>
    <row r="66" spans="1:30" ht="96.85" customHeight="1" x14ac:dyDescent="0.3">
      <c r="A66" s="1">
        <v>2639</v>
      </c>
      <c r="B66" s="9" t="s">
        <v>298</v>
      </c>
      <c r="C66" s="12">
        <v>9799191916</v>
      </c>
      <c r="D66" s="11" t="s">
        <v>299</v>
      </c>
      <c r="E66" s="11" t="s">
        <v>75</v>
      </c>
      <c r="F66" s="11" t="s">
        <v>18</v>
      </c>
      <c r="G66" s="10" t="s">
        <v>19</v>
      </c>
      <c r="H66" s="12">
        <v>1450</v>
      </c>
      <c r="I66" s="12">
        <v>487.5</v>
      </c>
      <c r="J66" s="8" t="s">
        <v>27</v>
      </c>
      <c r="K66" s="11" t="s">
        <v>300</v>
      </c>
      <c r="L66" s="11" t="s">
        <v>301</v>
      </c>
      <c r="M66" s="11" t="s">
        <v>302</v>
      </c>
      <c r="N66" s="13" t="s">
        <v>286</v>
      </c>
      <c r="O66" s="13" t="str">
        <f>VLOOKUP(A66,'[1]05-07-26'!$A$2:$T$85,20,0)</f>
        <v>Rajni ( 14 Inch ) 16     Grass</v>
      </c>
      <c r="P66" s="13" t="str">
        <f>VLOOKUP(A66,'[1]12-07-26'!$A$2:$T$90,20,0)</f>
        <v>P n Y Spray Daisy ( 14 Inch ) 5     FF Sachet + Grass</v>
      </c>
      <c r="Q66" s="13" t="str">
        <f>VLOOKUP(A66,'[1]19-07-26'!$A$2:$T$90,20,0)</f>
        <v>G n W Car ( 14 Inch ) 16     FF Sachet + Grass</v>
      </c>
      <c r="R66" s="13" t="str">
        <f>VLOOKUP(A66,'[1]26-07-26'!$A$2:$T$84,20,0)</f>
        <v>O Glad 16     FF Sachet + Grass</v>
      </c>
      <c r="S66" s="13" t="str">
        <f>VLOOKUP(A66,'[2]02-08-26'!$A$2:$T$92,20,0)</f>
        <v>O Asiatic ( 14 Inch ) 3     Grass</v>
      </c>
      <c r="T66" s="13" t="s">
        <v>351</v>
      </c>
      <c r="U66" s="13">
        <v>16</v>
      </c>
      <c r="V66" s="13"/>
      <c r="W66" s="13"/>
      <c r="X66" s="13"/>
      <c r="Y66" s="13"/>
      <c r="Z66" s="13" t="s">
        <v>362</v>
      </c>
      <c r="AA66" s="13"/>
      <c r="AB66" s="13"/>
      <c r="AC66" s="13"/>
      <c r="AD66" s="13"/>
    </row>
    <row r="67" spans="1:30" ht="96.85" customHeight="1" x14ac:dyDescent="0.3">
      <c r="A67" s="8">
        <v>2869</v>
      </c>
      <c r="B67" s="9" t="s">
        <v>303</v>
      </c>
      <c r="C67" s="12">
        <v>8130245666</v>
      </c>
      <c r="D67" s="11" t="s">
        <v>304</v>
      </c>
      <c r="E67" s="11" t="s">
        <v>48</v>
      </c>
      <c r="F67" s="11" t="s">
        <v>18</v>
      </c>
      <c r="G67" s="11" t="s">
        <v>26</v>
      </c>
      <c r="H67" s="12">
        <v>2750</v>
      </c>
      <c r="I67" s="12">
        <v>687.5</v>
      </c>
      <c r="J67" s="11" t="s">
        <v>20</v>
      </c>
      <c r="K67" s="12"/>
      <c r="L67" s="12"/>
      <c r="M67" s="12"/>
      <c r="N67" s="13" t="s">
        <v>305</v>
      </c>
      <c r="O67" s="13" t="str">
        <f>VLOOKUP(A67,'[1]05-07-26'!$A$2:$T$85,20,0)</f>
        <v>BOP 3 Rajni ( 14 Inch ) 16   2 Gypsola</v>
      </c>
      <c r="P67" s="13" t="str">
        <f>VLOOKUP(A67,'[1]12-07-26'!$A$2:$T$90,20,0)</f>
        <v>P Asiatic ( 14 Inch ) 3 G n W Car ( 14 Inch ) 16   2 Limonium</v>
      </c>
      <c r="Q67" s="13" t="str">
        <f>VLOOKUP(A67,'[1]19-07-26'!$A$2:$T$90,20,0)</f>
        <v>P n Pur Eustoma ( 12 Inch ) 4 Glad 16   2 Gypsola + FF sachet + Grass</v>
      </c>
      <c r="R67" s="13" t="str">
        <f>VLOOKUP(A67,'[1]26-07-26'!$A$2:$T$84,20,0)</f>
        <v>W n Y Spray Daisy ( 14 Inch ) 5 Mix Car 16   FF Sachet + Grass</v>
      </c>
      <c r="S67" s="13" t="str">
        <f>VLOOKUP(A67,'[2]02-08-26'!$A$2:$T$92,20,0)</f>
        <v>Sunflower ( 12 Inch ) 6 Mix Alstroemeria ( 12 Inch ) 15   FF Sachet + Grass</v>
      </c>
      <c r="T67" s="13" t="s">
        <v>377</v>
      </c>
      <c r="U67" s="13">
        <v>3</v>
      </c>
      <c r="V67" s="13" t="s">
        <v>353</v>
      </c>
      <c r="W67" s="13">
        <v>16</v>
      </c>
      <c r="X67" s="13"/>
      <c r="Y67" s="13"/>
      <c r="Z67" s="13" t="s">
        <v>363</v>
      </c>
      <c r="AA67" s="13"/>
      <c r="AB67" s="13"/>
      <c r="AC67" s="13"/>
      <c r="AD67" s="13"/>
    </row>
    <row r="68" spans="1:30" ht="96.85" customHeight="1" x14ac:dyDescent="0.3">
      <c r="A68" s="1">
        <v>2910</v>
      </c>
      <c r="B68" s="9" t="s">
        <v>306</v>
      </c>
      <c r="C68" s="9">
        <v>9818627991</v>
      </c>
      <c r="D68" s="11" t="s">
        <v>307</v>
      </c>
      <c r="E68" s="11" t="s">
        <v>44</v>
      </c>
      <c r="F68" s="11" t="s">
        <v>18</v>
      </c>
      <c r="G68" s="11" t="s">
        <v>308</v>
      </c>
      <c r="H68" s="12">
        <v>1450</v>
      </c>
      <c r="I68" s="12">
        <v>362.5</v>
      </c>
      <c r="J68" s="11" t="s">
        <v>27</v>
      </c>
      <c r="K68" s="11" t="s">
        <v>309</v>
      </c>
      <c r="L68" s="12"/>
      <c r="M68" s="11" t="s">
        <v>310</v>
      </c>
      <c r="N68" s="13" t="s">
        <v>286</v>
      </c>
      <c r="O68" s="13" t="e">
        <f>VLOOKUP(A68,'[1]05-07-26'!$A$2:$T$85,20,0)</f>
        <v>#N/A</v>
      </c>
      <c r="P68" s="13" t="e">
        <f>VLOOKUP(A68,'[1]12-07-26'!$A$2:$T$90,20,0)</f>
        <v>#N/A</v>
      </c>
      <c r="Q68" s="13" t="e">
        <f>VLOOKUP(A68,'[1]19-07-26'!$A$2:$T$90,20,0)</f>
        <v>#N/A</v>
      </c>
      <c r="R68" s="13" t="e">
        <f>VLOOKUP(A68,'[1]26-07-26'!$A$2:$T$84,20,0)</f>
        <v>#N/A</v>
      </c>
      <c r="S68" s="13" t="e">
        <f>VLOOKUP(A68,'[2]02-08-26'!$A$2:$T$92,20,0)</f>
        <v>#N/A</v>
      </c>
      <c r="T68" s="13" t="s">
        <v>355</v>
      </c>
      <c r="U68" s="13">
        <v>16</v>
      </c>
      <c r="V68" s="13"/>
      <c r="W68" s="13"/>
      <c r="X68" s="13"/>
      <c r="Y68" s="13"/>
      <c r="Z68" s="13" t="s">
        <v>362</v>
      </c>
      <c r="AA68" s="13"/>
      <c r="AB68" s="13"/>
      <c r="AC68" s="13"/>
      <c r="AD68" s="13"/>
    </row>
    <row r="69" spans="1:30" ht="96.85" customHeight="1" x14ac:dyDescent="0.3">
      <c r="A69" s="1">
        <v>945</v>
      </c>
      <c r="B69" s="9" t="s">
        <v>311</v>
      </c>
      <c r="C69" s="12">
        <v>9910984447</v>
      </c>
      <c r="D69" s="11" t="s">
        <v>312</v>
      </c>
      <c r="E69" s="8" t="s">
        <v>82</v>
      </c>
      <c r="F69" s="8" t="s">
        <v>18</v>
      </c>
      <c r="G69" s="10" t="s">
        <v>19</v>
      </c>
      <c r="H69" s="12">
        <v>1950</v>
      </c>
      <c r="I69" s="12">
        <v>487.5</v>
      </c>
      <c r="J69" s="26" t="s">
        <v>93</v>
      </c>
      <c r="K69" s="11" t="s">
        <v>313</v>
      </c>
      <c r="L69" s="12"/>
      <c r="M69" s="12"/>
      <c r="N69" s="13" t="s">
        <v>268</v>
      </c>
      <c r="O69" s="13" t="str">
        <f>VLOOKUP(A69,'[1]05-07-26'!$A$2:$T$85,20,0)</f>
        <v>BOP 2 B Daisy ( 12 Inch ) 11   FF Sachet + Grass</v>
      </c>
      <c r="P69" s="13" t="str">
        <f>VLOOKUP(A69,'[1]12-07-26'!$A$2:$T$90,20,0)</f>
        <v>P Asiatic ( 14 Inch ) 2 Mix Alstroemeria ( 12 Inch ) 10   Grass</v>
      </c>
      <c r="Q69" s="13" t="str">
        <f>VLOOKUP(A69,'[1]19-07-26'!$A$2:$T$90,20,0)</f>
        <v>P n Y Spray Daisy ( 14 Inch ) 4 Mix Glad ( 14 Inch ) 11   FF Sachet + Grass</v>
      </c>
      <c r="R69" s="13" t="str">
        <f>VLOOKUP(A69,'[1]26-07-26'!$A$2:$T$84,20,0)</f>
        <v>Pur Eustoma ( 12 Inch ) 2 P n W Car ( 14 Inch ) 11   FF Sachet + Grass</v>
      </c>
      <c r="S69" s="13" t="str">
        <f>VLOOKUP(A69,'[2]02-08-26'!$A$2:$T$92,20,0)</f>
        <v>Sunflower ( 12 Inch ) 3 P n W Car ( 14 Inch ) 11   FF Sachet + Grass</v>
      </c>
      <c r="T69" s="13" t="s">
        <v>377</v>
      </c>
      <c r="U69" s="13">
        <v>2</v>
      </c>
      <c r="V69" s="13" t="s">
        <v>351</v>
      </c>
      <c r="W69" s="13">
        <v>11</v>
      </c>
      <c r="X69" s="13"/>
      <c r="Y69" s="13"/>
      <c r="Z69" s="13" t="s">
        <v>362</v>
      </c>
      <c r="AA69" s="13"/>
      <c r="AB69" s="13"/>
      <c r="AC69" s="13"/>
      <c r="AD69" s="13"/>
    </row>
    <row r="70" spans="1:30" ht="96.85" customHeight="1" x14ac:dyDescent="0.3">
      <c r="A70" s="1">
        <v>2192</v>
      </c>
      <c r="B70" s="9" t="s">
        <v>314</v>
      </c>
      <c r="C70" s="12">
        <v>7456879082</v>
      </c>
      <c r="D70" s="11" t="s">
        <v>315</v>
      </c>
      <c r="E70" s="11" t="s">
        <v>48</v>
      </c>
      <c r="F70" s="11" t="s">
        <v>18</v>
      </c>
      <c r="G70" s="10" t="s">
        <v>19</v>
      </c>
      <c r="H70" s="12">
        <v>1450</v>
      </c>
      <c r="I70" s="12">
        <v>362.5</v>
      </c>
      <c r="J70" s="11" t="s">
        <v>27</v>
      </c>
      <c r="K70" s="11" t="s">
        <v>316</v>
      </c>
      <c r="L70" s="12"/>
      <c r="M70" s="12"/>
      <c r="N70" s="13" t="s">
        <v>286</v>
      </c>
      <c r="O70" s="13" t="str">
        <f>VLOOKUP(A70,'[1]05-07-26'!$A$2:$T$85,20,0)</f>
        <v>Rajni ( 14 Inch ) 16     Grass</v>
      </c>
      <c r="P70" s="13" t="str">
        <f>VLOOKUP(A70,'[1]12-07-26'!$A$2:$T$90,20,0)</f>
        <v>O Asiatic ( 14 Inch ) 3     Grass</v>
      </c>
      <c r="Q70" s="13" t="str">
        <f>VLOOKUP(A70,'[1]19-07-26'!$A$2:$T$90,20,0)</f>
        <v>Mix Glad ( 14 inch ) 16     Grass</v>
      </c>
      <c r="R70" s="13" t="str">
        <f>VLOOKUP(A70,'[1]26-07-26'!$A$2:$T$84,20,0)</f>
        <v>R n W Car ( 14 Inch ) 16     FF Sachet + Grass</v>
      </c>
      <c r="S70" s="13" t="str">
        <f>VLOOKUP(A70,'[2]02-08-26'!$A$2:$T$92,20,0)</f>
        <v>P n Y Spray Daisy ( 14 Inch ) 5     FF Sachet + Grass</v>
      </c>
      <c r="T70" s="13" t="s">
        <v>351</v>
      </c>
      <c r="U70" s="13">
        <v>16</v>
      </c>
      <c r="V70" s="13"/>
      <c r="W70" s="13"/>
      <c r="X70" s="13"/>
      <c r="Y70" s="13"/>
      <c r="Z70" s="13" t="s">
        <v>362</v>
      </c>
      <c r="AA70" s="13"/>
      <c r="AB70" s="13"/>
      <c r="AC70" s="13"/>
      <c r="AD70" s="13"/>
    </row>
    <row r="71" spans="1:30" ht="96.85" customHeight="1" x14ac:dyDescent="0.3">
      <c r="A71" s="1">
        <v>2255</v>
      </c>
      <c r="B71" s="9" t="s">
        <v>317</v>
      </c>
      <c r="C71" s="12">
        <v>9910778929</v>
      </c>
      <c r="D71" s="11" t="s">
        <v>318</v>
      </c>
      <c r="E71" s="11" t="s">
        <v>48</v>
      </c>
      <c r="F71" s="11" t="s">
        <v>18</v>
      </c>
      <c r="G71" s="11" t="s">
        <v>67</v>
      </c>
      <c r="H71" s="28">
        <v>1450</v>
      </c>
      <c r="I71" s="12">
        <v>362.5</v>
      </c>
      <c r="J71" s="11" t="s">
        <v>27</v>
      </c>
      <c r="K71" s="11" t="s">
        <v>319</v>
      </c>
      <c r="L71" s="12"/>
      <c r="M71" s="12"/>
      <c r="N71" s="13" t="s">
        <v>286</v>
      </c>
      <c r="O71" s="13" t="str">
        <f>VLOOKUP(A71,'[1]05-07-26'!$A$2:$T$85,20,0)</f>
        <v>Sunflower ( 12 Inch ) 4     FF Sachet + Grass</v>
      </c>
      <c r="P71" s="13" t="str">
        <f>VLOOKUP(A71,'[1]12-07-26'!$A$2:$T$90,20,0)</f>
        <v>P n W Glad ( 14 Inch ) 16     Grass</v>
      </c>
      <c r="Q71" s="13" t="str">
        <f>VLOOKUP(A71,'[1]19-07-26'!$A$2:$T$90,20,0)</f>
        <v>Mix Car 16     FF Sachet + Grass</v>
      </c>
      <c r="R71" s="13" t="str">
        <f>VLOOKUP(A71,'[1]26-07-26'!$A$2:$T$84,20,0)</f>
        <v>W Asiatic ( 14 Inch ) 3     Grass</v>
      </c>
      <c r="S71" s="13" t="str">
        <f>VLOOKUP(A71,'[2]02-08-26'!$A$2:$T$92,20,0)</f>
        <v>Mix Alstroemeria ( 12 Inch ) 16     Grass</v>
      </c>
      <c r="T71" s="13" t="s">
        <v>365</v>
      </c>
      <c r="U71" s="13">
        <v>5</v>
      </c>
      <c r="V71" s="13"/>
      <c r="W71" s="13"/>
      <c r="X71" s="13"/>
      <c r="Y71" s="13"/>
      <c r="Z71" s="13" t="s">
        <v>362</v>
      </c>
      <c r="AA71" s="13"/>
      <c r="AB71" s="13"/>
      <c r="AC71" s="13"/>
      <c r="AD71" s="13"/>
    </row>
    <row r="72" spans="1:30" ht="96.85" customHeight="1" x14ac:dyDescent="0.3">
      <c r="A72" s="1">
        <v>2779</v>
      </c>
      <c r="B72" s="9" t="s">
        <v>320</v>
      </c>
      <c r="C72" s="12">
        <v>8130497969</v>
      </c>
      <c r="D72" s="11" t="s">
        <v>321</v>
      </c>
      <c r="E72" s="11" t="s">
        <v>66</v>
      </c>
      <c r="F72" s="11" t="s">
        <v>18</v>
      </c>
      <c r="G72" s="11" t="s">
        <v>58</v>
      </c>
      <c r="H72" s="12">
        <v>1600</v>
      </c>
      <c r="I72" s="12">
        <v>200</v>
      </c>
      <c r="J72" s="8" t="s">
        <v>34</v>
      </c>
      <c r="K72" s="11" t="s">
        <v>322</v>
      </c>
      <c r="L72" s="12"/>
      <c r="M72" s="12"/>
      <c r="N72" s="13" t="s">
        <v>323</v>
      </c>
      <c r="O72" s="13" t="str">
        <f>VLOOKUP(A72,'[1]05-07-26'!$A$2:$T$85,20,0)</f>
        <v>Mix Alstroemeria 7     Grass</v>
      </c>
      <c r="P72" s="13" t="str">
        <f>VLOOKUP(A72,'[1]12-07-26'!$A$2:$T$90,20,0)</f>
        <v>Y Spray Daisy ( 14 Inch ) 2     FF Sachet + Grass</v>
      </c>
      <c r="Q72" s="13" t="str">
        <f>VLOOKUP(A72,'[1]19-07-26'!$A$2:$T$90,20,0)</f>
        <v>Sunflower ( 12 Inch )  2     FF Sachet + Grass</v>
      </c>
      <c r="R72" s="13" t="str">
        <f>VLOOKUP(A72,'[1]26-07-26'!$A$2:$T$84,20,0)</f>
        <v>R n W Car ( 14 Inch ) 7     FF Sachet + Grass</v>
      </c>
      <c r="S72" s="13" t="str">
        <f>VLOOKUP(A72,'[2]02-08-26'!$A$2:$T$92,20,0)</f>
        <v>P Spray Daisy ( 14 Inch ) 2     FF Sachet + Grass</v>
      </c>
      <c r="T72" s="13" t="s">
        <v>352</v>
      </c>
      <c r="U72" s="13">
        <v>2</v>
      </c>
      <c r="V72" s="13"/>
      <c r="W72" s="13"/>
      <c r="X72" s="13"/>
      <c r="Y72" s="13"/>
      <c r="Z72" s="13" t="s">
        <v>362</v>
      </c>
      <c r="AA72" s="13"/>
      <c r="AB72" s="13"/>
      <c r="AC72" s="13"/>
      <c r="AD72" s="13"/>
    </row>
    <row r="73" spans="1:30" ht="96.85" customHeight="1" x14ac:dyDescent="0.3">
      <c r="A73" s="1">
        <v>2827</v>
      </c>
      <c r="B73" s="9" t="s">
        <v>324</v>
      </c>
      <c r="C73" s="14">
        <v>9899212888</v>
      </c>
      <c r="D73" s="11" t="s">
        <v>325</v>
      </c>
      <c r="E73" s="11" t="s">
        <v>48</v>
      </c>
      <c r="F73" s="11" t="s">
        <v>18</v>
      </c>
      <c r="G73" s="10" t="s">
        <v>19</v>
      </c>
      <c r="H73" s="12">
        <v>1450</v>
      </c>
      <c r="I73" s="12">
        <v>362.5</v>
      </c>
      <c r="J73" s="8" t="s">
        <v>27</v>
      </c>
      <c r="K73" s="11" t="s">
        <v>326</v>
      </c>
      <c r="L73" s="12"/>
      <c r="M73" s="11"/>
      <c r="N73" s="13" t="s">
        <v>286</v>
      </c>
      <c r="O73" s="13" t="e">
        <f>VLOOKUP(A73,'[1]05-07-26'!$A$2:$T$85,20,0)</f>
        <v>#N/A</v>
      </c>
      <c r="P73" s="13" t="str">
        <f>VLOOKUP(A73,'[1]12-07-26'!$A$2:$T$90,20,0)</f>
        <v>G n W Car ( 14 Inch ) 16     FF Sachet + Grass</v>
      </c>
      <c r="Q73" s="13" t="str">
        <f>VLOOKUP(A73,'[1]19-07-26'!$A$2:$T$90,20,0)</f>
        <v>Y Asiatic ( 14 Inch ) 3     Grass</v>
      </c>
      <c r="R73" s="13" t="str">
        <f>VLOOKUP(A73,'[1]26-07-26'!$A$2:$T$84,20,0)</f>
        <v>O Glad 16     FF Sachet + Grass</v>
      </c>
      <c r="S73" s="13" t="str">
        <f>VLOOKUP(A73,'[2]02-08-26'!$A$2:$T$92,20,0)</f>
        <v>P n Y Spray Daisy ( 14 Inch ) 5     Grass</v>
      </c>
      <c r="T73" s="13" t="s">
        <v>351</v>
      </c>
      <c r="U73" s="13">
        <v>16</v>
      </c>
      <c r="V73" s="13"/>
      <c r="W73" s="13"/>
      <c r="X73" s="13"/>
      <c r="Y73" s="13"/>
      <c r="Z73" s="13" t="s">
        <v>362</v>
      </c>
      <c r="AA73" s="13"/>
      <c r="AB73" s="13"/>
      <c r="AC73" s="13"/>
      <c r="AD73" s="13"/>
    </row>
    <row r="74" spans="1:30" ht="96.85" customHeight="1" x14ac:dyDescent="0.3">
      <c r="A74" s="8" t="s">
        <v>327</v>
      </c>
      <c r="B74" s="9" t="s">
        <v>328</v>
      </c>
      <c r="C74" s="1">
        <v>9900094415</v>
      </c>
      <c r="D74" s="8" t="s">
        <v>329</v>
      </c>
      <c r="E74" s="11" t="s">
        <v>44</v>
      </c>
      <c r="F74" s="11" t="s">
        <v>18</v>
      </c>
      <c r="G74" s="10" t="s">
        <v>330</v>
      </c>
      <c r="H74" s="12">
        <v>1200</v>
      </c>
      <c r="I74" s="12">
        <v>1200</v>
      </c>
      <c r="J74" s="11" t="s">
        <v>266</v>
      </c>
      <c r="K74" s="11" t="s">
        <v>331</v>
      </c>
      <c r="L74" s="12"/>
      <c r="M74" s="12"/>
      <c r="N74" s="13" t="s">
        <v>332</v>
      </c>
      <c r="O74" s="13" t="e">
        <f>VLOOKUP(A74,'[1]05-07-26'!$A$2:$T$85,20,0)</f>
        <v>#N/A</v>
      </c>
      <c r="P74" s="13" t="e">
        <f>VLOOKUP(A74,'[1]12-07-26'!$A$2:$T$90,20,0)</f>
        <v>#N/A</v>
      </c>
      <c r="Q74" s="13" t="e">
        <f>VLOOKUP(A74,'[1]19-07-26'!$A$2:$T$90,20,0)</f>
        <v>#N/A</v>
      </c>
      <c r="R74" s="13" t="e">
        <f>VLOOKUP(A74,'[1]26-07-26'!$A$2:$T$84,20,0)</f>
        <v>#N/A</v>
      </c>
      <c r="S74" s="13" t="e">
        <f>VLOOKUP(A74,'[2]02-08-26'!$A$2:$T$92,20,0)</f>
        <v>#N/A</v>
      </c>
      <c r="T74" s="13" t="s">
        <v>352</v>
      </c>
      <c r="U74" s="13">
        <v>8</v>
      </c>
      <c r="V74" s="13" t="s">
        <v>364</v>
      </c>
      <c r="W74" s="13"/>
      <c r="X74" s="13"/>
      <c r="Y74" s="13"/>
      <c r="Z74" s="13"/>
      <c r="AA74" s="13"/>
      <c r="AB74" s="13"/>
      <c r="AC74" s="13"/>
      <c r="AD74" s="13"/>
    </row>
    <row r="75" spans="1:30" ht="125.75" x14ac:dyDescent="0.3">
      <c r="A75" s="8" t="s">
        <v>435</v>
      </c>
      <c r="B75" s="9" t="s">
        <v>436</v>
      </c>
      <c r="C75" s="12">
        <v>9958239349</v>
      </c>
      <c r="D75" s="11" t="s">
        <v>437</v>
      </c>
      <c r="E75" s="11" t="s">
        <v>438</v>
      </c>
      <c r="F75" s="11" t="s">
        <v>18</v>
      </c>
      <c r="G75" s="10" t="s">
        <v>440</v>
      </c>
      <c r="H75" s="12">
        <f>400+600+1200+600</f>
        <v>2800</v>
      </c>
      <c r="I75" s="12">
        <f>H75</f>
        <v>2800</v>
      </c>
      <c r="J75" s="8" t="s">
        <v>266</v>
      </c>
      <c r="K75" s="11" t="s">
        <v>441</v>
      </c>
      <c r="L75" s="12"/>
      <c r="M75" s="11"/>
      <c r="N75" s="13" t="s">
        <v>443</v>
      </c>
      <c r="O75" s="13" t="e">
        <f>VLOOKUP(A75,'[1]05-07-26'!$A$2:$T$85,20,0)</f>
        <v>#N/A</v>
      </c>
      <c r="P75" s="13" t="e">
        <f>VLOOKUP(A75,'[1]12-07-26'!$A$2:$T$90,20,0)</f>
        <v>#N/A</v>
      </c>
      <c r="Q75" s="13" t="e">
        <f>VLOOKUP(A75,'[1]19-07-26'!$A$2:$T$90,20,0)</f>
        <v>#N/A</v>
      </c>
      <c r="R75" s="13" t="e">
        <f>VLOOKUP(A75,'[1]26-07-26'!$A$2:$T$84,20,0)</f>
        <v>#N/A</v>
      </c>
      <c r="S75" s="13" t="e">
        <f>VLOOKUP(A75,'[2]02-08-26'!$A$2:$T$92,20,0)</f>
        <v>#N/A</v>
      </c>
      <c r="T75" s="13" t="e">
        <f>VLOOKUP(B75,'[2]02-08-26'!$A$2:$T$92,20,0)</f>
        <v>#N/A</v>
      </c>
      <c r="U75" s="13" t="s">
        <v>444</v>
      </c>
      <c r="V75" s="13" t="s">
        <v>445</v>
      </c>
      <c r="W75" s="13"/>
      <c r="X75" s="13"/>
      <c r="Y75" s="13"/>
      <c r="Z75" s="13" t="s">
        <v>446</v>
      </c>
      <c r="AA75" s="13"/>
      <c r="AB75" s="13"/>
      <c r="AC75" s="13"/>
      <c r="AD75" s="13"/>
    </row>
    <row r="76" spans="1:30" ht="111.8" x14ac:dyDescent="0.3">
      <c r="A76" s="8" t="s">
        <v>434</v>
      </c>
      <c r="B76" s="9" t="s">
        <v>433</v>
      </c>
      <c r="C76" s="12">
        <v>7827645744</v>
      </c>
      <c r="D76" s="11" t="s">
        <v>439</v>
      </c>
      <c r="E76" s="11" t="s">
        <v>180</v>
      </c>
      <c r="F76" s="11" t="s">
        <v>18</v>
      </c>
      <c r="G76" s="11" t="s">
        <v>265</v>
      </c>
      <c r="H76" s="12">
        <v>2000</v>
      </c>
      <c r="I76" s="12">
        <f>H76</f>
        <v>2000</v>
      </c>
      <c r="J76" s="11" t="s">
        <v>266</v>
      </c>
      <c r="K76" s="11" t="s">
        <v>442</v>
      </c>
      <c r="L76" s="12"/>
      <c r="M76" s="12"/>
      <c r="N76" s="13" t="s">
        <v>268</v>
      </c>
      <c r="O76" s="13" t="e">
        <f>VLOOKUP(A76,'[1]05-07-26'!$A$2:$T$85,20,0)</f>
        <v>#N/A</v>
      </c>
      <c r="P76" s="13" t="e">
        <f>VLOOKUP(A76,'[1]12-07-26'!$A$2:$T$90,20,0)</f>
        <v>#N/A</v>
      </c>
      <c r="Q76" s="13" t="e">
        <f>VLOOKUP(A76,'[1]19-07-26'!$A$2:$T$90,20,0)</f>
        <v>#N/A</v>
      </c>
      <c r="R76" s="13" t="e">
        <f>VLOOKUP(A76,'[1]26-07-26'!$A$2:$T$84,20,0)</f>
        <v>#N/A</v>
      </c>
      <c r="S76" s="13" t="e">
        <f>VLOOKUP(A76,'[2]02-08-26'!$A$2:$T$92,20,0)</f>
        <v>#N/A</v>
      </c>
      <c r="T76" s="13" t="e">
        <f>VLOOKUP(B76,'[2]02-08-26'!$A$2:$T$92,20,0)</f>
        <v>#N/A</v>
      </c>
      <c r="U76" s="13" t="s">
        <v>447</v>
      </c>
      <c r="V76" s="13" t="s">
        <v>448</v>
      </c>
      <c r="W76" s="13" t="s">
        <v>449</v>
      </c>
      <c r="X76" s="13" t="s">
        <v>367</v>
      </c>
      <c r="Y76" s="13"/>
      <c r="Z76" s="13"/>
      <c r="AA76" s="13"/>
      <c r="AB76" s="13"/>
      <c r="AC76" s="13"/>
      <c r="AD76" s="13"/>
    </row>
  </sheetData>
  <autoFilter ref="A1:AD74" xr:uid="{6F982546-8A22-4837-81EA-5C08346569A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E3537-35A8-41FC-95F1-728BF581C3C6}">
  <dimension ref="A1:R58"/>
  <sheetViews>
    <sheetView tabSelected="1" workbookViewId="0">
      <pane xSplit="1" ySplit="1" topLeftCell="B25" activePane="bottomRight" state="frozen"/>
      <selection pane="topRight" activeCell="B1" sqref="B1"/>
      <selection pane="bottomLeft" activeCell="A2" sqref="A2"/>
      <selection pane="bottomRight" activeCell="K29" sqref="K29"/>
    </sheetView>
  </sheetViews>
  <sheetFormatPr defaultRowHeight="14" x14ac:dyDescent="0.3"/>
  <sheetData>
    <row r="1" spans="1:18" ht="41.95" x14ac:dyDescent="0.3">
      <c r="A1" s="30"/>
      <c r="B1" s="30" t="s">
        <v>382</v>
      </c>
      <c r="C1" s="31" t="s">
        <v>122</v>
      </c>
      <c r="D1" s="31" t="s">
        <v>383</v>
      </c>
      <c r="E1" s="31" t="s">
        <v>384</v>
      </c>
      <c r="F1" s="31" t="s">
        <v>385</v>
      </c>
      <c r="G1" s="31" t="s">
        <v>84</v>
      </c>
      <c r="H1" s="31" t="s">
        <v>386</v>
      </c>
      <c r="I1" s="31" t="s">
        <v>387</v>
      </c>
      <c r="J1" s="31" t="s">
        <v>388</v>
      </c>
      <c r="K1" s="31" t="s">
        <v>389</v>
      </c>
      <c r="L1" s="32" t="s">
        <v>390</v>
      </c>
      <c r="M1" s="32" t="s">
        <v>391</v>
      </c>
      <c r="N1" s="32" t="s">
        <v>258</v>
      </c>
      <c r="O1" s="33"/>
      <c r="P1" s="34" t="s">
        <v>392</v>
      </c>
      <c r="Q1" s="34" t="s">
        <v>393</v>
      </c>
      <c r="R1" s="33"/>
    </row>
    <row r="2" spans="1:18" x14ac:dyDescent="0.3">
      <c r="A2" s="35">
        <v>1450</v>
      </c>
      <c r="B2" s="36">
        <v>1</v>
      </c>
      <c r="C2" s="36">
        <v>6</v>
      </c>
      <c r="D2" s="36">
        <v>10</v>
      </c>
      <c r="E2" s="36"/>
      <c r="F2" s="36"/>
      <c r="G2" s="36">
        <v>5</v>
      </c>
      <c r="H2" s="36"/>
      <c r="I2" s="36">
        <v>8.5</v>
      </c>
      <c r="J2" s="37">
        <v>2</v>
      </c>
      <c r="K2" s="37">
        <v>7</v>
      </c>
      <c r="L2" s="36"/>
      <c r="M2" s="36"/>
      <c r="N2" s="36">
        <v>0.5</v>
      </c>
      <c r="O2" s="38">
        <f t="shared" ref="O2:O6" si="0">SUM(B2:N2)</f>
        <v>40</v>
      </c>
      <c r="P2" s="38">
        <f>(O2*A2)/4</f>
        <v>14500</v>
      </c>
      <c r="Q2" s="38"/>
      <c r="R2" s="38"/>
    </row>
    <row r="3" spans="1:18" x14ac:dyDescent="0.3">
      <c r="A3" s="35">
        <v>1950</v>
      </c>
      <c r="B3" s="36"/>
      <c r="C3" s="36">
        <v>1.5</v>
      </c>
      <c r="D3" s="36">
        <v>2</v>
      </c>
      <c r="E3" s="36"/>
      <c r="F3" s="36"/>
      <c r="G3" s="36">
        <v>0.5</v>
      </c>
      <c r="H3" s="36"/>
      <c r="I3" s="36">
        <v>0.5</v>
      </c>
      <c r="J3" s="36"/>
      <c r="K3" s="36"/>
      <c r="L3" s="36"/>
      <c r="M3" s="36">
        <v>0.5</v>
      </c>
      <c r="N3" s="36">
        <v>3</v>
      </c>
      <c r="O3" s="38">
        <f t="shared" si="0"/>
        <v>8</v>
      </c>
      <c r="P3" s="38">
        <f>(O3*A3)/4</f>
        <v>3900</v>
      </c>
      <c r="Q3" s="38"/>
      <c r="R3" s="38"/>
    </row>
    <row r="4" spans="1:18" x14ac:dyDescent="0.3">
      <c r="A4" s="35">
        <v>2750</v>
      </c>
      <c r="B4" s="36">
        <v>0.5</v>
      </c>
      <c r="C4" s="36"/>
      <c r="D4" s="36"/>
      <c r="E4" s="36"/>
      <c r="F4" s="36"/>
      <c r="G4" s="36">
        <v>1</v>
      </c>
      <c r="H4" s="36"/>
      <c r="I4" s="39"/>
      <c r="J4" s="39"/>
      <c r="K4" s="39"/>
      <c r="L4" s="39"/>
      <c r="M4" s="36">
        <v>0.5</v>
      </c>
      <c r="N4" s="36"/>
      <c r="O4" s="38">
        <f t="shared" si="0"/>
        <v>2</v>
      </c>
      <c r="P4" s="38">
        <f>(O4*A4)/4</f>
        <v>1375</v>
      </c>
      <c r="Q4" s="38"/>
      <c r="R4" s="38"/>
    </row>
    <row r="5" spans="1:18" x14ac:dyDescent="0.3">
      <c r="A5" s="35">
        <v>4750</v>
      </c>
      <c r="B5" s="36"/>
      <c r="C5" s="36">
        <v>0.5</v>
      </c>
      <c r="D5" s="36">
        <v>0.5</v>
      </c>
      <c r="E5" s="36"/>
      <c r="F5" s="36"/>
      <c r="G5" s="36"/>
      <c r="H5" s="36"/>
      <c r="I5" s="36"/>
      <c r="J5" s="36"/>
      <c r="K5" s="36"/>
      <c r="L5" s="36"/>
      <c r="M5" s="36"/>
      <c r="N5" s="36"/>
      <c r="O5" s="38">
        <f t="shared" si="0"/>
        <v>1</v>
      </c>
      <c r="P5" s="38">
        <f>(O5*A5)/4</f>
        <v>1187.5</v>
      </c>
      <c r="Q5" s="38"/>
      <c r="R5" s="38"/>
    </row>
    <row r="6" spans="1:18" x14ac:dyDescent="0.3">
      <c r="A6" s="30" t="s">
        <v>394</v>
      </c>
      <c r="B6" s="40">
        <f t="shared" ref="B6:N6" si="1">SUM(B2:B5)</f>
        <v>1.5</v>
      </c>
      <c r="C6" s="40">
        <f t="shared" si="1"/>
        <v>8</v>
      </c>
      <c r="D6" s="40">
        <f t="shared" si="1"/>
        <v>12.5</v>
      </c>
      <c r="E6" s="40">
        <f t="shared" si="1"/>
        <v>0</v>
      </c>
      <c r="F6" s="40">
        <f t="shared" si="1"/>
        <v>0</v>
      </c>
      <c r="G6" s="40">
        <f t="shared" si="1"/>
        <v>6.5</v>
      </c>
      <c r="H6" s="40">
        <f t="shared" si="1"/>
        <v>0</v>
      </c>
      <c r="I6" s="40">
        <f t="shared" si="1"/>
        <v>9</v>
      </c>
      <c r="J6" s="40">
        <f t="shared" si="1"/>
        <v>2</v>
      </c>
      <c r="K6" s="40">
        <f t="shared" si="1"/>
        <v>7</v>
      </c>
      <c r="L6" s="40">
        <f t="shared" si="1"/>
        <v>0</v>
      </c>
      <c r="M6" s="40">
        <f t="shared" si="1"/>
        <v>1</v>
      </c>
      <c r="N6" s="40">
        <f t="shared" si="1"/>
        <v>3.5</v>
      </c>
      <c r="O6" s="38">
        <f t="shared" si="0"/>
        <v>51</v>
      </c>
      <c r="P6" s="41">
        <f>SUM(P2:P5)</f>
        <v>20962.5</v>
      </c>
      <c r="Q6" s="41">
        <f>P6</f>
        <v>20962.5</v>
      </c>
      <c r="R6" s="38"/>
    </row>
    <row r="7" spans="1:18" ht="27.95" x14ac:dyDescent="0.3">
      <c r="A7" s="35" t="s">
        <v>395</v>
      </c>
      <c r="B7" s="36">
        <v>22</v>
      </c>
      <c r="C7" s="36">
        <v>10</v>
      </c>
      <c r="D7" s="36">
        <v>10</v>
      </c>
      <c r="E7" s="36">
        <v>5</v>
      </c>
      <c r="F7" s="36">
        <v>10</v>
      </c>
      <c r="G7" s="36">
        <v>20</v>
      </c>
      <c r="H7" s="36">
        <v>20</v>
      </c>
      <c r="I7" s="36">
        <v>20</v>
      </c>
      <c r="J7" s="36">
        <v>10</v>
      </c>
      <c r="K7" s="36">
        <v>10</v>
      </c>
      <c r="L7" s="36">
        <v>10</v>
      </c>
      <c r="M7" s="36">
        <v>1</v>
      </c>
      <c r="N7" s="36">
        <v>10</v>
      </c>
      <c r="O7" s="38"/>
      <c r="P7" s="38"/>
      <c r="Q7" s="38"/>
      <c r="R7" s="38"/>
    </row>
    <row r="8" spans="1:18" ht="27.95" x14ac:dyDescent="0.3">
      <c r="A8" s="30" t="s">
        <v>396</v>
      </c>
      <c r="B8" s="32">
        <v>100</v>
      </c>
      <c r="C8" s="32">
        <v>325</v>
      </c>
      <c r="D8" s="32">
        <v>120</v>
      </c>
      <c r="E8" s="32">
        <v>130</v>
      </c>
      <c r="F8" s="32">
        <v>125</v>
      </c>
      <c r="G8" s="32">
        <v>300</v>
      </c>
      <c r="H8" s="32">
        <v>300</v>
      </c>
      <c r="I8" s="32">
        <v>150</v>
      </c>
      <c r="J8" s="32">
        <v>400</v>
      </c>
      <c r="K8" s="32">
        <v>650</v>
      </c>
      <c r="L8" s="32">
        <v>1150</v>
      </c>
      <c r="M8" s="32">
        <v>120</v>
      </c>
      <c r="N8" s="32">
        <v>550</v>
      </c>
      <c r="O8" s="38"/>
      <c r="P8" s="38"/>
      <c r="Q8" s="38"/>
      <c r="R8" s="38"/>
    </row>
    <row r="9" spans="1:18" x14ac:dyDescent="0.3">
      <c r="A9" s="35">
        <v>1450</v>
      </c>
      <c r="B9" s="36">
        <f>B2*16</f>
        <v>16</v>
      </c>
      <c r="C9" s="36">
        <f>C2*6</f>
        <v>36</v>
      </c>
      <c r="D9" s="36">
        <f>D2*16</f>
        <v>160</v>
      </c>
      <c r="E9" s="36">
        <f>E2*4</f>
        <v>0</v>
      </c>
      <c r="F9" s="37">
        <f>F2*16</f>
        <v>0</v>
      </c>
      <c r="G9" s="37">
        <f>G2*16</f>
        <v>80</v>
      </c>
      <c r="H9" s="37">
        <f>H2*16</f>
        <v>0</v>
      </c>
      <c r="I9" s="37">
        <f>I2*16</f>
        <v>136</v>
      </c>
      <c r="J9" s="37">
        <f>J2*6</f>
        <v>12</v>
      </c>
      <c r="K9" s="36">
        <f>K2*3.5</f>
        <v>24.5</v>
      </c>
      <c r="L9" s="36">
        <f>L2*2</f>
        <v>0</v>
      </c>
      <c r="M9" s="36">
        <f>M2*4</f>
        <v>0</v>
      </c>
      <c r="N9" s="36">
        <f>N2*3.5</f>
        <v>1.75</v>
      </c>
      <c r="O9" s="38">
        <f t="shared" ref="O9:O19" si="2">B9*($B$8/$B$7)+C9*($C$8/$C$7)+D9*($D$8/$D$7)+E9*($E$8/$E$7)+F9*($F$8/$F$7)+G9*($G$8/$G$7)+H9*($H$8/$H$7)+I9*($I$8/$I$7)+J9*($J$8/$J$7)+K9*($K$8/$K$7)+L9*($L$8/$L$7)+M9*($M$8/$M$7)+N9*($N$8/$N$7)</f>
        <v>7551.477272727273</v>
      </c>
      <c r="P9" s="38">
        <f>O2*(A2/4)</f>
        <v>14500</v>
      </c>
      <c r="Q9" s="38"/>
      <c r="R9" s="38">
        <f>P9-O9</f>
        <v>6948.522727272727</v>
      </c>
    </row>
    <row r="10" spans="1:18" x14ac:dyDescent="0.3">
      <c r="A10" s="35">
        <v>1950</v>
      </c>
      <c r="B10" s="36">
        <f>B3*22</f>
        <v>0</v>
      </c>
      <c r="C10" s="36">
        <f>C3*8</f>
        <v>12</v>
      </c>
      <c r="D10" s="36">
        <f>D3*22</f>
        <v>44</v>
      </c>
      <c r="E10" s="36">
        <f>E3*6</f>
        <v>0</v>
      </c>
      <c r="F10" s="37">
        <f>F3*22</f>
        <v>0</v>
      </c>
      <c r="G10" s="37">
        <f>G3*22</f>
        <v>11</v>
      </c>
      <c r="H10" s="37">
        <f>H3*22</f>
        <v>0</v>
      </c>
      <c r="I10" s="37">
        <f>I3*22</f>
        <v>11</v>
      </c>
      <c r="J10" s="37">
        <f>J3*8</f>
        <v>0</v>
      </c>
      <c r="K10" s="36">
        <f>K3*4</f>
        <v>0</v>
      </c>
      <c r="L10" s="36">
        <f>L3*3</f>
        <v>0</v>
      </c>
      <c r="M10" s="36">
        <f>M3*5</f>
        <v>2.5</v>
      </c>
      <c r="N10" s="36">
        <f>N3*4.5</f>
        <v>13.5</v>
      </c>
      <c r="O10" s="38">
        <f t="shared" si="2"/>
        <v>2208</v>
      </c>
      <c r="P10" s="38">
        <f>O3*(A3/4)</f>
        <v>3900</v>
      </c>
      <c r="Q10" s="38"/>
      <c r="R10" s="38">
        <f>P10-O10</f>
        <v>1692</v>
      </c>
    </row>
    <row r="11" spans="1:18" x14ac:dyDescent="0.3">
      <c r="A11" s="35">
        <v>2750</v>
      </c>
      <c r="B11" s="36">
        <f>B4*32</f>
        <v>16</v>
      </c>
      <c r="C11" s="36">
        <f>C4*10</f>
        <v>0</v>
      </c>
      <c r="D11" s="36">
        <f>D4*32</f>
        <v>0</v>
      </c>
      <c r="E11" s="36">
        <f>E4*8</f>
        <v>0</v>
      </c>
      <c r="F11" s="36">
        <f>F4*32</f>
        <v>0</v>
      </c>
      <c r="G11" s="36">
        <f>G4*32</f>
        <v>32</v>
      </c>
      <c r="H11" s="36">
        <f>H4*32</f>
        <v>0</v>
      </c>
      <c r="I11" s="37">
        <f>I4*32</f>
        <v>0</v>
      </c>
      <c r="J11" s="42">
        <f>J4*10</f>
        <v>0</v>
      </c>
      <c r="K11" s="36">
        <f>K4*7</f>
        <v>0</v>
      </c>
      <c r="L11" s="36">
        <f>L4*4</f>
        <v>0</v>
      </c>
      <c r="M11" s="36">
        <f>M4*7</f>
        <v>3.5</v>
      </c>
      <c r="N11" s="36">
        <f>N4*6.5</f>
        <v>0</v>
      </c>
      <c r="O11" s="38">
        <f t="shared" si="2"/>
        <v>972.72727272727275</v>
      </c>
      <c r="P11" s="38">
        <f>O4*(A4/4)</f>
        <v>1375</v>
      </c>
      <c r="Q11" s="38"/>
      <c r="R11" s="38">
        <f>P11-O11</f>
        <v>402.27272727272725</v>
      </c>
    </row>
    <row r="12" spans="1:18" x14ac:dyDescent="0.3">
      <c r="A12" s="35">
        <v>4750</v>
      </c>
      <c r="B12" s="36">
        <f>B5*60</f>
        <v>0</v>
      </c>
      <c r="C12" s="36">
        <f>C5*20</f>
        <v>10</v>
      </c>
      <c r="D12" s="36">
        <f>D5*60</f>
        <v>30</v>
      </c>
      <c r="E12" s="36">
        <f>E5*14</f>
        <v>0</v>
      </c>
      <c r="F12" s="37">
        <f>F5*60</f>
        <v>0</v>
      </c>
      <c r="G12" s="37">
        <f>G5*60</f>
        <v>0</v>
      </c>
      <c r="H12" s="37">
        <f>H5*60</f>
        <v>0</v>
      </c>
      <c r="I12" s="37">
        <f>I5*60</f>
        <v>0</v>
      </c>
      <c r="J12" s="37">
        <f>J5*22</f>
        <v>0</v>
      </c>
      <c r="K12" s="36">
        <f>K5*12</f>
        <v>0</v>
      </c>
      <c r="L12" s="36">
        <f>L5*8</f>
        <v>0</v>
      </c>
      <c r="M12" s="36">
        <f>M5*12</f>
        <v>0</v>
      </c>
      <c r="N12" s="36">
        <f>N5*12</f>
        <v>0</v>
      </c>
      <c r="O12" s="38">
        <f t="shared" si="2"/>
        <v>685</v>
      </c>
      <c r="P12" s="38">
        <f>O5*(A5/4)</f>
        <v>1187.5</v>
      </c>
      <c r="Q12" s="38"/>
      <c r="R12" s="38">
        <f>P12-O12</f>
        <v>502.5</v>
      </c>
    </row>
    <row r="13" spans="1:18" x14ac:dyDescent="0.3">
      <c r="A13" s="43" t="s">
        <v>266</v>
      </c>
      <c r="B13" s="44">
        <v>10</v>
      </c>
      <c r="C13" s="44">
        <v>8</v>
      </c>
      <c r="D13" s="44">
        <v>10</v>
      </c>
      <c r="E13" s="44">
        <v>8</v>
      </c>
      <c r="F13" s="44"/>
      <c r="G13" s="44"/>
      <c r="H13" s="44"/>
      <c r="I13" s="44">
        <v>15</v>
      </c>
      <c r="J13" s="44">
        <v>7</v>
      </c>
      <c r="K13" s="44"/>
      <c r="L13" s="44">
        <v>8</v>
      </c>
      <c r="M13" s="44"/>
      <c r="N13" s="36"/>
      <c r="O13" s="38">
        <f t="shared" si="2"/>
        <v>1945.9545454545455</v>
      </c>
      <c r="P13" s="38"/>
      <c r="Q13" s="38">
        <f>2400+4000</f>
        <v>6400</v>
      </c>
      <c r="R13" s="38">
        <f>SUM(R9:R12)</f>
        <v>9545.2954545454559</v>
      </c>
    </row>
    <row r="14" spans="1:18" ht="27.95" x14ac:dyDescent="0.3">
      <c r="A14" s="45" t="s">
        <v>397</v>
      </c>
      <c r="B14" s="44">
        <v>7</v>
      </c>
      <c r="C14" s="44">
        <v>9</v>
      </c>
      <c r="D14" s="44">
        <v>18</v>
      </c>
      <c r="E14" s="44">
        <v>4</v>
      </c>
      <c r="F14" s="44"/>
      <c r="G14" s="44">
        <v>14</v>
      </c>
      <c r="H14" s="44"/>
      <c r="I14" s="44">
        <v>36</v>
      </c>
      <c r="J14" s="44"/>
      <c r="K14" s="44">
        <v>8</v>
      </c>
      <c r="L14" s="44"/>
      <c r="M14" s="44"/>
      <c r="N14" s="44">
        <v>3</v>
      </c>
      <c r="O14" s="38">
        <f t="shared" si="2"/>
        <v>1809.3181818181818</v>
      </c>
      <c r="P14" s="38"/>
      <c r="Q14" s="38">
        <v>4000</v>
      </c>
      <c r="R14" s="38"/>
    </row>
    <row r="15" spans="1:18" ht="15.6" x14ac:dyDescent="0.3">
      <c r="A15" s="46" t="s">
        <v>398</v>
      </c>
      <c r="B15" s="47"/>
      <c r="C15" s="47"/>
      <c r="D15" s="47"/>
      <c r="E15" s="47"/>
      <c r="F15" s="47"/>
      <c r="G15" s="47"/>
      <c r="H15" s="47"/>
      <c r="I15" s="47"/>
      <c r="J15" s="47"/>
      <c r="K15" s="47"/>
      <c r="L15" s="47"/>
      <c r="M15" s="47"/>
      <c r="N15" s="47"/>
      <c r="O15" s="38">
        <f t="shared" si="2"/>
        <v>0</v>
      </c>
      <c r="P15" s="38"/>
      <c r="Q15" s="48"/>
      <c r="R15" s="38"/>
    </row>
    <row r="16" spans="1:18" ht="15.6" x14ac:dyDescent="0.3">
      <c r="A16" s="46" t="s">
        <v>207</v>
      </c>
      <c r="B16" s="47"/>
      <c r="C16" s="47">
        <v>10</v>
      </c>
      <c r="D16" s="47"/>
      <c r="E16" s="47"/>
      <c r="F16" s="47"/>
      <c r="G16" s="47"/>
      <c r="H16" s="47"/>
      <c r="I16" s="47">
        <v>40</v>
      </c>
      <c r="J16" s="47">
        <v>10</v>
      </c>
      <c r="K16" s="47"/>
      <c r="L16" s="47">
        <v>6</v>
      </c>
      <c r="M16" s="47">
        <v>4</v>
      </c>
      <c r="N16" s="47">
        <v>10</v>
      </c>
      <c r="O16" s="38">
        <f t="shared" si="2"/>
        <v>2745</v>
      </c>
      <c r="P16" s="38"/>
      <c r="Q16" s="48">
        <v>7000</v>
      </c>
      <c r="R16" s="38"/>
    </row>
    <row r="17" spans="1:18" ht="46.75" x14ac:dyDescent="0.3">
      <c r="A17" s="49" t="s">
        <v>399</v>
      </c>
      <c r="B17" s="47"/>
      <c r="C17" s="47">
        <v>4</v>
      </c>
      <c r="D17" s="47"/>
      <c r="E17" s="47"/>
      <c r="F17" s="47"/>
      <c r="G17" s="47">
        <v>16</v>
      </c>
      <c r="H17" s="47"/>
      <c r="I17" s="47"/>
      <c r="J17" s="47"/>
      <c r="K17" s="47"/>
      <c r="L17" s="47"/>
      <c r="M17" s="47"/>
      <c r="N17" s="47"/>
      <c r="O17" s="38">
        <f t="shared" si="2"/>
        <v>370</v>
      </c>
      <c r="P17" s="38"/>
      <c r="Q17" s="48">
        <v>1000</v>
      </c>
      <c r="R17" s="38"/>
    </row>
    <row r="18" spans="1:18" ht="27.95" x14ac:dyDescent="0.3">
      <c r="A18" s="50" t="s">
        <v>400</v>
      </c>
      <c r="B18" s="51">
        <v>30</v>
      </c>
      <c r="C18" s="51">
        <v>25</v>
      </c>
      <c r="D18" s="51"/>
      <c r="E18" s="51">
        <v>5</v>
      </c>
      <c r="F18" s="51"/>
      <c r="G18" s="51"/>
      <c r="H18" s="51">
        <v>60</v>
      </c>
      <c r="I18" s="51">
        <v>140</v>
      </c>
      <c r="J18" s="51">
        <v>8</v>
      </c>
      <c r="K18" s="51">
        <v>8</v>
      </c>
      <c r="L18" s="51">
        <v>8</v>
      </c>
      <c r="M18" s="51"/>
      <c r="N18" s="51"/>
      <c r="O18" s="38">
        <f t="shared" si="2"/>
        <v>4788.863636363636</v>
      </c>
      <c r="P18" s="38"/>
      <c r="Q18" s="38">
        <v>20000</v>
      </c>
      <c r="R18" s="38"/>
    </row>
    <row r="19" spans="1:18" x14ac:dyDescent="0.3">
      <c r="A19" s="52" t="s">
        <v>398</v>
      </c>
      <c r="B19" s="51"/>
      <c r="C19" s="51"/>
      <c r="D19" s="51"/>
      <c r="E19" s="51"/>
      <c r="F19" s="51"/>
      <c r="G19" s="51"/>
      <c r="H19" s="51"/>
      <c r="I19" s="51"/>
      <c r="J19" s="51"/>
      <c r="K19" s="51"/>
      <c r="L19" s="51"/>
      <c r="M19" s="51"/>
      <c r="N19" s="51"/>
      <c r="O19" s="38">
        <f t="shared" si="2"/>
        <v>0</v>
      </c>
      <c r="P19" s="38"/>
      <c r="Q19" s="38"/>
      <c r="R19" s="38"/>
    </row>
    <row r="20" spans="1:18" x14ac:dyDescent="0.3">
      <c r="A20" s="35" t="s">
        <v>394</v>
      </c>
      <c r="B20" s="36">
        <f t="shared" ref="B20:N20" si="3">SUM(B9:B19)</f>
        <v>79</v>
      </c>
      <c r="C20" s="36">
        <f t="shared" si="3"/>
        <v>114</v>
      </c>
      <c r="D20" s="36">
        <f t="shared" si="3"/>
        <v>262</v>
      </c>
      <c r="E20" s="36">
        <f t="shared" si="3"/>
        <v>17</v>
      </c>
      <c r="F20" s="36">
        <f t="shared" si="3"/>
        <v>0</v>
      </c>
      <c r="G20" s="36">
        <f t="shared" si="3"/>
        <v>153</v>
      </c>
      <c r="H20" s="36">
        <f t="shared" si="3"/>
        <v>60</v>
      </c>
      <c r="I20" s="36">
        <f t="shared" si="3"/>
        <v>378</v>
      </c>
      <c r="J20" s="36">
        <f t="shared" si="3"/>
        <v>37</v>
      </c>
      <c r="K20" s="36">
        <f t="shared" si="3"/>
        <v>40.5</v>
      </c>
      <c r="L20" s="36">
        <f t="shared" si="3"/>
        <v>22</v>
      </c>
      <c r="M20" s="36">
        <f t="shared" si="3"/>
        <v>10</v>
      </c>
      <c r="N20" s="36">
        <f t="shared" si="3"/>
        <v>28.25</v>
      </c>
      <c r="O20" s="38"/>
      <c r="P20" s="38"/>
      <c r="Q20" s="38"/>
      <c r="R20" s="38"/>
    </row>
    <row r="21" spans="1:18" ht="27.95" x14ac:dyDescent="0.3">
      <c r="A21" s="35" t="s">
        <v>401</v>
      </c>
      <c r="B21" s="36"/>
      <c r="C21" s="36">
        <v>10</v>
      </c>
      <c r="D21" s="36">
        <v>40</v>
      </c>
      <c r="E21" s="36">
        <v>20</v>
      </c>
      <c r="F21" s="36"/>
      <c r="G21" s="36"/>
      <c r="H21" s="36"/>
      <c r="I21" s="36">
        <v>40</v>
      </c>
      <c r="J21" s="36">
        <v>30</v>
      </c>
      <c r="K21" s="36">
        <v>10</v>
      </c>
      <c r="L21" s="36">
        <v>20</v>
      </c>
      <c r="M21" s="36"/>
      <c r="N21" s="36">
        <v>25</v>
      </c>
      <c r="O21" s="38">
        <f>B21*($B$8/$B$7)+C21*($C$8/$C$7)+D21*($D$8/$D$7)+E21*($E$8/$E$7)+F21*($F$8/$F$7)+G21*($G$8/$G$7)+H21*($H$8/$H$7)+I21*($I$8/$I$7)+J21*($J$8/$J$7)+K21*($K$8/$K$7)+L21*($L$8/$L$7)+M21*($M$8/$M$7)+N21*($N$8/$N$7)</f>
        <v>7150</v>
      </c>
      <c r="P21" s="38"/>
      <c r="Q21" s="38"/>
      <c r="R21" s="38"/>
    </row>
    <row r="22" spans="1:18" x14ac:dyDescent="0.3">
      <c r="A22" s="30" t="s">
        <v>402</v>
      </c>
      <c r="B22" s="53">
        <f t="shared" ref="B22:N22" si="4">B20-B21</f>
        <v>79</v>
      </c>
      <c r="C22" s="53">
        <f t="shared" si="4"/>
        <v>104</v>
      </c>
      <c r="D22" s="53">
        <f t="shared" si="4"/>
        <v>222</v>
      </c>
      <c r="E22" s="53">
        <f t="shared" si="4"/>
        <v>-3</v>
      </c>
      <c r="F22" s="53">
        <f t="shared" si="4"/>
        <v>0</v>
      </c>
      <c r="G22" s="53">
        <f t="shared" si="4"/>
        <v>153</v>
      </c>
      <c r="H22" s="53">
        <f t="shared" si="4"/>
        <v>60</v>
      </c>
      <c r="I22" s="53">
        <f t="shared" si="4"/>
        <v>338</v>
      </c>
      <c r="J22" s="53">
        <f t="shared" si="4"/>
        <v>7</v>
      </c>
      <c r="K22" s="53">
        <f t="shared" si="4"/>
        <v>30.5</v>
      </c>
      <c r="L22" s="53">
        <f t="shared" si="4"/>
        <v>2</v>
      </c>
      <c r="M22" s="53">
        <f>M20-M21</f>
        <v>10</v>
      </c>
      <c r="N22" s="53">
        <f t="shared" si="4"/>
        <v>3.25</v>
      </c>
      <c r="O22" s="33"/>
      <c r="P22" s="33"/>
      <c r="Q22" s="33"/>
      <c r="R22" s="33"/>
    </row>
    <row r="23" spans="1:18" x14ac:dyDescent="0.3">
      <c r="A23" s="35" t="s">
        <v>403</v>
      </c>
      <c r="B23" s="54">
        <v>0.1</v>
      </c>
      <c r="C23" s="54">
        <v>0.1</v>
      </c>
      <c r="D23" s="54">
        <v>0.1</v>
      </c>
      <c r="E23" s="54">
        <v>0.1</v>
      </c>
      <c r="F23" s="54">
        <v>0.15</v>
      </c>
      <c r="G23" s="54">
        <v>0.1</v>
      </c>
      <c r="H23" s="54">
        <v>0.1</v>
      </c>
      <c r="I23" s="54">
        <v>0.1</v>
      </c>
      <c r="J23" s="54">
        <v>0.15</v>
      </c>
      <c r="K23" s="54">
        <v>0.1</v>
      </c>
      <c r="L23" s="54">
        <v>0.05</v>
      </c>
      <c r="M23" s="54">
        <v>0.1</v>
      </c>
      <c r="N23" s="54">
        <v>0.1</v>
      </c>
      <c r="O23" s="33"/>
      <c r="P23" s="33"/>
      <c r="Q23" s="33"/>
      <c r="R23" s="33"/>
    </row>
    <row r="24" spans="1:18" ht="41.95" x14ac:dyDescent="0.3">
      <c r="A24" s="35" t="s">
        <v>404</v>
      </c>
      <c r="B24" s="55">
        <f t="shared" ref="B24:N24" si="5">B22+(B22*10%)</f>
        <v>86.9</v>
      </c>
      <c r="C24" s="55">
        <f t="shared" si="5"/>
        <v>114.4</v>
      </c>
      <c r="D24" s="55">
        <f t="shared" si="5"/>
        <v>244.2</v>
      </c>
      <c r="E24" s="55">
        <f>E22+(E22*15%)</f>
        <v>-3.45</v>
      </c>
      <c r="F24" s="55">
        <f t="shared" si="5"/>
        <v>0</v>
      </c>
      <c r="G24" s="55">
        <f t="shared" si="5"/>
        <v>168.3</v>
      </c>
      <c r="H24" s="55">
        <f t="shared" si="5"/>
        <v>66</v>
      </c>
      <c r="I24" s="55">
        <f t="shared" si="5"/>
        <v>371.8</v>
      </c>
      <c r="J24" s="55">
        <f>J22+(J22*10%)</f>
        <v>7.7</v>
      </c>
      <c r="K24" s="55">
        <f t="shared" si="5"/>
        <v>33.549999999999997</v>
      </c>
      <c r="L24" s="55">
        <f t="shared" si="5"/>
        <v>2.2000000000000002</v>
      </c>
      <c r="M24" s="55">
        <f t="shared" si="5"/>
        <v>11</v>
      </c>
      <c r="N24" s="55">
        <f t="shared" si="5"/>
        <v>3.5750000000000002</v>
      </c>
      <c r="O24" s="33"/>
      <c r="P24" s="33"/>
      <c r="Q24" s="33"/>
      <c r="R24" s="33"/>
    </row>
    <row r="25" spans="1:18" ht="27.95" x14ac:dyDescent="0.3">
      <c r="A25" s="35" t="s">
        <v>405</v>
      </c>
      <c r="B25" s="56">
        <f t="shared" ref="B25:N25" si="6">B24/B7</f>
        <v>3.95</v>
      </c>
      <c r="C25" s="56">
        <f t="shared" si="6"/>
        <v>11.440000000000001</v>
      </c>
      <c r="D25" s="56">
        <f t="shared" si="6"/>
        <v>24.419999999999998</v>
      </c>
      <c r="E25" s="56">
        <f t="shared" si="6"/>
        <v>-0.69000000000000006</v>
      </c>
      <c r="F25" s="56">
        <f t="shared" si="6"/>
        <v>0</v>
      </c>
      <c r="G25" s="56">
        <f t="shared" si="6"/>
        <v>8.4150000000000009</v>
      </c>
      <c r="H25" s="56">
        <f t="shared" si="6"/>
        <v>3.3</v>
      </c>
      <c r="I25" s="56">
        <f t="shared" si="6"/>
        <v>18.59</v>
      </c>
      <c r="J25" s="56">
        <f t="shared" si="6"/>
        <v>0.77</v>
      </c>
      <c r="K25" s="56">
        <f t="shared" si="6"/>
        <v>3.3549999999999995</v>
      </c>
      <c r="L25" s="56">
        <f t="shared" si="6"/>
        <v>0.22000000000000003</v>
      </c>
      <c r="M25" s="56">
        <f t="shared" si="6"/>
        <v>11</v>
      </c>
      <c r="N25" s="56">
        <f t="shared" si="6"/>
        <v>0.35750000000000004</v>
      </c>
      <c r="O25" s="33"/>
      <c r="P25" s="33"/>
      <c r="Q25" s="33"/>
      <c r="R25" s="33"/>
    </row>
    <row r="26" spans="1:18" x14ac:dyDescent="0.3">
      <c r="A26" s="30" t="s">
        <v>406</v>
      </c>
      <c r="B26" s="32">
        <v>4</v>
      </c>
      <c r="C26" s="32">
        <v>12</v>
      </c>
      <c r="D26" s="32">
        <v>25</v>
      </c>
      <c r="E26" s="32"/>
      <c r="F26" s="32"/>
      <c r="G26" s="32">
        <v>9</v>
      </c>
      <c r="H26" s="32">
        <v>4</v>
      </c>
      <c r="I26" s="32">
        <v>21</v>
      </c>
      <c r="J26" s="32">
        <v>1</v>
      </c>
      <c r="K26" s="32">
        <v>5</v>
      </c>
      <c r="L26" s="32">
        <v>2</v>
      </c>
      <c r="M26" s="32">
        <v>12</v>
      </c>
      <c r="N26" s="32">
        <v>2</v>
      </c>
      <c r="O26" s="33"/>
      <c r="P26" s="33"/>
      <c r="Q26" s="33"/>
      <c r="R26" s="33"/>
    </row>
    <row r="27" spans="1:18" x14ac:dyDescent="0.3">
      <c r="A27" s="57"/>
      <c r="B27" s="58"/>
      <c r="C27" s="58"/>
      <c r="D27" s="58"/>
      <c r="E27" s="58"/>
      <c r="F27" s="58"/>
      <c r="G27" s="58"/>
      <c r="H27" s="58">
        <v>1</v>
      </c>
      <c r="I27" s="58">
        <v>3</v>
      </c>
      <c r="J27" s="58"/>
      <c r="K27" s="58"/>
      <c r="L27" s="58"/>
      <c r="M27" s="36"/>
      <c r="N27" s="32"/>
      <c r="O27" s="33"/>
      <c r="P27" s="33"/>
      <c r="Q27" s="33"/>
      <c r="R27" s="33"/>
    </row>
    <row r="28" spans="1:18" x14ac:dyDescent="0.3">
      <c r="A28" s="59"/>
      <c r="B28" s="60"/>
      <c r="C28" s="60">
        <v>5</v>
      </c>
      <c r="D28" s="60"/>
      <c r="E28" s="60"/>
      <c r="F28" s="60"/>
      <c r="G28" s="60">
        <v>4</v>
      </c>
      <c r="H28" s="60">
        <v>1</v>
      </c>
      <c r="I28" s="60">
        <v>5</v>
      </c>
      <c r="J28" s="60"/>
      <c r="K28" s="60"/>
      <c r="L28" s="60">
        <v>1</v>
      </c>
      <c r="M28" s="36"/>
      <c r="N28" s="36">
        <v>1</v>
      </c>
      <c r="O28" s="33"/>
      <c r="P28" s="33"/>
      <c r="Q28" s="33"/>
      <c r="R28" s="33"/>
    </row>
    <row r="29" spans="1:18" x14ac:dyDescent="0.3">
      <c r="A29" s="30"/>
      <c r="B29" s="36">
        <v>4</v>
      </c>
      <c r="C29" s="61">
        <v>1</v>
      </c>
      <c r="D29" s="36"/>
      <c r="E29" s="36"/>
      <c r="F29" s="36"/>
      <c r="G29" s="36">
        <v>2</v>
      </c>
      <c r="H29" s="36">
        <v>1</v>
      </c>
      <c r="I29" s="36">
        <v>9</v>
      </c>
      <c r="J29" s="36"/>
      <c r="K29" s="36">
        <v>2</v>
      </c>
      <c r="L29" s="36">
        <v>1</v>
      </c>
      <c r="M29" s="36"/>
      <c r="N29" s="36">
        <v>1</v>
      </c>
      <c r="O29" s="33"/>
      <c r="P29" s="33"/>
      <c r="Q29" s="33"/>
      <c r="R29" s="33"/>
    </row>
    <row r="30" spans="1:18" x14ac:dyDescent="0.3">
      <c r="A30" s="52"/>
      <c r="B30" s="62"/>
      <c r="C30" s="62">
        <v>4</v>
      </c>
      <c r="D30" s="62"/>
      <c r="E30" s="62"/>
      <c r="F30" s="62"/>
      <c r="G30" s="62">
        <v>3</v>
      </c>
      <c r="H30" s="62"/>
      <c r="I30" s="62">
        <v>1</v>
      </c>
      <c r="J30" s="62"/>
      <c r="K30" s="62">
        <v>2</v>
      </c>
      <c r="L30" s="62"/>
      <c r="M30" s="36"/>
      <c r="N30" s="36"/>
      <c r="O30" s="33"/>
      <c r="P30" s="33"/>
      <c r="Q30" s="33"/>
      <c r="R30" s="33"/>
    </row>
    <row r="31" spans="1:18" x14ac:dyDescent="0.3">
      <c r="A31" s="63"/>
      <c r="B31" s="64"/>
      <c r="C31" s="64"/>
      <c r="D31" s="64"/>
      <c r="E31" s="64"/>
      <c r="F31" s="64"/>
      <c r="G31" s="64"/>
      <c r="H31" s="64">
        <v>1</v>
      </c>
      <c r="I31" s="64"/>
      <c r="J31" s="64"/>
      <c r="K31" s="64">
        <v>1</v>
      </c>
      <c r="L31" s="64"/>
      <c r="M31" s="36">
        <v>8</v>
      </c>
      <c r="N31" s="36"/>
      <c r="O31" s="33"/>
      <c r="P31" s="33"/>
      <c r="Q31" s="33"/>
      <c r="R31" s="33"/>
    </row>
    <row r="32" spans="1:18" x14ac:dyDescent="0.3">
      <c r="A32" s="65"/>
      <c r="B32" s="66"/>
      <c r="C32" s="66"/>
      <c r="D32" s="66"/>
      <c r="E32" s="66"/>
      <c r="F32" s="66"/>
      <c r="G32" s="66"/>
      <c r="H32" s="66"/>
      <c r="I32" s="66">
        <v>2</v>
      </c>
      <c r="J32" s="66"/>
      <c r="K32" s="66"/>
      <c r="L32" s="66"/>
      <c r="M32" s="36"/>
      <c r="N32" s="36"/>
      <c r="O32" s="33"/>
      <c r="P32" s="33"/>
      <c r="Q32" s="33"/>
      <c r="R32" s="33"/>
    </row>
    <row r="33" spans="1:18" x14ac:dyDescent="0.3">
      <c r="A33" s="67"/>
      <c r="B33" s="68"/>
      <c r="C33" s="68">
        <v>2</v>
      </c>
      <c r="D33" s="68"/>
      <c r="E33" s="68"/>
      <c r="F33" s="68"/>
      <c r="G33" s="68"/>
      <c r="H33" s="68"/>
      <c r="I33" s="68">
        <v>1</v>
      </c>
      <c r="J33" s="68">
        <v>1</v>
      </c>
      <c r="K33" s="68"/>
      <c r="L33" s="68"/>
      <c r="M33" s="36">
        <v>4</v>
      </c>
      <c r="N33" s="36"/>
      <c r="O33" s="33"/>
      <c r="P33" s="33"/>
      <c r="Q33" s="33"/>
      <c r="R33" s="33"/>
    </row>
    <row r="34" spans="1:18" x14ac:dyDescent="0.3">
      <c r="A34" s="30"/>
      <c r="B34" s="36"/>
      <c r="C34" s="36"/>
      <c r="D34" s="36"/>
      <c r="E34" s="36"/>
      <c r="F34" s="36"/>
      <c r="G34" s="36"/>
      <c r="H34" s="36"/>
      <c r="I34" s="36"/>
      <c r="J34" s="36"/>
      <c r="K34" s="36"/>
      <c r="L34" s="32"/>
      <c r="M34" s="32"/>
      <c r="N34" s="36"/>
      <c r="O34" s="33"/>
      <c r="P34" s="33"/>
      <c r="Q34" s="33"/>
      <c r="R34" s="33"/>
    </row>
    <row r="35" spans="1:18" ht="15.6" x14ac:dyDescent="0.3">
      <c r="A35" s="69"/>
      <c r="B35" s="70"/>
      <c r="C35" s="70"/>
      <c r="D35" s="70"/>
      <c r="E35" s="70"/>
      <c r="F35" s="70"/>
      <c r="G35" s="70"/>
      <c r="H35" s="70"/>
      <c r="I35" s="70"/>
      <c r="J35" s="70"/>
      <c r="K35" s="70"/>
      <c r="L35" s="70"/>
      <c r="M35" s="70"/>
      <c r="N35" s="70"/>
      <c r="O35" s="33"/>
      <c r="P35" s="33"/>
      <c r="Q35" s="33"/>
      <c r="R35" s="33"/>
    </row>
    <row r="36" spans="1:18" x14ac:dyDescent="0.3">
      <c r="A36" s="32" t="s">
        <v>407</v>
      </c>
      <c r="B36" s="39">
        <f t="shared" ref="B36:N36" si="7">B26*B8</f>
        <v>400</v>
      </c>
      <c r="C36" s="39">
        <f t="shared" si="7"/>
        <v>3900</v>
      </c>
      <c r="D36" s="39">
        <f t="shared" si="7"/>
        <v>3000</v>
      </c>
      <c r="E36" s="39">
        <f t="shared" si="7"/>
        <v>0</v>
      </c>
      <c r="F36" s="39">
        <f t="shared" si="7"/>
        <v>0</v>
      </c>
      <c r="G36" s="39">
        <f t="shared" si="7"/>
        <v>2700</v>
      </c>
      <c r="H36" s="39">
        <f t="shared" si="7"/>
        <v>1200</v>
      </c>
      <c r="I36" s="39">
        <f t="shared" si="7"/>
        <v>3150</v>
      </c>
      <c r="J36" s="39">
        <f t="shared" si="7"/>
        <v>400</v>
      </c>
      <c r="K36" s="39">
        <f t="shared" si="7"/>
        <v>3250</v>
      </c>
      <c r="L36" s="39">
        <f t="shared" si="7"/>
        <v>2300</v>
      </c>
      <c r="M36" s="39">
        <f t="shared" si="7"/>
        <v>1440</v>
      </c>
      <c r="N36" s="39">
        <f t="shared" si="7"/>
        <v>1100</v>
      </c>
      <c r="O36" s="33">
        <f>B36+C36+D36+E36+F36+G36+H36+I36+J36+K36+L36+M36+N36+Q58+ 2000</f>
        <v>30350</v>
      </c>
      <c r="P36" s="71"/>
      <c r="Q36" s="38">
        <f>SUM(Q6:Q21)</f>
        <v>59362.5</v>
      </c>
      <c r="R36" s="33"/>
    </row>
    <row r="37" spans="1:18" x14ac:dyDescent="0.3">
      <c r="A37" s="33"/>
      <c r="B37" s="33"/>
      <c r="C37" s="33"/>
      <c r="D37" s="33"/>
      <c r="E37" s="33"/>
      <c r="F37" s="33"/>
      <c r="G37" s="33"/>
      <c r="H37" s="33"/>
      <c r="I37" s="33"/>
      <c r="J37" s="33"/>
      <c r="K37" s="33"/>
      <c r="L37" s="33"/>
      <c r="M37" s="33"/>
      <c r="N37" s="33"/>
      <c r="O37" s="33"/>
      <c r="P37" s="72" t="s">
        <v>408</v>
      </c>
      <c r="Q37" s="72" t="s">
        <v>409</v>
      </c>
      <c r="R37" s="33"/>
    </row>
    <row r="38" spans="1:18" x14ac:dyDescent="0.3">
      <c r="A38" s="33"/>
      <c r="B38" s="33"/>
      <c r="C38" s="33"/>
      <c r="D38" s="33"/>
      <c r="E38" s="33"/>
      <c r="F38" s="33"/>
      <c r="G38" s="33"/>
      <c r="H38" s="33"/>
      <c r="I38" s="33"/>
      <c r="J38" s="33"/>
      <c r="K38" s="33"/>
      <c r="L38" s="33"/>
      <c r="M38" s="33"/>
      <c r="N38" s="33" t="s">
        <v>410</v>
      </c>
      <c r="O38" s="33">
        <f t="shared" ref="O38:O57" si="8">Q38*P38</f>
        <v>1000</v>
      </c>
      <c r="P38" s="33">
        <v>5</v>
      </c>
      <c r="Q38" s="33">
        <v>200</v>
      </c>
      <c r="R38" s="33"/>
    </row>
    <row r="39" spans="1:18" x14ac:dyDescent="0.3">
      <c r="A39" s="33"/>
      <c r="B39" s="33"/>
      <c r="C39" s="33"/>
      <c r="D39" s="33"/>
      <c r="E39" s="33"/>
      <c r="F39" s="33"/>
      <c r="G39" s="33"/>
      <c r="H39" s="33"/>
      <c r="I39" s="33"/>
      <c r="J39" s="33"/>
      <c r="K39" s="33"/>
      <c r="L39" s="33"/>
      <c r="M39" s="33"/>
      <c r="N39" s="33" t="s">
        <v>411</v>
      </c>
      <c r="O39" s="33">
        <f t="shared" si="8"/>
        <v>300</v>
      </c>
      <c r="P39" s="33">
        <v>3</v>
      </c>
      <c r="Q39" s="33">
        <v>100</v>
      </c>
      <c r="R39" s="33"/>
    </row>
    <row r="40" spans="1:18" x14ac:dyDescent="0.3">
      <c r="A40" s="33"/>
      <c r="B40" s="33"/>
      <c r="C40" s="33"/>
      <c r="D40" s="33"/>
      <c r="E40" s="33"/>
      <c r="F40" s="33"/>
      <c r="G40" s="33"/>
      <c r="H40" s="33"/>
      <c r="I40" s="33"/>
      <c r="J40" s="33"/>
      <c r="K40" s="33"/>
      <c r="L40" s="33"/>
      <c r="M40" s="33"/>
      <c r="N40" s="33" t="s">
        <v>412</v>
      </c>
      <c r="O40" s="33">
        <f t="shared" si="8"/>
        <v>0</v>
      </c>
      <c r="P40" s="33">
        <v>0</v>
      </c>
      <c r="Q40" s="33">
        <v>100</v>
      </c>
      <c r="R40" s="33"/>
    </row>
    <row r="41" spans="1:18" x14ac:dyDescent="0.3">
      <c r="A41" s="33"/>
      <c r="B41" s="33"/>
      <c r="C41" s="33"/>
      <c r="D41" s="33"/>
      <c r="E41" s="33"/>
      <c r="F41" s="33"/>
      <c r="G41" s="33"/>
      <c r="H41" s="33"/>
      <c r="I41" s="33"/>
      <c r="J41" s="33"/>
      <c r="K41" s="33"/>
      <c r="L41" s="33"/>
      <c r="M41" s="33"/>
      <c r="N41" s="33" t="s">
        <v>413</v>
      </c>
      <c r="O41" s="33">
        <f t="shared" si="8"/>
        <v>2000</v>
      </c>
      <c r="P41" s="33">
        <v>100</v>
      </c>
      <c r="Q41" s="33">
        <v>20</v>
      </c>
      <c r="R41" s="33"/>
    </row>
    <row r="42" spans="1:18" ht="27.95" x14ac:dyDescent="0.3">
      <c r="A42" s="33"/>
      <c r="B42" s="33"/>
      <c r="C42" s="33"/>
      <c r="D42" s="33"/>
      <c r="E42" s="33"/>
      <c r="F42" s="73"/>
      <c r="G42" s="33"/>
      <c r="H42" s="33"/>
      <c r="I42" s="33"/>
      <c r="J42" s="33"/>
      <c r="K42" s="33"/>
      <c r="L42" s="33"/>
      <c r="M42" s="33"/>
      <c r="N42" s="33" t="s">
        <v>414</v>
      </c>
      <c r="O42" s="33">
        <f t="shared" si="8"/>
        <v>320</v>
      </c>
      <c r="P42" s="33">
        <v>4</v>
      </c>
      <c r="Q42" s="33">
        <v>80</v>
      </c>
      <c r="R42" s="33"/>
    </row>
    <row r="43" spans="1:18" x14ac:dyDescent="0.3">
      <c r="A43" s="33"/>
      <c r="B43" s="33"/>
      <c r="C43" s="33"/>
      <c r="D43" s="33"/>
      <c r="E43" s="33"/>
      <c r="F43" s="33"/>
      <c r="G43" s="33"/>
      <c r="H43" s="33"/>
      <c r="I43" s="33"/>
      <c r="J43" s="33"/>
      <c r="K43" s="33"/>
      <c r="L43" s="33"/>
      <c r="M43" s="33"/>
      <c r="N43" s="33" t="s">
        <v>415</v>
      </c>
      <c r="O43" s="33">
        <f t="shared" si="8"/>
        <v>0</v>
      </c>
      <c r="P43" s="33">
        <v>0</v>
      </c>
      <c r="Q43" s="33">
        <v>300</v>
      </c>
      <c r="R43" s="33"/>
    </row>
    <row r="44" spans="1:18" ht="27.95" x14ac:dyDescent="0.3">
      <c r="A44" s="33"/>
      <c r="B44" s="33"/>
      <c r="C44" s="33"/>
      <c r="D44" s="33"/>
      <c r="E44" s="33"/>
      <c r="F44" s="33"/>
      <c r="G44" s="33"/>
      <c r="H44" s="33"/>
      <c r="I44" s="33"/>
      <c r="J44" s="33"/>
      <c r="K44" s="33"/>
      <c r="L44" s="33"/>
      <c r="M44" s="33"/>
      <c r="N44" s="33" t="s">
        <v>416</v>
      </c>
      <c r="O44" s="33">
        <f t="shared" si="8"/>
        <v>0</v>
      </c>
      <c r="P44" s="33">
        <v>0</v>
      </c>
      <c r="Q44" s="33">
        <v>250</v>
      </c>
      <c r="R44" s="33"/>
    </row>
    <row r="45" spans="1:18" x14ac:dyDescent="0.3">
      <c r="A45" s="33"/>
      <c r="B45" s="33"/>
      <c r="C45" s="33"/>
      <c r="D45" s="33"/>
      <c r="E45" s="33"/>
      <c r="F45" s="33"/>
      <c r="G45" s="33"/>
      <c r="H45" s="33"/>
      <c r="I45" s="33"/>
      <c r="J45" s="33"/>
      <c r="K45" s="33"/>
      <c r="L45" s="33"/>
      <c r="M45" s="33"/>
      <c r="N45" s="33" t="s">
        <v>417</v>
      </c>
      <c r="O45" s="33">
        <f t="shared" si="8"/>
        <v>300</v>
      </c>
      <c r="P45" s="33">
        <v>3</v>
      </c>
      <c r="Q45" s="33">
        <v>100</v>
      </c>
      <c r="R45" s="33"/>
    </row>
    <row r="46" spans="1:18" ht="27.95" x14ac:dyDescent="0.3">
      <c r="A46" s="33"/>
      <c r="B46" s="33"/>
      <c r="C46" s="33"/>
      <c r="D46" s="33"/>
      <c r="E46" s="33"/>
      <c r="F46" s="33"/>
      <c r="G46" s="33"/>
      <c r="H46" s="33"/>
      <c r="I46" s="33"/>
      <c r="J46" s="33"/>
      <c r="K46" s="33"/>
      <c r="L46" s="33"/>
      <c r="M46" s="33"/>
      <c r="N46" s="33" t="s">
        <v>418</v>
      </c>
      <c r="O46" s="33">
        <f t="shared" si="8"/>
        <v>600</v>
      </c>
      <c r="P46" s="33">
        <v>2</v>
      </c>
      <c r="Q46" s="33">
        <v>300</v>
      </c>
      <c r="R46" s="33"/>
    </row>
    <row r="47" spans="1:18" x14ac:dyDescent="0.3">
      <c r="A47" s="33"/>
      <c r="B47" s="33"/>
      <c r="C47" s="33"/>
      <c r="D47" s="33"/>
      <c r="E47" s="33"/>
      <c r="F47" s="33"/>
      <c r="G47" s="33"/>
      <c r="H47" s="33"/>
      <c r="I47" s="33"/>
      <c r="J47" s="33"/>
      <c r="K47" s="33"/>
      <c r="L47" s="33"/>
      <c r="M47" s="33"/>
      <c r="N47" s="33" t="s">
        <v>419</v>
      </c>
      <c r="O47" s="33">
        <f t="shared" si="8"/>
        <v>0</v>
      </c>
      <c r="P47" s="33">
        <v>0</v>
      </c>
      <c r="Q47" s="33">
        <v>700</v>
      </c>
      <c r="R47" s="33"/>
    </row>
    <row r="48" spans="1:18" x14ac:dyDescent="0.3">
      <c r="A48" s="33"/>
      <c r="B48" s="33"/>
      <c r="C48" s="33"/>
      <c r="D48" s="33"/>
      <c r="E48" s="33"/>
      <c r="F48" s="33"/>
      <c r="G48" s="33"/>
      <c r="H48" s="33"/>
      <c r="I48" s="33"/>
      <c r="J48" s="33"/>
      <c r="K48" s="33"/>
      <c r="L48" s="33"/>
      <c r="M48" s="33"/>
      <c r="N48" s="33" t="s">
        <v>420</v>
      </c>
      <c r="O48" s="33">
        <f t="shared" si="8"/>
        <v>1500</v>
      </c>
      <c r="P48" s="33">
        <v>5</v>
      </c>
      <c r="Q48" s="33">
        <v>300</v>
      </c>
      <c r="R48" s="33"/>
    </row>
    <row r="49" spans="1:18" x14ac:dyDescent="0.3">
      <c r="A49" s="33"/>
      <c r="B49" s="33"/>
      <c r="C49" s="33"/>
      <c r="D49" s="33"/>
      <c r="E49" s="33"/>
      <c r="F49" s="33"/>
      <c r="G49" s="33"/>
      <c r="H49" s="33"/>
      <c r="I49" s="33"/>
      <c r="J49" s="33"/>
      <c r="K49" s="33"/>
      <c r="L49" s="33"/>
      <c r="M49" s="33"/>
      <c r="N49" s="33" t="s">
        <v>421</v>
      </c>
      <c r="O49" s="33">
        <f t="shared" si="8"/>
        <v>900</v>
      </c>
      <c r="P49" s="33">
        <v>5</v>
      </c>
      <c r="Q49" s="33">
        <v>180</v>
      </c>
      <c r="R49" s="33"/>
    </row>
    <row r="50" spans="1:18" ht="27.95" x14ac:dyDescent="0.3">
      <c r="A50" s="33"/>
      <c r="B50" s="33"/>
      <c r="C50" s="33"/>
      <c r="D50" s="33"/>
      <c r="E50" s="33"/>
      <c r="F50" s="33"/>
      <c r="G50" s="33"/>
      <c r="H50" s="33"/>
      <c r="I50" s="33"/>
      <c r="J50" s="33"/>
      <c r="K50" s="33"/>
      <c r="L50" s="33"/>
      <c r="M50" s="33"/>
      <c r="N50" s="33" t="s">
        <v>422</v>
      </c>
      <c r="O50" s="33">
        <f t="shared" si="8"/>
        <v>200</v>
      </c>
      <c r="P50" s="33">
        <v>2</v>
      </c>
      <c r="Q50" s="33">
        <v>100</v>
      </c>
      <c r="R50" s="33"/>
    </row>
    <row r="51" spans="1:18" ht="27.95" x14ac:dyDescent="0.3">
      <c r="A51" s="33"/>
      <c r="B51" s="33"/>
      <c r="C51" s="33"/>
      <c r="D51" s="33"/>
      <c r="E51" s="33"/>
      <c r="F51" s="33"/>
      <c r="G51" s="33"/>
      <c r="H51" s="33"/>
      <c r="I51" s="33"/>
      <c r="J51" s="33"/>
      <c r="K51" s="33"/>
      <c r="L51" s="33"/>
      <c r="M51" s="33"/>
      <c r="N51" s="33" t="s">
        <v>423</v>
      </c>
      <c r="O51" s="33">
        <f t="shared" si="8"/>
        <v>80</v>
      </c>
      <c r="P51" s="33">
        <v>1</v>
      </c>
      <c r="Q51" s="33">
        <v>80</v>
      </c>
      <c r="R51" s="33"/>
    </row>
    <row r="52" spans="1:18" ht="41.95" x14ac:dyDescent="0.3">
      <c r="A52" s="33"/>
      <c r="B52" s="33"/>
      <c r="C52" s="33"/>
      <c r="D52" s="33"/>
      <c r="E52" s="33"/>
      <c r="F52" s="33"/>
      <c r="G52" s="33"/>
      <c r="H52" s="33"/>
      <c r="I52" s="33"/>
      <c r="J52" s="33"/>
      <c r="K52" s="33"/>
      <c r="L52" s="33"/>
      <c r="M52" s="33"/>
      <c r="N52" s="33" t="s">
        <v>424</v>
      </c>
      <c r="O52" s="33">
        <f t="shared" si="8"/>
        <v>0</v>
      </c>
      <c r="P52" s="33">
        <v>0</v>
      </c>
      <c r="Q52" s="33">
        <v>450</v>
      </c>
      <c r="R52" s="33"/>
    </row>
    <row r="53" spans="1:18" ht="41.95" x14ac:dyDescent="0.3">
      <c r="A53" s="33"/>
      <c r="B53" s="33"/>
      <c r="C53" s="33"/>
      <c r="D53" s="33"/>
      <c r="E53" s="33"/>
      <c r="F53" s="33"/>
      <c r="G53" s="33"/>
      <c r="H53" s="33"/>
      <c r="I53" s="33"/>
      <c r="J53" s="33"/>
      <c r="K53" s="33"/>
      <c r="L53" s="33"/>
      <c r="M53" s="33"/>
      <c r="N53" s="33" t="s">
        <v>425</v>
      </c>
      <c r="O53" s="33">
        <f t="shared" si="8"/>
        <v>0</v>
      </c>
      <c r="P53" s="33">
        <v>0</v>
      </c>
      <c r="Q53" s="33">
        <v>550</v>
      </c>
      <c r="R53" s="33"/>
    </row>
    <row r="54" spans="1:18" ht="27.95" x14ac:dyDescent="0.3">
      <c r="A54" s="33"/>
      <c r="B54" s="33"/>
      <c r="C54" s="33"/>
      <c r="D54" s="33"/>
      <c r="E54" s="33"/>
      <c r="F54" s="33"/>
      <c r="G54" s="33"/>
      <c r="H54" s="33"/>
      <c r="I54" s="33"/>
      <c r="J54" s="33"/>
      <c r="K54" s="33"/>
      <c r="L54" s="33"/>
      <c r="M54" s="33"/>
      <c r="N54" s="33" t="s">
        <v>426</v>
      </c>
      <c r="O54" s="33">
        <f t="shared" si="8"/>
        <v>0</v>
      </c>
      <c r="P54" s="33">
        <v>0</v>
      </c>
      <c r="Q54" s="33">
        <v>200</v>
      </c>
      <c r="R54" s="33"/>
    </row>
    <row r="55" spans="1:18" ht="27.95" x14ac:dyDescent="0.3">
      <c r="A55" s="33"/>
      <c r="B55" s="33"/>
      <c r="C55" s="33"/>
      <c r="D55" s="33"/>
      <c r="E55" s="33"/>
      <c r="F55" s="33"/>
      <c r="G55" s="33"/>
      <c r="H55" s="33"/>
      <c r="I55" s="33"/>
      <c r="J55" s="33"/>
      <c r="K55" s="33"/>
      <c r="L55" s="33"/>
      <c r="M55" s="33"/>
      <c r="N55" s="33" t="s">
        <v>427</v>
      </c>
      <c r="O55" s="33">
        <f t="shared" si="8"/>
        <v>0</v>
      </c>
      <c r="P55" s="33">
        <v>0</v>
      </c>
      <c r="Q55" s="33">
        <v>600</v>
      </c>
      <c r="R55" s="33"/>
    </row>
    <row r="56" spans="1:18" x14ac:dyDescent="0.3">
      <c r="A56" s="33"/>
      <c r="B56" s="33"/>
      <c r="C56" s="33"/>
      <c r="D56" s="33"/>
      <c r="E56" s="33"/>
      <c r="F56" s="33"/>
      <c r="G56" s="33"/>
      <c r="H56" s="33"/>
      <c r="I56" s="33"/>
      <c r="J56" s="33"/>
      <c r="K56" s="33"/>
      <c r="L56" s="33"/>
      <c r="M56" s="33"/>
      <c r="N56" s="33" t="s">
        <v>428</v>
      </c>
      <c r="O56" s="33">
        <f t="shared" si="8"/>
        <v>0</v>
      </c>
      <c r="P56" s="33">
        <v>0</v>
      </c>
      <c r="Q56" s="33">
        <v>300</v>
      </c>
      <c r="R56" s="33"/>
    </row>
    <row r="57" spans="1:18" ht="27.95" x14ac:dyDescent="0.3">
      <c r="A57" s="33"/>
      <c r="B57" s="33"/>
      <c r="C57" s="33"/>
      <c r="D57" s="33"/>
      <c r="E57" s="33"/>
      <c r="F57" s="33"/>
      <c r="G57" s="33"/>
      <c r="H57" s="74">
        <f>(1038*25)/30</f>
        <v>865</v>
      </c>
      <c r="I57" s="33"/>
      <c r="J57" s="33"/>
      <c r="K57" s="33"/>
      <c r="L57" s="33"/>
      <c r="M57" s="33"/>
      <c r="N57" s="33" t="s">
        <v>429</v>
      </c>
      <c r="O57" s="33">
        <f t="shared" si="8"/>
        <v>0</v>
      </c>
      <c r="P57" s="33">
        <v>0</v>
      </c>
      <c r="Q57" s="33">
        <v>600</v>
      </c>
      <c r="R57" s="33"/>
    </row>
    <row r="58" spans="1:18" x14ac:dyDescent="0.3">
      <c r="Q58">
        <f>SUM(Q38:Q57)</f>
        <v>5510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Tripathi</dc:creator>
  <cp:lastModifiedBy>Amit Tripathi</cp:lastModifiedBy>
  <dcterms:created xsi:type="dcterms:W3CDTF">2026-08-08T15:14:10Z</dcterms:created>
  <dcterms:modified xsi:type="dcterms:W3CDTF">2026-08-08T17:23:24Z</dcterms:modified>
</cp:coreProperties>
</file>