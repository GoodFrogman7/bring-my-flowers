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f90bce48fe946bb5/Desktop/"/>
    </mc:Choice>
  </mc:AlternateContent>
  <xr:revisionPtr revIDLastSave="28" documentId="8_{AD602473-364B-45E8-8A05-1198FE70E2AB}" xr6:coauthVersionLast="47" xr6:coauthVersionMax="47" xr10:uidLastSave="{A7D884C9-889E-41A1-9692-76581882EAAD}"/>
  <bookViews>
    <workbookView xWindow="-107" yWindow="-107" windowWidth="20847" windowHeight="11100" activeTab="1" xr2:uid="{6B8C14E8-2273-460E-A0CA-6B03F484F71C}"/>
  </bookViews>
  <sheets>
    <sheet name="Sheet1" sheetId="1" r:id="rId1"/>
    <sheet name="Sheet2" sheetId="2" r:id="rId2"/>
  </sheets>
  <externalReferences>
    <externalReference r:id="rId3"/>
    <externalReference r:id="rId4"/>
  </externalReferences>
  <definedNames>
    <definedName name="_xlnm._FilterDatabase" localSheetId="0" hidden="1">Sheet1!$A$1:$AD$52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60" i="2" l="1"/>
  <c r="O59" i="2"/>
  <c r="H59" i="2"/>
  <c r="O58" i="2"/>
  <c r="O57" i="2"/>
  <c r="O56" i="2"/>
  <c r="O55" i="2"/>
  <c r="O54" i="2"/>
  <c r="O53" i="2"/>
  <c r="O52" i="2"/>
  <c r="O51" i="2"/>
  <c r="O50" i="2"/>
  <c r="O49" i="2"/>
  <c r="O48" i="2"/>
  <c r="O47" i="2"/>
  <c r="O46" i="2"/>
  <c r="O45" i="2"/>
  <c r="O44" i="2"/>
  <c r="O43" i="2"/>
  <c r="O42" i="2"/>
  <c r="O41" i="2"/>
  <c r="O40" i="2"/>
  <c r="N38" i="2"/>
  <c r="M38" i="2"/>
  <c r="L38" i="2"/>
  <c r="K38" i="2"/>
  <c r="J38" i="2"/>
  <c r="I38" i="2"/>
  <c r="H38" i="2"/>
  <c r="G38" i="2"/>
  <c r="F38" i="2"/>
  <c r="E38" i="2"/>
  <c r="D38" i="2"/>
  <c r="C38" i="2"/>
  <c r="B38" i="2"/>
  <c r="O23" i="2"/>
  <c r="O21" i="2"/>
  <c r="O20" i="2"/>
  <c r="O19" i="2"/>
  <c r="O18" i="2"/>
  <c r="O17" i="2"/>
  <c r="O16" i="2"/>
  <c r="O15" i="2"/>
  <c r="N14" i="2"/>
  <c r="M14" i="2"/>
  <c r="L14" i="2"/>
  <c r="K14" i="2"/>
  <c r="J14" i="2"/>
  <c r="I14" i="2"/>
  <c r="H14" i="2"/>
  <c r="G14" i="2"/>
  <c r="F14" i="2"/>
  <c r="E14" i="2"/>
  <c r="D14" i="2"/>
  <c r="C14" i="2"/>
  <c r="O14" i="2" s="1"/>
  <c r="B14" i="2"/>
  <c r="N13" i="2"/>
  <c r="M13" i="2"/>
  <c r="L13" i="2"/>
  <c r="K13" i="2"/>
  <c r="J13" i="2"/>
  <c r="I13" i="2"/>
  <c r="H13" i="2"/>
  <c r="G13" i="2"/>
  <c r="F13" i="2"/>
  <c r="E13" i="2"/>
  <c r="D13" i="2"/>
  <c r="C13" i="2"/>
  <c r="B13" i="2"/>
  <c r="N12" i="2"/>
  <c r="M12" i="2"/>
  <c r="L12" i="2"/>
  <c r="K12" i="2"/>
  <c r="J12" i="2"/>
  <c r="I12" i="2"/>
  <c r="H12" i="2"/>
  <c r="G12" i="2"/>
  <c r="F12" i="2"/>
  <c r="E12" i="2"/>
  <c r="D12" i="2"/>
  <c r="C12" i="2"/>
  <c r="B12" i="2"/>
  <c r="N11" i="2"/>
  <c r="M11" i="2"/>
  <c r="L11" i="2"/>
  <c r="K11" i="2"/>
  <c r="J11" i="2"/>
  <c r="I11" i="2"/>
  <c r="H11" i="2"/>
  <c r="G11" i="2"/>
  <c r="F11" i="2"/>
  <c r="E11" i="2"/>
  <c r="D11" i="2"/>
  <c r="C11" i="2"/>
  <c r="B11" i="2"/>
  <c r="N10" i="2"/>
  <c r="M10" i="2"/>
  <c r="L10" i="2"/>
  <c r="K10" i="2"/>
  <c r="J10" i="2"/>
  <c r="J22" i="2" s="1"/>
  <c r="J24" i="2" s="1"/>
  <c r="J26" i="2" s="1"/>
  <c r="J27" i="2" s="1"/>
  <c r="I10" i="2"/>
  <c r="H10" i="2"/>
  <c r="H22" i="2" s="1"/>
  <c r="H24" i="2" s="1"/>
  <c r="H26" i="2" s="1"/>
  <c r="H27" i="2" s="1"/>
  <c r="G10" i="2"/>
  <c r="F10" i="2"/>
  <c r="E10" i="2"/>
  <c r="D10" i="2"/>
  <c r="C10" i="2"/>
  <c r="B10" i="2"/>
  <c r="B22" i="2" s="1"/>
  <c r="B24" i="2" s="1"/>
  <c r="B26" i="2" s="1"/>
  <c r="B27" i="2" s="1"/>
  <c r="N7" i="2"/>
  <c r="M7" i="2"/>
  <c r="L7" i="2"/>
  <c r="K7" i="2"/>
  <c r="J7" i="2"/>
  <c r="I7" i="2"/>
  <c r="H7" i="2"/>
  <c r="G7" i="2"/>
  <c r="F7" i="2"/>
  <c r="E7" i="2"/>
  <c r="D7" i="2"/>
  <c r="C7" i="2"/>
  <c r="B7" i="2"/>
  <c r="O6" i="2"/>
  <c r="P6" i="2" s="1"/>
  <c r="O5" i="2"/>
  <c r="P5" i="2" s="1"/>
  <c r="O4" i="2"/>
  <c r="P12" i="2" s="1"/>
  <c r="O3" i="2"/>
  <c r="P11" i="2" s="1"/>
  <c r="O2" i="2"/>
  <c r="P2" i="2" s="1"/>
  <c r="O38" i="2" l="1"/>
  <c r="O11" i="2"/>
  <c r="R11" i="2" s="1"/>
  <c r="I22" i="2"/>
  <c r="I24" i="2" s="1"/>
  <c r="I26" i="2" s="1"/>
  <c r="I27" i="2" s="1"/>
  <c r="P3" i="2"/>
  <c r="C22" i="2"/>
  <c r="C24" i="2" s="1"/>
  <c r="C26" i="2" s="1"/>
  <c r="C27" i="2" s="1"/>
  <c r="K22" i="2"/>
  <c r="K24" i="2" s="1"/>
  <c r="K26" i="2" s="1"/>
  <c r="K27" i="2" s="1"/>
  <c r="O13" i="2"/>
  <c r="D22" i="2"/>
  <c r="D24" i="2" s="1"/>
  <c r="D26" i="2" s="1"/>
  <c r="D27" i="2" s="1"/>
  <c r="L22" i="2"/>
  <c r="L24" i="2" s="1"/>
  <c r="L26" i="2" s="1"/>
  <c r="L27" i="2" s="1"/>
  <c r="E22" i="2"/>
  <c r="E24" i="2" s="1"/>
  <c r="E26" i="2" s="1"/>
  <c r="E27" i="2" s="1"/>
  <c r="M22" i="2"/>
  <c r="M24" i="2" s="1"/>
  <c r="M26" i="2" s="1"/>
  <c r="M27" i="2" s="1"/>
  <c r="O7" i="2"/>
  <c r="F22" i="2"/>
  <c r="F24" i="2" s="1"/>
  <c r="F26" i="2" s="1"/>
  <c r="F27" i="2" s="1"/>
  <c r="N22" i="2"/>
  <c r="N24" i="2" s="1"/>
  <c r="N26" i="2" s="1"/>
  <c r="N27" i="2" s="1"/>
  <c r="O12" i="2"/>
  <c r="R12" i="2" s="1"/>
  <c r="G22" i="2"/>
  <c r="G24" i="2" s="1"/>
  <c r="G26" i="2" s="1"/>
  <c r="G27" i="2" s="1"/>
  <c r="P4" i="2"/>
  <c r="O10" i="2"/>
  <c r="P10" i="2"/>
  <c r="P13" i="2"/>
  <c r="P14" i="2"/>
  <c r="R14" i="2" s="1"/>
  <c r="P7" i="2" l="1"/>
  <c r="Q7" i="2" s="1"/>
  <c r="Q38" i="2" s="1"/>
  <c r="R13" i="2"/>
  <c r="R10" i="2"/>
  <c r="R15" i="2"/>
  <c r="I52" i="1" l="1"/>
  <c r="O51" i="1"/>
  <c r="P51" i="1"/>
  <c r="Q51" i="1"/>
  <c r="R51" i="1"/>
  <c r="S51"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2" i="1"/>
</calcChain>
</file>

<file path=xl/sharedStrings.xml><?xml version="1.0" encoding="utf-8"?>
<sst xmlns="http://schemas.openxmlformats.org/spreadsheetml/2006/main" count="634" uniqueCount="350">
  <si>
    <t>ID</t>
  </si>
  <si>
    <t>Name</t>
  </si>
  <si>
    <t>Ph. Number</t>
  </si>
  <si>
    <t>Address</t>
  </si>
  <si>
    <t>Zone</t>
  </si>
  <si>
    <t>Day</t>
  </si>
  <si>
    <t>Time Slot</t>
  </si>
  <si>
    <t>Pack</t>
  </si>
  <si>
    <t>Revenue</t>
  </si>
  <si>
    <t xml:space="preserve"> Type</t>
  </si>
  <si>
    <t>Remarks</t>
  </si>
  <si>
    <t>Flower Restriction</t>
  </si>
  <si>
    <t>Extra Instruction</t>
  </si>
  <si>
    <t>Final Number of Delivery</t>
  </si>
  <si>
    <t>Sarika Bhattacharya</t>
  </si>
  <si>
    <t>T2/1404, The Palms</t>
  </si>
  <si>
    <t>South City 1</t>
  </si>
  <si>
    <t>Saturday</t>
  </si>
  <si>
    <t>9 AM to 2 PM</t>
  </si>
  <si>
    <t>Bloom</t>
  </si>
  <si>
    <t>Sat n Tuesday//Day changed to Sat(07/08/20)  Send 1 Pack of mogra always(02/09/20) 500 added agsint bouquet sent to Nikita(09/09/20) 1 PACK OF MOGRA EVERY WEEK(11/09/20) Lilies this week and day changed to Saturday(08/10/20) Sent 5 Eustoma as Complimentary today(24/10) Send Double Del(08/11) 1 Stick Extra Next(13/11) Spray Daisy Next(30/11) Hold n start after 11th Jan(13/12) Spray daisy Next(30/01) Skip 2 weeks9(13/03) Shift 1 More week(01/04) Skip 1 week(02/07)  Skip 1 week(13/10) Skip 1 more week(18/10) Skip 1 week(05/11) Y Asiatic Next(04/02) Skip necxt week(19/02) Send next del on thursday evening slot(15/03) Hold till 7th Oct(17/09) Received 2 Payments today (29/12) NO Change to Bliss (31/12) Skip this sat delivery (22/05) Hold n start from July n confirm before delivery (25/05) Returned today and skip sat too (03/09) From Saibal Prasad Bhattacharya (08/10) Hold n start from 1st week of June (16/05) No Flowers till 5th Oct(15/09) Hold till 1st Nov from today (07/10) Send one del today and tnen on preferred days (02/11) Today Returnde (25/04) Hold n start from June (01/05) Hold till June also (28/05)</t>
  </si>
  <si>
    <t>2  del of this cycle   -  0-cycles pmnt   Completed - Collect 0</t>
  </si>
  <si>
    <t>Pranta Dutta</t>
  </si>
  <si>
    <t>99535 59491</t>
  </si>
  <si>
    <t>C 1 flat 501 Ireo skyon golf course extension sector 60 gurgaon ( behind lemon tree hotel)</t>
  </si>
  <si>
    <t>Ghata</t>
  </si>
  <si>
    <t>9 AM - 12 PM</t>
  </si>
  <si>
    <t>Tuesday n Saturday//Thursday n Sunday// No Rajni (01/01/23) Skip 1 wek (30/05) Paytm from Ddhruv Dutta Minor (18/06) Paytm From Susmita D (16/07). Not sent on 25/04 due to non payment (24/4) Paytm From Susmita D (04/05) Do not count last del (02/07) No Gerbera also (29/09) Hold from 10th to 20th (08/12) Hold from 10th to 20th (10/12) Hold due to non payment (26/12) No Delivery from 03rd to15th Jan (28/12) Hold due to non payment (010/02) Hold due to non payment (24/02) HDTNP (17/03) HDTNP (02/05) HDTNP (23/05) HDTNP (26/05) HDTNP (02/06) HDTNP (06/06) HDTNP (09/06) HDTNP (13/06) HDTNP (16/06) HDTNP (20/06) HDTNP (23/06) HDTNP (27/06) HDTNP (30/06)</t>
  </si>
  <si>
    <t>RAJNI n GERBERA</t>
  </si>
  <si>
    <t>4  del of this cycle   -  0-cycles pmnt   Completed - Collect 0</t>
  </si>
  <si>
    <t>Ramesh Kapoor</t>
  </si>
  <si>
    <t>T-6/1404, The Palms, South City 1</t>
  </si>
  <si>
    <t>Tuesday</t>
  </si>
  <si>
    <t>Felicity</t>
  </si>
  <si>
    <t>Paytm From Anuradha Kapoor - Anu Kapoor (04/11) Premium tom (13/11) Replacement tom (21/04) 10 % Discint given (15/06) Today hold n sned tom (20/06) Today returned and skip Tuesday also (27/06)</t>
  </si>
  <si>
    <t>Premium Next (13/11)</t>
  </si>
  <si>
    <t>Yukti Batra</t>
  </si>
  <si>
    <t>H. No. 2015, 2nd Floor, Madalsa Hospital, Sec 46</t>
  </si>
  <si>
    <t>Huda</t>
  </si>
  <si>
    <t>Bliss</t>
  </si>
  <si>
    <t>Returned today (30/08) Change day to Tuesday (05/09) Skip 1 week (20/10) Skip 2 week (05/04) R n W Car tom (08/05) Hold today (26/05) Skip 1 week (02/06) Skip 1 week (15/06) Returned today (07/07)</t>
  </si>
  <si>
    <t>3  del of this cycle   -  0-cycles pmnt   Completed - Collect 0</t>
  </si>
  <si>
    <t>Alpna Verma</t>
  </si>
  <si>
    <t>B-70, Sushant Lok Phase 1, Next to Vipul Square, Enter gaye no. 4</t>
  </si>
  <si>
    <t>M G Road</t>
  </si>
  <si>
    <t>Day Changed ro Tuesday and Saturday (22/03)Single Color Flowers (01/12)</t>
  </si>
  <si>
    <t>Single Color Flowers</t>
  </si>
  <si>
    <t>Geetanjali Babbar</t>
  </si>
  <si>
    <t>N-206, Sispal Vihar</t>
  </si>
  <si>
    <t>Sohna Road 1</t>
  </si>
  <si>
    <t>Friday</t>
  </si>
  <si>
    <t>9:30 Am to 2 PM</t>
  </si>
  <si>
    <t>Tuesday and FRiday//Monday and Thursday//Send on Monday This week and send rajni too(03/04) Returned-send tom(11/04) Day Changed to Monday(11/04) Sent replacement of Gerbera today(20/04) She likes BOP+Rajni+Car Comb (20/04) Thursday and Monday Morning Slot(13/06) NO BOP(03/08) Hold today ansend after a week(20/11)  Holy Change(16/03) Skip 1 del(16/03) Skip 1 del AND ALWAYS SEND 10 STICKS(02/05) Skip 3rd Feb Del (28/01) Skip tom Delivery (06/04) Dont start from 16th June--start from 19th June (14/06) Skip Friday (13/09) Skip between 24th to 2nd Nov (24/10) Hold n start from Feb (13/01) Skip tom del (14/03) Do Not count last del (21/06) Skip comig Delivery(24/06) Sent a rewplacement today (23/10) Hold geetanjali babbar today (03/01) Skip 1 week (04/01) Skip 18th n 21st Mar (03/03) Skip Friday (09/04) Skip friday (26/06) Paytm From Merajul Alam (23/09) No Del From 09th to 13th (04/12) Skip 10th and 13th Feb (31/01) Skip 1 week (23/03) Replacement tom (21/04) HDTNP (29/05) Hold till 1st weel of July (20/06) paytm from sunil babbar (03/07)</t>
  </si>
  <si>
    <t>Skip 18th n 21st Mar 25</t>
  </si>
  <si>
    <t>Reeya Naahar</t>
  </si>
  <si>
    <t>B-316-B, Sushant Lok-1</t>
  </si>
  <si>
    <t>9:30 AM to 2PM</t>
  </si>
  <si>
    <t>Saturday n Tuesday// No Yel Spray Daisy // Do not count last del (06/07) No Gerbera (12/04)</t>
  </si>
  <si>
    <t>GERBERA</t>
  </si>
  <si>
    <t>Saloni Gupta</t>
  </si>
  <si>
    <t>338, 3rd Floor, Espace</t>
  </si>
  <si>
    <t>Nirvana Country</t>
  </si>
  <si>
    <t>Customized</t>
  </si>
  <si>
    <t>Sunday n Thursday//Pls Keep Flowers in Vase// Paytm from Mayank G (17/03) Sent replacememnt today (23/03) Skip 1 week (10/04) 2 Asiatic and 5 Rajni (27/07) Paytm friom Mayank Gupta (16/09) 2 Asiatic Lily in each delivery (16/10) Today returned (17/11) Skip this sunday (03/01) Thursday -- 10 Rose and 4 Rajni // Sunday - 2 Asiatic (19/01) Whenever possible-send red Roses (23/01) Skip tom (29/01) Today returned (22/05) Send replacement tom (27/07) Hold today (14/08) Do not count last delivery (04/09) Hold today (02/10) Hold today (12/10) Hold after this cycle (27/10) Do not count last del (31/10) 2 Asiatic + 4 Rajni + 4 Glad -- thrice in a week (30/12) 2 Asiatic and 4 Rajni bi weekly pack (08/03) 2 Asiatic and 8 Rajni Every time and send 8 Rajni tom (26/03) Today returned-send tom (19/04)</t>
  </si>
  <si>
    <t>Kalpana</t>
  </si>
  <si>
    <t>Flat No. 60, HEWO Appartments, Sec 31</t>
  </si>
  <si>
    <t>4 Pm to 7 PM</t>
  </si>
  <si>
    <t>Skip 2 weeks (25/12) // Hold n start from Mar (01/02) Skip 1 week (14/04) Today Returned (30/04) Hold till 5th June (18/05) No Yello Color (11/02) 18th Del returned (20/03) Hold n start after 15th June(14/05) Skip 1 week (17/12) Skip 1 week 922/01) Skip 1 week (14/02) Hold after current cycle and then start from June (25/03) Skip 1 week (22/06)</t>
  </si>
  <si>
    <t>Yellow Color</t>
  </si>
  <si>
    <t>Farea Aziz</t>
  </si>
  <si>
    <t>Selan Exploration Tech Ltd, 8th Floor , Imperial Mindspace, Sec 62</t>
  </si>
  <si>
    <t>By 10 AM</t>
  </si>
  <si>
    <t>Corporate</t>
  </si>
  <si>
    <t>Return-send next week(03/01) Return-send tom at new add (04/10) Today hold -send tom (15/08) Today returned-send tom (24/10)</t>
  </si>
  <si>
    <t>4  del of this cycle   -  0-cycles pmnt   In Process - Collect 0</t>
  </si>
  <si>
    <t>FIVD</t>
  </si>
  <si>
    <t>Fivd India, 22-27, 7th Floor, A Tower, Emaar Digital Green Sec 61</t>
  </si>
  <si>
    <t>Only Asiatic(12/10) Skip this week(26/10) Google pay from manas mehrotra(24/11) Return-send on Tuesday(08/12) Gpay From Priyanka Singh (24/09) Sent a vase today (07/02) Add Changed (14/07) Today hold-send tom (15/08) send replacement tom (16/08) Today returned-send tom (24/10) Sent replacement today (04/07) Sent replacement today (27/11) Office was closed (21/10)</t>
  </si>
  <si>
    <t>GLAD And GULDAWARI AND SPRAY DAISY</t>
  </si>
  <si>
    <t>Pallavi Sharma</t>
  </si>
  <si>
    <t>B-93, Regency Park 1, Sec 43</t>
  </si>
  <si>
    <t>DLF Phase 4</t>
  </si>
  <si>
    <t>Paytm From Vaibhav Sharma (16.05) Skip 1 week (03/06)</t>
  </si>
  <si>
    <t>Pragati Agarwal</t>
  </si>
  <si>
    <t>C-1019, G Floor, Sushant Lok 1</t>
  </si>
  <si>
    <t>10 AM to 2:30 PM</t>
  </si>
  <si>
    <t>Joy</t>
  </si>
  <si>
    <t>Skip 1 week (10/04) No Bop (29/04) No Rajni (29/07) One kind of flowers (31/10) Skip 1 week (05/01) Hold 1 month (07/03) Paytm From Tanmay Agarwal (05/05)</t>
  </si>
  <si>
    <t>BOP n Rajni</t>
  </si>
  <si>
    <t>One Kind of Flower (31/10)</t>
  </si>
  <si>
    <t>4  del of this cycle   -  0-cycles pmnt   CompletedNO COLLECTION-we have extra money - Collect -50</t>
  </si>
  <si>
    <t>Rishika Mazumdar</t>
  </si>
  <si>
    <t>A-45/17, 4th Floor, Yadav House, Sec 28, DLF Phase 1</t>
  </si>
  <si>
    <t>DLF Phase 1</t>
  </si>
  <si>
    <t>Referred by Navjot Kaur// Sent replacement today (15/04) skip next and send on Tuesday (26/04) Skip n send on Tuesday (22/06) Skip tom n send on Tuesday (04/07) Change day to Tuesday (17/07) Hold from 20th Sep and stsrt from 11th Oct (01/09) Skip 25th and sned on 29th (18/11) Paytm from Tushar Gupta (17/02) Hold till 12th April (29/03)</t>
  </si>
  <si>
    <t>Don’t send on  28th -- sned on 1st July(26/04)</t>
  </si>
  <si>
    <t>Rumika</t>
  </si>
  <si>
    <t>M-77, 1st Floor,Adani Samsara, Sector 60</t>
  </si>
  <si>
    <t>Post 5 PM</t>
  </si>
  <si>
    <t>saturday n tuesday//Monday and Friday//Guldawari//Asiatic// car(06/03) Send anthuriums next and then upgrade to 1750 Package--BMF(23/03) Skiped 1 week due to HOLI(29/03) After this upgrade to 1750 Bi weekly plan -- Monday and Friday (04/04) Flowers-- Car//Rose//Lily//Guldawari//Gerbera//Spray Daisy(07/04) Send a replacement today(02/06) Flower Food Next(06/06) NO SPRAY DAISY(18/06) Shift to Elation after this cycle(14/09) Send less greens(21/09) NO GREENS(24/09) Pls send 1 stick of cotton on next del and check glad is being repeated(25/10) Skip n start from Monday(11/11) NO GERBERA(14/12) Send 1 heliconia tom as replacement(24/12) NO HELICONIA (11/02) Holy Change(16/03) Car//Guldawari//Asiatic//Orchid and 2 other best life flowers(13/06) START BIWEEKLY PLAN AFTER THIS CYCLE(06/07) Lilies Next(10/08) Repeat Last flowers(13/08) Hold till 22nd Sep(11/09) Do not count last del(06/11) No Orchid n Rajni and Lily Next (23/11) Sent replacememnt today (3/12) NO RAJNI/ANTHURIUM/HELICONIA and Less Glad (02/01) NO GLAD n ORCHID (29/01) Sent replacement // No BOP n GERBERA (29/04) Do Not count last delivery (19/09) Aster in Subscription (19/10) Send replacement today (21/10) Do not count last del (12/02) Alstroemeria Next (02/04) Do not count last del (11/06) Change slot to evebing post 5 PM and send one sunflower replacement tom (08/02) Last del not counted (30/04)</t>
  </si>
  <si>
    <t>Heliconia n Spray Daisy n Rajni</t>
  </si>
  <si>
    <t>Send 1 Extra Premiun next (08/02)</t>
  </si>
  <si>
    <t>Samby</t>
  </si>
  <si>
    <t>C-183 A, 4th Floor, Sushant Lok 1</t>
  </si>
  <si>
    <t>Paytm From Sumit Kumar Bedi Jaga (29/03)</t>
  </si>
  <si>
    <t>G-00029</t>
  </si>
  <si>
    <t>Shweta Arora</t>
  </si>
  <si>
    <t>H. No. 9506, 3rd Floor, Garden Villas</t>
  </si>
  <si>
    <t>From Akriti Chopra // Paytm From Shweta Dudeja (26/02) Sent replacement today (18/04)</t>
  </si>
  <si>
    <t>4  del of this cycle   -  1-cycles pmnt   Pending - Collect 1950</t>
  </si>
  <si>
    <t>Devesh Srivastava</t>
  </si>
  <si>
    <t xml:space="preserve">T-7/1003&lt; The Palms
</t>
  </si>
  <si>
    <t>Saturday n Tuesday//One Del today and then every satrday 920/04) Sent one Del Today (09/05)</t>
  </si>
  <si>
    <t>Revathi-- After 5 PM</t>
  </si>
  <si>
    <t>A-1201, The Emaar Palm Drive</t>
  </si>
  <si>
    <t>Badshahpur</t>
  </si>
  <si>
    <t>4 PM to 7PM</t>
  </si>
  <si>
    <t>Grace</t>
  </si>
  <si>
    <t>Friday and Tuesday// NO RAJNIGANDHA NOW ONLY LILIES//CAR AND GLAD(26/07)  NO WONLY LILIES, HELICONIA AND CAR IN YELLOW OR ORANGE ONLY(11/09)  ONLY  LILIES/GLADIOLI AND HELICONIA ONLY IN YELL AND ORANGE COLOR-- NOCARNATION(01/10) Rajni or Bop next(18/10) Send 1 FF Next(29/06) LILY n GLAD ARE PREFERRED(29/06) Now From Rose//Car//Glad//Guldawari//Asiatic//Oriental(03/08) Skip this friday(09/08) No Upgrade (17/10) Skip 1 week (114/11) Skip 1 week after tom Delivery (09/03) No Del on Froday-- sned on Tuesda (29/03) Glad Next (01/05) Hold n start after 8th June (12/05) Bop n Heliconia Next (10/02) Skip tom Del (28/03) Flower food next (14/05) Hold till 8th (29/05) No Gerbera and Orchid (28/07) One Payment received today (01/10) Skip Friday Del (27/11) Skip friday (25/12) Return not at home (20/06) Today Returned (20/06) Received one payment of 3250 today (21/07)</t>
  </si>
  <si>
    <t>Gerbera n ORCHID</t>
  </si>
  <si>
    <t>Sohna Road 2</t>
  </si>
  <si>
    <t>1  del of this cycle   -  0-cycles pmnt   Completed - Collect 0</t>
  </si>
  <si>
    <t>M0006</t>
  </si>
  <si>
    <t>Divya Sabharwal</t>
  </si>
  <si>
    <t>Tower 15, flat 1401, Vipul Greens , Sohna Road</t>
  </si>
  <si>
    <t>Friday n Monday//NO GERBERA-Send replacement tomorrow(14/10)NO ORCHIDS(08/03)) NO ROSE(25/01) ) NO GLAD (20/02)  Pls send out of Asiatic//Oriental//bop//Anthurium//Spray Daisy//Gladioli//Guldawari(13/03)NO ANTHURIUMS)(16/06) Skip 1 week (21/05) Skip 1 week (16/06) Hold today (01/09) Send replacement tom (09/09) Skip 1 week (05/10) Skip 1 week (25/10) Skip 2 week (18/03) Statie next (13/05) Friday n MOnday (01/08) NO Car (30/08) Skip 1 week (19/01) Skip tom (02/02) Hold today  and send rajni on sunday instead of Monday (10/02) Skip friday del (11/03) Skip 1 week (19/03) No Orchids also (26/04) Skip 1 week (05/10) Hold till 9th Nov (24/10) Hold tom (23/11) Hold tom (27/11) Skip friday (02/12) Close bi weekly and start joy Pack (04/12) Skip 1 week (31/01) Skip 1 week (01/02) Return today (20/02) Skip 2 week (010/03) Send replacement tom (13/07)</t>
  </si>
  <si>
    <t>CAR n Orchid</t>
  </si>
  <si>
    <t>Lucky Pandey</t>
  </si>
  <si>
    <t>9961712428//9971712428</t>
  </si>
  <si>
    <t>B3/502, Uniworld City ( West)</t>
  </si>
  <si>
    <t>Skip this Sunday and send on Tuesday (07/07) Skip 1 week (21/10) Today Returned (10/12) Today returned (17/03) Today Returned (19/003) Return-send tom (26/05) Hold (23/06) Today Returned (21/07) Gpay from Abhijeet K Choudhary (01/10) Hold today (03/12) No Sunflower (21/01) Returned today (17/06) Send 1 del todya (07/07) Today Returned 0send on saturday this week (23/06)</t>
  </si>
  <si>
    <t>Sunflower</t>
  </si>
  <si>
    <t>Urshita Gupta</t>
  </si>
  <si>
    <t>D-202, Pilot Court, Essel Towers</t>
  </si>
  <si>
    <t>Change day to Tuesday (29/04) Hold till1 st June (20/05) Paytm From Urshita Saini (05/06)</t>
  </si>
  <si>
    <t>Varsha Mathur</t>
  </si>
  <si>
    <t>C-34, First Floor, Sushant Lok-1</t>
  </si>
  <si>
    <t>Paytm From Aryank Mathur (29/04) Pls send asiatic only (10/06) Do not count last delivery (01/09) Diff flowers now (04/09) Hold due to non payment (14/10) Gpay from Medhavi Mathur (30/10) No Gerbera and Glad (04/12) No Orchids (18/12) Hold due to non payment (13/01) Hold due to non payment (20/01)</t>
  </si>
  <si>
    <t>No Glad n Gerbera n Orchid</t>
  </si>
  <si>
    <t>Diff flowers Now (04/09)</t>
  </si>
  <si>
    <t>Nitee Johar</t>
  </si>
  <si>
    <t>H-11/4 Dlf Phase 1, Gurgaon</t>
  </si>
  <si>
    <t>Ho;d due to non payment (13/01) Hold due to non payment (20/01) Hold due to non payment (27/01) Hold due to non payment (03/02) Hold due to non payment (10/02) Paytm From Kavita -- 25176 (24/03) HDTNP (02/06) HDTNP (09/06) HDTNP (16/06) HDTNP (23/06) HDTNP (30/06) Hold after current cycle (01/07) Paytm From Karan Singh --9810661849 (01/07)</t>
  </si>
  <si>
    <t>Promita Roy</t>
  </si>
  <si>
    <t>B-25, Sushant Appartment, Block-C, Phase 1</t>
  </si>
  <si>
    <t>Upgrade to Bliss // Nolacl Gypsy or Lady Lace</t>
  </si>
  <si>
    <t>No Local Gypsy or Lady Lace</t>
  </si>
  <si>
    <t>Monika Arora</t>
  </si>
  <si>
    <t>Tostem Studio, Plot No. 564, Basement, Sec 39, Near Bakhtawar Chwok</t>
  </si>
  <si>
    <t>Medanta</t>
  </si>
  <si>
    <t>Ref From Anupma Rastogi // Today Returned (09/08) Hold today (16/08) Today office was closed (21/10)</t>
  </si>
  <si>
    <t>Change in Address (31/12)</t>
  </si>
  <si>
    <t>Swati Khandelwal-- Evening Only</t>
  </si>
  <si>
    <t>414-A, Hamilton Court</t>
  </si>
  <si>
    <t>Saturday and Tuesday//Tuesday and Friday//1 St del Tom in morning and then every Sunday evening(05/01) ONLY LILY AND RAJNI(19/01) Lilies in all 4 Deliveries(01/02) Start Biss from next week(30/11) ONLY RAJNI(31/12) Send Guldawari next and then spray daisy next to next(09/01) NO ROSE mn RAJNI-- Send spray daisy next(27/01) Spray daisy Next(15/02) Moved to Felicity--1350 Pack, Pls mark pending(21/03) Send 1 extra delivery from Rachna Khanna ma'am(05/08) Do Not count last delivery(07/04) Send Flower Food Tom(12/09) Send Flower Food next (09/10) Hold till 1st Feb (20/01) Send Flower Food next (04/07) One More payment received today (30/10) Payment from Ramakant K (08/06) Rs. 9200 Received today and 10% applied on 9200 (10/12)</t>
  </si>
  <si>
    <t>ROSE n RAJNI</t>
  </si>
  <si>
    <t>Aarti Malhotra</t>
  </si>
  <si>
    <t>T-10/1402, Orchid Petals</t>
  </si>
  <si>
    <t>Charm</t>
  </si>
  <si>
    <t>Friday and Tuesday//Thursday and Sunday//Like-- Spray daisy//Rajni and guldawari(28/05) Sunday and Thursday(20/06) Shift to Joy package after this(15/09) Skip 1 week(13/01)  Holy Change(16/03) Sent 1 replacement today(05/04) Hold n start from June(04/05) Hold and start after 20th June(06/06) Sent Replacement today(05/07) Do Not Count last Delivery(18/07) NO SPRAY DAISY(23/08) Skip coming Delivery (28/09)Today flowers returned-send on next del date (09/12) Start after 31st // Replace last flowers (28/01) Skip 1 week (02/06) No Del till 28th June (11/06) Skip this friday (06/03) Skip 1 week 911/03) Paytm from Vineet R K (26/10) Hold till 2nd July (31/05)</t>
  </si>
  <si>
    <t>Anamika Sirohi</t>
  </si>
  <si>
    <t>E-703M The Vikas, DLF Phase 2</t>
  </si>
  <si>
    <t>DLF Phase 2</t>
  </si>
  <si>
    <t>Preferred Flowers -- Rose/Rajni/Gerbera/Lilies/Glad/car // Today Hold (12/08) Skip 2 week (13/08) Paytm From sangram Singh (10/09)</t>
  </si>
  <si>
    <t>2  del of this cycle   -  0-cycles pmnt   CompletedNO COLLECTION-we have extra money - Collect -10</t>
  </si>
  <si>
    <t xml:space="preserve">Reena </t>
  </si>
  <si>
    <t>31/1, Ixia, Vatika City</t>
  </si>
  <si>
    <t>Tuesday and Friday//NO Rose/Rajni and ORCHID(30/10) Pink car Next(08/11) No Rose/No Rajni/No Orchids(30/11  NO RAJNI n HELICONIA (30/12) Star From Sunday (24/08) Skip coming Friday (07/12) Skip 1 week (18/01) Shift tom del to Sunday (20/06) Skip Friday Del (15/08) Today Returned(03/09) Skip 27th Del (22/12) Skip tom (30/01) Today Returned-send again (04/04) Hold n start from 15th (07/04) Skip friday (26/06) Skip 1 week (07/08) Skip tom del (11/09) Skip 1 week (01/11) Skip tom (30/04) Start from 14th July (06/07)</t>
  </si>
  <si>
    <t>RAJNI n HELICONIA</t>
  </si>
  <si>
    <t>1  del of this cycle   -  1-cycles pmnt   Pending - Collect 1600</t>
  </si>
  <si>
    <t>Ritu Sacheti</t>
  </si>
  <si>
    <t>B1/1401, World Spa, Sector 30</t>
  </si>
  <si>
    <t>Sat n Tuesday//NO Chrysanthemums(30/12) Received 50Rs. Today(13/01) Today returned-send tom(27/01) Pls send double del on next del and upgrade to 1250 pack once this cycle completes(25/05/2020) Sending 1st June Flowers on 30th may(30/05/2020) Upgrade to 1750 pack and always send 4 Asiatic and 15 normal flowers(08/07) Send replacement of glad tom(19/08/20) Hold n start from Feb(17/01) Skiped 1 week due to HOLI(29/03) NO RAJNI IN SUMMER(16/07) Send 4 Stick asiatic complimentary Tom(20/09) Send 2 Open Asiatic and replace Carnations AND NEVER CAR(04/10) Rs. 250 received against extra flowers(05/10) NO SAME COLOR FLOWERS(04/03) Return today (06/12) NO GERBERA (10/01) Return-send tom (04/04) Sent replacement of Guldawari today (09/04) Today Returned (20/06) No Flowers From 10th to 19 Th nov (02/11) No Flowers betqeen 22nd and 1st Jan (22/12) Returned today (10/02) Skip today (13/02) Skip this tuesday (11/03) No Flowers from 29th to 3rd Nov (25/10) Return today (23/11) No Gerbera (30/11) Today Returned (24/05) Sent 1 delivery today (25/05)</t>
  </si>
  <si>
    <t>GERBERA n SUNFLOWER</t>
  </si>
  <si>
    <t>Sandhya Nagesh</t>
  </si>
  <si>
    <t>89, Ground Floor, Woodstock Floors, Sec 50</t>
  </si>
  <si>
    <t>Saturday n Tueaday(02/09) No Del From 10th to 19th (09/09) Today returned(19/08) hold today send tom (07/10) Skip 20th Del (14/01) Hold 6th n 10th Sug (03/08) Return tiday (07/02) Today Returned (24/02)</t>
  </si>
  <si>
    <t>Sonia Kalra</t>
  </si>
  <si>
    <t>C-264, Sushant Lok-1</t>
  </si>
  <si>
    <t>Change Rs 50// Hold today n skip 1 week(29/07) Paytm from harsonia Kalra (03/09)</t>
  </si>
  <si>
    <t>2  del of this cycle   -  1-cycles pmnt   Pending - Collect 1443</t>
  </si>
  <si>
    <t>Swati Sharad</t>
  </si>
  <si>
    <t>204-B, 2nd Floor, 4th Floor, Beverley Park-1</t>
  </si>
  <si>
    <t>No Glad (03/04) No areca palm (15/04) Today Hold (03/02) Paytm from meenakshi Sharad (10/03) HDTNP (23/06)</t>
  </si>
  <si>
    <t>Glad</t>
  </si>
  <si>
    <t>No areca Palm // Flower Food Next (19/05)</t>
  </si>
  <si>
    <t>2  del of this cycle   -  1-cycles pmnt   Pending - Collect 1450</t>
  </si>
  <si>
    <t>A K Jain</t>
  </si>
  <si>
    <t>B-785, Sushant Lok-1, Near Police Chowki</t>
  </si>
  <si>
    <t>Saturdya n Tuesday (16/05) Hold from 10th to 14th June (07/06) Paytm From Akhil Jain (21/06) Skip sat del and send them on Sunday (30/07) Do not count last delivery (22/09) Hold 25th and 28th (19/10) Today Returned (04/11) Skip sat delivery (18/03) Do not count last Del (15/06)</t>
  </si>
  <si>
    <t>Abhishek Jain</t>
  </si>
  <si>
    <t>N-3/8, 2nd Floor, Road No. N-3, Sector 25</t>
  </si>
  <si>
    <t>9:30 AM to 2 PM</t>
  </si>
  <si>
    <t>Skip 2 week (16/04)</t>
  </si>
  <si>
    <t>Pooja Singh</t>
  </si>
  <si>
    <t>B-289, 3rd Floor, Anantraj Estates, Sec 63 A</t>
  </si>
  <si>
    <t>Sunday</t>
  </si>
  <si>
    <t>Hold today n sned on Tuesday (18/05) Skip this week and send on Monday(01/01/26) Return today (18/01) Skip this Sunday and sned on Tuesday this week (27/06) Send on Tuesday this week(11/07)</t>
  </si>
  <si>
    <t>1  del of this cycle   -  1-cycles pmnt   Pending - Collect 1450</t>
  </si>
  <si>
    <t>Anisha Sethi</t>
  </si>
  <si>
    <t>Q-1/25, DLF Phase 2</t>
  </si>
  <si>
    <t>Saturdya n Tuesday//always mix of 2 flowers and send a scissor on 1st del for Rs.50(11/10) Send 1 Scissor also(13/10) Send Scissor Tom(15/10) Send Mogra next(18/10) NO HELICONIA and BOP(19/11) Skip this Tuesday(10/04) Skip this Tuesday Del(02/05) Skip 28th May Flowers(25/05) Sent replacement today(07/06) NO DEL BETWEEN 14TH AND 24TH JULY(06/07) Skip 12th , 16th , 19th and 23rd July(11/07) Skip 1 week(25/08) NO UPGRADE(17/10) Pause from 25th to 6th Apr (24/03) Asiatic n Car (05/05) No Delivery from 10th June to 15th July (07/06) Skip tom delivery (04/09) No flowers on 28th (26/10) Skip 1 Del (12/02) Hold on 2nd,6th and 9th Apr (30/03) Skip 20th Del (19/08) Pls hold n start from 5th Oct (22/09) No sunflowers for some time (15/04) Hold from 17th May t0 17th June (14/05) Collect 400 next and carry change (29/07) 400 cash on 5th Aug (12/08) Hold n send on 23rd Now (17/08)</t>
  </si>
  <si>
    <t>HELICONIA n BOP</t>
  </si>
  <si>
    <t>No Sunflowers for some time (15/04) Change of Rs. 50 Next (28/04)</t>
  </si>
  <si>
    <t>1  del of this cycle   -  1-cycles pmnt   Pending - Collect 3000</t>
  </si>
  <si>
    <t>Jyoti - Digi Homes</t>
  </si>
  <si>
    <t>T-B/2802, Emaar Digi Homes, Sec 62</t>
  </si>
  <si>
    <t>No Glad n Rajni n try fir Gerbera fior 1st Del // Hold n send on 19th and send on 21st (17/04) 19th Del Missed-send on 26th (23/04) Do not count last del 28/05) Today returned (21/06) Do not count last del (20/07) Today Hold  and send on tuesday(02/08) Return today (05/08) Skip 2 Weeks (09/08) Day change to tuesday and and skip 2 week (09/08) Day Changed to saturday (02/09) No BOP also (23/09 Paytm From Jyoti chaudhary (27/10) Only No Rajni and BOP (19/03) Skip 1 week (24/06)</t>
  </si>
  <si>
    <t>Rajni n BOP</t>
  </si>
  <si>
    <t>1  del of this cycle   -  1-cycles pmnt   Pending - Collect 1950</t>
  </si>
  <si>
    <t>B56447</t>
  </si>
  <si>
    <t>Lalit Jain</t>
  </si>
  <si>
    <t>C-902, GPM Eden Heights, Sec 70</t>
  </si>
  <si>
    <t>Bouquet</t>
  </si>
  <si>
    <t>1p Dark Pink Orental in Fish Bowl // Happy Birthday Papa</t>
  </si>
  <si>
    <t xml:space="preserve">Poonam Lal </t>
  </si>
  <si>
    <t>T-121/173, Silver Oaks Appartments</t>
  </si>
  <si>
    <t>10% Discount // Today hold (02/08) Hold n start after 11th Sep (05/09) Start after 27th Jan (16/01) Skip tom (03/04) Skip tom add being changed (01/05) Hold till 04th June (26/05)</t>
  </si>
  <si>
    <t>Reema Parents</t>
  </si>
  <si>
    <t>B1/603, Tulip Orange, Sec 70</t>
  </si>
  <si>
    <t>From Reema</t>
  </si>
  <si>
    <t>B56357</t>
  </si>
  <si>
    <t>Ridhi Heritage</t>
  </si>
  <si>
    <t>98730 38855</t>
  </si>
  <si>
    <t xml:space="preserve"> Flat-704 tower -C  Heritage One sector 62</t>
  </si>
  <si>
    <t>2 P Oriental (13/07)</t>
  </si>
  <si>
    <t>1  del of this cycle   -  0-cycles pmnt   In Process - Collect 0</t>
  </si>
  <si>
    <t>1  del of this cycle   -  1-cycles pmnt   Pending - Collect 700</t>
  </si>
  <si>
    <t>Rupi</t>
  </si>
  <si>
    <t>T-14/304, Heritage City</t>
  </si>
  <si>
    <t>Start From 29th and then next del from 9th Dec (18/11) This week on Saturday (06/2) Hold today and send on Saturday and then tuesday(03/03) Skip tom (20/04) Skip tom n send on saturdqay this week (20/06)</t>
  </si>
  <si>
    <t>Saloni Mevawala</t>
  </si>
  <si>
    <t>T-1/201, Unitech Fresco</t>
  </si>
  <si>
    <t>Thursday</t>
  </si>
  <si>
    <t>Bi weekly Customised</t>
  </si>
  <si>
    <t>9 Rajni Every week (18/12) Skip 2 week (19/02) 1 Oriental and 5 Rajni (04/04) Paytm From Sejal Mevawala (05/04) 1 Oriental + 5 Rajni (04/04)</t>
  </si>
  <si>
    <t xml:space="preserve"> 1 Oriental + 5 Rajni (04/04)</t>
  </si>
  <si>
    <t>B56358</t>
  </si>
  <si>
    <t>Scottish School</t>
  </si>
  <si>
    <t>Sector 56</t>
  </si>
  <si>
    <t>By 9 AM</t>
  </si>
  <si>
    <t>Supriya Bijlwan</t>
  </si>
  <si>
    <t>C-201, Mahindra Luminaire</t>
  </si>
  <si>
    <t>1 Seasonal Extra next (20/05) No Rajni in Summer (12/07)</t>
  </si>
  <si>
    <t>Rajni in Summer</t>
  </si>
  <si>
    <t>Premium in next 2 Del (23/05)</t>
  </si>
  <si>
    <t>1  del of this cycle   -  1-cycles pmnt   Pending - Collect 2300</t>
  </si>
  <si>
    <t>Tarushi--Skyon</t>
  </si>
  <si>
    <t>B-2004, Ireo Skyon, Sec 60</t>
  </si>
  <si>
    <t>No Spray Daisy (06/11) Skip 1 week (02/03) No Gerbera (02/07) Send on Saturday this week Z914/07)Paytm from Uday Bansal 19/07) Return not at home (29/07) Hold due to non payment (14/10) Hold after this cycle (14/11) Paytm From Tarushi Garg (02/04) HDTNP (02/06) HDTNP (09/06) HDTNP (16/06) Skip 1 week (24/06)</t>
  </si>
  <si>
    <t>Spray Daisy n GERBERA</t>
  </si>
  <si>
    <t>1  del of this cycle   -  1-cycles pmnt   Pending - Collect 8250</t>
  </si>
  <si>
    <t>Pre Flowesr 4</t>
  </si>
  <si>
    <t>Pre Flowers 3</t>
  </si>
  <si>
    <t>Pre Flowers 2</t>
  </si>
  <si>
    <t>Pre Flowers 1</t>
  </si>
  <si>
    <t xml:space="preserve">Pre Flowers </t>
  </si>
  <si>
    <t>Flower 1</t>
  </si>
  <si>
    <t>Stick</t>
  </si>
  <si>
    <t>Flower 2</t>
  </si>
  <si>
    <t>Flower 3</t>
  </si>
  <si>
    <t>Consumables</t>
  </si>
  <si>
    <t>Delivered By</t>
  </si>
  <si>
    <t>Priority</t>
  </si>
  <si>
    <t>Feedback</t>
  </si>
  <si>
    <t>Payment</t>
  </si>
  <si>
    <t>7  del of this cycle   -  0-cycles pmnt   Completed - Collect 0</t>
  </si>
  <si>
    <t>7  del of this cycle   -  0-cycles pmnt   Completed - Collect 40</t>
  </si>
  <si>
    <t>8  del of this cycle   -  0-cycles pmnt   Completed - Collect 0</t>
  </si>
  <si>
    <t>5  del of this cycle   -  0-cycles pmnt   Completed - Collect 0</t>
  </si>
  <si>
    <t>Nandini Kar-- After 5 PM</t>
  </si>
  <si>
    <t>T-37/301, Emerald Floors Premier, Adjacent to Worldmark, Sec 65</t>
  </si>
  <si>
    <t>Monday</t>
  </si>
  <si>
    <t>4 PM to 7 PM</t>
  </si>
  <si>
    <t>No Rose n ORCHID (23/08) Start after 2nd July (08/06) Upgrade to bliss with 5 Deliveries (24/08) Skip 1 week (01/09) Returned today (20/10) 27th Del Missed (02/11) Returned and hold for 2 weeks (03/06) Replacement tom (13/06)</t>
  </si>
  <si>
    <t>2  del of this cycle   -   0-cycles pmnt  Completed - Collect 0</t>
  </si>
  <si>
    <t>Replacement</t>
  </si>
  <si>
    <t>CP00001</t>
  </si>
  <si>
    <t>Nidhi Sharma Malhotra -- BPTP -- Centra 1</t>
  </si>
  <si>
    <t>BPTP, Sec 61</t>
  </si>
  <si>
    <t>By 5 PM</t>
  </si>
  <si>
    <t>G n W Car ( 14 Inch )</t>
  </si>
  <si>
    <t>P n W Glad ( 14 Inch )</t>
  </si>
  <si>
    <t>O Asiatic ( 14 Inch )</t>
  </si>
  <si>
    <t>Mix Alstroemeria ( 12 Inch )</t>
  </si>
  <si>
    <t>P Spray Daisy ( 14 Inch )</t>
  </si>
  <si>
    <t>Rajni ( 14 Inch )</t>
  </si>
  <si>
    <t>Rajni</t>
  </si>
  <si>
    <t>P n Y Spray Daisy ( 14 Inch )</t>
  </si>
  <si>
    <t>P n W Spray Daisy ( 14 Inch )</t>
  </si>
  <si>
    <t>Grass</t>
  </si>
  <si>
    <t>FF Sachet + Grass</t>
  </si>
  <si>
    <t>Dark P Anthurium</t>
  </si>
  <si>
    <t>Medium Fish Bowl Arrangement</t>
  </si>
  <si>
    <t>P Oriental</t>
  </si>
  <si>
    <t>Areca Palm + Grass</t>
  </si>
  <si>
    <t>Basket</t>
  </si>
  <si>
    <t>No Yellow Color</t>
  </si>
  <si>
    <t>P Asiatic ( 14 Inch )</t>
  </si>
  <si>
    <t>Sunflower ( 12 Inch )</t>
  </si>
  <si>
    <t>Y Asiatic ( 14 Inch )</t>
  </si>
  <si>
    <t>Spray Daisy</t>
  </si>
  <si>
    <t>Alstroemeria</t>
  </si>
  <si>
    <t>B Daisy</t>
  </si>
  <si>
    <t>Rose</t>
  </si>
  <si>
    <t>Carnation</t>
  </si>
  <si>
    <t>Orchid</t>
  </si>
  <si>
    <t>Asiatic</t>
  </si>
  <si>
    <t>Oriental</t>
  </si>
  <si>
    <t>Eustoma</t>
  </si>
  <si>
    <t>total revenue</t>
  </si>
  <si>
    <t>revenue for the day</t>
  </si>
  <si>
    <t>Total</t>
  </si>
  <si>
    <t>Sticks in bndl</t>
  </si>
  <si>
    <t>Current Cost/bdl</t>
  </si>
  <si>
    <t>bi weekly</t>
  </si>
  <si>
    <t>NA</t>
  </si>
  <si>
    <t>Customized Plans</t>
  </si>
  <si>
    <t>A-2, G Floor</t>
  </si>
  <si>
    <t xml:space="preserve"> left of prev day</t>
  </si>
  <si>
    <t>TO BUY</t>
  </si>
  <si>
    <t>Wastage</t>
  </si>
  <si>
    <t>To buy wth wastage</t>
  </si>
  <si>
    <t>Bundles to buy</t>
  </si>
  <si>
    <t xml:space="preserve">Flowers </t>
  </si>
  <si>
    <t>COST</t>
  </si>
  <si>
    <t>Quantity</t>
  </si>
  <si>
    <t>Rate</t>
  </si>
  <si>
    <t>Arika</t>
  </si>
  <si>
    <t>victoria</t>
  </si>
  <si>
    <t>Murraiya</t>
  </si>
  <si>
    <t>grass</t>
  </si>
  <si>
    <t>Taal Palm</t>
  </si>
  <si>
    <t>Nargis</t>
  </si>
  <si>
    <t>Rose petal</t>
  </si>
  <si>
    <t>Genda</t>
  </si>
  <si>
    <t>Limonium</t>
  </si>
  <si>
    <t>Mogra</t>
  </si>
  <si>
    <t>Gypsy</t>
  </si>
  <si>
    <t>Leather Fern</t>
  </si>
  <si>
    <t>Cycus Palm</t>
  </si>
  <si>
    <t>O Marigold Lari</t>
  </si>
  <si>
    <t>Y Marigold Lari</t>
  </si>
  <si>
    <t>Ashok Lari</t>
  </si>
  <si>
    <t>Mogra Lari</t>
  </si>
  <si>
    <t>Rajni Lari</t>
  </si>
  <si>
    <t>Daisy Lari</t>
  </si>
  <si>
    <t>Anthurium // BOP</t>
  </si>
  <si>
    <t>BPTP Centra 1 Refresh</t>
  </si>
  <si>
    <t>Y Spray Daisy (14 Inch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</si>
</sst>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quot;₹&quot;\ #,##0.00"/>
    <numFmt numFmtId="166" formatCode="dd\/mm\/yy"/>
    <numFmt numFmtId="167" formatCode="0.0"/>
  </numFmts>
  <fonts count="26"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2"/>
      <name val="Calibri"/>
      <family val="2"/>
    </font>
    <font>
      <b/>
      <i/>
      <sz val="11"/>
      <name val="Calibri"/>
      <family val="2"/>
      <scheme val="minor"/>
    </font>
    <font>
      <b/>
      <sz val="11"/>
      <name val="Calibri"/>
      <family val="2"/>
    </font>
    <font>
      <b/>
      <sz val="22"/>
      <name val="Calibri"/>
      <family val="2"/>
      <scheme val="minor"/>
    </font>
    <font>
      <b/>
      <sz val="11"/>
      <name val="Calibri"/>
      <family val="2"/>
      <scheme val="minor"/>
    </font>
    <font>
      <sz val="11"/>
      <name val="Calibri"/>
      <family val="2"/>
    </font>
    <font>
      <b/>
      <sz val="11"/>
      <color rgb="FFFFFFFF"/>
      <name val="Calibri"/>
      <family val="2"/>
      <scheme val="minor"/>
    </font>
    <font>
      <u/>
      <sz val="11"/>
      <color theme="10"/>
      <name val="Calibri"/>
      <family val="2"/>
      <scheme val="minor"/>
    </font>
    <font>
      <b/>
      <sz val="14"/>
      <name val="Calibri"/>
      <family val="2"/>
      <scheme val="minor"/>
    </font>
    <font>
      <i/>
      <sz val="11"/>
      <color theme="1"/>
      <name val="Calibri"/>
      <family val="2"/>
      <scheme val="minor"/>
    </font>
    <font>
      <b/>
      <i/>
      <sz val="11"/>
      <color theme="1"/>
      <name val="Calibri"/>
      <family val="2"/>
      <scheme val="minor"/>
    </font>
    <font>
      <b/>
      <i/>
      <sz val="11"/>
      <color rgb="FF000000"/>
      <name val="Calibri"/>
      <family val="2"/>
      <scheme val="minor"/>
    </font>
    <font>
      <b/>
      <i/>
      <sz val="10"/>
      <color rgb="FF000000"/>
      <name val="Calibri"/>
      <family val="2"/>
      <scheme val="minor"/>
    </font>
    <font>
      <i/>
      <sz val="11"/>
      <color rgb="FF000000"/>
      <name val="Calibri"/>
      <family val="2"/>
      <scheme val="minor"/>
    </font>
    <font>
      <i/>
      <sz val="11"/>
      <name val="Calibri"/>
      <family val="2"/>
      <scheme val="minor"/>
    </font>
    <font>
      <b/>
      <i/>
      <sz val="12"/>
      <color rgb="FF000000"/>
      <name val="Calibri"/>
      <family val="2"/>
      <scheme val="minor"/>
    </font>
    <font>
      <b/>
      <i/>
      <sz val="11"/>
      <color rgb="FF7030A0"/>
      <name val="Calibri"/>
      <family val="2"/>
      <scheme val="minor"/>
    </font>
    <font>
      <i/>
      <sz val="11"/>
      <color rgb="FF7030A0"/>
      <name val="Calibri"/>
      <family val="2"/>
      <scheme val="minor"/>
    </font>
    <font>
      <b/>
      <i/>
      <sz val="11"/>
      <color theme="0"/>
      <name val="Calibri"/>
      <family val="2"/>
      <scheme val="minor"/>
    </font>
    <font>
      <i/>
      <sz val="12"/>
      <color theme="1"/>
      <name val="Calibri"/>
      <family val="2"/>
      <scheme val="minor"/>
    </font>
    <font>
      <sz val="12"/>
      <color theme="1"/>
      <name val="Calibri"/>
      <family val="2"/>
      <scheme val="minor"/>
    </font>
    <font>
      <i/>
      <sz val="10"/>
      <color theme="1"/>
      <name val="Calibri"/>
      <family val="2"/>
      <scheme val="minor"/>
    </font>
  </fonts>
  <fills count="15">
    <fill>
      <patternFill patternType="none"/>
    </fill>
    <fill>
      <patternFill patternType="gray125"/>
    </fill>
    <fill>
      <patternFill patternType="solid">
        <fgColor theme="0"/>
        <bgColor indexed="64"/>
      </patternFill>
    </fill>
    <fill>
      <patternFill patternType="solid">
        <fgColor rgb="FFED0000"/>
        <bgColor indexed="64"/>
      </patternFill>
    </fill>
    <fill>
      <patternFill patternType="solid">
        <fgColor rgb="FFF6C3FF"/>
        <bgColor indexed="64"/>
      </patternFill>
    </fill>
    <fill>
      <patternFill patternType="solid">
        <fgColor rgb="FFFFFF00"/>
        <bgColor indexed="64"/>
      </patternFill>
    </fill>
    <fill>
      <patternFill patternType="solid">
        <fgColor rgb="FF92D050"/>
        <bgColor indexed="64"/>
      </patternFill>
    </fill>
    <fill>
      <patternFill patternType="solid">
        <fgColor rgb="FF7030A0"/>
        <bgColor indexed="64"/>
      </patternFill>
    </fill>
    <fill>
      <patternFill patternType="solid">
        <fgColor rgb="FFFF0000"/>
        <bgColor indexed="64"/>
      </patternFill>
    </fill>
    <fill>
      <patternFill patternType="solid">
        <fgColor theme="9" tint="0.39997558519241921"/>
        <bgColor indexed="64"/>
      </patternFill>
    </fill>
    <fill>
      <patternFill patternType="solid">
        <fgColor rgb="FF00B0F0"/>
        <bgColor indexed="64"/>
      </patternFill>
    </fill>
    <fill>
      <patternFill patternType="solid">
        <fgColor rgb="FFFF99FF"/>
        <bgColor indexed="64"/>
      </patternFill>
    </fill>
    <fill>
      <patternFill patternType="solid">
        <fgColor rgb="FFFFC000"/>
        <bgColor indexed="64"/>
      </patternFill>
    </fill>
    <fill>
      <patternFill patternType="solid">
        <fgColor rgb="FFCC00CC"/>
        <bgColor indexed="64"/>
      </patternFill>
    </fill>
    <fill>
      <patternFill patternType="solid">
        <fgColor theme="4" tint="-0.249977111117893"/>
        <bgColor indexed="64"/>
      </patternFill>
    </fill>
  </fills>
  <borders count="4">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diagonal/>
    </border>
  </borders>
  <cellStyleXfs count="5">
    <xf numFmtId="0" fontId="0" fillId="0" borderId="0"/>
    <xf numFmtId="9" fontId="1" fillId="0" borderId="0" applyFont="0" applyFill="0" applyBorder="0" applyAlignment="0" applyProtection="0"/>
    <xf numFmtId="0" fontId="1" fillId="0" borderId="0"/>
    <xf numFmtId="0" fontId="11" fillId="0" borderId="0" applyNumberFormat="0" applyFill="0" applyBorder="0" applyAlignment="0" applyProtection="0"/>
    <xf numFmtId="9" fontId="24" fillId="0" borderId="0" applyFont="0" applyFill="0" applyBorder="0" applyAlignment="0" applyProtection="0"/>
  </cellStyleXfs>
  <cellXfs count="72">
    <xf numFmtId="0" fontId="0" fillId="0" borderId="0" xfId="0"/>
    <xf numFmtId="0" fontId="1" fillId="2" borderId="1" xfId="0" applyFont="1" applyFill="1" applyBorder="1" applyAlignment="1">
      <alignment horizontal="center" vertical="center" wrapText="1" shrinkToFit="1"/>
    </xf>
    <xf numFmtId="0" fontId="4" fillId="2" borderId="1" xfId="2" applyFont="1" applyFill="1" applyBorder="1" applyAlignment="1">
      <alignment horizontal="center" vertical="center" wrapText="1" shrinkToFit="1"/>
    </xf>
    <xf numFmtId="1" fontId="4" fillId="2" borderId="1" xfId="2" applyNumberFormat="1" applyFont="1" applyFill="1" applyBorder="1" applyAlignment="1">
      <alignment horizontal="center" vertical="center" wrapText="1" shrinkToFit="1"/>
    </xf>
    <xf numFmtId="0" fontId="6" fillId="2" borderId="1" xfId="2" applyFont="1" applyFill="1" applyBorder="1" applyAlignment="1">
      <alignment horizontal="center" vertical="center" wrapText="1" shrinkToFit="1"/>
    </xf>
    <xf numFmtId="165" fontId="4" fillId="2" borderId="1" xfId="2" applyNumberFormat="1" applyFont="1" applyFill="1" applyBorder="1" applyAlignment="1">
      <alignment horizontal="center" vertical="center" wrapText="1" shrinkToFit="1"/>
    </xf>
    <xf numFmtId="166" fontId="6" fillId="2" borderId="1" xfId="2" applyNumberFormat="1" applyFont="1" applyFill="1" applyBorder="1" applyAlignment="1">
      <alignment horizontal="center" vertical="center" wrapText="1" shrinkToFit="1"/>
    </xf>
    <xf numFmtId="0" fontId="7"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9" fillId="2" borderId="1" xfId="2" applyFont="1" applyFill="1" applyBorder="1" applyAlignment="1">
      <alignment horizontal="center" vertical="center" wrapText="1" shrinkToFit="1"/>
    </xf>
    <xf numFmtId="0" fontId="0" fillId="2" borderId="1" xfId="0" applyFill="1" applyBorder="1" applyAlignment="1">
      <alignment horizontal="center" vertical="center" wrapText="1" shrinkToFit="1"/>
    </xf>
    <xf numFmtId="0" fontId="0" fillId="0" borderId="1" xfId="0" applyBorder="1" applyAlignment="1">
      <alignment wrapText="1" shrinkToFit="1"/>
    </xf>
    <xf numFmtId="0" fontId="10" fillId="3" borderId="1" xfId="0" applyFont="1" applyFill="1" applyBorder="1" applyAlignment="1">
      <alignment horizontal="center" vertical="center" wrapText="1"/>
    </xf>
    <xf numFmtId="0" fontId="0" fillId="2" borderId="1" xfId="0" applyFill="1" applyBorder="1" applyAlignment="1">
      <alignment horizontal="center" vertical="center"/>
    </xf>
    <xf numFmtId="0" fontId="1" fillId="4" borderId="1" xfId="0" applyFont="1" applyFill="1" applyBorder="1" applyAlignment="1">
      <alignment horizontal="center" vertical="center" wrapText="1"/>
    </xf>
    <xf numFmtId="0" fontId="9" fillId="5" borderId="1" xfId="2" applyFont="1" applyFill="1" applyBorder="1" applyAlignment="1">
      <alignment horizontal="center" vertical="center" wrapText="1" shrinkToFit="1"/>
    </xf>
    <xf numFmtId="0" fontId="12" fillId="2" borderId="1" xfId="0" applyFont="1" applyFill="1" applyBorder="1" applyAlignment="1">
      <alignment horizontal="center" vertical="center" wrapText="1"/>
    </xf>
    <xf numFmtId="0" fontId="0" fillId="5" borderId="1" xfId="0" applyFill="1" applyBorder="1" applyAlignment="1">
      <alignment horizontal="center" vertical="center" wrapText="1"/>
    </xf>
    <xf numFmtId="0" fontId="0" fillId="6" borderId="1" xfId="0" applyFill="1" applyBorder="1" applyAlignment="1">
      <alignment horizontal="center" vertical="center" wrapText="1"/>
    </xf>
    <xf numFmtId="0" fontId="2" fillId="7" borderId="1" xfId="0" applyFont="1" applyFill="1" applyBorder="1" applyAlignment="1">
      <alignment horizontal="center" vertical="center" wrapText="1"/>
    </xf>
    <xf numFmtId="0" fontId="10" fillId="8"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13" fillId="0" borderId="1" xfId="0" applyFont="1" applyBorder="1" applyAlignment="1">
      <alignment wrapText="1" shrinkToFit="1"/>
    </xf>
    <xf numFmtId="0" fontId="14" fillId="0" borderId="1" xfId="0" applyFont="1" applyBorder="1" applyAlignment="1">
      <alignment wrapText="1" shrinkToFit="1"/>
    </xf>
    <xf numFmtId="0" fontId="3" fillId="2" borderId="1" xfId="0" applyFont="1" applyFill="1" applyBorder="1" applyAlignment="1">
      <alignment horizontal="center" vertical="center" wrapText="1" shrinkToFit="1"/>
    </xf>
    <xf numFmtId="0" fontId="15" fillId="0" borderId="2" xfId="2" applyFont="1" applyBorder="1" applyAlignment="1">
      <alignment horizontal="center" vertical="center" wrapText="1"/>
    </xf>
    <xf numFmtId="0" fontId="15" fillId="2" borderId="1" xfId="2" applyFont="1" applyFill="1" applyBorder="1" applyAlignment="1">
      <alignment horizontal="center" vertical="center" wrapText="1"/>
    </xf>
    <xf numFmtId="0" fontId="15" fillId="0" borderId="1" xfId="2" applyFont="1" applyBorder="1" applyAlignment="1">
      <alignment horizontal="center" vertical="center" wrapText="1"/>
    </xf>
    <xf numFmtId="0" fontId="13" fillId="0" borderId="0" xfId="0" applyFont="1" applyAlignment="1">
      <alignment horizontal="center" vertical="center" wrapText="1"/>
    </xf>
    <xf numFmtId="0" fontId="16" fillId="0" borderId="0" xfId="2" applyFont="1" applyAlignment="1">
      <alignment horizontal="center" vertical="center" wrapText="1"/>
    </xf>
    <xf numFmtId="0" fontId="17" fillId="0" borderId="2" xfId="2" applyFont="1" applyBorder="1" applyAlignment="1">
      <alignment horizontal="center" vertical="center" wrapText="1"/>
    </xf>
    <xf numFmtId="0" fontId="17" fillId="0" borderId="1" xfId="2" applyFont="1" applyBorder="1" applyAlignment="1">
      <alignment horizontal="center" vertical="center" wrapText="1"/>
    </xf>
    <xf numFmtId="1" fontId="13" fillId="0" borderId="0" xfId="0" applyNumberFormat="1" applyFont="1" applyAlignment="1">
      <alignment horizontal="center" vertical="center" wrapText="1"/>
    </xf>
    <xf numFmtId="0" fontId="18" fillId="0" borderId="1" xfId="2" applyFont="1" applyBorder="1" applyAlignment="1">
      <alignment horizontal="center" vertical="center" wrapText="1"/>
    </xf>
    <xf numFmtId="0" fontId="13" fillId="0" borderId="1" xfId="0" applyFont="1" applyBorder="1" applyAlignment="1">
      <alignment horizontal="center" vertical="center" wrapText="1"/>
    </xf>
    <xf numFmtId="2" fontId="17" fillId="0" borderId="1" xfId="2" applyNumberFormat="1" applyFont="1" applyBorder="1" applyAlignment="1">
      <alignment horizontal="center" vertical="center" wrapText="1"/>
    </xf>
    <xf numFmtId="1" fontId="17" fillId="0" borderId="0" xfId="2" applyNumberFormat="1" applyFont="1" applyAlignment="1">
      <alignment horizontal="center" vertical="center" wrapText="1"/>
    </xf>
    <xf numFmtId="1" fontId="18" fillId="0" borderId="1" xfId="2" applyNumberFormat="1" applyFont="1" applyBorder="1" applyAlignment="1">
      <alignment horizontal="center" vertical="center" wrapText="1"/>
    </xf>
    <xf numFmtId="0" fontId="17" fillId="5" borderId="2" xfId="2" applyFont="1" applyFill="1" applyBorder="1" applyAlignment="1">
      <alignment horizontal="center" vertical="center" wrapText="1"/>
    </xf>
    <xf numFmtId="0" fontId="17" fillId="9" borderId="1" xfId="2" applyFont="1" applyFill="1" applyBorder="1" applyAlignment="1">
      <alignment horizontal="center" vertical="center" wrapText="1"/>
    </xf>
    <xf numFmtId="0" fontId="15" fillId="9" borderId="2" xfId="2" applyFont="1" applyFill="1" applyBorder="1" applyAlignment="1">
      <alignment horizontal="center" vertical="center" wrapText="1"/>
    </xf>
    <xf numFmtId="0" fontId="19" fillId="5" borderId="2" xfId="2" applyFont="1" applyFill="1" applyBorder="1" applyAlignment="1">
      <alignment horizontal="center" vertical="center" wrapText="1"/>
    </xf>
    <xf numFmtId="0" fontId="17" fillId="10" borderId="1" xfId="2" applyFont="1" applyFill="1" applyBorder="1" applyAlignment="1">
      <alignment horizontal="center" vertical="center" wrapText="1"/>
    </xf>
    <xf numFmtId="1" fontId="13" fillId="0" borderId="0" xfId="1" applyNumberFormat="1" applyFont="1" applyAlignment="1">
      <alignment horizontal="center" vertical="center" wrapText="1"/>
    </xf>
    <xf numFmtId="0" fontId="19" fillId="2" borderId="2" xfId="2" applyFont="1" applyFill="1" applyBorder="1" applyAlignment="1">
      <alignment horizontal="center" vertical="center" wrapText="1"/>
    </xf>
    <xf numFmtId="0" fontId="15" fillId="6" borderId="2" xfId="2" applyFont="1" applyFill="1" applyBorder="1" applyAlignment="1">
      <alignment horizontal="center" vertical="center" wrapText="1"/>
    </xf>
    <xf numFmtId="0" fontId="15" fillId="6" borderId="1" xfId="2" applyFont="1" applyFill="1" applyBorder="1" applyAlignment="1">
      <alignment horizontal="center" vertical="center" wrapText="1"/>
    </xf>
    <xf numFmtId="0" fontId="15" fillId="5" borderId="2" xfId="2" applyFont="1" applyFill="1" applyBorder="1" applyAlignment="1">
      <alignment horizontal="center" vertical="center" wrapText="1"/>
    </xf>
    <xf numFmtId="1" fontId="15" fillId="0" borderId="1" xfId="2" applyNumberFormat="1" applyFont="1" applyBorder="1" applyAlignment="1">
      <alignment horizontal="center" vertical="center" wrapText="1"/>
    </xf>
    <xf numFmtId="9" fontId="17" fillId="0" borderId="1" xfId="2" applyNumberFormat="1" applyFont="1" applyBorder="1" applyAlignment="1">
      <alignment horizontal="center" vertical="center" wrapText="1"/>
    </xf>
    <xf numFmtId="1" fontId="17" fillId="0" borderId="1" xfId="2" applyNumberFormat="1" applyFont="1" applyBorder="1" applyAlignment="1">
      <alignment horizontal="center" vertical="center" wrapText="1"/>
    </xf>
    <xf numFmtId="167" fontId="17" fillId="0" borderId="1" xfId="2" applyNumberFormat="1" applyFont="1" applyBorder="1" applyAlignment="1">
      <alignment horizontal="center" vertical="center" wrapText="1"/>
    </xf>
    <xf numFmtId="0" fontId="15" fillId="8" borderId="2" xfId="2" applyFont="1" applyFill="1" applyBorder="1" applyAlignment="1">
      <alignment horizontal="center" vertical="center" wrapText="1"/>
    </xf>
    <xf numFmtId="0" fontId="17" fillId="8" borderId="1" xfId="2" applyFont="1" applyFill="1" applyBorder="1" applyAlignment="1">
      <alignment horizontal="center" vertical="center" wrapText="1"/>
    </xf>
    <xf numFmtId="0" fontId="5" fillId="11" borderId="2" xfId="2" applyFont="1" applyFill="1" applyBorder="1" applyAlignment="1">
      <alignment horizontal="center" vertical="center" wrapText="1"/>
    </xf>
    <xf numFmtId="0" fontId="18" fillId="11" borderId="1" xfId="2" applyFont="1" applyFill="1" applyBorder="1" applyAlignment="1">
      <alignment horizontal="center" vertical="center" wrapText="1"/>
    </xf>
    <xf numFmtId="0" fontId="0" fillId="0" borderId="0" xfId="0" applyAlignment="1">
      <alignment horizontal="center"/>
    </xf>
    <xf numFmtId="0" fontId="17" fillId="5" borderId="1" xfId="2" applyFont="1" applyFill="1" applyBorder="1" applyAlignment="1">
      <alignment horizontal="center" vertical="center" wrapText="1"/>
    </xf>
    <xf numFmtId="0" fontId="15" fillId="12" borderId="2" xfId="2" applyFont="1" applyFill="1" applyBorder="1" applyAlignment="1">
      <alignment horizontal="center" vertical="center" wrapText="1"/>
    </xf>
    <xf numFmtId="0" fontId="17" fillId="12" borderId="1" xfId="2" applyFont="1" applyFill="1" applyBorder="1" applyAlignment="1">
      <alignment horizontal="center" vertical="center" wrapText="1"/>
    </xf>
    <xf numFmtId="0" fontId="20" fillId="13" borderId="2" xfId="2" applyFont="1" applyFill="1" applyBorder="1" applyAlignment="1">
      <alignment horizontal="center" vertical="center" wrapText="1"/>
    </xf>
    <xf numFmtId="0" fontId="21" fillId="13" borderId="1" xfId="2" applyFont="1" applyFill="1" applyBorder="1" applyAlignment="1">
      <alignment horizontal="center" vertical="center" wrapText="1"/>
    </xf>
    <xf numFmtId="0" fontId="15" fillId="14" borderId="2" xfId="2" applyFont="1" applyFill="1" applyBorder="1" applyAlignment="1">
      <alignment horizontal="center" vertical="center" wrapText="1"/>
    </xf>
    <xf numFmtId="0" fontId="22" fillId="14" borderId="1" xfId="2" applyFont="1" applyFill="1" applyBorder="1" applyAlignment="1">
      <alignment horizontal="center" vertical="center" wrapText="1"/>
    </xf>
    <xf numFmtId="0" fontId="23" fillId="0" borderId="3" xfId="0" applyFont="1" applyBorder="1" applyAlignment="1">
      <alignment horizontal="center" vertical="center" wrapText="1"/>
    </xf>
    <xf numFmtId="0" fontId="23" fillId="0" borderId="1" xfId="0" applyFont="1" applyBorder="1" applyAlignment="1">
      <alignment horizontal="center" vertical="center" wrapText="1"/>
    </xf>
    <xf numFmtId="9" fontId="13" fillId="0" borderId="0" xfId="4" applyFont="1" applyAlignment="1">
      <alignment horizontal="center" vertical="center" wrapText="1"/>
    </xf>
    <xf numFmtId="0" fontId="14" fillId="0" borderId="0" xfId="0" applyFont="1" applyAlignment="1">
      <alignment horizontal="center" vertical="center" wrapText="1"/>
    </xf>
    <xf numFmtId="0" fontId="25" fillId="0" borderId="0" xfId="0" applyFont="1" applyAlignment="1">
      <alignment horizontal="center" vertical="center" wrapText="1"/>
    </xf>
    <xf numFmtId="0" fontId="13" fillId="0" borderId="0" xfId="0" quotePrefix="1" applyFont="1" applyAlignment="1">
      <alignment horizontal="center" vertical="center" wrapText="1"/>
    </xf>
  </cellXfs>
  <cellStyles count="5">
    <cellStyle name="Hyperlink 2" xfId="3" xr:uid="{8AFAE7C7-F55F-4E04-99C2-DEBE26A82C1A}"/>
    <cellStyle name="Normal" xfId="0" builtinId="0"/>
    <cellStyle name="Normal 2" xfId="2" xr:uid="{AE5F26AF-92C9-4CE7-AACD-45F9A5BDE965}"/>
    <cellStyle name="Percent" xfId="1" builtinId="5"/>
    <cellStyle name="Percent 2" xfId="4" xr:uid="{0D67B834-9D38-4FA3-8E69-F1C043666E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f90bce48fe946bb5/Desktop/Final%20Feedback%20June%202026%20(31).xlsx" TargetMode="External"/><Relationship Id="rId1" Type="http://schemas.openxmlformats.org/officeDocument/2006/relationships/externalLinkPath" Target="Final%20Feedback%20June%202026%20(3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Amit%20Tripathi\Downloads\Feedback%20July%2026%20(15).xlsx" TargetMode="External"/><Relationship Id="rId1" Type="http://schemas.openxmlformats.org/officeDocument/2006/relationships/externalLinkPath" Target="file:///C:\Users\Amit%20Tripathi\Downloads\Feedback%20July%2026%20(1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1-06-26"/>
      <sheetName val="02-06-26"/>
      <sheetName val="03-06-26"/>
      <sheetName val="04-06-26"/>
      <sheetName val="05-06-26"/>
      <sheetName val="06-6-26"/>
      <sheetName val=" 07-06-26"/>
      <sheetName val="08-06-26"/>
      <sheetName val="09-06-26"/>
      <sheetName val="10-06-26"/>
      <sheetName val="11-06-26"/>
      <sheetName val="12-06-26"/>
      <sheetName val="13-06-26"/>
      <sheetName val="14-06-26"/>
      <sheetName val="15-06-26"/>
      <sheetName val="16-06-26"/>
      <sheetName val="17-06-26"/>
      <sheetName val="18-06-26"/>
      <sheetName val="19-06-26"/>
      <sheetName val="20-06-26"/>
      <sheetName val="21-06-26"/>
      <sheetName val="22-06-26"/>
      <sheetName val="23-06-26"/>
      <sheetName val="24-06-26"/>
      <sheetName val="25-06-26"/>
      <sheetName val="26-06-26"/>
      <sheetName val="27-06-26"/>
      <sheetName val="28-06-26"/>
      <sheetName val="29-06-26"/>
      <sheetName val="30-06-26"/>
      <sheetName val="Sheet2"/>
    </sheetNames>
    <sheetDataSet>
      <sheetData sheetId="0"/>
      <sheetData sheetId="1"/>
      <sheetData sheetId="2"/>
      <sheetData sheetId="3"/>
      <sheetData sheetId="4"/>
      <sheetData sheetId="5"/>
      <sheetData sheetId="6"/>
      <sheetData sheetId="7"/>
      <sheetData sheetId="8">
        <row r="2">
          <cell r="A2">
            <v>2183</v>
          </cell>
          <cell r="B2" t="str">
            <v>Kalpana</v>
          </cell>
          <cell r="C2">
            <v>9910681399</v>
          </cell>
          <cell r="D2" t="str">
            <v>Flat No. 60, HEWO Appartments, Sec 31</v>
          </cell>
          <cell r="E2" t="str">
            <v>South City 1</v>
          </cell>
          <cell r="F2" t="str">
            <v>Tuesday</v>
          </cell>
          <cell r="G2" t="str">
            <v>4 Pm to 7 PM</v>
          </cell>
          <cell r="H2">
            <v>999</v>
          </cell>
          <cell r="I2">
            <v>249.75</v>
          </cell>
          <cell r="J2" t="str">
            <v>Delight</v>
          </cell>
          <cell r="K2" t="str">
            <v>Skip 2 weeks (25/12) // Hold n start from Mar (01/02) Skip 1 week (14/04) Today Returned (30/04) Hold till 5th June (18/05) No Yello Color (11/02) 18th Del returned (20/03) Hold n start after 15th June(14/05) Skip 1 week (17/12) Skip 1 week 922/01) Skip 1 week (14/02) Hold after current cycle and then start from June (25/03)</v>
          </cell>
          <cell r="M2" t="str">
            <v>Yellow Color</v>
          </cell>
          <cell r="N2" t="str">
            <v>2  del of this cycle   -  0-cycles pmnt   Completed - Collect 0</v>
          </cell>
          <cell r="O2" t="e">
            <v>#N/A</v>
          </cell>
          <cell r="P2" t="e">
            <v>#N/A</v>
          </cell>
          <cell r="Q2" t="e">
            <v>#N/A</v>
          </cell>
          <cell r="R2" t="e">
            <v>#N/A</v>
          </cell>
          <cell r="S2" t="str">
            <v>P n W Car ( 14 Inch ) 9     FF sachet + Grass</v>
          </cell>
          <cell r="T2" t="str">
            <v>P Asiatic ( 14 Inch ) 2 No Yellow Color    Grass</v>
          </cell>
        </row>
        <row r="3">
          <cell r="A3">
            <v>3333</v>
          </cell>
          <cell r="B3" t="str">
            <v>Urshita Gupta</v>
          </cell>
          <cell r="C3">
            <v>9910738939</v>
          </cell>
          <cell r="D3" t="str">
            <v>D-202, Pilot Court, Essel Towers</v>
          </cell>
          <cell r="E3" t="str">
            <v>M G Road</v>
          </cell>
          <cell r="F3" t="str">
            <v>Tuesday</v>
          </cell>
          <cell r="G3" t="str">
            <v>10 AM to 2:30 PM</v>
          </cell>
          <cell r="H3">
            <v>1950</v>
          </cell>
          <cell r="I3">
            <v>487.5</v>
          </cell>
          <cell r="J3" t="str">
            <v>Joy</v>
          </cell>
          <cell r="K3" t="str">
            <v>Change day to Tuesday (29/04) Hold till1 st June (20/05) Paytm From Urshita Saini (05/06)</v>
          </cell>
          <cell r="N3" t="str">
            <v>2  del of this cycle   -  0-cycles pmnt   Completed - Collect 0</v>
          </cell>
          <cell r="O3" t="str">
            <v>P n Y Spray Daisy ( 16 Inch ) 7     FF Sachet + Grass</v>
          </cell>
          <cell r="P3" t="str">
            <v>P n W Glad ( 14 Inch) 22     Grass</v>
          </cell>
          <cell r="Q3" t="str">
            <v>P Asiatic ( 15 inch ) 4     Grass</v>
          </cell>
          <cell r="R3" t="e">
            <v>#N/A</v>
          </cell>
          <cell r="S3" t="str">
            <v>R n W Car ( 14 Inch ) 22     FF sachet + Grass</v>
          </cell>
          <cell r="T3" t="str">
            <v>Mix Alstroemeria ( 12 Inch ) 22     FF Sachet + Grass</v>
          </cell>
        </row>
        <row r="4">
          <cell r="A4">
            <v>2484</v>
          </cell>
          <cell r="B4" t="str">
            <v>Swati Sharad</v>
          </cell>
          <cell r="C4">
            <v>9871225514</v>
          </cell>
          <cell r="D4" t="str">
            <v>204-B, 2nd Floor, 4th Floor, Beverley Park-1</v>
          </cell>
          <cell r="E4" t="str">
            <v>M G Road</v>
          </cell>
          <cell r="F4" t="str">
            <v>Tuesday</v>
          </cell>
          <cell r="G4" t="str">
            <v>9 AM - 12 PM</v>
          </cell>
          <cell r="H4">
            <v>1450</v>
          </cell>
          <cell r="I4">
            <v>362.5</v>
          </cell>
          <cell r="J4" t="str">
            <v>Bliss</v>
          </cell>
          <cell r="K4" t="str">
            <v>No Glad (03/04) No areca palm (15/04) Today Hold (03/02) Paytm from meenakshi Sharad (10/03)</v>
          </cell>
          <cell r="L4" t="str">
            <v>Glad</v>
          </cell>
          <cell r="M4" t="str">
            <v>No areca Palm // Flower Food Next (19/05)</v>
          </cell>
          <cell r="N4" t="str">
            <v>2  del of this cycle   -  1-cycles pmnt   Pending - Collect 1450</v>
          </cell>
          <cell r="O4" t="str">
            <v>P Eustoma 2 P n W Gerbera ( 14 Inch) 7   FF Sachet + Grass</v>
          </cell>
          <cell r="P4" t="str">
            <v>O Asiatic ( 15 Inch )  2 P n W Glad ( 14 inch ) 7   Grass</v>
          </cell>
          <cell r="Q4" t="str">
            <v>Sunflower ( 14 inch ) 2 Mix Alstroemeria ( 14 Inch ) 7   Grass</v>
          </cell>
          <cell r="R4" t="str">
            <v>O Spray Daisy ( 15 Inch ) 3 P n W Car ( 14 Inch ) 7  Ensure Payment Collection and Call if Not paid FF Sachet + Grass</v>
          </cell>
          <cell r="S4" t="str">
            <v>Y Asiatic ( 14 Inch ) 2 P n W Glad ( 14 Inch ) 7   Grass</v>
          </cell>
          <cell r="T4" t="str">
            <v>Pur Eustoma ( 12 Inch ) 2 Mix Alstroemeria ( 12 Inch ) 7   FF Sachet + Grass</v>
          </cell>
        </row>
        <row r="5">
          <cell r="A5">
            <v>2933</v>
          </cell>
          <cell r="B5" t="str">
            <v>Yukti Batra</v>
          </cell>
          <cell r="C5">
            <v>9953740608</v>
          </cell>
          <cell r="D5" t="str">
            <v>H. No. 2015, 2nd Floor, Madalsa Hospital, Sec 46</v>
          </cell>
          <cell r="E5" t="str">
            <v>Huda</v>
          </cell>
          <cell r="F5" t="str">
            <v>Tuesday</v>
          </cell>
          <cell r="G5" t="str">
            <v>9 AM to 2 PM</v>
          </cell>
          <cell r="H5">
            <v>1450</v>
          </cell>
          <cell r="I5">
            <v>362.5</v>
          </cell>
          <cell r="J5" t="str">
            <v>Bliss</v>
          </cell>
          <cell r="K5" t="str">
            <v>Returned today (30/08) Change day to Tuesday (05/09) Skip 1 week (20/10) Skip 2 week (05/04) R n W Car tom (08/05) Hold today (26/05) Skip 1 week (02/06)</v>
          </cell>
          <cell r="N5" t="str">
            <v>4  del of this cycle   -  0-cycles pmnt   Completed - Collect 0</v>
          </cell>
          <cell r="O5" t="str">
            <v>P Asiatic ( 15 Inch) 3     Grass</v>
          </cell>
          <cell r="P5" t="e">
            <v>#N/A</v>
          </cell>
          <cell r="Q5" t="str">
            <v>Mix Spray Daisy 5     Grass</v>
          </cell>
          <cell r="R5" t="str">
            <v>P n W Glad ( 14 Inch ) 16     Grass</v>
          </cell>
          <cell r="S5" t="str">
            <v>R n W Car ( 14 Inch ) 16     FF sachet + Grass</v>
          </cell>
          <cell r="T5" t="str">
            <v>Y Asiatic ( 14 Inch ) 3     Grass</v>
          </cell>
        </row>
        <row r="6">
          <cell r="A6">
            <v>3365</v>
          </cell>
          <cell r="B6" t="str">
            <v>Pallavi Bannerji</v>
          </cell>
          <cell r="C6">
            <v>9810347724</v>
          </cell>
          <cell r="D6" t="str">
            <v>T-3/1403, The Palms South City 1</v>
          </cell>
          <cell r="E6" t="str">
            <v>South City 1</v>
          </cell>
          <cell r="F6" t="str">
            <v>Tuesday</v>
          </cell>
          <cell r="G6" t="str">
            <v>After 5 PM</v>
          </cell>
          <cell r="H6">
            <v>1450</v>
          </cell>
          <cell r="I6">
            <v>362.5</v>
          </cell>
          <cell r="J6" t="str">
            <v>Bliss</v>
          </cell>
          <cell r="N6" t="str">
            <v>4  del of this cycle   -  0-cycles pmnt   Completed - Collect 0</v>
          </cell>
          <cell r="O6" t="e">
            <v>#N/A</v>
          </cell>
          <cell r="P6" t="e">
            <v>#N/A</v>
          </cell>
          <cell r="Q6" t="str">
            <v>P n W Car ( 14 inch ) 16     FF Sachet + Grass</v>
          </cell>
          <cell r="R6" t="str">
            <v>O Asiatic ( 15 Inch ) 3     Grass</v>
          </cell>
          <cell r="S6" t="str">
            <v>P n W Glad ( 14 Inch ) 16     Grass</v>
          </cell>
          <cell r="T6" t="str">
            <v>P n Y Spray Daisy ( 14 Inch ) 5     FF Sachet + Grass</v>
          </cell>
        </row>
        <row r="7">
          <cell r="A7">
            <v>2235</v>
          </cell>
          <cell r="B7" t="str">
            <v>Neha Khetan</v>
          </cell>
          <cell r="C7">
            <v>9650090724</v>
          </cell>
          <cell r="D7" t="str">
            <v>F3, D E F Block, Greenwood City, Sec 46</v>
          </cell>
          <cell r="E7" t="str">
            <v>Cyber World</v>
          </cell>
          <cell r="F7" t="str">
            <v>Tuesday</v>
          </cell>
          <cell r="G7" t="str">
            <v>9 AM to 2 PM</v>
          </cell>
          <cell r="H7">
            <v>1450</v>
          </cell>
          <cell r="I7">
            <v>362.5</v>
          </cell>
          <cell r="J7" t="str">
            <v>Bliss</v>
          </cell>
          <cell r="K7" t="str">
            <v>Skip 1 week (20/03) Flower Food Next (21/04). 500 received today- 250 adjusted in flower food, 250 extra. // 400 cash collected today (07/01) Paytm From Anupam Khetan (29/07) Hold due to non payment (07/10) Send tom (07/10)</v>
          </cell>
          <cell r="M7" t="str">
            <v>Single Kind</v>
          </cell>
          <cell r="N7" t="str">
            <v>2  del of this cycle   -  1-cycles pmnt   Pending - Collect 1450</v>
          </cell>
          <cell r="O7" t="str">
            <v>P n Y Spray Daisy ( 16 Inch ) 5     FF Sachet + Grass</v>
          </cell>
          <cell r="P7" t="str">
            <v>W Eustoma ( 14 Inch )  3     FF Sachet + Grass</v>
          </cell>
          <cell r="Q7" t="str">
            <v>Sunflower ( 14 inch ) 4     Grass</v>
          </cell>
          <cell r="R7" t="str">
            <v>P n W Glad ( 14 Inch ) 16     Grass</v>
          </cell>
          <cell r="S7" t="str">
            <v>P Asiatic ( 14 Inch ) 3     Grass</v>
          </cell>
          <cell r="T7" t="str">
            <v>R n P Car ( 14 Inch ) 16     FF Sachet + Grass</v>
          </cell>
        </row>
        <row r="8">
          <cell r="A8">
            <v>3259</v>
          </cell>
          <cell r="B8" t="str">
            <v>Ujjwal Wadhwa</v>
          </cell>
          <cell r="C8">
            <v>8920397279</v>
          </cell>
          <cell r="D8" t="str">
            <v>102, Sky Colving, 1295, Huda Colony, Sec 46</v>
          </cell>
          <cell r="E8" t="str">
            <v>Sector 46</v>
          </cell>
          <cell r="F8" t="str">
            <v>Tuesday</v>
          </cell>
          <cell r="G8" t="str">
            <v>9 AM - 12 PM</v>
          </cell>
          <cell r="H8">
            <v>999</v>
          </cell>
          <cell r="I8">
            <v>249.75</v>
          </cell>
          <cell r="J8" t="str">
            <v>Delight</v>
          </cell>
          <cell r="K8" t="str">
            <v>Skip tom (16/03) HDTNP (26/05)</v>
          </cell>
          <cell r="N8" t="str">
            <v>4  del of this cycle   -  0-cycles pmnt   Completed - Collect 0</v>
          </cell>
          <cell r="O8" t="str">
            <v>R n W Car 9     FF Sachet + Grass</v>
          </cell>
          <cell r="P8" t="str">
            <v>Sunflower ( 15 inch) 2     Grass</v>
          </cell>
          <cell r="Q8" t="str">
            <v>Mix Alstroemeria ( 14 inch ) 9     Grass</v>
          </cell>
          <cell r="R8" t="e">
            <v>#N/A</v>
          </cell>
          <cell r="S8" t="str">
            <v>P Asiatic ( 14 Inch ) 2     Grass</v>
          </cell>
          <cell r="T8" t="str">
            <v>P n W Glad ( 14 Inch ) 9     Grass</v>
          </cell>
        </row>
        <row r="9">
          <cell r="A9">
            <v>2593</v>
          </cell>
          <cell r="B9" t="str">
            <v>Devesh Srivastava</v>
          </cell>
          <cell r="C9">
            <v>7400118910</v>
          </cell>
          <cell r="D9" t="str">
            <v xml:space="preserve">T-7/1003&lt; The Palms
</v>
          </cell>
          <cell r="E9" t="str">
            <v>South City 1</v>
          </cell>
          <cell r="F9" t="str">
            <v>Tuesday</v>
          </cell>
          <cell r="G9" t="str">
            <v>9 AM to 2 PM</v>
          </cell>
          <cell r="H9">
            <v>1450</v>
          </cell>
          <cell r="I9">
            <v>362.5</v>
          </cell>
          <cell r="J9" t="str">
            <v>Bliss</v>
          </cell>
          <cell r="K9" t="str">
            <v>Saturday n Tuesday//One Del today and then every satrday 920/04) Sent one Del Today (09/05)</v>
          </cell>
          <cell r="N9" t="str">
            <v>2  del of this cycle   -  0-cycles pmnt   Completed - Collect 0</v>
          </cell>
          <cell r="O9" t="e">
            <v>#N/A</v>
          </cell>
          <cell r="P9" t="e">
            <v>#N/A</v>
          </cell>
          <cell r="Q9" t="e">
            <v>#N/A</v>
          </cell>
          <cell r="R9" t="str">
            <v>R n W Car ( 14 Inch ) 16     FF Sachet + Grass</v>
          </cell>
          <cell r="S9" t="str">
            <v xml:space="preserve"> Asiatic lily      Grass</v>
          </cell>
          <cell r="T9" t="str">
            <v>W Asiatic ( 14 Inch ) 3     Grass</v>
          </cell>
        </row>
        <row r="10">
          <cell r="A10">
            <v>2706</v>
          </cell>
          <cell r="B10" t="str">
            <v>Monika Arora</v>
          </cell>
          <cell r="C10">
            <v>9990121666</v>
          </cell>
          <cell r="D10" t="str">
            <v>Tostem Studio, Plot No. 564, Basement, Sec 39, Near Bakhtawar Chwok</v>
          </cell>
          <cell r="E10" t="str">
            <v>Medanta</v>
          </cell>
          <cell r="F10" t="str">
            <v>Saturday</v>
          </cell>
          <cell r="G10" t="str">
            <v>9 AM - 12 PM</v>
          </cell>
          <cell r="H10">
            <v>1600</v>
          </cell>
          <cell r="I10">
            <v>200</v>
          </cell>
          <cell r="J10" t="str">
            <v>Bloom</v>
          </cell>
          <cell r="K10" t="str">
            <v>Ref From Anupma Rastogi // Today Returned (09/08) Hold today (16/08) Today office was closed (21/10)</v>
          </cell>
          <cell r="N10" t="str">
            <v>2  del of this cycle   -  0-cycles pmnt   Completed - Collect 0</v>
          </cell>
          <cell r="O10" t="e">
            <v>#N/A</v>
          </cell>
          <cell r="P10" t="str">
            <v>Sunflower ( 15 inch) 2     FF Sachet + Grass</v>
          </cell>
          <cell r="Q10" t="str">
            <v>Mix Alstroemeria ( 14 inch ) 7     Grass</v>
          </cell>
          <cell r="R10" t="str">
            <v>P n W Glad ( 14 Inch ) 7     Grass</v>
          </cell>
          <cell r="S10" t="str">
            <v>Sunflowers ( 14 Inch ) 2     FF sachet + Grass</v>
          </cell>
          <cell r="T10" t="str">
            <v>Mix Alstroemeria ( 12 Inch ) 7     FF Sachet + Grass</v>
          </cell>
        </row>
        <row r="11">
          <cell r="A11">
            <v>3014</v>
          </cell>
          <cell r="B11" t="str">
            <v>Monika Arora</v>
          </cell>
          <cell r="C11">
            <v>9990121666</v>
          </cell>
          <cell r="D11" t="str">
            <v>Tostem Studio, Plot No. 564, Basement, Sec 39, Near Bakhtawar Chwok</v>
          </cell>
          <cell r="E11" t="str">
            <v>Medanta</v>
          </cell>
          <cell r="F11" t="str">
            <v>Saturday</v>
          </cell>
          <cell r="G11" t="str">
            <v>9 AM - 12 PM</v>
          </cell>
          <cell r="H11">
            <v>1600</v>
          </cell>
          <cell r="I11">
            <v>200</v>
          </cell>
          <cell r="J11" t="str">
            <v>Bloom</v>
          </cell>
          <cell r="K11" t="str">
            <v>Change in Address (31/12)</v>
          </cell>
          <cell r="N11" t="str">
            <v>2  del of this cycle   -  0-cycles pmnt   Completed - Collect 0</v>
          </cell>
          <cell r="O11" t="str">
            <v>P n W Glad ( 15 Inch )  7     Grass</v>
          </cell>
          <cell r="P11" t="str">
            <v>R n W Car ( 14 Inch ) 7     FF Sachet + Grass</v>
          </cell>
          <cell r="Q11" t="str">
            <v>B Daisy ( 12 Inch ) 7     FF Sachet + Grass</v>
          </cell>
          <cell r="R11" t="str">
            <v>O Spray Daisy ( 15 Inch ) 3     FF Sachet + Grass</v>
          </cell>
          <cell r="S11" t="str">
            <v>P n W Glad ( 14 Inch ) 7     Grass</v>
          </cell>
          <cell r="T11" t="str">
            <v>P n W Glad ( 14 Inch ) 7     Grass</v>
          </cell>
        </row>
        <row r="12">
          <cell r="A12">
            <v>2274</v>
          </cell>
          <cell r="B12" t="str">
            <v>Megha Saraogi</v>
          </cell>
          <cell r="C12">
            <v>8879492701</v>
          </cell>
          <cell r="D12" t="str">
            <v>A-161, 16th Floor, Raheja Atlantis</v>
          </cell>
          <cell r="E12" t="str">
            <v>South City 1</v>
          </cell>
          <cell r="F12" t="str">
            <v>Saturday</v>
          </cell>
          <cell r="G12" t="str">
            <v>10 AM to 2:30 PM</v>
          </cell>
          <cell r="H12">
            <v>2000</v>
          </cell>
          <cell r="I12">
            <v>500</v>
          </cell>
          <cell r="J12" t="str">
            <v>Customized</v>
          </cell>
          <cell r="K12" t="str">
            <v>NO Heliconia and Oriental// Cutomized Pack -- 9 Car/9 Glad/3 Asiatic/3 Spray Daisy/3 Orchid/ Only top 6 Fllwers // No Bop (30/11) No Glad (04/02) Hold tom (21/03) Rs. 100 refunded (14/04) Seasonal Only (26/06) 20 Flowers only (26/06) Hold and send on tuesday (16/08) Hold due to non payment (11/10) Rajni next (15/10) 17 Flowers every week (13/12) Today flowers returned (27/12) Skip tom and sned on tuesday (24/01) Hold due to non payment (31/01) Red Rose Next (19/02) Hold today (25/04) HDTNP (06/06)</v>
          </cell>
          <cell r="L12" t="str">
            <v>BOP n GLAD N NO GULDAWARI</v>
          </cell>
          <cell r="M12" t="str">
            <v>17 Flowers only/ Send if Payment Received (06/06)</v>
          </cell>
          <cell r="N12" t="str">
            <v>2  del of this cycle   -  1-cycles pmnt   Pending - Collect 2000</v>
          </cell>
          <cell r="O12" t="e">
            <v>#N/A</v>
          </cell>
          <cell r="P12" t="e">
            <v>#N/A</v>
          </cell>
          <cell r="Q12" t="e">
            <v>#N/A</v>
          </cell>
          <cell r="R12" t="e">
            <v>#N/A</v>
          </cell>
          <cell r="S12" t="e">
            <v>#N/A</v>
          </cell>
          <cell r="T12" t="str">
            <v>P n W Glad ( 14 Inch ) 17     Grass</v>
          </cell>
        </row>
        <row r="13">
          <cell r="A13" t="str">
            <v>B56112</v>
          </cell>
          <cell r="B13" t="str">
            <v>Devesh Srivastava</v>
          </cell>
          <cell r="C13">
            <v>7400118910</v>
          </cell>
          <cell r="D13" t="str">
            <v xml:space="preserve">T-7/1003&lt; The Palms
</v>
          </cell>
          <cell r="E13" t="str">
            <v>South City 1</v>
          </cell>
          <cell r="F13" t="str">
            <v>Tuesday</v>
          </cell>
          <cell r="G13" t="str">
            <v>9 AM to 2 PM</v>
          </cell>
          <cell r="H13">
            <v>800</v>
          </cell>
          <cell r="I13">
            <v>280</v>
          </cell>
          <cell r="J13" t="str">
            <v>Bouquet</v>
          </cell>
          <cell r="K13" t="str">
            <v>4 W Button Daisy + 6 W Car + 4 W Spray Daisy + 2 Gypsoa</v>
          </cell>
          <cell r="N13" t="str">
            <v>1  del of this cycle   -  1-cycles pmnt   Pending - Collect  800</v>
          </cell>
          <cell r="O13" t="e">
            <v>#N/A</v>
          </cell>
          <cell r="P13" t="e">
            <v>#N/A</v>
          </cell>
          <cell r="Q13" t="e">
            <v>#N/A</v>
          </cell>
          <cell r="R13" t="e">
            <v>#N/A</v>
          </cell>
          <cell r="S13" t="e">
            <v>#N/A</v>
          </cell>
          <cell r="T13" t="str">
            <v>W Car + W Spray Daisy + Gypsola  6 + 4 + 2     Areca Palm + Extra Grass</v>
          </cell>
        </row>
        <row r="14">
          <cell r="A14">
            <v>3132</v>
          </cell>
          <cell r="B14" t="str">
            <v>Ramesh Kapoor</v>
          </cell>
          <cell r="C14">
            <v>9717416100</v>
          </cell>
          <cell r="D14" t="str">
            <v>T-6/1404, The Palms, South City 1</v>
          </cell>
          <cell r="E14" t="str">
            <v>South City 1</v>
          </cell>
          <cell r="F14" t="str">
            <v>Tuesday</v>
          </cell>
          <cell r="G14" t="str">
            <v>9 AM - 12 PM</v>
          </cell>
          <cell r="H14">
            <v>999</v>
          </cell>
          <cell r="I14">
            <v>249.75</v>
          </cell>
          <cell r="J14" t="str">
            <v>Delight</v>
          </cell>
          <cell r="K14" t="str">
            <v>Paytm From Anuradha Kapoor - Anu Kapoor (04/11) Premium tom (13/11) Replacement tom (21/04)</v>
          </cell>
          <cell r="M14" t="str">
            <v>Premium Next (13/11)</v>
          </cell>
          <cell r="N14" t="str">
            <v>4  del of this cycle   -  0-cycles pmnt   Completed - Collect 0</v>
          </cell>
          <cell r="O14" t="str">
            <v>P n W Glad ( 15 Inch )  9     Grass</v>
          </cell>
          <cell r="P14" t="str">
            <v>P Spray Daisy ( 15 inch) 3     FF Sachet + Grass</v>
          </cell>
          <cell r="Q14" t="str">
            <v>Mix Alstroemeria ( 14 inch ) 9     Grass</v>
          </cell>
          <cell r="R14" t="str">
            <v>R n W Car ( 14 Inch ) 9     FF Sachet + Grass</v>
          </cell>
          <cell r="S14" t="str">
            <v>P Asiatic ( 14 Inch ) 2     Grass</v>
          </cell>
          <cell r="T14" t="str">
            <v>P n W Glad ( 14 Inch ) 9     Grass</v>
          </cell>
        </row>
        <row r="15">
          <cell r="A15">
            <v>2594</v>
          </cell>
          <cell r="B15" t="str">
            <v>Anamika Sirohi</v>
          </cell>
          <cell r="C15">
            <v>9971707368</v>
          </cell>
          <cell r="D15" t="str">
            <v>E-703M The Vikas, DLF Phase 2</v>
          </cell>
          <cell r="E15" t="str">
            <v>DLF Phase 2</v>
          </cell>
          <cell r="F15" t="str">
            <v>Tuesday</v>
          </cell>
          <cell r="G15" t="str">
            <v>9 AM to 2 PM</v>
          </cell>
          <cell r="H15">
            <v>999</v>
          </cell>
          <cell r="I15">
            <v>249.75</v>
          </cell>
          <cell r="J15" t="str">
            <v>Delight</v>
          </cell>
          <cell r="K15" t="str">
            <v>Preferred Flowers -- Rose/Rajni/Gerbera/Lilies/Glad/car // Today Hold (12/08) Skip 2 week (13/08) Paytm From sangram Singh (10/09)</v>
          </cell>
          <cell r="N15" t="str">
            <v>1  del of this cycle   -  0-cycles pmnt   CompletedNO COLLECTION-we have extra money - Collect -10</v>
          </cell>
          <cell r="O15" t="str">
            <v>R n W Car 9     FF Sachet + Grass</v>
          </cell>
          <cell r="P15" t="str">
            <v>Sunflower ( 15 inch) 2     Grass</v>
          </cell>
          <cell r="Q15" t="str">
            <v>P n W Glad ( 14 inch ) 9     Grass</v>
          </cell>
          <cell r="R15" t="str">
            <v>O Spray Daisy ( 15 Inch ) 3     FF Sachet + Grass</v>
          </cell>
          <cell r="S15" t="str">
            <v>P Asiatic ( 14 Inch ) 2     Grass</v>
          </cell>
          <cell r="T15" t="str">
            <v>R n P Car ( 14 Inch ) 9     FF Sachet + Grass</v>
          </cell>
        </row>
        <row r="16">
          <cell r="A16" t="str">
            <v>G-00057</v>
          </cell>
          <cell r="B16" t="str">
            <v>Kritika -- Belveder Tower</v>
          </cell>
          <cell r="C16">
            <v>9619981136</v>
          </cell>
          <cell r="D16" t="str">
            <v>B-83m Belvedere Tower</v>
          </cell>
          <cell r="E16" t="str">
            <v>DLF Phase 3</v>
          </cell>
          <cell r="F16" t="str">
            <v>Tuesday</v>
          </cell>
          <cell r="G16" t="str">
            <v>9 AM - 12 PM</v>
          </cell>
          <cell r="H16">
            <v>2300</v>
          </cell>
          <cell r="I16">
            <v>287.5</v>
          </cell>
          <cell r="J16" t="str">
            <v>Felicity</v>
          </cell>
          <cell r="K16" t="str">
            <v>From Shalini Tiwari</v>
          </cell>
          <cell r="N16" t="str">
            <v>7  del of this cycle   -  0-cycles pmnt   Completed - Collect 0</v>
          </cell>
          <cell r="O16" t="e">
            <v>#N/A</v>
          </cell>
          <cell r="P16" t="e">
            <v>#N/A</v>
          </cell>
          <cell r="Q16" t="e">
            <v>#N/A</v>
          </cell>
          <cell r="R16" t="str">
            <v>O Spray Daisy ( 15 Inch ) 2     FF Sachet + grass</v>
          </cell>
          <cell r="S16" t="str">
            <v>P Asiatic ( 14 Inch ) 2     Grass</v>
          </cell>
          <cell r="T16" t="str">
            <v>Pur Eustoma ( 12 Inch ) 3     FF Sachet + Grass</v>
          </cell>
        </row>
        <row r="17">
          <cell r="A17">
            <v>975</v>
          </cell>
          <cell r="B17" t="str">
            <v>Ritu Sacheti</v>
          </cell>
          <cell r="C17">
            <v>9910007371</v>
          </cell>
          <cell r="D17" t="str">
            <v>B1/1401, World Spa, Sector 30</v>
          </cell>
          <cell r="E17" t="str">
            <v>South City 1</v>
          </cell>
          <cell r="F17" t="str">
            <v>Saturday</v>
          </cell>
          <cell r="G17" t="str">
            <v>9 AM - 12 PM</v>
          </cell>
          <cell r="H17">
            <v>3750</v>
          </cell>
          <cell r="I17">
            <v>468.75</v>
          </cell>
          <cell r="J17" t="str">
            <v>Grace</v>
          </cell>
          <cell r="K17" t="str">
            <v>Sat n Tuesday//NO Chrysanthemums(30/12) Received 50Rs. Today(13/01) Today returned-send tom(27/01) Pls send double del on next del and upgrade to 1250 pack once this cycle completes(25/05/2020) Sending 1st June Flowers on 30th may(30/05/2020) Upgrade to 1750 pack and always send 4 Asiatic and 15 normal flowers(08/07) Send replacement of glad tom(19/08/20) Hold n start from Feb(17/01) Skiped 1 week due to HOLI(29/03) NO RAJNI IN SUMMER(16/07) Send 4 Stick asiatic complimentary Tom(20/09) Send 2 Open Asiatic and replace Carnations AND NEVER CAR(04/10) Rs. 250 received against extra flowers(05/10) NO SAME COLOR FLOWERS(04/03) Return today (06/12) NO GERBERA (10/01) Return-send tom (04/04) Sent replacement of Guldawari today (09/04) Today Returned (20/06) No Flowers From 10th to 19 Th nov (02/11) No Flowers betqeen 22nd and 1st Jan (22/12) Returned today (10/02) Skip today (13/02) Skip this tuesday (11/03) No Flowers from 29th to 3rd Nov (25/10) Return today (23/11) No Gerbera (30/11) Today Returned (24/05) Sent 1 delivery today (25/05)</v>
          </cell>
          <cell r="L17" t="str">
            <v>GERBERA n SUNFLOWER</v>
          </cell>
          <cell r="N17" t="str">
            <v>1  del of this cycle   -  1-cycles pmnt   Pending - Collect 3750</v>
          </cell>
          <cell r="O17" t="str">
            <v>P n W Spray Daisy ( 16 Inch )  4 Rajni 10   FF Sachet + Grass</v>
          </cell>
          <cell r="P17" t="str">
            <v>W Eustoma 2 P n W Glad ( 14 inch ) 10   Grass</v>
          </cell>
          <cell r="Q17" t="str">
            <v>P Asiatic ( 15 inch ) 2 Rajni ( 14 inch ) 10   Grass</v>
          </cell>
          <cell r="R17" t="str">
            <v>O Spray Daisy ( 15 Inch ) 3 P n W Glad ( 14 Inch ) 12   FF Sachet + Grass</v>
          </cell>
          <cell r="S17" t="str">
            <v>Pur Eustoma ( 12 Inch )  3 P n W Car ( 14 inch ) 10   FF sachet + Grass</v>
          </cell>
          <cell r="T17" t="str">
            <v>P Asiatic ( 14 Inch ) 2 Mix Alstroemeria ( 12 Inch ) 10   Grass</v>
          </cell>
        </row>
        <row r="18">
          <cell r="A18">
            <v>3371</v>
          </cell>
          <cell r="B18" t="str">
            <v>Supriya Bijlwan</v>
          </cell>
          <cell r="C18">
            <v>9560012831</v>
          </cell>
          <cell r="D18" t="str">
            <v>C-201, Mahindra Luminaire</v>
          </cell>
          <cell r="E18" t="str">
            <v>Ghata</v>
          </cell>
          <cell r="F18" t="str">
            <v>Saturday</v>
          </cell>
          <cell r="G18" t="str">
            <v>10 AM to 2:30 PM</v>
          </cell>
          <cell r="H18">
            <v>2300</v>
          </cell>
          <cell r="I18">
            <v>287.5</v>
          </cell>
          <cell r="J18" t="str">
            <v>Felicity</v>
          </cell>
          <cell r="K18" t="str">
            <v>1 Seasonal Extra next (20/05)</v>
          </cell>
          <cell r="M18" t="str">
            <v>Premium in next 2 Del (23/05)</v>
          </cell>
          <cell r="N18" t="str">
            <v>7  del of this cycle   -  0-cycles pmnt   Completed - Collect 0</v>
          </cell>
          <cell r="O18" t="e">
            <v>#N/A</v>
          </cell>
          <cell r="P18" t="e">
            <v>#N/A</v>
          </cell>
          <cell r="Q18" t="str">
            <v>P n W Car ( 14 inch ) 11     FF Sachet + Grass</v>
          </cell>
          <cell r="R18" t="str">
            <v>O Spray Daisy ( 15 Inch ) 2     FF Sachet + grass</v>
          </cell>
          <cell r="S18" t="str">
            <v>Sunflowers ( 14 Inch ) 3     FF sachet + Grass</v>
          </cell>
          <cell r="T18" t="str">
            <v>Pur Eustoma ( 12 Inch ) 3     FF Sachet + Grass</v>
          </cell>
        </row>
        <row r="19">
          <cell r="A19">
            <v>3174</v>
          </cell>
          <cell r="B19" t="str">
            <v>Swapnil</v>
          </cell>
          <cell r="C19">
            <v>9910715560</v>
          </cell>
          <cell r="D19" t="str">
            <v>Axelle, 17-B, Tata Raisina, Sec 59</v>
          </cell>
          <cell r="E19" t="str">
            <v>Ghata</v>
          </cell>
          <cell r="F19" t="str">
            <v>Tuesday</v>
          </cell>
          <cell r="G19" t="str">
            <v>10 AM to 2:30 PM</v>
          </cell>
          <cell r="H19">
            <v>1450</v>
          </cell>
          <cell r="I19">
            <v>362.5</v>
          </cell>
          <cell r="J19" t="str">
            <v>Bliss</v>
          </cell>
          <cell r="K19" t="str">
            <v>Skip 1 week (05/12)</v>
          </cell>
          <cell r="N19" t="str">
            <v>4  del of this cycle   -  0-cycles pmnt   Completed - Collect 0</v>
          </cell>
          <cell r="O19" t="e">
            <v>#N/A</v>
          </cell>
          <cell r="P19" t="e">
            <v>#N/A</v>
          </cell>
          <cell r="Q19" t="str">
            <v>P n W Car ( 14 inch ) 16     Grass</v>
          </cell>
          <cell r="R19" t="str">
            <v>O Asiatic ( 15 Inch ) 3     Grass</v>
          </cell>
          <cell r="S19" t="str">
            <v>Mix Alstroemeria ( 12 Inch ) 16     Grass</v>
          </cell>
          <cell r="T19" t="str">
            <v>P n Y Spray Daisy ( 14 Inch ) 5     FF Sachet + Grass</v>
          </cell>
        </row>
        <row r="20">
          <cell r="A20">
            <v>3306</v>
          </cell>
          <cell r="B20" t="str">
            <v>Abhishek Jain</v>
          </cell>
          <cell r="C20">
            <v>9004227662</v>
          </cell>
          <cell r="D20" t="str">
            <v>N-3/8, 2nd Floor, Road No. N-3, Sector 25</v>
          </cell>
          <cell r="E20" t="str">
            <v>DLF Phase 2</v>
          </cell>
          <cell r="F20" t="str">
            <v>Tuesday</v>
          </cell>
          <cell r="G20" t="str">
            <v>9:30 AM to 2 PM</v>
          </cell>
          <cell r="H20">
            <v>1450</v>
          </cell>
          <cell r="I20">
            <v>362.5</v>
          </cell>
          <cell r="J20" t="str">
            <v>Bliss</v>
          </cell>
          <cell r="K20" t="str">
            <v>Skip 2 week (16/04)</v>
          </cell>
          <cell r="N20" t="str">
            <v>3  del of this cycle   -  0-cycles pmnt   Completed - Collect 0</v>
          </cell>
          <cell r="O20" t="str">
            <v>P n Y Spray Daisy ( 16 Inch ) 5     FF Sachet + Grass</v>
          </cell>
          <cell r="P20" t="str">
            <v>Mix Car ( 14 Inch) 16     Grass</v>
          </cell>
          <cell r="Q20" t="str">
            <v>P Asiatic ( 15 inch ) 3     Grass</v>
          </cell>
          <cell r="R20" t="str">
            <v>Mix Alstroemeria ( 14 inch ) 16     FF Sachet + Grass</v>
          </cell>
          <cell r="S20" t="str">
            <v>P n W Glad ( 14 Inch ) 16     Grass</v>
          </cell>
          <cell r="T20" t="str">
            <v>P n W Spray Daisy ( 14 Inch ) 5     FF Sachet + Grass</v>
          </cell>
        </row>
        <row r="21">
          <cell r="A21">
            <v>2087</v>
          </cell>
          <cell r="B21" t="str">
            <v>Lucky Pandey</v>
          </cell>
          <cell r="C21" t="str">
            <v>9961712428//9971712428</v>
          </cell>
          <cell r="D21" t="str">
            <v>B3/502, Uniworld City ( West)</v>
          </cell>
          <cell r="E21" t="str">
            <v>South City 1</v>
          </cell>
          <cell r="F21" t="str">
            <v>Tuesday</v>
          </cell>
          <cell r="G21" t="str">
            <v>9 AM to 2 PM</v>
          </cell>
          <cell r="H21">
            <v>1450</v>
          </cell>
          <cell r="I21">
            <v>362.5</v>
          </cell>
          <cell r="J21" t="str">
            <v>Bliss</v>
          </cell>
          <cell r="K21" t="str">
            <v>Skip this Sunday and send on Tuesday (07/07) Skip 1 week (21/10) Today Returned (10/12) Today returned (17/03) Today Returned (19/003) Return-send tom (26/05) Hold (23/06) Today Returned (21/07) Gpay from Abhijeet K Choudhary (01/10) Hold today (03/12) No Sunflower (21/01) Returned today (17/06) Send 1 del todya (07/07)</v>
          </cell>
          <cell r="L21" t="str">
            <v>Sunflower</v>
          </cell>
          <cell r="N21" t="str">
            <v>2  del of this cycle   -  0-cycles pmnt   Completed - Collect 0</v>
          </cell>
          <cell r="O21" t="str">
            <v>R n W Car 16     FF Sachet + Grass</v>
          </cell>
          <cell r="P21" t="str">
            <v>P n W Glad ( 14 Inch) 16     Grass</v>
          </cell>
          <cell r="Q21" t="str">
            <v>Mix Alstroemeria ( 14 inch ) 16     Grass</v>
          </cell>
          <cell r="R21" t="str">
            <v>O n W Spray Daisy ( 15 Inch ) 5     FF Sachet + Grass</v>
          </cell>
          <cell r="S21" t="str">
            <v>Y Asiatic ( 14 Inch ) 3     Grass</v>
          </cell>
          <cell r="T21" t="str">
            <v>R n P Car ( 14 Inch ) 16     FF Sachet + Grass</v>
          </cell>
        </row>
        <row r="22">
          <cell r="B22" t="str">
            <v>Dimpi Singh</v>
          </cell>
          <cell r="C22">
            <v>8510083681</v>
          </cell>
          <cell r="D22" t="str">
            <v>0805A Laburnum Condominium Complex, Sushant Lok Block A,Sector 28, Gurugram 122002</v>
          </cell>
          <cell r="H22">
            <v>750</v>
          </cell>
          <cell r="J22" t="str">
            <v>Bouquet</v>
          </cell>
          <cell r="K22" t="str">
            <v>Dimpi singh today 
5 sunflowers 
Greens and 
2 limonium today 
Pls cut stem to 14 inches</v>
          </cell>
          <cell r="N22" t="str">
            <v xml:space="preserve"> </v>
          </cell>
          <cell r="T22" t="str">
            <v xml:space="preserve">Sunflowers  5 Greens and 
2 limonium Pls cut stem to 14 inches   FF Sachet </v>
          </cell>
        </row>
        <row r="23">
          <cell r="A23">
            <v>2463</v>
          </cell>
          <cell r="B23" t="str">
            <v>Rishika Mazumdar</v>
          </cell>
          <cell r="C23">
            <v>9674039510</v>
          </cell>
          <cell r="D23" t="str">
            <v>A-45/17, 4th Floor, Yadav House, Sec 28, DLF Phase 1</v>
          </cell>
          <cell r="E23" t="str">
            <v>DLF Phase 1</v>
          </cell>
          <cell r="F23" t="str">
            <v>Tuesday</v>
          </cell>
          <cell r="G23" t="str">
            <v>9 AM - 12 PM</v>
          </cell>
          <cell r="H23">
            <v>999</v>
          </cell>
          <cell r="I23">
            <v>249.75</v>
          </cell>
          <cell r="J23" t="str">
            <v>Delight</v>
          </cell>
          <cell r="K23" t="str">
            <v>Referred by Navjot Kaur// Sent replacement today (15/04) skip next and send on Tuesday (26/04) Skip n send on Tuesday (22/06) Skip tom n send on Tuesday (04/07) Change day to Tuesday (17/07) Hold from 20th Sep and stsrt from 11th Oct (01/09) Skip 25th and sned on 29th (18/11) Paytm from Tushar Gupta (17/02) Hold till 12th April (29/03)</v>
          </cell>
          <cell r="M23" t="str">
            <v>Don’t send on  28th -- sned on 1st July(26/04)</v>
          </cell>
          <cell r="N23" t="str">
            <v>3  del of this cycle   -  0-cycles pmnt   Completed - Collect 0</v>
          </cell>
          <cell r="O23" t="str">
            <v>P n W Glad ( 15 Inch )  9     Grass</v>
          </cell>
          <cell r="P23" t="str">
            <v>P Spray Daisy ( 15 inch) 3     FF Sachet + Grass</v>
          </cell>
          <cell r="Q23" t="str">
            <v>Mix Alstroemeria ( 14 inch ) 9     Grass</v>
          </cell>
          <cell r="R23" t="str">
            <v>Y Asiatic ( 15 inch ) 2     Grass</v>
          </cell>
          <cell r="S23" t="str">
            <v>R n W Car ( 14 Inch ) 9     FF sachet + Grass</v>
          </cell>
          <cell r="T23" t="str">
            <v>P n W Glad ( 14 Inch ) 9     Grass</v>
          </cell>
        </row>
        <row r="24">
          <cell r="A24">
            <v>2536</v>
          </cell>
          <cell r="B24" t="str">
            <v>Poonam Lal -- DNR in 999</v>
          </cell>
          <cell r="C24">
            <v>9811096665</v>
          </cell>
          <cell r="D24" t="str">
            <v>T-121/173, Silver Oaks Appartments</v>
          </cell>
          <cell r="E24" t="str">
            <v>DLF Phase 1</v>
          </cell>
          <cell r="F24" t="str">
            <v>Saturday</v>
          </cell>
          <cell r="G24" t="str">
            <v>9 AM - 12 PM</v>
          </cell>
          <cell r="H24">
            <v>999</v>
          </cell>
          <cell r="I24">
            <v>249.75</v>
          </cell>
          <cell r="J24" t="str">
            <v>Delight</v>
          </cell>
          <cell r="K24" t="str">
            <v>10% Discount // Today hold (02/08) Hold n start after 11th Sep (05/09) Start after 27th Jan (16/01) Skip tom (03/04) Skip tom add being changed (01/05) Hold till 04th June (26/05)</v>
          </cell>
          <cell r="N24" t="str">
            <v>4  del of this cycle   -  0-cycles pmnt   Completed - Collect 0</v>
          </cell>
          <cell r="O24" t="str">
            <v>P n W Glad ( 15 Inch )  9     Grass</v>
          </cell>
          <cell r="P24" t="str">
            <v>Mix Alstroemeria ( 14 inch ) 9     FF Sachet + Grass</v>
          </cell>
          <cell r="Q24" t="str">
            <v>P n W Car ( 14 inch ) 9     FF Sachet + Grass</v>
          </cell>
          <cell r="R24" t="str">
            <v>Y Asiatic ( 15 inch ) 2     Grass</v>
          </cell>
          <cell r="S24" t="e">
            <v>#N/A</v>
          </cell>
          <cell r="T24" t="str">
            <v>P n W Glad ( 14 Inch ) 9     Grass</v>
          </cell>
        </row>
        <row r="25">
          <cell r="A25">
            <v>3216</v>
          </cell>
          <cell r="B25" t="str">
            <v>Rashmi Singh</v>
          </cell>
          <cell r="C25" t="str">
            <v>9674906576 // 7044017203</v>
          </cell>
          <cell r="D25" t="str">
            <v>A-162, 1st Floor, Ashok Estate, Sec 63 A</v>
          </cell>
          <cell r="E25" t="str">
            <v>Ghata</v>
          </cell>
          <cell r="F25" t="str">
            <v>Tuesday</v>
          </cell>
          <cell r="G25" t="str">
            <v>9 AM - 12 PM</v>
          </cell>
          <cell r="H25">
            <v>2750</v>
          </cell>
          <cell r="I25">
            <v>687.5</v>
          </cell>
          <cell r="J25" t="str">
            <v>Elation</v>
          </cell>
          <cell r="K25" t="str">
            <v>Single Kind // Skip 1 week (15/12) Sent One del today (20/12) Hold tom (02/02) Skip 2 week (23/02) No Glad (16/03) Skip 1 week (06/04) No Orchid (19/04) Today Hold (21/04) Return today (28/04) Skip this week 24/06)</v>
          </cell>
          <cell r="L25" t="str">
            <v>Glad n Orchid</v>
          </cell>
          <cell r="M25" t="str">
            <v>Single Kind</v>
          </cell>
          <cell r="N25" t="str">
            <v>3  del of this cycle   -  0-cycles pmnt   Completed - Collect 0</v>
          </cell>
          <cell r="O25" t="str">
            <v>R Orchid 10     2 Gypsola + FF Sachet</v>
          </cell>
          <cell r="P25" t="str">
            <v>Pur n P Car ( 14 inch ) 32     2 Limonium + FF sachet</v>
          </cell>
          <cell r="Q25" t="str">
            <v>Mix Alstroemeria ( 14 inch ) 30     2 Gypsola</v>
          </cell>
          <cell r="R25" t="str">
            <v>O Asiatic ( 15 Inch ) 6     2 Limonium</v>
          </cell>
          <cell r="S25" t="str">
            <v>P Asiatic ( 14 Inch ) 6     Grass</v>
          </cell>
          <cell r="T25" t="str">
            <v>P n Y Spray Daisy ( 14 Inch ) 10     2 Limonium + FF Sachet</v>
          </cell>
        </row>
        <row r="26">
          <cell r="A26">
            <v>3104</v>
          </cell>
          <cell r="B26" t="str">
            <v>Tanvi Khandelwal</v>
          </cell>
          <cell r="C26">
            <v>9702005777</v>
          </cell>
          <cell r="D26" t="str">
            <v>F-13, Ridgewood Estate, Sec 27</v>
          </cell>
          <cell r="E26" t="str">
            <v>DLF Phase 4</v>
          </cell>
          <cell r="F26" t="str">
            <v>Tuesday</v>
          </cell>
          <cell r="G26" t="str">
            <v>After 5 PM</v>
          </cell>
          <cell r="H26">
            <v>1450</v>
          </cell>
          <cell r="I26">
            <v>362.5</v>
          </cell>
          <cell r="J26" t="str">
            <v>Bliss</v>
          </cell>
          <cell r="K26" t="str">
            <v>Send Replacement tom (19/05)</v>
          </cell>
          <cell r="N26" t="str">
            <v>4  del of this cycle   -  0-cycles pmnt   Completed - Collect 0</v>
          </cell>
          <cell r="O26" t="e">
            <v>#N/A</v>
          </cell>
          <cell r="P26" t="e">
            <v>#N/A</v>
          </cell>
          <cell r="Q26" t="e">
            <v>#N/A</v>
          </cell>
          <cell r="R26" t="str">
            <v>R n W Car ( 14 Inch ) 16    Ensure Payment Collection and Call if Not paid FF Sachet + Grass</v>
          </cell>
          <cell r="S26" t="str">
            <v>P Asiatic ( 14 Inch ) 3     Grass</v>
          </cell>
          <cell r="T26" t="str">
            <v>P n W Glad ( 14 Inch ) 16     Grass</v>
          </cell>
        </row>
        <row r="27">
          <cell r="A27">
            <v>1554</v>
          </cell>
          <cell r="B27" t="str">
            <v>Farea Aziz</v>
          </cell>
          <cell r="C27">
            <v>9871694052</v>
          </cell>
          <cell r="D27" t="str">
            <v>Selan Exploration Tech Ltd, 8th Floor , Imperial Mindspace, Sec 62</v>
          </cell>
          <cell r="E27" t="str">
            <v>Ghata</v>
          </cell>
          <cell r="F27" t="str">
            <v>Tuesday</v>
          </cell>
          <cell r="G27" t="str">
            <v>By 10 AM</v>
          </cell>
          <cell r="H27">
            <v>1950</v>
          </cell>
          <cell r="I27">
            <v>487.5</v>
          </cell>
          <cell r="J27" t="str">
            <v>Corporate</v>
          </cell>
          <cell r="K27" t="str">
            <v>Return-send next week(03/01) Return-send tom at new add (04/10) Today hold -send tom (15/08) Today returned-send tom (24/10)</v>
          </cell>
          <cell r="N27" t="str">
            <v>3  del of this cycle   -  0-cycles pmnt   In Process - Collect 0</v>
          </cell>
          <cell r="O27" t="str">
            <v>P Eustoma 3 Mix Alstroemeria 10   FF Sachet + Grass</v>
          </cell>
          <cell r="P27" t="str">
            <v>Pur Eustoma ( 14 inch ) 2 P n W Glad ( 14 inch ) 11   FF Sachet + Grass</v>
          </cell>
          <cell r="Q27" t="str">
            <v>P n W Spray Daisy ( 15 inch ) 4 Mix Alstroemeria ( 14 Inch ) 11   FF Sachet + Grass</v>
          </cell>
          <cell r="R27" t="str">
            <v>Y Asiatic ( 15 inch ) 2 P n W Car ( 14 Inch ) 11   Grass</v>
          </cell>
          <cell r="S27" t="str">
            <v>Sunflowers ( 14 Inch ) 3 P n W Glad ( 14 Inch ) 11   FF sachet + Grass</v>
          </cell>
          <cell r="T27" t="str">
            <v>P Eustoma ( 12 Inch ) 2 Mix Alstroemeria ( 12 Inch ) 11   FF Sachet + Grass</v>
          </cell>
        </row>
        <row r="28">
          <cell r="A28">
            <v>918</v>
          </cell>
          <cell r="B28" t="str">
            <v>FIVD</v>
          </cell>
          <cell r="C28">
            <v>9560117868</v>
          </cell>
          <cell r="D28" t="str">
            <v>Fivd India, 22-27, 7th Floor, A Tower, Emaar Digital Green Sec 61</v>
          </cell>
          <cell r="E28" t="str">
            <v>Ghata</v>
          </cell>
          <cell r="F28" t="str">
            <v>Tuesday</v>
          </cell>
          <cell r="G28" t="str">
            <v>9 AM - 12 PM</v>
          </cell>
          <cell r="H28">
            <v>1950</v>
          </cell>
          <cell r="I28">
            <v>487.5</v>
          </cell>
          <cell r="J28" t="str">
            <v>Corporate</v>
          </cell>
          <cell r="K28" t="str">
            <v>Only Asiatic(12/10) Skip this week(26/10) Google pay from manas mehrotra(24/11) Return-send on Tuesday(08/12) Gpay From Priyanka Singh (24/09) Sent a vase today (07/02) Add Changed (14/07) Today hold-send tom (15/08) send replacement tom (16/08) Today returned-send tom (24/10) Sent replacement today (04/07) Sent replacement today (27/11) Office was closed (21/10)</v>
          </cell>
          <cell r="L28" t="str">
            <v>GLAD And GULDAWARI AND SPRAY DAISY</v>
          </cell>
          <cell r="N28" t="str">
            <v>3  del of this cycle   -  0-cycles pmnt   In Process - Collect 0</v>
          </cell>
          <cell r="O28" t="str">
            <v>R n W Car 22     FF Sachet + Grass</v>
          </cell>
          <cell r="P28" t="str">
            <v>Sunflower ( 15 inch) 5     Grass</v>
          </cell>
          <cell r="Q28" t="str">
            <v>R n W Car ( 14 Inch ) 22     FF Sachet + Grass</v>
          </cell>
          <cell r="R28" t="str">
            <v>Mix Alstroemeria ( 14 inch ) 22     FF Sachet + Grass</v>
          </cell>
          <cell r="S28" t="str">
            <v>Y Asiatic ( 14 Inch ) 4     Grass</v>
          </cell>
          <cell r="T28" t="str">
            <v>Sunflower ( 12 Inch ) 5     FF Sachet + Grass</v>
          </cell>
        </row>
        <row r="29">
          <cell r="A29">
            <v>2325</v>
          </cell>
          <cell r="B29" t="str">
            <v>Aman</v>
          </cell>
          <cell r="C29">
            <v>9818655913</v>
          </cell>
          <cell r="D29" t="str">
            <v>S-1/12, 1st Floor, DLF Phase 3</v>
          </cell>
          <cell r="E29" t="str">
            <v>DLF Phase 3</v>
          </cell>
          <cell r="F29" t="str">
            <v>Saturday</v>
          </cell>
          <cell r="G29" t="str">
            <v>4 Pm to 7 PM</v>
          </cell>
          <cell r="H29">
            <v>3000</v>
          </cell>
          <cell r="I29">
            <v>375</v>
          </cell>
          <cell r="J29" t="str">
            <v>Charm</v>
          </cell>
          <cell r="K29" t="str">
            <v>Sat n Tuesday//NO Car n Lilies(07/09) Skip coming del n send on 4th Jan (25/12) Skip tom (10/01) Hold n start from 5th Mar-25(09/02) Hold due to non payment (14/10) Hold due to non payment (17/01)</v>
          </cell>
          <cell r="L29" t="str">
            <v>Car n Lilies</v>
          </cell>
          <cell r="N29" t="str">
            <v>3  del of this cycle   -  0-cycles pmnt   Completed - Collect 0</v>
          </cell>
          <cell r="O29" t="e">
            <v>#N/A</v>
          </cell>
          <cell r="P29" t="str">
            <v>Y Asiatic 3     Grass</v>
          </cell>
          <cell r="Q29" t="str">
            <v>P n W Spray Daisy ( 15 inch ) 4     FF Sachet + Grass</v>
          </cell>
          <cell r="R29" t="str">
            <v>Mix Alstroemeria ( 14 inch ) 15     FF Sachet + Grass</v>
          </cell>
          <cell r="S29" t="str">
            <v>P Asiatic ( 14 Inch ) 3     Grass</v>
          </cell>
          <cell r="T29" t="str">
            <v>P n W Glad ( 14 Inch ) 15     Grass</v>
          </cell>
        </row>
        <row r="30">
          <cell r="A30">
            <v>2633</v>
          </cell>
          <cell r="B30" t="str">
            <v>Varsha Mathur</v>
          </cell>
          <cell r="C30">
            <v>9810816655</v>
          </cell>
          <cell r="D30" t="str">
            <v>C-34, First Floor, Sushant Lok-1</v>
          </cell>
          <cell r="E30" t="str">
            <v>M G Road</v>
          </cell>
          <cell r="F30" t="str">
            <v>Tuesday</v>
          </cell>
          <cell r="G30" t="str">
            <v>9 AM - 12 PM</v>
          </cell>
          <cell r="H30">
            <v>1450</v>
          </cell>
          <cell r="I30">
            <v>362.5</v>
          </cell>
          <cell r="J30" t="str">
            <v>Bliss</v>
          </cell>
          <cell r="K30" t="str">
            <v>Paytm From Aryank Mathur (29/04) Pls send asiatic only (10/06) Do not count last delivery (01/09) Diff flowers now (04/09) Hold due to non payment (14/10) Gpay from Medhavi Mathur (30/10) No Gerbera and Glad (04/12) No Orchids (18/12) Hold due to non payment (13/01) Hold due to non payment (20/01)</v>
          </cell>
          <cell r="L30" t="str">
            <v>No Glad n Gerbera n Orchid</v>
          </cell>
          <cell r="M30" t="str">
            <v>Diff flowers Now (04/09)</v>
          </cell>
          <cell r="N30" t="str">
            <v>2  del of this cycle   -  0-cycles pmnt   Completed - Collect 0</v>
          </cell>
          <cell r="O30" t="str">
            <v>R n W Car 16     FF Sachet + Grass</v>
          </cell>
          <cell r="P30" t="str">
            <v>Sunflower ( 15 inch) 4     Grass</v>
          </cell>
          <cell r="Q30" t="str">
            <v>P Asiatic ( 15 inch ) 3     Grass</v>
          </cell>
          <cell r="R30" t="str">
            <v>Mix Alstroemeria ( 14 inch ) 16     FF Sachet + Grass</v>
          </cell>
          <cell r="S30" t="str">
            <v>P n Y Spray Daisy ( 14 Inch ) 5     FF sachet + Grass</v>
          </cell>
          <cell r="T30" t="str">
            <v>Pur Eustoma ( 12 Inch ) 3     FF Sachet + Grass</v>
          </cell>
        </row>
        <row r="31">
          <cell r="A31">
            <v>190</v>
          </cell>
          <cell r="B31" t="str">
            <v>Itika Sharma--Before 11:30 AM</v>
          </cell>
          <cell r="C31">
            <v>9810045432</v>
          </cell>
          <cell r="D31" t="str">
            <v>T-10/503, The Close South</v>
          </cell>
          <cell r="E31" t="str">
            <v>Nirvana Country</v>
          </cell>
          <cell r="F31" t="str">
            <v>Saturday</v>
          </cell>
          <cell r="G31" t="str">
            <v>9 AM - 12 PM</v>
          </cell>
          <cell r="H31">
            <v>999</v>
          </cell>
          <cell r="I31">
            <v>249.75</v>
          </cell>
          <cell r="J31" t="str">
            <v>Delight</v>
          </cell>
          <cell r="K31" t="str">
            <v>no roses ever(09/06)30th Del treated as Comp(03/07)Today return-send next week(08/09)9th returned-send 10th(08/09)Referal credit of 225/- against reference of Hema Sharma transferred via paytm(09/09)Pls send 1 stick extra in next del(06/10)Sending a replacement on Thursday(16/10)Start from 1st Dec n address changed(24/11) S Rajni Next (08/12)S rajni next(09/12) Return-send tom(22/12) NO GERBERA(23/12) NO DAISY n send Rajni Next(29/12) Rajni next n NO ROSE(01/01) Rajni Next(06/01) Pl send Y Daisy next(21/01) Rajni Next (20/01) Car Next(26/01) rajni Next(13/02) Next Rajni(23/02) Y Daisy Next(03/03) Rose or Car Next(11/03) NO RAJNI FOR NEXT 1 MONTH(03/04) Send Orchid Next(13/05) Send Lilies next(23/05) Skip 1 week(12/11) NO GLAD n  1 Stick extra nect week(13/02) Hold n start from 1st week of August(05/07) Add changed(04/12) UPI from Ashissh K(08/01) Sent 1 Del today Don't send on 11th Apr(08/04) NO Pollen Flowers No w(07/02) Hold for 2 weeks (23/02) Add Changed (02/03) Hold till June End (09/06) Skip 1 week (08/08) Paytm From Ashish Kapoor--98717155522(02/11) Send 3 Stem extra next (03/11) Send replacement tom (16/02) 1 stem extra next (07/06) 1500 via cash and 200 via paytm (29/06) Skip sat and send on sunday (02/07) Paytm from Ashissh Kapoor (15/11) Skip 1 week (04/02) HDTNP (13/03) Hold today (21/03) Replacement tom (08/06)</v>
          </cell>
          <cell r="M31" t="str">
            <v>No flowers on sat snd sned on Sunday (02/07)</v>
          </cell>
          <cell r="N31" t="str">
            <v>2  del of this cycle   -  0-cycles pmnt   Completed - Collect 0</v>
          </cell>
          <cell r="O31" t="e">
            <v>#N/A</v>
          </cell>
          <cell r="P31" t="e">
            <v>#N/A</v>
          </cell>
          <cell r="Q31" t="e">
            <v>#N/A</v>
          </cell>
          <cell r="R31" t="e">
            <v>#N/A</v>
          </cell>
          <cell r="S31" t="e">
            <v>#N/A</v>
          </cell>
          <cell r="T31" t="str">
            <v>Sunflower ( 12 Inch ) 2     FF Sachet + Grass</v>
          </cell>
        </row>
        <row r="32">
          <cell r="A32">
            <v>993</v>
          </cell>
          <cell r="B32" t="str">
            <v>Swati Khandelwal-- Evening Only</v>
          </cell>
          <cell r="C32">
            <v>8527962021</v>
          </cell>
          <cell r="D32" t="str">
            <v>414-A, Hamilton Court</v>
          </cell>
          <cell r="E32" t="str">
            <v>DLF Phase 4</v>
          </cell>
          <cell r="F32" t="str">
            <v>Tuesday</v>
          </cell>
          <cell r="G32" t="str">
            <v>9 AM to 2 PM</v>
          </cell>
          <cell r="H32">
            <v>2300</v>
          </cell>
          <cell r="I32">
            <v>287.5</v>
          </cell>
          <cell r="J32" t="str">
            <v>Felicity</v>
          </cell>
          <cell r="K32" t="str">
            <v>Saturday and Tuesday//Tuesday and Friday//1 St del Tom in morning and then every Sunday evening(05/01) ONLY LILY AND RAJNI(19/01) Lilies in all 4 Deliveries(01/02) Start Biss from next week(30/11) ONLY RAJNI(31/12) Send Guldawari next and then spray daisy next to next(09/01) NO ROSE mn RAJNI-- Send spray daisy next(27/01) Spray daisy Next(15/02) Moved to Felicity--1350 Pack, Pls mark pending(21/03) Send 1 extra delivery from Rachna Khanna ma'am(05/08) Do Not count last delivery(07/04) Send Flower Food Tom(12/09) Send Flower Food next (09/10) Hold till 1st Feb (20/01) Send Flower Food next (04/07) One More payment received today (30/10) Payment from Ramakant K (08/06) Rs. 9200 Received today and 10% applied on 9200 (10/12)</v>
          </cell>
          <cell r="L32" t="str">
            <v>ROSE n RAJNI</v>
          </cell>
          <cell r="N32" t="str">
            <v>2  del of this cycle   -  1-cycles pmnt   Pending - Collect 2300</v>
          </cell>
          <cell r="O32" t="str">
            <v>R n W Car 11     FF Sachet + Grass</v>
          </cell>
          <cell r="P32" t="str">
            <v>P Spray Daisy ( 15 inch) 3     FF Sachet + Grass</v>
          </cell>
          <cell r="Q32" t="str">
            <v>W Asiatic ( 15 inch ) 2     Grass</v>
          </cell>
          <cell r="R32" t="str">
            <v>P n W Car ( 14 Imch ) 11     FF Sachet + Grass</v>
          </cell>
          <cell r="S32" t="str">
            <v>Sunflowers ( 14 Inch ) 3     FF sachet + Grass</v>
          </cell>
          <cell r="T32" t="str">
            <v>P Asiatic ( 14 Inch ) 2     Grass</v>
          </cell>
        </row>
        <row r="33">
          <cell r="A33">
            <v>1334</v>
          </cell>
          <cell r="B33" t="str">
            <v>Rumika</v>
          </cell>
          <cell r="C33">
            <v>8750280078</v>
          </cell>
          <cell r="D33" t="str">
            <v>M-77, 1st Floor,Adani Samsara, Sector 60</v>
          </cell>
          <cell r="E33" t="str">
            <v>Ghata</v>
          </cell>
          <cell r="F33" t="str">
            <v>Saturday</v>
          </cell>
          <cell r="G33" t="str">
            <v>Post 5 PM</v>
          </cell>
          <cell r="H33">
            <v>2300</v>
          </cell>
          <cell r="I33">
            <v>287.5</v>
          </cell>
          <cell r="J33" t="str">
            <v>Felicity</v>
          </cell>
          <cell r="K33" t="str">
            <v>saturday n tuesday//Monday and Friday//Guldawari//Asiatic// car(06/03) Send anthuriums next and then upgrade to 1750 Package--BMF(23/03) Skiped 1 week due to HOLI(29/03) After this upgrade to 1750 Bi weekly plan -- Monday and Friday (04/04) Flowers-- Car//Rose//Lily//Guldawari//Gerbera//Spray Daisy(07/04) Send a replacement today(02/06) Flower Food Next(06/06) NO SPRAY DAISY(18/06) Shift to Elation after this cycle(14/09) Send less greens(21/09) NO GREENS(24/09) Pls send 1 stick of cotton on next del and check glad is being repeated(25/10) Skip n start from Monday(11/11) NO GERBERA(14/12) Send 1 heliconia tom as replacement(24/12) NO HELICONIA (11/02) Holy Change(16/03) Car//Guldawari//Asiatic//Orchid and 2 other best life flowers(13/06) START BIWEEKLY PLAN AFTER THIS CYCLE(06/07) Lilies Next(10/08) Repeat Last flowers(13/08) Hold till 22nd Sep(11/09) Do not count last del(06/11) No Orchid n Rajni and Lily Next (23/11) Sent replacememnt today (3/12) NO RAJNI/ANTHURIUM/HELICONIA and Less Glad (02/01) NO GLAD n ORCHID (29/01) Sent replacement // No BOP n GERBERA (29/04) Do Not count last delivery (19/09) Aster in Subscription (19/10) Send replacement today (21/10) Do not count last del (12/02) Alstroemeria Next (02/04) Do not count last del (11/06) Change slot to evebing post 5 PM and send one sunflower replacement tom (08/02) Last del not counted (30/04)</v>
          </cell>
          <cell r="L33" t="str">
            <v>Heliconia n Spray Daisy n Rajni</v>
          </cell>
          <cell r="M33" t="str">
            <v>Send 1 Extra Premiun next (08/02)</v>
          </cell>
          <cell r="N33" t="str">
            <v>5  del of this cycle   -  0-cycles pmnt   Completed - Collect 0</v>
          </cell>
          <cell r="O33" t="str">
            <v>Mix Alstroemeria ( 14 Inch )  11     FF Sachet + Grass</v>
          </cell>
          <cell r="P33" t="str">
            <v>O Asiatic ( 15 Inch )  2     Grass</v>
          </cell>
          <cell r="Q33" t="str">
            <v>Sunflower ( 15 inch ) 3     Grass</v>
          </cell>
          <cell r="R33" t="str">
            <v>P n W Glad ( 14 Inch ) 11     Grass</v>
          </cell>
          <cell r="S33" t="str">
            <v>P n W Glad ( 14 Inch ) 11     Grass</v>
          </cell>
          <cell r="T33" t="str">
            <v>Pur Eustoma ( 12 Inch ) 3     FF Sachet + Grass</v>
          </cell>
        </row>
        <row r="34">
          <cell r="A34">
            <v>2525</v>
          </cell>
          <cell r="B34" t="str">
            <v>Sonia Kalra</v>
          </cell>
          <cell r="C34">
            <v>9810512391</v>
          </cell>
          <cell r="D34" t="str">
            <v>C-264, Sushant Lok-1</v>
          </cell>
          <cell r="E34" t="str">
            <v>M G Road</v>
          </cell>
          <cell r="F34" t="str">
            <v>Tuesday</v>
          </cell>
          <cell r="G34" t="str">
            <v>10 AM to 2:30 PM</v>
          </cell>
          <cell r="H34">
            <v>999</v>
          </cell>
          <cell r="I34">
            <v>249.75</v>
          </cell>
          <cell r="J34" t="str">
            <v>Delight</v>
          </cell>
          <cell r="K34" t="str">
            <v>Change Rs 50// Hold today n skip 1 week(29/07) Paytm from harsonia Kalra (03/09)</v>
          </cell>
          <cell r="N34" t="str">
            <v>1  del of this cycle   -  1-cycles pmnt   Pending - Collect 1091</v>
          </cell>
          <cell r="O34" t="str">
            <v>Y Asiatic ( ( 15 Inch) 2     Grass</v>
          </cell>
          <cell r="P34" t="str">
            <v>R n W Car ( 14 Inch ) 9     FF Sachet + Grass</v>
          </cell>
          <cell r="Q34" t="str">
            <v>Sunflower ( 15 inch ) 2     Grass</v>
          </cell>
          <cell r="R34" t="str">
            <v>Mix Alstroemeria ( 14 inch ) 9     FF Sachet + Grass</v>
          </cell>
          <cell r="S34" t="str">
            <v>P n W Glad ( 14 Inch ) 9     Grass</v>
          </cell>
          <cell r="T34" t="str">
            <v>P Asiatic ( 14 Inch ) 2     Grass</v>
          </cell>
        </row>
        <row r="35">
          <cell r="A35" t="str">
            <v>B56087</v>
          </cell>
          <cell r="B35">
            <v>9971105361</v>
          </cell>
          <cell r="C35">
            <v>9971105361</v>
          </cell>
          <cell r="D35" t="str">
            <v>A-16, 2nd Floor, Ashok Estate, Anant Raj Estate, Sec 63 A</v>
          </cell>
          <cell r="E35" t="str">
            <v>Ghata</v>
          </cell>
          <cell r="F35" t="str">
            <v>Friday</v>
          </cell>
          <cell r="G35" t="str">
            <v>By 11:30 aM</v>
          </cell>
          <cell r="H35">
            <v>950</v>
          </cell>
          <cell r="I35">
            <v>950</v>
          </cell>
          <cell r="J35" t="str">
            <v>Bouquet</v>
          </cell>
          <cell r="K35" t="str">
            <v>Rose mala</v>
          </cell>
          <cell r="N35" t="str">
            <v>1  del of this cycle   -  1-cycles pmnt   Pending - Collect 950</v>
          </cell>
          <cell r="O35" t="e">
            <v>#N/A</v>
          </cell>
          <cell r="P35" t="e">
            <v>#N/A</v>
          </cell>
          <cell r="Q35" t="e">
            <v>#N/A</v>
          </cell>
          <cell r="R35" t="e">
            <v>#N/A</v>
          </cell>
          <cell r="S35" t="e">
            <v>#N/A</v>
          </cell>
          <cell r="T35" t="str">
            <v xml:space="preserve">Rose Mala 21     </v>
          </cell>
        </row>
        <row r="36">
          <cell r="A36">
            <v>1953</v>
          </cell>
          <cell r="B36" t="str">
            <v>Sandhya Nagesh</v>
          </cell>
          <cell r="C36">
            <v>8800649797</v>
          </cell>
          <cell r="D36" t="str">
            <v>89, Ground Floor, Woodstock Floors, Sec 50</v>
          </cell>
          <cell r="E36" t="str">
            <v>Nirvana Country</v>
          </cell>
          <cell r="F36" t="str">
            <v>Saturday</v>
          </cell>
          <cell r="G36" t="str">
            <v>9 AM - 12 PM</v>
          </cell>
          <cell r="H36">
            <v>3000</v>
          </cell>
          <cell r="I36">
            <v>375</v>
          </cell>
          <cell r="J36" t="str">
            <v>Charm</v>
          </cell>
          <cell r="K36" t="str">
            <v>Saturday n Tueaday(02/09) No Del From 10th to 19th (09/09) Today returned(19/08) hold today send tom (07/10) Skip 20th Del (14/01) Hold 6th n 10th Sug (03/08) Return tiday (07/02) Today Returned (24/02)</v>
          </cell>
          <cell r="N36" t="str">
            <v>1  del of this cycle   -  1-cycles pmnt   Pending - Collect 3000</v>
          </cell>
          <cell r="O36" t="str">
            <v>Mix Alstroemeria ( 14 Inch )  15     FF Sachet + Grass</v>
          </cell>
          <cell r="P36" t="str">
            <v>P n W Spray Daisy ( 15 inch ) 4     FF Sachet + Grass</v>
          </cell>
          <cell r="Q36" t="str">
            <v>W Asiatic ( 15 inch ) 3     Grass</v>
          </cell>
          <cell r="R36" t="str">
            <v>P n W Glad ( 14 Inch ) 15     Grass</v>
          </cell>
          <cell r="S36" t="str">
            <v>Sunflowers ( 14 Inch ) 4     FF sachet + Grass</v>
          </cell>
          <cell r="T36" t="str">
            <v>P Oriental ( 14 Inch ) 2     Grass</v>
          </cell>
        </row>
        <row r="37">
          <cell r="A37">
            <v>1377</v>
          </cell>
          <cell r="B37" t="str">
            <v>Geetanjali Babbar</v>
          </cell>
          <cell r="C37">
            <v>9958988852</v>
          </cell>
          <cell r="D37" t="str">
            <v>K-905, Sispal Vihar</v>
          </cell>
          <cell r="E37" t="str">
            <v>Sohna Road 1</v>
          </cell>
          <cell r="F37" t="str">
            <v>Friday</v>
          </cell>
          <cell r="G37" t="str">
            <v>9:30 Am to 2 PM</v>
          </cell>
          <cell r="H37">
            <v>2300</v>
          </cell>
          <cell r="I37">
            <v>287.5</v>
          </cell>
          <cell r="J37" t="str">
            <v>Felicity</v>
          </cell>
          <cell r="K37" t="str">
            <v>Tuesday and FRiday//Monday and Thursday//Send on Monday This week and send rajni too(03/04) Returned-send tom(11/04) Day Changed to Monday(11/04) Sent replacement of Gerbera today(20/04) She likes BOP+Rajni+Car Comb (20/04) Thursday and Monday Morning Slot(13/06) NO BOP(03/08) Hold today ansend after a week(20/11)  Holy Change(16/03) Skip 1 del(16/03) Skip 1 del AND ALWAYS SEND 10 STICKS(02/05) Skip 3rd Feb Del (28/01) Skip tom Delivery (06/04) Dont start from 16th June--start from 19th June (14/06) Skip Friday (13/09) Skip between 24th to 2nd Nov (24/10) Hold n start from Feb (13/01) Skip tom del (14/03) Do Not count last del (21/06) Skip comig Delivery(24/06) Sent a rewplacement today (23/10) Hold geetanjali babbar today (03/01) Skip 1 week (04/01) Skip 18th n 21st Mar (03/03) Skip Friday (09/04) Skip friday (26/06) Paytm From Merajul Alam (23/09) No Del From 09th to 13th (04/12) Skip 10th and 13th Feb (31/01) Skip 1 week (23/03) Replacement tom (21/04) HDTNP (29/05)</v>
          </cell>
          <cell r="M37" t="str">
            <v>Skip 18th n 21st Mar 25</v>
          </cell>
          <cell r="N37" t="str">
            <v>6  del of this cycle   -  0-cycles pmnt   Completed - Collect 0</v>
          </cell>
          <cell r="O37" t="str">
            <v>P n W Glad ( 15 Inch )  11     Grass</v>
          </cell>
          <cell r="P37" t="str">
            <v>Mix Alstroemeria ( 14 inch ) 11     FF Sachet + Grass</v>
          </cell>
          <cell r="Q37" t="str">
            <v>Y Spray Daisy ( 15 inch ) 3     FF Sachet + Grass</v>
          </cell>
          <cell r="R37" t="str">
            <v>P n W Glad ( 14 Inch ) 11    Ensure Collection Grass</v>
          </cell>
          <cell r="S37" t="str">
            <v>Sunflowers ( 14 Inch ) 3     FF sachet + Grass</v>
          </cell>
          <cell r="T37" t="str">
            <v>Mix Alstroemeria ( 12 Inch ) 11     FF Sachet + Grass</v>
          </cell>
        </row>
        <row r="38">
          <cell r="A38">
            <v>2132</v>
          </cell>
          <cell r="B38" t="str">
            <v>Smita Mathur</v>
          </cell>
          <cell r="C38" t="str">
            <v>+6281294705524</v>
          </cell>
          <cell r="D38" t="str">
            <v>R-9A, Windsor Court-- Next Supermart</v>
          </cell>
          <cell r="E38" t="str">
            <v>DLF Phase 4</v>
          </cell>
          <cell r="F38" t="str">
            <v>Tuesday</v>
          </cell>
          <cell r="G38" t="str">
            <v>9 AM - 12 PM</v>
          </cell>
          <cell r="H38">
            <v>1450</v>
          </cell>
          <cell r="I38">
            <v>362.5</v>
          </cell>
          <cell r="J38" t="str">
            <v>Bliss</v>
          </cell>
          <cell r="K38" t="str">
            <v>NO GLAD/ASIATIC/ORCHID(23/12) ONLY LILY/ROSE AD CHRYSANTHEMUM IN THIS PACK(23/12) Rajni Next(27/12) Skip 1 week(30/12) Bright Color Asiatic Next(09/01) ALWAYS SINGLE COLOR(10/01) Day changed to Friday and send bright lily on both days(11/01) Send 1 Pack tom(15/01) Dark Pink or Red Asiatic(22/01) Pls send Daisy Next(31/01) Y Fuldawari next(04/02) Next Yellow Color(07/02) This Cycle-- Oriental//Car//Orchid//Rose(02/10) Send next del on friday with moxed bright color car(05/10) Sent Replacement today(20/10) GuldawariNext(21/10) This week on saturday and then tuesday, Flowesr are-- Car//Lily//Guldawari//Rose//Orchid// Glad (17/11) NO ROSE  SEND REPLACEMENT TOM AND ALSO 2ND DEL(21/11)(21/11) Hold today (13/12) Hold for 2 weeks(13/12) NO BOP AND SPRAY DAISY  AND ROSES IF THEY ARE GOOD(22/12) Asiatic Next (04/01) Send Replacement tom (18/03) Paytm from 99****8930(25/07) Change to Joy (27/10) Change to bliss (13/12) Skip 2 Week (31/01) Skip 2 week (02/03) Holdn n start from 13 July (23/06) Sent replacement today (01/09) Skip 1 week (07/12) Hold aftyer current cycle (19/03) Skip 16th Aug (09/08) No flowers on 27th (16/09) Skip tom and now on tuesday Only (05/12) Skip 1 week (18/02)</v>
          </cell>
          <cell r="L38" t="str">
            <v>BOP n GERBERA</v>
          </cell>
          <cell r="N38" t="str">
            <v>1  del of this cycle   -  1-cycles pmnt   Pending - Collect 1450</v>
          </cell>
          <cell r="O38" t="str">
            <v>R n W Car 16     FF Sachet + Grass</v>
          </cell>
          <cell r="P38" t="str">
            <v>Sunflower ( 15 inch) 4     Grass</v>
          </cell>
          <cell r="Q38" t="str">
            <v>Mix Alstroemeria ( 14 inch ) 16     Grass</v>
          </cell>
          <cell r="R38" t="str">
            <v>Y Asiatic ( 15 inch ) 3     Grass</v>
          </cell>
          <cell r="S38" t="str">
            <v>Mix Alstroemeria ( 12 Inch ) 16     Grass</v>
          </cell>
          <cell r="T38" t="str">
            <v>P n W Glad ( 14 Inch ) 16     Grass</v>
          </cell>
        </row>
        <row r="39">
          <cell r="A39" t="str">
            <v>G-00029</v>
          </cell>
          <cell r="B39" t="str">
            <v>Shweta Arora</v>
          </cell>
          <cell r="C39">
            <v>9999164984</v>
          </cell>
          <cell r="D39" t="str">
            <v>H. No. 9506, 3rd Floor, Garden Villas</v>
          </cell>
          <cell r="E39" t="str">
            <v>DLF Phase 4</v>
          </cell>
          <cell r="F39" t="str">
            <v>Tuesday</v>
          </cell>
          <cell r="G39" t="str">
            <v>10 AM to 2:30 PM</v>
          </cell>
          <cell r="H39">
            <v>1950</v>
          </cell>
          <cell r="I39">
            <v>487.5</v>
          </cell>
          <cell r="J39" t="str">
            <v>Joy</v>
          </cell>
          <cell r="K39" t="str">
            <v>From Akriti Chopra // Paytm From Shweta Dudeja (26/02) Sent replacement today (18/04)</v>
          </cell>
          <cell r="N39" t="str">
            <v>3  del of this cycle   -  0-cycles pmnt   Completed - Collect 0</v>
          </cell>
          <cell r="O39" t="str">
            <v>P n Y Spray Daisy ( 16 Inch ) 4 R n W car 11   FF Sachet + Grass</v>
          </cell>
          <cell r="P39" t="str">
            <v>Pur Eustoma ( 14 inch ) 2 P n W Glad ( 14 inch ) 11   FF Sachet + Grass</v>
          </cell>
          <cell r="Q39" t="str">
            <v>P Asiatic ( 15 inch ) 2 Mix Alstroemeria ( 14 Inch ) 11   Grass</v>
          </cell>
          <cell r="R39" t="str">
            <v>O n W Spray Daisy ( 15 Inch ) 4 P n W Car ( 14 Inch ) 11   Grass</v>
          </cell>
          <cell r="S39" t="str">
            <v>Sunflowers ( 14 Inch ) 3 P n W Glad ( 14 Inch ) 11   FF sachet + Grass</v>
          </cell>
          <cell r="T39" t="str">
            <v>P Eustoma ( 12 Inch ) 2 Mix Alstroemeria ( 12 Inch ) 11   FF Sachet + Grass</v>
          </cell>
        </row>
        <row r="40">
          <cell r="A40">
            <v>2692</v>
          </cell>
          <cell r="B40" t="str">
            <v>A K Jain</v>
          </cell>
          <cell r="C40">
            <v>9910309930</v>
          </cell>
          <cell r="D40" t="str">
            <v>B-785, Sushant Lok-1, Near Police Chowki</v>
          </cell>
          <cell r="E40" t="str">
            <v>M G Road</v>
          </cell>
          <cell r="F40" t="str">
            <v>Saturday</v>
          </cell>
          <cell r="G40" t="str">
            <v>9 AM - 12 PM</v>
          </cell>
          <cell r="H40">
            <v>2300</v>
          </cell>
          <cell r="I40">
            <v>287.5</v>
          </cell>
          <cell r="J40" t="str">
            <v>Felicity</v>
          </cell>
          <cell r="K40" t="str">
            <v>Saturdya n Tuesday (16/05) Hold from 10th to 14th June (07/06) Paytm From Akhil Jain (21/06) Skip sat del and send them on Sunday (30/07) Do not count last delivery (22/09) Hold 25th and 28th (19/10) Today Returned (04/11) Skip sat delivery (18/03)</v>
          </cell>
          <cell r="N40" t="str">
            <v>1  del of this cycle   -  0-cycles pmnt   Completed - Collect 0</v>
          </cell>
          <cell r="O40" t="str">
            <v>Y Asiatic ( ( 15 Inch) 2     Grass</v>
          </cell>
          <cell r="P40" t="e">
            <v>#N/A</v>
          </cell>
          <cell r="Q40" t="str">
            <v>P n W Glad ( 14 inch ) 11     Grass</v>
          </cell>
          <cell r="R40" t="str">
            <v>P Eustoma ( 12 Inch ) 3     FF Sachet + Grass</v>
          </cell>
          <cell r="S40" t="str">
            <v>P Asiatic ( 14 Inch ) 2     Grass</v>
          </cell>
          <cell r="T40" t="str">
            <v>Mix Alstroemeria ( 12 Inch ) 11     FF Sachet + Grass</v>
          </cell>
        </row>
        <row r="41">
          <cell r="A41">
            <v>2247</v>
          </cell>
          <cell r="B41" t="str">
            <v>Reeya Naahar</v>
          </cell>
          <cell r="C41">
            <v>9818862169</v>
          </cell>
          <cell r="D41" t="str">
            <v>B-316-B, Sushant Lok-1</v>
          </cell>
          <cell r="E41" t="str">
            <v>M G Road</v>
          </cell>
          <cell r="F41" t="str">
            <v>Saturday</v>
          </cell>
          <cell r="G41" t="str">
            <v>9:30 AM to 2PM</v>
          </cell>
          <cell r="H41">
            <v>2300</v>
          </cell>
          <cell r="I41">
            <v>287.5</v>
          </cell>
          <cell r="J41" t="str">
            <v>Felicity</v>
          </cell>
          <cell r="K41" t="str">
            <v>Saturday n Tuesday// No Yel Spray Daisy // Do not count last del (06/07) No Gerbera (12/04)</v>
          </cell>
          <cell r="L41" t="str">
            <v>GERBERA</v>
          </cell>
          <cell r="N41" t="str">
            <v>6  del of this cycle   -  0-cycles pmnt   In Process - Collect 0</v>
          </cell>
          <cell r="O41" t="str">
            <v>Mix Alstroemeria ( 14 Inch )  11     FF Sachet + Grass</v>
          </cell>
          <cell r="P41" t="str">
            <v>O Asiatic ( 15 Inch )  2     Grass</v>
          </cell>
          <cell r="Q41" t="str">
            <v>Sunflower ( 15 inch ) 3     Grass</v>
          </cell>
          <cell r="R41" t="str">
            <v>P n W Car ( 14 Imch ) 11     FF Sachet + grass</v>
          </cell>
          <cell r="S41" t="str">
            <v>P Asiatic ( 14 Inch ) 2     Grass</v>
          </cell>
          <cell r="T41" t="str">
            <v>Pur Eustoma ( 12 Inch ) 3     FF Sachet + Grass</v>
          </cell>
        </row>
        <row r="42">
          <cell r="A42">
            <v>3297</v>
          </cell>
          <cell r="B42" t="str">
            <v>Samby</v>
          </cell>
          <cell r="C42">
            <v>9818996771</v>
          </cell>
          <cell r="D42" t="str">
            <v>C-183 A, 4th Floor, Sushant Lok 1</v>
          </cell>
          <cell r="E42" t="str">
            <v>M G Road</v>
          </cell>
          <cell r="F42" t="str">
            <v>Tuesday</v>
          </cell>
          <cell r="G42" t="str">
            <v>10 AM to 2:30 PM</v>
          </cell>
          <cell r="H42">
            <v>1450</v>
          </cell>
          <cell r="I42">
            <v>362.5</v>
          </cell>
          <cell r="J42" t="str">
            <v>Bliss</v>
          </cell>
          <cell r="K42" t="str">
            <v>Paytm From Sumit Kumar Bedi Jaga (29/03)</v>
          </cell>
          <cell r="N42" t="str">
            <v>3  del of this cycle   -  0-cycles pmnt   Completed - Collect 0</v>
          </cell>
          <cell r="O42" t="str">
            <v>R n W Car 16     FF Sachet + Grass</v>
          </cell>
          <cell r="P42" t="str">
            <v>Sunflower ( 15 inch) 4     Grass</v>
          </cell>
          <cell r="Q42" t="str">
            <v>P n W Glad ( 14 inch ) 16     Grass</v>
          </cell>
          <cell r="R42" t="str">
            <v>O Asiatic ( 15 Inch ) 3     Grass</v>
          </cell>
          <cell r="S42" t="str">
            <v>P n Y Spray Daisy ( 14 Inch ) 5     FF sachet + Grass</v>
          </cell>
          <cell r="T42" t="str">
            <v>R n P Car ( 14 Inch ) 16     FF Sachet + Grass</v>
          </cell>
        </row>
        <row r="43">
          <cell r="A43">
            <v>1389</v>
          </cell>
          <cell r="B43" t="str">
            <v>Revathi-- After 5 PM</v>
          </cell>
          <cell r="C43">
            <v>9811998878</v>
          </cell>
          <cell r="D43" t="str">
            <v>A-1201, The Emaar Palm Drive</v>
          </cell>
          <cell r="E43" t="str">
            <v>Badshahpur</v>
          </cell>
          <cell r="F43" t="str">
            <v>Friday</v>
          </cell>
          <cell r="G43" t="str">
            <v>4 PM to 7PM</v>
          </cell>
          <cell r="H43">
            <v>3850</v>
          </cell>
          <cell r="I43">
            <v>481.25</v>
          </cell>
          <cell r="J43" t="str">
            <v>Grace</v>
          </cell>
          <cell r="K43" t="str">
            <v>Friday and Tuesday// NO RAJNIGANDHA NOW ONLY LILIES//CAR AND GLAD(26/07)  NO WONLY LILIES, HELICONIA AND CAR IN YELLOW OR ORANGE ONLY(11/09)  ONLY  LILIES/GLADIOLI AND HELICONIA ONLY IN YELL AND ORANGE COLOR-- NOCARNATION(01/10) Rajni or Bop next(18/10) Send 1 FF Next(29/06) LILY n GLAD ARE PREFERRED(29/06) Now From Rose//Car//Glad//Guldawari//Asiatic//Oriental(03/08) Skip this friday(09/08) No Upgrade (17/10) Skip 1 week (114/11) Skip 1 week after tom Delivery (09/03) No Del on Froday-- sned on Tuesda (29/03) Glad Next (01/05) Hold n start after 8th June (12/05) Bop n Heliconia Next (10/02) Skip tom Del (28/03) Flower food next (14/05) Hold till 8th (29/05) No Gerbera and Orchid (28/07) One Payment received today (01/10) Skip Friday Del (27/11) Skip friday (25/12) Return not at home (20/06) Today Returned (20/06) Received one payment of 3250 today (21/07)</v>
          </cell>
          <cell r="L43" t="str">
            <v>Gerbera n ORCHID</v>
          </cell>
          <cell r="N43" t="str">
            <v>3  del of this cycle   -  0-cycles pmnt   Completed - Collect 0</v>
          </cell>
          <cell r="O43" t="str">
            <v>Pur n P Eustoma 4     FF Sachet + Grass</v>
          </cell>
          <cell r="P43" t="str">
            <v>Mix Alstroemeria ( 14 inch ) 20     FF Sachet + Grass</v>
          </cell>
          <cell r="Q43" t="str">
            <v>Spray Daisy 6     FF Sachet + Grass</v>
          </cell>
          <cell r="R43" t="str">
            <v>Y Asiatic ( 15 inch ) 4     Grass</v>
          </cell>
          <cell r="S43" t="str">
            <v>Mix Alstroemeria ( 12 Inch ) 20     FF sachet + Grass</v>
          </cell>
          <cell r="T43" t="str">
            <v>R n P Car ( 14 Inch ) 20     FF Sachet + Grass</v>
          </cell>
        </row>
        <row r="44">
          <cell r="A44">
            <v>1147</v>
          </cell>
          <cell r="B44" t="str">
            <v xml:space="preserve">Reena </v>
          </cell>
          <cell r="C44">
            <v>9811157690</v>
          </cell>
          <cell r="D44" t="str">
            <v>31/1, Ixia, Vatika City</v>
          </cell>
          <cell r="E44" t="str">
            <v>Sohna Road 1</v>
          </cell>
          <cell r="F44" t="str">
            <v>Tuesday</v>
          </cell>
          <cell r="G44" t="str">
            <v>9 AM to 2 PM</v>
          </cell>
          <cell r="H44">
            <v>1600</v>
          </cell>
          <cell r="I44">
            <v>200</v>
          </cell>
          <cell r="J44" t="str">
            <v>Bloom</v>
          </cell>
          <cell r="K44" t="str">
            <v>Tuesday and Friday//NO Rose/Rajni and ORCHID(30/10) Pink car Next(08/11) No Rose/No Rajni/No Orchids(30/11  NO RAJNI n HELICONIA (30/12) Star From Sunday (24/08) Skip coming Friday (07/12) Skip 1 week (18/01) Shift tom del to Sunday (20/06) Skip Friday Del (15/08) Today Returned(03/09) Skip 27th Del (22/12) Skip tom (30/01) Today Returned-send again (04/04) Hold n start from 15th (07/04) Skip friday (26/06) Skip 1 week (07/08) Skip tom del (11/09) Skip 1 week (01/11) Skip tom (30/04)</v>
          </cell>
          <cell r="L44" t="str">
            <v>RAJNI n HELICONIA</v>
          </cell>
          <cell r="N44" t="str">
            <v>1  del of this cycle   -  0-cycles pmnt   CompletedNO COLLECTION-we have extra money - Collect -200</v>
          </cell>
          <cell r="O44" t="str">
            <v>R n W Car 7     FF Sachet + Grass</v>
          </cell>
          <cell r="P44" t="str">
            <v>Sunflower ( 15 inch) 2     FF Sachet + Grass</v>
          </cell>
          <cell r="Q44" t="str">
            <v>P n W Glad ( 14 inch ) 7     Grass</v>
          </cell>
          <cell r="R44" t="str">
            <v>P Eustoma ( 12 Inch ) 2     FF Sachet + Grass</v>
          </cell>
          <cell r="S44" t="str">
            <v>Sunflowers ( 14 Inch ) 2     FF sachet + Grass</v>
          </cell>
          <cell r="T44" t="str">
            <v>P n W Glad ( 14 Inch ) 7     Grass</v>
          </cell>
        </row>
        <row r="45">
          <cell r="A45">
            <v>2426</v>
          </cell>
          <cell r="B45" t="str">
            <v>Pragati Agarwal</v>
          </cell>
          <cell r="C45">
            <v>9811152110</v>
          </cell>
          <cell r="D45" t="str">
            <v>C-1019, G Floor, Sushant Lok 1</v>
          </cell>
          <cell r="E45" t="str">
            <v>M G Road</v>
          </cell>
          <cell r="F45" t="str">
            <v>Tuesday</v>
          </cell>
          <cell r="G45" t="str">
            <v>10 AM to 2:30 PM</v>
          </cell>
          <cell r="H45">
            <v>1950</v>
          </cell>
          <cell r="I45">
            <v>487.5</v>
          </cell>
          <cell r="J45" t="str">
            <v>Joy</v>
          </cell>
          <cell r="K45" t="str">
            <v>Skip 1 week (10/04) No Bop (29/04) No Rajni (29/07) One kind of flowers (31/10) Skip 1 week (05/01) Hold 1 month (07/03) Paytm From Tanmay Agarwal (05/05)</v>
          </cell>
          <cell r="L45" t="str">
            <v>BOP n Rajni</v>
          </cell>
          <cell r="M45" t="str">
            <v>One Kind of Flower (31/10)</v>
          </cell>
          <cell r="N45" t="str">
            <v>3  del of this cycle   -  0-cycles pmnt   CompletedNO COLLECTION-we have extra money - Collect -50</v>
          </cell>
          <cell r="O45" t="str">
            <v>R Orchid 7     FF Sachet + Grass</v>
          </cell>
          <cell r="P45" t="str">
            <v>Pur n P Car ( 14 inch ) 22     FF Sachet + Grass</v>
          </cell>
          <cell r="Q45" t="str">
            <v>P n W Glad ( 14 inch ) 22     Grass</v>
          </cell>
          <cell r="R45" t="str">
            <v>Y Asiatic ( 15 inch ) 4     Grass</v>
          </cell>
          <cell r="S45" t="str">
            <v>P n W Spray Daisy ( 14 Inch ) 7     FF sachet + Grass</v>
          </cell>
          <cell r="T45" t="str">
            <v>Mix Alstroemeria ( 12 Inch ) 22     FF Sachet + Grass</v>
          </cell>
        </row>
        <row r="46">
          <cell r="A46">
            <v>3275</v>
          </cell>
          <cell r="B46" t="str">
            <v>Reema Parents</v>
          </cell>
          <cell r="C46">
            <v>9910105022</v>
          </cell>
          <cell r="D46" t="str">
            <v>B1/603, Tulip Orange, Sec 70</v>
          </cell>
          <cell r="E46" t="str">
            <v>Badshahpur</v>
          </cell>
          <cell r="F46" t="str">
            <v>Tuesday</v>
          </cell>
          <cell r="G46" t="str">
            <v>9 AM - 12 PM</v>
          </cell>
          <cell r="H46">
            <v>999</v>
          </cell>
          <cell r="I46">
            <v>249.75</v>
          </cell>
          <cell r="J46" t="str">
            <v>Delight</v>
          </cell>
          <cell r="K46" t="str">
            <v>From Reema</v>
          </cell>
          <cell r="N46" t="str">
            <v>4  del of this cycle   -  0-cycles pmnt   Completed - Collect 0</v>
          </cell>
          <cell r="O46" t="str">
            <v>Y Asiatic ( ( 15 Inch) 2     Grass</v>
          </cell>
          <cell r="P46" t="str">
            <v>R n W Car ( 14 Inch ) 9     FF Sachet + Grass</v>
          </cell>
          <cell r="Q46" t="str">
            <v>P Spray Daisy 3     FF Sachet + Grass</v>
          </cell>
          <cell r="R46" t="str">
            <v>Mix Alstroemeria ( 14 inch ) 9     FF Sachet + Grass</v>
          </cell>
          <cell r="S46" t="str">
            <v>P n W Glad ( 14 Inch ) 9     Grass</v>
          </cell>
          <cell r="T46" t="str">
            <v>P Asiatic ( 14 Inch ) 2     Grass</v>
          </cell>
        </row>
        <row r="47">
          <cell r="A47">
            <v>3339</v>
          </cell>
          <cell r="B47" t="str">
            <v>Ananya</v>
          </cell>
          <cell r="C47">
            <v>8765609453</v>
          </cell>
          <cell r="D47" t="str">
            <v>C-2323, Room No. 2302, 1st Floor, Sushant Lok -1</v>
          </cell>
          <cell r="E47" t="str">
            <v>M G Road</v>
          </cell>
          <cell r="F47" t="str">
            <v>Saturday</v>
          </cell>
          <cell r="G47" t="str">
            <v>9 AM - 12 PM</v>
          </cell>
          <cell r="H47">
            <v>1450</v>
          </cell>
          <cell r="I47">
            <v>362.5</v>
          </cell>
          <cell r="J47" t="str">
            <v>Bliss</v>
          </cell>
          <cell r="K47" t="str">
            <v>Pls Skip 2 week (06/05) skip n send on 2nd June (30/05) No wdeliver on 9th June (01/06)</v>
          </cell>
          <cell r="N47" t="str">
            <v>4  del of this cycle   -  0-cycles pmnt   Completed - Collect 0</v>
          </cell>
          <cell r="O47" t="e">
            <v>#N/A</v>
          </cell>
          <cell r="P47" t="e">
            <v>#N/A</v>
          </cell>
          <cell r="Q47" t="e">
            <v>#N/A</v>
          </cell>
          <cell r="R47" t="str">
            <v>O Asiatic ( 15 Inch ) 3     Grass</v>
          </cell>
          <cell r="S47" t="e">
            <v>#N/A</v>
          </cell>
          <cell r="T47" t="str">
            <v>Mix Alstroemeria ( 12 Inch ) 16     FF Sachet + Grass</v>
          </cell>
        </row>
        <row r="48">
          <cell r="A48" t="str">
            <v>B56111</v>
          </cell>
          <cell r="B48" t="str">
            <v>Somya Singhal</v>
          </cell>
          <cell r="C48">
            <v>9910481069</v>
          </cell>
          <cell r="D48" t="str">
            <v>B-201, The Villas, DLF Phase 2</v>
          </cell>
          <cell r="E48" t="str">
            <v>M G Road</v>
          </cell>
          <cell r="F48" t="str">
            <v>Tuesday</v>
          </cell>
          <cell r="G48" t="str">
            <v>By 10 AM</v>
          </cell>
          <cell r="H48">
            <v>700</v>
          </cell>
          <cell r="I48">
            <v>700</v>
          </cell>
          <cell r="J48" t="str">
            <v>Bouquet</v>
          </cell>
          <cell r="K48" t="str">
            <v>From Monica Sharma// Happy Birthday dear Somya,     Wishing you loads of happiness always in life.       Loads of love    Monica Sharma (08/06)</v>
          </cell>
          <cell r="N48" t="str">
            <v>1  del of this cycle   -  0-cycles pmnt   In Process - Collect 0</v>
          </cell>
          <cell r="O48" t="e">
            <v>#N/A</v>
          </cell>
          <cell r="P48" t="e">
            <v>#N/A</v>
          </cell>
          <cell r="Q48" t="e">
            <v>#N/A</v>
          </cell>
          <cell r="R48" t="e">
            <v>#N/A</v>
          </cell>
          <cell r="S48" t="e">
            <v>#N/A</v>
          </cell>
          <cell r="T48" t="str">
            <v xml:space="preserve">P Asiatic + P n W Car 3 + 6 Walkin Tissue Wrap + Message    </v>
          </cell>
        </row>
        <row r="49">
          <cell r="A49">
            <v>2854</v>
          </cell>
          <cell r="B49" t="str">
            <v>Promita Roy</v>
          </cell>
          <cell r="C49">
            <v>9717459257</v>
          </cell>
          <cell r="D49" t="str">
            <v>B-25, Sushant Appartment, Block-C, Phase 1</v>
          </cell>
          <cell r="E49" t="str">
            <v>M G Road</v>
          </cell>
          <cell r="F49" t="str">
            <v>Tuesday</v>
          </cell>
          <cell r="G49" t="str">
            <v>9 AM - 12 PM</v>
          </cell>
          <cell r="H49">
            <v>1450</v>
          </cell>
          <cell r="I49">
            <v>362.5</v>
          </cell>
          <cell r="J49" t="str">
            <v>Bliss</v>
          </cell>
          <cell r="K49" t="str">
            <v>Upgrade to Bliss // Nolacl Gypsy or Lady Lace</v>
          </cell>
          <cell r="M49" t="str">
            <v>No Local Gypsy or Lady Lace</v>
          </cell>
          <cell r="N49" t="str">
            <v>1  del of this cycle   -  0-cycles pmnt   Completed - Collect 0</v>
          </cell>
          <cell r="O49" t="str">
            <v>Y Asiatic ( ( 15 Inch) 3     Grass</v>
          </cell>
          <cell r="P49" t="e">
            <v>#N/A</v>
          </cell>
          <cell r="Q49" t="str">
            <v>Mix Alstroemeria ( 14 inch ) 16     Grass</v>
          </cell>
          <cell r="R49" t="str">
            <v>O n W Spray Daisy ( 15 Inch ) 5     FF Sachet + Grass</v>
          </cell>
          <cell r="S49" t="str">
            <v>R n W Car ( 14 Inch ) 16     FF sachet + Grass</v>
          </cell>
          <cell r="T49" t="str">
            <v>P Asiatic ( 14 Inch ) 3     Grass</v>
          </cell>
        </row>
        <row r="50">
          <cell r="B50" t="str">
            <v>99106 88449‬</v>
          </cell>
          <cell r="C50" t="str">
            <v>99106 88449‬</v>
          </cell>
          <cell r="D50" t="str">
            <v>A2 302 The World Spa East Sector 30 Gurgaon Haryana</v>
          </cell>
          <cell r="G50" t="str">
            <v>today before 4</v>
          </cell>
          <cell r="H50">
            <v>1400</v>
          </cell>
          <cell r="J50" t="str">
            <v>Bouquet</v>
          </cell>
          <cell r="K50" t="str">
            <v>Send today before 4
One 24 inch vase 
wahan pe check kara ke dena photo/video le lena
To
A2 302 The World Spa East Sector 30 Gurgaon Haryana
‪+91 99106 88449‬
collect 1400</v>
          </cell>
          <cell r="N50" t="str">
            <v>collect 1400</v>
          </cell>
          <cell r="T50" t="str">
            <v xml:space="preserve"> 24 inch vase  1 wahan pe check kara ke dena photo/video le lena    </v>
          </cell>
        </row>
        <row r="51">
          <cell r="B51" t="str">
            <v>Major Devinder  Kataria</v>
          </cell>
          <cell r="C51">
            <v>9810505290</v>
          </cell>
          <cell r="D51" t="str">
            <v xml:space="preserve">150, Cedar Crest, Nirvana Country </v>
          </cell>
          <cell r="G51" t="str">
            <v xml:space="preserve">Today before  1.00Pm </v>
          </cell>
          <cell r="H51">
            <v>2200</v>
          </cell>
          <cell r="J51" t="str">
            <v>Bouquet</v>
          </cell>
          <cell r="K51" t="str">
            <v>From 
‪+91 98929 28547‬
2200 received via Paytm 
Today by 1 
5 white oriental lilies and 8 Rajnigandha in jute wrap 
To 
Recipient's Name :: Major Devinder  Kataria
Contact Number. :: 9810505290
Address   :: 150, Cedar Crest, Nirvana Country 
Message, if any :: Happy Birthday Papa. We love you 
-
From ::Tanvi and Kartik Kataria</v>
          </cell>
          <cell r="T51" t="str">
            <v xml:space="preserve">White oriental lilies and  Rajnigandha 5+8 jute wrap  Massge   </v>
          </cell>
        </row>
        <row r="52">
          <cell r="B52" t="str">
            <v>Vineeta Chaturvedi</v>
          </cell>
          <cell r="C52">
            <v>9810173700</v>
          </cell>
          <cell r="D52" t="str">
            <v>B-78, Ground Floor, Suncity</v>
          </cell>
          <cell r="H52">
            <v>480</v>
          </cell>
          <cell r="J52" t="str">
            <v>Bouquet</v>
          </cell>
          <cell r="K52" t="str">
            <v>Send today 
6 pink and 6 red carnations in walkin tissue wrap to Vineeta Chaturvedi 
+91 98101 73700
Uber charges will be paid by the customer directly</v>
          </cell>
          <cell r="T52" t="str">
            <v xml:space="preserve">pink and red carnations 6+6  walkin tissue wrap    </v>
          </cell>
        </row>
        <row r="53">
          <cell r="A53">
            <v>2487</v>
          </cell>
          <cell r="B53" t="str">
            <v>Jyoti - Digi Homes</v>
          </cell>
          <cell r="C53">
            <v>9711267571</v>
          </cell>
          <cell r="D53" t="str">
            <v>T-B/2802, Emaar Digi Homes, Sec 62</v>
          </cell>
          <cell r="E53" t="str">
            <v>Ghata</v>
          </cell>
          <cell r="F53" t="str">
            <v>Tuesday</v>
          </cell>
          <cell r="G53" t="str">
            <v>4 Pm to 7 PM</v>
          </cell>
          <cell r="H53">
            <v>1950</v>
          </cell>
          <cell r="I53">
            <v>487.5</v>
          </cell>
          <cell r="J53" t="str">
            <v>Joy</v>
          </cell>
          <cell r="K53" t="str">
            <v>No Glad n Rajni n try fir Gerbera fior 1st Del // Hold n send on 19th and send on 21st (17/04) 19th Del Missed-send on 26th (23/04) Do not count last del 28/05) Today returned (21/06) Do not count last del (20/07) Today Hold  and send on tuesday(02/08) Return today (05/08) Skip 2 Weeks (09/08) Day change to tuesday and and skip 2 week (09/08) Day Changed to saturday (02/09) No BOP also (23/09 Paytm From Jyoti chaudhary (27/10) Only No Rajni and BOP (19/03)</v>
          </cell>
          <cell r="L53" t="str">
            <v>Rajni n BOP</v>
          </cell>
          <cell r="N53" t="str">
            <v>1  del of this cycle   -  1-cycles pmnt   Pending - Collect 1950</v>
          </cell>
          <cell r="O53" t="str">
            <v>R n W Car 22     FF Sachet + Grass</v>
          </cell>
          <cell r="P53" t="str">
            <v>Sunflower ( 15 inch) 5     Grass</v>
          </cell>
          <cell r="Q53" t="str">
            <v>P n Y Spray Daisy ( 15 inch ) 7     FF Sachet + Grass</v>
          </cell>
          <cell r="R53" t="str">
            <v>O Asiatic ( 15 Inch ) 4     Grass</v>
          </cell>
          <cell r="S53" t="str">
            <v>Mix Alstroemeria ( 12 Inch ) 22     Grass</v>
          </cell>
          <cell r="T53" t="str">
            <v>R n W  Carnation  22     Grass</v>
          </cell>
        </row>
      </sheetData>
      <sheetData sheetId="9"/>
      <sheetData sheetId="10"/>
      <sheetData sheetId="11"/>
      <sheetData sheetId="12"/>
      <sheetData sheetId="13"/>
      <sheetData sheetId="14"/>
      <sheetData sheetId="15">
        <row r="2">
          <cell r="A2">
            <v>2183</v>
          </cell>
          <cell r="B2" t="str">
            <v>Kalpana</v>
          </cell>
          <cell r="C2">
            <v>9910681399</v>
          </cell>
          <cell r="D2" t="str">
            <v>Flat No. 60, HEWO Appartments, Sec 31</v>
          </cell>
          <cell r="E2" t="str">
            <v>South City 1</v>
          </cell>
          <cell r="F2" t="str">
            <v>Tuesday</v>
          </cell>
          <cell r="G2" t="str">
            <v>4 Pm to 7 PM</v>
          </cell>
          <cell r="H2">
            <v>999</v>
          </cell>
          <cell r="I2">
            <v>249.75</v>
          </cell>
          <cell r="J2" t="str">
            <v>Delight</v>
          </cell>
          <cell r="K2" t="str">
            <v>Skip 2 weeks (25/12) // Hold n start from Mar (01/02) Skip 1 week (14/04) Today Returned (30/04) Hold till 5th June (18/05) No Yello Color (11/02) 18th Del returned (20/03) Hold n start after 15th June(14/05) Skip 1 week (17/12) Skip 1 week 922/01) Skip 1 week (14/02) Hold after current cycle and then start from June (25/03)</v>
          </cell>
          <cell r="M2" t="str">
            <v>Yellow Color</v>
          </cell>
          <cell r="N2" t="str">
            <v>4  del of this cycle   -  0-cycles pmnt   Completed - Collect 0</v>
          </cell>
          <cell r="O2" t="e">
            <v>#N/A</v>
          </cell>
          <cell r="P2" t="e">
            <v>#N/A</v>
          </cell>
          <cell r="Q2" t="e">
            <v>#N/A</v>
          </cell>
          <cell r="R2" t="str">
            <v>P n W Car ( 14 Inch ) 9     FF sachet + Grass</v>
          </cell>
          <cell r="S2" t="str">
            <v>P Asiatic ( 14 Inch ) 2 No Yellow Color    Grass</v>
          </cell>
          <cell r="T2" t="str">
            <v>P n W Glad ( 14 Inch ) 9     Grass</v>
          </cell>
        </row>
        <row r="3">
          <cell r="A3">
            <v>3137</v>
          </cell>
          <cell r="B3" t="str">
            <v>Khushi Parvez</v>
          </cell>
          <cell r="C3">
            <v>8882038811</v>
          </cell>
          <cell r="D3" t="str">
            <v>J-1205, Mapple Crescent, Sushant Lok , C Block</v>
          </cell>
          <cell r="E3" t="str">
            <v>M G Road</v>
          </cell>
          <cell r="F3" t="str">
            <v>Tuesday</v>
          </cell>
          <cell r="G3" t="str">
            <v>4 Pm to 7 PM</v>
          </cell>
          <cell r="H3">
            <v>999</v>
          </cell>
          <cell r="I3">
            <v>249.75</v>
          </cell>
          <cell r="J3" t="str">
            <v>Collection</v>
          </cell>
          <cell r="K3" t="str">
            <v>Paytm From Jagjeet Dhakrey// Return today (27/01) HDTNP (24/02) HDTNP (26/05) HDTNP (02/06) HDTNP (09/06)</v>
          </cell>
          <cell r="N3" t="str">
            <v>3  del of this cycle   -  1-cycles pmnt   Pending - Collect 999</v>
          </cell>
          <cell r="O3" t="str">
            <v>Sunflower ( 15 inch) 2     Grass</v>
          </cell>
          <cell r="P3" t="str">
            <v>Mix Alstroemeria ( 14 inch ) 9     Grass</v>
          </cell>
          <cell r="Q3" t="e">
            <v>#N/A</v>
          </cell>
          <cell r="R3" t="e">
            <v>#N/A</v>
          </cell>
          <cell r="S3" t="e">
            <v>#N/A</v>
          </cell>
          <cell r="T3" t="str">
            <v xml:space="preserve">Collect 500      </v>
          </cell>
        </row>
        <row r="4">
          <cell r="A4">
            <v>2706</v>
          </cell>
          <cell r="B4" t="str">
            <v>Monika Arora</v>
          </cell>
          <cell r="C4">
            <v>9990121666</v>
          </cell>
          <cell r="D4" t="str">
            <v>Tostem Studio, Plot No. 564, Basement, Sec 39, Near Bakhtawar Chwok</v>
          </cell>
          <cell r="E4" t="str">
            <v>Medanta</v>
          </cell>
          <cell r="F4" t="str">
            <v>Saturday</v>
          </cell>
          <cell r="G4" t="str">
            <v>9 AM - 12 PM</v>
          </cell>
          <cell r="H4">
            <v>1600</v>
          </cell>
          <cell r="I4">
            <v>200</v>
          </cell>
          <cell r="J4" t="str">
            <v>Bloom</v>
          </cell>
          <cell r="K4" t="str">
            <v>Ref From Anupma Rastogi // Today Returned (09/08) Hold today (16/08) Today office was closed (21/10)</v>
          </cell>
          <cell r="N4" t="str">
            <v>4  del of this cycle   -  0-cycles pmnt   Completed - Collect 0</v>
          </cell>
          <cell r="O4" t="str">
            <v>Sunflower ( 15 inch) 2     FF Sachet + Grass</v>
          </cell>
          <cell r="P4" t="str">
            <v>Mix Alstroemeria ( 14 inch ) 7     Grass</v>
          </cell>
          <cell r="Q4" t="str">
            <v>P n W Glad ( 14 Inch ) 7     Grass</v>
          </cell>
          <cell r="R4" t="str">
            <v>Sunflowers ( 14 Inch ) 2     FF sachet + Grass</v>
          </cell>
          <cell r="S4" t="str">
            <v>Mix Alstroemeria ( 12 Inch ) 7     FF Sachet + Grass</v>
          </cell>
          <cell r="T4" t="str">
            <v>P n W Glad ( 14 Inch ) 7     Grass</v>
          </cell>
        </row>
        <row r="5">
          <cell r="A5">
            <v>2854</v>
          </cell>
          <cell r="B5" t="str">
            <v>Promita Roy</v>
          </cell>
          <cell r="C5">
            <v>9717459257</v>
          </cell>
          <cell r="D5" t="str">
            <v>B-25, Sushant Appartment, Block-C, Phase 1</v>
          </cell>
          <cell r="E5" t="str">
            <v>M G Road</v>
          </cell>
          <cell r="F5" t="str">
            <v>Tuesday</v>
          </cell>
          <cell r="G5" t="str">
            <v>9 AM - 12 PM</v>
          </cell>
          <cell r="H5">
            <v>1450</v>
          </cell>
          <cell r="I5">
            <v>362.5</v>
          </cell>
          <cell r="J5" t="str">
            <v>Bliss</v>
          </cell>
          <cell r="K5" t="str">
            <v>Upgrade to Bliss // Nolacl Gypsy or Lady Lace</v>
          </cell>
          <cell r="M5" t="str">
            <v>No Local Gypsy or Lady Lace</v>
          </cell>
          <cell r="N5" t="str">
            <v>2  del of this cycle   -  0-cycles pmnt   Completed - Collect 0</v>
          </cell>
          <cell r="O5" t="e">
            <v>#N/A</v>
          </cell>
          <cell r="P5" t="str">
            <v>Mix Alstroemeria ( 14 inch ) 16     Grass</v>
          </cell>
          <cell r="Q5" t="str">
            <v>O n W Spray Daisy ( 15 Inch ) 5     FF Sachet + Grass</v>
          </cell>
          <cell r="R5" t="str">
            <v>R n W Car ( 14 Inch ) 16     FF sachet + Grass</v>
          </cell>
          <cell r="S5" t="str">
            <v>P Asiatic ( 14 Inch ) 3     Grass</v>
          </cell>
          <cell r="T5" t="str">
            <v>P n W Glad ( 14 Inch ) 16     Grass</v>
          </cell>
        </row>
        <row r="6">
          <cell r="A6">
            <v>3297</v>
          </cell>
          <cell r="B6" t="str">
            <v>Samby</v>
          </cell>
          <cell r="C6">
            <v>9818996771</v>
          </cell>
          <cell r="D6" t="str">
            <v>C-183 A, 4th Floor, Sushant Lok 1</v>
          </cell>
          <cell r="E6" t="str">
            <v>M G Road</v>
          </cell>
          <cell r="F6" t="str">
            <v>Tuesday</v>
          </cell>
          <cell r="G6" t="str">
            <v>10 AM to 2:30 PM</v>
          </cell>
          <cell r="H6">
            <v>1450</v>
          </cell>
          <cell r="I6">
            <v>362.5</v>
          </cell>
          <cell r="J6" t="str">
            <v>Bliss</v>
          </cell>
          <cell r="K6" t="str">
            <v>Paytm From Sumit Kumar Bedi Jaga (29/03)</v>
          </cell>
          <cell r="N6" t="str">
            <v>4  del of this cycle   -  0-cycles pmnt   Completed - Collect 0</v>
          </cell>
          <cell r="O6" t="str">
            <v>Sunflower ( 15 inch) 4     Grass</v>
          </cell>
          <cell r="P6" t="str">
            <v>P n W Glad ( 14 inch ) 16     Grass</v>
          </cell>
          <cell r="Q6" t="str">
            <v>O Asiatic ( 15 Inch ) 3     Grass</v>
          </cell>
          <cell r="R6" t="str">
            <v>P n Y Spray Daisy ( 14 Inch ) 5     FF sachet + Grass</v>
          </cell>
          <cell r="S6" t="str">
            <v>R n P Car ( 14 Inch ) 16     FF Sachet + Grass</v>
          </cell>
          <cell r="T6" t="str">
            <v>Mix Alstroemeria ( 12 Inch ) 16     FF Sachet + Grass</v>
          </cell>
        </row>
        <row r="7">
          <cell r="A7">
            <v>2633</v>
          </cell>
          <cell r="B7" t="str">
            <v>Varsha Mathur</v>
          </cell>
          <cell r="C7">
            <v>9810816655</v>
          </cell>
          <cell r="D7" t="str">
            <v>C-34, First Floor, Sushant Lok-1</v>
          </cell>
          <cell r="E7" t="str">
            <v>M G Road</v>
          </cell>
          <cell r="F7" t="str">
            <v>Tuesday</v>
          </cell>
          <cell r="G7" t="str">
            <v>9 AM - 12 PM</v>
          </cell>
          <cell r="H7">
            <v>1450</v>
          </cell>
          <cell r="I7">
            <v>362.5</v>
          </cell>
          <cell r="J7" t="str">
            <v>Bliss</v>
          </cell>
          <cell r="K7" t="str">
            <v>Paytm From Aryank Mathur (29/04) Pls send asiatic only (10/06) Do not count last delivery (01/09) Diff flowers now (04/09) Hold due to non payment (14/10) Gpay from Medhavi Mathur (30/10) No Gerbera and Glad (04/12) No Orchids (18/12) Hold due to non payment (13/01) Hold due to non payment (20/01)</v>
          </cell>
          <cell r="L7" t="str">
            <v>No Glad n Gerbera n Orchid</v>
          </cell>
          <cell r="M7" t="str">
            <v>Diff flowers Now (04/09)</v>
          </cell>
          <cell r="N7" t="str">
            <v>3  del of this cycle   -  0-cycles pmnt   Completed - Collect 0</v>
          </cell>
          <cell r="O7" t="str">
            <v>Sunflower ( 15 inch) 4     Grass</v>
          </cell>
          <cell r="P7" t="str">
            <v>P Asiatic ( 15 inch ) 3     Grass</v>
          </cell>
          <cell r="Q7" t="str">
            <v>Mix Alstroemeria ( 14 inch ) 16     FF Sachet + Grass</v>
          </cell>
          <cell r="R7" t="str">
            <v>P n Y Spray Daisy ( 14 Inch ) 5     FF sachet + Grass</v>
          </cell>
          <cell r="S7" t="str">
            <v>Pur Eustoma ( 12 Inch ) 3     FF Sachet + Grass</v>
          </cell>
          <cell r="T7" t="str">
            <v>O n P Car ( 14 Inch ) 16     FF Sachet + Grass</v>
          </cell>
        </row>
        <row r="8">
          <cell r="A8">
            <v>2525</v>
          </cell>
          <cell r="B8" t="str">
            <v>Sonia Kalra</v>
          </cell>
          <cell r="C8">
            <v>9810512391</v>
          </cell>
          <cell r="D8" t="str">
            <v>C-264, Sushant Lok-1</v>
          </cell>
          <cell r="E8" t="str">
            <v>M G Road</v>
          </cell>
          <cell r="F8" t="str">
            <v>Tuesday</v>
          </cell>
          <cell r="G8" t="str">
            <v>10 AM to 2:30 PM</v>
          </cell>
          <cell r="H8">
            <v>999</v>
          </cell>
          <cell r="I8">
            <v>249.75</v>
          </cell>
          <cell r="J8" t="str">
            <v>Delight</v>
          </cell>
          <cell r="K8" t="str">
            <v>Change Rs 50// Hold today n skip 1 week(29/07) Paytm from harsonia Kalra (03/09)</v>
          </cell>
          <cell r="N8" t="str">
            <v>2  del of this cycle   -  1-cycles pmnt   Pending - Collect 993</v>
          </cell>
          <cell r="O8" t="str">
            <v>R n W Car ( 14 Inch ) 9     FF Sachet + Grass</v>
          </cell>
          <cell r="P8" t="str">
            <v>Sunflower ( 15 inch ) 2     Grass</v>
          </cell>
          <cell r="Q8" t="str">
            <v>Mix Alstroemeria ( 14 inch ) 9     FF Sachet + Grass</v>
          </cell>
          <cell r="R8" t="str">
            <v>P n W Glad ( 14 Inch ) 9     Grass</v>
          </cell>
          <cell r="S8" t="str">
            <v>P Asiatic ( 14 Inch ) 2     Grass</v>
          </cell>
          <cell r="T8" t="str">
            <v>O n P Car ( 14 Inch ) 9     FF Sachet + Grass</v>
          </cell>
        </row>
        <row r="9">
          <cell r="A9">
            <v>3014</v>
          </cell>
          <cell r="B9" t="str">
            <v>Monika Arora</v>
          </cell>
          <cell r="C9">
            <v>9990121666</v>
          </cell>
          <cell r="D9" t="str">
            <v>Tostem Studio, Plot No. 564, Basement, Sec 39, Near Bakhtawar Chwok</v>
          </cell>
          <cell r="E9" t="str">
            <v>Medanta</v>
          </cell>
          <cell r="F9" t="str">
            <v>Saturday</v>
          </cell>
          <cell r="G9" t="str">
            <v>9 AM - 12 PM</v>
          </cell>
          <cell r="H9">
            <v>1600</v>
          </cell>
          <cell r="I9">
            <v>200</v>
          </cell>
          <cell r="J9" t="str">
            <v>Bloom</v>
          </cell>
          <cell r="K9" t="str">
            <v>Change in Address (31/12)</v>
          </cell>
          <cell r="N9" t="str">
            <v>4  del of this cycle   -  0-cycles pmnt   Completed - Collect 0</v>
          </cell>
          <cell r="O9" t="str">
            <v>R n W Car ( 14 Inch ) 7     FF Sachet + Grass</v>
          </cell>
          <cell r="P9" t="str">
            <v>B Daisy ( 12 Inch ) 7     FF Sachet + Grass</v>
          </cell>
          <cell r="Q9" t="str">
            <v>O Spray Daisy ( 15 Inch ) 3     FF Sachet + Grass</v>
          </cell>
          <cell r="R9" t="str">
            <v>P n W Glad ( 14 Inch ) 7     Grass</v>
          </cell>
          <cell r="S9" t="str">
            <v>P n W Glad ( 14 Inch ) 7     Grass</v>
          </cell>
          <cell r="T9" t="str">
            <v>Sunflower ( 12 Inch ) 2     FF Sachet + Grass</v>
          </cell>
        </row>
        <row r="10">
          <cell r="A10" t="str">
            <v xml:space="preserve"> </v>
          </cell>
          <cell r="B10" t="str">
            <v xml:space="preserve">   Dr Mandeep Yadav 1 -- Before 12 PM</v>
          </cell>
          <cell r="C10" t="str">
            <v>9811090481 #</v>
          </cell>
          <cell r="D10" t="str">
            <v>Smile Plus Dental Clinic Shanti Nagar, Beriwala BaghBehind Mini Sectritariat Near Rajiv Chowk</v>
          </cell>
          <cell r="E10" t="str">
            <v>Sohna Road 2</v>
          </cell>
          <cell r="F10" t="str">
            <v>Monday</v>
          </cell>
          <cell r="G10" t="str">
            <v>9 AM - 12 PM</v>
          </cell>
          <cell r="H10">
            <v>0</v>
          </cell>
          <cell r="I10">
            <v>0</v>
          </cell>
          <cell r="J10" t="str">
            <v>Vase</v>
          </cell>
          <cell r="K10" t="str">
            <v>Delight</v>
          </cell>
          <cell r="N10" t="str">
            <v>Completed</v>
          </cell>
          <cell r="O10" t="str">
            <v>Completed</v>
          </cell>
          <cell r="T10" t="str">
            <v xml:space="preserve">10 Inch Vase 1     </v>
          </cell>
        </row>
        <row r="11">
          <cell r="A11">
            <v>2426</v>
          </cell>
          <cell r="B11" t="str">
            <v>Pragati Agarwal</v>
          </cell>
          <cell r="C11">
            <v>9811152110</v>
          </cell>
          <cell r="D11" t="str">
            <v>C-1019, G Floor, Sushant Lok 1</v>
          </cell>
          <cell r="E11" t="str">
            <v>M G Road</v>
          </cell>
          <cell r="F11" t="str">
            <v>Tuesday</v>
          </cell>
          <cell r="G11" t="str">
            <v>10 AM to 2:30 PM</v>
          </cell>
          <cell r="H11">
            <v>1950</v>
          </cell>
          <cell r="I11">
            <v>487.5</v>
          </cell>
          <cell r="J11" t="str">
            <v>Joy</v>
          </cell>
          <cell r="K11" t="str">
            <v>Skip 1 week (10/04) No Bop (29/04) No Rajni (29/07) One kind of flowers (31/10) Skip 1 week (05/01) Hold 1 month (07/03) Paytm From Tanmay Agarwal (05/05)</v>
          </cell>
          <cell r="L11" t="str">
            <v>BOP n Rajni</v>
          </cell>
          <cell r="M11" t="str">
            <v>One Kind of Flower (31/10)</v>
          </cell>
          <cell r="N11" t="str">
            <v>4  del of this cycle   -  0-cycles pmnt   CompletedNO COLLECTION-we have extra money - Collect -50</v>
          </cell>
          <cell r="O11" t="str">
            <v>Pur n P Car ( 14 inch ) 22     FF Sachet + Grass</v>
          </cell>
          <cell r="P11" t="str">
            <v>P n W Glad ( 14 inch ) 22     Grass</v>
          </cell>
          <cell r="Q11" t="str">
            <v>Y Asiatic ( 15 inch ) 4     Grass</v>
          </cell>
          <cell r="R11" t="str">
            <v>P n W Spray Daisy ( 14 Inch ) 7     FF sachet + Grass</v>
          </cell>
          <cell r="S11" t="str">
            <v>Mix Alstroemeria ( 12 Inch ) 22     FF Sachet + Grass</v>
          </cell>
          <cell r="T11" t="str">
            <v>O n P Car ( 14 Inch ) 22     FF Sachet + Grass</v>
          </cell>
        </row>
        <row r="12">
          <cell r="A12">
            <v>2692</v>
          </cell>
          <cell r="B12" t="str">
            <v>A K Jain</v>
          </cell>
          <cell r="C12">
            <v>9910309930</v>
          </cell>
          <cell r="D12" t="str">
            <v>B-785, Sushant Lok-1, Near Police Chowki</v>
          </cell>
          <cell r="E12" t="str">
            <v>M G Road</v>
          </cell>
          <cell r="F12" t="str">
            <v>Saturday</v>
          </cell>
          <cell r="G12" t="str">
            <v>9 AM - 12 PM</v>
          </cell>
          <cell r="H12">
            <v>2300</v>
          </cell>
          <cell r="I12">
            <v>287.5</v>
          </cell>
          <cell r="J12" t="str">
            <v>Felicity</v>
          </cell>
          <cell r="K12" t="str">
            <v>Saturdya n Tuesday (16/05) Hold from 10th to 14th June (07/06) Paytm From Akhil Jain (21/06) Skip sat del and send them on Sunday (30/07) Do not count last delivery (22/09) Hold 25th and 28th (19/10) Today Returned (04/11) Skip sat delivery (18/03) Do not count last Del (15/06)</v>
          </cell>
          <cell r="N12" t="str">
            <v>2  del of this cycle   -  0-cycles pmnt   Completed - Collect 0</v>
          </cell>
          <cell r="O12" t="e">
            <v>#N/A</v>
          </cell>
          <cell r="P12" t="str">
            <v>P n W Glad ( 14 inch ) 11     Grass</v>
          </cell>
          <cell r="Q12" t="str">
            <v>P Eustoma ( 12 Inch ) 3     FF Sachet + Grass</v>
          </cell>
          <cell r="R12" t="str">
            <v>P Asiatic ( 14 Inch ) 2     Grass</v>
          </cell>
          <cell r="S12" t="str">
            <v>Mix Alstroemeria ( 12 Inch ) 11     FF Sachet + Grass</v>
          </cell>
          <cell r="T12" t="str">
            <v>O n P Car ( 14 Inch ) 11     FF Sachet + Grass</v>
          </cell>
        </row>
        <row r="13">
          <cell r="A13">
            <v>3104</v>
          </cell>
          <cell r="B13" t="str">
            <v>Tanvi Khandelwal</v>
          </cell>
          <cell r="C13">
            <v>9702005777</v>
          </cell>
          <cell r="D13" t="str">
            <v>F-13, Ridgewood Estate, Sec 27</v>
          </cell>
          <cell r="E13" t="str">
            <v>DLF Phase 4</v>
          </cell>
          <cell r="F13" t="str">
            <v>Tuesday</v>
          </cell>
          <cell r="G13" t="str">
            <v>After 5 PM</v>
          </cell>
          <cell r="H13">
            <v>1450</v>
          </cell>
          <cell r="I13">
            <v>362.5</v>
          </cell>
          <cell r="J13" t="str">
            <v>Bliss</v>
          </cell>
          <cell r="K13" t="str">
            <v>Send Replacement tom (19/05)</v>
          </cell>
          <cell r="N13" t="str">
            <v>1  del of this cycle   -  1-cycles pmnt   Pending - Collect 1450</v>
          </cell>
          <cell r="O13" t="e">
            <v>#N/A</v>
          </cell>
          <cell r="P13" t="e">
            <v>#N/A</v>
          </cell>
          <cell r="Q13" t="str">
            <v>R n W Car ( 14 Inch ) 16    Ensure Payment Collection and Call if Not paid FF Sachet + Grass</v>
          </cell>
          <cell r="R13" t="str">
            <v>P Asiatic ( 14 Inch ) 3     Grass</v>
          </cell>
          <cell r="S13" t="str">
            <v>P n W Glad ( 14 Inch ) 16     Grass</v>
          </cell>
          <cell r="T13" t="str">
            <v>P n Y Spray Daisy ( 14 Inch ) 5     FF Sachet + Grass</v>
          </cell>
        </row>
        <row r="14">
          <cell r="A14">
            <v>2247</v>
          </cell>
          <cell r="B14" t="str">
            <v>Reeya Naahar</v>
          </cell>
          <cell r="C14">
            <v>9818862169</v>
          </cell>
          <cell r="D14" t="str">
            <v>B-316-B, Sushant Lok-1</v>
          </cell>
          <cell r="E14" t="str">
            <v>M G Road</v>
          </cell>
          <cell r="F14" t="str">
            <v>Saturday</v>
          </cell>
          <cell r="G14" t="str">
            <v>9:30 AM to 2PM</v>
          </cell>
          <cell r="H14">
            <v>2300</v>
          </cell>
          <cell r="I14">
            <v>287.5</v>
          </cell>
          <cell r="J14" t="str">
            <v>Felicity</v>
          </cell>
          <cell r="K14" t="str">
            <v>Saturday n Tuesday// No Yel Spray Daisy // Do not count last del (06/07) No Gerbera (12/04)</v>
          </cell>
          <cell r="L14" t="str">
            <v>GERBERA</v>
          </cell>
          <cell r="N14" t="str">
            <v>8  del of this cycle   -  0-cycles pmnt   Completed - Collect 0</v>
          </cell>
          <cell r="O14" t="str">
            <v>O Asiatic ( 15 Inch )  2     Grass</v>
          </cell>
          <cell r="P14" t="str">
            <v>Sunflower ( 15 inch ) 3     Grass</v>
          </cell>
          <cell r="Q14" t="str">
            <v>P n W Car ( 14 Imch ) 11     FF Sachet + grass</v>
          </cell>
          <cell r="R14" t="str">
            <v>P Asiatic ( 14 Inch ) 2     Grass</v>
          </cell>
          <cell r="S14" t="str">
            <v>Pur Eustoma ( 12 Inch ) 3     FF Sachet + Grass</v>
          </cell>
          <cell r="T14" t="str">
            <v>P n W Glad ( 14 Inch ) 11     Grass</v>
          </cell>
        </row>
        <row r="15">
          <cell r="A15">
            <v>2132</v>
          </cell>
          <cell r="B15" t="str">
            <v>Smita Mathur</v>
          </cell>
          <cell r="C15" t="str">
            <v>+6281294705524</v>
          </cell>
          <cell r="D15" t="str">
            <v>R-9A, Windsor Court-- Next Supermart</v>
          </cell>
          <cell r="E15" t="str">
            <v>DLF Phase 4</v>
          </cell>
          <cell r="F15" t="str">
            <v>Tuesday</v>
          </cell>
          <cell r="G15" t="str">
            <v>9 AM - 12 PM</v>
          </cell>
          <cell r="H15">
            <v>1450</v>
          </cell>
          <cell r="I15">
            <v>362.5</v>
          </cell>
          <cell r="J15" t="str">
            <v>Bliss</v>
          </cell>
          <cell r="K15" t="str">
            <v>NO GLAD/ASIATIC/ORCHID(23/12) ONLY LILY/ROSE AD CHRYSANTHEMUM IN THIS PACK(23/12) Rajni Next(27/12) Skip 1 week(30/12) Bright Color Asiatic Next(09/01) ALWAYS SINGLE COLOR(10/01) Day changed to Friday and send bright lily on both days(11/01) Send 1 Pack tom(15/01) Dark Pink or Red Asiatic(22/01) Pls send Daisy Next(31/01) Y Fuldawari next(04/02) Next Yellow Color(07/02) This Cycle-- Oriental//Car//Orchid//Rose(02/10) Send next del on friday with moxed bright color car(05/10) Sent Replacement today(20/10) GuldawariNext(21/10) This week on saturday and then tuesday, Flowesr are-- Car//Lily//Guldawari//Rose//Orchid// Glad (17/11) NO ROSE  SEND REPLACEMENT TOM AND ALSO 2ND DEL(21/11)(21/11) Hold today (13/12) Hold for 2 weeks(13/12) NO BOP AND SPRAY DAISY  AND ROSES IF THEY ARE GOOD(22/12) Asiatic Next (04/01) Send Replacement tom (18/03) Paytm from 99****8930(25/07) Change to Joy (27/10) Change to bliss (13/12) Skip 2 Week (31/01) Skip 2 week (02/03) Holdn n start from 13 July (23/06) Sent replacement today (01/09) Skip 1 week (07/12) Hold aftyer current cycle (19/03) Skip 16th Aug (09/08) No flowers on 27th (16/09) Skip tom and now on tuesday Only (05/12) Skip 1 week (18/02)</v>
          </cell>
          <cell r="L15" t="str">
            <v>BOP n GERBERA</v>
          </cell>
          <cell r="N15" t="str">
            <v>2  del of this cycle   -  0-cycles pmnt   Completed - Collect 0</v>
          </cell>
          <cell r="O15" t="str">
            <v>Sunflower ( 15 inch) 4     Grass</v>
          </cell>
          <cell r="P15" t="str">
            <v>Mix Alstroemeria ( 14 inch ) 16     Grass</v>
          </cell>
          <cell r="Q15" t="str">
            <v>Y Asiatic ( 15 inch ) 3     Grass</v>
          </cell>
          <cell r="R15" t="str">
            <v>Mix Alstroemeria ( 12 Inch ) 16     Grass</v>
          </cell>
          <cell r="S15" t="str">
            <v>P n W Glad ( 14 Inch ) 16     Grass</v>
          </cell>
          <cell r="T15" t="str">
            <v>O n P Car ( 14 Inch ) 16     FF Sachet + Grass</v>
          </cell>
        </row>
        <row r="16">
          <cell r="A16">
            <v>3117</v>
          </cell>
          <cell r="B16" t="str">
            <v>Rupi</v>
          </cell>
          <cell r="C16">
            <v>9412006708</v>
          </cell>
          <cell r="D16" t="str">
            <v>T-14/304, Heritage City</v>
          </cell>
          <cell r="G16" t="str">
            <v>4 Pm to 7 PM</v>
          </cell>
          <cell r="H16">
            <v>1450</v>
          </cell>
          <cell r="J16" t="str">
            <v>Bliss</v>
          </cell>
          <cell r="T16" t="str">
            <v>P n Y Spray Daisy ( 14 Inch ) 5     FF Sachet + Grass</v>
          </cell>
        </row>
        <row r="17">
          <cell r="A17">
            <v>1377</v>
          </cell>
          <cell r="B17" t="str">
            <v>Geetanjali Babbar</v>
          </cell>
          <cell r="C17">
            <v>9958988852</v>
          </cell>
          <cell r="D17" t="str">
            <v>K-905, Sispal Vihar</v>
          </cell>
          <cell r="E17" t="str">
            <v>Sohna Road 1</v>
          </cell>
          <cell r="F17" t="str">
            <v>Friday</v>
          </cell>
          <cell r="G17" t="str">
            <v>9:30 Am to 2 PM</v>
          </cell>
          <cell r="H17">
            <v>2300</v>
          </cell>
          <cell r="I17">
            <v>287.5</v>
          </cell>
          <cell r="J17" t="str">
            <v>Felicity</v>
          </cell>
          <cell r="K17" t="str">
            <v>Tuesday and FRiday//Monday and Thursday//Send on Monday This week and send rajni too(03/04) Returned-send tom(11/04) Day Changed to Monday(11/04) Sent replacement of Gerbera today(20/04) She likes BOP+Rajni+Car Comb (20/04) Thursday and Monday Morning Slot(13/06) NO BOP(03/08) Hold today ansend after a week(20/11)  Holy Change(16/03) Skip 1 del(16/03) Skip 1 del AND ALWAYS SEND 10 STICKS(02/05) Skip 3rd Feb Del (28/01) Skip tom Delivery (06/04) Dont start from 16th June--start from 19th June (14/06) Skip Friday (13/09) Skip between 24th to 2nd Nov (24/10) Hold n start from Feb (13/01) Skip tom del (14/03) Do Not count last del (21/06) Skip comig Delivery(24/06) Sent a rewplacement today (23/10) Hold geetanjali babbar today (03/01) Skip 1 week (04/01) Skip 18th n 21st Mar (03/03) Skip Friday (09/04) Skip friday (26/06) Paytm From Merajul Alam (23/09) No Del From 09th to 13th (04/12) Skip 10th and 13th Feb (31/01) Skip 1 week (23/03) Replacement tom (21/04) HDTNP (29/05)</v>
          </cell>
          <cell r="M17" t="str">
            <v>Skip 18th n 21st Mar 25</v>
          </cell>
          <cell r="N17" t="str">
            <v>8  del of this cycle   -  0-cycles pmnt   Completed - Collect 0</v>
          </cell>
          <cell r="O17" t="str">
            <v>Mix Alstroemeria ( 14 inch ) 11     FF Sachet + Grass</v>
          </cell>
          <cell r="P17" t="str">
            <v>Y Spray Daisy ( 15 inch ) 3     FF Sachet + Grass</v>
          </cell>
          <cell r="Q17" t="str">
            <v>P n W Glad ( 14 Inch ) 11    Ensure Collection Grass</v>
          </cell>
          <cell r="R17" t="str">
            <v>Sunflowers ( 14 Inch ) 3     FF sachet + Grass</v>
          </cell>
          <cell r="S17" t="str">
            <v>Mix Alstroemeria ( 12 Inch ) 11     FF Sachet + Grass</v>
          </cell>
          <cell r="T17" t="str">
            <v>Y Spray Daisy ( 14 Inch ) 3     FF Sachet + Grass</v>
          </cell>
        </row>
        <row r="18">
          <cell r="A18">
            <v>2325</v>
          </cell>
          <cell r="B18" t="str">
            <v>Aman</v>
          </cell>
          <cell r="C18">
            <v>9818655913</v>
          </cell>
          <cell r="D18" t="str">
            <v>S-1/12, 1st Floor, DLF Phase 3</v>
          </cell>
          <cell r="E18" t="str">
            <v>DLF Phase 3</v>
          </cell>
          <cell r="F18" t="str">
            <v>Saturday</v>
          </cell>
          <cell r="G18" t="str">
            <v>4 Pm to 7 PM</v>
          </cell>
          <cell r="H18">
            <v>3000</v>
          </cell>
          <cell r="I18">
            <v>375</v>
          </cell>
          <cell r="J18" t="str">
            <v>Charm</v>
          </cell>
          <cell r="K18" t="str">
            <v>Sat n Tuesday//NO Car n Lilies(07/09) Skip coming del n send on 4th Jan (25/12) Skip tom (10/01) Hold n start from 5th Mar-25(09/02) Hold due to non payment (14/10) Hold due to non payment (17/01)</v>
          </cell>
          <cell r="L18" t="str">
            <v>Car n Lilies</v>
          </cell>
          <cell r="N18" t="str">
            <v>5  del of this cycle   -  0-cycles pmnt   Completed - Collect 0</v>
          </cell>
          <cell r="O18" t="str">
            <v>Y Asiatic 3     Grass</v>
          </cell>
          <cell r="P18" t="str">
            <v>P n W Spray Daisy ( 15 inch ) 4     FF Sachet + Grass</v>
          </cell>
          <cell r="Q18" t="str">
            <v>Mix Alstroemeria ( 14 inch ) 15     FF Sachet + Grass</v>
          </cell>
          <cell r="R18" t="str">
            <v>P Asiatic ( 14 Inch ) 3     Grass</v>
          </cell>
          <cell r="S18" t="str">
            <v>P n W Glad ( 14 Inch ) 15     Grass</v>
          </cell>
          <cell r="T18" t="str">
            <v>Sunflower ( 12 Inch ) 4     FF Sachet + Grass</v>
          </cell>
        </row>
        <row r="19">
          <cell r="A19">
            <v>2235</v>
          </cell>
          <cell r="B19" t="str">
            <v>Neha Khetan</v>
          </cell>
          <cell r="C19">
            <v>9650090724</v>
          </cell>
          <cell r="D19" t="str">
            <v>F3, D E F Block, Greenwood City, Sec 46</v>
          </cell>
          <cell r="E19" t="str">
            <v>Cyber World</v>
          </cell>
          <cell r="F19" t="str">
            <v>Tuesday</v>
          </cell>
          <cell r="G19" t="str">
            <v>9 AM to 2 PM</v>
          </cell>
          <cell r="H19">
            <v>1450</v>
          </cell>
          <cell r="I19">
            <v>362.5</v>
          </cell>
          <cell r="J19" t="str">
            <v>Bliss</v>
          </cell>
          <cell r="K19" t="str">
            <v>Skip 1 week (20/03) Flower Food Next (21/04). 500 received today- 250 adjusted in flower food, 250 extra. // 400 cash collected today (07/01) Paytm From Anupam Khetan (29/07) Hold due to non payment (07/10) Send tom (07/10)</v>
          </cell>
          <cell r="M19" t="str">
            <v>Single Kind</v>
          </cell>
          <cell r="N19" t="str">
            <v>3  del of this cycle   -  1-cycles pmnt   Pending - Collect 1450</v>
          </cell>
          <cell r="O19" t="str">
            <v>W Eustoma ( 14 Inch )  3     FF Sachet + Grass</v>
          </cell>
          <cell r="P19" t="str">
            <v>Sunflower ( 14 inch ) 4     Grass</v>
          </cell>
          <cell r="Q19" t="str">
            <v>P n W Glad ( 14 Inch ) 16     Grass</v>
          </cell>
          <cell r="R19" t="str">
            <v>P Asiatic ( 14 Inch ) 3     Grass</v>
          </cell>
          <cell r="S19" t="str">
            <v>R n P Car ( 14 Inch ) 16     FF Sachet + Grass</v>
          </cell>
          <cell r="T19" t="str">
            <v>P n Y Spray Daisy ( 14 Inch ) 5     FF Sachet + Grass</v>
          </cell>
        </row>
        <row r="20">
          <cell r="A20">
            <v>993</v>
          </cell>
          <cell r="B20" t="str">
            <v>Swati Khandelwal-- Evening Only</v>
          </cell>
          <cell r="C20">
            <v>8527962021</v>
          </cell>
          <cell r="D20" t="str">
            <v>414-A, Hamilton Court</v>
          </cell>
          <cell r="E20" t="str">
            <v>DLF Phase 4</v>
          </cell>
          <cell r="F20" t="str">
            <v>Tuesday</v>
          </cell>
          <cell r="G20" t="str">
            <v>9 AM to 2 PM</v>
          </cell>
          <cell r="H20">
            <v>2300</v>
          </cell>
          <cell r="I20">
            <v>287.5</v>
          </cell>
          <cell r="J20" t="str">
            <v>Felicity</v>
          </cell>
          <cell r="K20" t="str">
            <v>Saturday and Tuesday//Tuesday and Friday//1 St del Tom in morning and then every Sunday evening(05/01) ONLY LILY AND RAJNI(19/01) Lilies in all 4 Deliveries(01/02) Start Biss from next week(30/11) ONLY RAJNI(31/12) Send Guldawari next and then spray daisy next to next(09/01) NO ROSE mn RAJNI-- Send spray daisy next(27/01) Spray daisy Next(15/02) Moved to Felicity--1350 Pack, Pls mark pending(21/03) Send 1 extra delivery from Rachna Khanna ma'am(05/08) Do Not count last delivery(07/04) Send Flower Food Tom(12/09) Send Flower Food next (09/10) Hold till 1st Feb (20/01) Send Flower Food next (04/07) One More payment received today (30/10) Payment from Ramakant K (08/06) Rs. 9200 Received today and 10% applied on 9200 (10/12)</v>
          </cell>
          <cell r="L20" t="str">
            <v>ROSE n RAJNI</v>
          </cell>
          <cell r="N20" t="str">
            <v>4  del of this cycle   -  1-cycles pmnt   Pending - Collect 2300</v>
          </cell>
          <cell r="O20" t="str">
            <v>P Spray Daisy ( 15 inch) 3     FF Sachet + Grass</v>
          </cell>
          <cell r="P20" t="str">
            <v>W Asiatic ( 15 inch ) 2     Grass</v>
          </cell>
          <cell r="Q20" t="str">
            <v>P n W Car ( 14 Imch ) 11     FF Sachet + Grass</v>
          </cell>
          <cell r="R20" t="str">
            <v>Sunflowers ( 14 Inch ) 3     FF sachet + Grass</v>
          </cell>
          <cell r="S20" t="str">
            <v>P Asiatic ( 14 Inch ) 2     Grass</v>
          </cell>
          <cell r="T20" t="str">
            <v>P n W Glad ( 14 Inch ) 11     Grass</v>
          </cell>
        </row>
        <row r="21">
          <cell r="A21" t="str">
            <v>G-00029</v>
          </cell>
          <cell r="B21" t="str">
            <v>Shweta Arora</v>
          </cell>
          <cell r="C21">
            <v>9999164984</v>
          </cell>
          <cell r="D21" t="str">
            <v>H. No. 9506, 3rd Floor, Garden Villas</v>
          </cell>
          <cell r="E21" t="str">
            <v>DLF Phase 4</v>
          </cell>
          <cell r="F21" t="str">
            <v>Tuesday</v>
          </cell>
          <cell r="G21" t="str">
            <v>10 AM to 2:30 PM</v>
          </cell>
          <cell r="H21">
            <v>1950</v>
          </cell>
          <cell r="I21">
            <v>487.5</v>
          </cell>
          <cell r="J21" t="str">
            <v>Joy</v>
          </cell>
          <cell r="K21" t="str">
            <v>From Akriti Chopra // Paytm From Shweta Dudeja (26/02) Sent replacement today (18/04)</v>
          </cell>
          <cell r="N21" t="str">
            <v>4  del of this cycle   -  0-cycles pmnt   Completed - Collect 0</v>
          </cell>
          <cell r="O21" t="str">
            <v>Pur Eustoma ( 14 inch ) 2 P n W Glad ( 14 inch ) 11   FF Sachet + Grass</v>
          </cell>
          <cell r="P21" t="str">
            <v>P Asiatic ( 15 inch ) 2 Mix Alstroemeria ( 14 Inch ) 11   Grass</v>
          </cell>
          <cell r="Q21" t="str">
            <v>O n W Spray Daisy ( 15 Inch ) 4 P n W Car ( 14 Inch ) 11   Grass</v>
          </cell>
          <cell r="R21" t="str">
            <v>Sunflowers ( 14 Inch ) 3 P n W Glad ( 14 Inch ) 11   FF sachet + Grass</v>
          </cell>
          <cell r="S21" t="str">
            <v>P Eustoma ( 12 Inch ) 2 Mix Alstroemeria ( 12 Inch ) 11   FF Sachet + Grass</v>
          </cell>
          <cell r="T21" t="str">
            <v>O Asiatic ( 14 inch ) 2 O n P Car ( 14 Inch ) 11   Grass</v>
          </cell>
        </row>
        <row r="22">
          <cell r="A22">
            <v>3367</v>
          </cell>
          <cell r="B22" t="str">
            <v>Pallavi Sharma</v>
          </cell>
          <cell r="C22">
            <v>9910888631</v>
          </cell>
          <cell r="D22" t="str">
            <v>B-93, Regency Park 1, Sec 43</v>
          </cell>
          <cell r="E22" t="str">
            <v>DLF Phase 4</v>
          </cell>
          <cell r="F22" t="str">
            <v>Tuesday</v>
          </cell>
          <cell r="G22" t="str">
            <v>9 AM - 12 PM</v>
          </cell>
          <cell r="H22">
            <v>1450</v>
          </cell>
          <cell r="I22">
            <v>1450</v>
          </cell>
          <cell r="J22" t="str">
            <v>Bliss</v>
          </cell>
          <cell r="K22" t="str">
            <v>Paytm From Vaibhav Sharma (16.05) Skip 1 week (03/06)</v>
          </cell>
          <cell r="N22" t="str">
            <v>4  del of this cycle   -  0-cycles pmnt   Completed - Collect 0</v>
          </cell>
          <cell r="O22" t="e">
            <v>#N/A</v>
          </cell>
          <cell r="P22" t="str">
            <v>P n W Car ( 14 inch ) 16     FF Sachet + Grass</v>
          </cell>
          <cell r="Q22" t="str">
            <v>O Asiatic ( 15 Inch ) 3     Grass</v>
          </cell>
          <cell r="R22" t="str">
            <v>P n W Glad ( 14 Inch ) 16     Grass</v>
          </cell>
          <cell r="S22" t="e">
            <v>#N/A</v>
          </cell>
          <cell r="T22" t="str">
            <v>P n Y Spray Daisy ( 14 Inch ) 5     FF Sachet + Grass</v>
          </cell>
        </row>
        <row r="23">
          <cell r="A23">
            <v>2087</v>
          </cell>
          <cell r="B23" t="str">
            <v>Lucky Pandey</v>
          </cell>
          <cell r="C23" t="str">
            <v>9961712428//9971712428</v>
          </cell>
          <cell r="D23" t="str">
            <v>B3/502, Uniworld City ( West)</v>
          </cell>
          <cell r="E23" t="str">
            <v>South City 1</v>
          </cell>
          <cell r="F23" t="str">
            <v>Tuesday</v>
          </cell>
          <cell r="G23" t="str">
            <v>9 AM to 2 PM</v>
          </cell>
          <cell r="H23">
            <v>1450</v>
          </cell>
          <cell r="I23">
            <v>362.5</v>
          </cell>
          <cell r="J23" t="str">
            <v>Bliss</v>
          </cell>
          <cell r="K23" t="str">
            <v>Skip this Sunday and send on Tuesday (07/07) Skip 1 week (21/10) Today Returned (10/12) Today returned (17/03) Today Returned (19/003) Return-send tom (26/05) Hold (23/06) Today Returned (21/07) Gpay from Abhijeet K Choudhary (01/10) Hold today (03/12) No Sunflower (21/01) Returned today (17/06) Send 1 del todya (07/07)</v>
          </cell>
          <cell r="L23" t="str">
            <v>Sunflower</v>
          </cell>
          <cell r="N23" t="str">
            <v>3  del of this cycle   -  0-cycles pmnt   Completed - Collect 0</v>
          </cell>
          <cell r="O23" t="str">
            <v>P n W Glad ( 14 Inch) 16     Grass</v>
          </cell>
          <cell r="P23" t="str">
            <v>Mix Alstroemeria ( 14 inch ) 16     Grass</v>
          </cell>
          <cell r="Q23" t="str">
            <v>O n W Spray Daisy ( 15 Inch ) 5     FF Sachet + Grass</v>
          </cell>
          <cell r="R23" t="str">
            <v>Y Asiatic ( 14 Inch ) 3     Grass</v>
          </cell>
          <cell r="S23" t="str">
            <v>R n P Car ( 14 Inch ) 16     FF Sachet + Grass</v>
          </cell>
          <cell r="T23" t="str">
            <v>P n W Glad ( 14 Inch ) 16     Grass</v>
          </cell>
        </row>
        <row r="24">
          <cell r="A24">
            <v>975</v>
          </cell>
          <cell r="B24" t="str">
            <v>Ritu Sacheti</v>
          </cell>
          <cell r="C24">
            <v>9910007371</v>
          </cell>
          <cell r="D24" t="str">
            <v>B1/1401, World Spa, Sector 30</v>
          </cell>
          <cell r="E24" t="str">
            <v>South City 1</v>
          </cell>
          <cell r="F24" t="str">
            <v>Saturday</v>
          </cell>
          <cell r="G24" t="str">
            <v>9 AM - 12 PM</v>
          </cell>
          <cell r="H24">
            <v>3750</v>
          </cell>
          <cell r="I24">
            <v>468.75</v>
          </cell>
          <cell r="J24" t="str">
            <v>Grace</v>
          </cell>
          <cell r="K24" t="str">
            <v>Sat n Tuesday//NO Chrysanthemums(30/12) Received 50Rs. Today(13/01) Today returned-send tom(27/01) Pls send double del on next del and upgrade to 1250 pack once this cycle completes(25/05/2020) Sending 1st June Flowers on 30th may(30/05/2020) Upgrade to 1750 pack and always send 4 Asiatic and 15 normal flowers(08/07) Send replacement of glad tom(19/08/20) Hold n start from Feb(17/01) Skiped 1 week due to HOLI(29/03) NO RAJNI IN SUMMER(16/07) Send 4 Stick asiatic complimentary Tom(20/09) Send 2 Open Asiatic and replace Carnations AND NEVER CAR(04/10) Rs. 250 received against extra flowers(05/10) NO SAME COLOR FLOWERS(04/03) Return today (06/12) NO GERBERA (10/01) Return-send tom (04/04) Sent replacement of Guldawari today (09/04) Today Returned (20/06) No Flowers From 10th to 19 Th nov (02/11) No Flowers betqeen 22nd and 1st Jan (22/12) Returned today (10/02) Skip today (13/02) Skip this tuesday (11/03) No Flowers from 29th to 3rd Nov (25/10) Return today (23/11) No Gerbera (30/11) Today Returned (24/05) Sent 1 delivery today (25/05)</v>
          </cell>
          <cell r="L24" t="str">
            <v>GERBERA n SUNFLOWER</v>
          </cell>
          <cell r="N24" t="str">
            <v>3  del of this cycle   -  0-cycles pmnt   Completed - Collect 0</v>
          </cell>
          <cell r="O24" t="str">
            <v>W Eustoma 2 P n W Glad ( 14 inch ) 10   Grass</v>
          </cell>
          <cell r="P24" t="str">
            <v>P Asiatic ( 15 inch ) 2 Rajni ( 14 inch ) 10   Grass</v>
          </cell>
          <cell r="Q24" t="str">
            <v>O Spray Daisy ( 15 Inch ) 3 P n W Glad ( 14 Inch ) 12   FF Sachet + Grass</v>
          </cell>
          <cell r="R24" t="str">
            <v>Pur Eustoma ( 12 Inch )  3 P n W Car ( 14 inch ) 10   FF sachet + Grass</v>
          </cell>
          <cell r="S24" t="str">
            <v>P Asiatic ( 14 Inch ) 2 Mix Alstroemeria ( 12 Inch ) 10   Grass</v>
          </cell>
          <cell r="T24" t="str">
            <v>P Spray Daisy ( 14 Inch ) 3 O n P Car ( 14 Inch ) 10   FF Sachet + Grass</v>
          </cell>
        </row>
        <row r="25">
          <cell r="A25">
            <v>2896</v>
          </cell>
          <cell r="B25" t="str">
            <v>Priyanka -- Southern</v>
          </cell>
          <cell r="C25">
            <v>9870161122</v>
          </cell>
          <cell r="D25" t="str">
            <v>T-4/2504,  Tata Primanti,Southrn Peripheral, Near Vatika Chowk</v>
          </cell>
          <cell r="E25" t="str">
            <v>Sohna Road 2</v>
          </cell>
          <cell r="F25" t="str">
            <v>Monday</v>
          </cell>
          <cell r="G25" t="str">
            <v>9 AM - 12 PM</v>
          </cell>
          <cell r="H25">
            <v>1450</v>
          </cell>
          <cell r="I25">
            <v>362.5</v>
          </cell>
          <cell r="J25" t="str">
            <v>Bliss</v>
          </cell>
          <cell r="K25" t="str">
            <v>Paytm From Priyanka Seth (11/11) Hold due to non payment (02/02) Hold today and send on Friday (23/03)</v>
          </cell>
          <cell r="N25" t="str">
            <v>3  del of this cycle   -  0-cycles pmnt   Completed - Collect 0</v>
          </cell>
          <cell r="O25" t="e">
            <v>#N/A</v>
          </cell>
          <cell r="P25" t="e">
            <v>#N/A</v>
          </cell>
          <cell r="Q25" t="e">
            <v>#N/A</v>
          </cell>
          <cell r="R25" t="e">
            <v>#N/A</v>
          </cell>
          <cell r="S25" t="e">
            <v>#N/A</v>
          </cell>
          <cell r="T25" t="str">
            <v>O n P Car ( 14 Inch ) 16     FF Sachet + Grass</v>
          </cell>
        </row>
        <row r="26">
          <cell r="A26">
            <v>3275</v>
          </cell>
          <cell r="B26" t="str">
            <v>Reema Parents</v>
          </cell>
          <cell r="C26">
            <v>9910105022</v>
          </cell>
          <cell r="D26" t="str">
            <v>B1/603, Tulip Orange, Sec 70</v>
          </cell>
          <cell r="E26" t="str">
            <v>Badshahpur</v>
          </cell>
          <cell r="F26" t="str">
            <v>Tuesday</v>
          </cell>
          <cell r="G26" t="str">
            <v>9 AM - 12 PM</v>
          </cell>
          <cell r="H26">
            <v>1450</v>
          </cell>
          <cell r="I26">
            <v>362.5</v>
          </cell>
          <cell r="J26" t="str">
            <v>Bliss</v>
          </cell>
          <cell r="K26" t="str">
            <v>From Reema</v>
          </cell>
          <cell r="N26" t="str">
            <v>1  del of this cycle   -  0 -cycles pmnt  In Process - Collect 0</v>
          </cell>
          <cell r="O26" t="str">
            <v>R n W Car ( 14 Inch ) 9     FF Sachet + Grass</v>
          </cell>
          <cell r="P26" t="str">
            <v>P Spray Daisy 3     FF Sachet + Grass</v>
          </cell>
          <cell r="Q26" t="str">
            <v>Mix Alstroemeria ( 14 inch ) 9     FF Sachet + Grass</v>
          </cell>
          <cell r="R26" t="str">
            <v>P n W Glad ( 14 Inch ) 9     Grass</v>
          </cell>
          <cell r="S26" t="str">
            <v>P Asiatic ( 14 Inch ) 2     Grass</v>
          </cell>
          <cell r="T26" t="str">
            <v>O n P Car ( 14 Inch ) 16     FF Sachet + Grass</v>
          </cell>
        </row>
        <row r="27">
          <cell r="A27">
            <v>3333</v>
          </cell>
          <cell r="B27" t="str">
            <v>Urshita Gupta</v>
          </cell>
          <cell r="C27">
            <v>9910738939</v>
          </cell>
          <cell r="D27" t="str">
            <v>D-202, Pilot Court, Essel Towers</v>
          </cell>
          <cell r="E27" t="str">
            <v>M G Road</v>
          </cell>
          <cell r="F27" t="str">
            <v>Tuesday</v>
          </cell>
          <cell r="G27" t="str">
            <v>10 AM to 2:30 PM</v>
          </cell>
          <cell r="H27">
            <v>1950</v>
          </cell>
          <cell r="I27">
            <v>487.5</v>
          </cell>
          <cell r="J27" t="str">
            <v>Joy</v>
          </cell>
          <cell r="K27" t="str">
            <v>Change day to Tuesday (29/04) Hold till1 st June (20/05) Paytm From Urshita Saini (05/06)</v>
          </cell>
          <cell r="N27" t="str">
            <v>3  del of this cycle   -  0-cycles pmnt   Completed - Collect 0</v>
          </cell>
          <cell r="O27" t="str">
            <v>P n W Glad ( 14 Inch) 22     Grass</v>
          </cell>
          <cell r="P27" t="str">
            <v>P Asiatic ( 15 inch ) 4     Grass</v>
          </cell>
          <cell r="Q27" t="e">
            <v>#N/A</v>
          </cell>
          <cell r="R27" t="str">
            <v>R n W Car ( 14 Inch ) 22     FF sachet + Grass</v>
          </cell>
          <cell r="S27" t="str">
            <v>Mix Alstroemeria ( 12 Inch ) 22     FF Sachet + Grass</v>
          </cell>
          <cell r="T27" t="str">
            <v>P n W Spray Daisy ( 14 inch ) 7     FF Sachet + Grass</v>
          </cell>
        </row>
        <row r="28">
          <cell r="A28">
            <v>2484</v>
          </cell>
          <cell r="B28" t="str">
            <v>Swati Sharad</v>
          </cell>
          <cell r="C28">
            <v>9871225514</v>
          </cell>
          <cell r="D28" t="str">
            <v>204-B, 2nd Floor, 4th Floor, Beverley Park-1</v>
          </cell>
          <cell r="E28" t="str">
            <v>M G Road</v>
          </cell>
          <cell r="F28" t="str">
            <v>Tuesday</v>
          </cell>
          <cell r="G28" t="str">
            <v>9 AM - 12 PM</v>
          </cell>
          <cell r="H28">
            <v>1450</v>
          </cell>
          <cell r="I28">
            <v>362.5</v>
          </cell>
          <cell r="J28" t="str">
            <v>Bliss</v>
          </cell>
          <cell r="K28" t="str">
            <v>No Glad (03/04) No areca palm (15/04) Today Hold (03/02) Paytm from meenakshi Sharad (10/03)</v>
          </cell>
          <cell r="L28" t="str">
            <v>Glad</v>
          </cell>
          <cell r="M28" t="str">
            <v>No areca Palm // Flower Food Next (19/05)</v>
          </cell>
          <cell r="N28" t="str">
            <v>3  del of this cycle   -  1-cycles pmnt   Pending - Collect 1450</v>
          </cell>
          <cell r="O28" t="str">
            <v>O Asiatic ( 15 Inch )  2 P n W Glad ( 14 inch ) 7   Grass</v>
          </cell>
          <cell r="P28" t="str">
            <v>Sunflower ( 14 inch ) 2 Mix Alstroemeria ( 14 Inch ) 7   Grass</v>
          </cell>
          <cell r="Q28" t="str">
            <v>O Spray Daisy ( 15 Inch ) 3 P n W Car ( 14 Inch ) 7  Ensure Payment Collection and Call if Not paid FF Sachet + Grass</v>
          </cell>
          <cell r="R28" t="str">
            <v>Y Asiatic ( 14 Inch ) 2 P n W Glad ( 14 Inch ) 7   Grass</v>
          </cell>
          <cell r="S28" t="str">
            <v>Pur Eustoma ( 12 Inch ) 2 Mix Alstroemeria ( 12 Inch ) 7   FF Sachet + Grass</v>
          </cell>
          <cell r="T28" t="str">
            <v>Sunflower ( 12 Inch ) 2 O n P Car ( 14 Inch ) 7   FF Sachet + Grass</v>
          </cell>
        </row>
        <row r="29">
          <cell r="A29" t="str">
            <v>G-00059</v>
          </cell>
          <cell r="B29" t="str">
            <v>Kriya</v>
          </cell>
          <cell r="C29">
            <v>6391463009</v>
          </cell>
          <cell r="D29" t="str">
            <v>Zenden Stays, Room No. 207, Sector 30, Vijay Vihar Block A</v>
          </cell>
          <cell r="E29" t="str">
            <v>South City 1</v>
          </cell>
          <cell r="F29" t="str">
            <v>Tuesday</v>
          </cell>
          <cell r="G29" t="str">
            <v>9:30 Am to 2 PM</v>
          </cell>
          <cell r="H29">
            <v>1450</v>
          </cell>
          <cell r="I29">
            <v>362.5</v>
          </cell>
          <cell r="J29" t="str">
            <v>Bliss</v>
          </cell>
          <cell r="K29" t="str">
            <v>Don’t send if payment not received  // Paytm From Mohd. Zaid (10/06)</v>
          </cell>
          <cell r="N29" t="str">
            <v>1  del of this cycle   -  0-cycles pmnt   Completed - Collect 0</v>
          </cell>
          <cell r="O29" t="e">
            <v>#N/A</v>
          </cell>
          <cell r="P29" t="e">
            <v>#N/A</v>
          </cell>
          <cell r="Q29" t="e">
            <v>#N/A</v>
          </cell>
          <cell r="R29" t="str">
            <v xml:space="preserve">      </v>
          </cell>
          <cell r="S29" t="e">
            <v>#N/A</v>
          </cell>
          <cell r="T29" t="str">
            <v>O n P Car ( 14 Inch ) 16     FF Sachet + Grass</v>
          </cell>
        </row>
        <row r="30">
          <cell r="A30">
            <v>2594</v>
          </cell>
          <cell r="B30" t="str">
            <v>Anamika Sirohi</v>
          </cell>
          <cell r="C30">
            <v>9971707368</v>
          </cell>
          <cell r="D30" t="str">
            <v>E-703M The Vikas, DLF Phase 2</v>
          </cell>
          <cell r="E30" t="str">
            <v>DLF Phase 2</v>
          </cell>
          <cell r="F30" t="str">
            <v>Tuesday</v>
          </cell>
          <cell r="G30" t="str">
            <v>9 AM to 2 PM</v>
          </cell>
          <cell r="H30">
            <v>999</v>
          </cell>
          <cell r="I30">
            <v>249.75</v>
          </cell>
          <cell r="J30" t="str">
            <v>Delight</v>
          </cell>
          <cell r="K30" t="str">
            <v>Preferred Flowers -- Rose/Rajni/Gerbera/Lilies/Glad/car // Today Hold (12/08) Skip 2 week (13/08) Paytm From sangram Singh (10/09)</v>
          </cell>
          <cell r="N30" t="str">
            <v>2  del of this cycle   -  0-cycles pmnt   CompletedNO COLLECTION-we have extra money - Collect -10</v>
          </cell>
          <cell r="O30" t="str">
            <v>Sunflower ( 15 inch) 2     Grass</v>
          </cell>
          <cell r="P30" t="str">
            <v>P n W Glad ( 14 inch ) 9     Grass</v>
          </cell>
          <cell r="Q30" t="str">
            <v>O Spray Daisy ( 15 Inch ) 3     FF Sachet + Grass</v>
          </cell>
          <cell r="R30" t="str">
            <v>P Asiatic ( 14 Inch ) 2     Grass</v>
          </cell>
          <cell r="S30" t="str">
            <v>R n P Car ( 14 Inch ) 9     FF Sachet + Grass</v>
          </cell>
          <cell r="T30" t="str">
            <v>Mix Alstroemeria ( 12 Inch ) 9     FF Sachet + Grass</v>
          </cell>
        </row>
        <row r="31">
          <cell r="A31">
            <v>1334</v>
          </cell>
          <cell r="B31" t="str">
            <v>Rumika</v>
          </cell>
          <cell r="C31">
            <v>8750280078</v>
          </cell>
          <cell r="D31" t="str">
            <v>M-77, 1st Floor,Adani Samsara, Sector 60</v>
          </cell>
          <cell r="E31" t="str">
            <v>Ghata</v>
          </cell>
          <cell r="F31" t="str">
            <v>Saturday</v>
          </cell>
          <cell r="G31" t="str">
            <v>Post 5 PM</v>
          </cell>
          <cell r="H31">
            <v>2300</v>
          </cell>
          <cell r="I31">
            <v>287.5</v>
          </cell>
          <cell r="J31" t="str">
            <v>Felicity</v>
          </cell>
          <cell r="K31" t="str">
            <v>saturday n tuesday//Monday and Friday//Guldawari//Asiatic// car(06/03) Send anthuriums next and then upgrade to 1750 Package--BMF(23/03) Skiped 1 week due to HOLI(29/03) After this upgrade to 1750 Bi weekly plan -- Monday and Friday (04/04) Flowers-- Car//Rose//Lily//Guldawari//Gerbera//Spray Daisy(07/04) Send a replacement today(02/06) Flower Food Next(06/06) NO SPRAY DAISY(18/06) Shift to Elation after this cycle(14/09) Send less greens(21/09) NO GREENS(24/09) Pls send 1 stick of cotton on next del and check glad is being repeated(25/10) Skip n start from Monday(11/11) NO GERBERA(14/12) Send 1 heliconia tom as replacement(24/12) NO HELICONIA (11/02) Holy Change(16/03) Car//Guldawari//Asiatic//Orchid and 2 other best life flowers(13/06) START BIWEEKLY PLAN AFTER THIS CYCLE(06/07) Lilies Next(10/08) Repeat Last flowers(13/08) Hold till 22nd Sep(11/09) Do not count last del(06/11) No Orchid n Rajni and Lily Next (23/11) Sent replacememnt today (3/12) NO RAJNI/ANTHURIUM/HELICONIA and Less Glad (02/01) NO GLAD n ORCHID (29/01) Sent replacement // No BOP n GERBERA (29/04) Do Not count last delivery (19/09) Aster in Subscription (19/10) Send replacement today (21/10) Do not count last del (12/02) Alstroemeria Next (02/04) Do not count last del (11/06) Change slot to evebing post 5 PM and send one sunflower replacement tom (08/02) Last del not counted (30/04)</v>
          </cell>
          <cell r="L31" t="str">
            <v>Heliconia n Spray Daisy n Rajni</v>
          </cell>
          <cell r="M31" t="str">
            <v>Send 1 Extra Premiun next (08/02)</v>
          </cell>
          <cell r="N31" t="str">
            <v>7  del of this cycle   -  0-cycles pmnt   Completed - Collect 0</v>
          </cell>
          <cell r="O31" t="str">
            <v>O Asiatic ( 15 Inch )  2     Grass</v>
          </cell>
          <cell r="P31" t="str">
            <v>Sunflower ( 15 inch ) 3     Grass</v>
          </cell>
          <cell r="Q31" t="str">
            <v>P n W Glad ( 14 Inch ) 11     Grass</v>
          </cell>
          <cell r="R31" t="str">
            <v>P n W Glad ( 14 Inch ) 11     Grass</v>
          </cell>
          <cell r="S31" t="str">
            <v>Pur Eustoma ( 12 Inch ) 3     FF Sachet + Grass</v>
          </cell>
          <cell r="T31" t="str">
            <v>Y Spray Daisy ( 14 Inch ) 3     FF Sachet + Grass</v>
          </cell>
        </row>
        <row r="32">
          <cell r="A32">
            <v>1147</v>
          </cell>
          <cell r="B32" t="str">
            <v xml:space="preserve">Reena </v>
          </cell>
          <cell r="C32">
            <v>9811157690</v>
          </cell>
          <cell r="D32" t="str">
            <v>31/1, Ixia, Vatika City</v>
          </cell>
          <cell r="E32" t="str">
            <v>Sohna Road 1</v>
          </cell>
          <cell r="F32" t="str">
            <v>Tuesday</v>
          </cell>
          <cell r="G32" t="str">
            <v>9 AM to 2 PM</v>
          </cell>
          <cell r="H32">
            <v>1600</v>
          </cell>
          <cell r="I32">
            <v>200</v>
          </cell>
          <cell r="J32" t="str">
            <v>Bloom</v>
          </cell>
          <cell r="K32" t="str">
            <v>Tuesday and Friday//NO Rose/Rajni and ORCHID(30/10) Pink car Next(08/11) No Rose/No Rajni/No Orchids(30/11  NO RAJNI n HELICONIA (30/12) Star From Sunday (24/08) Skip coming Friday (07/12) Skip 1 week (18/01) Shift tom del to Sunday (20/06) Skip Friday Del (15/08) Today Returned(03/09) Skip 27th Del (22/12) Skip tom (30/01) Today Returned-send again (04/04) Hold n start from 15th (07/04) Skip friday (26/06) Skip 1 week (07/08) Skip tom del (11/09) Skip 1 week (01/11) Skip tom (30/04)</v>
          </cell>
          <cell r="L32" t="str">
            <v>RAJNI n HELICONIA</v>
          </cell>
          <cell r="N32" t="str">
            <v>3  del of this cycle   -  0-cycles pmnt   Completed - Collect 0</v>
          </cell>
          <cell r="O32" t="str">
            <v>Sunflower ( 15 inch) 2     FF Sachet + Grass</v>
          </cell>
          <cell r="P32" t="str">
            <v>P n W Glad ( 14 inch ) 7     Grass</v>
          </cell>
          <cell r="Q32" t="str">
            <v>P Eustoma ( 12 Inch ) 2     FF Sachet + Grass</v>
          </cell>
          <cell r="R32" t="str">
            <v>Sunflowers ( 14 Inch ) 2     FF sachet + Grass</v>
          </cell>
          <cell r="S32" t="str">
            <v>P n W Glad ( 14 Inch ) 7     Grass</v>
          </cell>
          <cell r="T32" t="str">
            <v>Mix Alstroemeria ( 12 Inch ) 7     FF Sachet + Grass</v>
          </cell>
        </row>
        <row r="33">
          <cell r="A33">
            <v>2593</v>
          </cell>
          <cell r="B33" t="str">
            <v>Devesh Srivastava</v>
          </cell>
          <cell r="C33">
            <v>7400118910</v>
          </cell>
          <cell r="D33" t="str">
            <v xml:space="preserve">T-7/1003&lt; The Palms
</v>
          </cell>
          <cell r="E33" t="str">
            <v>South City 1</v>
          </cell>
          <cell r="F33" t="str">
            <v>Tuesday</v>
          </cell>
          <cell r="G33" t="str">
            <v>9 AM to 2 PM</v>
          </cell>
          <cell r="H33">
            <v>1450</v>
          </cell>
          <cell r="I33">
            <v>362.5</v>
          </cell>
          <cell r="J33" t="str">
            <v>Bliss</v>
          </cell>
          <cell r="K33" t="str">
            <v>Saturday n Tuesday//One Del today and then every satrday 920/04) Sent one Del Today (09/05)</v>
          </cell>
          <cell r="N33" t="str">
            <v>3  del of this cycle   -  0-cycles pmnt   Completed - Collect 0</v>
          </cell>
          <cell r="O33" t="e">
            <v>#N/A</v>
          </cell>
          <cell r="P33" t="e">
            <v>#N/A</v>
          </cell>
          <cell r="Q33" t="str">
            <v>R n W Car ( 14 Inch ) 16     FF Sachet + Grass</v>
          </cell>
          <cell r="R33" t="str">
            <v xml:space="preserve"> Asiatic lily      Grass</v>
          </cell>
          <cell r="S33" t="str">
            <v>W Asiatic ( 14 Inch ) 3     Grass</v>
          </cell>
          <cell r="T33" t="str">
            <v>P n W Glad ( 14 Inch ) 16     Grass</v>
          </cell>
        </row>
        <row r="34">
          <cell r="A34">
            <v>1953</v>
          </cell>
          <cell r="B34" t="str">
            <v>Sandhya Nagesh</v>
          </cell>
          <cell r="C34">
            <v>8800649797</v>
          </cell>
          <cell r="D34" t="str">
            <v>89, Ground Floor, Woodstock Floors, Sec 50</v>
          </cell>
          <cell r="E34" t="str">
            <v>Nirvana Country</v>
          </cell>
          <cell r="F34" t="str">
            <v>Saturday</v>
          </cell>
          <cell r="G34" t="str">
            <v>9 AM - 12 PM</v>
          </cell>
          <cell r="H34">
            <v>3000</v>
          </cell>
          <cell r="I34">
            <v>375</v>
          </cell>
          <cell r="J34" t="str">
            <v>Charm</v>
          </cell>
          <cell r="K34" t="str">
            <v>Saturday n Tueaday(02/09) No Del From 10th to 19th (09/09) Today returned(19/08) hold today send tom (07/10) Skip 20th Del (14/01) Hold 6th n 10th Sug (03/08) Return tiday (07/02) Today Returned (24/02)</v>
          </cell>
          <cell r="N34" t="str">
            <v>3  del of this cycle   -  0-cycles pmnt   Completed - Collect 0</v>
          </cell>
          <cell r="O34" t="str">
            <v>P n W Spray Daisy ( 15 inch ) 4     FF Sachet + Grass</v>
          </cell>
          <cell r="P34" t="str">
            <v>W Asiatic ( 15 inch ) 3     Grass</v>
          </cell>
          <cell r="Q34" t="str">
            <v>P n W Glad ( 14 Inch ) 15     Grass</v>
          </cell>
          <cell r="R34" t="str">
            <v>Sunflowers ( 14 Inch ) 4     FF sachet + Grass</v>
          </cell>
          <cell r="S34" t="str">
            <v>P Oriental ( 14 Inch ) 2     Grass</v>
          </cell>
          <cell r="T34" t="str">
            <v>Rajni ( 14 Inch ) 15     Grass</v>
          </cell>
        </row>
        <row r="35">
          <cell r="A35">
            <v>1542</v>
          </cell>
          <cell r="B35" t="str">
            <v>Anisha Sethi</v>
          </cell>
          <cell r="C35">
            <v>9811004396</v>
          </cell>
          <cell r="D35" t="str">
            <v>Q-1/25, DLF Phase 2</v>
          </cell>
          <cell r="E35" t="str">
            <v>M G Road</v>
          </cell>
          <cell r="F35" t="str">
            <v>Saturday</v>
          </cell>
          <cell r="G35" t="str">
            <v>9 AM to 2 PM</v>
          </cell>
          <cell r="H35">
            <v>3000</v>
          </cell>
          <cell r="I35">
            <v>375</v>
          </cell>
          <cell r="J35" t="str">
            <v>Charm</v>
          </cell>
          <cell r="K35" t="str">
            <v>Saturdya n Tuesday//always mix of 2 flowers and send a scissor on 1st del for Rs.50(11/10) Send 1 Scissor also(13/10) Send Scissor Tom(15/10) Send Mogra next(18/10) NO HELICONIA and BOP(19/11) Skip this Tuesday(10/04) Skip this Tuesday Del(02/05) Skip 28th May Flowers(25/05) Sent replacement today(07/06) NO DEL BETWEEN 14TH AND 24TH JULY(06/07) Skip 12th , 16th , 19th and 23rd July(11/07) Skip 1 week(25/08) NO UPGRADE(17/10) Pause from 25th to 6th Apr (24/03) Asiatic n Car (05/05) No Delivery from 10th June to 15th July (07/06) Skip tom delivery (04/09) No flowers on 28th (26/10) Skip 1 Del (12/02) Hold on 2nd,6th and 9th Apr (30/03) Skip 20th Del (19/08) Pls hold n start from 5th Oct (22/09) No sunflowers for some time (15/04) Hold from 17th May t0 17th June (14/05) Collect 400 next and carry change (29/07) 400 cash on 5th Aug (12/08) Hold n send on 23rd Now (17/08)</v>
          </cell>
          <cell r="L35" t="str">
            <v>HELICONIA n BOP</v>
          </cell>
          <cell r="M35" t="str">
            <v>No Sunflowers for some time (15/04) Change of Rs. 50 Next (28/04)</v>
          </cell>
          <cell r="N35" t="str">
            <v>1  del of this cycle   -  1-cycles pmnt   Pending - Collect 3000</v>
          </cell>
          <cell r="O35" t="e">
            <v>#N/A</v>
          </cell>
          <cell r="P35" t="e">
            <v>#N/A</v>
          </cell>
          <cell r="Q35" t="e">
            <v>#N/A</v>
          </cell>
          <cell r="R35" t="e">
            <v>#N/A</v>
          </cell>
          <cell r="S35" t="e">
            <v>#N/A</v>
          </cell>
          <cell r="T35" t="str">
            <v>P Spray Daisy ( 14 Inch ) 2 P n W Glad ( 14 Inch ) 7   FF Sachet + Grass</v>
          </cell>
        </row>
        <row r="36">
          <cell r="A36">
            <v>3306</v>
          </cell>
          <cell r="B36" t="str">
            <v>Abhishek Jain</v>
          </cell>
          <cell r="C36">
            <v>9004227662</v>
          </cell>
          <cell r="D36" t="str">
            <v>N-3/8, 2nd Floor, Road No. N-3, Sector 25</v>
          </cell>
          <cell r="E36" t="str">
            <v>DLF Phase 2</v>
          </cell>
          <cell r="F36" t="str">
            <v>Tuesday</v>
          </cell>
          <cell r="G36" t="str">
            <v>9:30 AM to 2 PM</v>
          </cell>
          <cell r="H36">
            <v>1450</v>
          </cell>
          <cell r="I36">
            <v>362.5</v>
          </cell>
          <cell r="J36" t="str">
            <v>Bliss</v>
          </cell>
          <cell r="K36" t="str">
            <v>Skip 2 week (16/04)</v>
          </cell>
          <cell r="N36" t="str">
            <v>4  del of this cycle   -  0-cycles pmnt   Completed - Collect 0</v>
          </cell>
          <cell r="O36" t="str">
            <v>Mix Car ( 14 Inch) 16     Grass</v>
          </cell>
          <cell r="P36" t="str">
            <v>P Asiatic ( 15 inch ) 3     Grass</v>
          </cell>
          <cell r="Q36" t="str">
            <v>Mix Alstroemeria ( 14 inch ) 16     FF Sachet + Grass</v>
          </cell>
          <cell r="R36" t="str">
            <v>P n W Glad ( 14 Inch ) 16     Grass</v>
          </cell>
          <cell r="S36" t="str">
            <v>P n W Spray Daisy ( 14 Inch ) 5     FF Sachet + Grass</v>
          </cell>
          <cell r="T36" t="str">
            <v>O n P Car ( 14 Inch ) 16     FF Sachet + Grass</v>
          </cell>
        </row>
        <row r="37">
          <cell r="A37">
            <v>1554</v>
          </cell>
          <cell r="B37" t="str">
            <v>Farea Aziz</v>
          </cell>
          <cell r="C37">
            <v>9871694052</v>
          </cell>
          <cell r="D37" t="str">
            <v>Selan Exploration Tech Ltd, 8th Floor , Imperial Mindspace, Sec 62</v>
          </cell>
          <cell r="E37" t="str">
            <v>Ghata</v>
          </cell>
          <cell r="F37" t="str">
            <v>Tuesday</v>
          </cell>
          <cell r="G37" t="str">
            <v>By 10 AM</v>
          </cell>
          <cell r="H37">
            <v>1950</v>
          </cell>
          <cell r="I37">
            <v>487.5</v>
          </cell>
          <cell r="J37" t="str">
            <v>Corporate</v>
          </cell>
          <cell r="K37" t="str">
            <v>Return-send next week(03/01) Return-send tom at new add (04/10) Today hold -send tom (15/08) Today returned-send tom (24/10)</v>
          </cell>
          <cell r="N37" t="str">
            <v>4  del of this cycle   -  0-cycles pmnt   In Process - Collect 0</v>
          </cell>
          <cell r="O37" t="str">
            <v>Pur Eustoma ( 14 inch ) 2 P n W Glad ( 14 inch ) 11   FF Sachet + Grass</v>
          </cell>
          <cell r="P37" t="str">
            <v>P n W Spray Daisy ( 15 inch ) 4 Mix Alstroemeria ( 14 Inch ) 11   FF Sachet + Grass</v>
          </cell>
          <cell r="Q37" t="str">
            <v>Y Asiatic ( 15 inch ) 2 P n W Car ( 14 Inch ) 11   Grass</v>
          </cell>
          <cell r="R37" t="str">
            <v>Sunflowers ( 14 Inch ) 3 P n W Glad ( 14 Inch ) 11   FF sachet + Grass</v>
          </cell>
          <cell r="S37" t="str">
            <v>P Eustoma ( 12 Inch ) 2 Mix Alstroemeria ( 12 Inch ) 11   FF Sachet + Grass</v>
          </cell>
          <cell r="T37" t="str">
            <v>P Asiatic ( 14 Inch ) 2 O n P Car ( 14 Inch ) 11   Grass</v>
          </cell>
        </row>
        <row r="38">
          <cell r="A38" t="str">
            <v>B56174</v>
          </cell>
          <cell r="B38">
            <v>8527189810</v>
          </cell>
          <cell r="C38">
            <v>8527189810</v>
          </cell>
          <cell r="D38" t="str">
            <v>T-4/1403, Unitech Fresco</v>
          </cell>
          <cell r="E38" t="str">
            <v>Nirvana Country</v>
          </cell>
          <cell r="F38" t="str">
            <v>Tuesday</v>
          </cell>
          <cell r="G38" t="str">
            <v>By 9:30 AM</v>
          </cell>
          <cell r="H38">
            <v>1150</v>
          </cell>
          <cell r="I38">
            <v>1150</v>
          </cell>
          <cell r="J38" t="str">
            <v>Bouquet</v>
          </cell>
          <cell r="K38" t="str">
            <v>20 Red Rose in Full Tissue Wrap// Happy Anniversary Dear Wife!! ( Double Heart emoji) // Paytm From Sahil Bindlish</v>
          </cell>
          <cell r="N38" t="str">
            <v>1  del of this cycle   -  0-cycles pmnt   Completed - Collect 0</v>
          </cell>
          <cell r="O38" t="e">
            <v>#N/A</v>
          </cell>
          <cell r="P38" t="e">
            <v>#N/A</v>
          </cell>
          <cell r="Q38" t="e">
            <v>#N/A</v>
          </cell>
          <cell r="R38" t="e">
            <v>#N/A</v>
          </cell>
          <cell r="S38" t="e">
            <v>#N/A</v>
          </cell>
          <cell r="T38" t="str">
            <v xml:space="preserve">R Rose  20 Full Tissue Wrap Message   </v>
          </cell>
        </row>
        <row r="39">
          <cell r="A39">
            <v>2536</v>
          </cell>
          <cell r="B39" t="str">
            <v xml:space="preserve">Poonam Lal </v>
          </cell>
          <cell r="C39">
            <v>9811096665</v>
          </cell>
          <cell r="D39" t="str">
            <v>T-121/173, Silver Oaks Appartments</v>
          </cell>
          <cell r="E39" t="str">
            <v>DLF Phase 1</v>
          </cell>
          <cell r="F39" t="str">
            <v>Saturday</v>
          </cell>
          <cell r="G39" t="str">
            <v>9 AM - 12 PM</v>
          </cell>
          <cell r="H39">
            <v>1450</v>
          </cell>
          <cell r="I39">
            <v>362.5</v>
          </cell>
          <cell r="J39" t="str">
            <v>Bliss</v>
          </cell>
          <cell r="K39" t="str">
            <v>10% Discount // Today hold (02/08) Hold n start after 11th Sep (05/09) Start after 27th Jan (16/01) Skip tom (03/04) Skip tom add being changed (01/05) Hold till 04th June (26/05)</v>
          </cell>
          <cell r="N39" t="str">
            <v>1  del of this cycle   -  1-cycles pmnt   Pending - Collect 1450</v>
          </cell>
          <cell r="O39" t="str">
            <v>Mix Alstroemeria ( 14 inch ) 9     FF Sachet + Grass</v>
          </cell>
          <cell r="P39" t="str">
            <v>P n W Car ( 14 inch ) 9     FF Sachet + Grass</v>
          </cell>
          <cell r="Q39" t="str">
            <v>Y Asiatic ( 15 inch ) 2     Grass</v>
          </cell>
          <cell r="R39" t="e">
            <v>#N/A</v>
          </cell>
          <cell r="S39" t="str">
            <v>P n W Glad ( 14 Inch ) 9     Grass</v>
          </cell>
          <cell r="T39" t="str">
            <v>P n Y Spray Daisy ( 14 Inch ) 5     FF Sachet + Grass</v>
          </cell>
        </row>
        <row r="40">
          <cell r="A40">
            <v>2463</v>
          </cell>
          <cell r="B40" t="str">
            <v>Rishika Mazumdar</v>
          </cell>
          <cell r="C40">
            <v>9674039510</v>
          </cell>
          <cell r="D40" t="str">
            <v>A-45/17, 4th Floor, Yadav House, Sec 28, DLF Phase 1</v>
          </cell>
          <cell r="E40" t="str">
            <v>DLF Phase 1</v>
          </cell>
          <cell r="F40" t="str">
            <v>Tuesday</v>
          </cell>
          <cell r="G40" t="str">
            <v>9 AM - 12 PM</v>
          </cell>
          <cell r="H40">
            <v>999</v>
          </cell>
          <cell r="I40">
            <v>249.75</v>
          </cell>
          <cell r="J40" t="str">
            <v>Delight</v>
          </cell>
          <cell r="K40" t="str">
            <v>Referred by Navjot Kaur// Sent replacement today (15/04) skip next and send on Tuesday (26/04) Skip n send on Tuesday (22/06) Skip tom n send on Tuesday (04/07) Change day to Tuesday (17/07) Hold from 20th Sep and stsrt from 11th Oct (01/09) Skip 25th and sned on 29th (18/11) Paytm from Tushar Gupta (17/02) Hold till 12th April (29/03)</v>
          </cell>
          <cell r="M40" t="str">
            <v>Don’t send on  28th -- sned on 1st July(26/04)</v>
          </cell>
          <cell r="N40" t="str">
            <v>4  del of this cycle   -  0-cycles pmnt   Completed - Collect 0</v>
          </cell>
          <cell r="O40" t="str">
            <v>P Spray Daisy ( 15 inch) 3     FF Sachet + Grass</v>
          </cell>
          <cell r="P40" t="str">
            <v>Mix Alstroemeria ( 14 inch ) 9     Grass</v>
          </cell>
          <cell r="Q40" t="str">
            <v>Y Asiatic ( 15 inch ) 2     Grass</v>
          </cell>
          <cell r="R40" t="str">
            <v>R n W Car ( 14 Inch ) 9     FF sachet + Grass</v>
          </cell>
          <cell r="S40" t="str">
            <v>P n W Glad ( 14 Inch ) 9     Grass</v>
          </cell>
          <cell r="T40" t="str">
            <v>Sunflower ( 12 Inch ) 2     FF Sachet + Grass</v>
          </cell>
        </row>
        <row r="41">
          <cell r="A41">
            <v>3132</v>
          </cell>
          <cell r="B41" t="str">
            <v>Ramesh Kapoor</v>
          </cell>
          <cell r="C41">
            <v>9717416100</v>
          </cell>
          <cell r="D41" t="str">
            <v>T-6/1404, The Palms, South City 1</v>
          </cell>
          <cell r="E41" t="str">
            <v>South City 1</v>
          </cell>
          <cell r="F41" t="str">
            <v>Tuesday</v>
          </cell>
          <cell r="G41" t="str">
            <v>9 AM - 12 PM</v>
          </cell>
          <cell r="H41">
            <v>2300</v>
          </cell>
          <cell r="I41">
            <v>287.5</v>
          </cell>
          <cell r="J41" t="str">
            <v>Felicity</v>
          </cell>
          <cell r="K41" t="str">
            <v>Paytm From Anuradha Kapoor - Anu Kapoor (04/11) Premium tom (13/11) Replacement tom (21/04) 10 % Discint given (15/06)</v>
          </cell>
          <cell r="M41" t="str">
            <v>Premium Next (13/11)</v>
          </cell>
          <cell r="N41" t="str">
            <v>1  del of this cycle   -  1-cycles pmnt   Pending - Collect 2070</v>
          </cell>
          <cell r="O41" t="str">
            <v>P Spray Daisy ( 15 inch) 3     FF Sachet + Grass</v>
          </cell>
          <cell r="P41" t="str">
            <v>Mix Alstroemeria ( 14 inch ) 9     Grass</v>
          </cell>
          <cell r="Q41" t="str">
            <v>R n W Car ( 14 Inch ) 9     FF Sachet + Grass</v>
          </cell>
          <cell r="R41" t="str">
            <v>P Asiatic ( 14 Inch ) 2     Grass</v>
          </cell>
          <cell r="S41" t="str">
            <v>P n W Glad ( 14 Inch ) 9     Grass</v>
          </cell>
          <cell r="T41" t="str">
            <v>Y Spray Daisy ( 14 Inch ) 3     FF Sachet + Grass</v>
          </cell>
        </row>
        <row r="42">
          <cell r="A42">
            <v>3361</v>
          </cell>
          <cell r="B42" t="str">
            <v>Navneet Kaur</v>
          </cell>
          <cell r="C42">
            <v>8527893377</v>
          </cell>
          <cell r="D42" t="str">
            <v>C-601, Time Residency, Sec 63</v>
          </cell>
          <cell r="E42" t="str">
            <v>Ghata</v>
          </cell>
          <cell r="F42" t="str">
            <v>Tuesday</v>
          </cell>
          <cell r="G42" t="str">
            <v>10 AM to 2:30 PM</v>
          </cell>
          <cell r="H42">
            <v>1450</v>
          </cell>
          <cell r="I42">
            <v>362.5</v>
          </cell>
          <cell r="J42" t="str">
            <v>Bliss</v>
          </cell>
          <cell r="K42" t="str">
            <v>Skip 1 week (16/05) Skip 1 week (04/06)</v>
          </cell>
          <cell r="N42" t="str">
            <v>4  del of this cycle   -  0-cycles pmnt   Completed - Collect 0</v>
          </cell>
          <cell r="O42" t="str">
            <v>Pur n P Car ( 14 inch ) 16     FF Sachet + Grass</v>
          </cell>
          <cell r="P42" t="e">
            <v>#N/A</v>
          </cell>
          <cell r="Q42" t="str">
            <v>O n W Spray Daisy ( 15 Inch ) 5     FF Sachet + Grass</v>
          </cell>
          <cell r="R42" t="str">
            <v>P n W Glad ( 14 Inch ) 16     Grass</v>
          </cell>
          <cell r="S42" t="e">
            <v>#N/A</v>
          </cell>
          <cell r="T42" t="str">
            <v>O Asiatic ( 14 inch ) 3     Grass</v>
          </cell>
        </row>
        <row r="43">
          <cell r="A43" t="str">
            <v>B56171</v>
          </cell>
          <cell r="B43" t="str">
            <v>Sabyasachi Ghosh</v>
          </cell>
          <cell r="C43">
            <v>9004288680</v>
          </cell>
          <cell r="D43" t="str">
            <v>I-178, 2nd Floor, Ivory, Emerald Hills, Sec 65</v>
          </cell>
          <cell r="E43" t="str">
            <v>Badshahpur</v>
          </cell>
          <cell r="F43" t="str">
            <v>Tuesday</v>
          </cell>
          <cell r="G43" t="str">
            <v>By 10 AM</v>
          </cell>
          <cell r="H43">
            <v>2950</v>
          </cell>
          <cell r="I43">
            <v>2950</v>
          </cell>
          <cell r="J43" t="str">
            <v>Bouquet</v>
          </cell>
          <cell r="K43" t="str">
            <v>5 P Oriental and 12 Pink n W Car in Vase // Happy Birthday       From    Saisha and Rishi (15/06)</v>
          </cell>
          <cell r="N43" t="str">
            <v>1  del of this cycle   -  0-cycles pmnt   Completed - Collect 0</v>
          </cell>
          <cell r="O43" t="e">
            <v>#N/A</v>
          </cell>
          <cell r="P43" t="e">
            <v>#N/A</v>
          </cell>
          <cell r="Q43" t="e">
            <v>#N/A</v>
          </cell>
          <cell r="R43" t="e">
            <v>#N/A</v>
          </cell>
          <cell r="S43" t="e">
            <v>#N/A</v>
          </cell>
          <cell r="T43" t="str">
            <v xml:space="preserve">P Oriental + P n W Car 5 + 12 Vase Arrangement Message   </v>
          </cell>
        </row>
        <row r="44">
          <cell r="A44" t="str">
            <v>B56173</v>
          </cell>
          <cell r="B44" t="str">
            <v>Saloni Yadav</v>
          </cell>
          <cell r="D44" t="str">
            <v>136, Birch Court</v>
          </cell>
          <cell r="E44" t="str">
            <v>Nirvana Country</v>
          </cell>
          <cell r="F44" t="str">
            <v>Tuesday</v>
          </cell>
          <cell r="G44" t="str">
            <v>By 3 PM</v>
          </cell>
          <cell r="H44">
            <v>5170</v>
          </cell>
          <cell r="I44">
            <v>5170</v>
          </cell>
          <cell r="J44" t="str">
            <v>Bouquet</v>
          </cell>
          <cell r="K44" t="str">
            <v xml:space="preserve">( 20 Rajni Lari + 20 Red Rose ) + ( 10 + 10 Red Rose Bunch without wrapping) + ( 2 Bunch of 7 B Orchid and 7 W Car in Walkin Tissue Wrap ) + Mogra 100 Gm and 500 gm Rose Petals </v>
          </cell>
          <cell r="N44" t="str">
            <v>1  del of this cycle   -  1-cycles pmnt   Pending - Collect 5170</v>
          </cell>
          <cell r="O44" t="e">
            <v>#N/A</v>
          </cell>
          <cell r="P44" t="e">
            <v>#N/A</v>
          </cell>
          <cell r="Q44" t="e">
            <v>#N/A</v>
          </cell>
          <cell r="R44" t="e">
            <v>#N/A</v>
          </cell>
          <cell r="S44" t="e">
            <v>#N/A</v>
          </cell>
          <cell r="T44" t="str">
            <v xml:space="preserve">( Rajni Lari + R Rose ) + ( ( R Rose + R Rose ) + ( B Orchid n W Car + B Orchid n W Car ) + Mogra + Rose Petal ( 20 + 20 ) + ( 10 + 10 ) + ( 7 + 7 and 7 + 7 ) + 100 Gm + 500 Gm  ( Lari and stems on Stand ( ( Bunch + Bunch without Wrapping ) + ( Bunch + Bunch with Walkin Tissue Wrap)    </v>
          </cell>
        </row>
        <row r="45">
          <cell r="A45">
            <v>3174</v>
          </cell>
          <cell r="B45" t="str">
            <v>Swapnil</v>
          </cell>
          <cell r="C45">
            <v>9910715560</v>
          </cell>
          <cell r="D45" t="str">
            <v>Axelle, 17-B, Tata Raisina, Sec 59</v>
          </cell>
          <cell r="E45" t="str">
            <v>Ghata</v>
          </cell>
          <cell r="F45" t="str">
            <v>Tuesday</v>
          </cell>
          <cell r="G45" t="str">
            <v>10 AM to 2:30 PM</v>
          </cell>
          <cell r="H45">
            <v>1450</v>
          </cell>
          <cell r="I45">
            <v>362.5</v>
          </cell>
          <cell r="J45" t="str">
            <v>Bliss</v>
          </cell>
          <cell r="K45" t="str">
            <v>Skip 1 week (05/12)</v>
          </cell>
          <cell r="N45" t="str">
            <v>1  del of this cycle   -  1-cycles pmnt   Pending - Collect 1450</v>
          </cell>
          <cell r="O45" t="e">
            <v>#N/A</v>
          </cell>
          <cell r="P45" t="str">
            <v>P n W Car ( 14 inch ) 16     Grass</v>
          </cell>
          <cell r="Q45" t="str">
            <v>O Asiatic ( 15 Inch ) 3     Grass</v>
          </cell>
          <cell r="R45" t="str">
            <v>Mix Alstroemeria ( 12 Inch ) 16     Grass</v>
          </cell>
          <cell r="S45" t="str">
            <v>P n Y Spray Daisy ( 14 Inch ) 5     FF Sachet + Grass</v>
          </cell>
          <cell r="T45" t="str">
            <v>P n W Glad ( 14 Inch ) 16     Grass</v>
          </cell>
        </row>
        <row r="46">
          <cell r="A46">
            <v>3371</v>
          </cell>
          <cell r="B46" t="str">
            <v>Supriya Bijlwan</v>
          </cell>
          <cell r="C46">
            <v>9560012831</v>
          </cell>
          <cell r="D46" t="str">
            <v>C-201, Mahindra Luminaire</v>
          </cell>
          <cell r="E46" t="str">
            <v>Ghata</v>
          </cell>
          <cell r="F46" t="str">
            <v>Saturday</v>
          </cell>
          <cell r="G46" t="str">
            <v>10 AM to 2:30 PM</v>
          </cell>
          <cell r="H46">
            <v>2300</v>
          </cell>
          <cell r="I46">
            <v>287.5</v>
          </cell>
          <cell r="J46" t="str">
            <v>Felicity</v>
          </cell>
          <cell r="K46" t="str">
            <v>1 Seasonal Extra next (20/05)</v>
          </cell>
          <cell r="M46" t="str">
            <v>Premium in next 2 Del (23/05)</v>
          </cell>
          <cell r="N46" t="str">
            <v>1  del of this cycle   -  0-cycles pmnt   Completed - Collect 0</v>
          </cell>
          <cell r="O46" t="e">
            <v>#N/A</v>
          </cell>
          <cell r="P46" t="str">
            <v>P n W Car ( 14 inch ) 11     FF Sachet + Grass</v>
          </cell>
          <cell r="Q46" t="str">
            <v>O Spray Daisy ( 15 Inch ) 2     FF Sachet + grass</v>
          </cell>
          <cell r="R46" t="str">
            <v>Sunflowers ( 14 Inch ) 3     FF sachet + Grass</v>
          </cell>
          <cell r="S46" t="str">
            <v>Pur Eustoma ( 12 Inch ) 3     FF Sachet + Grass</v>
          </cell>
          <cell r="T46" t="str">
            <v>Rajni ( 14 Inch ) 11     Grass</v>
          </cell>
        </row>
        <row r="47">
          <cell r="A47">
            <v>2487</v>
          </cell>
          <cell r="B47" t="str">
            <v>Jyoti - Digi Homes</v>
          </cell>
          <cell r="C47">
            <v>9711267571</v>
          </cell>
          <cell r="D47" t="str">
            <v>T-B/2802, Emaar Digi Homes, Sec 62</v>
          </cell>
          <cell r="E47" t="str">
            <v>Ghata</v>
          </cell>
          <cell r="F47" t="str">
            <v>Tuesday</v>
          </cell>
          <cell r="G47" t="str">
            <v>4 Pm to 7 PM</v>
          </cell>
          <cell r="H47">
            <v>1950</v>
          </cell>
          <cell r="I47">
            <v>487.5</v>
          </cell>
          <cell r="J47" t="str">
            <v>Joy</v>
          </cell>
          <cell r="K47" t="str">
            <v>No Glad n Rajni n try fir Gerbera fior 1st Del // Hold n send on 19th and send on 21st (17/04) 19th Del Missed-send on 26th (23/04) Do not count last del 28/05) Today returned (21/06) Do not count last del (20/07) Today Hold  and send on tuesday(02/08) Return today (05/08) Skip 2 Weeks (09/08) Day change to tuesday and and skip 2 week (09/08) Day Changed to saturday (02/09) No BOP also (23/09 Paytm From Jyoti chaudhary (27/10) Only No Rajni and BOP (19/03)</v>
          </cell>
          <cell r="L47" t="str">
            <v>Rajni n BOP</v>
          </cell>
          <cell r="N47" t="str">
            <v>2  del of this cycle   -  1-cycles pmnt   Pending - Collect 1950</v>
          </cell>
          <cell r="O47" t="str">
            <v>Sunflower ( 15 inch) 5     Grass</v>
          </cell>
          <cell r="P47" t="str">
            <v>P n Y Spray Daisy ( 15 inch ) 7     FF Sachet + Grass</v>
          </cell>
          <cell r="Q47" t="str">
            <v>O Asiatic ( 15 Inch ) 4     Grass</v>
          </cell>
          <cell r="R47" t="str">
            <v>Mix Alstroemeria ( 12 Inch ) 22     Grass</v>
          </cell>
          <cell r="S47" t="str">
            <v>R n W  Carnation  22     Grass</v>
          </cell>
          <cell r="T47" t="str">
            <v>P n Pur Eustoma ( 12 Inch ) 4     FF Sachet + Grass</v>
          </cell>
        </row>
        <row r="48">
          <cell r="A48" t="str">
            <v>B00000</v>
          </cell>
          <cell r="B48" t="str">
            <v>Nidhi Sharma Malhotra -- BPTP -- Centra 1</v>
          </cell>
          <cell r="C48">
            <v>9999016333</v>
          </cell>
          <cell r="D48" t="str">
            <v>BPTP, Sec 61</v>
          </cell>
          <cell r="E48" t="str">
            <v>Ghata</v>
          </cell>
          <cell r="F48" t="str">
            <v>Sunday</v>
          </cell>
          <cell r="G48" t="str">
            <v>By 8 AM</v>
          </cell>
          <cell r="H48">
            <v>0</v>
          </cell>
          <cell r="I48">
            <v>0</v>
          </cell>
          <cell r="J48" t="str">
            <v>Refreshment</v>
          </cell>
          <cell r="T48" t="str">
            <v xml:space="preserve">O n P Car + O Asiatic + O Spray Daisy + BOP + P Eustoma + P Anthurium 140 + 5 + 15 + 5 + 10 + 5 G n W Car + W Asiatic + G n W Button Daisy + + G Anthurium + G Eustoma 5 + 10 + 4 + 10   </v>
          </cell>
        </row>
        <row r="49">
          <cell r="A49">
            <v>918</v>
          </cell>
          <cell r="B49" t="str">
            <v>FIVD</v>
          </cell>
          <cell r="C49">
            <v>9560117868</v>
          </cell>
          <cell r="D49" t="str">
            <v>Fivd India, 22-27, 7th Floor, A Tower, Emaar Digital Green Sec 61</v>
          </cell>
          <cell r="E49" t="str">
            <v>Ghata</v>
          </cell>
          <cell r="F49" t="str">
            <v>Tuesday</v>
          </cell>
          <cell r="G49" t="str">
            <v>9 AM - 12 PM</v>
          </cell>
          <cell r="H49">
            <v>1950</v>
          </cell>
          <cell r="I49">
            <v>487.5</v>
          </cell>
          <cell r="J49" t="str">
            <v>Corporate</v>
          </cell>
          <cell r="K49" t="str">
            <v>Only Asiatic(12/10) Skip this week(26/10) Google pay from manas mehrotra(24/11) Return-send on Tuesday(08/12) Gpay From Priyanka Singh (24/09) Sent a vase today (07/02) Add Changed (14/07) Today hold-send tom (15/08) send replacement tom (16/08) Today returned-send tom (24/10) Sent replacement today (04/07) Sent replacement today (27/11) Office was closed (21/10)</v>
          </cell>
          <cell r="L49" t="str">
            <v>GLAD And GULDAWARI AND SPRAY DAISY</v>
          </cell>
          <cell r="N49" t="str">
            <v>4  del of this cycle   -  0-cycles pmnt   In Process - Collect 0</v>
          </cell>
          <cell r="O49" t="str">
            <v>Sunflower ( 15 inch) 5     Grass</v>
          </cell>
          <cell r="P49" t="str">
            <v>R n W Car ( 14 Inch ) 22     FF Sachet + Grass</v>
          </cell>
          <cell r="Q49" t="str">
            <v>Mix Alstroemeria ( 14 inch ) 22     FF Sachet + Grass</v>
          </cell>
          <cell r="R49" t="str">
            <v>Y Asiatic ( 14 Inch ) 4     Grass</v>
          </cell>
          <cell r="S49" t="str">
            <v>Sunflower ( 12 Inch ) 5     FF Sachet + Grass</v>
          </cell>
          <cell r="T49" t="str">
            <v>P n W Glad ( 14 Inch ) 22     Grass</v>
          </cell>
        </row>
        <row r="50">
          <cell r="A50">
            <v>1389</v>
          </cell>
          <cell r="B50" t="str">
            <v>Revathi-- After 5 PM</v>
          </cell>
          <cell r="C50">
            <v>9811998878</v>
          </cell>
          <cell r="D50" t="str">
            <v>A-1201, The Emaar Palm Drive</v>
          </cell>
          <cell r="E50" t="str">
            <v>Badshahpur</v>
          </cell>
          <cell r="F50" t="str">
            <v>Friday</v>
          </cell>
          <cell r="G50" t="str">
            <v>4 PM to 7PM</v>
          </cell>
          <cell r="H50">
            <v>3850</v>
          </cell>
          <cell r="I50">
            <v>481.25</v>
          </cell>
          <cell r="J50" t="str">
            <v>Grace</v>
          </cell>
          <cell r="K50" t="str">
            <v>Friday and Tuesday// NO RAJNIGANDHA NOW ONLY LILIES//CAR AND GLAD(26/07)  NO WONLY LILIES, HELICONIA AND CAR IN YELLOW OR ORANGE ONLY(11/09)  ONLY  LILIES/GLADIOLI AND HELICONIA ONLY IN YELL AND ORANGE COLOR-- NOCARNATION(01/10) Rajni or Bop next(18/10) Send 1 FF Next(29/06) LILY n GLAD ARE PREFERRED(29/06) Now From Rose//Car//Glad//Guldawari//Asiatic//Oriental(03/08) Skip this friday(09/08) No Upgrade (17/10) Skip 1 week (114/11) Skip 1 week after tom Delivery (09/03) No Del on Froday-- sned on Tuesda (29/03) Glad Next (01/05) Hold n start after 8th June (12/05) Bop n Heliconia Next (10/02) Skip tom Del (28/03) Flower food next (14/05) Hold till 8th (29/05) No Gerbera and Orchid (28/07) One Payment received today (01/10) Skip Friday Del (27/11) Skip friday (25/12) Return not at home (20/06) Today Returned (20/06) Received one payment of 3250 today (21/07)</v>
          </cell>
          <cell r="L50" t="str">
            <v>Gerbera n ORCHID</v>
          </cell>
          <cell r="N50" t="str">
            <v>5  del of this cycle   -  0-cycles pmnt   Completed - Collect 0</v>
          </cell>
          <cell r="O50" t="str">
            <v>Mix Alstroemeria ( 14 inch ) 20     FF Sachet + Grass</v>
          </cell>
          <cell r="P50" t="str">
            <v>Spray Daisy 6     FF Sachet + Grass</v>
          </cell>
          <cell r="Q50" t="str">
            <v>Y Asiatic ( 15 inch ) 4     Grass</v>
          </cell>
          <cell r="R50" t="str">
            <v>Mix Alstroemeria ( 12 Inch ) 20     FF sachet + Grass</v>
          </cell>
          <cell r="S50" t="str">
            <v>R n P Car ( 14 Inch ) 20     FF Sachet + Grass</v>
          </cell>
          <cell r="T50" t="str">
            <v>P n Y Spray Daisy ( 14 Inch ) 6     FF Sachet + Grass</v>
          </cell>
        </row>
        <row r="51">
          <cell r="A51" t="str">
            <v>B50307</v>
          </cell>
          <cell r="B51" t="str">
            <v>SANJEEV TOGNATTA</v>
          </cell>
          <cell r="C51" t="str">
            <v>98110 87048</v>
          </cell>
          <cell r="D51" t="str">
            <v>E Space 93, R&amp;T Block, Nirvana Country, South City 2, sector 50, Gurgaon - 122018</v>
          </cell>
          <cell r="H51">
            <v>600</v>
          </cell>
          <cell r="J51" t="str">
            <v>Bouquet</v>
          </cell>
          <cell r="K51" t="str">
            <v>SANJEEV TOGNATTA
Today
15 carnations - shaded purple and yellow mix 
E Space 93, R&amp;T Block, Nirvana Country, South City 2, sector 50, Gurgaon - 122018
Msg : 
Happy Birthday 
from 
Shubendu Harichandan 
Anand Rathi</v>
          </cell>
          <cell r="T51" t="str">
            <v xml:space="preserve">shaded purple and yellow Carnation  15  walkin tissue wrap+Massage    </v>
          </cell>
        </row>
        <row r="52">
          <cell r="B52" t="str">
            <v>Anjum</v>
          </cell>
          <cell r="C52">
            <v>9871031918</v>
          </cell>
          <cell r="D52" t="str">
            <v>C-804, Mahindra Luminare, Sec 59</v>
          </cell>
          <cell r="G52" t="str">
            <v xml:space="preserve">Before 4 Pm </v>
          </cell>
          <cell r="H52">
            <v>800</v>
          </cell>
          <cell r="J52" t="str">
            <v>Bouquet</v>
          </cell>
          <cell r="K52" t="str">
            <v>Anjum
+91 98710 31918
Pls send a bunch with 3 semi bloom red Asiatic lily and 4 pink n white spray daisy in walkin tissue wrap today for 800..</v>
          </cell>
          <cell r="N52" t="str">
            <v>Ensure collection-800  carry change</v>
          </cell>
          <cell r="T52" t="str">
            <v xml:space="preserve">Semi bloom Red Asiatic lily and pink n white spray daisy 3+4  walkin tissue wrap     </v>
          </cell>
        </row>
        <row r="53">
          <cell r="B53" t="str">
            <v>+91 98991 38278</v>
          </cell>
          <cell r="C53" t="str">
            <v>+91 98991 38278</v>
          </cell>
          <cell r="D53" t="str">
            <v xml:space="preserve"> D 91 Pinnacle</v>
          </cell>
          <cell r="G53" t="str">
            <v xml:space="preserve">Before 4 Pm </v>
          </cell>
          <cell r="H53">
            <v>400</v>
          </cell>
          <cell r="J53" t="str">
            <v>Bouquet</v>
          </cell>
          <cell r="K53" t="str">
            <v>One bunch in D 91 
One bunch in D 161 pinnacle
+91 98991 38278
Pls send 10 -10 Rajni bunch at both address in single wrap</v>
          </cell>
          <cell r="T53" t="str">
            <v xml:space="preserve">Rajni 10 single wrap    </v>
          </cell>
        </row>
        <row r="54">
          <cell r="B54" t="str">
            <v>+91 98991 38278</v>
          </cell>
          <cell r="C54" t="str">
            <v>+91 98991 38278</v>
          </cell>
          <cell r="D54" t="str">
            <v xml:space="preserve"> D 161 pinnacle</v>
          </cell>
          <cell r="G54" t="str">
            <v xml:space="preserve">Before 4 Pm </v>
          </cell>
          <cell r="H54">
            <v>400</v>
          </cell>
          <cell r="J54" t="str">
            <v>Bouquet</v>
          </cell>
          <cell r="K54" t="str">
            <v>One bunch in D 91 
One bunch in D 161 pinnacle
+91 98991 38278
Pls send 10 -10 Rajni bunch at both address in single wrap</v>
          </cell>
          <cell r="T54" t="str">
            <v xml:space="preserve">Rajni 10 single wrap    </v>
          </cell>
        </row>
        <row r="55">
          <cell r="B55" t="str">
            <v xml:space="preserve">Mr Jeet </v>
          </cell>
          <cell r="C55">
            <v>9818318639</v>
          </cell>
          <cell r="D55" t="str">
            <v>E1\5 First Floor Dlf Fhse 1</v>
          </cell>
          <cell r="J55" t="str">
            <v>Only Collection</v>
          </cell>
          <cell r="K55" t="str">
            <v>Only Collection</v>
          </cell>
          <cell r="L55" t="str">
            <v>Only Collection</v>
          </cell>
          <cell r="M55" t="str">
            <v>Only Collection</v>
          </cell>
          <cell r="N55" t="str">
            <v>Only Collection</v>
          </cell>
          <cell r="O55" t="str">
            <v>Only Collection</v>
          </cell>
          <cell r="P55" t="str">
            <v>Only Collection</v>
          </cell>
          <cell r="Q55" t="str">
            <v>Only Collection</v>
          </cell>
          <cell r="R55" t="str">
            <v>Only Collection</v>
          </cell>
          <cell r="S55" t="str">
            <v>Only Collection</v>
          </cell>
          <cell r="T55" t="str">
            <v xml:space="preserve">Only Collection Only Collection Only Collection Only Collection Only Collection Only Collection </v>
          </cell>
        </row>
        <row r="56">
          <cell r="B56">
            <v>9650136697</v>
          </cell>
          <cell r="C56">
            <v>9650136697</v>
          </cell>
          <cell r="D56" t="str">
            <v>Kunskapsskolan International
Gulfarm couplex Sector 70 A</v>
          </cell>
          <cell r="H56">
            <v>2500</v>
          </cell>
          <cell r="J56" t="str">
            <v>Bouquet</v>
          </cell>
          <cell r="K56" t="str">
            <v>Kunskapsskolan Intercational
Gulfarm couplex
Sector 70 A. Gurgaon.
9650136697.</v>
          </cell>
          <cell r="T56" t="str">
            <v>Sunflowe+Green Botton Daisy Tissue Wrap  W Asiatic+P Orchid+Pur Car 3+6+6   2 Sapratly Bouquet</v>
          </cell>
        </row>
        <row r="57">
          <cell r="B57" t="str">
            <v>Megha</v>
          </cell>
          <cell r="C57" t="str">
            <v>98998 20599</v>
          </cell>
          <cell r="D57" t="str">
            <v>Emaar Palm Hills Tower #82 House #1001 10th floor
Sector 77 
Gurgaon</v>
          </cell>
          <cell r="H57">
            <v>600</v>
          </cell>
          <cell r="J57" t="str">
            <v>Bouquet</v>
          </cell>
          <cell r="K57" t="str">
            <v>Megha — +91 98998 20599
Pls send 4 red Asiatuc lily with greens today for 600</v>
          </cell>
          <cell r="T57" t="str">
            <v>Red Asiatic 4     Arica+Grass</v>
          </cell>
        </row>
        <row r="58">
          <cell r="B58" t="str">
            <v> 98186 73000‬</v>
          </cell>
          <cell r="C58" t="str">
            <v>98186 73000‬</v>
          </cell>
          <cell r="D58" t="str">
            <v>Tower 15 801 The Close south</v>
          </cell>
          <cell r="G58" t="str">
            <v xml:space="preserve">Before 6:00pm </v>
          </cell>
          <cell r="H58">
            <v>1000</v>
          </cell>
          <cell r="J58" t="str">
            <v>Bouquet</v>
          </cell>
          <cell r="K58" t="str">
            <v>Tower 15 801 The Close south
‪+91 98186 73000‬
Pls send today 25 baby pink carnations in single wrap for 1350, payment received</v>
          </cell>
          <cell r="T58" t="str">
            <v xml:space="preserve">baby pink carnations 25 single wrap    </v>
          </cell>
        </row>
        <row r="59">
          <cell r="B59" t="str">
            <v xml:space="preserve">Farah Singh </v>
          </cell>
          <cell r="C59" t="str">
            <v>0124-4264528 
9810713138</v>
          </cell>
          <cell r="D59" t="str">
            <v xml:space="preserve">House No 4528, Hibiscus Lane 
DLF CITY PHASE 4 
Gurgaon 122009 </v>
          </cell>
          <cell r="G59" t="str">
            <v xml:space="preserve">By 6 pm </v>
          </cell>
          <cell r="H59">
            <v>1450</v>
          </cell>
          <cell r="J59" t="str">
            <v>Joy</v>
          </cell>
          <cell r="K59" t="str">
            <v>Pls send immediately 4 asiatic lilies witj greens as second delivery of Joy @Wahab BMF
Pls update subscription too</v>
          </cell>
          <cell r="T59" t="str">
            <v xml:space="preserve">Asiatic  4 Greens     </v>
          </cell>
        </row>
      </sheetData>
      <sheetData sheetId="16"/>
      <sheetData sheetId="17"/>
      <sheetData sheetId="18"/>
      <sheetData sheetId="19"/>
      <sheetData sheetId="20"/>
      <sheetData sheetId="21"/>
      <sheetData sheetId="22">
        <row r="2">
          <cell r="B2" t="str">
            <v>Divya swarnim</v>
          </cell>
          <cell r="C2" t="str">
            <v>70428 55244</v>
          </cell>
          <cell r="D2" t="str">
            <v>Flat 808, Tower-5,
Pyramid Urban Homes, Sector 70-A
Gurgaon(HR) 122101</v>
          </cell>
          <cell r="G2" t="str">
            <v xml:space="preserve">4 to 5pm </v>
          </cell>
          <cell r="H2">
            <v>800</v>
          </cell>
          <cell r="J2" t="str">
            <v>Bouquet</v>
          </cell>
          <cell r="K2" t="str">
            <v>Gurugram address
Flat 808, Tower-5,
Pyramid Urban Homes, Sector 70-A
Gurgaon(HR) 122101
Divya swarnim — +91 70428 55244
Message-
Wish you both a very Happy Anniversary, mere pyaare bachcho.
One year ago, you both came together for the most beautiful union. It is so wonderful to witness the trust, love and respect you both hold for each other.
Meri toh har dua yahi hai beta,  tum dono hmesha haste muskurate raho, khush raho, achhe raho.
Love,
Maa, Papa, Birds
Pls send 16 roses ( Red, pink, white and peach ) in tissue wrap today between 4 to 5pm and send few broken rose petals — around 4 stem flower petals..</v>
          </cell>
          <cell r="T2" t="str">
            <v>Red, pink, white and peach 16 Tissue Wrap Message   4 stem flower petals..</v>
          </cell>
        </row>
        <row r="3">
          <cell r="B3" t="str">
            <v>Swarnim Saxena</v>
          </cell>
          <cell r="C3">
            <v>7042855244</v>
          </cell>
          <cell r="D3" t="str">
            <v xml:space="preserve">T-5/808, Pyramid Urban Homes, Sec 70-A
</v>
          </cell>
          <cell r="G3" t="str">
            <v xml:space="preserve">4 to 5pm </v>
          </cell>
          <cell r="H3">
            <v>750</v>
          </cell>
          <cell r="J3" t="str">
            <v>Bouquet</v>
          </cell>
          <cell r="K3" t="str">
            <v>Sir, please send a bouquet of sunflowers worth Rs 800 to the Pyramid address.
Message 
Dear Maa,
Thank you for being so amazing and lovely. We are so grateful to have you in our life! May God bless us all!
Pl send 5 sunflowers in walkin tissue wrap today between 4 to 5pm from swarnim Saxena</v>
          </cell>
          <cell r="T3" t="str">
            <v xml:space="preserve">Rajni 20 light blue n white tissue wrap Message   </v>
          </cell>
        </row>
        <row r="4">
          <cell r="A4">
            <v>2933</v>
          </cell>
          <cell r="B4" t="str">
            <v>Yukti Batra</v>
          </cell>
          <cell r="C4">
            <v>9953740608</v>
          </cell>
          <cell r="D4" t="str">
            <v>H. No. 2015, 2nd Floor, Madalsa Hospital, Sec 46</v>
          </cell>
          <cell r="E4" t="str">
            <v>Huda</v>
          </cell>
          <cell r="F4" t="str">
            <v>Tuesday</v>
          </cell>
          <cell r="G4" t="str">
            <v>9 AM to 2 PM</v>
          </cell>
          <cell r="H4">
            <v>1450</v>
          </cell>
          <cell r="I4">
            <v>362.5</v>
          </cell>
          <cell r="J4" t="str">
            <v>Bliss</v>
          </cell>
          <cell r="K4" t="str">
            <v>Returned today (30/08) Change day to Tuesday (05/09) Skip 1 week (20/10) Skip 2 week (05/04) R n W Car tom (08/05) Hold today (26/05) Skip 1 week (02/06) Skip 1 week (15/06)</v>
          </cell>
          <cell r="N4" t="str">
            <v>1  del of this cycle   -  1-cycles pmnt   Pending - Collect 1450</v>
          </cell>
          <cell r="O4" t="str">
            <v>Mix Spray Daisy 5     Grass</v>
          </cell>
          <cell r="P4" t="str">
            <v>P n W Glad ( 14 Inch ) 16     Grass</v>
          </cell>
          <cell r="Q4" t="str">
            <v>R n W Car ( 14 Inch ) 16     FF sachet + Grass</v>
          </cell>
          <cell r="R4" t="str">
            <v>Y Asiatic ( 14 Inch ) 3     Grass</v>
          </cell>
          <cell r="S4" t="e">
            <v>#N/A</v>
          </cell>
          <cell r="T4" t="str">
            <v>Rajni ( 14 Inch ) 16     FF Sachet + Grass</v>
          </cell>
        </row>
        <row r="5">
          <cell r="A5">
            <v>1389</v>
          </cell>
          <cell r="B5" t="str">
            <v>Revathi-- After 5 PM</v>
          </cell>
          <cell r="C5">
            <v>9811998878</v>
          </cell>
          <cell r="D5" t="str">
            <v>A-1201, The Emaar Palm Drive</v>
          </cell>
          <cell r="E5" t="str">
            <v>Badshahpur</v>
          </cell>
          <cell r="F5" t="str">
            <v>Friday</v>
          </cell>
          <cell r="G5" t="str">
            <v>4 PM to 7PM</v>
          </cell>
          <cell r="H5">
            <v>3850</v>
          </cell>
          <cell r="I5">
            <v>481.25</v>
          </cell>
          <cell r="J5" t="str">
            <v>Grace</v>
          </cell>
          <cell r="K5" t="str">
            <v>Friday and Tuesday// NO RAJNIGANDHA NOW ONLY LILIES//CAR AND GLAD(26/07)  NO WONLY LILIES, HELICONIA AND CAR IN YELLOW OR ORANGE ONLY(11/09)  ONLY  LILIES/GLADIOLI AND HELICONIA ONLY IN YELL AND ORANGE COLOR-- NOCARNATION(01/10) Rajni or Bop next(18/10) Send 1 FF Next(29/06) LILY n GLAD ARE PREFERRED(29/06) Now From Rose//Car//Glad//Guldawari//Asiatic//Oriental(03/08) Skip this friday(09/08) No Upgrade (17/10) Skip 1 week (114/11) Skip 1 week after tom Delivery (09/03) No Del on Froday-- sned on Tuesda (29/03) Glad Next (01/05) Hold n start after 8th June (12/05) Bop n Heliconia Next (10/02) Skip tom Del (28/03) Flower food next (14/05) Hold till 8th (29/05) No Gerbera and Orchid (28/07) One Payment received today (01/10) Skip Friday Del (27/11) Skip friday (25/12) Return not at home (20/06) Today Returned (20/06) Received one payment of 3250 today (21/07)</v>
          </cell>
          <cell r="L5" t="str">
            <v>Gerbera n ORCHID</v>
          </cell>
          <cell r="N5" t="str">
            <v>7  del of this cycle   -  0-cycles pmnt   Completed - Collect 0</v>
          </cell>
          <cell r="O5" t="str">
            <v>Spray Daisy 6     FF Sachet + Grass</v>
          </cell>
          <cell r="P5" t="str">
            <v>Y Asiatic ( 15 inch ) 4     Grass</v>
          </cell>
          <cell r="Q5" t="str">
            <v>Mix Alstroemeria ( 12 Inch ) 20     FF sachet + Grass</v>
          </cell>
          <cell r="R5" t="str">
            <v>R n P Car ( 14 Inch ) 20     FF Sachet + Grass</v>
          </cell>
          <cell r="S5" t="str">
            <v>P n Y Spray Daisy ( 14 Inch ) 6     FF Sachet + Grass</v>
          </cell>
          <cell r="T5" t="str">
            <v>Mix Alstromia 20     Grass</v>
          </cell>
        </row>
        <row r="6">
          <cell r="B6" t="str">
            <v>Sonia Khullar</v>
          </cell>
          <cell r="C6">
            <v>9900094415</v>
          </cell>
          <cell r="D6" t="str">
            <v xml:space="preserve">C 1702 Pioneer Araya sector 62 Gurgaon </v>
          </cell>
          <cell r="G6" t="str">
            <v>around 5 pm</v>
          </cell>
          <cell r="H6">
            <v>1000</v>
          </cell>
          <cell r="J6" t="str">
            <v>Bouquet</v>
          </cell>
          <cell r="K6" t="str">
            <v>99000 94415 — Sonali khullar
Pls send a bouquet with 3 pink Asuatic and 10 pink n white carnations today around 5:30pm</v>
          </cell>
          <cell r="T6" t="str">
            <v xml:space="preserve">P Asiatic+P n W Car 3+10 Tissue Wrap    </v>
          </cell>
        </row>
        <row r="7">
          <cell r="A7" t="str">
            <v>B56202</v>
          </cell>
          <cell r="B7" t="str">
            <v>Nikhil Bansal</v>
          </cell>
          <cell r="C7">
            <v>9582786372</v>
          </cell>
          <cell r="D7" t="str">
            <v>S-12/401, Emaar palm Drive, Sec 66</v>
          </cell>
          <cell r="E7" t="str">
            <v>Badshahpur</v>
          </cell>
          <cell r="F7" t="str">
            <v>Tuesday</v>
          </cell>
          <cell r="G7" t="str">
            <v>By 10 AM</v>
          </cell>
          <cell r="H7">
            <v>1150</v>
          </cell>
          <cell r="I7">
            <v>1150</v>
          </cell>
          <cell r="J7" t="str">
            <v>Bouquet</v>
          </cell>
          <cell r="K7" t="str">
            <v>From Google Danielle/ 5 BOP in Front Wrap// Dear Nikhil,  Birthday Wishes in advance! Have a Super day &amp; year ahead!     Best Regards,    Roma (18/06)</v>
          </cell>
          <cell r="N7" t="str">
            <v>1  del of this cycle   -  0-cycles pmnt   Cancelled - Collect 0</v>
          </cell>
          <cell r="O7" t="e">
            <v>#N/A</v>
          </cell>
          <cell r="P7" t="e">
            <v>#N/A</v>
          </cell>
          <cell r="Q7" t="e">
            <v>#N/A</v>
          </cell>
          <cell r="R7" t="e">
            <v>#N/A</v>
          </cell>
          <cell r="S7" t="e">
            <v>#N/A</v>
          </cell>
          <cell r="T7" t="str">
            <v xml:space="preserve">BOP 5 Fron Wrap Message   </v>
          </cell>
        </row>
        <row r="8">
          <cell r="A8" t="str">
            <v>B56257</v>
          </cell>
          <cell r="B8" t="str">
            <v>Jitendra</v>
          </cell>
          <cell r="C8">
            <v>8800156951</v>
          </cell>
          <cell r="D8" t="str">
            <v>Trehan Luxury Floors</v>
          </cell>
          <cell r="E8" t="str">
            <v>Badshahpur</v>
          </cell>
          <cell r="F8" t="str">
            <v>Thursday</v>
          </cell>
          <cell r="G8" t="str">
            <v>By 10 AM</v>
          </cell>
          <cell r="H8">
            <v>1196</v>
          </cell>
          <cell r="I8">
            <v>1196</v>
          </cell>
          <cell r="J8" t="str">
            <v>Bouquet</v>
          </cell>
          <cell r="N8" t="str">
            <v>1  del of this cycle   -  0-cycles pmnt   In Process - Collect 0</v>
          </cell>
          <cell r="O8" t="e">
            <v>#N/A</v>
          </cell>
          <cell r="P8" t="e">
            <v>#N/A</v>
          </cell>
          <cell r="Q8" t="e">
            <v>#N/A</v>
          </cell>
          <cell r="R8" t="e">
            <v>#N/A</v>
          </cell>
          <cell r="S8" t="e">
            <v>#N/A</v>
          </cell>
          <cell r="T8" t="str">
            <v xml:space="preserve">Trehan Set 1     </v>
          </cell>
        </row>
        <row r="9">
          <cell r="A9">
            <v>2235</v>
          </cell>
          <cell r="B9" t="str">
            <v>Neha Khetan</v>
          </cell>
          <cell r="C9">
            <v>9650090724</v>
          </cell>
          <cell r="D9" t="str">
            <v>F3, D E F Block, Greenwood City, Sec 46</v>
          </cell>
          <cell r="E9" t="str">
            <v>Cyber World</v>
          </cell>
          <cell r="F9" t="str">
            <v>Tuesday</v>
          </cell>
          <cell r="G9" t="str">
            <v>9 AM to 2 PM</v>
          </cell>
          <cell r="H9">
            <v>1450</v>
          </cell>
          <cell r="I9">
            <v>362.5</v>
          </cell>
          <cell r="J9" t="str">
            <v>Bliss</v>
          </cell>
          <cell r="K9" t="str">
            <v>Skip 1 week (20/03) Flower Food Next (21/04). 500 received today- 250 adjusted in flower food, 250 extra. // 400 cash collected today (07/01) Paytm From Anupam Khetan (29/07) Hold due to non payment (07/10) Send tom (07/10)</v>
          </cell>
          <cell r="M9" t="str">
            <v>Single Kind</v>
          </cell>
          <cell r="N9" t="str">
            <v>4  del of this cycle   -  0-cycles pmnt   Completed - Collect 0</v>
          </cell>
          <cell r="O9" t="str">
            <v>Sunflower ( 14 inch ) 4     Grass</v>
          </cell>
          <cell r="P9" t="str">
            <v>P n W Glad ( 14 Inch ) 16     Grass</v>
          </cell>
          <cell r="Q9" t="str">
            <v>P Asiatic ( 14 Inch ) 3     Grass</v>
          </cell>
          <cell r="R9" t="str">
            <v>R n P Car ( 14 Inch ) 16     FF Sachet + Grass</v>
          </cell>
          <cell r="S9" t="str">
            <v>P n Y Spray Daisy ( 14 Inch ) 5     FF Sachet + Grass</v>
          </cell>
          <cell r="T9" t="str">
            <v>Pur Eustoma ( 12 Inch ) 3     FF Sachet + Grass</v>
          </cell>
        </row>
        <row r="10">
          <cell r="A10">
            <v>2706</v>
          </cell>
          <cell r="B10" t="str">
            <v>Monika Arora</v>
          </cell>
          <cell r="C10">
            <v>9990121666</v>
          </cell>
          <cell r="D10" t="str">
            <v>Tostem Studio, Plot No. 564, Basement, Sec 39, Near Bakhtawar Chwok</v>
          </cell>
          <cell r="E10" t="str">
            <v>Medanta</v>
          </cell>
          <cell r="F10" t="str">
            <v>Saturday</v>
          </cell>
          <cell r="G10" t="str">
            <v>9 AM - 12 PM</v>
          </cell>
          <cell r="H10">
            <v>1600</v>
          </cell>
          <cell r="I10">
            <v>200</v>
          </cell>
          <cell r="J10" t="str">
            <v>Bloom</v>
          </cell>
          <cell r="K10" t="str">
            <v>Ref From Anupma Rastogi // Today Returned (09/08) Hold today (16/08) Today office was closed (21/10)</v>
          </cell>
          <cell r="N10" t="str">
            <v>6  del of this cycle   -  0-cycles pmnt   Completed - Collect 0</v>
          </cell>
          <cell r="O10" t="str">
            <v>Mix Alstroemeria ( 14 inch ) 7     Grass</v>
          </cell>
          <cell r="P10" t="str">
            <v>P n W Glad ( 14 Inch ) 7     Grass</v>
          </cell>
          <cell r="Q10" t="str">
            <v>Sunflowers ( 14 Inch ) 2     FF sachet + Grass</v>
          </cell>
          <cell r="R10" t="str">
            <v>Mix Alstroemeria ( 12 Inch ) 7     FF Sachet + Grass</v>
          </cell>
          <cell r="S10" t="str">
            <v>P n W Glad ( 14 Inch ) 7     Grass</v>
          </cell>
          <cell r="T10" t="str">
            <v>Rajni ( 14 Inch ) 7     Grass</v>
          </cell>
        </row>
        <row r="11">
          <cell r="A11">
            <v>2633</v>
          </cell>
          <cell r="B11" t="str">
            <v>Varsha Mathur</v>
          </cell>
          <cell r="C11">
            <v>9810816655</v>
          </cell>
          <cell r="D11" t="str">
            <v>C-34, First Floor, Sushant Lok-1</v>
          </cell>
          <cell r="E11" t="str">
            <v>M G Road</v>
          </cell>
          <cell r="F11" t="str">
            <v>Tuesday</v>
          </cell>
          <cell r="G11" t="str">
            <v>9 AM - 12 PM</v>
          </cell>
          <cell r="H11">
            <v>1450</v>
          </cell>
          <cell r="I11">
            <v>362.5</v>
          </cell>
          <cell r="J11" t="str">
            <v>Bliss</v>
          </cell>
          <cell r="K11" t="str">
            <v>Paytm From Aryank Mathur (29/04) Pls send asiatic only (10/06) Do not count last delivery (01/09) Diff flowers now (04/09) Hold due to non payment (14/10) Gpay from Medhavi Mathur (30/10) No Gerbera and Glad (04/12) No Orchids (18/12) Hold due to non payment (13/01) Hold due to non payment (20/01)</v>
          </cell>
          <cell r="L11" t="str">
            <v>No Glad n Gerbera n Orchid</v>
          </cell>
          <cell r="M11" t="str">
            <v>Diff flowers Now (04/09)</v>
          </cell>
          <cell r="N11" t="str">
            <v>4  del of this cycle   -  0-cycles pmnt   Completed - Collect 0</v>
          </cell>
          <cell r="O11" t="str">
            <v>P Asiatic ( 15 inch ) 3     Grass</v>
          </cell>
          <cell r="P11" t="str">
            <v>Mix Alstroemeria ( 14 inch ) 16     FF Sachet + Grass</v>
          </cell>
          <cell r="Q11" t="str">
            <v>P n Y Spray Daisy ( 14 Inch ) 5     FF sachet + Grass</v>
          </cell>
          <cell r="R11" t="str">
            <v>Pur Eustoma ( 12 Inch ) 3     FF Sachet + Grass</v>
          </cell>
          <cell r="S11" t="str">
            <v>O n P Car ( 14 Inch ) 16     FF Sachet + Grass</v>
          </cell>
          <cell r="T11" t="str">
            <v>O Asiatic ( 14 Inch ) 3     Grass</v>
          </cell>
        </row>
        <row r="12">
          <cell r="A12">
            <v>3014</v>
          </cell>
          <cell r="B12" t="str">
            <v>Monika Arora</v>
          </cell>
          <cell r="C12">
            <v>9990121666</v>
          </cell>
          <cell r="D12" t="str">
            <v>Tostem Studio, Plot No. 564, Basement, Sec 39, Near Bakhtawar Chwok</v>
          </cell>
          <cell r="E12" t="str">
            <v>Medanta</v>
          </cell>
          <cell r="F12" t="str">
            <v>Saturday</v>
          </cell>
          <cell r="G12" t="str">
            <v>9 AM - 12 PM</v>
          </cell>
          <cell r="H12">
            <v>1600</v>
          </cell>
          <cell r="I12">
            <v>200</v>
          </cell>
          <cell r="J12" t="str">
            <v>Bloom</v>
          </cell>
          <cell r="K12" t="str">
            <v>Change in Address (31/12)</v>
          </cell>
          <cell r="N12" t="str">
            <v>6  del of this cycle   -  0-cycles pmnt   Completed - Collect 0</v>
          </cell>
          <cell r="O12" t="str">
            <v>B Daisy ( 12 Inch ) 7     FF Sachet + Grass</v>
          </cell>
          <cell r="P12" t="str">
            <v>O Spray Daisy ( 15 Inch ) 3     FF Sachet + Grass</v>
          </cell>
          <cell r="Q12" t="str">
            <v>P n W Glad ( 14 Inch ) 7     Grass</v>
          </cell>
          <cell r="R12" t="str">
            <v>P n W Glad ( 14 Inch ) 7     Grass</v>
          </cell>
          <cell r="S12" t="str">
            <v>Sunflower ( 12 Inch ) 2     FF Sachet + Grass</v>
          </cell>
          <cell r="T12" t="str">
            <v>P n W Car ( 14 Inch ) 7     FF Sachet + Grass</v>
          </cell>
        </row>
        <row r="13">
          <cell r="A13">
            <v>2087</v>
          </cell>
          <cell r="B13" t="str">
            <v>Lucky Pandey</v>
          </cell>
          <cell r="C13" t="str">
            <v>9961712428//9971712428</v>
          </cell>
          <cell r="D13" t="str">
            <v>B3/502, Uniworld City ( West)</v>
          </cell>
          <cell r="E13" t="str">
            <v>South City 1</v>
          </cell>
          <cell r="F13" t="str">
            <v>Tuesday</v>
          </cell>
          <cell r="G13" t="str">
            <v>9 AM to 2 PM</v>
          </cell>
          <cell r="H13">
            <v>1450</v>
          </cell>
          <cell r="I13">
            <v>362.5</v>
          </cell>
          <cell r="J13" t="str">
            <v>Bliss</v>
          </cell>
          <cell r="K13" t="str">
            <v>Skip this Sunday and send on Tuesday (07/07) Skip 1 week (21/10) Today Returned (10/12) Today returned (17/03) Today Returned (19/003) Return-send tom (26/05) Hold (23/06) Today Returned (21/07) Gpay from Abhijeet K Choudhary (01/10) Hold today (03/12) No Sunflower (21/01) Returned today (17/06) Send 1 del todya (07/07)</v>
          </cell>
          <cell r="L13" t="str">
            <v>Sunflower</v>
          </cell>
          <cell r="N13" t="str">
            <v>4  del of this cycle   -  0-cycles pmnt   Completed - Collect 0</v>
          </cell>
          <cell r="O13" t="str">
            <v>Mix Alstroemeria ( 14 inch ) 16     Grass</v>
          </cell>
          <cell r="P13" t="str">
            <v>O n W Spray Daisy ( 15 Inch ) 5     FF Sachet + Grass</v>
          </cell>
          <cell r="Q13" t="str">
            <v>Y Asiatic ( 14 Inch ) 3     Grass</v>
          </cell>
          <cell r="R13" t="str">
            <v>R n P Car ( 14 Inch ) 16     FF Sachet + Grass</v>
          </cell>
          <cell r="S13" t="str">
            <v>P n W Glad ( 14 Inch ) 16     Grass</v>
          </cell>
          <cell r="T13" t="str">
            <v>Pur Eustoma ( 12 Inch ) 3     FF Sachet + Grass</v>
          </cell>
        </row>
        <row r="14">
          <cell r="A14">
            <v>975</v>
          </cell>
          <cell r="B14" t="str">
            <v>Ritu Sacheti</v>
          </cell>
          <cell r="C14">
            <v>9910007371</v>
          </cell>
          <cell r="D14" t="str">
            <v>B1/1401, World Spa, Sector 30</v>
          </cell>
          <cell r="E14" t="str">
            <v>South City 1</v>
          </cell>
          <cell r="F14" t="str">
            <v>Saturday</v>
          </cell>
          <cell r="G14" t="str">
            <v>9 AM - 12 PM</v>
          </cell>
          <cell r="H14">
            <v>3750</v>
          </cell>
          <cell r="I14">
            <v>468.75</v>
          </cell>
          <cell r="J14" t="str">
            <v>Grace</v>
          </cell>
          <cell r="K14" t="str">
            <v>Sat n Tuesday//NO Chrysanthemums(30/12) Received 50Rs. Today(13/01) Today returned-send tom(27/01) Pls send double del on next del and upgrade to 1250 pack once this cycle completes(25/05/2020) Sending 1st June Flowers on 30th may(30/05/2020) Upgrade to 1750 pack and always send 4 Asiatic and 15 normal flowers(08/07) Send replacement of glad tom(19/08/20) Hold n start from Feb(17/01) Skiped 1 week due to HOLI(29/03) NO RAJNI IN SUMMER(16/07) Send 4 Stick asiatic complimentary Tom(20/09) Send 2 Open Asiatic and replace Carnations AND NEVER CAR(04/10) Rs. 250 received against extra flowers(05/10) NO SAME COLOR FLOWERS(04/03) Return today (06/12) NO GERBERA (10/01) Return-send tom (04/04) Sent replacement of Guldawari today (09/04) Today Returned (20/06) No Flowers From 10th to 19 Th nov (02/11) No Flowers betqeen 22nd and 1st Jan (22/12) Returned today (10/02) Skip today (13/02) Skip this tuesday (11/03) No Flowers from 29th to 3rd Nov (25/10) Return today (23/11) No Gerbera (30/11) Today Returned (24/05) Sent 1 delivery today (25/05)</v>
          </cell>
          <cell r="L14" t="str">
            <v>GERBERA n SUNFLOWER</v>
          </cell>
          <cell r="N14" t="str">
            <v>5  del of this cycle   -  0-cycles pmnt   Completed - Collect 0</v>
          </cell>
          <cell r="O14" t="str">
            <v>P Asiatic ( 15 inch ) 2 Rajni ( 14 inch ) 10   Grass</v>
          </cell>
          <cell r="P14" t="str">
            <v>O Spray Daisy ( 15 Inch ) 3 P n W Glad ( 14 Inch ) 12   FF Sachet + Grass</v>
          </cell>
          <cell r="Q14" t="str">
            <v>Pur Eustoma ( 12 Inch )  3 P n W Car ( 14 inch ) 10   FF sachet + Grass</v>
          </cell>
          <cell r="R14" t="str">
            <v>P Asiatic ( 14 Inch ) 2 Mix Alstroemeria ( 12 Inch ) 10   Grass</v>
          </cell>
          <cell r="S14" t="str">
            <v>P Spray Daisy ( 14 Inch ) 3 O n P Car ( 14 Inch ) 10   FF Sachet + Grass</v>
          </cell>
          <cell r="T14" t="str">
            <v>P Eustoma ( 12 Inch ) 3 Rajni ( 14 Inch ) 10   FF Sachet + Grass</v>
          </cell>
        </row>
        <row r="15">
          <cell r="A15">
            <v>3297</v>
          </cell>
          <cell r="B15" t="str">
            <v>Samby</v>
          </cell>
          <cell r="C15">
            <v>9818996771</v>
          </cell>
          <cell r="D15" t="str">
            <v>C-183 A, 4th Floor, Sushant Lok 1</v>
          </cell>
          <cell r="E15" t="str">
            <v>M G Road</v>
          </cell>
          <cell r="F15" t="str">
            <v>Tuesday</v>
          </cell>
          <cell r="G15" t="str">
            <v>10 AM to 2:30 PM</v>
          </cell>
          <cell r="H15">
            <v>1450</v>
          </cell>
          <cell r="I15">
            <v>362.5</v>
          </cell>
          <cell r="J15" t="str">
            <v>Bliss</v>
          </cell>
          <cell r="K15" t="str">
            <v>Paytm From Sumit Kumar Bedi Jaga (29/03)</v>
          </cell>
          <cell r="N15" t="str">
            <v>1  del of this cycle   -  1-cycles pmnt   Pending - Collect 1450</v>
          </cell>
          <cell r="O15" t="str">
            <v>P n W Glad ( 14 inch ) 16     Grass</v>
          </cell>
          <cell r="P15" t="str">
            <v>O Asiatic ( 15 Inch ) 3     Grass</v>
          </cell>
          <cell r="Q15" t="str">
            <v>P n Y Spray Daisy ( 14 Inch ) 5     FF sachet + Grass</v>
          </cell>
          <cell r="R15" t="str">
            <v>R n P Car ( 14 Inch ) 16     FF Sachet + Grass</v>
          </cell>
          <cell r="S15" t="str">
            <v>Mix Alstroemeria ( 12 Inch ) 16     FF Sachet + Grass</v>
          </cell>
          <cell r="T15" t="str">
            <v>Mix Spray Daisy 5     Grass</v>
          </cell>
        </row>
        <row r="16">
          <cell r="A16">
            <v>2525</v>
          </cell>
          <cell r="B16" t="str">
            <v>Sonia Kalra</v>
          </cell>
          <cell r="C16">
            <v>9810512391</v>
          </cell>
          <cell r="D16" t="str">
            <v>C-264, Sushant Lok-1</v>
          </cell>
          <cell r="E16" t="str">
            <v>M G Road</v>
          </cell>
          <cell r="F16" t="str">
            <v>Tuesday</v>
          </cell>
          <cell r="G16" t="str">
            <v>10 AM to 2:30 PM</v>
          </cell>
          <cell r="H16">
            <v>999</v>
          </cell>
          <cell r="I16">
            <v>249.75</v>
          </cell>
          <cell r="J16" t="str">
            <v>Delight</v>
          </cell>
          <cell r="K16" t="str">
            <v>Change Rs 50// Hold today n skip 1 week(29/07) Paytm from harsonia Kalra (03/09)</v>
          </cell>
          <cell r="N16" t="str">
            <v>3  del of this cycle   -  0-cycles pmnt   CompletedNO COLLECTION-we have extra money - Collect -7</v>
          </cell>
          <cell r="O16" t="str">
            <v>Sunflower ( 15 inch ) 2     Grass</v>
          </cell>
          <cell r="P16" t="str">
            <v>Mix Alstroemeria ( 14 inch ) 9     FF Sachet + Grass</v>
          </cell>
          <cell r="Q16" t="str">
            <v>P n W Glad ( 14 Inch ) 9     Grass</v>
          </cell>
          <cell r="R16" t="str">
            <v>P Asiatic ( 14 Inch ) 2     Grass</v>
          </cell>
          <cell r="S16" t="str">
            <v>O n P Car ( 14 Inch ) 9     FF Sachet + Grass</v>
          </cell>
          <cell r="T16" t="str">
            <v>B Daisy ( 12 Inch ) 9     Grass</v>
          </cell>
        </row>
        <row r="17">
          <cell r="A17">
            <v>2426</v>
          </cell>
          <cell r="B17" t="str">
            <v>Pragati Agarwal</v>
          </cell>
          <cell r="C17">
            <v>9811152110</v>
          </cell>
          <cell r="D17" t="str">
            <v>C-1019, G Floor, Sushant Lok 1</v>
          </cell>
          <cell r="E17" t="str">
            <v>M G Road</v>
          </cell>
          <cell r="F17" t="str">
            <v>Tuesday</v>
          </cell>
          <cell r="G17" t="str">
            <v>10 AM to 2:30 PM</v>
          </cell>
          <cell r="H17">
            <v>1950</v>
          </cell>
          <cell r="I17">
            <v>487.5</v>
          </cell>
          <cell r="J17" t="str">
            <v>Joy</v>
          </cell>
          <cell r="K17" t="str">
            <v>Skip 1 week (10/04) No Bop (29/04) No Rajni (29/07) One kind of flowers (31/10) Skip 1 week (05/01) Hold 1 month (07/03) Paytm From Tanmay Agarwal (05/05)</v>
          </cell>
          <cell r="L17" t="str">
            <v>BOP n Rajni</v>
          </cell>
          <cell r="M17" t="str">
            <v>One Kind of Flower (31/10)</v>
          </cell>
          <cell r="N17" t="str">
            <v>1  del of this cycle   -  1-cycles pmnt   Pending - Collect 1900</v>
          </cell>
          <cell r="O17" t="str">
            <v>P n W Glad ( 14 inch ) 22     Grass</v>
          </cell>
          <cell r="P17" t="str">
            <v>Y Asiatic ( 15 inch ) 4     Grass</v>
          </cell>
          <cell r="Q17" t="str">
            <v>P n W Spray Daisy ( 14 Inch ) 7     FF sachet + Grass</v>
          </cell>
          <cell r="R17" t="str">
            <v>Mix Alstroemeria ( 12 Inch ) 22     FF Sachet + Grass</v>
          </cell>
          <cell r="S17" t="str">
            <v>O n P Car ( 14 Inch ) 22     FF Sachet + Grass</v>
          </cell>
          <cell r="T17" t="str">
            <v>Sunflower ( 12 Inch ) 4     Grass</v>
          </cell>
        </row>
        <row r="18">
          <cell r="A18">
            <v>3138</v>
          </cell>
          <cell r="B18" t="str">
            <v>Alpna Verma</v>
          </cell>
          <cell r="C18">
            <v>9811996368</v>
          </cell>
          <cell r="D18" t="str">
            <v>B-70, Sushant Lok Phase 1, Next to Vipul Square, Enter gaye no. 4</v>
          </cell>
          <cell r="E18" t="str">
            <v>M G Road</v>
          </cell>
          <cell r="F18" t="str">
            <v>Tuesday</v>
          </cell>
          <cell r="G18" t="str">
            <v>9 AM - 12 PM</v>
          </cell>
          <cell r="H18">
            <v>2300</v>
          </cell>
          <cell r="I18">
            <v>287.5</v>
          </cell>
          <cell r="J18" t="str">
            <v>Felicity</v>
          </cell>
          <cell r="K18" t="str">
            <v>Day Changed ro Tuesday and Saturday (22/03)Single Color Flowers (01/12)</v>
          </cell>
          <cell r="M18" t="str">
            <v>Single Color Flowers</v>
          </cell>
          <cell r="N18" t="str">
            <v>2  del of this cycle   -  0-cycles pmnt   Completed - Collect 0</v>
          </cell>
          <cell r="O18" t="str">
            <v>W Glad ( 14 inch ) 11     Grass</v>
          </cell>
          <cell r="P18" t="str">
            <v>O Asiatic ( 15 Inch ) 2     Grass</v>
          </cell>
          <cell r="Q18" t="str">
            <v>Mix Alstroemeria ( 12 Inch ) 11 Pls Keep Flower at door -- Don’t call n Ring Bell Pls Keep Flower at door -- Don’t call n Ring Bell Pls Keep Flower at door -- Don’t call n Ring Bell Pls Keep Flower at door -- Don’t call n Ring Bell FF sachet + Grass</v>
          </cell>
          <cell r="R18" t="e">
            <v>#N/A</v>
          </cell>
          <cell r="S18" t="e">
            <v>#N/A</v>
          </cell>
          <cell r="T18" t="str">
            <v>P Spray Daisy ( 14 Inch ) 3     FF Sachet + Grass</v>
          </cell>
        </row>
        <row r="19">
          <cell r="A19">
            <v>1147</v>
          </cell>
          <cell r="B19" t="str">
            <v xml:space="preserve">Reena </v>
          </cell>
          <cell r="C19">
            <v>9811157690</v>
          </cell>
          <cell r="D19" t="str">
            <v>31/1, Ixia, Vatika City</v>
          </cell>
          <cell r="E19" t="str">
            <v>Sohna Road 1</v>
          </cell>
          <cell r="F19" t="str">
            <v>Tuesday</v>
          </cell>
          <cell r="G19" t="str">
            <v>9 AM to 2 PM</v>
          </cell>
          <cell r="H19">
            <v>1600</v>
          </cell>
          <cell r="I19">
            <v>200</v>
          </cell>
          <cell r="J19" t="str">
            <v>Bloom</v>
          </cell>
          <cell r="K19" t="str">
            <v>Tuesday and Friday//NO Rose/Rajni and ORCHID(30/10) Pink car Next(08/11) No Rose/No Rajni/No Orchids(30/11  NO RAJNI n HELICONIA (30/12) Star From Sunday (24/08) Skip coming Friday (07/12) Skip 1 week (18/01) Shift tom del to Sunday (20/06) Skip Friday Del (15/08) Today Returned(03/09) Skip 27th Del (22/12) Skip tom (30/01) Today Returned-send again (04/04) Hold n start from 15th (07/04) Skip friday (26/06) Skip 1 week (07/08) Skip tom del (11/09) Skip 1 week (01/11) Skip tom (30/04)</v>
          </cell>
          <cell r="L19" t="str">
            <v>RAJNI n HELICONIA</v>
          </cell>
          <cell r="N19" t="str">
            <v>5  del of this cycle   -  0-cycles pmnt   Completed - Collect 0</v>
          </cell>
          <cell r="O19" t="str">
            <v>P n W Glad ( 14 inch ) 7     Grass</v>
          </cell>
          <cell r="P19" t="str">
            <v>P Eustoma ( 12 Inch ) 2     FF Sachet + Grass</v>
          </cell>
          <cell r="Q19" t="str">
            <v>Sunflowers ( 14 Inch ) 2     FF sachet + Grass</v>
          </cell>
          <cell r="R19" t="str">
            <v>P n W Glad ( 14 Inch ) 7     Grass</v>
          </cell>
          <cell r="S19" t="str">
            <v>Mix Alstroemeria ( 12 Inch ) 7     FF Sachet + Grass</v>
          </cell>
          <cell r="T19" t="str">
            <v>Sunflower ( 12 Inch ) 2     FF Sachet + Grass</v>
          </cell>
        </row>
        <row r="20">
          <cell r="A20" t="str">
            <v>G-00059</v>
          </cell>
          <cell r="B20" t="str">
            <v>Kriya</v>
          </cell>
          <cell r="C20">
            <v>6391463009</v>
          </cell>
          <cell r="D20" t="str">
            <v>Zenden Stays, Room No. 207, Sector 30, Vijay Vihar Block A</v>
          </cell>
          <cell r="E20" t="str">
            <v>South City 1</v>
          </cell>
          <cell r="F20" t="str">
            <v>Tuesday</v>
          </cell>
          <cell r="G20" t="str">
            <v>9:30 Am to 2 PM</v>
          </cell>
          <cell r="H20">
            <v>1450</v>
          </cell>
          <cell r="I20">
            <v>362.5</v>
          </cell>
          <cell r="J20" t="str">
            <v>Bliss</v>
          </cell>
          <cell r="K20" t="str">
            <v>Don’t send if payment not received  // Paytm From Mohd. Zaid (10/06)</v>
          </cell>
          <cell r="N20" t="str">
            <v>2  del of this cycle   -  0-cycles pmnt   Completed - Collect 0</v>
          </cell>
          <cell r="O20" t="e">
            <v>#N/A</v>
          </cell>
          <cell r="P20" t="e">
            <v>#N/A</v>
          </cell>
          <cell r="Q20" t="str">
            <v xml:space="preserve">      </v>
          </cell>
          <cell r="R20" t="e">
            <v>#N/A</v>
          </cell>
          <cell r="S20" t="str">
            <v>O n P Car ( 14 Inch ) 16     FF Sachet + Grass</v>
          </cell>
          <cell r="T20" t="str">
            <v>P Asiatic ( 14 Inch ) 3     Grass</v>
          </cell>
        </row>
        <row r="21">
          <cell r="A21">
            <v>3275</v>
          </cell>
          <cell r="B21" t="str">
            <v>Reema Parents</v>
          </cell>
          <cell r="C21">
            <v>9910105022</v>
          </cell>
          <cell r="D21" t="str">
            <v>B1/603, Tulip Orange, Sec 70</v>
          </cell>
          <cell r="E21" t="str">
            <v>Badshahpur</v>
          </cell>
          <cell r="F21" t="str">
            <v>Tuesday</v>
          </cell>
          <cell r="G21" t="str">
            <v>9 AM - 12 PM</v>
          </cell>
          <cell r="H21">
            <v>1450</v>
          </cell>
          <cell r="I21">
            <v>362.5</v>
          </cell>
          <cell r="J21" t="str">
            <v>Bliss</v>
          </cell>
          <cell r="K21" t="str">
            <v>From Reema</v>
          </cell>
          <cell r="N21" t="str">
            <v>2  del of this cycle   -  1-cycles pmnt   Pending - Collect 1450</v>
          </cell>
          <cell r="O21" t="str">
            <v>P Spray Daisy 3     FF Sachet + Grass</v>
          </cell>
          <cell r="P21" t="str">
            <v>Mix Alstroemeria ( 14 inch ) 9     FF Sachet + Grass</v>
          </cell>
          <cell r="Q21" t="str">
            <v>P n W Glad ( 14 Inch ) 9     Grass</v>
          </cell>
          <cell r="R21" t="str">
            <v>P Asiatic ( 14 Inch ) 2     Grass</v>
          </cell>
          <cell r="S21" t="str">
            <v>O n P Car ( 14 Inch ) 16     FF Sachet + Grass</v>
          </cell>
          <cell r="T21" t="str">
            <v>Pur Eustoma ( 12 Inch ) 3     FF Sachet + Grass</v>
          </cell>
        </row>
        <row r="22">
          <cell r="A22">
            <v>2854</v>
          </cell>
          <cell r="B22" t="str">
            <v>Promita Roy</v>
          </cell>
          <cell r="C22">
            <v>9717459257</v>
          </cell>
          <cell r="D22" t="str">
            <v>B-25, Sushant Appartment, Block-C, Phase 1</v>
          </cell>
          <cell r="E22" t="str">
            <v>M G Road</v>
          </cell>
          <cell r="F22" t="str">
            <v>Tuesday</v>
          </cell>
          <cell r="G22" t="str">
            <v>9 AM - 12 PM</v>
          </cell>
          <cell r="H22">
            <v>1450</v>
          </cell>
          <cell r="I22">
            <v>362.5</v>
          </cell>
          <cell r="J22" t="str">
            <v>Bliss</v>
          </cell>
          <cell r="K22" t="str">
            <v>Upgrade to Bliss // Nolacl Gypsy or Lady Lace</v>
          </cell>
          <cell r="M22" t="str">
            <v>No Local Gypsy or Lady Lace</v>
          </cell>
          <cell r="N22" t="str">
            <v>3  del of this cycle   -  0-cycles pmnt   Completed - Collect 0</v>
          </cell>
          <cell r="O22" t="str">
            <v>Mix Alstroemeria ( 14 inch ) 16     Grass</v>
          </cell>
          <cell r="P22" t="str">
            <v>O n W Spray Daisy ( 15 Inch ) 5     FF Sachet + Grass</v>
          </cell>
          <cell r="Q22" t="str">
            <v>R n W Car ( 14 Inch ) 16     FF sachet + Grass</v>
          </cell>
          <cell r="R22" t="str">
            <v>P Asiatic ( 14 Inch ) 3     Grass</v>
          </cell>
          <cell r="S22" t="str">
            <v>P n W Glad ( 14 Inch ) 16     Grass</v>
          </cell>
          <cell r="T22" t="str">
            <v>Pur Eustoma ( 12 Inch ) 3     FF Sachet + Grass</v>
          </cell>
        </row>
        <row r="23">
          <cell r="A23">
            <v>2692</v>
          </cell>
          <cell r="B23" t="str">
            <v>A K Jain</v>
          </cell>
          <cell r="C23">
            <v>9910309930</v>
          </cell>
          <cell r="D23" t="str">
            <v>B-785, Sushant Lok-1, Near Police Chowki</v>
          </cell>
          <cell r="E23" t="str">
            <v>M G Road</v>
          </cell>
          <cell r="F23" t="str">
            <v>Saturday</v>
          </cell>
          <cell r="G23" t="str">
            <v>9 AM - 12 PM</v>
          </cell>
          <cell r="H23">
            <v>2300</v>
          </cell>
          <cell r="I23">
            <v>287.5</v>
          </cell>
          <cell r="J23" t="str">
            <v>Felicity</v>
          </cell>
          <cell r="K23" t="str">
            <v>Saturdya n Tuesday (16/05) Hold from 10th to 14th June (07/06) Paytm From Akhil Jain (21/06) Skip sat del and send them on Sunday (30/07) Do not count last delivery (22/09) Hold 25th and 28th (19/10) Today Returned (04/11) Skip sat delivery (18/03) Do not count last Del (15/06)</v>
          </cell>
          <cell r="N23" t="str">
            <v>4  del of this cycle   -  0-cycles pmnt   Completed - Collect 0</v>
          </cell>
          <cell r="O23" t="str">
            <v>P n W Glad ( 14 inch ) 11     Grass</v>
          </cell>
          <cell r="P23" t="str">
            <v>P Eustoma ( 12 Inch ) 3     FF Sachet + Grass</v>
          </cell>
          <cell r="Q23" t="str">
            <v>P Asiatic ( 14 Inch ) 2     Grass</v>
          </cell>
          <cell r="R23" t="str">
            <v>Mix Alstroemeria ( 12 Inch ) 11     FF Sachet + Grass</v>
          </cell>
          <cell r="S23" t="str">
            <v>O n P Car ( 14 Inch ) 11     FF Sachet + Grass</v>
          </cell>
          <cell r="T23" t="str">
            <v>Rajni ( 14 Inch ) 11     Grass</v>
          </cell>
        </row>
        <row r="24">
          <cell r="A24">
            <v>2247</v>
          </cell>
          <cell r="B24" t="str">
            <v>Reeya Naahar</v>
          </cell>
          <cell r="C24">
            <v>9818862169</v>
          </cell>
          <cell r="D24" t="str">
            <v>B-316-B, Sushant Lok-1</v>
          </cell>
          <cell r="E24" t="str">
            <v>M G Road</v>
          </cell>
          <cell r="F24" t="str">
            <v>Saturday</v>
          </cell>
          <cell r="G24" t="str">
            <v>9:30 AM to 2PM</v>
          </cell>
          <cell r="H24">
            <v>2300</v>
          </cell>
          <cell r="I24">
            <v>287.5</v>
          </cell>
          <cell r="J24" t="str">
            <v>Felicity</v>
          </cell>
          <cell r="K24" t="str">
            <v>Saturday n Tuesday// No Yel Spray Daisy // Do not count last del (06/07) No Gerbera (12/04)</v>
          </cell>
          <cell r="L24" t="str">
            <v>GERBERA</v>
          </cell>
          <cell r="N24" t="str">
            <v>2  del of this cycle   -  0-cycles pmnt   In Process - Collect 0</v>
          </cell>
          <cell r="O24" t="str">
            <v>Sunflower ( 15 inch ) 3     Grass</v>
          </cell>
          <cell r="P24" t="str">
            <v>P n W Car ( 14 Imch ) 11     FF Sachet + grass</v>
          </cell>
          <cell r="Q24" t="str">
            <v>P Asiatic ( 14 Inch ) 2     Grass</v>
          </cell>
          <cell r="R24" t="str">
            <v>Pur Eustoma ( 12 Inch ) 3     FF Sachet + Grass</v>
          </cell>
          <cell r="S24" t="str">
            <v>P n W Glad ( 14 Inch ) 11     Grass</v>
          </cell>
          <cell r="T24" t="str">
            <v>Rajni ( 14 Inch ) 11     Grass</v>
          </cell>
        </row>
        <row r="25">
          <cell r="A25">
            <v>993</v>
          </cell>
          <cell r="B25" t="str">
            <v>Swati Khandelwal-- Evening Only</v>
          </cell>
          <cell r="C25">
            <v>8527962021</v>
          </cell>
          <cell r="D25" t="str">
            <v>414-A, Hamilton Court</v>
          </cell>
          <cell r="E25" t="str">
            <v>DLF Phase 4</v>
          </cell>
          <cell r="F25" t="str">
            <v>Tuesday</v>
          </cell>
          <cell r="G25" t="str">
            <v>9 AM to 2 PM</v>
          </cell>
          <cell r="H25">
            <v>2300</v>
          </cell>
          <cell r="I25">
            <v>287.5</v>
          </cell>
          <cell r="J25" t="str">
            <v>Felicity</v>
          </cell>
          <cell r="K25" t="str">
            <v>Saturday and Tuesday//Tuesday and Friday//1 St del Tom in morning and then every Sunday evening(05/01) ONLY LILY AND RAJNI(19/01) Lilies in all 4 Deliveries(01/02) Start Biss from next week(30/11) ONLY RAJNI(31/12) Send Guldawari next and then spray daisy next to next(09/01) NO ROSE mn RAJNI-- Send spray daisy next(27/01) Spray daisy Next(15/02) Moved to Felicity--1350 Pack, Pls mark pending(21/03) Send 1 extra delivery from Rachna Khanna ma'am(05/08) Do Not count last delivery(07/04) Send Flower Food Tom(12/09) Send Flower Food next (09/10) Hold till 1st Feb (20/01) Send Flower Food next (04/07) One More payment received today (30/10) Payment from Ramakant K (08/06) Rs. 9200 Received today and 10% applied on 9200 (10/12)</v>
          </cell>
          <cell r="L25" t="str">
            <v>ROSE n RAJNI</v>
          </cell>
          <cell r="N25" t="str">
            <v>6  del of this cycle   -  0-cycles pmnt   Completed - Collect 0</v>
          </cell>
          <cell r="O25" t="str">
            <v>W Asiatic ( 15 inch ) 2     Grass</v>
          </cell>
          <cell r="P25" t="str">
            <v>P n W Car ( 14 Imch ) 11     FF Sachet + Grass</v>
          </cell>
          <cell r="Q25" t="str">
            <v>Sunflowers ( 14 Inch ) 3     FF sachet + Grass</v>
          </cell>
          <cell r="R25" t="str">
            <v>P Asiatic ( 14 Inch ) 2     Grass</v>
          </cell>
          <cell r="S25" t="str">
            <v>P n W Glad ( 14 Inch ) 11     Grass</v>
          </cell>
          <cell r="T25" t="str">
            <v>P Spray Daisy ( 14 Inch ) 3     FF Sachet + Grass</v>
          </cell>
        </row>
        <row r="26">
          <cell r="A26">
            <v>2593</v>
          </cell>
          <cell r="B26" t="str">
            <v>Devesh Srivastava</v>
          </cell>
          <cell r="C26">
            <v>7400118910</v>
          </cell>
          <cell r="D26" t="str">
            <v xml:space="preserve">T-7/1003&lt; The Palms
</v>
          </cell>
          <cell r="E26" t="str">
            <v>South City 1</v>
          </cell>
          <cell r="F26" t="str">
            <v>Tuesday</v>
          </cell>
          <cell r="G26" t="str">
            <v>9 AM to 2 PM</v>
          </cell>
          <cell r="H26">
            <v>1450</v>
          </cell>
          <cell r="I26">
            <v>362.5</v>
          </cell>
          <cell r="J26" t="str">
            <v>Bliss</v>
          </cell>
          <cell r="K26" t="str">
            <v>Saturday n Tuesday//One Del today and then every satrday 920/04) Sent one Del Today (09/05)</v>
          </cell>
          <cell r="N26" t="str">
            <v>4  del of this cycle   -  0-cycles pmnt   Completed - Collect 0</v>
          </cell>
          <cell r="O26" t="e">
            <v>#N/A</v>
          </cell>
          <cell r="P26" t="str">
            <v>R n W Car ( 14 Inch ) 16     FF Sachet + Grass</v>
          </cell>
          <cell r="Q26" t="str">
            <v xml:space="preserve"> Asiatic lily      Grass</v>
          </cell>
          <cell r="R26" t="str">
            <v>W Asiatic ( 14 Inch ) 3     Grass</v>
          </cell>
          <cell r="S26" t="str">
            <v>P n W Glad ( 14 Inch ) 16     Grass</v>
          </cell>
          <cell r="T26" t="str">
            <v>Pur Eustoma ( 12 Inch ) 3     FF Sachet + Grass</v>
          </cell>
        </row>
        <row r="27">
          <cell r="A27">
            <v>3384</v>
          </cell>
          <cell r="B27" t="str">
            <v>Saloni Gupta</v>
          </cell>
          <cell r="C27">
            <v>9810796682</v>
          </cell>
          <cell r="D27" t="str">
            <v>338, 3rd Floor, Espace</v>
          </cell>
          <cell r="E27" t="str">
            <v>Nirvana Country</v>
          </cell>
          <cell r="F27" t="str">
            <v>Tuesday</v>
          </cell>
          <cell r="G27" t="str">
            <v>9 AM - 12 PM</v>
          </cell>
          <cell r="H27">
            <v>1545</v>
          </cell>
          <cell r="I27">
            <v>386.25</v>
          </cell>
          <cell r="J27" t="str">
            <v>Customized</v>
          </cell>
          <cell r="K27" t="str">
            <v>Sunday n Thursday//Pls Keep Flowers in Vase// Paytm from Mayank G (17/03) Sent replacememnt today (23/03) Skip 1 week (10/04) 2 Asiatic and 5 Rajni (27/07) Paytm friom Mayank Gupta (16/09) 2 Asiatic Lily in each delivery (16/10) Today returned (17/11) Skip this sunday (03/01) Thursday -- 10 Rose and 4 Rajni // Sunday - 2 Asiatic (19/01) Whenever possible-send red Roses (23/01) Skip tom (29/01) Today returned (22/05) Send replacement tom (27/07) Hold today (14/08) Do not count last delivery (04/09) Hold today (02/10) Hold today (12/10) Hold after this cycle (27/10) Do not count last del (31/10) 2 Asiatic + 4 Rajni + 4 Glad -- thrice in a week (30/12) 2 Asiatic and 4 Rajni bi weekly pack (08/03) 2 Asiatic and 8 Rajni Every time and send 8 Rajni tom (26/03) Today returned-send tom (19/04)</v>
          </cell>
          <cell r="N27" t="str">
            <v>1  del of this cycle   -  1-cycles pmnt   Pending - Collect 1545</v>
          </cell>
          <cell r="O27" t="e">
            <v>#N/A</v>
          </cell>
          <cell r="P27" t="e">
            <v>#N/A</v>
          </cell>
          <cell r="Q27" t="e">
            <v>#N/A</v>
          </cell>
          <cell r="R27" t="e">
            <v>#N/A</v>
          </cell>
          <cell r="S27" t="e">
            <v>#N/A</v>
          </cell>
          <cell r="T27" t="str">
            <v>O Asiatic ( 14 Inch ) 3     1 Gypsola</v>
          </cell>
        </row>
        <row r="28">
          <cell r="A28">
            <v>1953</v>
          </cell>
          <cell r="B28" t="str">
            <v>Sandhya Nagesh</v>
          </cell>
          <cell r="C28">
            <v>8800649797</v>
          </cell>
          <cell r="D28" t="str">
            <v>89, Ground Floor, Woodstock Floors, Sec 50</v>
          </cell>
          <cell r="E28" t="str">
            <v>Nirvana Country</v>
          </cell>
          <cell r="F28" t="str">
            <v>Saturday</v>
          </cell>
          <cell r="G28" t="str">
            <v>9 AM - 12 PM</v>
          </cell>
          <cell r="H28">
            <v>3000</v>
          </cell>
          <cell r="I28">
            <v>375</v>
          </cell>
          <cell r="J28" t="str">
            <v>Charm</v>
          </cell>
          <cell r="K28" t="str">
            <v>Saturday n Tueaday(02/09) No Del From 10th to 19th (09/09) Today returned(19/08) hold today send tom (07/10) Skip 20th Del (14/01) Hold 6th n 10th Sug (03/08) Return tiday (07/02) Today Returned (24/02)</v>
          </cell>
          <cell r="N28" t="str">
            <v>5  del of this cycle   -  0-cycles pmnt   Completed - Collect 0</v>
          </cell>
          <cell r="O28" t="str">
            <v>W Asiatic ( 15 inch ) 3     Grass</v>
          </cell>
          <cell r="P28" t="str">
            <v>P n W Glad ( 14 Inch ) 15     Grass</v>
          </cell>
          <cell r="Q28" t="str">
            <v>Sunflowers ( 14 Inch ) 4     FF sachet + Grass</v>
          </cell>
          <cell r="R28" t="str">
            <v>P Oriental ( 14 Inch ) 2     Grass</v>
          </cell>
          <cell r="S28" t="str">
            <v>Rajni ( 14 Inch ) 15     Grass</v>
          </cell>
          <cell r="T28" t="str">
            <v>O Asiatic ( 14 Inch ) 3     Grass</v>
          </cell>
        </row>
        <row r="29">
          <cell r="A29">
            <v>3216</v>
          </cell>
          <cell r="B29" t="str">
            <v>Rashmi Singh</v>
          </cell>
          <cell r="C29" t="str">
            <v>9674906576 // 7044017203</v>
          </cell>
          <cell r="D29" t="str">
            <v>A-162, 1st Floor, Ashok Estate, Sec 63 A</v>
          </cell>
          <cell r="E29" t="str">
            <v>Ghata</v>
          </cell>
          <cell r="F29" t="str">
            <v>Tuesday</v>
          </cell>
          <cell r="G29" t="str">
            <v>9 AM - 12 PM</v>
          </cell>
          <cell r="H29">
            <v>2750</v>
          </cell>
          <cell r="I29">
            <v>687.5</v>
          </cell>
          <cell r="J29" t="str">
            <v>Elation</v>
          </cell>
          <cell r="K29" t="str">
            <v>Single Kind // Skip 1 week (15/12) Sent One del today (20/12) Hold tom (02/02) Skip 2 week (23/02) No Glad (16/03) Skip 1 week (06/04) No Orchid (19/04) Today Hold (21/04) Return today (28/04) Skip this week 24/06) today hold (09/06)</v>
          </cell>
          <cell r="L29" t="str">
            <v>Glad n Orchid</v>
          </cell>
          <cell r="M29" t="str">
            <v>Single Kind</v>
          </cell>
          <cell r="N29" t="str">
            <v>4  del of this cycle   -  0-cycles pmnt   Completed - Collect 0</v>
          </cell>
          <cell r="O29" t="str">
            <v>Mix Alstroemeria ( 14 inch ) 30     2 Gypsola</v>
          </cell>
          <cell r="P29" t="str">
            <v>O Asiatic ( 15 Inch ) 6     2 Limonium</v>
          </cell>
          <cell r="Q29" t="str">
            <v>P Asiatic ( 14 Inch ) 6     Grass</v>
          </cell>
          <cell r="R29" t="str">
            <v>P n Y Spray Daisy ( 14 Inch ) 10     2 Limonium + FF Sachet</v>
          </cell>
          <cell r="S29" t="e">
            <v>#N/A</v>
          </cell>
          <cell r="T29" t="str">
            <v>Pur n P Eustoma ( 12 Inch ) 7     2 Gypsola + FF sachet</v>
          </cell>
        </row>
        <row r="30">
          <cell r="A30">
            <v>3132</v>
          </cell>
          <cell r="B30" t="str">
            <v>Ramesh Kapoor</v>
          </cell>
          <cell r="C30">
            <v>9717416100</v>
          </cell>
          <cell r="D30" t="str">
            <v>T-6/1404, The Palms, South City 1</v>
          </cell>
          <cell r="E30" t="str">
            <v>South City 1</v>
          </cell>
          <cell r="F30" t="str">
            <v>Tuesday</v>
          </cell>
          <cell r="G30" t="str">
            <v>9 AM - 12 PM</v>
          </cell>
          <cell r="H30">
            <v>2300</v>
          </cell>
          <cell r="I30">
            <v>287.5</v>
          </cell>
          <cell r="J30" t="str">
            <v>Felicity</v>
          </cell>
          <cell r="K30" t="str">
            <v>Paytm From Anuradha Kapoor - Anu Kapoor (04/11) Premium tom (13/11) Replacement tom (21/04) 10 % Discint given (15/06) Today hold n sned tom (20/06)</v>
          </cell>
          <cell r="M30" t="str">
            <v>Premium Next (13/11)</v>
          </cell>
          <cell r="N30" t="str">
            <v>3  del of this cycle   -  0-cycles pmnt   Completed - Collect 40</v>
          </cell>
          <cell r="O30" t="str">
            <v>Mix Alstroemeria ( 14 inch ) 9     Grass</v>
          </cell>
          <cell r="P30" t="str">
            <v>R n W Car ( 14 Inch ) 9     FF Sachet + Grass</v>
          </cell>
          <cell r="Q30" t="str">
            <v>P Asiatic ( 14 Inch ) 2     Grass</v>
          </cell>
          <cell r="R30" t="str">
            <v>P n W Glad ( 14 Inch ) 9     Grass</v>
          </cell>
          <cell r="S30" t="str">
            <v>Y Spray Daisy ( 14 Inch ) 3     FF Sachet + Grass</v>
          </cell>
          <cell r="T30" t="str">
            <v>Rajni ( 14 Inch ) 11     Grass</v>
          </cell>
        </row>
        <row r="31">
          <cell r="A31">
            <v>2132</v>
          </cell>
          <cell r="B31" t="str">
            <v>Smita Mathur</v>
          </cell>
          <cell r="C31" t="str">
            <v>+6281294705524</v>
          </cell>
          <cell r="D31" t="str">
            <v>R-9A, Windsor Court-- Next Supermart</v>
          </cell>
          <cell r="E31" t="str">
            <v>DLF Phase 4</v>
          </cell>
          <cell r="F31" t="str">
            <v>Tuesday</v>
          </cell>
          <cell r="G31" t="str">
            <v>9 AM - 12 PM</v>
          </cell>
          <cell r="H31">
            <v>1450</v>
          </cell>
          <cell r="I31">
            <v>362.5</v>
          </cell>
          <cell r="J31" t="str">
            <v>Bliss</v>
          </cell>
          <cell r="K31" t="str">
            <v>NO GLAD/ASIATIC/ORCHID(23/12) ONLY LILY/ROSE AD CHRYSANTHEMUM IN THIS PACK(23/12) Rajni Next(27/12) Skip 1 week(30/12) Bright Color Asiatic Next(09/01) ALWAYS SINGLE COLOR(10/01) Day changed to Friday and send bright lily on both days(11/01) Send 1 Pack tom(15/01) Dark Pink or Red Asiatic(22/01) Pls send Daisy Next(31/01) Y Fuldawari next(04/02) Next Yellow Color(07/02) This Cycle-- Oriental//Car//Orchid//Rose(02/10) Send next del on friday with moxed bright color car(05/10) Sent Replacement today(20/10) GuldawariNext(21/10) This week on saturday and then tuesday, Flowesr are-- Car//Lily//Guldawari//Rose//Orchid// Glad (17/11) NO ROSE  SEND REPLACEMENT TOM AND ALSO 2ND DEL(21/11)(21/11) Hold today (13/12) Hold for 2 weeks(13/12) NO BOP AND SPRAY DAISY  AND ROSES IF THEY ARE GOOD(22/12) Asiatic Next (04/01) Send Replacement tom (18/03) Paytm from 99****8930(25/07) Change to Joy (27/10) Change to bliss (13/12) Skip 2 Week (31/01) Skip 2 week (02/03) Holdn n start from 13 July (23/06) Sent replacement today (01/09) Skip 1 week (07/12) Hold aftyer current cycle (19/03) Skip 16th Aug (09/08) No flowers on 27th (16/09) Skip tom and now on tuesday Only (05/12) Skip 1 week (18/02)</v>
          </cell>
          <cell r="L31" t="str">
            <v>BOP n GERBERA</v>
          </cell>
          <cell r="N31" t="str">
            <v>3  del of this cycle   -  0-cycles pmnt   Completed - Collect 0</v>
          </cell>
          <cell r="O31" t="str">
            <v>Mix Alstroemeria ( 14 inch ) 16     Grass</v>
          </cell>
          <cell r="P31" t="str">
            <v>Y Asiatic ( 15 inch ) 3     Grass</v>
          </cell>
          <cell r="Q31" t="str">
            <v>Mix Alstroemeria ( 12 Inch ) 16     Grass</v>
          </cell>
          <cell r="R31" t="str">
            <v>P n W Glad ( 14 Inch ) 16     Grass</v>
          </cell>
          <cell r="S31" t="str">
            <v>O n P Car ( 14 Inch ) 16     FF Sachet + Grass</v>
          </cell>
          <cell r="T31" t="str">
            <v>Pur Eustoma ( 12 Inch ) 3     FF Sachet + Grass</v>
          </cell>
        </row>
        <row r="32">
          <cell r="A32">
            <v>3361</v>
          </cell>
          <cell r="B32" t="str">
            <v>Navneet Kaur</v>
          </cell>
          <cell r="C32">
            <v>8527893377</v>
          </cell>
          <cell r="D32" t="str">
            <v>C-601, Time Residency, Sec 63</v>
          </cell>
          <cell r="E32" t="str">
            <v>Ghata</v>
          </cell>
          <cell r="F32" t="str">
            <v>Tuesday</v>
          </cell>
          <cell r="G32" t="str">
            <v>10 AM to 2:30 PM</v>
          </cell>
          <cell r="H32">
            <v>1450</v>
          </cell>
          <cell r="I32">
            <v>362.5</v>
          </cell>
          <cell r="J32" t="str">
            <v>Bliss</v>
          </cell>
          <cell r="K32" t="str">
            <v>Skip 1 week (16/05) Skip 1 week (04/06)</v>
          </cell>
          <cell r="N32" t="str">
            <v>1  del of this cycle   -  1-cycles pmnt   Pending - Collect 1450</v>
          </cell>
          <cell r="O32" t="e">
            <v>#N/A</v>
          </cell>
          <cell r="P32" t="str">
            <v>O n W Spray Daisy ( 15 Inch ) 5     FF Sachet + Grass</v>
          </cell>
          <cell r="Q32" t="str">
            <v>P n W Glad ( 14 Inch ) 16     Grass</v>
          </cell>
          <cell r="R32" t="e">
            <v>#N/A</v>
          </cell>
          <cell r="S32" t="str">
            <v>O Asiatic ( 14 inch ) 3     Grass</v>
          </cell>
          <cell r="T32" t="str">
            <v>Rajni ( 14 Inch ) 16     FF Sachet + Grass</v>
          </cell>
        </row>
        <row r="33">
          <cell r="A33">
            <v>3367</v>
          </cell>
          <cell r="B33" t="str">
            <v>Pallavi Sharma</v>
          </cell>
          <cell r="C33">
            <v>9910888631</v>
          </cell>
          <cell r="D33" t="str">
            <v>B-93, Regency Park 1, Sec 43</v>
          </cell>
          <cell r="E33" t="str">
            <v>DLF Phase 4</v>
          </cell>
          <cell r="F33" t="str">
            <v>Tuesday</v>
          </cell>
          <cell r="G33" t="str">
            <v>9 AM - 12 PM</v>
          </cell>
          <cell r="H33">
            <v>1450</v>
          </cell>
          <cell r="I33">
            <v>1450</v>
          </cell>
          <cell r="J33" t="str">
            <v>Bliss</v>
          </cell>
          <cell r="K33" t="str">
            <v>Paytm From Vaibhav Sharma (16.05) Skip 1 week (03/06)</v>
          </cell>
          <cell r="N33" t="str">
            <v>1  del of this cycle   -  1-cycles pmnt   Pending - Collect 1450</v>
          </cell>
          <cell r="O33" t="str">
            <v>P n W Car ( 14 inch ) 16     FF Sachet + Grass</v>
          </cell>
          <cell r="P33" t="str">
            <v>O Asiatic ( 15 Inch ) 3     Grass</v>
          </cell>
          <cell r="Q33" t="str">
            <v>P n W Glad ( 14 Inch ) 16     Grass</v>
          </cell>
          <cell r="R33" t="e">
            <v>#N/A</v>
          </cell>
          <cell r="S33" t="str">
            <v>P n Y Spray Daisy ( 14 Inch ) 5     FF Sachet + Grass</v>
          </cell>
          <cell r="T33" t="str">
            <v>Rajni ( 14 Inch ) 16     FF Sachet + Grass</v>
          </cell>
        </row>
        <row r="34">
          <cell r="A34">
            <v>3371</v>
          </cell>
          <cell r="B34" t="str">
            <v>Supriya Bijlwan</v>
          </cell>
          <cell r="C34">
            <v>9560012831</v>
          </cell>
          <cell r="D34" t="str">
            <v>C-201, Mahindra Luminaire</v>
          </cell>
          <cell r="E34" t="str">
            <v>Ghata</v>
          </cell>
          <cell r="F34" t="str">
            <v>Saturday</v>
          </cell>
          <cell r="G34" t="str">
            <v>10 AM to 2:30 PM</v>
          </cell>
          <cell r="H34">
            <v>2300</v>
          </cell>
          <cell r="I34">
            <v>287.5</v>
          </cell>
          <cell r="J34" t="str">
            <v>Felicity</v>
          </cell>
          <cell r="K34" t="str">
            <v>1 Seasonal Extra next (20/05)</v>
          </cell>
          <cell r="M34" t="str">
            <v>Premium in next 2 Del (23/05)</v>
          </cell>
          <cell r="N34" t="str">
            <v>3  del of this cycle   -  0-cycles pmnt   Completed - Collect 0</v>
          </cell>
          <cell r="O34" t="str">
            <v>P n W Car ( 14 inch ) 11     FF Sachet + Grass</v>
          </cell>
          <cell r="P34" t="str">
            <v>O Spray Daisy ( 15 Inch ) 2     FF Sachet + grass</v>
          </cell>
          <cell r="Q34" t="str">
            <v>Sunflowers ( 14 Inch ) 3     FF sachet + Grass</v>
          </cell>
          <cell r="R34" t="str">
            <v>Pur Eustoma ( 12 Inch ) 3     FF Sachet + Grass</v>
          </cell>
          <cell r="S34" t="str">
            <v>Rajni ( 14 Inch ) 11     Grass</v>
          </cell>
          <cell r="T34" t="str">
            <v>P Asiatic ( 14 Inch ) 2     Grass</v>
          </cell>
        </row>
        <row r="35">
          <cell r="A35" t="str">
            <v>G-00029</v>
          </cell>
          <cell r="B35" t="str">
            <v>Shweta Arora</v>
          </cell>
          <cell r="C35">
            <v>9999164984</v>
          </cell>
          <cell r="D35" t="str">
            <v>H. No. 9506, 3rd Floor, Garden Villas</v>
          </cell>
          <cell r="E35" t="str">
            <v>DLF Phase 4</v>
          </cell>
          <cell r="F35" t="str">
            <v>Tuesday</v>
          </cell>
          <cell r="G35" t="str">
            <v>10 AM to 2:30 PM</v>
          </cell>
          <cell r="H35">
            <v>1950</v>
          </cell>
          <cell r="I35">
            <v>487.5</v>
          </cell>
          <cell r="J35" t="str">
            <v>Joy</v>
          </cell>
          <cell r="K35" t="str">
            <v>From Akriti Chopra // Paytm From Shweta Dudeja (26/02) Sent replacement today (18/04)</v>
          </cell>
          <cell r="N35" t="str">
            <v>1  del of this cycle   -  1-cycles pmnt   Pending - Collect 1950</v>
          </cell>
          <cell r="O35" t="str">
            <v>P Asiatic ( 15 inch ) 2 Mix Alstroemeria ( 14 Inch ) 11   Grass</v>
          </cell>
          <cell r="P35" t="str">
            <v>O n W Spray Daisy ( 15 Inch ) 4 P n W Car ( 14 Inch ) 11   Grass</v>
          </cell>
          <cell r="Q35" t="str">
            <v>Sunflowers ( 14 Inch ) 3 P n W Glad ( 14 Inch ) 11   FF sachet + Grass</v>
          </cell>
          <cell r="R35" t="str">
            <v>P Eustoma ( 12 Inch ) 2 Mix Alstroemeria ( 12 Inch ) 11   FF Sachet + Grass</v>
          </cell>
          <cell r="S35" t="str">
            <v>O Asiatic ( 14 inch ) 2 O n P Car ( 14 Inch ) 11   Grass</v>
          </cell>
          <cell r="T35" t="str">
            <v>P n Y Spray Daisy ( 14 Inch ) 4 Rajni ( 14 Inch ) 11   FF Sachet + Grass</v>
          </cell>
        </row>
        <row r="36">
          <cell r="A36">
            <v>3174</v>
          </cell>
          <cell r="B36" t="str">
            <v>Swapnil</v>
          </cell>
          <cell r="C36">
            <v>9910715560</v>
          </cell>
          <cell r="D36" t="str">
            <v>Axelle, 17-B, Tata Raisina, Sec 59</v>
          </cell>
          <cell r="E36" t="str">
            <v>Ghata</v>
          </cell>
          <cell r="F36" t="str">
            <v>Tuesday</v>
          </cell>
          <cell r="G36" t="str">
            <v>10 AM to 2:30 PM</v>
          </cell>
          <cell r="H36">
            <v>1450</v>
          </cell>
          <cell r="I36">
            <v>362.5</v>
          </cell>
          <cell r="J36" t="str">
            <v>Bliss</v>
          </cell>
          <cell r="K36" t="str">
            <v>Skip 1 week (05/12)</v>
          </cell>
          <cell r="N36" t="str">
            <v>2  del of this cycle   -  1-cycles pmnt   Pending - Collect 1450</v>
          </cell>
          <cell r="O36" t="str">
            <v>P n W Car ( 14 inch ) 16     Grass</v>
          </cell>
          <cell r="P36" t="str">
            <v>O Asiatic ( 15 Inch ) 3     Grass</v>
          </cell>
          <cell r="Q36" t="str">
            <v>Mix Alstroemeria ( 12 Inch ) 16     Grass</v>
          </cell>
          <cell r="R36" t="str">
            <v>P n Y Spray Daisy ( 14 Inch ) 5     FF Sachet + Grass</v>
          </cell>
          <cell r="S36" t="str">
            <v>P n W Glad ( 14 Inch ) 16     Grass</v>
          </cell>
          <cell r="T36" t="str">
            <v>Pur Eustoma ( 12 Inch ) 3     FF Sachet + Grass</v>
          </cell>
        </row>
        <row r="37">
          <cell r="A37">
            <v>1554</v>
          </cell>
          <cell r="B37" t="str">
            <v>Farea Aziz</v>
          </cell>
          <cell r="C37">
            <v>9871694052</v>
          </cell>
          <cell r="D37" t="str">
            <v>Selan Exploration Tech Ltd, 8th Floor , Imperial Mindspace, Sec 62</v>
          </cell>
          <cell r="E37" t="str">
            <v>Ghata</v>
          </cell>
          <cell r="F37" t="str">
            <v>Tuesday</v>
          </cell>
          <cell r="G37" t="str">
            <v>By 10 AM</v>
          </cell>
          <cell r="H37">
            <v>1950</v>
          </cell>
          <cell r="I37">
            <v>487.5</v>
          </cell>
          <cell r="J37" t="str">
            <v>Corporate</v>
          </cell>
          <cell r="K37" t="str">
            <v>Return-send next week(03/01) Return-send tom at new add (04/10) Today hold -send tom (15/08) Today returned-send tom (24/10)</v>
          </cell>
          <cell r="N37" t="str">
            <v>1  del of this cycle   -  0-cycles pmnt   In Process - Collect 0</v>
          </cell>
          <cell r="O37" t="str">
            <v>P n W Spray Daisy ( 15 inch ) 4 Mix Alstroemeria ( 14 Inch ) 11   FF Sachet + Grass</v>
          </cell>
          <cell r="P37" t="str">
            <v>Y Asiatic ( 15 inch ) 2 P n W Car ( 14 Inch ) 11   Grass</v>
          </cell>
          <cell r="Q37" t="str">
            <v>Sunflowers ( 14 Inch ) 3 P n W Glad ( 14 Inch ) 11   FF sachet + Grass</v>
          </cell>
          <cell r="R37" t="str">
            <v>P Eustoma ( 12 Inch ) 2 Mix Alstroemeria ( 12 Inch ) 11   FF Sachet + Grass</v>
          </cell>
          <cell r="S37" t="str">
            <v>P Asiatic ( 14 Inch ) 2 O n P Car ( 14 Inch ) 11   Grass</v>
          </cell>
          <cell r="T37" t="str">
            <v>Sunflower ( 12 Inch ) 3 P n W Glad ( 14 Inch ) 11   FF Sachet + Grass</v>
          </cell>
        </row>
        <row r="38">
          <cell r="A38">
            <v>3333</v>
          </cell>
          <cell r="B38" t="str">
            <v>Urshita Gupta</v>
          </cell>
          <cell r="C38">
            <v>9910738939</v>
          </cell>
          <cell r="D38" t="str">
            <v>D-202, Pilot Court, Essel Towers</v>
          </cell>
          <cell r="E38" t="str">
            <v>M G Road</v>
          </cell>
          <cell r="F38" t="str">
            <v>Tuesday</v>
          </cell>
          <cell r="G38" t="str">
            <v>10 AM to 2:30 PM</v>
          </cell>
          <cell r="H38">
            <v>1950</v>
          </cell>
          <cell r="I38">
            <v>487.5</v>
          </cell>
          <cell r="J38" t="str">
            <v>Joy</v>
          </cell>
          <cell r="K38" t="str">
            <v>Change day to Tuesday (29/04) Hold till1 st June (20/05) Paytm From Urshita Saini (05/06)</v>
          </cell>
          <cell r="N38" t="str">
            <v>4  del of this cycle   -  0-cycles pmnt   Completed - Collect 0</v>
          </cell>
          <cell r="O38" t="str">
            <v>P Asiatic ( 15 inch ) 4     Grass</v>
          </cell>
          <cell r="P38" t="e">
            <v>#N/A</v>
          </cell>
          <cell r="Q38" t="str">
            <v>R n W Car ( 14 Inch ) 22     FF sachet + Grass</v>
          </cell>
          <cell r="R38" t="str">
            <v>Mix Alstroemeria ( 12 Inch ) 22     FF Sachet + Grass</v>
          </cell>
          <cell r="S38" t="str">
            <v>P n W Spray Daisy ( 14 inch ) 7     FF Sachet + Grass</v>
          </cell>
          <cell r="T38" t="str">
            <v>Mix Car 22     Grass</v>
          </cell>
        </row>
        <row r="39">
          <cell r="A39">
            <v>918</v>
          </cell>
          <cell r="B39" t="str">
            <v>FIVD</v>
          </cell>
          <cell r="C39">
            <v>9560117868</v>
          </cell>
          <cell r="D39" t="str">
            <v>Fivd India, 22-27, 7th Floor, A Tower, Emaar Digital Green Sec 61</v>
          </cell>
          <cell r="E39" t="str">
            <v>Ghata</v>
          </cell>
          <cell r="F39" t="str">
            <v>Tuesday</v>
          </cell>
          <cell r="G39" t="str">
            <v>9 AM - 12 PM</v>
          </cell>
          <cell r="H39">
            <v>1950</v>
          </cell>
          <cell r="I39">
            <v>487.5</v>
          </cell>
          <cell r="J39" t="str">
            <v>Corporate</v>
          </cell>
          <cell r="K39" t="str">
            <v>Only Asiatic(12/10) Skip this week(26/10) Google pay from manas mehrotra(24/11) Return-send on Tuesday(08/12) Gpay From Priyanka Singh (24/09) Sent a vase today (07/02) Add Changed (14/07) Today hold-send tom (15/08) send replacement tom (16/08) Today returned-send tom (24/10) Sent replacement today (04/07) Sent replacement today (27/11) Office was closed (21/10)</v>
          </cell>
          <cell r="L39" t="str">
            <v>GLAD And GULDAWARI AND SPRAY DAISY</v>
          </cell>
          <cell r="N39" t="str">
            <v>1  del of this cycle   -  0-cycles pmnt   In Process - Collect 0</v>
          </cell>
          <cell r="O39" t="str">
            <v>R n W Car ( 14 Inch ) 22     FF Sachet + Grass</v>
          </cell>
          <cell r="P39" t="str">
            <v>Mix Alstroemeria ( 14 inch ) 22     FF Sachet + Grass</v>
          </cell>
          <cell r="Q39" t="str">
            <v>Y Asiatic ( 14 Inch ) 4     Grass</v>
          </cell>
          <cell r="R39" t="str">
            <v>Sunflower ( 12 Inch ) 5     FF Sachet + Grass</v>
          </cell>
          <cell r="S39" t="str">
            <v>P n W Glad ( 14 Inch ) 22     Grass</v>
          </cell>
          <cell r="T39" t="str">
            <v>Pur n P Car ( 14 Inch ) 22     FF Sachet + Grass</v>
          </cell>
        </row>
        <row r="40">
          <cell r="A40">
            <v>2594</v>
          </cell>
          <cell r="B40" t="str">
            <v>Anamika Sirohi</v>
          </cell>
          <cell r="C40">
            <v>9971707368</v>
          </cell>
          <cell r="D40" t="str">
            <v>E-703M The Vikas, DLF Phase 2</v>
          </cell>
          <cell r="E40" t="str">
            <v>DLF Phase 2</v>
          </cell>
          <cell r="F40" t="str">
            <v>Tuesday</v>
          </cell>
          <cell r="G40" t="str">
            <v>9 AM to 2 PM</v>
          </cell>
          <cell r="H40">
            <v>999</v>
          </cell>
          <cell r="I40">
            <v>249.75</v>
          </cell>
          <cell r="J40" t="str">
            <v>Delight</v>
          </cell>
          <cell r="K40" t="str">
            <v>Preferred Flowers -- Rose/Rajni/Gerbera/Lilies/Glad/car // Today Hold (12/08) Skip 2 week (13/08) Paytm From sangram Singh (10/09)</v>
          </cell>
          <cell r="N40" t="str">
            <v>3  del of this cycle   -  0-cycles pmnt   CompletedNO COLLECTION-we have extra money - Collect -10</v>
          </cell>
          <cell r="O40" t="str">
            <v>P n W Glad ( 14 inch ) 9     Grass</v>
          </cell>
          <cell r="P40" t="str">
            <v>O Spray Daisy ( 15 Inch ) 3     FF Sachet + Grass</v>
          </cell>
          <cell r="Q40" t="str">
            <v>P Asiatic ( 14 Inch ) 2     Grass</v>
          </cell>
          <cell r="R40" t="str">
            <v>R n P Car ( 14 Inch ) 9     FF Sachet + Grass</v>
          </cell>
          <cell r="S40" t="str">
            <v>Mix Alstroemeria ( 12 Inch ) 9     FF Sachet + Grass</v>
          </cell>
          <cell r="T40" t="str">
            <v>Sunflower ( 12 Inch ) 2     FF Sachet + Grass</v>
          </cell>
        </row>
        <row r="41">
          <cell r="A41">
            <v>1542</v>
          </cell>
          <cell r="B41" t="str">
            <v>Anisha Sethi</v>
          </cell>
          <cell r="C41">
            <v>9811004396</v>
          </cell>
          <cell r="D41" t="str">
            <v>Q-1/25, DLF Phase 2</v>
          </cell>
          <cell r="E41" t="str">
            <v>M G Road</v>
          </cell>
          <cell r="F41" t="str">
            <v>Saturday</v>
          </cell>
          <cell r="G41" t="str">
            <v>9 AM to 2 PM</v>
          </cell>
          <cell r="H41">
            <v>3000</v>
          </cell>
          <cell r="I41">
            <v>375</v>
          </cell>
          <cell r="J41" t="str">
            <v>Charm</v>
          </cell>
          <cell r="K41" t="str">
            <v>Saturdya n Tuesday//always mix of 2 flowers and send a scissor on 1st del for Rs.50(11/10) Send 1 Scissor also(13/10) Send Scissor Tom(15/10) Send Mogra next(18/10) NO HELICONIA and BOP(19/11) Skip this Tuesday(10/04) Skip this Tuesday Del(02/05) Skip 28th May Flowers(25/05) Sent replacement today(07/06) NO DEL BETWEEN 14TH AND 24TH JULY(06/07) Skip 12th , 16th , 19th and 23rd July(11/07) Skip 1 week(25/08) NO UPGRADE(17/10) Pause from 25th to 6th Apr (24/03) Asiatic n Car (05/05) No Delivery from 10th June to 15th July (07/06) Skip tom delivery (04/09) No flowers on 28th (26/10) Skip 1 Del (12/02) Hold on 2nd,6th and 9th Apr (30/03) Skip 20th Del (19/08) Pls hold n start from 5th Oct (22/09) No sunflowers for some time (15/04) Hold from 17th May t0 17th June (14/05) Collect 400 next and carry change (29/07) 400 cash on 5th Aug (12/08) Hold n send on 23rd Now (17/08)</v>
          </cell>
          <cell r="L41" t="str">
            <v>HELICONIA n BOP</v>
          </cell>
          <cell r="M41" t="str">
            <v>No Sunflowers for some time (15/04) Change of Rs. 50 Next (28/04)</v>
          </cell>
          <cell r="N41" t="str">
            <v>3  del of this cycle   -  0-cycles pmnt   Completed - Collect 0</v>
          </cell>
          <cell r="O41" t="e">
            <v>#N/A</v>
          </cell>
          <cell r="P41" t="e">
            <v>#N/A</v>
          </cell>
          <cell r="Q41" t="e">
            <v>#N/A</v>
          </cell>
          <cell r="R41" t="e">
            <v>#N/A</v>
          </cell>
          <cell r="S41" t="str">
            <v>P Spray Daisy ( 14 Inch ) 2 P n W Glad ( 14 Inch ) 7   FF Sachet + Grass</v>
          </cell>
          <cell r="T41" t="str">
            <v>Pur Eustoma ( 12 Inch ) 2 Rajni ( 14 Inch ) 7   FF Sachet + Grass</v>
          </cell>
        </row>
        <row r="42">
          <cell r="A42">
            <v>3306</v>
          </cell>
          <cell r="B42" t="str">
            <v>Abhishek Jain</v>
          </cell>
          <cell r="C42">
            <v>9004227662</v>
          </cell>
          <cell r="D42" t="str">
            <v>N-3/8, 2nd Floor, Road No. N-3, Sector 25</v>
          </cell>
          <cell r="E42" t="str">
            <v>DLF Phase 2</v>
          </cell>
          <cell r="F42" t="str">
            <v>Tuesday</v>
          </cell>
          <cell r="G42" t="str">
            <v>9:30 AM to 2 PM</v>
          </cell>
          <cell r="H42">
            <v>1450</v>
          </cell>
          <cell r="I42">
            <v>362.5</v>
          </cell>
          <cell r="J42" t="str">
            <v>Bliss</v>
          </cell>
          <cell r="K42" t="str">
            <v>Skip 2 week (16/04)</v>
          </cell>
          <cell r="N42" t="str">
            <v>1  del of this cycle   -  1-cycles pmnt   Pending - Collect 1450</v>
          </cell>
          <cell r="O42" t="str">
            <v>P Asiatic ( 15 inch ) 3     Grass</v>
          </cell>
          <cell r="P42" t="str">
            <v>Mix Alstroemeria ( 14 inch ) 16     FF Sachet + Grass</v>
          </cell>
          <cell r="Q42" t="str">
            <v>P n W Glad ( 14 Inch ) 16     Grass</v>
          </cell>
          <cell r="R42" t="str">
            <v>P n W Spray Daisy ( 14 Inch ) 5     FF Sachet + Grass</v>
          </cell>
          <cell r="S42" t="str">
            <v>O n P Car ( 14 Inch ) 16     FF Sachet + Grass</v>
          </cell>
          <cell r="T42" t="str">
            <v>Pur Eustoma ( 12 Inch ) 3     FF Sachet + Grass</v>
          </cell>
        </row>
        <row r="43">
          <cell r="A43">
            <v>2463</v>
          </cell>
          <cell r="B43" t="str">
            <v>Rishika Mazumdar</v>
          </cell>
          <cell r="C43">
            <v>9674039510</v>
          </cell>
          <cell r="D43" t="str">
            <v>A-45/17, 4th Floor, Yadav House, Sec 28, DLF Phase 1</v>
          </cell>
          <cell r="E43" t="str">
            <v>DLF Phase 1</v>
          </cell>
          <cell r="F43" t="str">
            <v>Tuesday</v>
          </cell>
          <cell r="G43" t="str">
            <v>9 AM - 12 PM</v>
          </cell>
          <cell r="H43">
            <v>1450</v>
          </cell>
          <cell r="I43">
            <v>362.5</v>
          </cell>
          <cell r="J43" t="str">
            <v>Bliss</v>
          </cell>
          <cell r="K43" t="str">
            <v>Referred by Navjot Kaur// Sent replacement today (15/04) skip next and send on Tuesday (26/04) Skip n send on Tuesday (22/06) Skip tom n send on Tuesday (04/07) Change day to Tuesday (17/07) Hold from 20th Sep and stsrt from 11th Oct (01/09) Skip 25th and sned on 29th (18/11) Paytm from Tushar Gupta (17/02) Hold till 12th April (29/03)</v>
          </cell>
          <cell r="M43" t="str">
            <v>Don’t send on  28th -- sned on 1st July(26/04)</v>
          </cell>
          <cell r="N43" t="str">
            <v>1  del of this cycle   -  1-cycles pmnt   Pending - Collect 1450</v>
          </cell>
          <cell r="O43" t="str">
            <v>Mix Alstroemeria ( 14 inch ) 9     Grass</v>
          </cell>
          <cell r="P43" t="str">
            <v>Y Asiatic ( 15 inch ) 2     Grass</v>
          </cell>
          <cell r="Q43" t="str">
            <v>R n W Car ( 14 Inch ) 9     FF sachet + Grass</v>
          </cell>
          <cell r="R43" t="str">
            <v>P n W Glad ( 14 Inch ) 9     Grass</v>
          </cell>
          <cell r="S43" t="str">
            <v>Sunflower ( 12 Inch ) 2     FF Sachet + Grass</v>
          </cell>
          <cell r="T43" t="str">
            <v>B Daisy ( 12 Inch ) 16     Grass</v>
          </cell>
        </row>
        <row r="44">
          <cell r="A44">
            <v>2536</v>
          </cell>
          <cell r="B44" t="str">
            <v xml:space="preserve">Poonam Lal </v>
          </cell>
          <cell r="C44">
            <v>9811096665</v>
          </cell>
          <cell r="D44" t="str">
            <v>T-121/173, Silver Oaks Appartments</v>
          </cell>
          <cell r="E44" t="str">
            <v>DLF Phase 1</v>
          </cell>
          <cell r="F44" t="str">
            <v>Saturday</v>
          </cell>
          <cell r="G44" t="str">
            <v>9 AM - 12 PM</v>
          </cell>
          <cell r="H44">
            <v>1450</v>
          </cell>
          <cell r="I44">
            <v>362.5</v>
          </cell>
          <cell r="J44" t="str">
            <v>Bliss</v>
          </cell>
          <cell r="K44" t="str">
            <v>10% Discount // Today hold (02/08) Hold n start after 11th Sep (05/09) Start after 27th Jan (16/01) Skip tom (03/04) Skip tom add being changed (01/05) Hold till 04th June (26/05)</v>
          </cell>
          <cell r="N44" t="str">
            <v>2  del of this cycle   -  1-cycles pmnt   Pending - Collect 1450</v>
          </cell>
          <cell r="O44" t="str">
            <v>P n W Car ( 14 inch ) 9     FF Sachet + Grass</v>
          </cell>
          <cell r="P44" t="str">
            <v>Y Asiatic ( 15 inch ) 2     Grass</v>
          </cell>
          <cell r="Q44" t="e">
            <v>#N/A</v>
          </cell>
          <cell r="R44" t="str">
            <v>P n W Glad ( 14 Inch ) 9     Grass</v>
          </cell>
          <cell r="S44" t="str">
            <v>P n Y Spray Daisy ( 14 Inch ) 5     FF Sachet + Grass</v>
          </cell>
          <cell r="T44" t="str">
            <v>Rajni ( 14 Inch ) 16     FF Sachet + Grass</v>
          </cell>
        </row>
        <row r="45">
          <cell r="A45">
            <v>2487</v>
          </cell>
          <cell r="B45" t="str">
            <v>Jyoti - Digi Homes</v>
          </cell>
          <cell r="C45">
            <v>9711267571</v>
          </cell>
          <cell r="D45" t="str">
            <v>T-B/2802, Emaar Digi Homes, Sec 62</v>
          </cell>
          <cell r="E45" t="str">
            <v>Ghata</v>
          </cell>
          <cell r="F45" t="str">
            <v>Tuesday</v>
          </cell>
          <cell r="G45" t="str">
            <v>4 Pm to 7 PM</v>
          </cell>
          <cell r="H45">
            <v>1950</v>
          </cell>
          <cell r="I45">
            <v>487.5</v>
          </cell>
          <cell r="J45" t="str">
            <v>Joy</v>
          </cell>
          <cell r="K45" t="str">
            <v>No Glad n Rajni n try fir Gerbera fior 1st Del // Hold n send on 19th and send on 21st (17/04) 19th Del Missed-send on 26th (23/04) Do not count last del 28/05) Today returned (21/06) Do not count last del (20/07) Today Hold  and send on tuesday(02/08) Return today (05/08) Skip 2 Weeks (09/08) Day change to tuesday and and skip 2 week (09/08) Day Changed to saturday (02/09) No BOP also (23/09 Paytm From Jyoti chaudhary (27/10) Only No Rajni and BOP (19/03)</v>
          </cell>
          <cell r="L45" t="str">
            <v>Rajni n BOP</v>
          </cell>
          <cell r="N45" t="str">
            <v>3  del of this cycle   -  0-cycles pmnt   Completed - Collect 0</v>
          </cell>
          <cell r="O45" t="str">
            <v>P n Y Spray Daisy ( 15 inch ) 7     FF Sachet + Grass</v>
          </cell>
          <cell r="P45" t="str">
            <v>O Asiatic ( 15 Inch ) 4     Grass</v>
          </cell>
          <cell r="Q45" t="str">
            <v>Mix Alstroemeria ( 12 Inch ) 22     Grass</v>
          </cell>
          <cell r="R45" t="str">
            <v>R n W  Carnation  22     Grass</v>
          </cell>
          <cell r="S45" t="str">
            <v>P n Pur Eustoma ( 12 Inch ) 4     FF Sachet + Grass</v>
          </cell>
          <cell r="T45" t="str">
            <v>Mix Spray Daisy 7     Grass</v>
          </cell>
        </row>
        <row r="46">
          <cell r="A46">
            <v>1334</v>
          </cell>
          <cell r="B46" t="str">
            <v>Rumika</v>
          </cell>
          <cell r="C46">
            <v>8750280078</v>
          </cell>
          <cell r="D46" t="str">
            <v>M-77, 1st Floor,Adani Samsara, Sector 60</v>
          </cell>
          <cell r="E46" t="str">
            <v>Ghata</v>
          </cell>
          <cell r="F46" t="str">
            <v>Saturday</v>
          </cell>
          <cell r="G46" t="str">
            <v>Post 5 PM</v>
          </cell>
          <cell r="H46">
            <v>2300</v>
          </cell>
          <cell r="I46">
            <v>287.5</v>
          </cell>
          <cell r="J46" t="str">
            <v>Felicity</v>
          </cell>
          <cell r="K46" t="str">
            <v>saturday n tuesday//Monday and Friday//Guldawari//Asiatic// car(06/03) Send anthuriums next and then upgrade to 1750 Package--BMF(23/03) Skiped 1 week due to HOLI(29/03) After this upgrade to 1750 Bi weekly plan -- Monday and Friday (04/04) Flowers-- Car//Rose//Lily//Guldawari//Gerbera//Spray Daisy(07/04) Send a replacement today(02/06) Flower Food Next(06/06) NO SPRAY DAISY(18/06) Shift to Elation after this cycle(14/09) Send less greens(21/09) NO GREENS(24/09) Pls send 1 stick of cotton on next del and check glad is being repeated(25/10) Skip n start from Monday(11/11) NO GERBERA(14/12) Send 1 heliconia tom as replacement(24/12) NO HELICONIA (11/02) Holy Change(16/03) Car//Guldawari//Asiatic//Orchid and 2 other best life flowers(13/06) START BIWEEKLY PLAN AFTER THIS CYCLE(06/07) Lilies Next(10/08) Repeat Last flowers(13/08) Hold till 22nd Sep(11/09) Do not count last del(06/11) No Orchid n Rajni and Lily Next (23/11) Sent replacememnt today (3/12) NO RAJNI/ANTHURIUM/HELICONIA and Less Glad (02/01) NO GLAD n ORCHID (29/01) Sent replacement // No BOP n GERBERA (29/04) Do Not count last delivery (19/09) Aster in Subscription (19/10) Send replacement today (21/10) Do not count last del (12/02) Alstroemeria Next (02/04) Do not count last del (11/06) Change slot to evebing post 5 PM and send one sunflower replacement tom (08/02) Last del not counted (30/04)</v>
          </cell>
          <cell r="L46" t="str">
            <v>Heliconia n Spray Daisy n Rajni</v>
          </cell>
          <cell r="M46" t="str">
            <v>Send 1 Extra Premiun next (08/02)</v>
          </cell>
          <cell r="N46" t="str">
            <v>1  del of this cycle   -  1-cycles pmnt   Pending - Collect 2300</v>
          </cell>
          <cell r="O46" t="str">
            <v>Sunflower ( 15 inch ) 3     Grass</v>
          </cell>
          <cell r="P46" t="str">
            <v>P n W Glad ( 14 Inch ) 11     Grass</v>
          </cell>
          <cell r="Q46" t="str">
            <v>P n W Glad ( 14 Inch ) 11     Grass</v>
          </cell>
          <cell r="R46" t="str">
            <v>Pur Eustoma ( 12 Inch ) 3     FF Sachet + Grass</v>
          </cell>
          <cell r="S46" t="str">
            <v>Y Spray Daisy ( 14 Inch ) 3     FF Sachet + Grass</v>
          </cell>
          <cell r="T46" t="str">
            <v>Eustoma 3     Grass</v>
          </cell>
        </row>
        <row r="47">
          <cell r="A47">
            <v>2284</v>
          </cell>
          <cell r="B47" t="str">
            <v>Tarushi--Skyon</v>
          </cell>
          <cell r="C47">
            <v>9873968830</v>
          </cell>
          <cell r="D47" t="str">
            <v>B-2004, Ireo Skyon, Sec 60</v>
          </cell>
          <cell r="G47" t="str">
            <v>4 Pm to 7 PM</v>
          </cell>
          <cell r="H47">
            <v>1450</v>
          </cell>
          <cell r="J47" t="str">
            <v>Bliss</v>
          </cell>
          <cell r="T47" t="str">
            <v>Pur Eustoma ( 12 Inch ) 3     FF Sachet + Grass</v>
          </cell>
        </row>
        <row r="48">
          <cell r="A48">
            <v>2325</v>
          </cell>
          <cell r="B48" t="str">
            <v>Aman</v>
          </cell>
          <cell r="C48">
            <v>9818655913</v>
          </cell>
          <cell r="D48" t="str">
            <v>S-1/12, 1st Floor, DLF Phase 3</v>
          </cell>
          <cell r="E48" t="str">
            <v>DLF Phase 3</v>
          </cell>
          <cell r="F48" t="str">
            <v>Saturday</v>
          </cell>
          <cell r="G48" t="str">
            <v>4 Pm to 7 PM</v>
          </cell>
          <cell r="H48">
            <v>3000</v>
          </cell>
          <cell r="I48">
            <v>375</v>
          </cell>
          <cell r="J48" t="str">
            <v>Charm</v>
          </cell>
          <cell r="K48" t="str">
            <v>Sat n Tuesday//NO Car n Lilies(07/09) Skip coming del n send on 4th Jan (25/12) Skip tom (10/01) Hold n start from 5th Mar-25(09/02) Hold due to non payment (14/10) Hold due to non payment (17/01)</v>
          </cell>
          <cell r="L48" t="str">
            <v>Car n Lilies</v>
          </cell>
          <cell r="N48" t="str">
            <v>7  del of this cycle   -  0-cycles pmnt   Completed - Collect 0</v>
          </cell>
          <cell r="O48" t="str">
            <v>P n W Spray Daisy ( 15 inch ) 4     FF Sachet + Grass</v>
          </cell>
          <cell r="P48" t="str">
            <v>Mix Alstroemeria ( 14 inch ) 15     FF Sachet + Grass</v>
          </cell>
          <cell r="Q48" t="str">
            <v>P Asiatic ( 14 Inch ) 3     Grass</v>
          </cell>
          <cell r="R48" t="str">
            <v>P n W Glad ( 14 Inch ) 15     Grass</v>
          </cell>
          <cell r="S48" t="str">
            <v>Sunflower ( 12 Inch ) 4     FF Sachet + Grass</v>
          </cell>
          <cell r="T48" t="str">
            <v>Rajni ( 14 Inch ) 15     Grass</v>
          </cell>
        </row>
      </sheetData>
      <sheetData sheetId="23"/>
      <sheetData sheetId="24"/>
      <sheetData sheetId="25"/>
      <sheetData sheetId="26"/>
      <sheetData sheetId="27"/>
      <sheetData sheetId="28"/>
      <sheetData sheetId="29">
        <row r="2">
          <cell r="A2">
            <v>2933</v>
          </cell>
          <cell r="B2" t="str">
            <v>Yukti Batra</v>
          </cell>
          <cell r="C2">
            <v>9953740608</v>
          </cell>
          <cell r="D2" t="str">
            <v>H. No. 2015, 2nd Floor, Madalsa Hospital, Sec 46</v>
          </cell>
          <cell r="E2" t="str">
            <v>Huda</v>
          </cell>
          <cell r="F2" t="str">
            <v>Tuesday</v>
          </cell>
          <cell r="G2" t="str">
            <v>9 AM to 2 PM</v>
          </cell>
          <cell r="H2">
            <v>1450</v>
          </cell>
          <cell r="I2">
            <v>362.5</v>
          </cell>
          <cell r="J2" t="str">
            <v>Bliss</v>
          </cell>
          <cell r="K2" t="str">
            <v>Returned today (30/08) Change day to Tuesday (05/09) Skip 1 week (20/10) Skip 2 week (05/04) R n W Car tom (08/05) Hold today (26/05) Skip 1 week (02/06) Skip 1 week (15/06)</v>
          </cell>
          <cell r="N2" t="str">
            <v>2  del of this cycle   -  0-cycles pmnt   Completed - Collect 0</v>
          </cell>
          <cell r="O2" t="str">
            <v>P n W Glad ( 14 Inch ) 16     Grass</v>
          </cell>
          <cell r="P2" t="str">
            <v>R n W Car ( 14 Inch ) 16     FF sachet + Grass</v>
          </cell>
          <cell r="Q2" t="str">
            <v>Y Asiatic ( 14 Inch ) 3     Grass</v>
          </cell>
          <cell r="R2" t="e">
            <v>#N/A</v>
          </cell>
          <cell r="S2" t="str">
            <v>Rajni ( 14 Inch ) 16     FF Sachet + Grass</v>
          </cell>
          <cell r="T2" t="str">
            <v>Pur n P Eustoma ( 12 Inch ) 3     FF Sachet + Grass</v>
          </cell>
        </row>
        <row r="3">
          <cell r="A3">
            <v>2484</v>
          </cell>
          <cell r="B3" t="str">
            <v>Swati Sharad</v>
          </cell>
          <cell r="C3">
            <v>9871225514</v>
          </cell>
          <cell r="D3" t="str">
            <v>204-B, 2nd Floor, 4th Floor, Beverley Park-1</v>
          </cell>
          <cell r="E3" t="str">
            <v>M G Road</v>
          </cell>
          <cell r="F3" t="str">
            <v>Tuesday</v>
          </cell>
          <cell r="G3" t="str">
            <v>9 AM - 12 PM</v>
          </cell>
          <cell r="H3">
            <v>1450</v>
          </cell>
          <cell r="I3">
            <v>362.5</v>
          </cell>
          <cell r="J3" t="str">
            <v>Collection Only</v>
          </cell>
          <cell r="K3" t="str">
            <v>No Glad (03/04) No areca palm (15/04) Today Hold (03/02) Paytm from meenakshi Sharad (10/03) HDTNP (23/06)</v>
          </cell>
          <cell r="L3" t="str">
            <v>Glad</v>
          </cell>
          <cell r="M3" t="str">
            <v>No areca Palm // Flower Food Next (19/05)</v>
          </cell>
          <cell r="N3" t="str">
            <v>4  del of this cycle   -  1-cycles pmnt   Pending - Collect 0</v>
          </cell>
          <cell r="O3" t="str">
            <v>O Spray Daisy ( 15 Inch ) 3 P n W Car ( 14 Inch ) 7  Ensure Payment Collection and Call if Not paid FF Sachet + Grass</v>
          </cell>
          <cell r="P3" t="str">
            <v>Y Asiatic ( 14 Inch ) 2 P n W Glad ( 14 Inch ) 7   Grass</v>
          </cell>
          <cell r="Q3" t="str">
            <v>Pur Eustoma ( 12 Inch ) 2 Mix Alstroemeria ( 12 Inch ) 7   FF Sachet + Grass</v>
          </cell>
          <cell r="R3" t="str">
            <v>Sunflower ( 12 Inch ) 2 O n P Car ( 14 Inch ) 7   FF Sachet + Grass</v>
          </cell>
          <cell r="S3" t="e">
            <v>#N/A</v>
          </cell>
          <cell r="T3" t="str">
            <v>Spray Daisy 3 Glad 7   FF Sachet + Grass</v>
          </cell>
        </row>
        <row r="4">
          <cell r="A4">
            <v>2183</v>
          </cell>
          <cell r="B4" t="str">
            <v>Kalpana</v>
          </cell>
          <cell r="C4">
            <v>9910681399</v>
          </cell>
          <cell r="D4" t="str">
            <v>Flat No. 60, HEWO Appartments, Sec 31</v>
          </cell>
          <cell r="E4" t="str">
            <v>South City 1</v>
          </cell>
          <cell r="F4" t="str">
            <v>Tuesday</v>
          </cell>
          <cell r="G4" t="str">
            <v>4 Pm to 7 PM</v>
          </cell>
          <cell r="H4">
            <v>1450</v>
          </cell>
          <cell r="I4">
            <v>362.5</v>
          </cell>
          <cell r="J4" t="str">
            <v>Bliss</v>
          </cell>
          <cell r="K4" t="str">
            <v>Skip 2 weeks (25/12) // Hold n start from Mar (01/02) Skip 1 week (14/04) Today Returned (30/04) Hold till 5th June (18/05) No Yello Color (11/02) 18th Del returned (20/03) Hold n start after 15th June(14/05) Skip 1 week (17/12) Skip 1 week 922/01) Skip 1 week (14/02) Hold after current cycle and then start from June (25/03) Skip 1 week (22/06)</v>
          </cell>
          <cell r="M4" t="str">
            <v>Yellow Color</v>
          </cell>
          <cell r="N4" t="str">
            <v>1  del of this cycle   -  0-cycles pmnt   Completed - Collect 0</v>
          </cell>
          <cell r="O4" t="e">
            <v>#N/A</v>
          </cell>
          <cell r="P4" t="str">
            <v>P n W Car ( 14 Inch ) 9     FF sachet + Grass</v>
          </cell>
          <cell r="Q4" t="str">
            <v>P Asiatic ( 14 Inch ) 2 No Yellow Color    Grass</v>
          </cell>
          <cell r="R4" t="str">
            <v>P n W Glad ( 14 Inch ) 9     Grass</v>
          </cell>
          <cell r="S4" t="e">
            <v>#N/A</v>
          </cell>
          <cell r="T4" t="str">
            <v>Pur n P Eustoma ( 12 Inch ) 3     FF Sachet + Grass</v>
          </cell>
        </row>
        <row r="5">
          <cell r="A5">
            <v>3384</v>
          </cell>
          <cell r="B5" t="str">
            <v>Saloni Gupta</v>
          </cell>
          <cell r="C5">
            <v>9810796682</v>
          </cell>
          <cell r="D5" t="str">
            <v>338, 3rd Floor, Espace</v>
          </cell>
          <cell r="E5" t="str">
            <v>Nirvana Country</v>
          </cell>
          <cell r="F5" t="str">
            <v>Tuesday</v>
          </cell>
          <cell r="G5" t="str">
            <v>9 AM - 12 PM</v>
          </cell>
          <cell r="H5">
            <v>1545</v>
          </cell>
          <cell r="I5">
            <v>386.25</v>
          </cell>
          <cell r="J5" t="str">
            <v>Customized</v>
          </cell>
          <cell r="K5" t="str">
            <v>Sunday n Thursday//Pls Keep Flowers in Vase// Paytm from Mayank G (17/03) Sent replacememnt today (23/03) Skip 1 week (10/04) 2 Asiatic and 5 Rajni (27/07) Paytm friom Mayank Gupta (16/09) 2 Asiatic Lily in each delivery (16/10) Today returned (17/11) Skip this sunday (03/01) Thursday -- 10 Rose and 4 Rajni // Sunday - 2 Asiatic (19/01) Whenever possible-send red Roses (23/01) Skip tom (29/01) Today returned (22/05) Send replacement tom (27/07) Hold today (14/08) Do not count last delivery (04/09) Hold today (02/10) Hold today (12/10) Hold after this cycle (27/10) Do not count last del (31/10) 2 Asiatic + 4 Rajni + 4 Glad -- thrice in a week (30/12) 2 Asiatic and 4 Rajni bi weekly pack (08/03) 2 Asiatic and 8 Rajni Every time and send 8 Rajni tom (26/03) Today returned-send tom (19/04)</v>
          </cell>
          <cell r="N5" t="str">
            <v>2  del of this cycle   -  0-cycles pmnt   Completed - Collect 0</v>
          </cell>
          <cell r="O5" t="e">
            <v>#N/A</v>
          </cell>
          <cell r="P5" t="e">
            <v>#N/A</v>
          </cell>
          <cell r="Q5" t="e">
            <v>#N/A</v>
          </cell>
          <cell r="R5" t="e">
            <v>#N/A</v>
          </cell>
          <cell r="S5" t="str">
            <v>O Asiatic ( 14 Inch ) 3     1 Gypsola</v>
          </cell>
          <cell r="T5" t="str">
            <v>Y Asiatic ( 14 Inch ) 3     1 Limonium</v>
          </cell>
        </row>
        <row r="6">
          <cell r="A6">
            <v>2706</v>
          </cell>
          <cell r="B6" t="str">
            <v>Monika Arora</v>
          </cell>
          <cell r="C6">
            <v>9990121666</v>
          </cell>
          <cell r="D6" t="str">
            <v>Tostem Studio, Plot No. 564, Basement, Sec 39, Near Bakhtawar Chwok</v>
          </cell>
          <cell r="E6" t="str">
            <v>Medanta</v>
          </cell>
          <cell r="F6" t="str">
            <v>Saturday</v>
          </cell>
          <cell r="G6" t="str">
            <v>9 AM - 12 PM</v>
          </cell>
          <cell r="H6">
            <v>1600</v>
          </cell>
          <cell r="I6">
            <v>200</v>
          </cell>
          <cell r="J6" t="str">
            <v>Bloom</v>
          </cell>
          <cell r="K6" t="str">
            <v>Ref From Anupma Rastogi // Today Returned (09/08) Hold today (16/08) Today office was closed (21/10)</v>
          </cell>
          <cell r="N6" t="str">
            <v>8  del of this cycle   -  0-cycles pmnt   Completed - Collect 0</v>
          </cell>
          <cell r="O6" t="str">
            <v>P n W Glad ( 14 Inch ) 7     Grass</v>
          </cell>
          <cell r="P6" t="str">
            <v>Sunflowers ( 14 Inch ) 2     FF sachet + Grass</v>
          </cell>
          <cell r="Q6" t="str">
            <v>Mix Alstroemeria ( 12 Inch ) 7     FF Sachet + Grass</v>
          </cell>
          <cell r="R6" t="str">
            <v>P n W Glad ( 14 Inch ) 7     Grass</v>
          </cell>
          <cell r="S6" t="str">
            <v>Rajni ( 14 Inch ) 7     Grass</v>
          </cell>
          <cell r="T6" t="str">
            <v>P n W Glad ( 14 inch ) 7     Grass</v>
          </cell>
        </row>
        <row r="7">
          <cell r="A7">
            <v>1953</v>
          </cell>
          <cell r="B7" t="str">
            <v>Sandhya Nagesh</v>
          </cell>
          <cell r="C7">
            <v>8800649797</v>
          </cell>
          <cell r="D7" t="str">
            <v>89, Ground Floor, Woodstock Floors, Sec 50</v>
          </cell>
          <cell r="E7" t="str">
            <v>Nirvana Country</v>
          </cell>
          <cell r="F7" t="str">
            <v>Saturday</v>
          </cell>
          <cell r="G7" t="str">
            <v>9 AM - 12 PM</v>
          </cell>
          <cell r="H7">
            <v>3000</v>
          </cell>
          <cell r="I7">
            <v>375</v>
          </cell>
          <cell r="J7" t="str">
            <v>Charm</v>
          </cell>
          <cell r="K7" t="str">
            <v>Saturday n Tueaday(02/09) No Del From 10th to 19th (09/09) Today returned(19/08) hold today send tom (07/10) Skip 20th Del (14/01) Hold 6th n 10th Sug (03/08) Return tiday (07/02) Today Returned (24/02)</v>
          </cell>
          <cell r="N7" t="str">
            <v>7  del of this cycle   -  0-cycles pmnt   Completed - Collect 0</v>
          </cell>
          <cell r="O7" t="str">
            <v>P n W Glad ( 14 Inch ) 15     Grass</v>
          </cell>
          <cell r="P7" t="str">
            <v>Sunflowers ( 14 Inch ) 4     FF sachet + Grass</v>
          </cell>
          <cell r="Q7" t="str">
            <v>P Oriental ( 14 Inch ) 2     Grass</v>
          </cell>
          <cell r="R7" t="str">
            <v>Rajni ( 14 Inch ) 15     Grass</v>
          </cell>
          <cell r="S7" t="str">
            <v>O Asiatic ( 14 Inch ) 3     Grass</v>
          </cell>
          <cell r="T7" t="str">
            <v>P n W Glad ( 14 inch ) 15     Grass</v>
          </cell>
        </row>
        <row r="8">
          <cell r="A8">
            <v>3014</v>
          </cell>
          <cell r="B8" t="str">
            <v>Monika Arora</v>
          </cell>
          <cell r="C8">
            <v>9990121666</v>
          </cell>
          <cell r="D8" t="str">
            <v>Tostem Studio, Plot No. 564, Basement, Sec 39, Near Bakhtawar Chwok</v>
          </cell>
          <cell r="E8" t="str">
            <v>Medanta</v>
          </cell>
          <cell r="F8" t="str">
            <v>Saturday</v>
          </cell>
          <cell r="G8" t="str">
            <v>9 AM - 12 PM</v>
          </cell>
          <cell r="H8">
            <v>1600</v>
          </cell>
          <cell r="I8">
            <v>200</v>
          </cell>
          <cell r="J8" t="str">
            <v>Bloom</v>
          </cell>
          <cell r="K8" t="str">
            <v>Change in Address (31/12)</v>
          </cell>
          <cell r="N8" t="str">
            <v>8  del of this cycle   -  0-cycles pmnt   Completed - Collect 0</v>
          </cell>
          <cell r="O8" t="str">
            <v>O Spray Daisy ( 15 Inch ) 3     FF Sachet + Grass</v>
          </cell>
          <cell r="P8" t="str">
            <v>P n W Glad ( 14 Inch ) 7     Grass</v>
          </cell>
          <cell r="Q8" t="str">
            <v>P n W Glad ( 14 Inch ) 7     Grass</v>
          </cell>
          <cell r="R8" t="str">
            <v>Sunflower ( 12 Inch ) 2     FF Sachet + Grass</v>
          </cell>
          <cell r="S8" t="str">
            <v>P n W Car ( 14 Inch ) 7     FF Sachet + Grass</v>
          </cell>
          <cell r="T8" t="str">
            <v>Sunflower ( 12 Incjh ) 2     FF Sachet + Grass</v>
          </cell>
        </row>
        <row r="9">
          <cell r="A9" t="str">
            <v>G-00059</v>
          </cell>
          <cell r="B9" t="str">
            <v>Kriya</v>
          </cell>
          <cell r="C9">
            <v>6391463009</v>
          </cell>
          <cell r="D9" t="str">
            <v>Zenden Stays, Room No. 207, Sector 30, Vijay Vihar Block A</v>
          </cell>
          <cell r="E9" t="str">
            <v>South City 1</v>
          </cell>
          <cell r="F9" t="str">
            <v>Tuesday</v>
          </cell>
          <cell r="G9" t="str">
            <v>9:30 Am to 2 PM</v>
          </cell>
          <cell r="H9">
            <v>1450</v>
          </cell>
          <cell r="I9">
            <v>362.5</v>
          </cell>
          <cell r="J9" t="str">
            <v>Bliss</v>
          </cell>
          <cell r="K9" t="str">
            <v>Don’t send if payment not received  // Paytm From Mohd. Zaid (10/06)</v>
          </cell>
          <cell r="N9" t="str">
            <v>3  del of this cycle   -  0-cycles pmnt   Completed - Collect 0</v>
          </cell>
          <cell r="O9" t="e">
            <v>#N/A</v>
          </cell>
          <cell r="P9" t="str">
            <v xml:space="preserve">      </v>
          </cell>
          <cell r="Q9" t="e">
            <v>#N/A</v>
          </cell>
          <cell r="R9" t="str">
            <v>O n P Car ( 14 Inch ) 16     FF Sachet + Grass</v>
          </cell>
          <cell r="S9" t="str">
            <v>P Asiatic ( 14 Inch ) 3     Grass</v>
          </cell>
          <cell r="T9" t="str">
            <v>Rajni ( 14 Inch ) 16     Grass</v>
          </cell>
        </row>
        <row r="10">
          <cell r="A10">
            <v>975</v>
          </cell>
          <cell r="B10" t="str">
            <v>Ritu Sacheti</v>
          </cell>
          <cell r="C10">
            <v>9910007371</v>
          </cell>
          <cell r="D10" t="str">
            <v>B1/1401, World Spa, Sector 30</v>
          </cell>
          <cell r="E10" t="str">
            <v>South City 1</v>
          </cell>
          <cell r="F10" t="str">
            <v>Saturday</v>
          </cell>
          <cell r="G10" t="str">
            <v>9 AM - 12 PM</v>
          </cell>
          <cell r="H10">
            <v>3750</v>
          </cell>
          <cell r="I10">
            <v>468.75</v>
          </cell>
          <cell r="J10" t="str">
            <v>Grace</v>
          </cell>
          <cell r="K10" t="str">
            <v>Sat n Tuesday//NO Chrysanthemums(30/12) Received 50Rs. Today(13/01) Today returned-send tom(27/01) Pls send double del on next del and upgrade to 1250 pack once this cycle completes(25/05/2020) Sending 1st June Flowers on 30th may(30/05/2020) Upgrade to 1750 pack and always send 4 Asiatic and 15 normal flowers(08/07) Send replacement of glad tom(19/08/20) Hold n start from Feb(17/01) Skiped 1 week due to HOLI(29/03) NO RAJNI IN SUMMER(16/07) Send 4 Stick asiatic complimentary Tom(20/09) Send 2 Open Asiatic and replace Carnations AND NEVER CAR(04/10) Rs. 250 received against extra flowers(05/10) NO SAME COLOR FLOWERS(04/03) Return today (06/12) NO GERBERA (10/01) Return-send tom (04/04) Sent replacement of Guldawari today (09/04) Today Returned (20/06) No Flowers From 10th to 19 Th nov (02/11) No Flowers betqeen 22nd and 1st Jan (22/12) Returned today (10/02) Skip today (13/02) Skip this tuesday (11/03) No Flowers from 29th to 3rd Nov (25/10) Return today (23/11) No Gerbera (30/11) Today Returned (24/05) Sent 1 delivery today (25/05)</v>
          </cell>
          <cell r="L10" t="str">
            <v>GERBERA n SUNFLOWER</v>
          </cell>
          <cell r="N10" t="str">
            <v>7  del of this cycle   -  0-cycles pmnt   Completed - Collect 0</v>
          </cell>
          <cell r="O10" t="str">
            <v>O Spray Daisy ( 15 Inch ) 3 P n W Glad ( 14 Inch ) 12   FF Sachet + Grass</v>
          </cell>
          <cell r="P10" t="str">
            <v>Pur Eustoma ( 12 Inch )  3 P n W Car ( 14 inch ) 10   FF sachet + Grass</v>
          </cell>
          <cell r="Q10" t="str">
            <v>P Asiatic ( 14 Inch ) 2 Mix Alstroemeria ( 12 Inch ) 10   Grass</v>
          </cell>
          <cell r="R10" t="str">
            <v>P Spray Daisy ( 14 Inch ) 3 O n P Car ( 14 Inch ) 10   FF Sachet + Grass</v>
          </cell>
          <cell r="S10" t="str">
            <v>P Eustoma ( 12 Inch ) 3 Rajni ( 14 Inch ) 10   FF Sachet + Grass</v>
          </cell>
          <cell r="T10" t="str">
            <v>O Asiatic ( 14 Inch ) 2 P n W Car ( 14 Inch ) 10   Grass</v>
          </cell>
        </row>
        <row r="11">
          <cell r="A11">
            <v>2087</v>
          </cell>
          <cell r="B11" t="str">
            <v>Lucky Pandey</v>
          </cell>
          <cell r="C11" t="str">
            <v>9961712428//9971712428</v>
          </cell>
          <cell r="D11" t="str">
            <v>B3/502, Uniworld City ( West)</v>
          </cell>
          <cell r="E11" t="str">
            <v>South City 1</v>
          </cell>
          <cell r="F11" t="str">
            <v>Tuesday</v>
          </cell>
          <cell r="G11" t="str">
            <v>9 AM to 2 PM</v>
          </cell>
          <cell r="H11">
            <v>1450</v>
          </cell>
          <cell r="I11">
            <v>362.5</v>
          </cell>
          <cell r="J11" t="str">
            <v>Bliss</v>
          </cell>
          <cell r="K11" t="str">
            <v>Skip this Sunday and send on Tuesday (07/07) Skip 1 week (21/10) Today Returned (10/12) Today returned (17/03) Today Returned (19/003) Return-send tom (26/05) Hold (23/06) Today Returned (21/07) Gpay from Abhijeet K Choudhary (01/10) Hold today (03/12) No Sunflower (21/01) Returned today (17/06) Send 1 del todya (07/07) Today Returned 0send on saturday this week (23/06)</v>
          </cell>
          <cell r="L11" t="str">
            <v>Sunflower</v>
          </cell>
          <cell r="N11" t="str">
            <v>1  del of this cycle   -  1-cycles pmnt   Pending - Collect 1450</v>
          </cell>
          <cell r="O11" t="str">
            <v>O n W Spray Daisy ( 15 Inch ) 5     FF Sachet + Grass</v>
          </cell>
          <cell r="P11" t="str">
            <v>Y Asiatic ( 14 Inch ) 3     Grass</v>
          </cell>
          <cell r="Q11" t="str">
            <v>R n P Car ( 14 Inch ) 16     FF Sachet + Grass</v>
          </cell>
          <cell r="R11" t="str">
            <v>P n W Glad ( 14 Inch ) 16     Grass</v>
          </cell>
          <cell r="S11" t="str">
            <v>Pur Eustoma ( 12 Inch ) 3     FF Sachet + Grass</v>
          </cell>
          <cell r="T11" t="str">
            <v>Rajni ( 14 Inch ) 16     Grass</v>
          </cell>
        </row>
        <row r="12">
          <cell r="A12">
            <v>2593</v>
          </cell>
          <cell r="B12" t="str">
            <v>Devesh Srivastava</v>
          </cell>
          <cell r="C12">
            <v>7400118910</v>
          </cell>
          <cell r="D12" t="str">
            <v xml:space="preserve">T-7/1003&lt; The Palms
</v>
          </cell>
          <cell r="E12" t="str">
            <v>South City 1</v>
          </cell>
          <cell r="F12" t="str">
            <v>Tuesday</v>
          </cell>
          <cell r="G12" t="str">
            <v>9 AM to 2 PM</v>
          </cell>
          <cell r="H12">
            <v>1450</v>
          </cell>
          <cell r="I12">
            <v>362.5</v>
          </cell>
          <cell r="J12" t="str">
            <v>Bliss</v>
          </cell>
          <cell r="K12" t="str">
            <v>Saturday n Tuesday//One Del today and then every satrday 920/04) Sent one Del Today (09/05)</v>
          </cell>
          <cell r="N12" t="str">
            <v>1  del of this cycle   -  0-cycles pmnt   Completed - Collect 0</v>
          </cell>
          <cell r="O12" t="str">
            <v>R n W Car ( 14 Inch ) 16     FF Sachet + Grass</v>
          </cell>
          <cell r="P12" t="str">
            <v xml:space="preserve"> Asiatic lily      Grass</v>
          </cell>
          <cell r="Q12" t="str">
            <v>W Asiatic ( 14 Inch ) 3     Grass</v>
          </cell>
          <cell r="R12" t="str">
            <v>P n W Glad ( 14 Inch ) 16     Grass</v>
          </cell>
          <cell r="S12" t="str">
            <v>Pur Eustoma ( 12 Inch ) 3     FF Sachet + Grass</v>
          </cell>
          <cell r="T12" t="str">
            <v>P n W Car ( 14 Inch ) 16     FF Sachet + Grass</v>
          </cell>
        </row>
        <row r="13">
          <cell r="A13">
            <v>2854</v>
          </cell>
          <cell r="B13" t="str">
            <v>Promita Roy</v>
          </cell>
          <cell r="C13">
            <v>9717459257</v>
          </cell>
          <cell r="D13" t="str">
            <v>B-25, Sushant Appartment, Block-C, Phase 1</v>
          </cell>
          <cell r="E13" t="str">
            <v>M G Road</v>
          </cell>
          <cell r="F13" t="str">
            <v>Tuesday</v>
          </cell>
          <cell r="G13" t="str">
            <v>9 AM - 12 PM</v>
          </cell>
          <cell r="H13">
            <v>1450</v>
          </cell>
          <cell r="I13">
            <v>362.5</v>
          </cell>
          <cell r="J13" t="str">
            <v>Bliss</v>
          </cell>
          <cell r="K13" t="str">
            <v>Upgrade to Bliss // Nolacl Gypsy or Lady Lace</v>
          </cell>
          <cell r="M13" t="str">
            <v>No Local Gypsy or Lady Lace</v>
          </cell>
          <cell r="N13" t="str">
            <v>4  del of this cycle   -  0-cycles pmnt   Completed - Collect 0</v>
          </cell>
          <cell r="O13" t="str">
            <v>O n W Spray Daisy ( 15 Inch ) 5     FF Sachet + Grass</v>
          </cell>
          <cell r="P13" t="str">
            <v>R n W Car ( 14 Inch ) 16     FF sachet + Grass</v>
          </cell>
          <cell r="Q13" t="str">
            <v>P Asiatic ( 14 Inch ) 3     Grass</v>
          </cell>
          <cell r="R13" t="str">
            <v>P n W Glad ( 14 Inch ) 16     Grass</v>
          </cell>
          <cell r="S13" t="str">
            <v>Pur Eustoma ( 12 Inch ) 3     FF Sachet + Grass</v>
          </cell>
          <cell r="T13" t="str">
            <v>P n W Car ( 14 Inch ) 16     FF Sachet + Grass</v>
          </cell>
        </row>
        <row r="14">
          <cell r="A14" t="str">
            <v>G-00029</v>
          </cell>
          <cell r="B14" t="str">
            <v>Shweta Arora</v>
          </cell>
          <cell r="C14">
            <v>9999164984</v>
          </cell>
          <cell r="D14" t="str">
            <v>H. No. 9506, 3rd Floor, Garden Villas</v>
          </cell>
          <cell r="E14" t="str">
            <v>DLF Phase 4</v>
          </cell>
          <cell r="F14" t="str">
            <v>Tuesday</v>
          </cell>
          <cell r="G14" t="str">
            <v>10 AM to 2:30 PM</v>
          </cell>
          <cell r="H14">
            <v>1950</v>
          </cell>
          <cell r="I14">
            <v>487.5</v>
          </cell>
          <cell r="J14" t="str">
            <v>Joy</v>
          </cell>
          <cell r="K14" t="str">
            <v>From Akriti Chopra // Paytm From Shweta Dudeja (26/02) Sent replacement today (18/04)</v>
          </cell>
          <cell r="N14" t="str">
            <v>2  del of this cycle   -  1-cycles pmnt   Pending - Collect 1950</v>
          </cell>
          <cell r="O14" t="str">
            <v>O n W Spray Daisy ( 15 Inch ) 4 P n W Car ( 14 Inch ) 11   Grass</v>
          </cell>
          <cell r="P14" t="str">
            <v>Sunflowers ( 14 Inch ) 3 P n W Glad ( 14 Inch ) 11   FF sachet + Grass</v>
          </cell>
          <cell r="Q14" t="str">
            <v>P Eustoma ( 12 Inch ) 2 Mix Alstroemeria ( 12 Inch ) 11   FF Sachet + Grass</v>
          </cell>
          <cell r="R14" t="str">
            <v>O Asiatic ( 14 inch ) 2 O n P Car ( 14 Inch ) 11   Grass</v>
          </cell>
          <cell r="S14" t="str">
            <v>P n Y Spray Daisy ( 14 Inch ) 4 Rajni ( 14 Inch ) 11   FF Sachet + Grass</v>
          </cell>
          <cell r="T14" t="str">
            <v>Sunflower ( 12 Incjh ) 3 P n W Glad ( 14 Inch) 11  Ensure Collection FF Sachet + Grass</v>
          </cell>
        </row>
        <row r="15">
          <cell r="A15">
            <v>3275</v>
          </cell>
          <cell r="B15" t="str">
            <v>Reema Parents</v>
          </cell>
          <cell r="C15">
            <v>9910105022</v>
          </cell>
          <cell r="D15" t="str">
            <v>B1/603, Tulip Orange, Sec 70</v>
          </cell>
          <cell r="E15" t="str">
            <v>Badshahpur</v>
          </cell>
          <cell r="F15" t="str">
            <v>Tuesday</v>
          </cell>
          <cell r="G15" t="str">
            <v>9 AM - 12 PM</v>
          </cell>
          <cell r="H15">
            <v>1450</v>
          </cell>
          <cell r="I15">
            <v>362.5</v>
          </cell>
          <cell r="J15" t="str">
            <v>Bliss</v>
          </cell>
          <cell r="K15" t="str">
            <v>From Reema</v>
          </cell>
          <cell r="N15" t="str">
            <v>3  del of this cycle   -  1-cycles pmnt   In Process - Collect 0</v>
          </cell>
          <cell r="O15" t="str">
            <v>Mix Alstroemeria ( 14 inch ) 9     FF Sachet + Grass</v>
          </cell>
          <cell r="P15" t="str">
            <v>P n W Glad ( 14 Inch ) 9     Grass</v>
          </cell>
          <cell r="Q15" t="str">
            <v>P Asiatic ( 14 Inch ) 2     Grass</v>
          </cell>
          <cell r="R15" t="str">
            <v>O n P Car ( 14 Inch ) 16     FF Sachet + Grass</v>
          </cell>
          <cell r="S15" t="str">
            <v>Pur Eustoma ( 12 Inch ) 3     FF Sachet + Grass</v>
          </cell>
          <cell r="T15" t="str">
            <v>Rajni ( 14 Inch ) 16     Grass</v>
          </cell>
        </row>
        <row r="16">
          <cell r="A16">
            <v>2633</v>
          </cell>
          <cell r="B16" t="str">
            <v>Varsha Mathur</v>
          </cell>
          <cell r="C16">
            <v>9810816655</v>
          </cell>
          <cell r="D16" t="str">
            <v>C-34, First Floor, Sushant Lok-1</v>
          </cell>
          <cell r="E16" t="str">
            <v>M G Road</v>
          </cell>
          <cell r="F16" t="str">
            <v>Tuesday</v>
          </cell>
          <cell r="G16" t="str">
            <v>9 AM - 12 PM</v>
          </cell>
          <cell r="H16">
            <v>1450</v>
          </cell>
          <cell r="I16">
            <v>362.5</v>
          </cell>
          <cell r="J16" t="str">
            <v>Bliss</v>
          </cell>
          <cell r="K16" t="str">
            <v>Paytm From Aryank Mathur (29/04) Pls send asiatic only (10/06) Do not count last delivery (01/09) Diff flowers now (04/09) Hold due to non payment (14/10) Gpay from Medhavi Mathur (30/10) No Gerbera and Glad (04/12) No Orchids (18/12) Hold due to non payment (13/01) Hold due to non payment (20/01)</v>
          </cell>
          <cell r="L16" t="str">
            <v>No Glad n Gerbera n Orchid</v>
          </cell>
          <cell r="M16" t="str">
            <v>Diff flowers Now (04/09)</v>
          </cell>
          <cell r="N16" t="str">
            <v>1  del of this cycle   -  1-cycles pmnt   Pending - Collect 1450</v>
          </cell>
          <cell r="O16" t="str">
            <v>Mix Alstroemeria ( 14 inch ) 16     FF Sachet + Grass</v>
          </cell>
          <cell r="P16" t="str">
            <v>P n Y Spray Daisy ( 14 Inch ) 5     FF sachet + Grass</v>
          </cell>
          <cell r="Q16" t="str">
            <v>Pur Eustoma ( 12 Inch ) 3     FF Sachet + Grass</v>
          </cell>
          <cell r="R16" t="str">
            <v>O n P Car ( 14 Inch ) 16     FF Sachet + Grass</v>
          </cell>
          <cell r="S16" t="str">
            <v>O Asiatic ( 14 Inch ) 3     Grass</v>
          </cell>
          <cell r="T16" t="str">
            <v>Rajni ( 14 Inch ) 16     Grass</v>
          </cell>
        </row>
        <row r="17">
          <cell r="A17">
            <v>1147</v>
          </cell>
          <cell r="B17" t="str">
            <v xml:space="preserve">Reena </v>
          </cell>
          <cell r="C17">
            <v>9811157690</v>
          </cell>
          <cell r="D17" t="str">
            <v>31/1, Ixia, Vatika City</v>
          </cell>
          <cell r="E17" t="str">
            <v>Sohna Road 1</v>
          </cell>
          <cell r="F17" t="str">
            <v>Tuesday</v>
          </cell>
          <cell r="G17" t="str">
            <v>9 AM to 2 PM</v>
          </cell>
          <cell r="H17">
            <v>1600</v>
          </cell>
          <cell r="I17">
            <v>200</v>
          </cell>
          <cell r="J17" t="str">
            <v>Bloom</v>
          </cell>
          <cell r="K17" t="str">
            <v>Tuesday and Friday//NO Rose/Rajni and ORCHID(30/10) Pink car Next(08/11) No Rose/No Rajni/No Orchids(30/11  NO RAJNI n HELICONIA (30/12) Star From Sunday (24/08) Skip coming Friday (07/12) Skip 1 week (18/01) Shift tom del to Sunday (20/06) Skip Friday Del (15/08) Today Returned(03/09) Skip 27th Del (22/12) Skip tom (30/01) Today Returned-send again (04/04) Hold n start from 15th (07/04) Skip friday (26/06) Skip 1 week (07/08) Skip tom del (11/09) Skip 1 week (01/11) Skip tom (30/04)</v>
          </cell>
          <cell r="L17" t="str">
            <v>RAJNI n HELICONIA</v>
          </cell>
          <cell r="N17" t="str">
            <v>7  del of this cycle   -  0-cycles pmnt   Completed - Collect 0</v>
          </cell>
          <cell r="O17" t="str">
            <v>P Eustoma ( 12 Inch ) 2     FF Sachet + Grass</v>
          </cell>
          <cell r="P17" t="str">
            <v>Sunflowers ( 14 Inch ) 2     FF sachet + Grass</v>
          </cell>
          <cell r="Q17" t="str">
            <v>P n W Glad ( 14 Inch ) 7     Grass</v>
          </cell>
          <cell r="R17" t="str">
            <v>Mix Alstroemeria ( 12 Inch ) 7     FF Sachet + Grass</v>
          </cell>
          <cell r="S17" t="str">
            <v>Sunflower ( 12 Inch ) 2     FF Sachet + Grass</v>
          </cell>
          <cell r="T17" t="str">
            <v>P n W Glad ( 14 inch ) 7     Grass</v>
          </cell>
        </row>
        <row r="18">
          <cell r="A18">
            <v>993</v>
          </cell>
          <cell r="B18" t="str">
            <v>Swati Khandelwal-- Evening Only</v>
          </cell>
          <cell r="C18">
            <v>8527962021</v>
          </cell>
          <cell r="D18" t="str">
            <v>414-A, Hamilton Court</v>
          </cell>
          <cell r="E18" t="str">
            <v>DLF Phase 4</v>
          </cell>
          <cell r="F18" t="str">
            <v>Tuesday</v>
          </cell>
          <cell r="G18" t="str">
            <v>9 AM to 2 PM</v>
          </cell>
          <cell r="H18">
            <v>2300</v>
          </cell>
          <cell r="I18">
            <v>287.5</v>
          </cell>
          <cell r="J18" t="str">
            <v>Felicity</v>
          </cell>
          <cell r="K18" t="str">
            <v>Saturday and Tuesday//Tuesday and Friday//1 St del Tom in morning and then every Sunday evening(05/01) ONLY LILY AND RAJNI(19/01) Lilies in all 4 Deliveries(01/02) Start Biss from next week(30/11) ONLY RAJNI(31/12) Send Guldawari next and then spray daisy next to next(09/01) NO ROSE mn RAJNI-- Send spray daisy next(27/01) Spray daisy Next(15/02) Moved to Felicity--1350 Pack, Pls mark pending(21/03) Send 1 extra delivery from Rachna Khanna ma'am(05/08) Do Not count last delivery(07/04) Send Flower Food Tom(12/09) Send Flower Food next (09/10) Hold till 1st Feb (20/01) Send Flower Food next (04/07) One More payment received today (30/10) Payment from Ramakant K (08/06) Rs. 9200 Received today and 10% applied on 9200 (10/12)</v>
          </cell>
          <cell r="L18" t="str">
            <v>ROSE n RAJNI</v>
          </cell>
          <cell r="N18" t="str">
            <v>8  del of this cycle   -  0-cycles pmnt   Completed - Collect 0</v>
          </cell>
          <cell r="O18" t="str">
            <v>P n W Car ( 14 Imch ) 11     FF Sachet + Grass</v>
          </cell>
          <cell r="P18" t="str">
            <v>Sunflowers ( 14 Inch ) 3     FF sachet + Grass</v>
          </cell>
          <cell r="Q18" t="str">
            <v>P Asiatic ( 14 Inch ) 2     Grass</v>
          </cell>
          <cell r="R18" t="str">
            <v>P n W Glad ( 14 Inch ) 11     Grass</v>
          </cell>
          <cell r="S18" t="str">
            <v>P Spray Daisy ( 14 Inch ) 3     FF Sachet + Grass</v>
          </cell>
          <cell r="T18" t="str">
            <v>Sunflower ( 12 Incjh ) 3     FF Sachet + Grass</v>
          </cell>
        </row>
        <row r="19">
          <cell r="A19">
            <v>2132</v>
          </cell>
          <cell r="B19" t="str">
            <v>Smita Mathur</v>
          </cell>
          <cell r="C19" t="str">
            <v>+6281294705524</v>
          </cell>
          <cell r="D19" t="str">
            <v>R-9A, Windsor Court-- Next Supermart</v>
          </cell>
          <cell r="E19" t="str">
            <v>DLF Phase 4</v>
          </cell>
          <cell r="F19" t="str">
            <v>Tuesday</v>
          </cell>
          <cell r="G19" t="str">
            <v>9 AM - 12 PM</v>
          </cell>
          <cell r="H19">
            <v>1450</v>
          </cell>
          <cell r="I19">
            <v>362.5</v>
          </cell>
          <cell r="J19" t="str">
            <v>Bliss</v>
          </cell>
          <cell r="K19" t="str">
            <v>NO GLAD/ASIATIC/ORCHID(23/12) ONLY LILY/ROSE AD CHRYSANTHEMUM IN THIS PACK(23/12) Rajni Next(27/12) Skip 1 week(30/12) Bright Color Asiatic Next(09/01) ALWAYS SINGLE COLOR(10/01) Day changed to Friday and send bright lily on both days(11/01) Send 1 Pack tom(15/01) Dark Pink or Red Asiatic(22/01) Pls send Daisy Next(31/01) Y Fuldawari next(04/02) Next Yellow Color(07/02) This Cycle-- Oriental//Car//Orchid//Rose(02/10) Send next del on friday with moxed bright color car(05/10) Sent Replacement today(20/10) GuldawariNext(21/10) This week on saturday and then tuesday, Flowesr are-- Car//Lily//Guldawari//Rose//Orchid// Glad (17/11) NO ROSE  SEND REPLACEMENT TOM AND ALSO 2ND DEL(21/11)(21/11) Hold today (13/12) Hold for 2 weeks(13/12) NO BOP AND SPRAY DAISY  AND ROSES IF THEY ARE GOOD(22/12) Asiatic Next (04/01) Send Replacement tom (18/03) Paytm from 99****8930(25/07) Change to Joy (27/10) Change to bliss (13/12) Skip 2 Week (31/01) Skip 2 week (02/03) Holdn n start from 13 July (23/06) Sent replacement today (01/09) Skip 1 week (07/12) Hold aftyer current cycle (19/03) Skip 16th Aug (09/08) No flowers on 27th (16/09) Skip tom and now on tuesday Only (05/12) Skip 1 week (18/02)</v>
          </cell>
          <cell r="L19" t="str">
            <v>BOP n GERBERA</v>
          </cell>
          <cell r="N19" t="str">
            <v>4  del of this cycle   -  0-cycles pmnt   Completed - Collect 0</v>
          </cell>
          <cell r="O19" t="str">
            <v>Y Asiatic ( 15 inch ) 3     Grass</v>
          </cell>
          <cell r="P19" t="str">
            <v>Mix Alstroemeria ( 12 Inch ) 16     Grass</v>
          </cell>
          <cell r="Q19" t="str">
            <v>P n W Glad ( 14 Inch ) 16     Grass</v>
          </cell>
          <cell r="R19" t="str">
            <v>O n P Car ( 14 Inch ) 16     FF Sachet + Grass</v>
          </cell>
          <cell r="S19" t="str">
            <v>Pur Eustoma ( 12 Inch ) 3     FF Sachet + Grass</v>
          </cell>
          <cell r="T19" t="str">
            <v>O Asiatic ( 14 Inch ) 3     Grass</v>
          </cell>
        </row>
        <row r="20">
          <cell r="A20">
            <v>2550</v>
          </cell>
          <cell r="B20" t="str">
            <v>Pooja Singh</v>
          </cell>
          <cell r="C20">
            <v>9810123062</v>
          </cell>
          <cell r="D20" t="str">
            <v>B-289, 3rd Floor, Anantraj Estates, Sec 63 A</v>
          </cell>
          <cell r="E20" t="str">
            <v>Ghata</v>
          </cell>
          <cell r="F20" t="str">
            <v>Sunday</v>
          </cell>
          <cell r="G20" t="str">
            <v>9 AM - 12 PM</v>
          </cell>
          <cell r="H20">
            <v>1450</v>
          </cell>
          <cell r="I20">
            <v>362.5</v>
          </cell>
          <cell r="J20" t="str">
            <v>Bliss</v>
          </cell>
          <cell r="K20" t="str">
            <v>Hold today n sned on Tuesday (18/05) Skip this week and send on Monday(01/01/26) Return today (18/01) Skip this Sunday and sned on Tuesday this week (27/06)</v>
          </cell>
          <cell r="N20" t="str">
            <v>3  del of this cycle   -  0-cycles pmnt   Completed - Collect 0</v>
          </cell>
          <cell r="O20" t="e">
            <v>#N/A</v>
          </cell>
          <cell r="P20" t="e">
            <v>#N/A</v>
          </cell>
          <cell r="Q20" t="e">
            <v>#N/A</v>
          </cell>
          <cell r="R20" t="e">
            <v>#N/A</v>
          </cell>
          <cell r="S20" t="e">
            <v>#N/A</v>
          </cell>
          <cell r="T20" t="str">
            <v>Sunflower ( 12 Incjh ) 2 P n W Glad ( 14 Inch) 7   FF Sachet + Grass</v>
          </cell>
        </row>
        <row r="21">
          <cell r="A21">
            <v>3367</v>
          </cell>
          <cell r="B21" t="str">
            <v>Pallavi Sharma</v>
          </cell>
          <cell r="C21">
            <v>9910888631</v>
          </cell>
          <cell r="D21" t="str">
            <v>B-93, Regency Park 1, Sec 43</v>
          </cell>
          <cell r="E21" t="str">
            <v>DLF Phase 4</v>
          </cell>
          <cell r="F21" t="str">
            <v>Tuesday</v>
          </cell>
          <cell r="G21" t="str">
            <v>9 AM - 12 PM</v>
          </cell>
          <cell r="H21">
            <v>1450</v>
          </cell>
          <cell r="I21">
            <v>1450</v>
          </cell>
          <cell r="J21" t="str">
            <v>Bliss</v>
          </cell>
          <cell r="K21" t="str">
            <v>Paytm From Vaibhav Sharma (16.05) Skip 1 week (03/06)</v>
          </cell>
          <cell r="N21" t="str">
            <v>2  del of this cycle   -  0-cycles pmnt   Completed - Collect 0</v>
          </cell>
          <cell r="O21" t="str">
            <v>O Asiatic ( 15 Inch ) 3     Grass</v>
          </cell>
          <cell r="P21" t="str">
            <v>P n W Glad ( 14 Inch ) 16     Grass</v>
          </cell>
          <cell r="Q21" t="e">
            <v>#N/A</v>
          </cell>
          <cell r="R21" t="str">
            <v>P n Y Spray Daisy ( 14 Inch ) 5     FF Sachet + Grass</v>
          </cell>
          <cell r="S21" t="str">
            <v>Rajni ( 14 Inch ) 16     FF Sachet + Grass</v>
          </cell>
          <cell r="T21" t="str">
            <v>P n W Car ( 14 Inch ) 16     FF Sachet + Grass</v>
          </cell>
        </row>
        <row r="22">
          <cell r="A22">
            <v>3138</v>
          </cell>
          <cell r="B22" t="str">
            <v>Alpna Verma</v>
          </cell>
          <cell r="C22">
            <v>9811996368</v>
          </cell>
          <cell r="D22" t="str">
            <v>B-70, Sushant Lok Phase 1, Next to Vipul Square, Enter gaye no. 4</v>
          </cell>
          <cell r="E22" t="str">
            <v>M G Road</v>
          </cell>
          <cell r="F22" t="str">
            <v>Tuesday</v>
          </cell>
          <cell r="G22" t="str">
            <v>9 AM - 12 PM</v>
          </cell>
          <cell r="H22">
            <v>2300</v>
          </cell>
          <cell r="I22">
            <v>287.5</v>
          </cell>
          <cell r="J22" t="str">
            <v>Felicity</v>
          </cell>
          <cell r="K22" t="str">
            <v>Day Changed ro Tuesday and Saturday (22/03)Single Color Flowers (01/12)</v>
          </cell>
          <cell r="M22" t="str">
            <v>Single Color Flowers</v>
          </cell>
          <cell r="N22" t="str">
            <v>4  del of this cycle   -  0-cycles pmnt   Completed - Collect 0</v>
          </cell>
          <cell r="O22" t="str">
            <v>O Asiatic ( 15 Inch ) 2     Grass</v>
          </cell>
          <cell r="P22" t="str">
            <v>Mix Alstroemeria ( 12 Inch ) 11 Pls Keep Flower at door -- Don’t call n Ring Bell Pls Keep Flower at door -- Don’t call n Ring Bell Pls Keep Flower at door -- Don’t call n Ring Bell Pls Keep Flower at door -- Don’t call n Ring Bell FF sachet + Grass</v>
          </cell>
          <cell r="Q22" t="e">
            <v>#N/A</v>
          </cell>
          <cell r="R22" t="e">
            <v>#N/A</v>
          </cell>
          <cell r="S22" t="str">
            <v>P Spray Daisy ( 14 Inch ) 3     FF Sachet + Grass</v>
          </cell>
          <cell r="T22" t="str">
            <v>Rajni ( 14 Inch ) 11     Grass</v>
          </cell>
        </row>
        <row r="23">
          <cell r="A23">
            <v>2284</v>
          </cell>
          <cell r="B23" t="str">
            <v>Tarushi--Skyon</v>
          </cell>
          <cell r="C23">
            <v>9873968830</v>
          </cell>
          <cell r="D23" t="str">
            <v>B-2004, Ireo Skyon, Sec 60</v>
          </cell>
          <cell r="E23" t="str">
            <v>Ghata</v>
          </cell>
          <cell r="F23" t="str">
            <v>Tuesday</v>
          </cell>
          <cell r="G23" t="str">
            <v>9 AM - 12 PM</v>
          </cell>
          <cell r="H23">
            <v>1450</v>
          </cell>
          <cell r="I23">
            <v>362.5</v>
          </cell>
          <cell r="J23" t="str">
            <v>Bliss</v>
          </cell>
          <cell r="K23" t="str">
            <v>No Spray Daisy (06/11) Skip 1 week (02/03) No Gerbera (02/07) Send on Saturday this week Z914/07)Paytm from Uday Bansal 19/07) Return not at home (29/07) Hold due to non payment (14/10) Hold after this cycle (14/11) Paytm From Tarushi Garg (02/04) HDTNP (02/06) HDTNP (09/06) HDTNP (16/06) Skip 1 week (24/06)</v>
          </cell>
          <cell r="L23" t="str">
            <v>Spray Daisy n GERBERA</v>
          </cell>
          <cell r="N23" t="str">
            <v>3  del of this cycle   -  0-cycles pmnt   Completed - Collect 0</v>
          </cell>
          <cell r="O23" t="str">
            <v>Y Asiatic ( 15 inch ) 3    Ensure Collection Grass</v>
          </cell>
          <cell r="P23" t="e">
            <v>#N/A</v>
          </cell>
          <cell r="Q23" t="e">
            <v>#N/A</v>
          </cell>
          <cell r="R23" t="e">
            <v>#N/A</v>
          </cell>
          <cell r="S23" t="str">
            <v>Pur Eustoma ( 12 Inch ) 3     FF Sachet + Grass</v>
          </cell>
          <cell r="T23" t="str">
            <v>Rajni ( 14 Inch ) 16     Grass</v>
          </cell>
        </row>
        <row r="24">
          <cell r="A24">
            <v>1936</v>
          </cell>
          <cell r="B24" t="str">
            <v>Pranta Dutta</v>
          </cell>
          <cell r="C24" t="str">
            <v>99535 59491</v>
          </cell>
          <cell r="D24" t="str">
            <v>C 1 flat 501 Ireo skyon golf course extension sector 60 gurgaon ( behind lemon tree hotel)</v>
          </cell>
          <cell r="E24" t="str">
            <v>Ghata</v>
          </cell>
          <cell r="F24" t="str">
            <v>Saturday</v>
          </cell>
          <cell r="G24" t="str">
            <v>9 AM - 12 PM</v>
          </cell>
          <cell r="H24">
            <v>1600</v>
          </cell>
          <cell r="I24">
            <v>200</v>
          </cell>
          <cell r="J24" t="str">
            <v>Collection Only</v>
          </cell>
          <cell r="K24" t="str">
            <v>Tuesday n Saturday//Thursday n Sunday// No Rajni (01/01/23) Skip 1 wek (30/05) Paytm from Ddhruv Dutta Minor (18/06) Paytm From Susmita D (16/07). Not sent on 25/04 due to non payment (24/4) Paytm From Susmita D (04/05) Do not count last del (02/07) No Gerbera also (29/09) Hold from 10th to 20th (08/12) Hold from 10th to 20th (10/12) Hold due to non payment (26/12) No Delivery from 03rd to15th Jan (28/12) Hold due to non payment (010/02) Hold due to non payment (24/02) HDTNP (17/03) HDTNP (02/05) HDTNP (23/05) HDTNP (26/05) HDTNP (02/06) HDTNP (06/06) HDTNP (09/06) HDTNP (13/06) HDTNP (16/06) HDTNP (20/06) HDTNP (23/06) HDTNP (27/06)</v>
          </cell>
          <cell r="L24" t="str">
            <v>RAJNI n GERBERA</v>
          </cell>
          <cell r="N24" t="str">
            <v>4  del of this cycle   -  1-cycles pmnt   Pending - Collect 1600</v>
          </cell>
          <cell r="O24" t="e">
            <v>#N/A</v>
          </cell>
          <cell r="P24" t="e">
            <v>#N/A</v>
          </cell>
          <cell r="Q24" t="e">
            <v>#N/A</v>
          </cell>
          <cell r="R24" t="e">
            <v>#N/A</v>
          </cell>
          <cell r="S24" t="e">
            <v>#N/A</v>
          </cell>
          <cell r="T24" t="str">
            <v xml:space="preserve">Collect 600 Carry Receipt Book     </v>
          </cell>
        </row>
        <row r="25">
          <cell r="A25">
            <v>3371</v>
          </cell>
          <cell r="B25" t="str">
            <v>Supriya Bijlwan</v>
          </cell>
          <cell r="C25">
            <v>9560012831</v>
          </cell>
          <cell r="D25" t="str">
            <v>C-201, Mahindra Luminaire</v>
          </cell>
          <cell r="E25" t="str">
            <v>Ghata</v>
          </cell>
          <cell r="F25" t="str">
            <v>Saturday</v>
          </cell>
          <cell r="G25" t="str">
            <v>10 AM to 2:30 PM</v>
          </cell>
          <cell r="H25">
            <v>2300</v>
          </cell>
          <cell r="I25">
            <v>287.5</v>
          </cell>
          <cell r="J25" t="str">
            <v>Felicity</v>
          </cell>
          <cell r="K25" t="str">
            <v>1 Seasonal Extra next (20/05)</v>
          </cell>
          <cell r="M25" t="str">
            <v>Premium in next 2 Del (23/05)</v>
          </cell>
          <cell r="N25" t="str">
            <v>5  del of this cycle   -  0-cycles pmnt   Completed - Collect 0</v>
          </cell>
          <cell r="O25" t="str">
            <v>O Spray Daisy ( 15 Inch ) 2     FF Sachet + grass</v>
          </cell>
          <cell r="P25" t="str">
            <v>Sunflowers ( 14 Inch ) 3     FF sachet + Grass</v>
          </cell>
          <cell r="Q25" t="str">
            <v>Pur Eustoma ( 12 Inch ) 3     FF Sachet + Grass</v>
          </cell>
          <cell r="R25" t="str">
            <v>Rajni ( 14 Inch ) 11     Grass</v>
          </cell>
          <cell r="S25" t="str">
            <v>P Asiatic ( 14 Inch ) 2     Grass</v>
          </cell>
          <cell r="T25" t="str">
            <v>Sunflower ( 12 Incjh ) 3     FF Sachet + Grass</v>
          </cell>
        </row>
        <row r="26">
          <cell r="A26">
            <v>2525</v>
          </cell>
          <cell r="B26" t="str">
            <v>Sonia Kalra</v>
          </cell>
          <cell r="C26">
            <v>9810512391</v>
          </cell>
          <cell r="D26" t="str">
            <v>C-264, Sushant Lok-1</v>
          </cell>
          <cell r="E26" t="str">
            <v>M G Road</v>
          </cell>
          <cell r="F26" t="str">
            <v>Tuesday</v>
          </cell>
          <cell r="G26" t="str">
            <v>10 AM to 2:30 PM</v>
          </cell>
          <cell r="H26">
            <v>999</v>
          </cell>
          <cell r="I26">
            <v>249.75</v>
          </cell>
          <cell r="J26" t="str">
            <v>Delight</v>
          </cell>
          <cell r="K26" t="str">
            <v>Change Rs 50// Hold today n skip 1 week(29/07) Paytm from harsonia Kalra (03/09)</v>
          </cell>
          <cell r="N26" t="str">
            <v>4  del of this cycle   -  0-cycles pmnt   CompletedNO COLLECTION-we have extra money - Collect -7</v>
          </cell>
          <cell r="O26" t="str">
            <v>Mix Alstroemeria ( 14 inch ) 9     FF Sachet + Grass</v>
          </cell>
          <cell r="P26" t="str">
            <v>P n W Glad ( 14 Inch ) 9     Grass</v>
          </cell>
          <cell r="Q26" t="str">
            <v>P Asiatic ( 14 Inch ) 2     Grass</v>
          </cell>
          <cell r="R26" t="str">
            <v>O n P Car ( 14 Inch ) 9     FF Sachet + Grass</v>
          </cell>
          <cell r="S26" t="str">
            <v>B Daisy ( 12 Inch ) 9     Grass</v>
          </cell>
          <cell r="T26" t="str">
            <v>Sunflower ( 12 Incjh ) 2     FF Sachet + grass</v>
          </cell>
        </row>
        <row r="27">
          <cell r="A27">
            <v>2247</v>
          </cell>
          <cell r="B27" t="str">
            <v>Reeya Naahar</v>
          </cell>
          <cell r="C27">
            <v>9818862169</v>
          </cell>
          <cell r="D27" t="str">
            <v>B-316-B, Sushant Lok-1</v>
          </cell>
          <cell r="E27" t="str">
            <v>M G Road</v>
          </cell>
          <cell r="F27" t="str">
            <v>Saturday</v>
          </cell>
          <cell r="G27" t="str">
            <v>9:30 AM to 2PM</v>
          </cell>
          <cell r="H27">
            <v>2300</v>
          </cell>
          <cell r="I27">
            <v>287.5</v>
          </cell>
          <cell r="J27" t="str">
            <v>Felicity</v>
          </cell>
          <cell r="K27" t="str">
            <v>Saturday n Tuesday// No Yel Spray Daisy // Do not count last del (06/07) No Gerbera (12/04)</v>
          </cell>
          <cell r="L27" t="str">
            <v>GERBERA</v>
          </cell>
          <cell r="N27" t="str">
            <v>4  del of this cycle   -  0-cycles pmnt   In Process - Collect 0</v>
          </cell>
          <cell r="O27" t="str">
            <v>P n W Car ( 14 Imch ) 11     FF Sachet + grass</v>
          </cell>
          <cell r="P27" t="str">
            <v>P Asiatic ( 14 Inch ) 2     Grass</v>
          </cell>
          <cell r="Q27" t="str">
            <v>Pur Eustoma ( 12 Inch ) 3     FF Sachet + Grass</v>
          </cell>
          <cell r="R27" t="str">
            <v>P n W Glad ( 14 Inch ) 11     Grass</v>
          </cell>
          <cell r="S27" t="str">
            <v>Rajni ( 14 Inch ) 11     Grass</v>
          </cell>
          <cell r="T27" t="str">
            <v>P n W Glad ( 14 inch ) 11     Grass</v>
          </cell>
        </row>
        <row r="28">
          <cell r="A28">
            <v>2692</v>
          </cell>
          <cell r="B28" t="str">
            <v>A K Jain</v>
          </cell>
          <cell r="C28">
            <v>9910309930</v>
          </cell>
          <cell r="D28" t="str">
            <v>B-785, Sushant Lok-1, Near Police Chowki</v>
          </cell>
          <cell r="E28" t="str">
            <v>M G Road</v>
          </cell>
          <cell r="F28" t="str">
            <v>Saturday</v>
          </cell>
          <cell r="G28" t="str">
            <v>9 AM - 12 PM</v>
          </cell>
          <cell r="H28">
            <v>2300</v>
          </cell>
          <cell r="I28">
            <v>287.5</v>
          </cell>
          <cell r="J28" t="str">
            <v>Felicity</v>
          </cell>
          <cell r="K28" t="str">
            <v>Saturdya n Tuesday (16/05) Hold from 10th to 14th June (07/06) Paytm From Akhil Jain (21/06) Skip sat del and send them on Sunday (30/07) Do not count last delivery (22/09) Hold 25th and 28th (19/10) Today Returned (04/11) Skip sat delivery (18/03) Do not count last Del (15/06)</v>
          </cell>
          <cell r="N28" t="str">
            <v>6  del of this cycle   -  0-cycles pmnt   Completed - Collect 0</v>
          </cell>
          <cell r="O28" t="str">
            <v>P Eustoma ( 12 Inch ) 3     FF Sachet + Grass</v>
          </cell>
          <cell r="P28" t="str">
            <v>P Asiatic ( 14 Inch ) 2     Grass</v>
          </cell>
          <cell r="Q28" t="str">
            <v>Mix Alstroemeria ( 12 Inch ) 11     FF Sachet + Grass</v>
          </cell>
          <cell r="R28" t="str">
            <v>O n P Car ( 14 Inch ) 11     FF Sachet + Grass</v>
          </cell>
          <cell r="S28" t="str">
            <v>Rajni ( 14 Inch ) 11     Grass</v>
          </cell>
          <cell r="T28" t="str">
            <v>P n W Glad ( 14 inch ) 11     Grass</v>
          </cell>
        </row>
        <row r="29">
          <cell r="A29">
            <v>3395</v>
          </cell>
          <cell r="B29" t="str">
            <v>Chhavi Sharma</v>
          </cell>
          <cell r="C29">
            <v>9773834450</v>
          </cell>
          <cell r="D29" t="str">
            <v>403, Plot No. 74, Sec 28, Near Golf Course Road</v>
          </cell>
          <cell r="E29" t="str">
            <v>DLF Phase 4</v>
          </cell>
          <cell r="F29" t="str">
            <v>Tuesday</v>
          </cell>
          <cell r="G29" t="str">
            <v>9 AM - 12 PM</v>
          </cell>
          <cell r="H29">
            <v>1450</v>
          </cell>
          <cell r="I29">
            <v>362.5</v>
          </cell>
          <cell r="J29" t="str">
            <v>Bliss</v>
          </cell>
          <cell r="K29" t="str">
            <v>Prefer Pink Lilies (29/06)</v>
          </cell>
          <cell r="N29" t="str">
            <v>1  del of this cycle   -  0-cycles pmnt   Completed - Collect 0</v>
          </cell>
          <cell r="O29" t="e">
            <v>#N/A</v>
          </cell>
          <cell r="P29" t="e">
            <v>#N/A</v>
          </cell>
          <cell r="Q29" t="e">
            <v>#N/A</v>
          </cell>
          <cell r="R29" t="e">
            <v>#N/A</v>
          </cell>
          <cell r="S29" t="e">
            <v>#N/A</v>
          </cell>
          <cell r="T29" t="str">
            <v>Pur n P Car (14 inch) 16     FF Sachet + Grass</v>
          </cell>
        </row>
        <row r="30">
          <cell r="A30">
            <v>3174</v>
          </cell>
          <cell r="B30" t="str">
            <v>Swapnil</v>
          </cell>
          <cell r="C30">
            <v>9910715560</v>
          </cell>
          <cell r="D30" t="str">
            <v>Axelle, 17-B, Tata Raisina, Sec 59</v>
          </cell>
          <cell r="E30" t="str">
            <v>Ghata</v>
          </cell>
          <cell r="F30" t="str">
            <v>Tuesday</v>
          </cell>
          <cell r="G30" t="str">
            <v>10 AM to 2:30 PM</v>
          </cell>
          <cell r="H30">
            <v>1450</v>
          </cell>
          <cell r="I30">
            <v>362.5</v>
          </cell>
          <cell r="J30" t="str">
            <v>Bliss</v>
          </cell>
          <cell r="K30" t="str">
            <v>Skip 1 week (05/12)</v>
          </cell>
          <cell r="N30" t="str">
            <v>3  del of this cycle   -  0-cycles pmnt   Completed - Collect 0</v>
          </cell>
          <cell r="O30" t="str">
            <v>O Asiatic ( 15 Inch ) 3     Grass</v>
          </cell>
          <cell r="P30" t="str">
            <v>Mix Alstroemeria ( 12 Inch ) 16     Grass</v>
          </cell>
          <cell r="Q30" t="str">
            <v>P n Y Spray Daisy ( 14 Inch ) 5     FF Sachet + Grass</v>
          </cell>
          <cell r="R30" t="str">
            <v>P n W Glad ( 14 Inch ) 16     Grass</v>
          </cell>
          <cell r="S30" t="str">
            <v>Pur Eustoma ( 12 Inch ) 3     FF Sachet + Grass</v>
          </cell>
          <cell r="T30" t="str">
            <v>P n W Car ( 14 Inch ) 16     FF Sachet + Grass</v>
          </cell>
        </row>
        <row r="31">
          <cell r="A31">
            <v>1334</v>
          </cell>
          <cell r="B31" t="str">
            <v>Rumika</v>
          </cell>
          <cell r="C31">
            <v>8750280078</v>
          </cell>
          <cell r="D31" t="str">
            <v>M-77, 1st Floor,Adani Samsara, Sector 60</v>
          </cell>
          <cell r="E31" t="str">
            <v>Ghata</v>
          </cell>
          <cell r="F31" t="str">
            <v>Saturday</v>
          </cell>
          <cell r="G31" t="str">
            <v>Post 5 PM</v>
          </cell>
          <cell r="H31">
            <v>2300</v>
          </cell>
          <cell r="I31">
            <v>287.5</v>
          </cell>
          <cell r="J31" t="str">
            <v>Felicity</v>
          </cell>
          <cell r="K31" t="str">
            <v>saturday n tuesday//Monday and Friday//Guldawari//Asiatic// car(06/03) Send anthuriums next and then upgrade to 1750 Package--BMF(23/03) Skiped 1 week due to HOLI(29/03) After this upgrade to 1750 Bi weekly plan -- Monday and Friday (04/04) Flowers-- Car//Rose//Lily//Guldawari//Gerbera//Spray Daisy(07/04) Send a replacement today(02/06) Flower Food Next(06/06) NO SPRAY DAISY(18/06) Shift to Elation after this cycle(14/09) Send less greens(21/09) NO GREENS(24/09) Pls send 1 stick of cotton on next del and check glad is being repeated(25/10) Skip n start from Monday(11/11) NO GERBERA(14/12) Send 1 heliconia tom as replacement(24/12) NO HELICONIA (11/02) Holy Change(16/03) Car//Guldawari//Asiatic//Orchid and 2 other best life flowers(13/06) START BIWEEKLY PLAN AFTER THIS CYCLE(06/07) Lilies Next(10/08) Repeat Last flowers(13/08) Hold till 22nd Sep(11/09) Do not count last del(06/11) No Orchid n Rajni and Lily Next (23/11) Sent replacememnt today (3/12) NO RAJNI/ANTHURIUM/HELICONIA and Less Glad (02/01) NO GLAD n ORCHID (29/01) Sent replacement // No BOP n GERBERA (29/04) Do Not count last delivery (19/09) Aster in Subscription (19/10) Send replacement today (21/10) Do not count last del (12/02) Alstroemeria Next (02/04) Do not count last del (11/06) Change slot to evebing post 5 PM and send one sunflower replacement tom (08/02) Last del not counted (30/04)</v>
          </cell>
          <cell r="L31" t="str">
            <v>Heliconia n Spray Daisy n Rajni</v>
          </cell>
          <cell r="M31" t="str">
            <v>Send 1 Extra Premiun next (08/02)</v>
          </cell>
          <cell r="N31" t="str">
            <v>3  del of this cycle   -  1-cycles pmnt   Pending - Collect 2300</v>
          </cell>
          <cell r="O31" t="str">
            <v>P n W Glad ( 14 Inch ) 11     Grass</v>
          </cell>
          <cell r="P31" t="str">
            <v>P n W Glad ( 14 Inch ) 11     Grass</v>
          </cell>
          <cell r="Q31" t="str">
            <v>Pur Eustoma ( 12 Inch ) 3     FF Sachet + Grass</v>
          </cell>
          <cell r="R31" t="str">
            <v>Y Spray Daisy ( 14 Inch ) 3     FF Sachet + Grass</v>
          </cell>
          <cell r="S31" t="str">
            <v>Eustoma 3     Grass</v>
          </cell>
          <cell r="T31" t="str">
            <v>P n W Glad ( 14 inch ) 11    Ensure Collection Grass</v>
          </cell>
        </row>
        <row r="32">
          <cell r="A32">
            <v>3333</v>
          </cell>
          <cell r="B32" t="str">
            <v>Urshita Gupta</v>
          </cell>
          <cell r="C32">
            <v>9910738939</v>
          </cell>
          <cell r="D32" t="str">
            <v>D-202, Pilot Court, Essel Towers</v>
          </cell>
          <cell r="E32" t="str">
            <v>M G Road</v>
          </cell>
          <cell r="F32" t="str">
            <v>Tuesday</v>
          </cell>
          <cell r="G32" t="str">
            <v>10 AM to 2:30 PM</v>
          </cell>
          <cell r="H32">
            <v>1950</v>
          </cell>
          <cell r="I32">
            <v>487.5</v>
          </cell>
          <cell r="J32" t="str">
            <v>Joy</v>
          </cell>
          <cell r="K32" t="str">
            <v>Change day to Tuesday (29/04) Hold till1 st June (20/05) Paytm From Urshita Saini (05/06)</v>
          </cell>
          <cell r="N32" t="str">
            <v>1  del of this cycle   -  1-cycles pmnt   Pending - Collect 1950</v>
          </cell>
          <cell r="O32" t="e">
            <v>#N/A</v>
          </cell>
          <cell r="P32" t="str">
            <v>R n W Car ( 14 Inch ) 22     FF sachet + Grass</v>
          </cell>
          <cell r="Q32" t="str">
            <v>Mix Alstroemeria ( 12 Inch ) 22     FF Sachet + Grass</v>
          </cell>
          <cell r="R32" t="str">
            <v>P n W Spray Daisy ( 14 inch ) 7     FF Sachet + Grass</v>
          </cell>
          <cell r="S32" t="str">
            <v>Mix Car 22     Grass</v>
          </cell>
          <cell r="T32" t="str">
            <v>O Asiatic ( 14 Inch ) 4     Grass</v>
          </cell>
        </row>
        <row r="33">
          <cell r="A33">
            <v>1554</v>
          </cell>
          <cell r="B33" t="str">
            <v>Farea Aziz</v>
          </cell>
          <cell r="C33">
            <v>9871694052</v>
          </cell>
          <cell r="D33" t="str">
            <v>Selan Exploration Tech Ltd, 8th Floor , Imperial Mindspace, Sec 62</v>
          </cell>
          <cell r="E33" t="str">
            <v>Ghata</v>
          </cell>
          <cell r="F33" t="str">
            <v>Tuesday</v>
          </cell>
          <cell r="G33" t="str">
            <v>By 10 AM</v>
          </cell>
          <cell r="H33">
            <v>1950</v>
          </cell>
          <cell r="I33">
            <v>487.5</v>
          </cell>
          <cell r="J33" t="str">
            <v>Corporate</v>
          </cell>
          <cell r="K33" t="str">
            <v>Return-send next week(03/01) Return-send tom at new add (04/10) Today hold -send tom (15/08) Today returned-send tom (24/10)</v>
          </cell>
          <cell r="N33" t="str">
            <v>2  del of this cycle   -  0-cycles pmnt   In Process - Collect 0</v>
          </cell>
          <cell r="O33" t="str">
            <v>Y Asiatic ( 15 inch ) 2 P n W Car ( 14 Inch ) 11   Grass</v>
          </cell>
          <cell r="P33" t="str">
            <v>Sunflowers ( 14 Inch ) 3 P n W Glad ( 14 Inch ) 11   FF sachet + Grass</v>
          </cell>
          <cell r="Q33" t="str">
            <v>P Eustoma ( 12 Inch ) 2 Mix Alstroemeria ( 12 Inch ) 11   FF Sachet + Grass</v>
          </cell>
          <cell r="R33" t="str">
            <v>P Asiatic ( 14 Inch ) 2 O n P Car ( 14 Inch ) 11   Grass</v>
          </cell>
          <cell r="S33" t="str">
            <v>Sunflower ( 12 Inch ) 3 P n W Glad ( 14 Inch ) 11   FF Sachet + Grass</v>
          </cell>
          <cell r="T33" t="str">
            <v>Pur Eustoma 2 B Daisy 11   FF Sachet + Grass</v>
          </cell>
        </row>
        <row r="34">
          <cell r="A34">
            <v>918</v>
          </cell>
          <cell r="B34" t="str">
            <v>FIVD</v>
          </cell>
          <cell r="C34">
            <v>9560117868</v>
          </cell>
          <cell r="D34" t="str">
            <v>Fivd India, 22-27, 7th Floor, A Tower, Emaar Digital Green Sec 61</v>
          </cell>
          <cell r="E34" t="str">
            <v>Ghata</v>
          </cell>
          <cell r="F34" t="str">
            <v>Tuesday</v>
          </cell>
          <cell r="G34" t="str">
            <v>9 AM - 12 PM</v>
          </cell>
          <cell r="H34">
            <v>1950</v>
          </cell>
          <cell r="I34">
            <v>487.5</v>
          </cell>
          <cell r="J34" t="str">
            <v>Corporate</v>
          </cell>
          <cell r="K34" t="str">
            <v>Only Asiatic(12/10) Skip this week(26/10) Google pay from manas mehrotra(24/11) Return-send on Tuesday(08/12) Gpay From Priyanka Singh (24/09) Sent a vase today (07/02) Add Changed (14/07) Today hold-send tom (15/08) send replacement tom (16/08) Today returned-send tom (24/10) Sent replacement today (04/07) Sent replacement today (27/11) Office was closed (21/10)</v>
          </cell>
          <cell r="L34" t="str">
            <v>GLAD And GULDAWARI AND SPRAY DAISY</v>
          </cell>
          <cell r="N34" t="str">
            <v>2  del of this cycle   -  0-cycles pmnt   In Process - Collect 0</v>
          </cell>
          <cell r="O34" t="str">
            <v>Mix Alstroemeria ( 14 inch ) 22     FF Sachet + Grass</v>
          </cell>
          <cell r="P34" t="str">
            <v>Y Asiatic ( 14 Inch ) 4     Grass</v>
          </cell>
          <cell r="Q34" t="str">
            <v>Sunflower ( 12 Inch ) 5     FF Sachet + Grass</v>
          </cell>
          <cell r="R34" t="str">
            <v>P n W Glad ( 14 Inch ) 22     Grass</v>
          </cell>
          <cell r="S34" t="str">
            <v>Pur n P Car ( 14 Inch ) 22     FF Sachet + Grass</v>
          </cell>
          <cell r="T34" t="str">
            <v>O Asiatic ( 14 Inch ) 4     Grass</v>
          </cell>
        </row>
        <row r="35">
          <cell r="A35">
            <v>1389</v>
          </cell>
          <cell r="B35" t="str">
            <v>Revathi-- After 5 PM</v>
          </cell>
          <cell r="C35">
            <v>9811998878</v>
          </cell>
          <cell r="D35" t="str">
            <v>A-1201, The Emaar Palm Drive</v>
          </cell>
          <cell r="E35" t="str">
            <v>Badshahpur</v>
          </cell>
          <cell r="F35" t="str">
            <v>Friday</v>
          </cell>
          <cell r="G35" t="str">
            <v>4 PM to 7PM</v>
          </cell>
          <cell r="H35">
            <v>3850</v>
          </cell>
          <cell r="I35">
            <v>481.25</v>
          </cell>
          <cell r="J35" t="str">
            <v>Grace</v>
          </cell>
          <cell r="K35" t="str">
            <v>Friday and Tuesday// NO RAJNIGANDHA NOW ONLY LILIES//CAR AND GLAD(26/07)  NO WONLY LILIES, HELICONIA AND CAR IN YELLOW OR ORANGE ONLY(11/09)  ONLY  LILIES/GLADIOLI AND HELICONIA ONLY IN YELL AND ORANGE COLOR-- NOCARNATION(01/10) Rajni or Bop next(18/10) Send 1 FF Next(29/06) LILY n GLAD ARE PREFERRED(29/06) Now From Rose//Car//Glad//Guldawari//Asiatic//Oriental(03/08) Skip this friday(09/08) No Upgrade (17/10) Skip 1 week (114/11) Skip 1 week after tom Delivery (09/03) No Del on Froday-- sned on Tuesda (29/03) Glad Next (01/05) Hold n start after 8th June (12/05) Bop n Heliconia Next (10/02) Skip tom Del (28/03) Flower food next (14/05) Hold till 8th (29/05) No Gerbera and Orchid (28/07) One Payment received today (01/10) Skip Friday Del (27/11) Skip friday (25/12) Return not at home (20/06) Today Returned (20/06) Received one payment of 3250 today (21/07)</v>
          </cell>
          <cell r="L35" t="str">
            <v>Gerbera n ORCHID</v>
          </cell>
          <cell r="N35" t="str">
            <v>1  del of this cycle   -  0-cycles pmnt   Completed - Collect 0</v>
          </cell>
          <cell r="O35" t="str">
            <v>Y Asiatic ( 15 inch ) 4     Grass</v>
          </cell>
          <cell r="P35" t="str">
            <v>Mix Alstroemeria ( 12 Inch ) 20     FF sachet + Grass</v>
          </cell>
          <cell r="Q35" t="str">
            <v>R n P Car ( 14 Inch ) 20     FF Sachet + Grass</v>
          </cell>
          <cell r="R35" t="str">
            <v>P n Y Spray Daisy ( 14 Inch ) 6     FF Sachet + Grass</v>
          </cell>
          <cell r="S35" t="str">
            <v>Mix Alstromia 20     Grass</v>
          </cell>
          <cell r="T35" t="str">
            <v>Pur n P Eustoma ( 12 Inch ) 4     FF Sachet + Grass</v>
          </cell>
        </row>
        <row r="36">
          <cell r="A36">
            <v>3117</v>
          </cell>
          <cell r="B36" t="str">
            <v>Rupi</v>
          </cell>
          <cell r="C36">
            <v>9412006708</v>
          </cell>
          <cell r="D36" t="str">
            <v>T-14/304, Heritage City</v>
          </cell>
          <cell r="E36" t="str">
            <v>M G Road</v>
          </cell>
          <cell r="F36" t="str">
            <v>Tuesday</v>
          </cell>
          <cell r="G36" t="str">
            <v>10 AM to 2:30 PM</v>
          </cell>
          <cell r="H36">
            <v>1450</v>
          </cell>
          <cell r="I36">
            <v>362.5</v>
          </cell>
          <cell r="J36" t="str">
            <v>Bliss</v>
          </cell>
          <cell r="K36" t="str">
            <v>Start From 29th and then next del from 9th Dec (18/11) This week on Saturday (06/2) Hold today and send on Saturday and then tuesday(03/03) Skip tom (20/04) Skip tom n send on saturdqay this week (20/06)</v>
          </cell>
          <cell r="N36" t="str">
            <v>3  del of this cycle   -  0-cycles pmnt   Completed - Collect 0</v>
          </cell>
          <cell r="O36" t="str">
            <v>Mix Alstroemeria ( 14 inch ) 9     FF Sachet + Grass</v>
          </cell>
          <cell r="P36" t="e">
            <v>#N/A</v>
          </cell>
          <cell r="Q36" t="e">
            <v>#N/A</v>
          </cell>
          <cell r="R36" t="str">
            <v>P n Y Spray Daisy ( 14 Inch ) 5     FF Sachet + Grass</v>
          </cell>
          <cell r="S36" t="e">
            <v>#N/A</v>
          </cell>
          <cell r="T36" t="str">
            <v>O Asiatic ( 14 Inch ) 3     Grass</v>
          </cell>
        </row>
        <row r="37">
          <cell r="A37">
            <v>2594</v>
          </cell>
          <cell r="B37" t="str">
            <v>Anamika Sirohi</v>
          </cell>
          <cell r="C37">
            <v>9971707368</v>
          </cell>
          <cell r="D37" t="str">
            <v>E-703M The Vikas, DLF Phase 2</v>
          </cell>
          <cell r="E37" t="str">
            <v>DLF Phase 2</v>
          </cell>
          <cell r="F37" t="str">
            <v>Tuesday</v>
          </cell>
          <cell r="G37" t="str">
            <v>9 AM to 2 PM</v>
          </cell>
          <cell r="H37">
            <v>999</v>
          </cell>
          <cell r="I37">
            <v>249.75</v>
          </cell>
          <cell r="J37" t="str">
            <v>Delight</v>
          </cell>
          <cell r="K37" t="str">
            <v>Preferred Flowers -- Rose/Rajni/Gerbera/Lilies/Glad/car // Today Hold (12/08) Skip 2 week (13/08) Paytm From sangram Singh (10/09)</v>
          </cell>
          <cell r="N37" t="str">
            <v>4  del of this cycle   -  0-cycles pmnt   CompletedNO COLLECTION-we have extra money - Collect -10</v>
          </cell>
          <cell r="O37" t="str">
            <v>O Spray Daisy ( 15 Inch ) 3     FF Sachet + Grass</v>
          </cell>
          <cell r="P37" t="str">
            <v>P Asiatic ( 14 Inch ) 2     Grass</v>
          </cell>
          <cell r="Q37" t="str">
            <v>R n P Car ( 14 Inch ) 9     FF Sachet + Grass</v>
          </cell>
          <cell r="R37" t="str">
            <v>Mix Alstroemeria ( 12 Inch ) 9     FF Sachet + Grass</v>
          </cell>
          <cell r="S37" t="str">
            <v>Sunflower ( 12 Inch ) 2     FF Sachet + Grass</v>
          </cell>
          <cell r="T37" t="str">
            <v>P n W Glad ( 14 inch ) 9     Grass</v>
          </cell>
        </row>
        <row r="38">
          <cell r="A38">
            <v>1542</v>
          </cell>
          <cell r="B38" t="str">
            <v>Anisha Sethi</v>
          </cell>
          <cell r="C38">
            <v>9811004396</v>
          </cell>
          <cell r="D38" t="str">
            <v>Q-1/25, DLF Phase 2</v>
          </cell>
          <cell r="E38" t="str">
            <v>M G Road</v>
          </cell>
          <cell r="F38" t="str">
            <v>Saturday</v>
          </cell>
          <cell r="G38" t="str">
            <v>9 AM to 2 PM</v>
          </cell>
          <cell r="H38">
            <v>3000</v>
          </cell>
          <cell r="I38">
            <v>375</v>
          </cell>
          <cell r="J38" t="str">
            <v>Charm</v>
          </cell>
          <cell r="K38" t="str">
            <v>Saturdya n Tuesday//always mix of 2 flowers and send a scissor on 1st del for Rs.50(11/10) Send 1 Scissor also(13/10) Send Scissor Tom(15/10) Send Mogra next(18/10) NO HELICONIA and BOP(19/11) Skip this Tuesday(10/04) Skip this Tuesday Del(02/05) Skip 28th May Flowers(25/05) Sent replacement today(07/06) NO DEL BETWEEN 14TH AND 24TH JULY(06/07) Skip 12th , 16th , 19th and 23rd July(11/07) Skip 1 week(25/08) NO UPGRADE(17/10) Pause from 25th to 6th Apr (24/03) Asiatic n Car (05/05) No Delivery from 10th June to 15th July (07/06) Skip tom delivery (04/09) No flowers on 28th (26/10) Skip 1 Del (12/02) Hold on 2nd,6th and 9th Apr (30/03) Skip 20th Del (19/08) Pls hold n start from 5th Oct (22/09) No sunflowers for some time (15/04) Hold from 17th May t0 17th June (14/05) Collect 400 next and carry change (29/07) 400 cash on 5th Aug (12/08) Hold n send on 23rd Now (17/08)</v>
          </cell>
          <cell r="L38" t="str">
            <v>HELICONIA n BOP</v>
          </cell>
          <cell r="M38" t="str">
            <v>No Sunflowers for some time (15/04) Change of Rs. 50 Next (28/04)</v>
          </cell>
          <cell r="N38" t="str">
            <v>5  del of this cycle   -  0-cycles pmnt   Completed - Collect 0</v>
          </cell>
          <cell r="O38" t="e">
            <v>#N/A</v>
          </cell>
          <cell r="P38" t="e">
            <v>#N/A</v>
          </cell>
          <cell r="Q38" t="e">
            <v>#N/A</v>
          </cell>
          <cell r="R38" t="str">
            <v>P Spray Daisy ( 14 Inch ) 2 P n W Glad ( 14 Inch ) 7   FF Sachet + Grass</v>
          </cell>
          <cell r="S38" t="str">
            <v>Pur Eustoma ( 12 Inch ) 2 Rajni ( 14 Inch ) 7   FF Sachet + Grass</v>
          </cell>
          <cell r="T38" t="str">
            <v>Sunflower ( 12 Incjh ) 2 P n W Car ( 14 Inch ) 7   FF Sachet + Grass</v>
          </cell>
        </row>
        <row r="39">
          <cell r="A39">
            <v>3306</v>
          </cell>
          <cell r="B39" t="str">
            <v>Abhishek Jain</v>
          </cell>
          <cell r="C39">
            <v>9004227662</v>
          </cell>
          <cell r="D39" t="str">
            <v>N-3/8, 2nd Floor, Road No. N-3, Sector 25</v>
          </cell>
          <cell r="E39" t="str">
            <v>DLF Phase 2</v>
          </cell>
          <cell r="F39" t="str">
            <v>Tuesday</v>
          </cell>
          <cell r="G39" t="str">
            <v>9:30 AM to 2 PM</v>
          </cell>
          <cell r="H39">
            <v>1450</v>
          </cell>
          <cell r="I39">
            <v>362.5</v>
          </cell>
          <cell r="J39" t="str">
            <v>Bliss</v>
          </cell>
          <cell r="K39" t="str">
            <v>Skip 2 week (16/04)</v>
          </cell>
          <cell r="N39" t="str">
            <v>2  del of this cycle   -  1-cycles pmnt   Pending - Collect 1450</v>
          </cell>
          <cell r="O39" t="str">
            <v>Mix Alstroemeria ( 14 inch ) 16     FF Sachet + Grass</v>
          </cell>
          <cell r="P39" t="str">
            <v>P n W Glad ( 14 Inch ) 16     Grass</v>
          </cell>
          <cell r="Q39" t="str">
            <v>P n W Spray Daisy ( 14 Inch ) 5     FF Sachet + Grass</v>
          </cell>
          <cell r="R39" t="str">
            <v>O n P Car ( 14 Inch ) 16     FF Sachet + Grass</v>
          </cell>
          <cell r="S39" t="str">
            <v>Pur Eustoma ( 12 Inch ) 3     FF Sachet + Grass</v>
          </cell>
          <cell r="T39" t="str">
            <v>Y Asiatic ( 14 Inch ) 3    Ensure Collection Grass</v>
          </cell>
        </row>
        <row r="40">
          <cell r="A40">
            <v>3297</v>
          </cell>
          <cell r="B40" t="str">
            <v>Samby</v>
          </cell>
          <cell r="C40">
            <v>9818996771</v>
          </cell>
          <cell r="D40" t="str">
            <v>C-183 A, 4th Floor, Sushant Lok 1</v>
          </cell>
          <cell r="E40" t="str">
            <v>M G Road</v>
          </cell>
          <cell r="F40" t="str">
            <v>Tuesday</v>
          </cell>
          <cell r="G40" t="str">
            <v>10 AM to 2:30 PM</v>
          </cell>
          <cell r="H40">
            <v>1450</v>
          </cell>
          <cell r="I40">
            <v>362.5</v>
          </cell>
          <cell r="J40" t="str">
            <v>Bliss</v>
          </cell>
          <cell r="K40" t="str">
            <v>Paytm From Sumit Kumar Bedi Jaga (29/03)</v>
          </cell>
          <cell r="N40" t="str">
            <v>2  del of this cycle   -  0-cycles pmnt   Completed - Collect 0</v>
          </cell>
          <cell r="O40" t="str">
            <v>O Asiatic ( 15 Inch ) 3     Grass</v>
          </cell>
          <cell r="P40" t="str">
            <v>P n Y Spray Daisy ( 14 Inch ) 5     FF sachet + Grass</v>
          </cell>
          <cell r="Q40" t="str">
            <v>R n P Car ( 14 Inch ) 16     FF Sachet + Grass</v>
          </cell>
          <cell r="R40" t="str">
            <v>Mix Alstroemeria ( 12 Inch ) 16     FF Sachet + Grass</v>
          </cell>
          <cell r="S40" t="str">
            <v>Mix Spray Daisy 5     Grass</v>
          </cell>
          <cell r="T40" t="str">
            <v>Rajni ( 14 Inch ) 16     Grass</v>
          </cell>
        </row>
        <row r="41">
          <cell r="A41" t="str">
            <v>B56310</v>
          </cell>
          <cell r="B41">
            <v>9971105361</v>
          </cell>
          <cell r="C41">
            <v>9971105361</v>
          </cell>
          <cell r="D41" t="str">
            <v>A-16, 2nd Floor, Ashok Estate, Anant Raj Estate, Sec 63 A</v>
          </cell>
          <cell r="E41" t="str">
            <v>Ghata</v>
          </cell>
          <cell r="F41" t="str">
            <v>Friday</v>
          </cell>
          <cell r="G41" t="str">
            <v>By 11:30 aM</v>
          </cell>
          <cell r="H41">
            <v>1050</v>
          </cell>
          <cell r="I41">
            <v>950</v>
          </cell>
          <cell r="J41" t="str">
            <v>Bouquet</v>
          </cell>
          <cell r="K41" t="str">
            <v>Rose Mala</v>
          </cell>
          <cell r="N41" t="str">
            <v>1  del of this cycle   -  1-cycles pmnt   Pending - Collect 1050</v>
          </cell>
          <cell r="O41" t="e">
            <v>#N/A</v>
          </cell>
          <cell r="P41" t="e">
            <v>#N/A</v>
          </cell>
          <cell r="Q41" t="e">
            <v>#N/A</v>
          </cell>
          <cell r="R41" t="e">
            <v>#N/A</v>
          </cell>
          <cell r="S41" t="e">
            <v>#N/A</v>
          </cell>
          <cell r="T41" t="str">
            <v xml:space="preserve">Rose Mala 21     </v>
          </cell>
        </row>
        <row r="42">
          <cell r="A42">
            <v>2463</v>
          </cell>
          <cell r="B42" t="str">
            <v>Rishika Mazumdar</v>
          </cell>
          <cell r="C42">
            <v>9674039510</v>
          </cell>
          <cell r="D42" t="str">
            <v>A-45/17, 4th Floor, Yadav House, Sec 28, DLF Phase 1</v>
          </cell>
          <cell r="E42" t="str">
            <v>DLF Phase 1</v>
          </cell>
          <cell r="F42" t="str">
            <v>Tuesday</v>
          </cell>
          <cell r="G42" t="str">
            <v>9 AM - 12 PM</v>
          </cell>
          <cell r="H42">
            <v>1450</v>
          </cell>
          <cell r="I42">
            <v>362.5</v>
          </cell>
          <cell r="J42" t="str">
            <v>Bliss</v>
          </cell>
          <cell r="K42" t="str">
            <v>Referred by Navjot Kaur// Sent replacement today (15/04) skip next and send on Tuesday (26/04) Skip n send on Tuesday (22/06) Skip tom n send on Tuesday (04/07) Change day to Tuesday (17/07) Hold from 20th Sep and stsrt from 11th Oct (01/09) Skip 25th and sned on 29th (18/11) Paytm from Tushar Gupta (17/02) Hold till 12th April (29/03)</v>
          </cell>
          <cell r="M42" t="str">
            <v>Don’t send on  28th -- sned on 1st July(26/04)</v>
          </cell>
          <cell r="N42" t="str">
            <v>2  del of this cycle   -  0-cycles pmnt   Completed - Collect 0</v>
          </cell>
          <cell r="O42" t="str">
            <v>Y Asiatic ( 15 inch ) 2     Grass</v>
          </cell>
          <cell r="P42" t="str">
            <v>R n W Car ( 14 Inch ) 9     FF sachet + Grass</v>
          </cell>
          <cell r="Q42" t="str">
            <v>P n W Glad ( 14 Inch ) 9     Grass</v>
          </cell>
          <cell r="R42" t="str">
            <v>Sunflower ( 12 Inch ) 2     FF Sachet + Grass</v>
          </cell>
          <cell r="S42" t="str">
            <v>B Daisy ( 12 Inch ) 16     Grass</v>
          </cell>
          <cell r="T42" t="str">
            <v>O Asiatic ( 14 Inch ) 3     Grass</v>
          </cell>
        </row>
        <row r="43">
          <cell r="A43">
            <v>2426</v>
          </cell>
          <cell r="B43" t="str">
            <v>Pragati Agarwal</v>
          </cell>
          <cell r="C43">
            <v>9811152110</v>
          </cell>
          <cell r="D43" t="str">
            <v>C-1019, G Floor, Sushant Lok 1</v>
          </cell>
          <cell r="E43" t="str">
            <v>M G Road</v>
          </cell>
          <cell r="F43" t="str">
            <v>Tuesday</v>
          </cell>
          <cell r="G43" t="str">
            <v>10 AM to 2:30 PM</v>
          </cell>
          <cell r="H43">
            <v>1950</v>
          </cell>
          <cell r="I43">
            <v>487.5</v>
          </cell>
          <cell r="J43" t="str">
            <v>Joy</v>
          </cell>
          <cell r="K43" t="str">
            <v>Skip 1 week (10/04) No Bop (29/04) No Rajni (29/07) One kind of flowers (31/10) Skip 1 week (05/01) Hold 1 month (07/03) Paytm From Tanmay Agarwal (05/05)</v>
          </cell>
          <cell r="L43" t="str">
            <v>BOP n Rajni</v>
          </cell>
          <cell r="M43" t="str">
            <v>One Kind of Flower (31/10)</v>
          </cell>
          <cell r="N43" t="str">
            <v>2  del of this cycle   -  1-cycles pmnt   Pending - Collect 1900</v>
          </cell>
          <cell r="O43" t="str">
            <v>Y Asiatic ( 15 inch ) 4     Grass</v>
          </cell>
          <cell r="P43" t="str">
            <v>P n W Spray Daisy ( 14 Inch ) 7     FF sachet + Grass</v>
          </cell>
          <cell r="Q43" t="str">
            <v>Mix Alstroemeria ( 12 Inch ) 22     FF Sachet + Grass</v>
          </cell>
          <cell r="R43" t="str">
            <v>O n P Car ( 14 Inch ) 22     FF Sachet + Grass</v>
          </cell>
          <cell r="S43" t="str">
            <v>Sunflower ( 12 Inch ) 4     Grass</v>
          </cell>
          <cell r="T43" t="str">
            <v>P n W Glad ( 14 inch ) 22    Ensure Collection Grass</v>
          </cell>
        </row>
        <row r="44">
          <cell r="A44" t="str">
            <v>B56309</v>
          </cell>
          <cell r="B44" t="str">
            <v>Neetu Narain</v>
          </cell>
          <cell r="C44" t="str">
            <v>9811379999 // 9811579999</v>
          </cell>
          <cell r="D44" t="str">
            <v>T-18B, DLF Windsor Court</v>
          </cell>
          <cell r="E44" t="str">
            <v>DLF Phase 4</v>
          </cell>
          <cell r="F44" t="str">
            <v>Tuesday</v>
          </cell>
          <cell r="G44" t="str">
            <v>By 10 AM</v>
          </cell>
          <cell r="H44">
            <v>2400</v>
          </cell>
          <cell r="I44">
            <v>2400</v>
          </cell>
          <cell r="J44" t="str">
            <v>Bouquet</v>
          </cell>
          <cell r="K44" t="str">
            <v>From 9582241755// 40 Lilac Rose in White n Golden Wrap// Happy Anniversary Mom &amp; Dad (29/06)</v>
          </cell>
          <cell r="N44" t="str">
            <v>1  del of this cycle   -  0-cycles pmnt   Completed - Collect 0</v>
          </cell>
          <cell r="O44" t="e">
            <v>#N/A</v>
          </cell>
          <cell r="P44" t="e">
            <v>#N/A</v>
          </cell>
          <cell r="Q44" t="e">
            <v>#N/A</v>
          </cell>
          <cell r="R44" t="e">
            <v>#N/A</v>
          </cell>
          <cell r="S44" t="e">
            <v>#N/A</v>
          </cell>
          <cell r="T44" t="str">
            <v xml:space="preserve">Lilac Rose 40 W n Golden Tissue Wrap Message   </v>
          </cell>
        </row>
        <row r="45">
          <cell r="A45">
            <v>3106</v>
          </cell>
          <cell r="B45" t="str">
            <v>Nitee Johar</v>
          </cell>
          <cell r="C45">
            <v>9810661849</v>
          </cell>
          <cell r="D45" t="str">
            <v>H-11/4 Dlf Phase 1, Gurgaon</v>
          </cell>
          <cell r="E45" t="str">
            <v>DLF Phase 1</v>
          </cell>
          <cell r="F45" t="str">
            <v>Tuesday</v>
          </cell>
          <cell r="G45" t="str">
            <v>9 AM to 2 PM</v>
          </cell>
          <cell r="H45">
            <v>1450</v>
          </cell>
          <cell r="I45">
            <v>362.5</v>
          </cell>
          <cell r="J45" t="str">
            <v>Collection Only</v>
          </cell>
          <cell r="K45" t="str">
            <v>Ho;d due to non payment (13/01) Hold due to non payment (20/01) Hold due to non payment (27/01) Hold due to non payment (03/02) Hold due to non payment (10/02) Paytm From Kavita -- 25176 (24/03) HDTNP (02/06) HDTNP (09/06) HDTNP (16/06) HDTNP (23/06)</v>
          </cell>
          <cell r="N45" t="str">
            <v>3  del of this cycle   -  1-cycles pmnt   Pending - Collect 1450</v>
          </cell>
          <cell r="O45" t="str">
            <v>Y Asiatic ( 15 inch ) 3    Ensure Collection Grass</v>
          </cell>
          <cell r="P45" t="e">
            <v>#N/A</v>
          </cell>
          <cell r="Q45" t="e">
            <v>#N/A</v>
          </cell>
          <cell r="R45" t="e">
            <v>#N/A</v>
          </cell>
          <cell r="S45" t="e">
            <v>#N/A</v>
          </cell>
          <cell r="T45" t="str">
            <v xml:space="preserve">Collect 725 Carry Receipt Book     </v>
          </cell>
        </row>
        <row r="46">
          <cell r="A46">
            <v>2536</v>
          </cell>
          <cell r="B46" t="str">
            <v xml:space="preserve">Poonam Lal </v>
          </cell>
          <cell r="C46">
            <v>9811096665</v>
          </cell>
          <cell r="D46" t="str">
            <v>T-121/173, Silver Oaks Appartments</v>
          </cell>
          <cell r="E46" t="str">
            <v>DLF Phase 1</v>
          </cell>
          <cell r="F46" t="str">
            <v>Saturday</v>
          </cell>
          <cell r="G46" t="str">
            <v>9 AM - 12 PM</v>
          </cell>
          <cell r="H46">
            <v>1450</v>
          </cell>
          <cell r="I46">
            <v>362.5</v>
          </cell>
          <cell r="J46" t="str">
            <v>Bliss</v>
          </cell>
          <cell r="K46" t="str">
            <v>10% Discount // Today hold (02/08) Hold n start after 11th Sep (05/09) Start after 27th Jan (16/01) Skip tom (03/04) Skip tom add being changed (01/05) Hold till 04th June (26/05)</v>
          </cell>
          <cell r="N46" t="str">
            <v>3  del of this cycle   -  0-cycles pmnt   Completed - Collect 0</v>
          </cell>
          <cell r="O46" t="str">
            <v>Y Asiatic ( 15 inch ) 2     Grass</v>
          </cell>
          <cell r="P46" t="e">
            <v>#N/A</v>
          </cell>
          <cell r="Q46" t="str">
            <v>P n W Glad ( 14 Inch ) 9     Grass</v>
          </cell>
          <cell r="R46" t="str">
            <v>P n Y Spray Daisy ( 14 Inch ) 5     FF Sachet + Grass</v>
          </cell>
          <cell r="S46" t="str">
            <v>Rajni ( 14 Inch ) 16     FF Sachet + Grass</v>
          </cell>
          <cell r="T46" t="str">
            <v>P n W Car ( 14 Inch ) 16     FF Sachet + Grass</v>
          </cell>
        </row>
        <row r="47">
          <cell r="B47" t="str">
            <v xml:space="preserve"> Anil moti.  </v>
          </cell>
          <cell r="C47" t="str">
            <v>98110 43301‬</v>
          </cell>
          <cell r="D47" t="str">
            <v>Tower 5. Flat no 1401 / 1501.  Uniworld garden sona road.</v>
          </cell>
          <cell r="H47">
            <v>1150</v>
          </cell>
          <cell r="J47" t="str">
            <v>Bouquet</v>
          </cell>
          <cell r="K47" t="str">
            <v>Address. Anil moti.  Tower 5. Flat no 1401 / 1501.  Uniworld garden sona road.
‪+91 98110 43301‬
Wish you a very happy birthday 
From Koul’s
Pls send 8 blue orchids in same wrap today as early as possible from ‪+91 98997 99422</v>
          </cell>
          <cell r="T47" t="str">
            <v xml:space="preserve">B Orchid 8 Same Wrap Message   </v>
          </cell>
        </row>
        <row r="48">
          <cell r="B48" t="str">
            <v>96509 56777‬</v>
          </cell>
          <cell r="C48" t="str">
            <v>96509 56777‬</v>
          </cell>
          <cell r="D48" t="str">
            <v>Topaz - 42 First Floor, Emaar Emerald Hills, Sector - 65, Gurgaon 122001</v>
          </cell>
          <cell r="G48" t="str">
            <v>Before 11.30</v>
          </cell>
          <cell r="H48">
            <v>1150</v>
          </cell>
          <cell r="J48" t="str">
            <v>Bouquet</v>
          </cell>
          <cell r="K48" t="str">
            <v>Topaz - 42 First Floor, Emaar Emerald Hills, Sector - 65, Gurgaon 122001
‪+91 96509 56777‬
Pls send 5 sunflowers and 10 Rajnigandha today before 11:30am with areca palms and greens</v>
          </cell>
          <cell r="T48" t="str">
            <v xml:space="preserve">Sunflower +Rajni 5+10 Grass+arica    </v>
          </cell>
        </row>
        <row r="49">
          <cell r="B49" t="str">
            <v>Prashant Lal</v>
          </cell>
          <cell r="C49">
            <v>8007162220</v>
          </cell>
          <cell r="D49" t="str">
            <v>215, Second Floor, Orchid Island
Sector - 51, Gurgaon</v>
          </cell>
          <cell r="H49">
            <v>1600</v>
          </cell>
          <cell r="J49" t="str">
            <v>Bouquet</v>
          </cell>
          <cell r="K49" t="str">
            <v>Send today 
15 roses red and 15 Rajnigandha in single brown wrap to 
Delivery address:
Prashant Lal
215, Second Floor, Orchid Island
Sector - 51, Gurgaon
Ph - 8007162220</v>
          </cell>
          <cell r="T49" t="str">
            <v xml:space="preserve">R Rose+ Rajni 20+15 Single Wrap    </v>
          </cell>
        </row>
        <row r="50">
          <cell r="B50" t="str">
            <v>Shalini Thapar</v>
          </cell>
          <cell r="C50">
            <v>9810117700</v>
          </cell>
          <cell r="D50" t="str">
            <v>205B LTH the laburnum, sushant lok phase 1, sector 28, 122009</v>
          </cell>
          <cell r="H50">
            <v>3000</v>
          </cell>
          <cell r="J50" t="str">
            <v>Bouquet</v>
          </cell>
          <cell r="T50" t="str">
            <v xml:space="preserve">Asiatic+Car 12+15 Tissue Wrap Message   </v>
          </cell>
        </row>
        <row r="51">
          <cell r="B51" t="str">
            <v xml:space="preserve">Anubhi </v>
          </cell>
          <cell r="D51" t="str">
            <v>H 16 GF South city 2 Sec 50</v>
          </cell>
          <cell r="H51">
            <v>900</v>
          </cell>
          <cell r="J51" t="str">
            <v>Basket</v>
          </cell>
          <cell r="T51" t="str">
            <v xml:space="preserve">car+Estoma +Dassiy 10+3+3 msg    </v>
          </cell>
        </row>
      </sheetData>
      <sheetData sheetId="3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1-07-26"/>
      <sheetName val="02-07-26"/>
      <sheetName val="03-07-26"/>
      <sheetName val="04-07-26"/>
      <sheetName val="05-07-26"/>
      <sheetName val="06-07-26"/>
      <sheetName val="07-07-26"/>
      <sheetName val="08-07-26"/>
      <sheetName val="09-07-26"/>
      <sheetName val="10-07-26"/>
      <sheetName val="11-07-26"/>
      <sheetName val="12-07-26"/>
      <sheetName val="13-07-26"/>
    </sheetNames>
    <sheetDataSet>
      <sheetData sheetId="0"/>
      <sheetData sheetId="1"/>
      <sheetData sheetId="2"/>
      <sheetData sheetId="3"/>
      <sheetData sheetId="4"/>
      <sheetData sheetId="5"/>
      <sheetData sheetId="6">
        <row r="2">
          <cell r="B2" t="str">
            <v>Kapil Gupta</v>
          </cell>
          <cell r="C2" t="str">
            <v>83688 64191‬</v>
          </cell>
          <cell r="D2" t="str">
            <v xml:space="preserve">Tower 2 falt 3b  hibiscus </v>
          </cell>
          <cell r="G2" t="str">
            <v xml:space="preserve">Before 3:30 </v>
          </cell>
          <cell r="H2">
            <v>1000</v>
          </cell>
          <cell r="J2" t="str">
            <v>Bouquet</v>
          </cell>
          <cell r="K2" t="str">
            <v>Send today before 3:30 
17 pink roses to 
Tower 2 falt 3b  hibiscus 
Kapil Gupta
‪+91 83688 64191‬
collect 850 positively carry change</v>
          </cell>
          <cell r="N2" t="str">
            <v>tower 2 ke guard ke paas 4 baje ke aas paas hand over karna hai
Paise wohi degacollect 1000 positively carry change</v>
          </cell>
          <cell r="T2" t="str">
            <v xml:space="preserve">P Rose 20     </v>
          </cell>
        </row>
        <row r="3">
          <cell r="A3">
            <v>1389</v>
          </cell>
          <cell r="B3" t="str">
            <v>Revathi-- After 5 PM</v>
          </cell>
          <cell r="C3">
            <v>9811998878</v>
          </cell>
          <cell r="D3" t="str">
            <v>A-1201, The Emaar Palm Drive</v>
          </cell>
          <cell r="E3" t="str">
            <v>Badshahpur</v>
          </cell>
          <cell r="F3" t="str">
            <v>Friday</v>
          </cell>
          <cell r="G3" t="str">
            <v>4 PM to 7PM</v>
          </cell>
          <cell r="H3">
            <v>3850</v>
          </cell>
          <cell r="I3">
            <v>481.25</v>
          </cell>
          <cell r="J3" t="str">
            <v>Grace</v>
          </cell>
          <cell r="K3" t="str">
            <v>Friday and Tuesday// NO RAJNIGANDHA NOW ONLY LILIES//CAR AND GLAD(26/07)  NO WONLY LILIES, HELICONIA AND CAR IN YELLOW OR ORANGE ONLY(11/09)  ONLY  LILIES/GLADIOLI AND HELICONIA ONLY IN YELL AND ORANGE COLOR-- NOCARNATION(01/10) Rajni or Bop next(18/10) Send 1 FF Next(29/06) LILY n GLAD ARE PREFERRED(29/06) Now From Rose//Car//Glad//Guldawari//Asiatic//Oriental(03/08) Skip this friday(09/08) No Upgrade (17/10) Skip 1 week (114/11) Skip 1 week after tom Delivery (09/03) No Del on Froday-- sned on Tuesda (29/03) Glad Next (01/05) Hold n start after 8th June (12/05) Bop n Heliconia Next (10/02) Skip tom Del (28/03) Flower food next (14/05) Hold till 8th (29/05) No Gerbera and Orchid (28/07) One Payment received today (01/10) Skip Friday Del (27/11) Skip friday (25/12) Return not at home (20/06) Today Returned (20/06) Received one payment of 3250 today (21/07)</v>
          </cell>
          <cell r="L3" t="str">
            <v>Gerbera n ORCHID</v>
          </cell>
          <cell r="N3" t="str">
            <v>3  del of this cycle   -  0-cycles pmnt   Completed - Collect 0</v>
          </cell>
          <cell r="O3" t="str">
            <v>Mix Alstroemeria ( 12 Inch ) 20     FF sachet + Grass</v>
          </cell>
          <cell r="P3" t="str">
            <v>R n P Car ( 14 Inch ) 20     FF Sachet + Grass</v>
          </cell>
          <cell r="Q3" t="str">
            <v>P n Y Spray Daisy ( 14 Inch ) 6     FF Sachet + Grass</v>
          </cell>
          <cell r="R3" t="str">
            <v>Mix Alstromia 20     Grass</v>
          </cell>
          <cell r="S3" t="str">
            <v>Pur n P Eustoma ( 12 Inch ) 4     FF Sachet + Grass</v>
          </cell>
          <cell r="T3" t="str">
            <v>P n W Car ( 14 Inch ) 20     FF Sachet + Grass</v>
          </cell>
        </row>
        <row r="4">
          <cell r="A4">
            <v>2487</v>
          </cell>
          <cell r="B4" t="str">
            <v>Jyoti - Digi Homes</v>
          </cell>
          <cell r="C4">
            <v>9711267571</v>
          </cell>
          <cell r="D4" t="str">
            <v>T-B/2802, Emaar Digi Homes, Sec 62</v>
          </cell>
          <cell r="E4" t="str">
            <v>Ghata</v>
          </cell>
          <cell r="F4" t="str">
            <v>Tuesday</v>
          </cell>
          <cell r="G4" t="str">
            <v>4 Pm to 7 PM</v>
          </cell>
          <cell r="H4">
            <v>1950</v>
          </cell>
          <cell r="I4">
            <v>487.5</v>
          </cell>
          <cell r="J4" t="str">
            <v>Joy</v>
          </cell>
          <cell r="K4" t="str">
            <v>No Glad n Rajni n try fir Gerbera fior 1st Del // Hold n send on 19th and send on 21st (17/04) 19th Del Missed-send on 26th (23/04) Do not count last del 28/05) Today returned (21/06) Do not count last del (20/07) Today Hold  and send on tuesday(02/08) Return today (05/08) Skip 2 Weeks (09/08) Day change to tuesday and and skip 2 week (09/08) Day Changed to saturday (02/09) No BOP also (23/09 Paytm From Jyoti chaudhary (27/10) Only No Rajni and BOP (19/03) Skip 1 week (24/06)</v>
          </cell>
          <cell r="L4" t="str">
            <v>Rajni n BOP</v>
          </cell>
          <cell r="N4" t="str">
            <v>4  del of this cycle   -  0-cycles pmnt   Completed - Collect 0</v>
          </cell>
          <cell r="O4" t="str">
            <v>Mix Alstroemeria ( 12 Inch ) 22     Grass</v>
          </cell>
          <cell r="P4" t="str">
            <v>R n W  Carnation  22     Grass</v>
          </cell>
          <cell r="Q4" t="str">
            <v>P n Pur Eustoma ( 12 Inch ) 4     FF Sachet + Grass</v>
          </cell>
          <cell r="R4" t="str">
            <v>Mix Spray Daisy 7     Grass</v>
          </cell>
          <cell r="S4" t="e">
            <v>#N/A</v>
          </cell>
          <cell r="T4" t="str">
            <v>Y Asiatic ( 14 Inch ) 4     Grass</v>
          </cell>
        </row>
        <row r="5">
          <cell r="A5">
            <v>2933</v>
          </cell>
          <cell r="B5" t="str">
            <v>Yukti Batra</v>
          </cell>
          <cell r="C5">
            <v>9953740608</v>
          </cell>
          <cell r="D5" t="str">
            <v>H. No. 2015, 2nd Floor, Madalsa Hospital, Sec 46</v>
          </cell>
          <cell r="E5" t="str">
            <v>Huda</v>
          </cell>
          <cell r="F5" t="str">
            <v>Tuesday</v>
          </cell>
          <cell r="G5" t="str">
            <v>9 AM to 2 PM</v>
          </cell>
          <cell r="H5">
            <v>1450</v>
          </cell>
          <cell r="I5">
            <v>362.5</v>
          </cell>
          <cell r="J5" t="str">
            <v>Bliss</v>
          </cell>
          <cell r="K5" t="str">
            <v>Returned today (30/08) Change day to Tuesday (05/09) Skip 1 week (20/10) Skip 2 week (05/04) R n W Car tom (08/05) Hold today (26/05) Skip 1 week (02/06) Skip 1 week (15/06)</v>
          </cell>
          <cell r="N5" t="str">
            <v>3  del of this cycle   -  0-cycles pmnt   Completed - Collect 0</v>
          </cell>
          <cell r="O5" t="str">
            <v>R n W Car ( 14 Inch ) 16     FF sachet + Grass</v>
          </cell>
          <cell r="P5" t="str">
            <v>Y Asiatic ( 14 Inch ) 3     Grass</v>
          </cell>
          <cell r="Q5" t="e">
            <v>#N/A</v>
          </cell>
          <cell r="R5" t="str">
            <v>Rajni ( 14 Inch ) 16     FF Sachet + Grass</v>
          </cell>
          <cell r="S5" t="str">
            <v>Pur n P Eustoma ( 12 Inch ) 3     FF Sachet + Grass</v>
          </cell>
          <cell r="T5" t="str">
            <v>B Daisy ( 12 Inch ) 16     Grass</v>
          </cell>
        </row>
        <row r="6">
          <cell r="A6">
            <v>2183</v>
          </cell>
          <cell r="B6" t="str">
            <v>Kalpana</v>
          </cell>
          <cell r="C6">
            <v>9910681399</v>
          </cell>
          <cell r="D6" t="str">
            <v>Flat No. 60, HEWO Appartments, Sec 31</v>
          </cell>
          <cell r="E6" t="str">
            <v>South City 1</v>
          </cell>
          <cell r="F6" t="str">
            <v>Tuesday</v>
          </cell>
          <cell r="G6" t="str">
            <v>4 Pm to 7 PM</v>
          </cell>
          <cell r="H6">
            <v>1450</v>
          </cell>
          <cell r="I6">
            <v>362.5</v>
          </cell>
          <cell r="J6" t="str">
            <v>Bliss</v>
          </cell>
          <cell r="K6" t="str">
            <v>Skip 2 weeks (25/12) // Hold n start from Mar (01/02) Skip 1 week (14/04) Today Returned (30/04) Hold till 5th June (18/05) No Yello Color (11/02) 18th Del returned (20/03) Hold n start after 15th June(14/05) Skip 1 week (17/12) Skip 1 week 922/01) Skip 1 week (14/02) Hold after current cycle and then start from June (25/03) Skip 1 week (22/06)</v>
          </cell>
          <cell r="M6" t="str">
            <v>Yellow Color</v>
          </cell>
          <cell r="N6" t="str">
            <v>2  del of this cycle   -  0-cycles pmnt   Completed - Collect 0</v>
          </cell>
          <cell r="O6" t="str">
            <v>P n W Car ( 14 Inch ) 9     FF sachet + Grass</v>
          </cell>
          <cell r="P6" t="str">
            <v>P Asiatic ( 14 Inch ) 2 No Yellow Color    Grass</v>
          </cell>
          <cell r="Q6" t="str">
            <v>P n W Glad ( 14 Inch ) 9     Grass</v>
          </cell>
          <cell r="R6" t="e">
            <v>#N/A</v>
          </cell>
          <cell r="S6" t="str">
            <v>Pur n P Eustoma ( 12 Inch ) 3     FF Sachet + Grass</v>
          </cell>
          <cell r="T6" t="str">
            <v>Pur n P Car ( 14 Inch ) 16     FF Sachet + Grass</v>
          </cell>
        </row>
        <row r="7">
          <cell r="A7">
            <v>2706</v>
          </cell>
          <cell r="B7" t="str">
            <v>Monika Arora</v>
          </cell>
          <cell r="C7">
            <v>9990121666</v>
          </cell>
          <cell r="D7" t="str">
            <v>Tostem Studio, Plot No. 564, Basement, Sec 39, Near Bakhtawar Chwok</v>
          </cell>
          <cell r="E7" t="str">
            <v>Medanta</v>
          </cell>
          <cell r="F7" t="str">
            <v>Saturday</v>
          </cell>
          <cell r="G7" t="str">
            <v>9 AM - 12 PM</v>
          </cell>
          <cell r="H7">
            <v>1600</v>
          </cell>
          <cell r="I7">
            <v>200</v>
          </cell>
          <cell r="J7" t="str">
            <v>Bloom</v>
          </cell>
          <cell r="K7" t="str">
            <v>Ref From Anupma Rastogi // Today Returned (09/08) Hold today (16/08) Today office was closed (21/10)</v>
          </cell>
          <cell r="N7" t="str">
            <v>2  del of this cycle   -  0-cycles pmnt   Completed - Collect 0</v>
          </cell>
          <cell r="O7" t="str">
            <v>Sunflowers ( 14 Inch ) 2     FF sachet + Grass</v>
          </cell>
          <cell r="P7" t="str">
            <v>Mix Alstroemeria ( 12 Inch ) 7     FF Sachet + Grass</v>
          </cell>
          <cell r="Q7" t="str">
            <v>P n W Glad ( 14 Inch ) 7     Grass</v>
          </cell>
          <cell r="R7" t="str">
            <v>Rajni ( 14 Inch ) 7     Grass</v>
          </cell>
          <cell r="S7" t="str">
            <v>P n W Glad ( 14 inch ) 7     Grass</v>
          </cell>
          <cell r="T7" t="str">
            <v>B Daisy ( 12 Inch ) 7     Grass</v>
          </cell>
        </row>
        <row r="8">
          <cell r="A8">
            <v>3384</v>
          </cell>
          <cell r="B8" t="str">
            <v>Saloni Gupta</v>
          </cell>
          <cell r="C8">
            <v>9810796682</v>
          </cell>
          <cell r="D8" t="str">
            <v>338, 3rd Floor, Espace</v>
          </cell>
          <cell r="E8" t="str">
            <v>Nirvana Country</v>
          </cell>
          <cell r="F8" t="str">
            <v>Tuesday</v>
          </cell>
          <cell r="G8" t="str">
            <v>9 AM - 12 PM</v>
          </cell>
          <cell r="H8">
            <v>1545</v>
          </cell>
          <cell r="I8">
            <v>386.25</v>
          </cell>
          <cell r="J8" t="str">
            <v>Customized</v>
          </cell>
          <cell r="K8" t="str">
            <v>Sunday n Thursday//Pls Keep Flowers in Vase// Paytm from Mayank G (17/03) Sent replacememnt today (23/03) Skip 1 week (10/04) 2 Asiatic and 5 Rajni (27/07) Paytm friom Mayank Gupta (16/09) 2 Asiatic Lily in each delivery (16/10) Today returned (17/11) Skip this sunday (03/01) Thursday -- 10 Rose and 4 Rajni // Sunday - 2 Asiatic (19/01) Whenever possible-send red Roses (23/01) Skip tom (29/01) Today returned (22/05) Send replacement tom (27/07) Hold today (14/08) Do not count last delivery (04/09) Hold today (02/10) Hold today (12/10) Hold after this cycle (27/10) Do not count last del (31/10) 2 Asiatic + 4 Rajni + 4 Glad -- thrice in a week (30/12) 2 Asiatic and 4 Rajni bi weekly pack (08/03) 2 Asiatic and 8 Rajni Every time and send 8 Rajni tom (26/03) Today returned-send tom (19/04)</v>
          </cell>
          <cell r="N8" t="str">
            <v>3  del of this cycle   -  0-cycles pmnt   Completed - Collect 0</v>
          </cell>
          <cell r="O8" t="e">
            <v>#N/A</v>
          </cell>
          <cell r="P8" t="e">
            <v>#N/A</v>
          </cell>
          <cell r="Q8" t="e">
            <v>#N/A</v>
          </cell>
          <cell r="R8" t="str">
            <v>O Asiatic ( 14 Inch ) 3     1 Gypsola</v>
          </cell>
          <cell r="S8" t="str">
            <v>Y Asiatic ( 14 Inch ) 3     1 Limonium</v>
          </cell>
          <cell r="T8" t="str">
            <v>W Asiatic ( 14 Inch ) 3     1 Gypsola</v>
          </cell>
        </row>
        <row r="9">
          <cell r="A9">
            <v>1953</v>
          </cell>
          <cell r="B9" t="str">
            <v>Sandhya Nagesh</v>
          </cell>
          <cell r="C9">
            <v>8800649797</v>
          </cell>
          <cell r="D9" t="str">
            <v>89, Ground Floor, Woodstock Floors, Sec 50</v>
          </cell>
          <cell r="E9" t="str">
            <v>Nirvana Country</v>
          </cell>
          <cell r="F9" t="str">
            <v>Saturday</v>
          </cell>
          <cell r="G9" t="str">
            <v>9 AM - 12 PM</v>
          </cell>
          <cell r="H9">
            <v>3000</v>
          </cell>
          <cell r="I9">
            <v>375</v>
          </cell>
          <cell r="J9" t="str">
            <v>Charm</v>
          </cell>
          <cell r="K9" t="str">
            <v>Saturday n Tueaday(02/09) No Del From 10th to 19th (09/09) Today returned(19/08) hold today send tom (07/10) Skip 20th Del (14/01) Hold 6th n 10th Sug (03/08) Return tiday (07/02) Today Returned (24/02)</v>
          </cell>
          <cell r="N9" t="str">
            <v>1  del of this cycle   -  1-cycles pmnt   Pending - Collect 3000</v>
          </cell>
          <cell r="O9" t="str">
            <v>Sunflowers ( 14 Inch ) 4     FF sachet + Grass</v>
          </cell>
          <cell r="P9" t="str">
            <v>P Oriental ( 14 Inch ) 2     Grass</v>
          </cell>
          <cell r="Q9" t="str">
            <v>Rajni ( 14 Inch ) 15     Grass</v>
          </cell>
          <cell r="R9" t="str">
            <v>O Asiatic ( 14 Inch ) 3     Grass</v>
          </cell>
          <cell r="S9" t="str">
            <v>P n W Glad ( 14 inch ) 15     Grass</v>
          </cell>
          <cell r="T9" t="str">
            <v>Pur n P Car ( 14 Inch ) 15     FF Sachet + Grass</v>
          </cell>
        </row>
        <row r="10">
          <cell r="A10">
            <v>3014</v>
          </cell>
          <cell r="B10" t="str">
            <v>Monika Arora</v>
          </cell>
          <cell r="C10">
            <v>9990121666</v>
          </cell>
          <cell r="D10" t="str">
            <v>Tostem Studio, Plot No. 564, Basement, Sec 39, Near Bakhtawar Chwok</v>
          </cell>
          <cell r="E10" t="str">
            <v>Medanta</v>
          </cell>
          <cell r="F10" t="str">
            <v>Saturday</v>
          </cell>
          <cell r="G10" t="str">
            <v>9 AM - 12 PM</v>
          </cell>
          <cell r="H10">
            <v>1600</v>
          </cell>
          <cell r="I10">
            <v>200</v>
          </cell>
          <cell r="J10" t="str">
            <v>Bloom</v>
          </cell>
          <cell r="K10" t="str">
            <v>Change in Address (31/12)</v>
          </cell>
          <cell r="N10" t="str">
            <v>2  del of this cycle   -  0-cycles pmnt   Completed - Collect 0</v>
          </cell>
          <cell r="O10" t="str">
            <v>P n W Glad ( 14 Inch ) 7     Grass</v>
          </cell>
          <cell r="P10" t="str">
            <v>P n W Glad ( 14 Inch ) 7     Grass</v>
          </cell>
          <cell r="Q10" t="str">
            <v>Sunflower ( 12 Inch ) 2     FF Sachet + Grass</v>
          </cell>
          <cell r="R10" t="str">
            <v>P n W Car ( 14 Inch ) 7     FF Sachet + Grass</v>
          </cell>
          <cell r="S10" t="str">
            <v>Sunflower ( 12 Incjh ) 2     FF Sachet + Grass</v>
          </cell>
          <cell r="T10" t="str">
            <v>Pur Eustoma ( 12 inch ) 2     FF Sachet + Grass</v>
          </cell>
        </row>
        <row r="11">
          <cell r="A11" t="str">
            <v>G-00029</v>
          </cell>
          <cell r="B11" t="str">
            <v>Shweta Arora</v>
          </cell>
          <cell r="C11">
            <v>9999164984</v>
          </cell>
          <cell r="D11" t="str">
            <v>H. No. 9506, 3rd Floor, Garden Villas</v>
          </cell>
          <cell r="E11" t="str">
            <v>DLF Phase 4</v>
          </cell>
          <cell r="F11" t="str">
            <v>Tuesday</v>
          </cell>
          <cell r="G11" t="str">
            <v>10 AM to 2:30 PM</v>
          </cell>
          <cell r="H11">
            <v>1950</v>
          </cell>
          <cell r="I11">
            <v>487.5</v>
          </cell>
          <cell r="J11" t="str">
            <v>Joy</v>
          </cell>
          <cell r="K11" t="str">
            <v>From Akriti Chopra // Paytm From Shweta Dudeja (26/02) Sent replacement today (18/04)</v>
          </cell>
          <cell r="N11" t="str">
            <v>3  del of this cycle   -  1-cycles pmnt   Pending - Collect 1950</v>
          </cell>
          <cell r="O11" t="str">
            <v>Sunflowers ( 14 Inch ) 3 P n W Glad ( 14 Inch ) 11   FF sachet + Grass</v>
          </cell>
          <cell r="P11" t="str">
            <v>P Eustoma ( 12 Inch ) 2 Mix Alstroemeria ( 12 Inch ) 11   FF Sachet + Grass</v>
          </cell>
          <cell r="Q11" t="str">
            <v>O Asiatic ( 14 inch ) 2 O n P Car ( 14 Inch ) 11   Grass</v>
          </cell>
          <cell r="R11" t="str">
            <v>P n Y Spray Daisy ( 14 Inch ) 4 Rajni ( 14 Inch ) 11   FF Sachet + Grass</v>
          </cell>
          <cell r="S11" t="str">
            <v>Sunflower ( 12 Incjh ) 3 P n W Glad ( 14 Inch) 11  Ensure Collection FF Sachet + Grass</v>
          </cell>
          <cell r="T11" t="str">
            <v>Pur Eustoma ( 12 inch ) 2 Mix Alstroemeria ( 12 Inch ) 11   FF Sachet + Grass</v>
          </cell>
        </row>
        <row r="12">
          <cell r="A12">
            <v>2484</v>
          </cell>
          <cell r="B12" t="str">
            <v>Swati Sharad</v>
          </cell>
          <cell r="C12">
            <v>9871225514</v>
          </cell>
          <cell r="D12" t="str">
            <v>204-B, 2nd Floor, 4th Floor, Beverley Park-1</v>
          </cell>
          <cell r="E12" t="str">
            <v>M G Road</v>
          </cell>
          <cell r="F12" t="str">
            <v>Tuesday</v>
          </cell>
          <cell r="G12" t="str">
            <v>9 AM - 12 PM</v>
          </cell>
          <cell r="H12">
            <v>1450</v>
          </cell>
          <cell r="I12">
            <v>362.5</v>
          </cell>
          <cell r="J12" t="str">
            <v>Bliss</v>
          </cell>
          <cell r="K12" t="str">
            <v>No Glad (03/04) No areca palm (15/04) Today Hold (03/02) Paytm from meenakshi Sharad (10/03) HDTNP (23/06)</v>
          </cell>
          <cell r="L12" t="str">
            <v>Glad</v>
          </cell>
          <cell r="M12" t="str">
            <v>No areca Palm // Flower Food Next (19/05)</v>
          </cell>
          <cell r="N12" t="str">
            <v>1  del of this cycle   -  1-cycles pmnt   Pending - Collect 1450</v>
          </cell>
          <cell r="O12" t="str">
            <v>Y Asiatic ( 14 Inch ) 2 P n W Glad ( 14 Inch ) 7   Grass</v>
          </cell>
          <cell r="P12" t="str">
            <v>Pur Eustoma ( 12 Inch ) 2 Mix Alstroemeria ( 12 Inch ) 7   FF Sachet + Grass</v>
          </cell>
          <cell r="Q12" t="str">
            <v>Sunflower ( 12 Inch ) 2 O n P Car ( 14 Inch ) 7   FF Sachet + Grass</v>
          </cell>
          <cell r="R12" t="e">
            <v>#N/A</v>
          </cell>
          <cell r="S12" t="str">
            <v>Spray Daisy 3 Glad 7   FF Sachet + Grass</v>
          </cell>
          <cell r="T12" t="str">
            <v>P Asiatic ( 14 Inch ) 2 B Daisy ( 12 Inch  7   Grass</v>
          </cell>
        </row>
        <row r="13">
          <cell r="A13">
            <v>993</v>
          </cell>
          <cell r="B13" t="str">
            <v>Swati Khandelwal-- Evening Only</v>
          </cell>
          <cell r="C13">
            <v>8527962021</v>
          </cell>
          <cell r="D13" t="str">
            <v>414-A, Hamilton Court</v>
          </cell>
          <cell r="E13" t="str">
            <v>DLF Phase 4</v>
          </cell>
          <cell r="F13" t="str">
            <v>Tuesday</v>
          </cell>
          <cell r="G13" t="str">
            <v>9 AM to 2 PM</v>
          </cell>
          <cell r="H13">
            <v>2300</v>
          </cell>
          <cell r="I13">
            <v>287.5</v>
          </cell>
          <cell r="J13" t="str">
            <v>Felicity</v>
          </cell>
          <cell r="K13" t="str">
            <v>Saturday and Tuesday//Tuesday and Friday//1 St del Tom in morning and then every Sunday evening(05/01) ONLY LILY AND RAJNI(19/01) Lilies in all 4 Deliveries(01/02) Start Biss from next week(30/11) ONLY RAJNI(31/12) Send Guldawari next and then spray daisy next to next(09/01) NO ROSE mn RAJNI-- Send spray daisy next(27/01) Spray daisy Next(15/02) Moved to Felicity--1350 Pack, Pls mark pending(21/03) Send 1 extra delivery from Rachna Khanna ma'am(05/08) Do Not count last delivery(07/04) Send Flower Food Tom(12/09) Send Flower Food next (09/10) Hold till 1st Feb (20/01) Send Flower Food next (04/07) One More payment received today (30/10) Payment from Ramakant K (08/06) Rs. 9200 Received today and 10% applied on 9200 (10/12)</v>
          </cell>
          <cell r="L13" t="str">
            <v>ROSE n RAJNI</v>
          </cell>
          <cell r="N13" t="str">
            <v>2  del of this cycle   -  0-cycles pmnt   Completed - Collect 0</v>
          </cell>
          <cell r="O13" t="str">
            <v>Sunflowers ( 14 Inch ) 3     FF sachet + Grass</v>
          </cell>
          <cell r="P13" t="str">
            <v>P Asiatic ( 14 Inch ) 2     Grass</v>
          </cell>
          <cell r="Q13" t="str">
            <v>P n W Glad ( 14 Inch ) 11     Grass</v>
          </cell>
          <cell r="R13" t="str">
            <v>P Spray Daisy ( 14 Inch ) 3     FF Sachet + Grass</v>
          </cell>
          <cell r="S13" t="str">
            <v>Sunflower ( 12 Incjh ) 3     FF Sachet + Grass</v>
          </cell>
          <cell r="T13" t="str">
            <v>Mix Alstroemeria ( 12 Inch ) 11     FF Sachet + Grass</v>
          </cell>
        </row>
        <row r="14">
          <cell r="A14" t="str">
            <v>G-00059</v>
          </cell>
          <cell r="B14" t="str">
            <v>Kriya</v>
          </cell>
          <cell r="C14">
            <v>6391463009</v>
          </cell>
          <cell r="D14" t="str">
            <v>Zenden Stays, Room No. 207, Sector 30, Vijay Vihar Block A</v>
          </cell>
          <cell r="E14" t="str">
            <v>South City 1</v>
          </cell>
          <cell r="F14" t="str">
            <v>Tuesday</v>
          </cell>
          <cell r="G14" t="str">
            <v>9:30 Am to 2 PM</v>
          </cell>
          <cell r="H14">
            <v>1450</v>
          </cell>
          <cell r="I14">
            <v>362.5</v>
          </cell>
          <cell r="J14" t="str">
            <v>Bliss</v>
          </cell>
          <cell r="K14" t="str">
            <v>Don’t send if payment not received  // Paytm From Mohd. Zaid (10/06)</v>
          </cell>
          <cell r="N14" t="str">
            <v>4  del of this cycle   -  0-cycles pmnt   Completed - Collect 0</v>
          </cell>
          <cell r="O14" t="str">
            <v xml:space="preserve">      </v>
          </cell>
          <cell r="P14" t="e">
            <v>#N/A</v>
          </cell>
          <cell r="Q14" t="str">
            <v>O n P Car ( 14 Inch ) 16     FF Sachet + Grass</v>
          </cell>
          <cell r="R14" t="str">
            <v>P Asiatic ( 14 Inch ) 3     Grass</v>
          </cell>
          <cell r="S14" t="str">
            <v>Rajni ( 14 Inch ) 16     Grass</v>
          </cell>
          <cell r="T14" t="str">
            <v>Sunflower ( 12 Inch ) 4     FF Sachet + Grass</v>
          </cell>
        </row>
        <row r="15">
          <cell r="A15">
            <v>2434</v>
          </cell>
          <cell r="B15" t="str">
            <v>Manasi Sardana</v>
          </cell>
          <cell r="C15">
            <v>9825966349</v>
          </cell>
          <cell r="D15" t="str">
            <v>T-8/303, The South Close</v>
          </cell>
          <cell r="E15" t="str">
            <v>Nirvana Country</v>
          </cell>
          <cell r="F15" t="str">
            <v>Sunday</v>
          </cell>
          <cell r="G15" t="str">
            <v>9 AM to 2 PM</v>
          </cell>
          <cell r="H15">
            <v>1450</v>
          </cell>
          <cell r="I15">
            <v>362.5</v>
          </cell>
          <cell r="J15" t="str">
            <v>Replacement</v>
          </cell>
          <cell r="K15" t="str">
            <v>Rajni is preferred // Skip 1 week (17/05) paytm From Phadke Mansi Pradeep // Skip 1 week (01/01/26) Skip 1 week (24/01) Today returned (15/02) Replacement tom (06/07)</v>
          </cell>
          <cell r="M15" t="str">
            <v>Rajni referred</v>
          </cell>
          <cell r="N15" t="str">
            <v>3  del of this cycle   -  0-cycles pmnt   Completed - Collect 0</v>
          </cell>
          <cell r="O15" t="e">
            <v>#N/A</v>
          </cell>
          <cell r="P15" t="e">
            <v>#N/A</v>
          </cell>
          <cell r="Q15" t="e">
            <v>#N/A</v>
          </cell>
          <cell r="R15" t="e">
            <v>#N/A</v>
          </cell>
          <cell r="S15" t="e">
            <v>#N/A</v>
          </cell>
          <cell r="T15" t="str">
            <v>Sunflower ( 12 Inch ) 2 B Daisy ( 12 Inch  7   FF Sachet + Grass</v>
          </cell>
        </row>
        <row r="16">
          <cell r="A16">
            <v>1377</v>
          </cell>
          <cell r="B16" t="str">
            <v>Geetanjali Babbar</v>
          </cell>
          <cell r="C16">
            <v>9958988852</v>
          </cell>
          <cell r="D16" t="str">
            <v>N-206, Sispal Vihar</v>
          </cell>
          <cell r="E16" t="str">
            <v>Sohna Road 1</v>
          </cell>
          <cell r="F16" t="str">
            <v>Friday</v>
          </cell>
          <cell r="G16" t="str">
            <v>9:30 Am to 2 PM</v>
          </cell>
          <cell r="H16">
            <v>2300</v>
          </cell>
          <cell r="I16">
            <v>287.5</v>
          </cell>
          <cell r="J16" t="str">
            <v>Felicity</v>
          </cell>
          <cell r="K16" t="str">
            <v>Tuesday and FRiday//Monday and Thursday//Send on Monday This week and send rajni too(03/04) Returned-send tom(11/04) Day Changed to Monday(11/04) Sent replacement of Gerbera today(20/04) She likes BOP+Rajni+Car Comb (20/04) Thursday and Monday Morning Slot(13/06) NO BOP(03/08) Hold today ansend after a week(20/11)  Holy Change(16/03) Skip 1 del(16/03) Skip 1 del AND ALWAYS SEND 10 STICKS(02/05) Skip 3rd Feb Del (28/01) Skip tom Delivery (06/04) Dont start from 16th June--start from 19th June (14/06) Skip Friday (13/09) Skip between 24th to 2nd Nov (24/10) Hold n start from Feb (13/01) Skip tom del (14/03) Do Not count last del (21/06) Skip comig Delivery(24/06) Sent a rewplacement today (23/10) Hold geetanjali babbar today (03/01) Skip 1 week (04/01) Skip 18th n 21st Mar (03/03) Skip Friday (09/04) Skip friday (26/06) Paytm From Merajul Alam (23/09) No Del From 09th to 13th (04/12) Skip 10th and 13th Feb (31/01) Skip 1 week (23/03) Replacement tom (21/04) HDTNP (29/05) Hold till 1st weel of July (20/06) paytm from sunil babbar (03/07)</v>
          </cell>
          <cell r="M16" t="str">
            <v>Skip 18th n 21st Mar 25</v>
          </cell>
          <cell r="N16" t="str">
            <v>3  del of this cycle   -  0-cycles pmnt   Completed - Collect 0</v>
          </cell>
          <cell r="O16" t="str">
            <v>Sunflowers ( 14 Inch ) 3     FF sachet + Grass</v>
          </cell>
          <cell r="P16" t="str">
            <v>Mix Alstroemeria ( 12 Inch ) 11     FF Sachet + Grass</v>
          </cell>
          <cell r="Q16" t="str">
            <v>Y Spray Daisy ( 14 Inch ) 3     FF Sachet + Grass</v>
          </cell>
          <cell r="R16" t="e">
            <v>#N/A</v>
          </cell>
          <cell r="S16" t="e">
            <v>#N/A</v>
          </cell>
          <cell r="T16" t="str">
            <v>Rajni ( 14 Inch ) 11     Grass</v>
          </cell>
        </row>
        <row r="17">
          <cell r="A17">
            <v>975</v>
          </cell>
          <cell r="B17" t="str">
            <v>Ritu Sacheti</v>
          </cell>
          <cell r="C17">
            <v>9910007371</v>
          </cell>
          <cell r="D17" t="str">
            <v>B1/1401, World Spa, Sector 30</v>
          </cell>
          <cell r="E17" t="str">
            <v>South City 1</v>
          </cell>
          <cell r="F17" t="str">
            <v>Saturday</v>
          </cell>
          <cell r="G17" t="str">
            <v>9 AM - 12 PM</v>
          </cell>
          <cell r="H17">
            <v>3750</v>
          </cell>
          <cell r="I17">
            <v>468.75</v>
          </cell>
          <cell r="J17" t="str">
            <v>Grace</v>
          </cell>
          <cell r="K17" t="str">
            <v>Sat n Tuesday//NO Chrysanthemums(30/12) Received 50Rs. Today(13/01) Today returned-send tom(27/01) Pls send double del on next del and upgrade to 1250 pack once this cycle completes(25/05/2020) Sending 1st June Flowers on 30th may(30/05/2020) Upgrade to 1750 pack and always send 4 Asiatic and 15 normal flowers(08/07) Send replacement of glad tom(19/08/20) Hold n start from Feb(17/01) Skiped 1 week due to HOLI(29/03) NO RAJNI IN SUMMER(16/07) Send 4 Stick asiatic complimentary Tom(20/09) Send 2 Open Asiatic and replace Carnations AND NEVER CAR(04/10) Rs. 250 received against extra flowers(05/10) NO SAME COLOR FLOWERS(04/03) Return today (06/12) NO GERBERA (10/01) Return-send tom (04/04) Sent replacement of Guldawari today (09/04) Today Returned (20/06) No Flowers From 10th to 19 Th nov (02/11) No Flowers betqeen 22nd and 1st Jan (22/12) Returned today (10/02) Skip today (13/02) Skip this tuesday (11/03) No Flowers from 29th to 3rd Nov (25/10) Return today (23/11) No Gerbera (30/11) Today Returned (24/05) Sent 1 delivery today (25/05)</v>
          </cell>
          <cell r="L17" t="str">
            <v>GERBERA n SUNFLOWER</v>
          </cell>
          <cell r="N17" t="str">
            <v>1  del of this cycle   -  1-cycles pmnt   Pending - Collect 3750</v>
          </cell>
          <cell r="O17" t="str">
            <v>Pur Eustoma ( 12 Inch )  3 P n W Car ( 14 inch ) 10   FF sachet + Grass</v>
          </cell>
          <cell r="P17" t="str">
            <v>P Asiatic ( 14 Inch ) 2 Mix Alstroemeria ( 12 Inch ) 10   Grass</v>
          </cell>
          <cell r="Q17" t="str">
            <v>P Spray Daisy ( 14 Inch ) 3 O n P Car ( 14 Inch ) 10   FF Sachet + Grass</v>
          </cell>
          <cell r="R17" t="str">
            <v>P Eustoma ( 12 Inch ) 3 Rajni ( 14 Inch ) 10   FF Sachet + Grass</v>
          </cell>
          <cell r="S17" t="str">
            <v>O Asiatic ( 14 Inch ) 2 P n W Car ( 14 Inch ) 10   Grass</v>
          </cell>
          <cell r="T17" t="str">
            <v>Pur Eustoma ( 12 inch ) 2 Mix Alstroemeria ( 12 Inch ) 10   FF Sachet + Grass</v>
          </cell>
        </row>
        <row r="18">
          <cell r="A18">
            <v>2132</v>
          </cell>
          <cell r="B18" t="str">
            <v>Smita Mathur</v>
          </cell>
          <cell r="C18" t="str">
            <v>+6281294705524</v>
          </cell>
          <cell r="D18" t="str">
            <v>R-9A, Windsor Court-- Next Supermart</v>
          </cell>
          <cell r="E18" t="str">
            <v>DLF Phase 4</v>
          </cell>
          <cell r="F18" t="str">
            <v>Tuesday</v>
          </cell>
          <cell r="G18" t="str">
            <v>9 AM - 12 PM</v>
          </cell>
          <cell r="H18">
            <v>1450</v>
          </cell>
          <cell r="I18">
            <v>362.5</v>
          </cell>
          <cell r="J18" t="str">
            <v>Bliss</v>
          </cell>
          <cell r="K18" t="str">
            <v>NO GLAD/ASIATIC/ORCHID(23/12) ONLY LILY/ROSE AD CHRYSANTHEMUM IN THIS PACK(23/12) Rajni Next(27/12) Skip 1 week(30/12) Bright Color Asiatic Next(09/01) ALWAYS SINGLE COLOR(10/01) Day changed to Friday and send bright lily on both days(11/01) Send 1 Pack tom(15/01) Dark Pink or Red Asiatic(22/01) Pls send Daisy Next(31/01) Y Fuldawari next(04/02) Next Yellow Color(07/02) This Cycle-- Oriental//Car//Orchid//Rose(02/10) Send next del on friday with moxed bright color car(05/10) Sent Replacement today(20/10) GuldawariNext(21/10) This week on saturday and then tuesday, Flowesr are-- Car//Lily//Guldawari//Rose//Orchid// Glad (17/11) NO ROSE  SEND REPLACEMENT TOM AND ALSO 2ND DEL(21/11)(21/11) Hold today (13/12) Hold for 2 weeks(13/12) NO BOP AND SPRAY DAISY  AND ROSES IF THEY ARE GOOD(22/12) Asiatic Next (04/01) Send Replacement tom (18/03) Paytm from 99****8930(25/07) Change to Joy (27/10) Change to bliss (13/12) Skip 2 Week (31/01) Skip 2 week (02/03) Holdn n start from 13 July (23/06) Sent replacement today (01/09) Skip 1 week (07/12) Hold aftyer current cycle (19/03) Skip 16th Aug (09/08) No flowers on 27th (16/09) Skip tom and now on tuesday Only (05/12) Skip 1 week (18/02)</v>
          </cell>
          <cell r="L18" t="str">
            <v>BOP n GERBERA</v>
          </cell>
          <cell r="N18" t="str">
            <v>1  del of this cycle   -  1-cycles pmnt   Pending - Collect 1450</v>
          </cell>
          <cell r="O18" t="str">
            <v>Mix Alstroemeria ( 12 Inch ) 16     Grass</v>
          </cell>
          <cell r="P18" t="str">
            <v>P n W Glad ( 14 Inch ) 16     Grass</v>
          </cell>
          <cell r="Q18" t="str">
            <v>O n P Car ( 14 Inch ) 16     FF Sachet + Grass</v>
          </cell>
          <cell r="R18" t="str">
            <v>Pur Eustoma ( 12 Inch ) 3     FF Sachet + Grass</v>
          </cell>
          <cell r="S18" t="str">
            <v>O Asiatic ( 14 Inch ) 3     Grass</v>
          </cell>
          <cell r="T18" t="str">
            <v>B Daisy ( 12 Inch ) 16     Grass</v>
          </cell>
        </row>
        <row r="19">
          <cell r="A19">
            <v>3367</v>
          </cell>
          <cell r="B19" t="str">
            <v>Pallavi Sharma</v>
          </cell>
          <cell r="C19">
            <v>9910888631</v>
          </cell>
          <cell r="D19" t="str">
            <v>B-93, Regency Park 1, Sec 43</v>
          </cell>
          <cell r="E19" t="str">
            <v>DLF Phase 4</v>
          </cell>
          <cell r="F19" t="str">
            <v>Tuesday</v>
          </cell>
          <cell r="G19" t="str">
            <v>9 AM - 12 PM</v>
          </cell>
          <cell r="H19">
            <v>1450</v>
          </cell>
          <cell r="I19">
            <v>1450</v>
          </cell>
          <cell r="J19" t="str">
            <v>Bliss</v>
          </cell>
          <cell r="K19" t="str">
            <v>Paytm From Vaibhav Sharma (16.05) Skip 1 week (03/06)</v>
          </cell>
          <cell r="N19" t="str">
            <v>3  del of this cycle   -  0-cycles pmnt   Completed - Collect 0</v>
          </cell>
          <cell r="O19" t="str">
            <v>P n W Glad ( 14 Inch ) 16     Grass</v>
          </cell>
          <cell r="P19" t="e">
            <v>#N/A</v>
          </cell>
          <cell r="Q19" t="str">
            <v>P n Y Spray Daisy ( 14 Inch ) 5     FF Sachet + Grass</v>
          </cell>
          <cell r="R19" t="str">
            <v>Rajni ( 14 Inch ) 16     FF Sachet + Grass</v>
          </cell>
          <cell r="S19" t="str">
            <v>P n W Car ( 14 Inch ) 16     FF Sachet + Grass</v>
          </cell>
          <cell r="T19" t="str">
            <v>O Asiatic ( 14 Inch ) 3     Grass</v>
          </cell>
        </row>
        <row r="20">
          <cell r="A20">
            <v>1411</v>
          </cell>
          <cell r="B20" t="str">
            <v>Aarti Malhotra</v>
          </cell>
          <cell r="C20">
            <v>9810002228</v>
          </cell>
          <cell r="D20" t="str">
            <v>T-10/1402, Orchid Petals</v>
          </cell>
          <cell r="E20" t="str">
            <v>Sohna Road 1</v>
          </cell>
          <cell r="F20" t="str">
            <v>Friday</v>
          </cell>
          <cell r="G20" t="str">
            <v>9 AM - 12 PM</v>
          </cell>
          <cell r="H20">
            <v>3000</v>
          </cell>
          <cell r="I20">
            <v>375</v>
          </cell>
          <cell r="J20" t="str">
            <v>Charm</v>
          </cell>
          <cell r="K20" t="str">
            <v>Friday and Tuesday//Thursday and Sunday//Like-- Spray daisy//Rajni and guldawari(28/05) Sunday and Thursday(20/06) Shift to Joy package after this(15/09) Skip 1 week(13/01)  Holy Change(16/03) Sent 1 replacement today(05/04) Hold n start from June(04/05) Hold and start after 20th June(06/06) Sent Replacement today(05/07) Do Not Count last Delivery(18/07) NO SPRAY DAISY(23/08) Skip coming Delivery (28/09)Today flowers returned-send on next del date (09/12) Start after 31st // Replace last flowers (28/01) Skip 1 week (02/06) No Del till 28th June (11/06) Skip this friday (06/03) Skip 1 week 911/03) Paytm from Vineet R K (26/10) Hold till 2nd July (31/05)</v>
          </cell>
          <cell r="N20" t="str">
            <v>1  del of this cycle   -  1-cycles pmnt   Pending - Collect 3000</v>
          </cell>
          <cell r="O20" t="e">
            <v>#N/A</v>
          </cell>
          <cell r="P20" t="e">
            <v>#N/A</v>
          </cell>
          <cell r="Q20" t="e">
            <v>#N/A</v>
          </cell>
          <cell r="R20" t="e">
            <v>#N/A</v>
          </cell>
          <cell r="S20" t="e">
            <v>#N/A</v>
          </cell>
          <cell r="T20" t="str">
            <v>O Asiatic ( 14 Inch ) 3     Grass</v>
          </cell>
        </row>
        <row r="21">
          <cell r="A21">
            <v>3138</v>
          </cell>
          <cell r="B21" t="str">
            <v>Alpna Verma</v>
          </cell>
          <cell r="C21">
            <v>9811996368</v>
          </cell>
          <cell r="D21" t="str">
            <v>B-70, Sushant Lok Phase 1, Next to Vipul Square, Enter gaye no. 4</v>
          </cell>
          <cell r="E21" t="str">
            <v>M G Road</v>
          </cell>
          <cell r="F21" t="str">
            <v>Tuesday</v>
          </cell>
          <cell r="G21" t="str">
            <v>9 AM - 12 PM</v>
          </cell>
          <cell r="H21">
            <v>2300</v>
          </cell>
          <cell r="I21">
            <v>287.5</v>
          </cell>
          <cell r="J21" t="str">
            <v>Felicity</v>
          </cell>
          <cell r="K21" t="str">
            <v>Day Changed ro Tuesday and Saturday (22/03)Single Color Flowers (01/12)</v>
          </cell>
          <cell r="M21" t="str">
            <v>Single Color Flowers</v>
          </cell>
          <cell r="N21" t="str">
            <v>6  del of this cycle   -  0-cycles pmnt   Completed - Collect 0</v>
          </cell>
          <cell r="O21" t="str">
            <v>Mix Alstroemeria ( 12 Inch ) 11 Pls Keep Flower at door -- Don’t call n Ring Bell Pls Keep Flower at door -- Don’t call n Ring Bell Pls Keep Flower at door -- Don’t call n Ring Bell Pls Keep Flower at door -- Don’t call n Ring Bell FF sachet + Grass</v>
          </cell>
          <cell r="P21" t="e">
            <v>#N/A</v>
          </cell>
          <cell r="Q21" t="e">
            <v>#N/A</v>
          </cell>
          <cell r="R21" t="str">
            <v>P Spray Daisy ( 14 Inch ) 3     FF Sachet + Grass</v>
          </cell>
          <cell r="S21" t="str">
            <v>Rajni ( 14 Inch ) 11     Grass</v>
          </cell>
          <cell r="T21" t="str">
            <v>W Eustoam ( 12 Inch ) 2     FF Sachet + Grass</v>
          </cell>
        </row>
        <row r="22">
          <cell r="A22">
            <v>3275</v>
          </cell>
          <cell r="B22" t="str">
            <v>Reema Parents</v>
          </cell>
          <cell r="C22">
            <v>9910105022</v>
          </cell>
          <cell r="D22" t="str">
            <v>B1/603, Tulip Orange, Sec 70</v>
          </cell>
          <cell r="E22" t="str">
            <v>Badshahpur</v>
          </cell>
          <cell r="F22" t="str">
            <v>Tuesday</v>
          </cell>
          <cell r="G22" t="str">
            <v>9 AM - 12 PM</v>
          </cell>
          <cell r="H22">
            <v>1450</v>
          </cell>
          <cell r="I22">
            <v>362.5</v>
          </cell>
          <cell r="J22" t="str">
            <v>Bliss</v>
          </cell>
          <cell r="K22" t="str">
            <v>From Reema</v>
          </cell>
          <cell r="N22" t="str">
            <v>4  del of this cycle   -  0-cycles pmnt   Completed - Collect 0</v>
          </cell>
          <cell r="O22" t="str">
            <v>P n W Glad ( 14 Inch ) 9     Grass</v>
          </cell>
          <cell r="P22" t="str">
            <v>P Asiatic ( 14 Inch ) 2     Grass</v>
          </cell>
          <cell r="Q22" t="str">
            <v>O n P Car ( 14 Inch ) 16     FF Sachet + Grass</v>
          </cell>
          <cell r="R22" t="str">
            <v>Pur Eustoma ( 12 Inch ) 3     FF Sachet + Grass</v>
          </cell>
          <cell r="S22" t="str">
            <v>Rajni ( 14 Inch ) 16     Grass</v>
          </cell>
          <cell r="T22" t="str">
            <v>B Daisy ( 12 Inch ) 16     Grass</v>
          </cell>
        </row>
        <row r="23">
          <cell r="A23">
            <v>2284</v>
          </cell>
          <cell r="B23" t="str">
            <v>Tarushi--Skyon</v>
          </cell>
          <cell r="C23">
            <v>9873968830</v>
          </cell>
          <cell r="D23" t="str">
            <v>B-2004, Ireo Skyon, Sec 60</v>
          </cell>
          <cell r="E23" t="str">
            <v>Ghata</v>
          </cell>
          <cell r="F23" t="str">
            <v>Tuesday</v>
          </cell>
          <cell r="G23" t="str">
            <v>9 AM - 12 PM</v>
          </cell>
          <cell r="H23">
            <v>1450</v>
          </cell>
          <cell r="I23">
            <v>362.5</v>
          </cell>
          <cell r="J23" t="str">
            <v>Bliss</v>
          </cell>
          <cell r="K23" t="str">
            <v>No Spray Daisy (06/11) Skip 1 week (02/03) No Gerbera (02/07) Send on Saturday this week Z914/07)Paytm from Uday Bansal 19/07) Return not at home (29/07) Hold due to non payment (14/10) Hold after this cycle (14/11) Paytm From Tarushi Garg (02/04) HDTNP (02/06) HDTNP (09/06) HDTNP (16/06) Skip 1 week (24/06)</v>
          </cell>
          <cell r="L23" t="str">
            <v>Spray Daisy n GERBERA</v>
          </cell>
          <cell r="N23" t="str">
            <v>4  del of this cycle   -  0-cycles pmnt   Completed - Collect 0</v>
          </cell>
          <cell r="O23" t="e">
            <v>#N/A</v>
          </cell>
          <cell r="P23" t="e">
            <v>#N/A</v>
          </cell>
          <cell r="Q23" t="e">
            <v>#N/A</v>
          </cell>
          <cell r="R23" t="str">
            <v>Pur Eustoma ( 12 Inch ) 3     FF Sachet + Grass</v>
          </cell>
          <cell r="S23" t="str">
            <v>Rajni ( 14 Inch ) 16     Grass</v>
          </cell>
          <cell r="T23" t="str">
            <v>O Asiatic ( 14 Inch ) 3     Grass</v>
          </cell>
        </row>
        <row r="24">
          <cell r="A24" t="str">
            <v>CP00001</v>
          </cell>
          <cell r="B24" t="str">
            <v>Nidhi Sharma Malhotra -- BPTP -- Centra 1</v>
          </cell>
          <cell r="C24">
            <v>9999016333</v>
          </cell>
          <cell r="D24" t="str">
            <v>BPTP, Sec 61</v>
          </cell>
          <cell r="E24" t="str">
            <v>Ghata</v>
          </cell>
          <cell r="F24" t="str">
            <v>Thursday</v>
          </cell>
          <cell r="G24" t="str">
            <v>By 5 PM</v>
          </cell>
          <cell r="H24">
            <v>10000</v>
          </cell>
          <cell r="I24">
            <v>10000</v>
          </cell>
          <cell r="J24" t="str">
            <v>Corporate</v>
          </cell>
          <cell r="T24" t="str">
            <v xml:space="preserve">G n W Car + G n W Spray Daisy + G n W Eustoma + G n W Eustoma + W Asiatic + W Oriental 120 + 15 + 10 + 5 + 5     </v>
          </cell>
        </row>
        <row r="25">
          <cell r="A25">
            <v>2247</v>
          </cell>
          <cell r="B25" t="str">
            <v>Reeya Naahar</v>
          </cell>
          <cell r="C25">
            <v>9818862169</v>
          </cell>
          <cell r="D25" t="str">
            <v>B-316-B, Sushant Lok-1</v>
          </cell>
          <cell r="E25" t="str">
            <v>M G Road</v>
          </cell>
          <cell r="F25" t="str">
            <v>Saturday</v>
          </cell>
          <cell r="G25" t="str">
            <v>9:30 AM to 2PM</v>
          </cell>
          <cell r="H25">
            <v>2300</v>
          </cell>
          <cell r="I25">
            <v>287.5</v>
          </cell>
          <cell r="J25" t="str">
            <v>Felicity</v>
          </cell>
          <cell r="K25" t="str">
            <v>Saturday n Tuesday// No Yel Spray Daisy // Do not count last del (06/07) No Gerbera (12/04)</v>
          </cell>
          <cell r="L25" t="str">
            <v>GERBERA</v>
          </cell>
          <cell r="N25" t="str">
            <v>6  del of this cycle   -  0-cycles pmnt   In Process - Collect 0</v>
          </cell>
          <cell r="O25" t="str">
            <v>P Asiatic ( 14 Inch ) 2     Grass</v>
          </cell>
          <cell r="P25" t="str">
            <v>Pur Eustoma ( 12 Inch ) 3     FF Sachet + Grass</v>
          </cell>
          <cell r="Q25" t="str">
            <v>P n W Glad ( 14 Inch ) 11     Grass</v>
          </cell>
          <cell r="R25" t="str">
            <v>Rajni ( 14 Inch ) 11     Grass</v>
          </cell>
          <cell r="S25" t="str">
            <v>P n W Glad ( 14 inch ) 11     Grass</v>
          </cell>
          <cell r="T25" t="str">
            <v>Pur n P Car ( 14 Inch ) 11     FF Sachet + Grass</v>
          </cell>
        </row>
        <row r="26">
          <cell r="A26">
            <v>1936</v>
          </cell>
          <cell r="B26" t="str">
            <v>Pranta Dutta</v>
          </cell>
          <cell r="C26" t="str">
            <v>99535 59491</v>
          </cell>
          <cell r="D26" t="str">
            <v>C 1 flat 501 Ireo skyon golf course extension sector 60 gurgaon ( behind lemon tree hotel)</v>
          </cell>
          <cell r="E26" t="str">
            <v>Ghata</v>
          </cell>
          <cell r="F26" t="str">
            <v>Saturday</v>
          </cell>
          <cell r="G26" t="str">
            <v>9 AM - 12 PM</v>
          </cell>
          <cell r="H26">
            <v>1600</v>
          </cell>
          <cell r="I26">
            <v>200</v>
          </cell>
          <cell r="J26" t="str">
            <v>Bloom</v>
          </cell>
          <cell r="K26" t="str">
            <v>Tuesday n Saturday//Thursday n Sunday// No Rajni (01/01/23) Skip 1 wek (30/05) Paytm from Ddhruv Dutta Minor (18/06) Paytm From Susmita D (16/07). Not sent on 25/04 due to non payment (24/4) Paytm From Susmita D (04/05) Do not count last del (02/07) No Gerbera also (29/09) Hold from 10th to 20th (08/12) Hold from 10th to 20th (10/12) Hold due to non payment (26/12) No Delivery from 03rd to15th Jan (28/12) Hold due to non payment (010/02) Hold due to non payment (24/02) HDTNP (17/03) HDTNP (02/05) HDTNP (23/05) HDTNP (26/05) HDTNP (02/06) HDTNP (06/06) HDTNP (09/06) HDTNP (13/06) HDTNP (16/06) HDTNP (20/06) HDTNP (23/06) HDTNP (27/06) HDTNP (30/06)</v>
          </cell>
          <cell r="L26" t="str">
            <v>RAJNI n GERBERA</v>
          </cell>
          <cell r="N26" t="str">
            <v>5  del of this cycle   -  0-cycles pmnt   Completed - Collect 0</v>
          </cell>
          <cell r="O26" t="e">
            <v>#N/A</v>
          </cell>
          <cell r="P26" t="e">
            <v>#N/A</v>
          </cell>
          <cell r="Q26" t="e">
            <v>#N/A</v>
          </cell>
          <cell r="R26" t="e">
            <v>#N/A</v>
          </cell>
          <cell r="S26" t="str">
            <v xml:space="preserve">Collect 600 Carry Receipt Book     </v>
          </cell>
          <cell r="T26" t="str">
            <v>Sunflower ( 12 Inch ) 2     FF Sachet + Grass</v>
          </cell>
        </row>
        <row r="27">
          <cell r="A27">
            <v>3371</v>
          </cell>
          <cell r="B27" t="str">
            <v>Supriya Bijlwan</v>
          </cell>
          <cell r="C27">
            <v>9560012831</v>
          </cell>
          <cell r="D27" t="str">
            <v>C-201, Mahindra Luminaire</v>
          </cell>
          <cell r="E27" t="str">
            <v>Ghata</v>
          </cell>
          <cell r="F27" t="str">
            <v>Saturday</v>
          </cell>
          <cell r="G27" t="str">
            <v>10 AM to 2:30 PM</v>
          </cell>
          <cell r="H27">
            <v>2300</v>
          </cell>
          <cell r="I27">
            <v>287.5</v>
          </cell>
          <cell r="J27" t="str">
            <v>Felicity</v>
          </cell>
          <cell r="K27" t="str">
            <v>1 Seasonal Extra next (20/05)</v>
          </cell>
          <cell r="M27" t="str">
            <v>Premium in next 2 Del (23/05)</v>
          </cell>
          <cell r="N27" t="str">
            <v>7  del of this cycle   -  0-cycles pmnt   Completed - Collect 0</v>
          </cell>
          <cell r="O27" t="str">
            <v>Sunflowers ( 14 Inch ) 3     FF sachet + Grass</v>
          </cell>
          <cell r="P27" t="str">
            <v>Pur Eustoma ( 12 Inch ) 3     FF Sachet + Grass</v>
          </cell>
          <cell r="Q27" t="str">
            <v>Rajni ( 14 Inch ) 11     Grass</v>
          </cell>
          <cell r="R27" t="str">
            <v>P Asiatic ( 14 Inch ) 2     Grass</v>
          </cell>
          <cell r="S27" t="str">
            <v>Sunflower ( 12 Incjh ) 3     FF Sachet + Grass</v>
          </cell>
          <cell r="T27" t="str">
            <v>Y Spray Daisy ( 14 Inch ) 2     FF Sachet + Grass</v>
          </cell>
        </row>
        <row r="28">
          <cell r="A28">
            <v>2692</v>
          </cell>
          <cell r="B28" t="str">
            <v>A K Jain</v>
          </cell>
          <cell r="C28">
            <v>9910309930</v>
          </cell>
          <cell r="D28" t="str">
            <v>B-785, Sushant Lok-1, Near Police Chowki</v>
          </cell>
          <cell r="E28" t="str">
            <v>M G Road</v>
          </cell>
          <cell r="F28" t="str">
            <v>Saturday</v>
          </cell>
          <cell r="G28" t="str">
            <v>9 AM - 12 PM</v>
          </cell>
          <cell r="H28">
            <v>2300</v>
          </cell>
          <cell r="I28">
            <v>287.5</v>
          </cell>
          <cell r="J28" t="str">
            <v>Felicity</v>
          </cell>
          <cell r="K28" t="str">
            <v>Saturdya n Tuesday (16/05) Hold from 10th to 14th June (07/06) Paytm From Akhil Jain (21/06) Skip sat del and send them on Sunday (30/07) Do not count last delivery (22/09) Hold 25th and 28th (19/10) Today Returned (04/11) Skip sat delivery (18/03) Do not count last Del (15/06)</v>
          </cell>
          <cell r="N28" t="str">
            <v>8  del of this cycle   -  0-cycles pmnt   Completed - Collect 0</v>
          </cell>
          <cell r="O28" t="str">
            <v>P Asiatic ( 14 Inch ) 2     Grass</v>
          </cell>
          <cell r="P28" t="str">
            <v>Mix Alstroemeria ( 12 Inch ) 11     FF Sachet + Grass</v>
          </cell>
          <cell r="Q28" t="str">
            <v>O n P Car ( 14 Inch ) 11     FF Sachet + Grass</v>
          </cell>
          <cell r="R28" t="str">
            <v>Rajni ( 14 Inch ) 11     Grass</v>
          </cell>
          <cell r="S28" t="str">
            <v>P n W Glad ( 14 inch ) 11     Grass</v>
          </cell>
          <cell r="T28" t="str">
            <v>Pur n P Car ( 14 Inch ) 11     FF Sachet + Grass</v>
          </cell>
        </row>
        <row r="29">
          <cell r="A29">
            <v>2087</v>
          </cell>
          <cell r="B29" t="str">
            <v>Lucky Pandey</v>
          </cell>
          <cell r="C29" t="str">
            <v>9961712428//9971712428</v>
          </cell>
          <cell r="D29" t="str">
            <v>B3/502, Uniworld City ( West)</v>
          </cell>
          <cell r="E29" t="str">
            <v>South City 1</v>
          </cell>
          <cell r="F29" t="str">
            <v>Tuesday</v>
          </cell>
          <cell r="G29" t="str">
            <v>9 AM to 2 PM</v>
          </cell>
          <cell r="H29">
            <v>1450</v>
          </cell>
          <cell r="I29">
            <v>362.5</v>
          </cell>
          <cell r="J29" t="str">
            <v>Bliss</v>
          </cell>
          <cell r="K29" t="str">
            <v>Skip this Sunday and send on Tuesday (07/07) Skip 1 week (21/10) Today Returned (10/12) Today returned (17/03) Today Returned (19/003) Return-send tom (26/05) Hold (23/06) Today Returned (21/07) Gpay from Abhijeet K Choudhary (01/10) Hold today (03/12) No Sunflower (21/01) Returned today (17/06) Send 1 del todya (07/07) Today Returned 0send on saturday this week (23/06)</v>
          </cell>
          <cell r="L29" t="str">
            <v>Sunflower</v>
          </cell>
          <cell r="N29" t="str">
            <v>2  del of this cycle   -  1-cycles pmnt   Pending - Collect 1450</v>
          </cell>
          <cell r="O29" t="str">
            <v>Y Asiatic ( 14 Inch ) 3     Grass</v>
          </cell>
          <cell r="P29" t="str">
            <v>R n P Car ( 14 Inch ) 16     FF Sachet + Grass</v>
          </cell>
          <cell r="Q29" t="str">
            <v>P n W Glad ( 14 Inch ) 16     Grass</v>
          </cell>
          <cell r="R29" t="str">
            <v>Pur Eustoma ( 12 Inch ) 3     FF Sachet + Grass</v>
          </cell>
          <cell r="S29" t="str">
            <v>Rajni ( 14 Inch ) 16     Grass</v>
          </cell>
          <cell r="T29" t="str">
            <v>P Asiatic ( 14 Inch ) 3     Grass</v>
          </cell>
        </row>
        <row r="30">
          <cell r="A30">
            <v>3395</v>
          </cell>
          <cell r="B30" t="str">
            <v>Chhavi Sharma</v>
          </cell>
          <cell r="C30">
            <v>9773834450</v>
          </cell>
          <cell r="D30" t="str">
            <v>403, Plot No. 74, Sec 28, Near Golf Course Road</v>
          </cell>
          <cell r="E30" t="str">
            <v>DLF Phase 4</v>
          </cell>
          <cell r="F30" t="str">
            <v>Tuesday</v>
          </cell>
          <cell r="G30" t="str">
            <v>9 AM - 12 PM</v>
          </cell>
          <cell r="H30">
            <v>1450</v>
          </cell>
          <cell r="I30">
            <v>362.5</v>
          </cell>
          <cell r="J30" t="str">
            <v>Bliss</v>
          </cell>
          <cell r="K30" t="str">
            <v>Prefer Pink Lilies (29/06)</v>
          </cell>
          <cell r="N30" t="str">
            <v>2  del of this cycle   -  0-cycles pmnt   Completed - Collect 0</v>
          </cell>
          <cell r="O30" t="e">
            <v>#N/A</v>
          </cell>
          <cell r="P30" t="e">
            <v>#N/A</v>
          </cell>
          <cell r="Q30" t="e">
            <v>#N/A</v>
          </cell>
          <cell r="R30" t="e">
            <v>#N/A</v>
          </cell>
          <cell r="S30" t="str">
            <v>Pur n P Car (14 inch) 16     FF Sachet + Grass</v>
          </cell>
          <cell r="T30" t="str">
            <v>P Asiatic ( 14 Inch ) 2     Grass</v>
          </cell>
        </row>
        <row r="31">
          <cell r="A31">
            <v>2593</v>
          </cell>
          <cell r="B31" t="str">
            <v>Devesh Srivastava</v>
          </cell>
          <cell r="C31">
            <v>7400118910</v>
          </cell>
          <cell r="D31" t="str">
            <v xml:space="preserve">T-7/1003&lt; The Palms
</v>
          </cell>
          <cell r="E31" t="str">
            <v>South City 1</v>
          </cell>
          <cell r="F31" t="str">
            <v>Tuesday</v>
          </cell>
          <cell r="G31" t="str">
            <v>9 AM to 2 PM</v>
          </cell>
          <cell r="H31">
            <v>1450</v>
          </cell>
          <cell r="I31">
            <v>362.5</v>
          </cell>
          <cell r="J31" t="str">
            <v>Bliss</v>
          </cell>
          <cell r="K31" t="str">
            <v>Saturday n Tuesday//One Del today and then every satrday 920/04) Sent one Del Today (09/05)</v>
          </cell>
          <cell r="N31" t="str">
            <v>2  del of this cycle   -  0-cycles pmnt   Completed - Collect 0</v>
          </cell>
          <cell r="O31" t="str">
            <v xml:space="preserve"> Asiatic lily      Grass</v>
          </cell>
          <cell r="P31" t="str">
            <v>W Asiatic ( 14 Inch ) 3     Grass</v>
          </cell>
          <cell r="Q31" t="str">
            <v>P n W Glad ( 14 Inch ) 16     Grass</v>
          </cell>
          <cell r="R31" t="str">
            <v>Pur Eustoma ( 12 Inch ) 3     FF Sachet + Grass</v>
          </cell>
          <cell r="S31" t="str">
            <v>P n W Car ( 14 Inch ) 16     FF Sachet + Grass</v>
          </cell>
          <cell r="T31" t="str">
            <v>Mix Alstroemeria ( 12 Inch ) 16     FF Sachet + Grass</v>
          </cell>
        </row>
        <row r="32">
          <cell r="A32">
            <v>3333</v>
          </cell>
          <cell r="B32" t="str">
            <v>Urshita Gupta</v>
          </cell>
          <cell r="C32">
            <v>9910738939</v>
          </cell>
          <cell r="D32" t="str">
            <v>D-202, Pilot Court, Essel Towers</v>
          </cell>
          <cell r="E32" t="str">
            <v>M G Road</v>
          </cell>
          <cell r="F32" t="str">
            <v>Tuesday</v>
          </cell>
          <cell r="G32" t="str">
            <v>10 AM to 2:30 PM</v>
          </cell>
          <cell r="H32">
            <v>1950</v>
          </cell>
          <cell r="I32">
            <v>487.5</v>
          </cell>
          <cell r="J32" t="str">
            <v>Joy</v>
          </cell>
          <cell r="K32" t="str">
            <v>Change day to Tuesday (29/04) Hold till1 st June (20/05) Paytm From Urshita Saini (05/06)</v>
          </cell>
          <cell r="N32" t="str">
            <v>2  del of this cycle   -  0-cycles pmnt   Completed - Collect 0</v>
          </cell>
          <cell r="O32" t="str">
            <v>R n W Car ( 14 Inch ) 22     FF sachet + Grass</v>
          </cell>
          <cell r="P32" t="str">
            <v>Mix Alstroemeria ( 12 Inch ) 22     FF Sachet + Grass</v>
          </cell>
          <cell r="Q32" t="str">
            <v>P n W Spray Daisy ( 14 inch ) 7     FF Sachet + Grass</v>
          </cell>
          <cell r="R32" t="str">
            <v>Mix Car 22     Grass</v>
          </cell>
          <cell r="S32" t="str">
            <v>O Asiatic ( 14 Inch ) 4     Grass</v>
          </cell>
          <cell r="T32" t="str">
            <v>B Daisy ( 12 Inch ) 22     Grass</v>
          </cell>
        </row>
        <row r="33">
          <cell r="A33">
            <v>3174</v>
          </cell>
          <cell r="B33" t="str">
            <v>Swapnil</v>
          </cell>
          <cell r="C33">
            <v>9910715560</v>
          </cell>
          <cell r="D33" t="str">
            <v>Axelle, 17-B, Tata Raisina, Sec 59</v>
          </cell>
          <cell r="E33" t="str">
            <v>Ghata</v>
          </cell>
          <cell r="F33" t="str">
            <v>Tuesday</v>
          </cell>
          <cell r="G33" t="str">
            <v>10 AM to 2:30 PM</v>
          </cell>
          <cell r="H33">
            <v>1450</v>
          </cell>
          <cell r="I33">
            <v>362.5</v>
          </cell>
          <cell r="J33" t="str">
            <v>Bliss</v>
          </cell>
          <cell r="K33" t="str">
            <v>Skip 1 week (05/12)</v>
          </cell>
          <cell r="N33" t="str">
            <v>4  del of this cycle   -  0-cycles pmnt   Completed - Collect 0</v>
          </cell>
          <cell r="O33" t="str">
            <v>Mix Alstroemeria ( 12 Inch ) 16     Grass</v>
          </cell>
          <cell r="P33" t="str">
            <v>P n Y Spray Daisy ( 14 Inch ) 5     FF Sachet + Grass</v>
          </cell>
          <cell r="Q33" t="str">
            <v>P n W Glad ( 14 Inch ) 16     Grass</v>
          </cell>
          <cell r="R33" t="str">
            <v>Pur Eustoma ( 12 Inch ) 3     FF Sachet + Grass</v>
          </cell>
          <cell r="S33" t="str">
            <v>P n W Car ( 14 Inch ) 16     FF Sachet + Grass</v>
          </cell>
          <cell r="T33" t="str">
            <v>Y Asiatic ( 14 Inch ) 3     Grass</v>
          </cell>
        </row>
        <row r="34">
          <cell r="A34">
            <v>1063</v>
          </cell>
          <cell r="B34" t="str">
            <v>Sarika Bhattacharya</v>
          </cell>
          <cell r="C34">
            <v>9899457726</v>
          </cell>
          <cell r="D34" t="str">
            <v>T2/1404, The Palms</v>
          </cell>
          <cell r="E34" t="str">
            <v>South City 1</v>
          </cell>
          <cell r="F34" t="str">
            <v>Saturday</v>
          </cell>
          <cell r="G34" t="str">
            <v>9 AM to 2 PM</v>
          </cell>
          <cell r="H34">
            <v>1600</v>
          </cell>
          <cell r="I34">
            <v>200</v>
          </cell>
          <cell r="J34" t="str">
            <v>Bloom</v>
          </cell>
          <cell r="K34" t="str">
            <v>Sat n Tuesday//Day changed to Sat(07/08/20)  Send 1 Pack of mogra always(02/09/20) 500 added agsint bouquet sent to Nikita(09/09/20) 1 PACK OF MOGRA EVERY WEEK(11/09/20) Lilies this week and day changed to Saturday(08/10/20) Sent 5 Eustoma as Complimentary today(24/10) Send Double Del(08/11) 1 Stick Extra Next(13/11) Spray Daisy Next(30/11) Hold n start after 11th Jan(13/12) Spray daisy Next(30/01) Skip 2 weeks9(13/03) Shift 1 More week(01/04) Skip 1 week(02/07)  Skip 1 week(13/10) Skip 1 more week(18/10) Skip 1 week(05/11) Y Asiatic Next(04/02) Skip necxt week(19/02) Send next del on thursday evening slot(15/03) Hold till 7th Oct(17/09) Received 2 Payments today (29/12) NO Change to Bliss (31/12) Skip this sat delivery (22/05) Hold n start from July n confirm before delivery (25/05) Returned today and skip sat too (03/09) From Saibal Prasad Bhattacharya (08/10) Hold n start from 1st week of June (16/05) No Flowers till 5th Oct(15/09) Hold till 1st Nov from today (07/10) Send one del today and tnen on preferred days (02/11) Today Returnde (25/04) Hold n start from June (01/05) Hold till June also (28/05)</v>
          </cell>
          <cell r="N34" t="str">
            <v>2  del of this cycle   -  0-cycles pmnt   Completed - Collect 0</v>
          </cell>
          <cell r="O34" t="e">
            <v>#N/A</v>
          </cell>
          <cell r="P34" t="e">
            <v>#N/A</v>
          </cell>
          <cell r="Q34" t="e">
            <v>#N/A</v>
          </cell>
          <cell r="R34" t="e">
            <v>#N/A</v>
          </cell>
          <cell r="S34" t="e">
            <v>#N/A</v>
          </cell>
          <cell r="T34" t="str">
            <v>B Daisy ( 12 Inch ) 7     Grass</v>
          </cell>
        </row>
        <row r="35">
          <cell r="A35">
            <v>3117</v>
          </cell>
          <cell r="B35" t="str">
            <v>Rupi</v>
          </cell>
          <cell r="C35">
            <v>9412006708</v>
          </cell>
          <cell r="D35" t="str">
            <v>T-14/304, Heritage City</v>
          </cell>
          <cell r="E35" t="str">
            <v>M G Road</v>
          </cell>
          <cell r="F35" t="str">
            <v>Tuesday</v>
          </cell>
          <cell r="G35" t="str">
            <v>10 AM to 2:30 PM</v>
          </cell>
          <cell r="H35">
            <v>1450</v>
          </cell>
          <cell r="I35">
            <v>362.5</v>
          </cell>
          <cell r="J35" t="str">
            <v>Bliss</v>
          </cell>
          <cell r="K35" t="str">
            <v>Start From 29th and then next del from 9th Dec (18/11) This week on Saturday (06/2) Hold today and send on Saturday and then tuesday(03/03) Skip tom (20/04) Skip tom n send on saturdqay this week (20/06)</v>
          </cell>
          <cell r="N35" t="str">
            <v>4  del of this cycle   -  0-cycles pmnt   Completed - Collect 0</v>
          </cell>
          <cell r="O35" t="e">
            <v>#N/A</v>
          </cell>
          <cell r="P35" t="e">
            <v>#N/A</v>
          </cell>
          <cell r="Q35" t="str">
            <v>P n Y Spray Daisy ( 14 Inch ) 5     FF Sachet + Grass</v>
          </cell>
          <cell r="R35" t="e">
            <v>#N/A</v>
          </cell>
          <cell r="S35" t="str">
            <v>O Asiatic ( 14 Inch ) 3     Grass</v>
          </cell>
          <cell r="T35" t="str">
            <v>Pur n P Car ( 14 Inch ) 16     FF Sachet + Grass</v>
          </cell>
        </row>
        <row r="36">
          <cell r="A36">
            <v>3132</v>
          </cell>
          <cell r="B36" t="str">
            <v>Ramesh Kapoor</v>
          </cell>
          <cell r="C36">
            <v>9717416100</v>
          </cell>
          <cell r="D36" t="str">
            <v>T-6/1404, The Palms, South City 1</v>
          </cell>
          <cell r="E36" t="str">
            <v>South City 1</v>
          </cell>
          <cell r="F36" t="str">
            <v>Tuesday</v>
          </cell>
          <cell r="G36" t="str">
            <v>9 AM - 12 PM</v>
          </cell>
          <cell r="H36">
            <v>2300</v>
          </cell>
          <cell r="I36">
            <v>287.5</v>
          </cell>
          <cell r="J36" t="str">
            <v>Felicity</v>
          </cell>
          <cell r="K36" t="str">
            <v>Paytm From Anuradha Kapoor - Anu Kapoor (04/11) Premium tom (13/11) Replacement tom (21/04) 10 % Discint given (15/06) Today hold n sned tom (20/06) Today returned and skip Tuesday also (27/06)</v>
          </cell>
          <cell r="M36" t="str">
            <v>Premium Next (13/11)</v>
          </cell>
          <cell r="N36" t="str">
            <v>5  del of this cycle   -  0-cycles pmnt   Completed - Collect 40</v>
          </cell>
          <cell r="O36" t="str">
            <v>P Asiatic ( 14 Inch ) 2     Grass</v>
          </cell>
          <cell r="P36" t="str">
            <v>P n W Glad ( 14 Inch ) 9     Grass</v>
          </cell>
          <cell r="Q36" t="str">
            <v>Y Spray Daisy ( 14 Inch ) 3     FF Sachet + Grass</v>
          </cell>
          <cell r="R36" t="str">
            <v>Rajni ( 14 Inch ) 11     Grass</v>
          </cell>
          <cell r="S36" t="e">
            <v>#N/A</v>
          </cell>
          <cell r="T36" t="str">
            <v>Sunflower ( 12 Inch ) 2     FF Sachet + Grass</v>
          </cell>
        </row>
        <row r="37">
          <cell r="A37">
            <v>2594</v>
          </cell>
          <cell r="B37" t="str">
            <v>Anamika Sirohi</v>
          </cell>
          <cell r="C37">
            <v>9971707368</v>
          </cell>
          <cell r="D37" t="str">
            <v>E-703M The Vikas, DLF Phase 2</v>
          </cell>
          <cell r="E37" t="str">
            <v>DLF Phase 2</v>
          </cell>
          <cell r="F37" t="str">
            <v>Tuesday</v>
          </cell>
          <cell r="G37" t="str">
            <v>9 AM to 2 PM</v>
          </cell>
          <cell r="H37">
            <v>1450</v>
          </cell>
          <cell r="I37">
            <v>362.5</v>
          </cell>
          <cell r="J37" t="str">
            <v>Bliss</v>
          </cell>
          <cell r="K37" t="str">
            <v>Preferred Flowers -- Rose/Rajni/Gerbera/Lilies/Glad/car // Today Hold (12/08) Skip 2 week (13/08) Paytm From sangram Singh (10/09)</v>
          </cell>
          <cell r="N37" t="str">
            <v>1  del of this cycle   -  1-cycles pmnt   Pending - Collect 1440</v>
          </cell>
          <cell r="O37" t="str">
            <v>P Asiatic ( 14 Inch ) 2     Grass</v>
          </cell>
          <cell r="P37" t="str">
            <v>R n P Car ( 14 Inch ) 9     FF Sachet + Grass</v>
          </cell>
          <cell r="Q37" t="str">
            <v>Mix Alstroemeria ( 12 Inch ) 9     FF Sachet + Grass</v>
          </cell>
          <cell r="R37" t="str">
            <v>Sunflower ( 12 Inch ) 2     FF Sachet + Grass</v>
          </cell>
          <cell r="S37" t="str">
            <v>P n W Glad ( 14 inch ) 9     Grass</v>
          </cell>
          <cell r="T37" t="str">
            <v>Rajni ( 14 Inch ) 16     Grass</v>
          </cell>
        </row>
        <row r="38">
          <cell r="A38">
            <v>2854</v>
          </cell>
          <cell r="B38" t="str">
            <v>Promita Roy</v>
          </cell>
          <cell r="C38">
            <v>9717459257</v>
          </cell>
          <cell r="D38" t="str">
            <v>B-25, Sushant Appartment, Block-C, Phase 1</v>
          </cell>
          <cell r="E38" t="str">
            <v>M G Road</v>
          </cell>
          <cell r="F38" t="str">
            <v>Tuesday</v>
          </cell>
          <cell r="G38" t="str">
            <v>9 AM - 12 PM</v>
          </cell>
          <cell r="H38">
            <v>1450</v>
          </cell>
          <cell r="I38">
            <v>362.5</v>
          </cell>
          <cell r="J38" t="str">
            <v>Bliss</v>
          </cell>
          <cell r="K38" t="str">
            <v>Upgrade to Bliss // Nolacl Gypsy or Lady Lace</v>
          </cell>
          <cell r="M38" t="str">
            <v>No Local Gypsy or Lady Lace</v>
          </cell>
          <cell r="N38" t="str">
            <v>1  del of this cycle   -  0-cycles pmnt   Completed - Collect 0</v>
          </cell>
          <cell r="O38" t="str">
            <v>R n W Car ( 14 Inch ) 16     FF sachet + Grass</v>
          </cell>
          <cell r="P38" t="str">
            <v>P Asiatic ( 14 Inch ) 3     Grass</v>
          </cell>
          <cell r="Q38" t="str">
            <v>P n W Glad ( 14 Inch ) 16     Grass</v>
          </cell>
          <cell r="R38" t="str">
            <v>Pur Eustoma ( 12 Inch ) 3     FF Sachet + Grass</v>
          </cell>
          <cell r="S38" t="str">
            <v>P n W Car ( 14 Inch ) 16     FF Sachet + Grass</v>
          </cell>
          <cell r="T38" t="str">
            <v>Mix Alstroemeria ( 12 Inch ) 16     Grass</v>
          </cell>
        </row>
        <row r="39">
          <cell r="A39">
            <v>1542</v>
          </cell>
          <cell r="B39" t="str">
            <v>Anisha Sethi</v>
          </cell>
          <cell r="C39">
            <v>9811004396</v>
          </cell>
          <cell r="D39" t="str">
            <v>Q-1/25, DLF Phase 2</v>
          </cell>
          <cell r="E39" t="str">
            <v>M G Road</v>
          </cell>
          <cell r="F39" t="str">
            <v>Saturday</v>
          </cell>
          <cell r="G39" t="str">
            <v>9 AM to 2 PM</v>
          </cell>
          <cell r="H39">
            <v>3000</v>
          </cell>
          <cell r="I39">
            <v>375</v>
          </cell>
          <cell r="J39" t="str">
            <v>Charm</v>
          </cell>
          <cell r="K39" t="str">
            <v>Saturdya n Tuesday//always mix of 2 flowers and send a scissor on 1st del for Rs.50(11/10) Send 1 Scissor also(13/10) Send Scissor Tom(15/10) Send Mogra next(18/10) NO HELICONIA and BOP(19/11) Skip this Tuesday(10/04) Skip this Tuesday Del(02/05) Skip 28th May Flowers(25/05) Sent replacement today(07/06) NO DEL BETWEEN 14TH AND 24TH JULY(06/07) Skip 12th , 16th , 19th and 23rd July(11/07) Skip 1 week(25/08) NO UPGRADE(17/10) Pause from 25th to 6th Apr (24/03) Asiatic n Car (05/05) No Delivery from 10th June to 15th July (07/06) Skip tom delivery (04/09) No flowers on 28th (26/10) Skip 1 Del (12/02) Hold on 2nd,6th and 9th Apr (30/03) Skip 20th Del (19/08) Pls hold n start from 5th Oct (22/09) No sunflowers for some time (15/04) Hold from 17th May t0 17th June (14/05) Collect 400 next and carry change (29/07) 400 cash on 5th Aug (12/08) Hold n send on 23rd Now (17/08)</v>
          </cell>
          <cell r="L39" t="str">
            <v>HELICONIA n BOP</v>
          </cell>
          <cell r="M39" t="str">
            <v>No Sunflowers for some time (15/04) Change of Rs. 50 Next (28/04)</v>
          </cell>
          <cell r="N39" t="str">
            <v>7  del of this cycle   -  0-cycles pmnt   Completed - Collect 0</v>
          </cell>
          <cell r="O39" t="e">
            <v>#N/A</v>
          </cell>
          <cell r="P39" t="e">
            <v>#N/A</v>
          </cell>
          <cell r="Q39" t="str">
            <v>P Spray Daisy ( 14 Inch ) 2 P n W Glad ( 14 Inch ) 7   FF Sachet + Grass</v>
          </cell>
          <cell r="R39" t="str">
            <v>Pur Eustoma ( 12 Inch ) 2 Rajni ( 14 Inch ) 7   FF Sachet + Grass</v>
          </cell>
          <cell r="S39" t="str">
            <v>Sunflower ( 12 Incjh ) 2 P n W Car ( 14 Inch ) 7   FF Sachet + Grass</v>
          </cell>
          <cell r="T39" t="str">
            <v>P Spray Daisy ( 14 Inch ) 2 Mix Alstroemeria ( 12 Inch ) 7   FF Sachet + Grass</v>
          </cell>
        </row>
        <row r="40">
          <cell r="A40">
            <v>2633</v>
          </cell>
          <cell r="B40" t="str">
            <v>Varsha Mathur</v>
          </cell>
          <cell r="C40">
            <v>9810816655</v>
          </cell>
          <cell r="D40" t="str">
            <v>C-34, First Floor, Sushant Lok-1</v>
          </cell>
          <cell r="E40" t="str">
            <v>M G Road</v>
          </cell>
          <cell r="F40" t="str">
            <v>Tuesday</v>
          </cell>
          <cell r="G40" t="str">
            <v>9 AM - 12 PM</v>
          </cell>
          <cell r="H40">
            <v>1450</v>
          </cell>
          <cell r="I40">
            <v>362.5</v>
          </cell>
          <cell r="J40" t="str">
            <v>Bliss</v>
          </cell>
          <cell r="K40" t="str">
            <v>Paytm From Aryank Mathur (29/04) Pls send asiatic only (10/06) Do not count last delivery (01/09) Diff flowers now (04/09) Hold due to non payment (14/10) Gpay from Medhavi Mathur (30/10) No Gerbera and Glad (04/12) No Orchids (18/12) Hold due to non payment (13/01) Hold due to non payment (20/01)</v>
          </cell>
          <cell r="L40" t="str">
            <v>No Glad n Gerbera n Orchid</v>
          </cell>
          <cell r="M40" t="str">
            <v>Diff flowers Now (04/09)</v>
          </cell>
          <cell r="N40" t="str">
            <v>2  del of this cycle   -  1-cycles pmnt   Pending - Collect 1450</v>
          </cell>
          <cell r="O40" t="str">
            <v>P n Y Spray Daisy ( 14 Inch ) 5     FF sachet + Grass</v>
          </cell>
          <cell r="P40" t="str">
            <v>Pur Eustoma ( 12 Inch ) 3     FF Sachet + Grass</v>
          </cell>
          <cell r="Q40" t="str">
            <v>O n P Car ( 14 Inch ) 16     FF Sachet + Grass</v>
          </cell>
          <cell r="R40" t="str">
            <v>O Asiatic ( 14 Inch ) 3     Grass</v>
          </cell>
          <cell r="S40" t="str">
            <v>Rajni ( 14 Inch ) 16     Grass</v>
          </cell>
          <cell r="T40" t="str">
            <v>Mix Alstroemeria ( 12 Inch ) 16     FF Sachet + Grass</v>
          </cell>
        </row>
        <row r="41">
          <cell r="A41">
            <v>2525</v>
          </cell>
          <cell r="B41" t="str">
            <v>Sonia Kalra</v>
          </cell>
          <cell r="C41">
            <v>9810512391</v>
          </cell>
          <cell r="D41" t="str">
            <v>C-264, Sushant Lok-1</v>
          </cell>
          <cell r="E41" t="str">
            <v>M G Road</v>
          </cell>
          <cell r="F41" t="str">
            <v>Tuesday</v>
          </cell>
          <cell r="G41" t="str">
            <v>10 AM to 2:30 PM</v>
          </cell>
          <cell r="H41">
            <v>1450</v>
          </cell>
          <cell r="I41">
            <v>362.5</v>
          </cell>
          <cell r="J41" t="str">
            <v>Bliss</v>
          </cell>
          <cell r="K41" t="str">
            <v>Change Rs 50// Hold today n skip 1 week(29/07) Paytm from harsonia Kalra (03/09)</v>
          </cell>
          <cell r="N41" t="str">
            <v>1  del of this cycle   -  1-cycles pmnt   Pending - Collect 1443</v>
          </cell>
          <cell r="O41" t="str">
            <v>P n W Glad ( 14 Inch ) 9     Grass</v>
          </cell>
          <cell r="P41" t="str">
            <v>P Asiatic ( 14 Inch ) 2     Grass</v>
          </cell>
          <cell r="Q41" t="str">
            <v>O n P Car ( 14 Inch ) 9     FF Sachet + Grass</v>
          </cell>
          <cell r="R41" t="str">
            <v>B Daisy ( 12 Inch ) 9     Grass</v>
          </cell>
          <cell r="S41" t="str">
            <v>Sunflower ( 12 Incjh ) 2     FF Sachet + grass</v>
          </cell>
          <cell r="T41" t="str">
            <v>Pur n P Car ( 14 Inch ) 16     FF Sachet + Grass</v>
          </cell>
        </row>
        <row r="42">
          <cell r="A42">
            <v>3306</v>
          </cell>
          <cell r="B42" t="str">
            <v>Abhishek Jain</v>
          </cell>
          <cell r="C42">
            <v>9004227662</v>
          </cell>
          <cell r="D42" t="str">
            <v>N-3/8, 2nd Floor, Road No. N-3, Sector 25</v>
          </cell>
          <cell r="E42" t="str">
            <v>DLF Phase 2</v>
          </cell>
          <cell r="F42" t="str">
            <v>Tuesday</v>
          </cell>
          <cell r="G42" t="str">
            <v>9:30 AM to 2 PM</v>
          </cell>
          <cell r="H42">
            <v>1450</v>
          </cell>
          <cell r="I42">
            <v>362.5</v>
          </cell>
          <cell r="J42" t="str">
            <v>Bliss</v>
          </cell>
          <cell r="K42" t="str">
            <v>Skip 2 week (16/04)</v>
          </cell>
          <cell r="N42" t="str">
            <v>3  del of this cycle   -  1-cycles pmnt   Pending - Collect 1450</v>
          </cell>
          <cell r="O42" t="str">
            <v>P n W Glad ( 14 Inch ) 16     Grass</v>
          </cell>
          <cell r="P42" t="str">
            <v>P n W Spray Daisy ( 14 Inch ) 5     FF Sachet + Grass</v>
          </cell>
          <cell r="Q42" t="str">
            <v>O n P Car ( 14 Inch ) 16     FF Sachet + Grass</v>
          </cell>
          <cell r="R42" t="str">
            <v>Pur Eustoma ( 12 Inch ) 3     FF Sachet + Grass</v>
          </cell>
          <cell r="S42" t="str">
            <v>Y Asiatic ( 14 Inch ) 3    Ensure Collection Grass</v>
          </cell>
          <cell r="T42" t="str">
            <v>Mix Alstroemeria ( 12 Inch ) 16     FF Sachet + Grass</v>
          </cell>
        </row>
        <row r="43">
          <cell r="A43">
            <v>1554</v>
          </cell>
          <cell r="B43" t="str">
            <v>Farea Aziz</v>
          </cell>
          <cell r="C43">
            <v>9871694052</v>
          </cell>
          <cell r="D43" t="str">
            <v>Selan Exploration Tech Ltd, 8th Floor , Imperial Mindspace, Sec 62</v>
          </cell>
          <cell r="E43" t="str">
            <v>Ghata</v>
          </cell>
          <cell r="F43" t="str">
            <v>Tuesday</v>
          </cell>
          <cell r="G43" t="str">
            <v>By 10 AM</v>
          </cell>
          <cell r="H43">
            <v>1950</v>
          </cell>
          <cell r="I43">
            <v>487.5</v>
          </cell>
          <cell r="J43" t="str">
            <v>Corporate</v>
          </cell>
          <cell r="K43" t="str">
            <v>Return-send next week(03/01) Return-send tom at new add (04/10) Today hold -send tom (15/08) Today returned-send tom (24/10)</v>
          </cell>
          <cell r="N43" t="str">
            <v>3  del of this cycle   -  0-cycles pmnt   In Process - Collect 0</v>
          </cell>
          <cell r="O43" t="str">
            <v>Sunflowers ( 14 Inch ) 3 P n W Glad ( 14 Inch ) 11   FF sachet + Grass</v>
          </cell>
          <cell r="P43" t="str">
            <v>P Eustoma ( 12 Inch ) 2 Mix Alstroemeria ( 12 Inch ) 11   FF Sachet + Grass</v>
          </cell>
          <cell r="Q43" t="str">
            <v>P Asiatic ( 14 Inch ) 2 O n P Car ( 14 Inch ) 11   Grass</v>
          </cell>
          <cell r="R43" t="str">
            <v>Sunflower ( 12 Inch ) 3 P n W Glad ( 14 Inch ) 11   FF Sachet + Grass</v>
          </cell>
          <cell r="S43" t="str">
            <v>Pur Eustoma 2 B Daisy 11   FF Sachet + Grass</v>
          </cell>
          <cell r="T43" t="str">
            <v>P n W Spray Daisy ( 14 Inch ) 4 Pur n P Car ( 14 Inch ) 11   FF Sachet + Grass</v>
          </cell>
        </row>
        <row r="44">
          <cell r="A44">
            <v>2463</v>
          </cell>
          <cell r="B44" t="str">
            <v>Rishika Mazumdar</v>
          </cell>
          <cell r="C44">
            <v>9674039510</v>
          </cell>
          <cell r="D44" t="str">
            <v>A-45/17, 4th Floor, Yadav House, Sec 28, DLF Phase 1</v>
          </cell>
          <cell r="E44" t="str">
            <v>DLF Phase 1</v>
          </cell>
          <cell r="F44" t="str">
            <v>Tuesday</v>
          </cell>
          <cell r="G44" t="str">
            <v>9 AM - 12 PM</v>
          </cell>
          <cell r="H44">
            <v>1450</v>
          </cell>
          <cell r="I44">
            <v>362.5</v>
          </cell>
          <cell r="J44" t="str">
            <v>Bliss</v>
          </cell>
          <cell r="K44" t="str">
            <v>Referred by Navjot Kaur// Sent replacement today (15/04) skip next and send on Tuesday (26/04) Skip n send on Tuesday (22/06) Skip tom n send on Tuesday (04/07) Change day to Tuesday (17/07) Hold from 20th Sep and stsrt from 11th Oct (01/09) Skip 25th and sned on 29th (18/11) Paytm from Tushar Gupta (17/02) Hold till 12th April (29/03)</v>
          </cell>
          <cell r="M44" t="str">
            <v>Don’t send on  28th -- sned on 1st July(26/04)</v>
          </cell>
          <cell r="N44" t="str">
            <v>3  del of this cycle   -  0-cycles pmnt   Completed - Collect 0</v>
          </cell>
          <cell r="O44" t="str">
            <v>R n W Car ( 14 Inch ) 9     FF sachet + Grass</v>
          </cell>
          <cell r="P44" t="str">
            <v>P n W Glad ( 14 Inch ) 9     Grass</v>
          </cell>
          <cell r="Q44" t="str">
            <v>Sunflower ( 12 Inch ) 2     FF Sachet + Grass</v>
          </cell>
          <cell r="R44" t="str">
            <v>B Daisy ( 12 Inch ) 16     Grass</v>
          </cell>
          <cell r="S44" t="str">
            <v>O Asiatic ( 14 Inch ) 3     Grass</v>
          </cell>
          <cell r="T44" t="str">
            <v>Pur n P Car ( 14 Inch ) 16     FF Sachet + Grass</v>
          </cell>
        </row>
        <row r="45">
          <cell r="A45">
            <v>3297</v>
          </cell>
          <cell r="B45" t="str">
            <v>Samby</v>
          </cell>
          <cell r="C45">
            <v>9818996771</v>
          </cell>
          <cell r="D45" t="str">
            <v>C-183 A, 4th Floor, Sushant Lok 1</v>
          </cell>
          <cell r="E45" t="str">
            <v>M G Road</v>
          </cell>
          <cell r="F45" t="str">
            <v>Tuesday</v>
          </cell>
          <cell r="G45" t="str">
            <v>10 AM to 2:30 PM</v>
          </cell>
          <cell r="H45">
            <v>1450</v>
          </cell>
          <cell r="I45">
            <v>362.5</v>
          </cell>
          <cell r="J45" t="str">
            <v>Bliss</v>
          </cell>
          <cell r="K45" t="str">
            <v>Paytm From Sumit Kumar Bedi Jaga (29/03)</v>
          </cell>
          <cell r="N45" t="str">
            <v>3  del of this cycle   -  0-cycles pmnt   Completed - Collect 0</v>
          </cell>
          <cell r="O45" t="str">
            <v>P n Y Spray Daisy ( 14 Inch ) 5     FF sachet + Grass</v>
          </cell>
          <cell r="P45" t="str">
            <v>R n P Car ( 14 Inch ) 16     FF Sachet + Grass</v>
          </cell>
          <cell r="Q45" t="str">
            <v>Mix Alstroemeria ( 12 Inch ) 16     FF Sachet + Grass</v>
          </cell>
          <cell r="R45" t="str">
            <v>Mix Spray Daisy 5     Grass</v>
          </cell>
          <cell r="S45" t="str">
            <v>Rajni ( 14 Inch ) 16     Grass</v>
          </cell>
          <cell r="T45" t="str">
            <v>O Asiatic ( 14 Inch ) 3     Grass</v>
          </cell>
        </row>
        <row r="46">
          <cell r="A46">
            <v>918</v>
          </cell>
          <cell r="B46" t="str">
            <v>FIVD</v>
          </cell>
          <cell r="C46">
            <v>9560117868</v>
          </cell>
          <cell r="D46" t="str">
            <v>Fivd India, 22-27, 7th Floor, A Tower, Emaar Digital Green Sec 61</v>
          </cell>
          <cell r="E46" t="str">
            <v>Ghata</v>
          </cell>
          <cell r="F46" t="str">
            <v>Tuesday</v>
          </cell>
          <cell r="G46" t="str">
            <v>9 AM - 12 PM</v>
          </cell>
          <cell r="H46">
            <v>1950</v>
          </cell>
          <cell r="I46">
            <v>487.5</v>
          </cell>
          <cell r="J46" t="str">
            <v>Corporate</v>
          </cell>
          <cell r="K46" t="str">
            <v>Only Asiatic(12/10) Skip this week(26/10) Google pay from manas mehrotra(24/11) Return-send on Tuesday(08/12) Gpay From Priyanka Singh (24/09) Sent a vase today (07/02) Add Changed (14/07) Today hold-send tom (15/08) send replacement tom (16/08) Today returned-send tom (24/10) Sent replacement today (04/07) Sent replacement today (27/11) Office was closed (21/10)</v>
          </cell>
          <cell r="L46" t="str">
            <v>GLAD And GULDAWARI AND SPRAY DAISY</v>
          </cell>
          <cell r="N46" t="str">
            <v>3  del of this cycle   -  0-cycles pmnt   In Process - Collect 0</v>
          </cell>
          <cell r="O46" t="str">
            <v>Y Asiatic ( 14 Inch ) 4     Grass</v>
          </cell>
          <cell r="P46" t="str">
            <v>Sunflower ( 12 Inch ) 5     FF Sachet + Grass</v>
          </cell>
          <cell r="Q46" t="str">
            <v>P n W Glad ( 14 Inch ) 22     Grass</v>
          </cell>
          <cell r="R46" t="str">
            <v>Pur n P Car ( 14 Inch ) 22     FF Sachet + Grass</v>
          </cell>
          <cell r="S46" t="str">
            <v>O Asiatic ( 14 Inch ) 4     Grass</v>
          </cell>
          <cell r="T46" t="str">
            <v>Rajni ( 14 Inch ) 22     Grass</v>
          </cell>
        </row>
        <row r="47">
          <cell r="A47">
            <v>3106</v>
          </cell>
          <cell r="B47" t="str">
            <v>Nitee Johar</v>
          </cell>
          <cell r="C47">
            <v>9810661849</v>
          </cell>
          <cell r="D47" t="str">
            <v>H-11/4 Dlf Phase 1, Gurgaon</v>
          </cell>
          <cell r="E47" t="str">
            <v>DLF Phase 1</v>
          </cell>
          <cell r="F47" t="str">
            <v>Tuesday</v>
          </cell>
          <cell r="G47" t="str">
            <v>9 AM to 2 PM</v>
          </cell>
          <cell r="H47">
            <v>1450</v>
          </cell>
          <cell r="I47">
            <v>362.5</v>
          </cell>
          <cell r="J47" t="str">
            <v>Bliss</v>
          </cell>
          <cell r="K47" t="str">
            <v>Ho;d due to non payment (13/01) Hold due to non payment (20/01) Hold due to non payment (27/01) Hold due to non payment (03/02) Hold due to non payment (10/02) Paytm From Kavita -- 25176 (24/03) HDTNP (02/06) HDTNP (09/06) HDTNP (16/06) HDTNP (23/06) HDTNP (30/06) Hold after current cycle (01/07) Paytm From Karan Singh --9810661849 (01/07)</v>
          </cell>
          <cell r="N47" t="str">
            <v>3  del of this cycle   -  0-cycles pmnt   Completed - Collect 0</v>
          </cell>
          <cell r="O47" t="e">
            <v>#N/A</v>
          </cell>
          <cell r="P47" t="e">
            <v>#N/A</v>
          </cell>
          <cell r="Q47" t="e">
            <v>#N/A</v>
          </cell>
          <cell r="R47" t="e">
            <v>#N/A</v>
          </cell>
          <cell r="S47" t="str">
            <v xml:space="preserve">Collect 725 Carry Receipt Book     </v>
          </cell>
          <cell r="T47" t="str">
            <v>Pur n P Car ( 14 Inch ) 16     FF Sachet + Grass</v>
          </cell>
        </row>
        <row r="48">
          <cell r="A48">
            <v>2426</v>
          </cell>
          <cell r="B48" t="str">
            <v>Pragati Agarwal</v>
          </cell>
          <cell r="C48">
            <v>9811152110</v>
          </cell>
          <cell r="D48" t="str">
            <v>C-1019, G Floor, Sushant Lok 1</v>
          </cell>
          <cell r="E48" t="str">
            <v>M G Road</v>
          </cell>
          <cell r="F48" t="str">
            <v>Tuesday</v>
          </cell>
          <cell r="G48" t="str">
            <v>10 AM to 2:30 PM</v>
          </cell>
          <cell r="H48">
            <v>1950</v>
          </cell>
          <cell r="I48">
            <v>487.5</v>
          </cell>
          <cell r="J48" t="str">
            <v>Joy</v>
          </cell>
          <cell r="K48" t="str">
            <v>Skip 1 week (10/04) No Bop (29/04) No Rajni (29/07) One kind of flowers (31/10) Skip 1 week (05/01) Hold 1 month (07/03) Paytm From Tanmay Agarwal (05/05)</v>
          </cell>
          <cell r="L48" t="str">
            <v>BOP n Rajni</v>
          </cell>
          <cell r="M48" t="str">
            <v>One Kind of Flower (31/10)</v>
          </cell>
          <cell r="N48" t="str">
            <v>3  del of this cycle   -  0-cycles pmnt   CompletedNO COLLECTION-we have extra money - Collect -50</v>
          </cell>
          <cell r="O48" t="str">
            <v>P n W Spray Daisy ( 14 Inch ) 7     FF sachet + Grass</v>
          </cell>
          <cell r="P48" t="str">
            <v>Mix Alstroemeria ( 12 Inch ) 22     FF Sachet + Grass</v>
          </cell>
          <cell r="Q48" t="str">
            <v>O n P Car ( 14 Inch ) 22     FF Sachet + Grass</v>
          </cell>
          <cell r="R48" t="str">
            <v>Sunflower ( 12 Inch ) 4     Grass</v>
          </cell>
          <cell r="S48" t="str">
            <v>P n W Glad ( 14 inch ) 22    Ensure Collection Grass</v>
          </cell>
          <cell r="T48" t="str">
            <v>O Asiatic ( 14 Inch ) 4     Grass</v>
          </cell>
        </row>
        <row r="49">
          <cell r="A49">
            <v>2536</v>
          </cell>
          <cell r="B49" t="str">
            <v xml:space="preserve">Poonam Lal </v>
          </cell>
          <cell r="C49">
            <v>9811096665</v>
          </cell>
          <cell r="D49" t="str">
            <v>T-121/173, Silver Oaks Appartments</v>
          </cell>
          <cell r="E49" t="str">
            <v>DLF Phase 1</v>
          </cell>
          <cell r="F49" t="str">
            <v>Saturday</v>
          </cell>
          <cell r="G49" t="str">
            <v>9 AM - 12 PM</v>
          </cell>
          <cell r="H49">
            <v>1450</v>
          </cell>
          <cell r="I49">
            <v>362.5</v>
          </cell>
          <cell r="J49" t="str">
            <v>Bliss</v>
          </cell>
          <cell r="K49" t="str">
            <v>10% Discount // Today hold (02/08) Hold n start after 11th Sep (05/09) Start after 27th Jan (16/01) Skip tom (03/04) Skip tom add being changed (01/05) Hold till 04th June (26/05)</v>
          </cell>
          <cell r="N49" t="str">
            <v>4  del of this cycle   -  0-cycles pmnt   Completed - Collect 0</v>
          </cell>
          <cell r="O49" t="e">
            <v>#N/A</v>
          </cell>
          <cell r="P49" t="str">
            <v>P n W Glad ( 14 Inch ) 9     Grass</v>
          </cell>
          <cell r="Q49" t="str">
            <v>P n Y Spray Daisy ( 14 Inch ) 5     FF Sachet + Grass</v>
          </cell>
          <cell r="R49" t="str">
            <v>Rajni ( 14 Inch ) 16     FF Sachet + Grass</v>
          </cell>
          <cell r="S49" t="str">
            <v>P n W Car ( 14 Inch ) 16     FF Sachet + Grass</v>
          </cell>
          <cell r="T49" t="str">
            <v>Y Asiatic ( 14 Inch ) 3     Grass</v>
          </cell>
        </row>
        <row r="50">
          <cell r="A50" t="str">
            <v>CP00004</v>
          </cell>
          <cell r="B50" t="str">
            <v>Nidhi Sharma Malhotra -- BPTP -- Pride</v>
          </cell>
          <cell r="C50">
            <v>9999016333</v>
          </cell>
          <cell r="D50" t="str">
            <v>BPTP Skynest, Sector 80</v>
          </cell>
          <cell r="E50" t="str">
            <v>Faridabad</v>
          </cell>
          <cell r="F50" t="str">
            <v>Thursday</v>
          </cell>
          <cell r="G50" t="str">
            <v>By 9:30 AM</v>
          </cell>
          <cell r="H50">
            <v>25000</v>
          </cell>
          <cell r="I50">
            <v>25000</v>
          </cell>
          <cell r="J50" t="str">
            <v>Corporate</v>
          </cell>
          <cell r="T50" t="str">
            <v>G Hydrangea +  G n W Button Daisy + G n W Eustoma + G n W Car + Baloon Flowers + G n W Anthurium + W Car + Lotus Bud 10 + 30 + 20 + 100 + 15 + 8 + 30 + 20 Baby Dollar + G Hanging Amaranthus + Mirchi Patti + Gypsola + Limonium 3 Bunch + 20 + 4 Bunch + 5 Bunch + 2 Bunch + 2 Bunch  Green Apple  Pear + Japanese Grapes 1 Kg + 500 Gm</v>
          </cell>
        </row>
        <row r="51">
          <cell r="B51" t="str">
            <v>98715 55793</v>
          </cell>
          <cell r="C51" t="str">
            <v>98715 55793</v>
          </cell>
          <cell r="D51" t="str">
            <v>Tower-7,,001, The close south</v>
          </cell>
          <cell r="H51">
            <v>2800</v>
          </cell>
          <cell r="J51" t="str">
            <v>Bouquet</v>
          </cell>
          <cell r="K51" t="str">
            <v>Pls make 2 Bunches of mix oriental lily — 4 oriental in each bunch
And 2 Bunches of a Rajnigandha — 6 in each bunch 
Total 4 bunches are required 
Total cost 2800</v>
          </cell>
          <cell r="T51" t="str">
            <v xml:space="preserve">Mix Oriental 4 Each Bouquet Rajni 6 each  Single Wrap  </v>
          </cell>
        </row>
        <row r="52">
          <cell r="B52" t="str">
            <v>85879 62213‬</v>
          </cell>
          <cell r="C52" t="str">
            <v>85879 62213‬</v>
          </cell>
          <cell r="D52" t="str">
            <v>C-149, Mayfield Garden, Near Manav Rachna school</v>
          </cell>
          <cell r="H52">
            <v>1080</v>
          </cell>
          <cell r="J52" t="str">
            <v>Bouquet</v>
          </cell>
          <cell r="T52" t="str">
            <v xml:space="preserve">Car+Asiatic+Rajni 6+6+3 Tissue Wrap    </v>
          </cell>
        </row>
        <row r="53">
          <cell r="B53" t="str">
            <v>85879 62213‬ is sending uber for pickup</v>
          </cell>
          <cell r="C53" t="str">
            <v>85879 62213‬ is sending uber for pickup</v>
          </cell>
          <cell r="D53" t="str">
            <v>85879 62213‬ is sending uber for pickup</v>
          </cell>
          <cell r="E53" t="str">
            <v>85879 62213‬ is sending uber for pickup</v>
          </cell>
          <cell r="F53" t="str">
            <v>85879 62213‬ is sending uber for pickup</v>
          </cell>
          <cell r="G53" t="str">
            <v>85879 62213‬ is sending uber for pickup</v>
          </cell>
          <cell r="H53">
            <v>280</v>
          </cell>
          <cell r="J53" t="str">
            <v>Bouquet</v>
          </cell>
          <cell r="T53" t="str">
            <v xml:space="preserve">Rajni 7 Single Wrap    </v>
          </cell>
        </row>
        <row r="54">
          <cell r="B54" t="str">
            <v>Shweta Malhotra</v>
          </cell>
          <cell r="C54">
            <v>9810290780</v>
          </cell>
          <cell r="D54" t="str">
            <v>B-001, Park View Spa Next, Sec 67</v>
          </cell>
          <cell r="G54" t="str">
            <v>Before 3 Pm</v>
          </cell>
          <cell r="H54">
            <v>750</v>
          </cell>
          <cell r="J54" t="str">
            <v>Bouquet</v>
          </cell>
          <cell r="K54" t="str">
            <v>Send 5 pink asiaticlilies to Shweta Malhotra 
+91 98102 90780
Before 3</v>
          </cell>
          <cell r="T54" t="str">
            <v xml:space="preserve">P Asiatic 5 Grass+arica    </v>
          </cell>
        </row>
        <row r="55">
          <cell r="B55" t="str">
            <v>Radhika Marwah</v>
          </cell>
          <cell r="C55">
            <v>9972167341</v>
          </cell>
          <cell r="D55" t="str">
            <v>F-501, Mapsko Mountville, Sec 79</v>
          </cell>
          <cell r="G55" t="str">
            <v>Before 2 Pm</v>
          </cell>
          <cell r="H55">
            <v>2000</v>
          </cell>
          <cell r="J55" t="str">
            <v>Bouquet</v>
          </cell>
          <cell r="K55" t="str">
            <v>Pls send this to Radhika Marwah today before 2pm</v>
          </cell>
          <cell r="T55" t="str">
            <v xml:space="preserve">Oriental+ Mix Car  Tissue Wrap    </v>
          </cell>
        </row>
        <row r="56">
          <cell r="B56" t="str">
            <v>Chetna Kalra</v>
          </cell>
          <cell r="C56" t="str">
            <v>9999438386
9818868595</v>
          </cell>
          <cell r="D56" t="str">
            <v>F-27i,1,second floor,
Sushant lok 2, Near hongkog bazar,
Side by dadu di hatti,</v>
          </cell>
          <cell r="H56">
            <v>750</v>
          </cell>
          <cell r="J56" t="str">
            <v>Bouquet</v>
          </cell>
          <cell r="K56" t="str">
            <v>Today 
From ‪+91 95401 54023‬
To 
Chetna Kalra
Chetna Kalra
F-27i,1,second floor,
Sushant lok 2, Near hongkog bazar,
Side by dadu di hatti,
Sector 57
Gurgao
Haryana -122011
9999438386
9818868595
Message- 
Wishing you a very Happy Birthday 
From- Aruna</v>
          </cell>
          <cell r="T56" t="str">
            <v xml:space="preserve">Rose 12 Tissue Wrap Message   </v>
          </cell>
        </row>
        <row r="57">
          <cell r="A57">
            <v>1334</v>
          </cell>
          <cell r="B57" t="str">
            <v>Rumika</v>
          </cell>
          <cell r="C57">
            <v>8750280078</v>
          </cell>
          <cell r="D57" t="str">
            <v>M-77, 1st Floor,Adani Samsara, Sector 60</v>
          </cell>
          <cell r="E57" t="str">
            <v>Ghata</v>
          </cell>
          <cell r="F57" t="str">
            <v>Saturday</v>
          </cell>
          <cell r="G57" t="str">
            <v>Post 5 PM</v>
          </cell>
          <cell r="H57">
            <v>2300</v>
          </cell>
          <cell r="I57">
            <v>287.5</v>
          </cell>
          <cell r="J57" t="str">
            <v>Felicity</v>
          </cell>
          <cell r="K57" t="str">
            <v>saturday n tuesday//Monday and Friday//Guldawari//Asiatic// car(06/03) Send anthuriums next and then upgrade to 1750 Package--BMF(23/03) Skiped 1 week due to HOLI(29/03) After this upgrade to 1750 Bi weekly plan -- Monday and Friday (04/04) Flowers-- Car//Rose//Lily//Guldawari//Gerbera//Spray Daisy(07/04) Send a replacement today(02/06) Flower Food Next(06/06) NO SPRAY DAISY(18/06) Shift to Elation after this cycle(14/09) Send less greens(21/09) NO GREENS(24/09) Pls send 1 stick of cotton on next del and check glad is being repeated(25/10) Skip n start from Monday(11/11) NO GERBERA(14/12) Send 1 heliconia tom as replacement(24/12) NO HELICONIA (11/02) Holy Change(16/03) Car//Guldawari//Asiatic//Orchid and 2 other best life flowers(13/06) START BIWEEKLY PLAN AFTER THIS CYCLE(06/07) Lilies Next(10/08) Repeat Last flowers(13/08) Hold till 22nd Sep(11/09) Do not count last del(06/11) No Orchid n Rajni and Lily Next (23/11) Sent replacememnt today (3/12) NO RAJNI/ANTHURIUM/HELICONIA and Less Glad (02/01) NO GLAD n ORCHID (29/01) Sent replacement // No BOP n GERBERA (29/04) Do Not count last delivery (19/09) Aster in Subscription (19/10) Send replacement today (21/10) Do not count last del (12/02) Alstroemeria Next (02/04) Do not count last del (11/06) Change slot to evebing post 5 PM and send one sunflower replacement tom (08/02) Last del not counted (30/04)</v>
          </cell>
          <cell r="L57" t="str">
            <v>Heliconia n Spray Daisy n Rajni</v>
          </cell>
          <cell r="M57" t="str">
            <v>Send 1 Extra Premiun next (08/02)</v>
          </cell>
          <cell r="N57" t="str">
            <v>5  del of this cycle   -  0-cycles pmnt   Completed - Collect 0</v>
          </cell>
          <cell r="O57" t="str">
            <v>P n W Glad ( 14 Inch ) 11     Grass</v>
          </cell>
          <cell r="P57" t="str">
            <v>Pur Eustoma ( 12 Inch ) 3     FF Sachet + Grass</v>
          </cell>
          <cell r="Q57" t="str">
            <v>Y Spray Daisy ( 14 Inch ) 3     FF Sachet + Grass</v>
          </cell>
          <cell r="R57" t="str">
            <v>Eustoma 3     Grass</v>
          </cell>
          <cell r="S57" t="str">
            <v>P n W Glad ( 14 inch ) 11    Ensure Collection Grass</v>
          </cell>
          <cell r="T57" t="str">
            <v>O Asiatic ( 14 Inch ) 2     Grass</v>
          </cell>
        </row>
        <row r="58">
          <cell r="B58" t="str">
            <v>99103 73031‬</v>
          </cell>
          <cell r="C58" t="str">
            <v>99103 73031‬</v>
          </cell>
          <cell r="D58" t="str">
            <v>The hibiscus tower 1 penthouse 1</v>
          </cell>
          <cell r="H58">
            <v>400</v>
          </cell>
          <cell r="J58" t="str">
            <v>Bouquet</v>
          </cell>
          <cell r="K58" t="str">
            <v>Please make a bunch of 10 Rajnigandha with greens for this vase - height ka dhyaan rakhna 
Thoda faila ke greens daal ke sutli se baandh ke bhejna hai 
Send to 
The hibiscus tower 1 penthouse 1
‪+91 99103 73031‬
Uber charges will be paid by customer 
400 received for flowers 
Fatafat bhej do</v>
          </cell>
          <cell r="T58" t="str">
            <v xml:space="preserve">Rajni 10 make a bunch    </v>
          </cell>
        </row>
        <row r="59">
          <cell r="B59" t="str">
            <v>Scottish School</v>
          </cell>
          <cell r="D59" t="str">
            <v>Scottish School, Sector 56</v>
          </cell>
          <cell r="I59">
            <v>8000</v>
          </cell>
          <cell r="J59" t="str">
            <v>Corporate Bouquet</v>
          </cell>
          <cell r="N59" t="str">
            <v>order by Rachna ma’am..</v>
          </cell>
          <cell r="T59" t="str">
            <v xml:space="preserve">basket of 6ft to      </v>
          </cell>
        </row>
        <row r="60">
          <cell r="B60" t="str">
            <v>Jyoti - Digi Homes</v>
          </cell>
          <cell r="C60">
            <v>9711267571</v>
          </cell>
          <cell r="D60" t="str">
            <v>T-B/2802, Emaar Digi Homes, Sec 62</v>
          </cell>
          <cell r="G60" t="str">
            <v>Replacment</v>
          </cell>
          <cell r="H60" t="str">
            <v>Replacment</v>
          </cell>
          <cell r="I60" t="str">
            <v>Replacment</v>
          </cell>
          <cell r="J60" t="str">
            <v>Replacment</v>
          </cell>
          <cell r="K60" t="str">
            <v>Replacment</v>
          </cell>
          <cell r="L60" t="str">
            <v>Replacment</v>
          </cell>
          <cell r="M60" t="str">
            <v>Replacment</v>
          </cell>
          <cell r="N60" t="str">
            <v>Pls Collect 4 Old Y Asiatic Broken</v>
          </cell>
          <cell r="T60" t="str">
            <v>P Asiatic 4     Grass</v>
          </cell>
        </row>
      </sheetData>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850B3-B302-4F5C-81DB-3AB17C26F881}">
  <sheetPr filterMode="1"/>
  <dimension ref="A1:AD52"/>
  <sheetViews>
    <sheetView zoomScale="60" zoomScaleNormal="60" workbookViewId="0">
      <selection activeCell="U18" sqref="U18:U53"/>
    </sheetView>
  </sheetViews>
  <sheetFormatPr defaultRowHeight="14" x14ac:dyDescent="0.3"/>
  <cols>
    <col min="1" max="1" width="6.296875" customWidth="1"/>
    <col min="3" max="7" width="8.796875" hidden="1" customWidth="1"/>
    <col min="8" max="8" width="7.5" customWidth="1"/>
    <col min="9" max="9" width="8.796875" hidden="1" customWidth="1"/>
    <col min="11" max="11" width="146" hidden="1" customWidth="1"/>
  </cols>
  <sheetData>
    <row r="1" spans="1:30" ht="102.1" customHeight="1" x14ac:dyDescent="0.3">
      <c r="A1" s="1" t="s">
        <v>0</v>
      </c>
      <c r="B1" s="2" t="s">
        <v>1</v>
      </c>
      <c r="C1" s="3" t="s">
        <v>2</v>
      </c>
      <c r="D1" s="4" t="s">
        <v>3</v>
      </c>
      <c r="E1" s="4" t="s">
        <v>4</v>
      </c>
      <c r="F1" s="4" t="s">
        <v>5</v>
      </c>
      <c r="G1" s="4" t="s">
        <v>6</v>
      </c>
      <c r="H1" s="5" t="s">
        <v>7</v>
      </c>
      <c r="I1" s="5" t="s">
        <v>8</v>
      </c>
      <c r="J1" s="2" t="s">
        <v>9</v>
      </c>
      <c r="K1" s="4" t="s">
        <v>10</v>
      </c>
      <c r="L1" s="6" t="s">
        <v>11</v>
      </c>
      <c r="M1" s="6" t="s">
        <v>12</v>
      </c>
      <c r="N1" s="7" t="s">
        <v>13</v>
      </c>
      <c r="O1" s="25" t="s">
        <v>252</v>
      </c>
      <c r="P1" s="25" t="s">
        <v>253</v>
      </c>
      <c r="Q1" s="25" t="s">
        <v>254</v>
      </c>
      <c r="R1" s="25" t="s">
        <v>255</v>
      </c>
      <c r="S1" s="25" t="s">
        <v>256</v>
      </c>
      <c r="T1" s="25" t="s">
        <v>257</v>
      </c>
      <c r="U1" s="25" t="s">
        <v>258</v>
      </c>
      <c r="V1" s="25" t="s">
        <v>259</v>
      </c>
      <c r="W1" s="25" t="s">
        <v>258</v>
      </c>
      <c r="X1" s="25" t="s">
        <v>260</v>
      </c>
      <c r="Y1" s="25" t="s">
        <v>258</v>
      </c>
      <c r="Z1" s="25" t="s">
        <v>261</v>
      </c>
      <c r="AA1" s="25" t="s">
        <v>262</v>
      </c>
      <c r="AB1" s="25" t="s">
        <v>263</v>
      </c>
      <c r="AC1" s="25" t="s">
        <v>264</v>
      </c>
      <c r="AD1" s="25" t="s">
        <v>265</v>
      </c>
    </row>
    <row r="2" spans="1:30" ht="126.3" hidden="1" customHeight="1" x14ac:dyDescent="0.3">
      <c r="A2" s="1">
        <v>1063</v>
      </c>
      <c r="B2" s="8" t="s">
        <v>14</v>
      </c>
      <c r="C2" s="9">
        <v>9899457726</v>
      </c>
      <c r="D2" s="10" t="s">
        <v>15</v>
      </c>
      <c r="E2" s="10" t="s">
        <v>16</v>
      </c>
      <c r="F2" s="10" t="s">
        <v>17</v>
      </c>
      <c r="G2" s="11" t="s">
        <v>18</v>
      </c>
      <c r="H2" s="9">
        <v>1600</v>
      </c>
      <c r="I2" s="9">
        <v>200</v>
      </c>
      <c r="J2" s="10" t="s">
        <v>19</v>
      </c>
      <c r="K2" s="10" t="s">
        <v>20</v>
      </c>
      <c r="L2" s="9"/>
      <c r="M2" s="9"/>
      <c r="N2" s="13" t="s">
        <v>29</v>
      </c>
      <c r="O2" s="24" t="e">
        <f>VLOOKUP(A2,'[1]09-06-26'!$A$2:$T$53,20,0)</f>
        <v>#N/A</v>
      </c>
      <c r="P2" s="24" t="e">
        <f>VLOOKUP(A2,'[1]16-06-26'!$A$2:$T$59,20,0)</f>
        <v>#N/A</v>
      </c>
      <c r="Q2" s="24" t="e">
        <f>VLOOKUP(A2,'[1]23-06-26'!$A$2:$T$48,20,0)</f>
        <v>#N/A</v>
      </c>
      <c r="R2" s="24" t="e">
        <f>VLOOKUP(A2,'[1]30-06-26'!$A$2:$T$51,20,0)</f>
        <v>#N/A</v>
      </c>
      <c r="S2" s="24" t="str">
        <f>VLOOKUP(A2,'[2]07-07-26'!$A$2:$T$60,20,0)</f>
        <v>B Daisy ( 12 Inch ) 7     Grass</v>
      </c>
      <c r="T2" s="24" t="s">
        <v>349</v>
      </c>
      <c r="U2" s="24">
        <v>2</v>
      </c>
      <c r="V2" s="24"/>
      <c r="W2" s="24"/>
      <c r="X2" s="24"/>
      <c r="Y2" s="24"/>
      <c r="Z2" s="24" t="s">
        <v>291</v>
      </c>
      <c r="AA2" s="24"/>
      <c r="AB2" s="24"/>
      <c r="AC2" s="24"/>
      <c r="AD2" s="24"/>
    </row>
    <row r="3" spans="1:30" ht="126.3" hidden="1" customHeight="1" x14ac:dyDescent="0.3">
      <c r="A3" s="12">
        <v>1936</v>
      </c>
      <c r="B3" s="14" t="s">
        <v>22</v>
      </c>
      <c r="C3" s="9" t="s">
        <v>23</v>
      </c>
      <c r="D3" s="10" t="s">
        <v>24</v>
      </c>
      <c r="E3" s="10" t="s">
        <v>25</v>
      </c>
      <c r="F3" s="10" t="s">
        <v>17</v>
      </c>
      <c r="G3" s="11" t="s">
        <v>26</v>
      </c>
      <c r="H3" s="9">
        <v>1600</v>
      </c>
      <c r="I3" s="9">
        <v>200</v>
      </c>
      <c r="J3" s="10" t="s">
        <v>19</v>
      </c>
      <c r="K3" s="10" t="s">
        <v>27</v>
      </c>
      <c r="L3" s="10" t="s">
        <v>28</v>
      </c>
      <c r="M3" s="9"/>
      <c r="N3" s="13" t="s">
        <v>266</v>
      </c>
      <c r="O3" s="24" t="e">
        <f>VLOOKUP(A3,'[1]09-06-26'!$A$2:$T$53,20,0)</f>
        <v>#N/A</v>
      </c>
      <c r="P3" s="24" t="e">
        <f>VLOOKUP(A3,'[1]16-06-26'!$A$2:$T$59,20,0)</f>
        <v>#N/A</v>
      </c>
      <c r="Q3" s="24" t="e">
        <f>VLOOKUP(A3,'[1]23-06-26'!$A$2:$T$48,20,0)</f>
        <v>#N/A</v>
      </c>
      <c r="R3" s="24" t="str">
        <f>VLOOKUP(A3,'[1]30-06-26'!$A$2:$T$51,20,0)</f>
        <v xml:space="preserve">Collect 600 Carry Receipt Book     </v>
      </c>
      <c r="S3" s="24" t="str">
        <f>VLOOKUP(A3,'[2]07-07-26'!$A$2:$T$60,20,0)</f>
        <v>Sunflower ( 12 Inch ) 2     FF Sachet + Grass</v>
      </c>
      <c r="T3" s="24" t="s">
        <v>281</v>
      </c>
      <c r="U3" s="24">
        <v>7</v>
      </c>
      <c r="V3" s="24"/>
      <c r="W3" s="24"/>
      <c r="X3" s="24"/>
      <c r="Y3" s="24"/>
      <c r="Z3" s="24" t="s">
        <v>291</v>
      </c>
      <c r="AA3" s="24"/>
      <c r="AB3" s="24"/>
      <c r="AC3" s="24"/>
      <c r="AD3" s="24"/>
    </row>
    <row r="4" spans="1:30" ht="126.3" hidden="1" customHeight="1" x14ac:dyDescent="0.3">
      <c r="A4" s="1">
        <v>3132</v>
      </c>
      <c r="B4" s="8" t="s">
        <v>30</v>
      </c>
      <c r="C4" s="1">
        <v>9717416100</v>
      </c>
      <c r="D4" s="12" t="s">
        <v>31</v>
      </c>
      <c r="E4" s="10" t="s">
        <v>16</v>
      </c>
      <c r="F4" s="10" t="s">
        <v>32</v>
      </c>
      <c r="G4" s="11" t="s">
        <v>26</v>
      </c>
      <c r="H4" s="15">
        <v>2300</v>
      </c>
      <c r="I4" s="9">
        <v>287.5</v>
      </c>
      <c r="J4" s="12" t="s">
        <v>33</v>
      </c>
      <c r="K4" s="10" t="s">
        <v>34</v>
      </c>
      <c r="L4" s="9"/>
      <c r="M4" s="10" t="s">
        <v>35</v>
      </c>
      <c r="N4" s="13" t="s">
        <v>267</v>
      </c>
      <c r="O4" s="24" t="str">
        <f>VLOOKUP(A4,'[1]09-06-26'!$A$2:$T$53,20,0)</f>
        <v>P n W Glad ( 14 Inch ) 9     Grass</v>
      </c>
      <c r="P4" s="24" t="str">
        <f>VLOOKUP(A4,'[1]16-06-26'!$A$2:$T$59,20,0)</f>
        <v>Y Spray Daisy ( 14 Inch ) 3     FF Sachet + Grass</v>
      </c>
      <c r="Q4" s="24" t="str">
        <f>VLOOKUP(A4,'[1]23-06-26'!$A$2:$T$48,20,0)</f>
        <v>Rajni ( 14 Inch ) 11     Grass</v>
      </c>
      <c r="R4" s="24" t="e">
        <f>VLOOKUP(A4,'[1]30-06-26'!$A$2:$T$51,20,0)</f>
        <v>#N/A</v>
      </c>
      <c r="S4" s="24" t="str">
        <f>VLOOKUP(A4,'[2]07-07-26'!$A$2:$T$60,20,0)</f>
        <v>Sunflower ( 12 Inch ) 2     FF Sachet + Grass</v>
      </c>
      <c r="T4" s="24" t="s">
        <v>282</v>
      </c>
      <c r="U4" s="24">
        <v>11</v>
      </c>
      <c r="V4" s="24"/>
      <c r="W4" s="24"/>
      <c r="X4" s="24"/>
      <c r="Y4" s="24"/>
      <c r="Z4" s="24" t="s">
        <v>290</v>
      </c>
      <c r="AA4" s="24"/>
      <c r="AB4" s="24"/>
      <c r="AC4" s="24"/>
      <c r="AD4" s="24"/>
    </row>
    <row r="5" spans="1:30" ht="126.3" hidden="1" customHeight="1" x14ac:dyDescent="0.3">
      <c r="A5" s="1">
        <v>2933</v>
      </c>
      <c r="B5" s="8" t="s">
        <v>36</v>
      </c>
      <c r="C5" s="9">
        <v>9953740608</v>
      </c>
      <c r="D5" s="10" t="s">
        <v>37</v>
      </c>
      <c r="E5" s="10" t="s">
        <v>38</v>
      </c>
      <c r="F5" s="10" t="s">
        <v>32</v>
      </c>
      <c r="G5" s="11" t="s">
        <v>18</v>
      </c>
      <c r="H5" s="9">
        <v>1450</v>
      </c>
      <c r="I5" s="9">
        <v>362.5</v>
      </c>
      <c r="J5" s="10" t="s">
        <v>39</v>
      </c>
      <c r="K5" s="10" t="s">
        <v>40</v>
      </c>
      <c r="L5" s="9"/>
      <c r="M5" s="9"/>
      <c r="N5" s="13" t="s">
        <v>41</v>
      </c>
      <c r="O5" s="24" t="str">
        <f>VLOOKUP(A5,'[1]09-06-26'!$A$2:$T$53,20,0)</f>
        <v>Y Asiatic ( 14 Inch ) 3     Grass</v>
      </c>
      <c r="P5" s="24" t="e">
        <f>VLOOKUP(A5,'[1]16-06-26'!$A$2:$T$59,20,0)</f>
        <v>#N/A</v>
      </c>
      <c r="Q5" s="24" t="str">
        <f>VLOOKUP(A5,'[1]23-06-26'!$A$2:$T$48,20,0)</f>
        <v>Rajni ( 14 Inch ) 16     FF Sachet + Grass</v>
      </c>
      <c r="R5" s="24" t="str">
        <f>VLOOKUP(A5,'[1]30-06-26'!$A$2:$T$51,20,0)</f>
        <v>Pur n P Eustoma ( 12 Inch ) 3     FF Sachet + Grass</v>
      </c>
      <c r="S5" s="24" t="str">
        <f>VLOOKUP(A5,'[2]07-07-26'!$A$2:$T$60,20,0)</f>
        <v>B Daisy ( 12 Inch ) 16     Grass</v>
      </c>
      <c r="T5" s="24" t="s">
        <v>281</v>
      </c>
      <c r="U5" s="24">
        <v>16</v>
      </c>
      <c r="V5" s="24"/>
      <c r="W5" s="24"/>
      <c r="X5" s="24"/>
      <c r="Y5" s="24"/>
      <c r="Z5" s="24" t="s">
        <v>291</v>
      </c>
      <c r="AA5" s="24"/>
      <c r="AB5" s="24"/>
      <c r="AC5" s="24"/>
      <c r="AD5" s="24"/>
    </row>
    <row r="6" spans="1:30" ht="126.3" hidden="1" customHeight="1" x14ac:dyDescent="0.3">
      <c r="A6" s="1">
        <v>3138</v>
      </c>
      <c r="B6" s="8" t="s">
        <v>42</v>
      </c>
      <c r="C6" s="9">
        <v>9811996368</v>
      </c>
      <c r="D6" s="10" t="s">
        <v>43</v>
      </c>
      <c r="E6" s="10" t="s">
        <v>44</v>
      </c>
      <c r="F6" s="10" t="s">
        <v>32</v>
      </c>
      <c r="G6" s="11" t="s">
        <v>26</v>
      </c>
      <c r="H6" s="9">
        <v>2300</v>
      </c>
      <c r="I6" s="9">
        <v>287.5</v>
      </c>
      <c r="J6" s="10" t="s">
        <v>33</v>
      </c>
      <c r="K6" s="10" t="s">
        <v>45</v>
      </c>
      <c r="L6" s="9"/>
      <c r="M6" s="10" t="s">
        <v>46</v>
      </c>
      <c r="N6" s="13" t="s">
        <v>268</v>
      </c>
      <c r="O6" s="24" t="e">
        <f>VLOOKUP(A6,'[1]09-06-26'!$A$2:$T$53,20,0)</f>
        <v>#N/A</v>
      </c>
      <c r="P6" s="24" t="e">
        <f>VLOOKUP(A6,'[1]16-06-26'!$A$2:$T$59,20,0)</f>
        <v>#N/A</v>
      </c>
      <c r="Q6" s="24" t="str">
        <f>VLOOKUP(A6,'[1]23-06-26'!$A$2:$T$48,20,0)</f>
        <v>P Spray Daisy ( 14 Inch ) 3     FF Sachet + Grass</v>
      </c>
      <c r="R6" s="24" t="str">
        <f>VLOOKUP(A6,'[1]30-06-26'!$A$2:$T$51,20,0)</f>
        <v>Rajni ( 14 Inch ) 11     Grass</v>
      </c>
      <c r="S6" s="24" t="str">
        <f>VLOOKUP(A6,'[2]07-07-26'!$A$2:$T$60,20,0)</f>
        <v>W Eustoam ( 12 Inch ) 2     FF Sachet + Grass</v>
      </c>
      <c r="T6" s="24" t="s">
        <v>283</v>
      </c>
      <c r="U6" s="24">
        <v>2</v>
      </c>
      <c r="V6" s="24"/>
      <c r="W6" s="24"/>
      <c r="X6" s="24"/>
      <c r="Y6" s="24"/>
      <c r="Z6" s="24" t="s">
        <v>290</v>
      </c>
      <c r="AA6" s="24"/>
      <c r="AB6" s="24"/>
      <c r="AC6" s="24"/>
      <c r="AD6" s="24"/>
    </row>
    <row r="7" spans="1:30" ht="126.3" hidden="1" customHeight="1" x14ac:dyDescent="0.3">
      <c r="A7" s="1">
        <v>1377</v>
      </c>
      <c r="B7" s="8" t="s">
        <v>47</v>
      </c>
      <c r="C7" s="9">
        <v>9958988852</v>
      </c>
      <c r="D7" s="10" t="s">
        <v>48</v>
      </c>
      <c r="E7" s="10" t="s">
        <v>49</v>
      </c>
      <c r="F7" s="9" t="s">
        <v>50</v>
      </c>
      <c r="G7" s="9" t="s">
        <v>51</v>
      </c>
      <c r="H7" s="9">
        <v>2300</v>
      </c>
      <c r="I7" s="9">
        <v>287.5</v>
      </c>
      <c r="J7" s="10" t="s">
        <v>33</v>
      </c>
      <c r="K7" s="10" t="s">
        <v>52</v>
      </c>
      <c r="L7" s="9"/>
      <c r="M7" s="10" t="s">
        <v>53</v>
      </c>
      <c r="N7" s="13" t="s">
        <v>269</v>
      </c>
      <c r="O7" s="24" t="str">
        <f>VLOOKUP(A7,'[1]09-06-26'!$A$2:$T$53,20,0)</f>
        <v>Mix Alstroemeria ( 12 Inch ) 11     FF Sachet + Grass</v>
      </c>
      <c r="P7" s="24" t="str">
        <f>VLOOKUP(A7,'[1]16-06-26'!$A$2:$T$59,20,0)</f>
        <v>Y Spray Daisy ( 14 Inch ) 3     FF Sachet + Grass</v>
      </c>
      <c r="Q7" s="24" t="e">
        <f>VLOOKUP(A7,'[1]23-06-26'!$A$2:$T$48,20,0)</f>
        <v>#N/A</v>
      </c>
      <c r="R7" s="24" t="e">
        <f>VLOOKUP(A7,'[1]30-06-26'!$A$2:$T$51,20,0)</f>
        <v>#N/A</v>
      </c>
      <c r="S7" s="24" t="str">
        <f>VLOOKUP(A7,'[2]07-07-26'!$A$2:$T$60,20,0)</f>
        <v>Rajni ( 14 Inch ) 11     Grass</v>
      </c>
      <c r="T7" s="24" t="s">
        <v>284</v>
      </c>
      <c r="U7" s="24">
        <v>11</v>
      </c>
      <c r="V7" s="24"/>
      <c r="W7" s="24"/>
      <c r="X7" s="24"/>
      <c r="Y7" s="24"/>
      <c r="Z7" s="24" t="s">
        <v>291</v>
      </c>
      <c r="AA7" s="24"/>
      <c r="AB7" s="24"/>
      <c r="AC7" s="24"/>
      <c r="AD7" s="24"/>
    </row>
    <row r="8" spans="1:30" ht="126.3" hidden="1" customHeight="1" x14ac:dyDescent="0.3">
      <c r="A8" s="1">
        <v>2247</v>
      </c>
      <c r="B8" s="8" t="s">
        <v>54</v>
      </c>
      <c r="C8" s="9">
        <v>9818862169</v>
      </c>
      <c r="D8" s="10" t="s">
        <v>55</v>
      </c>
      <c r="E8" s="10" t="s">
        <v>44</v>
      </c>
      <c r="F8" s="10" t="s">
        <v>17</v>
      </c>
      <c r="G8" s="11" t="s">
        <v>56</v>
      </c>
      <c r="H8" s="9">
        <v>2300</v>
      </c>
      <c r="I8" s="9">
        <v>287.5</v>
      </c>
      <c r="J8" s="10" t="s">
        <v>33</v>
      </c>
      <c r="K8" s="10" t="s">
        <v>57</v>
      </c>
      <c r="L8" s="10" t="s">
        <v>58</v>
      </c>
      <c r="M8" s="9"/>
      <c r="N8" s="13" t="s">
        <v>268</v>
      </c>
      <c r="O8" s="24" t="str">
        <f>VLOOKUP(A8,'[1]09-06-26'!$A$2:$T$53,20,0)</f>
        <v>Pur Eustoma ( 12 Inch ) 3     FF Sachet + Grass</v>
      </c>
      <c r="P8" s="24" t="str">
        <f>VLOOKUP(A8,'[1]16-06-26'!$A$2:$T$59,20,0)</f>
        <v>P n W Glad ( 14 Inch ) 11     Grass</v>
      </c>
      <c r="Q8" s="24" t="str">
        <f>VLOOKUP(A8,'[1]23-06-26'!$A$2:$T$48,20,0)</f>
        <v>Rajni ( 14 Inch ) 11     Grass</v>
      </c>
      <c r="R8" s="24" t="str">
        <f>VLOOKUP(A8,'[1]30-06-26'!$A$2:$T$51,20,0)</f>
        <v>P n W Glad ( 14 inch ) 11     Grass</v>
      </c>
      <c r="S8" s="24" t="str">
        <f>VLOOKUP(A8,'[2]07-07-26'!$A$2:$T$60,20,0)</f>
        <v>Pur n P Car ( 14 Inch ) 11     FF Sachet + Grass</v>
      </c>
      <c r="T8" s="24" t="s">
        <v>284</v>
      </c>
      <c r="U8" s="24">
        <v>11</v>
      </c>
      <c r="V8" s="24"/>
      <c r="W8" s="24"/>
      <c r="X8" s="24"/>
      <c r="Y8" s="24"/>
      <c r="Z8" s="24" t="s">
        <v>291</v>
      </c>
      <c r="AA8" s="24"/>
      <c r="AB8" s="24"/>
      <c r="AC8" s="24"/>
      <c r="AD8" s="24"/>
    </row>
    <row r="9" spans="1:30" ht="126.3" hidden="1" customHeight="1" x14ac:dyDescent="0.3">
      <c r="A9" s="1">
        <v>3384</v>
      </c>
      <c r="B9" s="8" t="s">
        <v>59</v>
      </c>
      <c r="C9" s="9">
        <v>9810796682</v>
      </c>
      <c r="D9" s="10" t="s">
        <v>60</v>
      </c>
      <c r="E9" s="10" t="s">
        <v>61</v>
      </c>
      <c r="F9" s="10" t="s">
        <v>32</v>
      </c>
      <c r="G9" s="11" t="s">
        <v>26</v>
      </c>
      <c r="H9" s="9">
        <v>1545</v>
      </c>
      <c r="I9" s="9">
        <v>386.25</v>
      </c>
      <c r="J9" s="10" t="s">
        <v>62</v>
      </c>
      <c r="K9" s="10" t="s">
        <v>63</v>
      </c>
      <c r="L9" s="9"/>
      <c r="M9" s="9"/>
      <c r="N9" s="13" t="s">
        <v>29</v>
      </c>
      <c r="O9" s="24" t="e">
        <f>VLOOKUP(A9,'[1]09-06-26'!$A$2:$T$53,20,0)</f>
        <v>#N/A</v>
      </c>
      <c r="P9" s="24" t="e">
        <f>VLOOKUP(A9,'[1]16-06-26'!$A$2:$T$59,20,0)</f>
        <v>#N/A</v>
      </c>
      <c r="Q9" s="24" t="str">
        <f>VLOOKUP(A9,'[1]23-06-26'!$A$2:$T$48,20,0)</f>
        <v>O Asiatic ( 14 Inch ) 3     1 Gypsola</v>
      </c>
      <c r="R9" s="24" t="str">
        <f>VLOOKUP(A9,'[1]30-06-26'!$A$2:$T$51,20,0)</f>
        <v>Y Asiatic ( 14 Inch ) 3     1 Limonium</v>
      </c>
      <c r="S9" s="24" t="str">
        <f>VLOOKUP(A9,'[2]07-07-26'!$A$2:$T$60,20,0)</f>
        <v>W Asiatic ( 14 Inch ) 3     1 Gypsola</v>
      </c>
      <c r="T9" s="24" t="s">
        <v>300</v>
      </c>
      <c r="U9" s="24">
        <v>3</v>
      </c>
      <c r="V9" s="24"/>
      <c r="W9" s="24"/>
      <c r="X9" s="24"/>
      <c r="Y9" s="24"/>
      <c r="Z9" s="24" t="s">
        <v>290</v>
      </c>
      <c r="AA9" s="24"/>
      <c r="AB9" s="24"/>
      <c r="AC9" s="24"/>
      <c r="AD9" s="24"/>
    </row>
    <row r="10" spans="1:30" ht="126.3" hidden="1" customHeight="1" x14ac:dyDescent="0.3">
      <c r="A10" s="1">
        <v>2183</v>
      </c>
      <c r="B10" s="8" t="s">
        <v>64</v>
      </c>
      <c r="C10" s="16">
        <v>9910681399</v>
      </c>
      <c r="D10" s="10" t="s">
        <v>65</v>
      </c>
      <c r="E10" s="10" t="s">
        <v>16</v>
      </c>
      <c r="F10" s="10" t="s">
        <v>32</v>
      </c>
      <c r="G10" s="10" t="s">
        <v>66</v>
      </c>
      <c r="H10" s="9">
        <v>1450</v>
      </c>
      <c r="I10" s="9">
        <v>362.5</v>
      </c>
      <c r="J10" s="12" t="s">
        <v>39</v>
      </c>
      <c r="K10" s="10" t="s">
        <v>67</v>
      </c>
      <c r="L10" s="10"/>
      <c r="M10" s="10" t="s">
        <v>68</v>
      </c>
      <c r="N10" s="13" t="s">
        <v>41</v>
      </c>
      <c r="O10" s="24" t="str">
        <f>VLOOKUP(A10,'[1]09-06-26'!$A$2:$T$53,20,0)</f>
        <v>P Asiatic ( 14 Inch ) 2 No Yellow Color    Grass</v>
      </c>
      <c r="P10" s="24" t="str">
        <f>VLOOKUP(A10,'[1]16-06-26'!$A$2:$T$59,20,0)</f>
        <v>P n W Glad ( 14 Inch ) 9     Grass</v>
      </c>
      <c r="Q10" s="24" t="e">
        <f>VLOOKUP(A10,'[1]23-06-26'!$A$2:$T$48,20,0)</f>
        <v>#N/A</v>
      </c>
      <c r="R10" s="24" t="str">
        <f>VLOOKUP(A10,'[1]30-06-26'!$A$2:$T$51,20,0)</f>
        <v>Pur n P Eustoma ( 12 Inch ) 3     FF Sachet + Grass</v>
      </c>
      <c r="S10" s="24" t="str">
        <f>VLOOKUP(A10,'[2]07-07-26'!$A$2:$T$60,20,0)</f>
        <v>Pur n P Car ( 14 Inch ) 16     FF Sachet + Grass</v>
      </c>
      <c r="T10" s="24" t="s">
        <v>283</v>
      </c>
      <c r="U10" s="24">
        <v>3</v>
      </c>
      <c r="V10" s="24" t="s">
        <v>297</v>
      </c>
      <c r="W10" s="24"/>
      <c r="X10" s="24"/>
      <c r="Y10" s="24"/>
      <c r="Z10" s="24" t="s">
        <v>290</v>
      </c>
      <c r="AA10" s="24"/>
      <c r="AB10" s="24"/>
      <c r="AC10" s="24"/>
      <c r="AD10" s="24"/>
    </row>
    <row r="11" spans="1:30" ht="126.3" hidden="1" customHeight="1" x14ac:dyDescent="0.3">
      <c r="A11" s="12">
        <v>1554</v>
      </c>
      <c r="B11" s="8" t="s">
        <v>69</v>
      </c>
      <c r="C11" s="9">
        <v>9871694052</v>
      </c>
      <c r="D11" s="10" t="s">
        <v>70</v>
      </c>
      <c r="E11" s="10" t="s">
        <v>25</v>
      </c>
      <c r="F11" s="10" t="s">
        <v>32</v>
      </c>
      <c r="G11" s="11" t="s">
        <v>71</v>
      </c>
      <c r="H11" s="9">
        <v>1950</v>
      </c>
      <c r="I11" s="9">
        <v>487.5</v>
      </c>
      <c r="J11" s="12" t="s">
        <v>72</v>
      </c>
      <c r="K11" s="10" t="s">
        <v>73</v>
      </c>
      <c r="L11" s="9"/>
      <c r="M11" s="9"/>
      <c r="N11" s="13" t="s">
        <v>74</v>
      </c>
      <c r="O11" s="24" t="str">
        <f>VLOOKUP(A11,'[1]09-06-26'!$A$2:$T$53,20,0)</f>
        <v>P Eustoma ( 12 Inch ) 2 Mix Alstroemeria ( 12 Inch ) 11   FF Sachet + Grass</v>
      </c>
      <c r="P11" s="24" t="str">
        <f>VLOOKUP(A11,'[1]16-06-26'!$A$2:$T$59,20,0)</f>
        <v>P Asiatic ( 14 Inch ) 2 O n P Car ( 14 Inch ) 11   Grass</v>
      </c>
      <c r="Q11" s="24" t="str">
        <f>VLOOKUP(A11,'[1]23-06-26'!$A$2:$T$48,20,0)</f>
        <v>Sunflower ( 12 Inch ) 3 P n W Glad ( 14 Inch ) 11   FF Sachet + Grass</v>
      </c>
      <c r="R11" s="24" t="str">
        <f>VLOOKUP(A11,'[1]30-06-26'!$A$2:$T$51,20,0)</f>
        <v>Pur Eustoma 2 B Daisy 11   FF Sachet + Grass</v>
      </c>
      <c r="S11" s="24" t="str">
        <f>VLOOKUP(A11,'[2]07-07-26'!$A$2:$T$60,20,0)</f>
        <v>P n W Spray Daisy ( 14 Inch ) 4 Pur n P Car ( 14 Inch ) 11   FF Sachet + Grass</v>
      </c>
      <c r="T11" s="24" t="s">
        <v>283</v>
      </c>
      <c r="U11" s="24">
        <v>2</v>
      </c>
      <c r="V11" s="24" t="s">
        <v>282</v>
      </c>
      <c r="W11" s="24">
        <v>11</v>
      </c>
      <c r="X11" s="24"/>
      <c r="Y11" s="24"/>
      <c r="Z11" s="24" t="s">
        <v>290</v>
      </c>
      <c r="AA11" s="24"/>
      <c r="AB11" s="24"/>
      <c r="AC11" s="24"/>
      <c r="AD11" s="24"/>
    </row>
    <row r="12" spans="1:30" ht="126.3" hidden="1" customHeight="1" x14ac:dyDescent="0.3">
      <c r="A12" s="1">
        <v>918</v>
      </c>
      <c r="B12" s="8" t="s">
        <v>75</v>
      </c>
      <c r="C12" s="1">
        <v>9560117868</v>
      </c>
      <c r="D12" s="12" t="s">
        <v>76</v>
      </c>
      <c r="E12" s="10" t="s">
        <v>25</v>
      </c>
      <c r="F12" s="1" t="s">
        <v>32</v>
      </c>
      <c r="G12" s="11" t="s">
        <v>26</v>
      </c>
      <c r="H12" s="9">
        <v>1950</v>
      </c>
      <c r="I12" s="9">
        <v>487.5</v>
      </c>
      <c r="J12" s="12" t="s">
        <v>72</v>
      </c>
      <c r="K12" s="12" t="s">
        <v>77</v>
      </c>
      <c r="L12" s="10" t="s">
        <v>78</v>
      </c>
      <c r="M12" s="9"/>
      <c r="N12" s="13" t="s">
        <v>74</v>
      </c>
      <c r="O12" s="24" t="str">
        <f>VLOOKUP(A12,'[1]09-06-26'!$A$2:$T$53,20,0)</f>
        <v>Sunflower ( 12 Inch ) 5     FF Sachet + Grass</v>
      </c>
      <c r="P12" s="24" t="str">
        <f>VLOOKUP(A12,'[1]16-06-26'!$A$2:$T$59,20,0)</f>
        <v>P n W Glad ( 14 Inch ) 22     Grass</v>
      </c>
      <c r="Q12" s="24" t="str">
        <f>VLOOKUP(A12,'[1]23-06-26'!$A$2:$T$48,20,0)</f>
        <v>Pur n P Car ( 14 Inch ) 22     FF Sachet + Grass</v>
      </c>
      <c r="R12" s="24" t="str">
        <f>VLOOKUP(A12,'[1]30-06-26'!$A$2:$T$51,20,0)</f>
        <v>O Asiatic ( 14 Inch ) 4     Grass</v>
      </c>
      <c r="S12" s="24" t="str">
        <f>VLOOKUP(A12,'[2]07-07-26'!$A$2:$T$60,20,0)</f>
        <v>Rajni ( 14 Inch ) 22     Grass</v>
      </c>
      <c r="T12" s="24" t="s">
        <v>288</v>
      </c>
      <c r="U12" s="24">
        <v>7</v>
      </c>
      <c r="V12" s="24"/>
      <c r="W12" s="24"/>
      <c r="X12" s="24"/>
      <c r="Y12" s="24"/>
      <c r="Z12" s="24" t="s">
        <v>291</v>
      </c>
      <c r="AA12" s="24"/>
      <c r="AB12" s="24"/>
      <c r="AC12" s="24"/>
      <c r="AD12" s="24"/>
    </row>
    <row r="13" spans="1:30" ht="126.3" hidden="1" customHeight="1" x14ac:dyDescent="0.3">
      <c r="A13" s="1">
        <v>3367</v>
      </c>
      <c r="B13" s="8" t="s">
        <v>79</v>
      </c>
      <c r="C13" s="10">
        <v>9910888631</v>
      </c>
      <c r="D13" s="10" t="s">
        <v>80</v>
      </c>
      <c r="E13" s="10" t="s">
        <v>81</v>
      </c>
      <c r="F13" s="10" t="s">
        <v>32</v>
      </c>
      <c r="G13" s="11" t="s">
        <v>26</v>
      </c>
      <c r="H13" s="9">
        <v>1450</v>
      </c>
      <c r="I13" s="9">
        <v>1450</v>
      </c>
      <c r="J13" s="10" t="s">
        <v>39</v>
      </c>
      <c r="K13" s="10" t="s">
        <v>82</v>
      </c>
      <c r="L13" s="9"/>
      <c r="M13" s="9"/>
      <c r="N13" s="13" t="s">
        <v>29</v>
      </c>
      <c r="O13" s="24" t="e">
        <f>VLOOKUP(A13,'[1]09-06-26'!$A$2:$T$53,20,0)</f>
        <v>#N/A</v>
      </c>
      <c r="P13" s="24" t="str">
        <f>VLOOKUP(A13,'[1]16-06-26'!$A$2:$T$59,20,0)</f>
        <v>P n Y Spray Daisy ( 14 Inch ) 5     FF Sachet + Grass</v>
      </c>
      <c r="Q13" s="24" t="str">
        <f>VLOOKUP(A13,'[1]23-06-26'!$A$2:$T$48,20,0)</f>
        <v>Rajni ( 14 Inch ) 16     FF Sachet + Grass</v>
      </c>
      <c r="R13" s="24" t="str">
        <f>VLOOKUP(A13,'[1]30-06-26'!$A$2:$T$51,20,0)</f>
        <v>P n W Car ( 14 Inch ) 16     FF Sachet + Grass</v>
      </c>
      <c r="S13" s="24" t="str">
        <f>VLOOKUP(A13,'[2]07-07-26'!$A$2:$T$60,20,0)</f>
        <v>O Asiatic ( 14 Inch ) 3     Grass</v>
      </c>
      <c r="T13" s="24" t="s">
        <v>282</v>
      </c>
      <c r="U13" s="24">
        <v>16</v>
      </c>
      <c r="V13" s="24"/>
      <c r="W13" s="24"/>
      <c r="X13" s="24"/>
      <c r="Y13" s="24"/>
      <c r="Z13" s="24" t="s">
        <v>290</v>
      </c>
      <c r="AA13" s="24"/>
      <c r="AB13" s="24"/>
      <c r="AC13" s="24"/>
      <c r="AD13" s="24"/>
    </row>
    <row r="14" spans="1:30" ht="126.3" hidden="1" customHeight="1" x14ac:dyDescent="0.3">
      <c r="A14" s="1">
        <v>2426</v>
      </c>
      <c r="B14" s="8" t="s">
        <v>83</v>
      </c>
      <c r="C14" s="9">
        <v>9811152110</v>
      </c>
      <c r="D14" s="10" t="s">
        <v>84</v>
      </c>
      <c r="E14" s="10" t="s">
        <v>44</v>
      </c>
      <c r="F14" s="10" t="s">
        <v>32</v>
      </c>
      <c r="G14" s="11" t="s">
        <v>85</v>
      </c>
      <c r="H14" s="9">
        <v>1950</v>
      </c>
      <c r="I14" s="9">
        <v>487.5</v>
      </c>
      <c r="J14" s="10" t="s">
        <v>86</v>
      </c>
      <c r="K14" s="10" t="s">
        <v>87</v>
      </c>
      <c r="L14" s="10" t="s">
        <v>88</v>
      </c>
      <c r="M14" s="10" t="s">
        <v>89</v>
      </c>
      <c r="N14" s="13" t="s">
        <v>90</v>
      </c>
      <c r="O14" s="24" t="str">
        <f>VLOOKUP(A14,'[1]09-06-26'!$A$2:$T$53,20,0)</f>
        <v>Mix Alstroemeria ( 12 Inch ) 22     FF Sachet + Grass</v>
      </c>
      <c r="P14" s="24" t="str">
        <f>VLOOKUP(A14,'[1]16-06-26'!$A$2:$T$59,20,0)</f>
        <v>O n P Car ( 14 Inch ) 22     FF Sachet + Grass</v>
      </c>
      <c r="Q14" s="24" t="str">
        <f>VLOOKUP(A14,'[1]23-06-26'!$A$2:$T$48,20,0)</f>
        <v>Sunflower ( 12 Inch ) 4     Grass</v>
      </c>
      <c r="R14" s="24" t="str">
        <f>VLOOKUP(A14,'[1]30-06-26'!$A$2:$T$51,20,0)</f>
        <v>P n W Glad ( 14 inch ) 22    Ensure Collection Grass</v>
      </c>
      <c r="S14" s="24" t="str">
        <f>VLOOKUP(A14,'[2]07-07-26'!$A$2:$T$60,20,0)</f>
        <v>O Asiatic ( 14 Inch ) 4     Grass</v>
      </c>
      <c r="T14" s="24" t="s">
        <v>281</v>
      </c>
      <c r="U14" s="24">
        <v>22</v>
      </c>
      <c r="V14" s="24"/>
      <c r="W14" s="24"/>
      <c r="X14" s="24"/>
      <c r="Y14" s="24"/>
      <c r="Z14" s="24" t="s">
        <v>291</v>
      </c>
      <c r="AA14" s="24"/>
      <c r="AB14" s="24"/>
      <c r="AC14" s="24"/>
      <c r="AD14" s="24"/>
    </row>
    <row r="15" spans="1:30" ht="126.3" hidden="1" customHeight="1" x14ac:dyDescent="0.3">
      <c r="A15" s="1">
        <v>2463</v>
      </c>
      <c r="B15" s="8" t="s">
        <v>91</v>
      </c>
      <c r="C15" s="16">
        <v>9674039510</v>
      </c>
      <c r="D15" s="10" t="s">
        <v>92</v>
      </c>
      <c r="E15" s="10" t="s">
        <v>93</v>
      </c>
      <c r="F15" s="10" t="s">
        <v>32</v>
      </c>
      <c r="G15" s="11" t="s">
        <v>26</v>
      </c>
      <c r="H15" s="9">
        <v>1450</v>
      </c>
      <c r="I15" s="9">
        <v>362.5</v>
      </c>
      <c r="J15" s="12" t="s">
        <v>39</v>
      </c>
      <c r="K15" s="10" t="s">
        <v>94</v>
      </c>
      <c r="L15" s="9"/>
      <c r="M15" s="10" t="s">
        <v>95</v>
      </c>
      <c r="N15" s="13" t="s">
        <v>29</v>
      </c>
      <c r="O15" s="24" t="str">
        <f>VLOOKUP(A15,'[1]09-06-26'!$A$2:$T$53,20,0)</f>
        <v>P n W Glad ( 14 Inch ) 9     Grass</v>
      </c>
      <c r="P15" s="24" t="str">
        <f>VLOOKUP(A15,'[1]16-06-26'!$A$2:$T$59,20,0)</f>
        <v>Sunflower ( 12 Inch ) 2     FF Sachet + Grass</v>
      </c>
      <c r="Q15" s="24" t="str">
        <f>VLOOKUP(A15,'[1]23-06-26'!$A$2:$T$48,20,0)</f>
        <v>B Daisy ( 12 Inch ) 16     Grass</v>
      </c>
      <c r="R15" s="24" t="str">
        <f>VLOOKUP(A15,'[1]30-06-26'!$A$2:$T$51,20,0)</f>
        <v>O Asiatic ( 14 Inch ) 3     Grass</v>
      </c>
      <c r="S15" s="24" t="str">
        <f>VLOOKUP(A15,'[2]07-07-26'!$A$2:$T$60,20,0)</f>
        <v>Pur n P Car ( 14 Inch ) 16     FF Sachet + Grass</v>
      </c>
      <c r="T15" s="24" t="s">
        <v>288</v>
      </c>
      <c r="U15" s="24">
        <v>5</v>
      </c>
      <c r="V15" s="24"/>
      <c r="W15" s="24"/>
      <c r="X15" s="24"/>
      <c r="Y15" s="24"/>
      <c r="Z15" s="24" t="s">
        <v>291</v>
      </c>
      <c r="AA15" s="24"/>
      <c r="AB15" s="24"/>
      <c r="AC15" s="24"/>
      <c r="AD15" s="24"/>
    </row>
    <row r="16" spans="1:30" ht="126.3" hidden="1" customHeight="1" x14ac:dyDescent="0.3">
      <c r="A16" s="1">
        <v>1334</v>
      </c>
      <c r="B16" s="8" t="s">
        <v>96</v>
      </c>
      <c r="C16" s="9">
        <v>8750280078</v>
      </c>
      <c r="D16" s="10" t="s">
        <v>97</v>
      </c>
      <c r="E16" s="10" t="s">
        <v>25</v>
      </c>
      <c r="F16" s="10" t="s">
        <v>17</v>
      </c>
      <c r="G16" s="17" t="s">
        <v>98</v>
      </c>
      <c r="H16" s="9">
        <v>2300</v>
      </c>
      <c r="I16" s="9">
        <v>287.5</v>
      </c>
      <c r="J16" s="10" t="s">
        <v>33</v>
      </c>
      <c r="K16" s="10" t="s">
        <v>99</v>
      </c>
      <c r="L16" s="10" t="s">
        <v>100</v>
      </c>
      <c r="M16" s="10" t="s">
        <v>101</v>
      </c>
      <c r="N16" s="13" t="s">
        <v>266</v>
      </c>
      <c r="O16" s="24" t="str">
        <f>VLOOKUP(A16,'[1]09-06-26'!$A$2:$T$53,20,0)</f>
        <v>Pur Eustoma ( 12 Inch ) 3     FF Sachet + Grass</v>
      </c>
      <c r="P16" s="24" t="str">
        <f>VLOOKUP(A16,'[1]16-06-26'!$A$2:$T$59,20,0)</f>
        <v>Y Spray Daisy ( 14 Inch ) 3     FF Sachet + Grass</v>
      </c>
      <c r="Q16" s="24" t="str">
        <f>VLOOKUP(A16,'[1]23-06-26'!$A$2:$T$48,20,0)</f>
        <v>Eustoma 3     Grass</v>
      </c>
      <c r="R16" s="24" t="str">
        <f>VLOOKUP(A16,'[1]30-06-26'!$A$2:$T$51,20,0)</f>
        <v>P n W Glad ( 14 inch ) 11    Ensure Collection Grass</v>
      </c>
      <c r="S16" s="24" t="str">
        <f>VLOOKUP(A16,'[2]07-07-26'!$A$2:$T$60,20,0)</f>
        <v>O Asiatic ( 14 Inch ) 2     Grass</v>
      </c>
      <c r="T16" s="24" t="s">
        <v>285</v>
      </c>
      <c r="U16" s="24">
        <v>3</v>
      </c>
      <c r="V16" s="24"/>
      <c r="W16" s="24"/>
      <c r="X16" s="24"/>
      <c r="Y16" s="24"/>
      <c r="Z16" s="24" t="s">
        <v>291</v>
      </c>
      <c r="AA16" s="24"/>
      <c r="AB16" s="24"/>
      <c r="AC16" s="24"/>
      <c r="AD16" s="24"/>
    </row>
    <row r="17" spans="1:30" ht="126.3" hidden="1" customHeight="1" x14ac:dyDescent="0.3">
      <c r="A17" s="1">
        <v>3297</v>
      </c>
      <c r="B17" s="8" t="s">
        <v>102</v>
      </c>
      <c r="C17" s="9">
        <v>9818996771</v>
      </c>
      <c r="D17" s="10" t="s">
        <v>103</v>
      </c>
      <c r="E17" s="10" t="s">
        <v>44</v>
      </c>
      <c r="F17" s="10" t="s">
        <v>32</v>
      </c>
      <c r="G17" s="11" t="s">
        <v>85</v>
      </c>
      <c r="H17" s="10">
        <v>1450</v>
      </c>
      <c r="I17" s="9">
        <v>362.5</v>
      </c>
      <c r="J17" s="12" t="s">
        <v>39</v>
      </c>
      <c r="K17" s="10" t="s">
        <v>104</v>
      </c>
      <c r="L17" s="9"/>
      <c r="M17" s="9"/>
      <c r="N17" s="13" t="s">
        <v>29</v>
      </c>
      <c r="O17" s="24" t="str">
        <f>VLOOKUP(A17,'[1]09-06-26'!$A$2:$T$53,20,0)</f>
        <v>R n P Car ( 14 Inch ) 16     FF Sachet + Grass</v>
      </c>
      <c r="P17" s="24" t="str">
        <f>VLOOKUP(A17,'[1]16-06-26'!$A$2:$T$59,20,0)</f>
        <v>Mix Alstroemeria ( 12 Inch ) 16     FF Sachet + Grass</v>
      </c>
      <c r="Q17" s="24" t="str">
        <f>VLOOKUP(A17,'[1]23-06-26'!$A$2:$T$48,20,0)</f>
        <v>Mix Spray Daisy 5     Grass</v>
      </c>
      <c r="R17" s="24" t="str">
        <f>VLOOKUP(A17,'[1]30-06-26'!$A$2:$T$51,20,0)</f>
        <v>Rajni ( 14 Inch ) 16     Grass</v>
      </c>
      <c r="S17" s="24" t="str">
        <f>VLOOKUP(A17,'[2]07-07-26'!$A$2:$T$60,20,0)</f>
        <v>O Asiatic ( 14 Inch ) 3     Grass</v>
      </c>
      <c r="T17" s="24" t="s">
        <v>281</v>
      </c>
      <c r="U17" s="24">
        <v>16</v>
      </c>
      <c r="V17" s="24"/>
      <c r="W17" s="24"/>
      <c r="X17" s="24"/>
      <c r="Y17" s="24"/>
      <c r="Z17" s="24" t="s">
        <v>291</v>
      </c>
      <c r="AA17" s="24"/>
      <c r="AB17" s="24"/>
      <c r="AC17" s="24"/>
      <c r="AD17" s="24"/>
    </row>
    <row r="18" spans="1:30" ht="126.3" customHeight="1" x14ac:dyDescent="0.3">
      <c r="A18" s="12" t="s">
        <v>105</v>
      </c>
      <c r="B18" s="8" t="s">
        <v>106</v>
      </c>
      <c r="C18" s="9">
        <v>9999164984</v>
      </c>
      <c r="D18" s="10" t="s">
        <v>107</v>
      </c>
      <c r="E18" s="10" t="s">
        <v>81</v>
      </c>
      <c r="F18" s="10" t="s">
        <v>32</v>
      </c>
      <c r="G18" s="11" t="s">
        <v>85</v>
      </c>
      <c r="H18" s="9">
        <v>1950</v>
      </c>
      <c r="I18" s="9">
        <v>487.5</v>
      </c>
      <c r="J18" s="10" t="s">
        <v>86</v>
      </c>
      <c r="K18" s="10" t="s">
        <v>108</v>
      </c>
      <c r="L18" s="9"/>
      <c r="M18" s="9"/>
      <c r="N18" s="13" t="s">
        <v>109</v>
      </c>
      <c r="O18" s="24" t="str">
        <f>VLOOKUP(A18,'[1]09-06-26'!$A$2:$T$53,20,0)</f>
        <v>P Eustoma ( 12 Inch ) 2 Mix Alstroemeria ( 12 Inch ) 11   FF Sachet + Grass</v>
      </c>
      <c r="P18" s="24" t="str">
        <f>VLOOKUP(A18,'[1]16-06-26'!$A$2:$T$59,20,0)</f>
        <v>O Asiatic ( 14 inch ) 2 O n P Car ( 14 Inch ) 11   Grass</v>
      </c>
      <c r="Q18" s="24" t="str">
        <f>VLOOKUP(A18,'[1]23-06-26'!$A$2:$T$48,20,0)</f>
        <v>P n Y Spray Daisy ( 14 Inch ) 4 Rajni ( 14 Inch ) 11   FF Sachet + Grass</v>
      </c>
      <c r="R18" s="24" t="str">
        <f>VLOOKUP(A18,'[1]30-06-26'!$A$2:$T$51,20,0)</f>
        <v>Sunflower ( 12 Incjh ) 3 P n W Glad ( 14 Inch) 11  Ensure Collection FF Sachet + Grass</v>
      </c>
      <c r="S18" s="24" t="str">
        <f>VLOOKUP(A18,'[2]07-07-26'!$A$2:$T$60,20,0)</f>
        <v>Pur Eustoma ( 12 inch ) 2 Mix Alstroemeria ( 12 Inch ) 11   FF Sachet + Grass</v>
      </c>
      <c r="T18" s="24" t="s">
        <v>298</v>
      </c>
      <c r="U18" s="24">
        <v>2</v>
      </c>
      <c r="V18" s="24" t="s">
        <v>281</v>
      </c>
      <c r="W18" s="24">
        <v>11</v>
      </c>
      <c r="X18" s="24"/>
      <c r="Y18" s="24"/>
      <c r="Z18" s="24" t="s">
        <v>290</v>
      </c>
      <c r="AA18" s="24"/>
      <c r="AB18" s="24"/>
      <c r="AC18" s="24"/>
      <c r="AD18" s="24"/>
    </row>
    <row r="19" spans="1:30" ht="126.3" customHeight="1" x14ac:dyDescent="0.3">
      <c r="A19" s="1">
        <v>2593</v>
      </c>
      <c r="B19" s="8" t="s">
        <v>110</v>
      </c>
      <c r="C19" s="9">
        <v>7400118910</v>
      </c>
      <c r="D19" s="10" t="s">
        <v>111</v>
      </c>
      <c r="E19" s="10" t="s">
        <v>16</v>
      </c>
      <c r="F19" s="10" t="s">
        <v>32</v>
      </c>
      <c r="G19" s="11" t="s">
        <v>18</v>
      </c>
      <c r="H19" s="9">
        <v>1450</v>
      </c>
      <c r="I19" s="9">
        <v>362.5</v>
      </c>
      <c r="J19" s="12" t="s">
        <v>39</v>
      </c>
      <c r="K19" s="10" t="s">
        <v>112</v>
      </c>
      <c r="L19" s="9"/>
      <c r="M19" s="9"/>
      <c r="N19" s="13" t="s">
        <v>41</v>
      </c>
      <c r="O19" s="24" t="str">
        <f>VLOOKUP(A19,'[1]09-06-26'!$A$2:$T$53,20,0)</f>
        <v>W Asiatic ( 14 Inch ) 3     Grass</v>
      </c>
      <c r="P19" s="24" t="str">
        <f>VLOOKUP(A19,'[1]16-06-26'!$A$2:$T$59,20,0)</f>
        <v>P n W Glad ( 14 Inch ) 16     Grass</v>
      </c>
      <c r="Q19" s="24" t="str">
        <f>VLOOKUP(A19,'[1]23-06-26'!$A$2:$T$48,20,0)</f>
        <v>Pur Eustoma ( 12 Inch ) 3     FF Sachet + Grass</v>
      </c>
      <c r="R19" s="24" t="str">
        <f>VLOOKUP(A19,'[1]30-06-26'!$A$2:$T$51,20,0)</f>
        <v>P n W Car ( 14 Inch ) 16     FF Sachet + Grass</v>
      </c>
      <c r="S19" s="24" t="str">
        <f>VLOOKUP(A19,'[2]07-07-26'!$A$2:$T$60,20,0)</f>
        <v>Mix Alstroemeria ( 12 Inch ) 16     FF Sachet + Grass</v>
      </c>
      <c r="T19" s="24" t="s">
        <v>298</v>
      </c>
      <c r="U19" s="24">
        <v>3</v>
      </c>
      <c r="V19" s="24"/>
      <c r="W19" s="24"/>
      <c r="X19" s="24"/>
      <c r="Y19" s="24"/>
      <c r="Z19" s="24" t="s">
        <v>290</v>
      </c>
      <c r="AA19" s="24"/>
      <c r="AB19" s="24"/>
      <c r="AC19" s="24"/>
      <c r="AD19" s="24"/>
    </row>
    <row r="20" spans="1:30" ht="126.3" hidden="1" customHeight="1" x14ac:dyDescent="0.3">
      <c r="A20" s="1">
        <v>1389</v>
      </c>
      <c r="B20" s="18" t="s">
        <v>113</v>
      </c>
      <c r="C20" s="9">
        <v>9811998878</v>
      </c>
      <c r="D20" s="10" t="s">
        <v>114</v>
      </c>
      <c r="E20" s="10" t="s">
        <v>115</v>
      </c>
      <c r="F20" s="10" t="s">
        <v>50</v>
      </c>
      <c r="G20" s="19" t="s">
        <v>116</v>
      </c>
      <c r="H20" s="9">
        <v>3850</v>
      </c>
      <c r="I20" s="9">
        <v>481.25</v>
      </c>
      <c r="J20" s="20" t="s">
        <v>117</v>
      </c>
      <c r="K20" s="10" t="s">
        <v>118</v>
      </c>
      <c r="L20" s="10" t="s">
        <v>119</v>
      </c>
      <c r="M20" s="9"/>
      <c r="N20" s="13" t="s">
        <v>269</v>
      </c>
      <c r="O20" s="24" t="str">
        <f>VLOOKUP(A20,'[1]09-06-26'!$A$2:$T$53,20,0)</f>
        <v>R n P Car ( 14 Inch ) 20     FF Sachet + Grass</v>
      </c>
      <c r="P20" s="24" t="str">
        <f>VLOOKUP(A20,'[1]16-06-26'!$A$2:$T$59,20,0)</f>
        <v>P n Y Spray Daisy ( 14 Inch ) 6     FF Sachet + Grass</v>
      </c>
      <c r="Q20" s="24" t="str">
        <f>VLOOKUP(A20,'[1]23-06-26'!$A$2:$T$48,20,0)</f>
        <v>Mix Alstromia 20     Grass</v>
      </c>
      <c r="R20" s="24" t="str">
        <f>VLOOKUP(A20,'[1]30-06-26'!$A$2:$T$51,20,0)</f>
        <v>Pur n P Eustoma ( 12 Inch ) 4     FF Sachet + Grass</v>
      </c>
      <c r="S20" s="24" t="str">
        <f>VLOOKUP(A20,'[2]07-07-26'!$A$2:$T$60,20,0)</f>
        <v>P n W Car ( 14 Inch ) 20     FF Sachet + Grass</v>
      </c>
      <c r="T20" s="24" t="s">
        <v>286</v>
      </c>
      <c r="U20" s="24">
        <v>20</v>
      </c>
      <c r="V20" s="24"/>
      <c r="W20" s="24"/>
      <c r="X20" s="24"/>
      <c r="Y20" s="24"/>
      <c r="Z20" s="24" t="s">
        <v>290</v>
      </c>
      <c r="AA20" s="24"/>
      <c r="AB20" s="24"/>
      <c r="AC20" s="24"/>
      <c r="AD20" s="24"/>
    </row>
    <row r="21" spans="1:30" ht="126.3" hidden="1" customHeight="1" x14ac:dyDescent="0.3">
      <c r="A21" s="12" t="s">
        <v>122</v>
      </c>
      <c r="B21" s="8" t="s">
        <v>123</v>
      </c>
      <c r="C21" s="1">
        <v>9560068750</v>
      </c>
      <c r="D21" s="1" t="s">
        <v>124</v>
      </c>
      <c r="E21" s="10" t="s">
        <v>120</v>
      </c>
      <c r="F21" s="12" t="s">
        <v>50</v>
      </c>
      <c r="G21" s="11" t="s">
        <v>26</v>
      </c>
      <c r="H21" s="9">
        <v>3950</v>
      </c>
      <c r="I21" s="9">
        <v>493.75</v>
      </c>
      <c r="J21" s="10" t="s">
        <v>117</v>
      </c>
      <c r="K21" s="12" t="s">
        <v>125</v>
      </c>
      <c r="L21" s="10" t="s">
        <v>126</v>
      </c>
      <c r="M21" s="9"/>
      <c r="N21" s="13" t="s">
        <v>29</v>
      </c>
      <c r="O21" s="24" t="e">
        <f>VLOOKUP(A21,'[1]09-06-26'!$A$2:$T$53,20,0)</f>
        <v>#N/A</v>
      </c>
      <c r="P21" s="24" t="e">
        <f>VLOOKUP(A21,'[1]16-06-26'!$A$2:$T$59,20,0)</f>
        <v>#N/A</v>
      </c>
      <c r="Q21" s="24" t="e">
        <f>VLOOKUP(A21,'[1]23-06-26'!$A$2:$T$48,20,0)</f>
        <v>#N/A</v>
      </c>
      <c r="R21" s="24" t="e">
        <f>VLOOKUP(A21,'[1]30-06-26'!$A$2:$T$51,20,0)</f>
        <v>#N/A</v>
      </c>
      <c r="S21" s="24" t="e">
        <f>VLOOKUP(A21,'[2]07-07-26'!$A$2:$T$60,20,0)</f>
        <v>#N/A</v>
      </c>
      <c r="T21" s="24" t="s">
        <v>288</v>
      </c>
      <c r="U21" s="24">
        <v>6</v>
      </c>
      <c r="V21" s="24"/>
      <c r="W21" s="24"/>
      <c r="X21" s="24"/>
      <c r="Y21" s="24"/>
      <c r="Z21" s="24" t="s">
        <v>291</v>
      </c>
      <c r="AA21" s="24"/>
      <c r="AB21" s="24"/>
      <c r="AC21" s="24"/>
      <c r="AD21" s="24"/>
    </row>
    <row r="22" spans="1:30" ht="126.3" hidden="1" customHeight="1" x14ac:dyDescent="0.3">
      <c r="A22" s="1">
        <v>2087</v>
      </c>
      <c r="B22" s="8" t="s">
        <v>127</v>
      </c>
      <c r="C22" s="10" t="s">
        <v>128</v>
      </c>
      <c r="D22" s="10" t="s">
        <v>129</v>
      </c>
      <c r="E22" s="10" t="s">
        <v>16</v>
      </c>
      <c r="F22" s="10" t="s">
        <v>32</v>
      </c>
      <c r="G22" s="10" t="s">
        <v>18</v>
      </c>
      <c r="H22" s="9">
        <v>1450</v>
      </c>
      <c r="I22" s="9">
        <v>362.5</v>
      </c>
      <c r="J22" s="10" t="s">
        <v>39</v>
      </c>
      <c r="K22" s="10" t="s">
        <v>130</v>
      </c>
      <c r="L22" s="10" t="s">
        <v>131</v>
      </c>
      <c r="M22" s="9"/>
      <c r="N22" s="13" t="s">
        <v>41</v>
      </c>
      <c r="O22" s="24" t="str">
        <f>VLOOKUP(A22,'[1]09-06-26'!$A$2:$T$53,20,0)</f>
        <v>R n P Car ( 14 Inch ) 16     FF Sachet + Grass</v>
      </c>
      <c r="P22" s="24" t="str">
        <f>VLOOKUP(A22,'[1]16-06-26'!$A$2:$T$59,20,0)</f>
        <v>P n W Glad ( 14 Inch ) 16     Grass</v>
      </c>
      <c r="Q22" s="24" t="str">
        <f>VLOOKUP(A22,'[1]23-06-26'!$A$2:$T$48,20,0)</f>
        <v>Pur Eustoma ( 12 Inch ) 3     FF Sachet + Grass</v>
      </c>
      <c r="R22" s="24" t="str">
        <f>VLOOKUP(A22,'[1]30-06-26'!$A$2:$T$51,20,0)</f>
        <v>Rajni ( 14 Inch ) 16     Grass</v>
      </c>
      <c r="S22" s="24" t="str">
        <f>VLOOKUP(A22,'[2]07-07-26'!$A$2:$T$60,20,0)</f>
        <v>P Asiatic ( 14 Inch ) 3     Grass</v>
      </c>
      <c r="T22" s="24" t="s">
        <v>281</v>
      </c>
      <c r="U22" s="24">
        <v>16</v>
      </c>
      <c r="V22" s="24"/>
      <c r="W22" s="24"/>
      <c r="X22" s="24"/>
      <c r="Y22" s="24"/>
      <c r="Z22" s="24" t="s">
        <v>290</v>
      </c>
      <c r="AA22" s="24"/>
      <c r="AB22" s="24"/>
      <c r="AC22" s="24"/>
      <c r="AD22" s="24"/>
    </row>
    <row r="23" spans="1:30" ht="126.3" hidden="1" customHeight="1" x14ac:dyDescent="0.3">
      <c r="A23" s="1">
        <v>3333</v>
      </c>
      <c r="B23" s="8" t="s">
        <v>132</v>
      </c>
      <c r="C23" s="9">
        <v>9910738939</v>
      </c>
      <c r="D23" s="10" t="s">
        <v>133</v>
      </c>
      <c r="E23" s="10" t="s">
        <v>44</v>
      </c>
      <c r="F23" s="10" t="s">
        <v>32</v>
      </c>
      <c r="G23" s="11" t="s">
        <v>85</v>
      </c>
      <c r="H23" s="9">
        <v>1950</v>
      </c>
      <c r="I23" s="9">
        <v>487.5</v>
      </c>
      <c r="J23" s="12" t="s">
        <v>86</v>
      </c>
      <c r="K23" s="10" t="s">
        <v>134</v>
      </c>
      <c r="L23" s="9"/>
      <c r="M23" s="9"/>
      <c r="N23" s="13" t="s">
        <v>41</v>
      </c>
      <c r="O23" s="24" t="str">
        <f>VLOOKUP(A23,'[1]09-06-26'!$A$2:$T$53,20,0)</f>
        <v>Mix Alstroemeria ( 12 Inch ) 22     FF Sachet + Grass</v>
      </c>
      <c r="P23" s="24" t="str">
        <f>VLOOKUP(A23,'[1]16-06-26'!$A$2:$T$59,20,0)</f>
        <v>P n W Spray Daisy ( 14 inch ) 7     FF Sachet + Grass</v>
      </c>
      <c r="Q23" s="24" t="str">
        <f>VLOOKUP(A23,'[1]23-06-26'!$A$2:$T$48,20,0)</f>
        <v>Mix Car 22     Grass</v>
      </c>
      <c r="R23" s="24" t="str">
        <f>VLOOKUP(A23,'[1]30-06-26'!$A$2:$T$51,20,0)</f>
        <v>O Asiatic ( 14 Inch ) 4     Grass</v>
      </c>
      <c r="S23" s="24" t="str">
        <f>VLOOKUP(A23,'[2]07-07-26'!$A$2:$T$60,20,0)</f>
        <v>B Daisy ( 12 Inch ) 22     Grass</v>
      </c>
      <c r="T23" s="24" t="s">
        <v>282</v>
      </c>
      <c r="U23" s="24">
        <v>22</v>
      </c>
      <c r="V23" s="24"/>
      <c r="W23" s="24"/>
      <c r="X23" s="24"/>
      <c r="Y23" s="24"/>
      <c r="Z23" s="24" t="s">
        <v>290</v>
      </c>
      <c r="AA23" s="24"/>
      <c r="AB23" s="24"/>
      <c r="AC23" s="24"/>
      <c r="AD23" s="24"/>
    </row>
    <row r="24" spans="1:30" ht="126.3" hidden="1" customHeight="1" x14ac:dyDescent="0.3">
      <c r="A24" s="1">
        <v>2633</v>
      </c>
      <c r="B24" s="21" t="s">
        <v>135</v>
      </c>
      <c r="C24" s="9">
        <v>9810816655</v>
      </c>
      <c r="D24" s="10" t="s">
        <v>136</v>
      </c>
      <c r="E24" s="10" t="s">
        <v>44</v>
      </c>
      <c r="F24" s="10" t="s">
        <v>32</v>
      </c>
      <c r="G24" s="11" t="s">
        <v>26</v>
      </c>
      <c r="H24" s="9">
        <v>1450</v>
      </c>
      <c r="I24" s="9">
        <v>362.5</v>
      </c>
      <c r="J24" s="10" t="s">
        <v>39</v>
      </c>
      <c r="K24" s="10" t="s">
        <v>137</v>
      </c>
      <c r="L24" s="10" t="s">
        <v>138</v>
      </c>
      <c r="M24" s="10" t="s">
        <v>139</v>
      </c>
      <c r="N24" s="13" t="s">
        <v>41</v>
      </c>
      <c r="O24" s="24" t="str">
        <f>VLOOKUP(A24,'[1]09-06-26'!$A$2:$T$53,20,0)</f>
        <v>Pur Eustoma ( 12 Inch ) 3     FF Sachet + Grass</v>
      </c>
      <c r="P24" s="24" t="str">
        <f>VLOOKUP(A24,'[1]16-06-26'!$A$2:$T$59,20,0)</f>
        <v>O n P Car ( 14 Inch ) 16     FF Sachet + Grass</v>
      </c>
      <c r="Q24" s="24" t="str">
        <f>VLOOKUP(A24,'[1]23-06-26'!$A$2:$T$48,20,0)</f>
        <v>O Asiatic ( 14 Inch ) 3     Grass</v>
      </c>
      <c r="R24" s="24" t="str">
        <f>VLOOKUP(A24,'[1]30-06-26'!$A$2:$T$51,20,0)</f>
        <v>Rajni ( 14 Inch ) 16     Grass</v>
      </c>
      <c r="S24" s="24" t="str">
        <f>VLOOKUP(A24,'[2]07-07-26'!$A$2:$T$60,20,0)</f>
        <v>Mix Alstroemeria ( 12 Inch ) 16     FF Sachet + Grass</v>
      </c>
      <c r="T24" s="24" t="s">
        <v>289</v>
      </c>
      <c r="U24" s="24">
        <v>5</v>
      </c>
      <c r="V24" s="24"/>
      <c r="W24" s="24"/>
      <c r="X24" s="24"/>
      <c r="Y24" s="24"/>
      <c r="Z24" s="24" t="s">
        <v>291</v>
      </c>
      <c r="AA24" s="24"/>
      <c r="AB24" s="24"/>
      <c r="AC24" s="24"/>
      <c r="AD24" s="24"/>
    </row>
    <row r="25" spans="1:30" ht="126.3" hidden="1" customHeight="1" x14ac:dyDescent="0.3">
      <c r="A25" s="1">
        <v>3106</v>
      </c>
      <c r="B25" s="21" t="s">
        <v>140</v>
      </c>
      <c r="C25" s="1">
        <v>9810661849</v>
      </c>
      <c r="D25" s="1" t="s">
        <v>141</v>
      </c>
      <c r="E25" s="10" t="s">
        <v>93</v>
      </c>
      <c r="F25" s="10" t="s">
        <v>32</v>
      </c>
      <c r="G25" s="11" t="s">
        <v>18</v>
      </c>
      <c r="H25" s="9">
        <v>1450</v>
      </c>
      <c r="I25" s="9">
        <v>362.5</v>
      </c>
      <c r="J25" s="10" t="s">
        <v>39</v>
      </c>
      <c r="K25" s="10" t="s">
        <v>142</v>
      </c>
      <c r="L25" s="9"/>
      <c r="M25" s="9"/>
      <c r="N25" s="13" t="s">
        <v>29</v>
      </c>
      <c r="O25" s="24" t="e">
        <f>VLOOKUP(A25,'[1]09-06-26'!$A$2:$T$53,20,0)</f>
        <v>#N/A</v>
      </c>
      <c r="P25" s="24" t="e">
        <f>VLOOKUP(A25,'[1]16-06-26'!$A$2:$T$59,20,0)</f>
        <v>#N/A</v>
      </c>
      <c r="Q25" s="24" t="e">
        <f>VLOOKUP(A25,'[1]23-06-26'!$A$2:$T$48,20,0)</f>
        <v>#N/A</v>
      </c>
      <c r="R25" s="24" t="str">
        <f>VLOOKUP(A25,'[1]30-06-26'!$A$2:$T$51,20,0)</f>
        <v xml:space="preserve">Collect 725 Carry Receipt Book     </v>
      </c>
      <c r="S25" s="24" t="str">
        <f>VLOOKUP(A25,'[2]07-07-26'!$A$2:$T$60,20,0)</f>
        <v>Pur n P Car ( 14 Inch ) 16     FF Sachet + Grass</v>
      </c>
      <c r="T25" s="24" t="s">
        <v>283</v>
      </c>
      <c r="U25" s="24">
        <v>3</v>
      </c>
      <c r="V25" s="24"/>
      <c r="W25" s="24"/>
      <c r="X25" s="24"/>
      <c r="Y25" s="24"/>
      <c r="Z25" s="24" t="s">
        <v>290</v>
      </c>
      <c r="AA25" s="24"/>
      <c r="AB25" s="24"/>
      <c r="AC25" s="24"/>
      <c r="AD25" s="24"/>
    </row>
    <row r="26" spans="1:30" ht="126.3" hidden="1" customHeight="1" x14ac:dyDescent="0.3">
      <c r="A26" s="1">
        <v>2854</v>
      </c>
      <c r="B26" s="8" t="s">
        <v>143</v>
      </c>
      <c r="C26" s="9">
        <v>9717459257</v>
      </c>
      <c r="D26" s="10" t="s">
        <v>144</v>
      </c>
      <c r="E26" s="10" t="s">
        <v>44</v>
      </c>
      <c r="F26" s="10" t="s">
        <v>32</v>
      </c>
      <c r="G26" s="11" t="s">
        <v>26</v>
      </c>
      <c r="H26" s="9">
        <v>1450</v>
      </c>
      <c r="I26" s="9">
        <v>362.5</v>
      </c>
      <c r="J26" s="10" t="s">
        <v>39</v>
      </c>
      <c r="K26" s="10" t="s">
        <v>145</v>
      </c>
      <c r="L26" s="9"/>
      <c r="M26" s="10" t="s">
        <v>146</v>
      </c>
      <c r="N26" s="13" t="s">
        <v>21</v>
      </c>
      <c r="O26" s="24" t="str">
        <f>VLOOKUP(A26,'[1]09-06-26'!$A$2:$T$53,20,0)</f>
        <v>P Asiatic ( 14 Inch ) 3     Grass</v>
      </c>
      <c r="P26" s="24" t="str">
        <f>VLOOKUP(A26,'[1]16-06-26'!$A$2:$T$59,20,0)</f>
        <v>P n W Glad ( 14 Inch ) 16     Grass</v>
      </c>
      <c r="Q26" s="24" t="str">
        <f>VLOOKUP(A26,'[1]23-06-26'!$A$2:$T$48,20,0)</f>
        <v>Pur Eustoma ( 12 Inch ) 3     FF Sachet + Grass</v>
      </c>
      <c r="R26" s="24" t="str">
        <f>VLOOKUP(A26,'[1]30-06-26'!$A$2:$T$51,20,0)</f>
        <v>P n W Car ( 14 Inch ) 16     FF Sachet + Grass</v>
      </c>
      <c r="S26" s="24" t="str">
        <f>VLOOKUP(A26,'[2]07-07-26'!$A$2:$T$60,20,0)</f>
        <v>Mix Alstroemeria ( 12 Inch ) 16     Grass</v>
      </c>
      <c r="T26" s="24" t="s">
        <v>283</v>
      </c>
      <c r="U26" s="24">
        <v>3</v>
      </c>
      <c r="V26" s="24"/>
      <c r="W26" s="24"/>
      <c r="X26" s="24"/>
      <c r="Y26" s="24"/>
      <c r="Z26" s="24" t="s">
        <v>290</v>
      </c>
      <c r="AA26" s="24"/>
      <c r="AB26" s="24"/>
      <c r="AC26" s="24"/>
      <c r="AD26" s="24"/>
    </row>
    <row r="27" spans="1:30" ht="126.3" hidden="1" customHeight="1" x14ac:dyDescent="0.3">
      <c r="A27" s="1">
        <v>2706</v>
      </c>
      <c r="B27" s="8" t="s">
        <v>147</v>
      </c>
      <c r="C27" s="9">
        <v>9990121666</v>
      </c>
      <c r="D27" s="10" t="s">
        <v>148</v>
      </c>
      <c r="E27" s="10" t="s">
        <v>149</v>
      </c>
      <c r="F27" s="10" t="s">
        <v>17</v>
      </c>
      <c r="G27" s="17" t="s">
        <v>26</v>
      </c>
      <c r="H27" s="9">
        <v>1600</v>
      </c>
      <c r="I27" s="9">
        <v>200</v>
      </c>
      <c r="J27" s="10" t="s">
        <v>19</v>
      </c>
      <c r="K27" s="10" t="s">
        <v>150</v>
      </c>
      <c r="L27" s="9"/>
      <c r="M27" s="9"/>
      <c r="N27" s="13" t="s">
        <v>29</v>
      </c>
      <c r="O27" s="24" t="str">
        <f>VLOOKUP(A27,'[1]09-06-26'!$A$2:$T$53,20,0)</f>
        <v>Mix Alstroemeria ( 12 Inch ) 7     FF Sachet + Grass</v>
      </c>
      <c r="P27" s="24" t="str">
        <f>VLOOKUP(A27,'[1]16-06-26'!$A$2:$T$59,20,0)</f>
        <v>P n W Glad ( 14 Inch ) 7     Grass</v>
      </c>
      <c r="Q27" s="24" t="str">
        <f>VLOOKUP(A27,'[1]23-06-26'!$A$2:$T$48,20,0)</f>
        <v>Rajni ( 14 Inch ) 7     Grass</v>
      </c>
      <c r="R27" s="24" t="str">
        <f>VLOOKUP(A27,'[1]30-06-26'!$A$2:$T$51,20,0)</f>
        <v>P n W Glad ( 14 inch ) 7     Grass</v>
      </c>
      <c r="S27" s="24" t="str">
        <f>VLOOKUP(A27,'[2]07-07-26'!$A$2:$T$60,20,0)</f>
        <v>B Daisy ( 12 Inch ) 7     Grass</v>
      </c>
      <c r="T27" s="24" t="s">
        <v>281</v>
      </c>
      <c r="U27" s="24">
        <v>7</v>
      </c>
      <c r="V27" s="24"/>
      <c r="W27" s="24"/>
      <c r="X27" s="24"/>
      <c r="Y27" s="24"/>
      <c r="Z27" s="24" t="s">
        <v>291</v>
      </c>
      <c r="AA27" s="24"/>
      <c r="AB27" s="24"/>
      <c r="AC27" s="24"/>
      <c r="AD27" s="24"/>
    </row>
    <row r="28" spans="1:30" ht="126.3" hidden="1" customHeight="1" x14ac:dyDescent="0.3">
      <c r="A28" s="1">
        <v>3014</v>
      </c>
      <c r="B28" s="8" t="s">
        <v>147</v>
      </c>
      <c r="C28" s="9">
        <v>9990121666</v>
      </c>
      <c r="D28" s="10" t="s">
        <v>148</v>
      </c>
      <c r="E28" s="10" t="s">
        <v>149</v>
      </c>
      <c r="F28" s="10" t="s">
        <v>17</v>
      </c>
      <c r="G28" s="11" t="s">
        <v>26</v>
      </c>
      <c r="H28" s="9">
        <v>1600</v>
      </c>
      <c r="I28" s="9">
        <v>200</v>
      </c>
      <c r="J28" s="10" t="s">
        <v>19</v>
      </c>
      <c r="K28" s="10" t="s">
        <v>151</v>
      </c>
      <c r="L28" s="9"/>
      <c r="M28" s="9"/>
      <c r="N28" s="13" t="s">
        <v>29</v>
      </c>
      <c r="O28" s="24" t="str">
        <f>VLOOKUP(A28,'[1]09-06-26'!$A$2:$T$53,20,0)</f>
        <v>P n W Glad ( 14 Inch ) 7     Grass</v>
      </c>
      <c r="P28" s="24" t="str">
        <f>VLOOKUP(A28,'[1]16-06-26'!$A$2:$T$59,20,0)</f>
        <v>Sunflower ( 12 Inch ) 2     FF Sachet + Grass</v>
      </c>
      <c r="Q28" s="24" t="str">
        <f>VLOOKUP(A28,'[1]23-06-26'!$A$2:$T$48,20,0)</f>
        <v>P n W Car ( 14 Inch ) 7     FF Sachet + Grass</v>
      </c>
      <c r="R28" s="24" t="str">
        <f>VLOOKUP(A28,'[1]30-06-26'!$A$2:$T$51,20,0)</f>
        <v>Sunflower ( 12 Incjh ) 2     FF Sachet + Grass</v>
      </c>
      <c r="S28" s="24" t="str">
        <f>VLOOKUP(A28,'[2]07-07-26'!$A$2:$T$60,20,0)</f>
        <v>Pur Eustoma ( 12 inch ) 2     FF Sachet + Grass</v>
      </c>
      <c r="T28" s="24" t="s">
        <v>349</v>
      </c>
      <c r="U28" s="24">
        <v>2</v>
      </c>
      <c r="V28" s="24"/>
      <c r="W28" s="24"/>
      <c r="X28" s="24"/>
      <c r="Y28" s="24"/>
      <c r="Z28" s="24" t="s">
        <v>291</v>
      </c>
      <c r="AA28" s="24"/>
      <c r="AB28" s="24"/>
      <c r="AC28" s="24"/>
      <c r="AD28" s="24"/>
    </row>
    <row r="29" spans="1:30" ht="126.3" hidden="1" customHeight="1" x14ac:dyDescent="0.3">
      <c r="A29" s="1">
        <v>993</v>
      </c>
      <c r="B29" s="8" t="s">
        <v>152</v>
      </c>
      <c r="C29" s="9">
        <v>8527962021</v>
      </c>
      <c r="D29" s="10" t="s">
        <v>153</v>
      </c>
      <c r="E29" s="10" t="s">
        <v>81</v>
      </c>
      <c r="F29" s="10" t="s">
        <v>32</v>
      </c>
      <c r="G29" s="10" t="s">
        <v>18</v>
      </c>
      <c r="H29" s="9">
        <v>2300</v>
      </c>
      <c r="I29" s="9">
        <v>287.5</v>
      </c>
      <c r="J29" s="10" t="s">
        <v>33</v>
      </c>
      <c r="K29" s="10" t="s">
        <v>154</v>
      </c>
      <c r="L29" s="10" t="s">
        <v>155</v>
      </c>
      <c r="M29" s="9"/>
      <c r="N29" s="13" t="s">
        <v>29</v>
      </c>
      <c r="O29" s="24" t="str">
        <f>VLOOKUP(A29,'[1]09-06-26'!$A$2:$T$53,20,0)</f>
        <v>P Asiatic ( 14 Inch ) 2     Grass</v>
      </c>
      <c r="P29" s="24" t="str">
        <f>VLOOKUP(A29,'[1]16-06-26'!$A$2:$T$59,20,0)</f>
        <v>P n W Glad ( 14 Inch ) 11     Grass</v>
      </c>
      <c r="Q29" s="24" t="str">
        <f>VLOOKUP(A29,'[1]23-06-26'!$A$2:$T$48,20,0)</f>
        <v>P Spray Daisy ( 14 Inch ) 3     FF Sachet + Grass</v>
      </c>
      <c r="R29" s="24" t="str">
        <f>VLOOKUP(A29,'[1]30-06-26'!$A$2:$T$51,20,0)</f>
        <v>Sunflower ( 12 Incjh ) 3     FF Sachet + Grass</v>
      </c>
      <c r="S29" s="24" t="str">
        <f>VLOOKUP(A29,'[2]07-07-26'!$A$2:$T$60,20,0)</f>
        <v>Mix Alstroemeria ( 12 Inch ) 11     FF Sachet + Grass</v>
      </c>
      <c r="T29" s="24" t="s">
        <v>349</v>
      </c>
      <c r="U29" s="24">
        <v>3</v>
      </c>
      <c r="V29" s="24"/>
      <c r="W29" s="24"/>
      <c r="X29" s="24"/>
      <c r="Y29" s="24"/>
      <c r="Z29" s="24" t="s">
        <v>291</v>
      </c>
      <c r="AA29" s="24"/>
      <c r="AB29" s="24"/>
      <c r="AC29" s="24"/>
      <c r="AD29" s="24"/>
    </row>
    <row r="30" spans="1:30" ht="126.3" hidden="1" customHeight="1" x14ac:dyDescent="0.3">
      <c r="A30" s="1">
        <v>1411</v>
      </c>
      <c r="B30" s="8" t="s">
        <v>156</v>
      </c>
      <c r="C30" s="9">
        <v>9810002228</v>
      </c>
      <c r="D30" s="10" t="s">
        <v>157</v>
      </c>
      <c r="E30" s="10" t="s">
        <v>49</v>
      </c>
      <c r="F30" s="10" t="s">
        <v>50</v>
      </c>
      <c r="G30" s="11" t="s">
        <v>26</v>
      </c>
      <c r="H30" s="9">
        <v>3000</v>
      </c>
      <c r="I30" s="9">
        <v>375</v>
      </c>
      <c r="J30" s="12" t="s">
        <v>158</v>
      </c>
      <c r="K30" s="10" t="s">
        <v>159</v>
      </c>
      <c r="L30" s="9"/>
      <c r="M30" s="9"/>
      <c r="N30" s="13" t="s">
        <v>41</v>
      </c>
      <c r="O30" s="24" t="e">
        <f>VLOOKUP(A30,'[1]09-06-26'!$A$2:$T$53,20,0)</f>
        <v>#N/A</v>
      </c>
      <c r="P30" s="24" t="e">
        <f>VLOOKUP(A30,'[1]16-06-26'!$A$2:$T$59,20,0)</f>
        <v>#N/A</v>
      </c>
      <c r="Q30" s="24" t="e">
        <f>VLOOKUP(A30,'[1]23-06-26'!$A$2:$T$48,20,0)</f>
        <v>#N/A</v>
      </c>
      <c r="R30" s="24" t="e">
        <f>VLOOKUP(A30,'[1]30-06-26'!$A$2:$T$51,20,0)</f>
        <v>#N/A</v>
      </c>
      <c r="S30" s="24" t="str">
        <f>VLOOKUP(A30,'[2]07-07-26'!$A$2:$T$60,20,0)</f>
        <v>O Asiatic ( 14 Inch ) 3     Grass</v>
      </c>
      <c r="T30" s="24" t="s">
        <v>284</v>
      </c>
      <c r="U30" s="24">
        <v>15</v>
      </c>
      <c r="V30" s="24"/>
      <c r="W30" s="24"/>
      <c r="X30" s="24"/>
      <c r="Y30" s="24"/>
      <c r="Z30" s="24" t="s">
        <v>291</v>
      </c>
      <c r="AA30" s="24"/>
      <c r="AB30" s="24"/>
      <c r="AC30" s="24"/>
      <c r="AD30" s="24"/>
    </row>
    <row r="31" spans="1:30" ht="126.3" customHeight="1" x14ac:dyDescent="0.3">
      <c r="A31" s="1">
        <v>2594</v>
      </c>
      <c r="B31" s="8" t="s">
        <v>160</v>
      </c>
      <c r="C31" s="16">
        <v>9971707368</v>
      </c>
      <c r="D31" s="10" t="s">
        <v>161</v>
      </c>
      <c r="E31" s="10" t="s">
        <v>162</v>
      </c>
      <c r="F31" s="10" t="s">
        <v>32</v>
      </c>
      <c r="G31" s="11" t="s">
        <v>18</v>
      </c>
      <c r="H31" s="9">
        <v>1450</v>
      </c>
      <c r="I31" s="9">
        <v>362.5</v>
      </c>
      <c r="J31" s="12" t="s">
        <v>39</v>
      </c>
      <c r="K31" s="10" t="s">
        <v>163</v>
      </c>
      <c r="L31" s="9"/>
      <c r="M31" s="9"/>
      <c r="N31" s="13" t="s">
        <v>164</v>
      </c>
      <c r="O31" s="24" t="str">
        <f>VLOOKUP(A31,'[1]09-06-26'!$A$2:$T$53,20,0)</f>
        <v>R n P Car ( 14 Inch ) 9     FF Sachet + Grass</v>
      </c>
      <c r="P31" s="24" t="str">
        <f>VLOOKUP(A31,'[1]16-06-26'!$A$2:$T$59,20,0)</f>
        <v>Mix Alstroemeria ( 12 Inch ) 9     FF Sachet + Grass</v>
      </c>
      <c r="Q31" s="24" t="str">
        <f>VLOOKUP(A31,'[1]23-06-26'!$A$2:$T$48,20,0)</f>
        <v>Sunflower ( 12 Inch ) 2     FF Sachet + Grass</v>
      </c>
      <c r="R31" s="24" t="str">
        <f>VLOOKUP(A31,'[1]30-06-26'!$A$2:$T$51,20,0)</f>
        <v>P n W Glad ( 14 inch ) 9     Grass</v>
      </c>
      <c r="S31" s="24" t="str">
        <f>VLOOKUP(A31,'[2]07-07-26'!$A$2:$T$60,20,0)</f>
        <v>Rajni ( 14 Inch ) 16     Grass</v>
      </c>
      <c r="T31" s="24" t="s">
        <v>298</v>
      </c>
      <c r="U31" s="24">
        <v>3</v>
      </c>
      <c r="V31" s="24"/>
      <c r="W31" s="24"/>
      <c r="X31" s="24"/>
      <c r="Y31" s="24"/>
      <c r="Z31" s="24" t="s">
        <v>290</v>
      </c>
      <c r="AA31" s="24"/>
      <c r="AB31" s="24"/>
      <c r="AC31" s="24"/>
      <c r="AD31" s="24"/>
    </row>
    <row r="32" spans="1:30" ht="126.3" hidden="1" customHeight="1" x14ac:dyDescent="0.3">
      <c r="A32" s="1">
        <v>1147</v>
      </c>
      <c r="B32" s="8" t="s">
        <v>165</v>
      </c>
      <c r="C32" s="1">
        <v>9811157690</v>
      </c>
      <c r="D32" s="10" t="s">
        <v>166</v>
      </c>
      <c r="E32" s="10" t="s">
        <v>49</v>
      </c>
      <c r="F32" s="10" t="s">
        <v>32</v>
      </c>
      <c r="G32" s="10" t="s">
        <v>18</v>
      </c>
      <c r="H32" s="9">
        <v>1600</v>
      </c>
      <c r="I32" s="9">
        <v>200</v>
      </c>
      <c r="J32" s="10" t="s">
        <v>19</v>
      </c>
      <c r="K32" s="10" t="s">
        <v>167</v>
      </c>
      <c r="L32" s="10" t="s">
        <v>168</v>
      </c>
      <c r="M32" s="9"/>
      <c r="N32" s="13" t="s">
        <v>169</v>
      </c>
      <c r="O32" s="24" t="str">
        <f>VLOOKUP(A32,'[1]09-06-26'!$A$2:$T$53,20,0)</f>
        <v>P n W Glad ( 14 Inch ) 7     Grass</v>
      </c>
      <c r="P32" s="24" t="str">
        <f>VLOOKUP(A32,'[1]16-06-26'!$A$2:$T$59,20,0)</f>
        <v>Mix Alstroemeria ( 12 Inch ) 7     FF Sachet + Grass</v>
      </c>
      <c r="Q32" s="24" t="str">
        <f>VLOOKUP(A32,'[1]23-06-26'!$A$2:$T$48,20,0)</f>
        <v>Sunflower ( 12 Inch ) 2     FF Sachet + Grass</v>
      </c>
      <c r="R32" s="24" t="str">
        <f>VLOOKUP(A32,'[1]30-06-26'!$A$2:$T$51,20,0)</f>
        <v>P n W Glad ( 14 inch ) 7     Grass</v>
      </c>
      <c r="S32" s="24" t="e">
        <f>VLOOKUP(A32,'[2]07-07-26'!$A$2:$T$60,20,0)</f>
        <v>#N/A</v>
      </c>
      <c r="T32" s="24" t="s">
        <v>284</v>
      </c>
      <c r="U32" s="24">
        <v>7</v>
      </c>
      <c r="V32" s="24"/>
      <c r="W32" s="24"/>
      <c r="X32" s="24"/>
      <c r="Y32" s="24"/>
      <c r="Z32" s="24" t="s">
        <v>291</v>
      </c>
      <c r="AA32" s="24"/>
      <c r="AB32" s="24"/>
      <c r="AC32" s="24"/>
      <c r="AD32" s="24"/>
    </row>
    <row r="33" spans="1:30" ht="126.3" hidden="1" customHeight="1" x14ac:dyDescent="0.3">
      <c r="A33" s="1">
        <v>975</v>
      </c>
      <c r="B33" s="8" t="s">
        <v>170</v>
      </c>
      <c r="C33" s="9">
        <v>9910007371</v>
      </c>
      <c r="D33" s="10" t="s">
        <v>171</v>
      </c>
      <c r="E33" s="10" t="s">
        <v>16</v>
      </c>
      <c r="F33" s="12" t="s">
        <v>17</v>
      </c>
      <c r="G33" s="11" t="s">
        <v>26</v>
      </c>
      <c r="H33" s="9">
        <v>3750</v>
      </c>
      <c r="I33" s="9">
        <v>468.75</v>
      </c>
      <c r="J33" s="20" t="s">
        <v>117</v>
      </c>
      <c r="K33" s="10" t="s">
        <v>172</v>
      </c>
      <c r="L33" s="10" t="s">
        <v>173</v>
      </c>
      <c r="M33" s="9"/>
      <c r="N33" s="13" t="s">
        <v>41</v>
      </c>
      <c r="O33" s="24" t="str">
        <f>VLOOKUP(A33,'[1]09-06-26'!$A$2:$T$53,20,0)</f>
        <v>P Asiatic ( 14 Inch ) 2 Mix Alstroemeria ( 12 Inch ) 10   Grass</v>
      </c>
      <c r="P33" s="24" t="str">
        <f>VLOOKUP(A33,'[1]16-06-26'!$A$2:$T$59,20,0)</f>
        <v>P Spray Daisy ( 14 Inch ) 3 O n P Car ( 14 Inch ) 10   FF Sachet + Grass</v>
      </c>
      <c r="Q33" s="24" t="str">
        <f>VLOOKUP(A33,'[1]23-06-26'!$A$2:$T$48,20,0)</f>
        <v>P Eustoma ( 12 Inch ) 3 Rajni ( 14 Inch ) 10   FF Sachet + Grass</v>
      </c>
      <c r="R33" s="24" t="str">
        <f>VLOOKUP(A33,'[1]30-06-26'!$A$2:$T$51,20,0)</f>
        <v>O Asiatic ( 14 Inch ) 2 P n W Car ( 14 Inch ) 10   Grass</v>
      </c>
      <c r="S33" s="24" t="str">
        <f>VLOOKUP(A33,'[2]07-07-26'!$A$2:$T$60,20,0)</f>
        <v>Pur Eustoma ( 12 inch ) 2 Mix Alstroemeria ( 12 Inch ) 10   FF Sachet + Grass</v>
      </c>
      <c r="T33" s="24" t="s">
        <v>283</v>
      </c>
      <c r="U33" s="24">
        <v>2</v>
      </c>
      <c r="V33" s="24" t="s">
        <v>281</v>
      </c>
      <c r="W33" s="24">
        <v>12</v>
      </c>
      <c r="X33" s="24"/>
      <c r="Y33" s="24"/>
      <c r="Z33" s="24" t="s">
        <v>290</v>
      </c>
      <c r="AA33" s="24"/>
      <c r="AB33" s="24"/>
      <c r="AC33" s="24"/>
      <c r="AD33" s="24"/>
    </row>
    <row r="34" spans="1:30" ht="126.3" hidden="1" customHeight="1" x14ac:dyDescent="0.3">
      <c r="A34" s="1">
        <v>1953</v>
      </c>
      <c r="B34" s="8" t="s">
        <v>174</v>
      </c>
      <c r="C34" s="9">
        <v>8800649797</v>
      </c>
      <c r="D34" s="9" t="s">
        <v>175</v>
      </c>
      <c r="E34" s="10" t="s">
        <v>61</v>
      </c>
      <c r="F34" s="9" t="s">
        <v>17</v>
      </c>
      <c r="G34" s="9" t="s">
        <v>26</v>
      </c>
      <c r="H34" s="9">
        <v>3000</v>
      </c>
      <c r="I34" s="9">
        <v>375</v>
      </c>
      <c r="J34" s="9" t="s">
        <v>158</v>
      </c>
      <c r="K34" s="10" t="s">
        <v>176</v>
      </c>
      <c r="L34" s="9"/>
      <c r="M34" s="9"/>
      <c r="N34" s="13" t="s">
        <v>41</v>
      </c>
      <c r="O34" s="24" t="str">
        <f>VLOOKUP(A34,'[1]09-06-26'!$A$2:$T$53,20,0)</f>
        <v>P Oriental ( 14 Inch ) 2     Grass</v>
      </c>
      <c r="P34" s="24" t="str">
        <f>VLOOKUP(A34,'[1]16-06-26'!$A$2:$T$59,20,0)</f>
        <v>Rajni ( 14 Inch ) 15     Grass</v>
      </c>
      <c r="Q34" s="24" t="str">
        <f>VLOOKUP(A34,'[1]23-06-26'!$A$2:$T$48,20,0)</f>
        <v>O Asiatic ( 14 Inch ) 3     Grass</v>
      </c>
      <c r="R34" s="24" t="str">
        <f>VLOOKUP(A34,'[1]30-06-26'!$A$2:$T$51,20,0)</f>
        <v>P n W Glad ( 14 inch ) 15     Grass</v>
      </c>
      <c r="S34" s="24" t="str">
        <f>VLOOKUP(A34,'[2]07-07-26'!$A$2:$T$60,20,0)</f>
        <v>Pur n P Car ( 14 Inch ) 15     FF Sachet + Grass</v>
      </c>
      <c r="T34" s="24" t="s">
        <v>288</v>
      </c>
      <c r="U34" s="24">
        <v>4</v>
      </c>
      <c r="V34" s="24"/>
      <c r="W34" s="24"/>
      <c r="X34" s="24"/>
      <c r="Y34" s="24"/>
      <c r="Z34" s="24" t="s">
        <v>291</v>
      </c>
      <c r="AA34" s="24"/>
      <c r="AB34" s="24"/>
      <c r="AC34" s="24"/>
      <c r="AD34" s="24"/>
    </row>
    <row r="35" spans="1:30" ht="126.3" hidden="1" customHeight="1" x14ac:dyDescent="0.3">
      <c r="A35" s="1">
        <v>2525</v>
      </c>
      <c r="B35" s="22" t="s">
        <v>177</v>
      </c>
      <c r="C35" s="16">
        <v>9810512391</v>
      </c>
      <c r="D35" s="10" t="s">
        <v>178</v>
      </c>
      <c r="E35" s="10" t="s">
        <v>44</v>
      </c>
      <c r="F35" s="10" t="s">
        <v>32</v>
      </c>
      <c r="G35" s="10" t="s">
        <v>85</v>
      </c>
      <c r="H35" s="9">
        <v>1450</v>
      </c>
      <c r="I35" s="9">
        <v>362.5</v>
      </c>
      <c r="J35" s="12" t="s">
        <v>39</v>
      </c>
      <c r="K35" s="10" t="s">
        <v>179</v>
      </c>
      <c r="L35" s="9"/>
      <c r="M35" s="9"/>
      <c r="N35" s="13" t="s">
        <v>180</v>
      </c>
      <c r="O35" s="24" t="str">
        <f>VLOOKUP(A35,'[1]09-06-26'!$A$2:$T$53,20,0)</f>
        <v>P Asiatic ( 14 Inch ) 2     Grass</v>
      </c>
      <c r="P35" s="24" t="str">
        <f>VLOOKUP(A35,'[1]16-06-26'!$A$2:$T$59,20,0)</f>
        <v>O n P Car ( 14 Inch ) 9     FF Sachet + Grass</v>
      </c>
      <c r="Q35" s="24" t="str">
        <f>VLOOKUP(A35,'[1]23-06-26'!$A$2:$T$48,20,0)</f>
        <v>B Daisy ( 12 Inch ) 9     Grass</v>
      </c>
      <c r="R35" s="24" t="str">
        <f>VLOOKUP(A35,'[1]30-06-26'!$A$2:$T$51,20,0)</f>
        <v>Sunflower ( 12 Incjh ) 2     FF Sachet + grass</v>
      </c>
      <c r="S35" s="24" t="str">
        <f>VLOOKUP(A35,'[2]07-07-26'!$A$2:$T$60,20,0)</f>
        <v>Pur n P Car ( 14 Inch ) 16     FF Sachet + Grass</v>
      </c>
      <c r="T35" s="24" t="s">
        <v>283</v>
      </c>
      <c r="U35" s="24">
        <v>3</v>
      </c>
      <c r="V35" s="24"/>
      <c r="W35" s="24"/>
      <c r="X35" s="24"/>
      <c r="Y35" s="24"/>
      <c r="Z35" s="24" t="s">
        <v>290</v>
      </c>
      <c r="AA35" s="24"/>
      <c r="AB35" s="24"/>
      <c r="AC35" s="24"/>
      <c r="AD35" s="24"/>
    </row>
    <row r="36" spans="1:30" ht="126.3" hidden="1" customHeight="1" x14ac:dyDescent="0.3">
      <c r="A36" s="1">
        <v>2484</v>
      </c>
      <c r="B36" s="8" t="s">
        <v>181</v>
      </c>
      <c r="C36" s="9">
        <v>9871225514</v>
      </c>
      <c r="D36" s="10" t="s">
        <v>182</v>
      </c>
      <c r="E36" s="10" t="s">
        <v>44</v>
      </c>
      <c r="F36" s="10" t="s">
        <v>32</v>
      </c>
      <c r="G36" s="11" t="s">
        <v>26</v>
      </c>
      <c r="H36" s="9">
        <v>1450</v>
      </c>
      <c r="I36" s="9">
        <v>362.5</v>
      </c>
      <c r="J36" s="10" t="s">
        <v>39</v>
      </c>
      <c r="K36" s="10" t="s">
        <v>183</v>
      </c>
      <c r="L36" s="10" t="s">
        <v>184</v>
      </c>
      <c r="M36" s="10" t="s">
        <v>185</v>
      </c>
      <c r="N36" s="13" t="s">
        <v>186</v>
      </c>
      <c r="O36" s="24" t="str">
        <f>VLOOKUP(A36,'[1]09-06-26'!$A$2:$T$53,20,0)</f>
        <v>Pur Eustoma ( 12 Inch ) 2 Mix Alstroemeria ( 12 Inch ) 7   FF Sachet + Grass</v>
      </c>
      <c r="P36" s="24" t="str">
        <f>VLOOKUP(A36,'[1]16-06-26'!$A$2:$T$59,20,0)</f>
        <v>Sunflower ( 12 Inch ) 2 O n P Car ( 14 Inch ) 7   FF Sachet + Grass</v>
      </c>
      <c r="Q36" s="24" t="e">
        <f>VLOOKUP(A36,'[1]23-06-26'!$A$2:$T$48,20,0)</f>
        <v>#N/A</v>
      </c>
      <c r="R36" s="24" t="str">
        <f>VLOOKUP(A36,'[1]30-06-26'!$A$2:$T$51,20,0)</f>
        <v>Spray Daisy 3 Glad 7   FF Sachet + Grass</v>
      </c>
      <c r="S36" s="24" t="str">
        <f>VLOOKUP(A36,'[2]07-07-26'!$A$2:$T$60,20,0)</f>
        <v>P Asiatic ( 14 Inch ) 2 B Daisy ( 12 Inch  7   Grass</v>
      </c>
      <c r="T36" s="24" t="s">
        <v>281</v>
      </c>
      <c r="U36" s="24">
        <v>16</v>
      </c>
      <c r="V36" s="24"/>
      <c r="W36" s="24"/>
      <c r="X36" s="24"/>
      <c r="Y36" s="24"/>
      <c r="Z36" s="24" t="s">
        <v>291</v>
      </c>
      <c r="AA36" s="24"/>
      <c r="AB36" s="24"/>
      <c r="AC36" s="24"/>
      <c r="AD36" s="24"/>
    </row>
    <row r="37" spans="1:30" ht="126.3" hidden="1" customHeight="1" x14ac:dyDescent="0.3">
      <c r="A37" s="1">
        <v>2692</v>
      </c>
      <c r="B37" s="8" t="s">
        <v>187</v>
      </c>
      <c r="C37" s="9">
        <v>9910309930</v>
      </c>
      <c r="D37" s="10" t="s">
        <v>188</v>
      </c>
      <c r="E37" s="10" t="s">
        <v>44</v>
      </c>
      <c r="F37" s="10" t="s">
        <v>17</v>
      </c>
      <c r="G37" s="11" t="s">
        <v>26</v>
      </c>
      <c r="H37" s="9">
        <v>2300</v>
      </c>
      <c r="I37" s="9">
        <v>287.5</v>
      </c>
      <c r="J37" s="10" t="s">
        <v>33</v>
      </c>
      <c r="K37" s="10" t="s">
        <v>189</v>
      </c>
      <c r="L37" s="9"/>
      <c r="M37" s="9"/>
      <c r="N37" s="13" t="s">
        <v>21</v>
      </c>
      <c r="O37" s="24" t="str">
        <f>VLOOKUP(A37,'[1]09-06-26'!$A$2:$T$53,20,0)</f>
        <v>Mix Alstroemeria ( 12 Inch ) 11     FF Sachet + Grass</v>
      </c>
      <c r="P37" s="24" t="str">
        <f>VLOOKUP(A37,'[1]16-06-26'!$A$2:$T$59,20,0)</f>
        <v>O n P Car ( 14 Inch ) 11     FF Sachet + Grass</v>
      </c>
      <c r="Q37" s="24" t="str">
        <f>VLOOKUP(A37,'[1]23-06-26'!$A$2:$T$48,20,0)</f>
        <v>Rajni ( 14 Inch ) 11     Grass</v>
      </c>
      <c r="R37" s="24" t="str">
        <f>VLOOKUP(A37,'[1]30-06-26'!$A$2:$T$51,20,0)</f>
        <v>P n W Glad ( 14 inch ) 11     Grass</v>
      </c>
      <c r="S37" s="24" t="str">
        <f>VLOOKUP(A37,'[2]07-07-26'!$A$2:$T$60,20,0)</f>
        <v>Pur n P Car ( 14 Inch ) 11     FF Sachet + Grass</v>
      </c>
      <c r="T37" s="24" t="s">
        <v>285</v>
      </c>
      <c r="U37" s="24">
        <v>3</v>
      </c>
      <c r="V37" s="24"/>
      <c r="W37" s="24"/>
      <c r="X37" s="24"/>
      <c r="Y37" s="24"/>
      <c r="Z37" s="24" t="s">
        <v>291</v>
      </c>
      <c r="AA37" s="24"/>
      <c r="AB37" s="24"/>
      <c r="AC37" s="24"/>
      <c r="AD37" s="24"/>
    </row>
    <row r="38" spans="1:30" ht="126.3" hidden="1" customHeight="1" x14ac:dyDescent="0.3">
      <c r="A38" s="1">
        <v>3306</v>
      </c>
      <c r="B38" s="8" t="s">
        <v>190</v>
      </c>
      <c r="C38" s="9">
        <v>9004227662</v>
      </c>
      <c r="D38" s="10" t="s">
        <v>191</v>
      </c>
      <c r="E38" s="10" t="s">
        <v>162</v>
      </c>
      <c r="F38" s="10" t="s">
        <v>32</v>
      </c>
      <c r="G38" s="9" t="s">
        <v>192</v>
      </c>
      <c r="H38" s="9">
        <v>1450</v>
      </c>
      <c r="I38" s="9">
        <v>362.5</v>
      </c>
      <c r="J38" s="10" t="s">
        <v>39</v>
      </c>
      <c r="K38" s="10" t="s">
        <v>193</v>
      </c>
      <c r="L38" s="9"/>
      <c r="M38" s="9"/>
      <c r="N38" s="13" t="s">
        <v>29</v>
      </c>
      <c r="O38" s="24" t="str">
        <f>VLOOKUP(A38,'[1]09-06-26'!$A$2:$T$53,20,0)</f>
        <v>P n W Spray Daisy ( 14 Inch ) 5     FF Sachet + Grass</v>
      </c>
      <c r="P38" s="24" t="str">
        <f>VLOOKUP(A38,'[1]16-06-26'!$A$2:$T$59,20,0)</f>
        <v>O n P Car ( 14 Inch ) 16     FF Sachet + Grass</v>
      </c>
      <c r="Q38" s="24" t="str">
        <f>VLOOKUP(A38,'[1]23-06-26'!$A$2:$T$48,20,0)</f>
        <v>Pur Eustoma ( 12 Inch ) 3     FF Sachet + Grass</v>
      </c>
      <c r="R38" s="24" t="str">
        <f>VLOOKUP(A38,'[1]30-06-26'!$A$2:$T$51,20,0)</f>
        <v>Y Asiatic ( 14 Inch ) 3    Ensure Collection Grass</v>
      </c>
      <c r="S38" s="24" t="str">
        <f>VLOOKUP(A38,'[2]07-07-26'!$A$2:$T$60,20,0)</f>
        <v>Mix Alstroemeria ( 12 Inch ) 16     FF Sachet + Grass</v>
      </c>
      <c r="T38" s="24" t="s">
        <v>282</v>
      </c>
      <c r="U38" s="24">
        <v>16</v>
      </c>
      <c r="V38" s="24"/>
      <c r="W38" s="24"/>
      <c r="X38" s="24"/>
      <c r="Y38" s="24"/>
      <c r="Z38" s="24" t="s">
        <v>290</v>
      </c>
      <c r="AA38" s="24"/>
      <c r="AB38" s="24"/>
      <c r="AC38" s="24"/>
      <c r="AD38" s="24"/>
    </row>
    <row r="39" spans="1:30" ht="126.3" hidden="1" customHeight="1" x14ac:dyDescent="0.3">
      <c r="A39" s="1">
        <v>2550</v>
      </c>
      <c r="B39" s="8" t="s">
        <v>194</v>
      </c>
      <c r="C39" s="9">
        <v>9810123062</v>
      </c>
      <c r="D39" s="10" t="s">
        <v>195</v>
      </c>
      <c r="E39" s="10" t="s">
        <v>25</v>
      </c>
      <c r="F39" s="10" t="s">
        <v>196</v>
      </c>
      <c r="G39" s="11" t="s">
        <v>26</v>
      </c>
      <c r="H39" s="9">
        <v>1450</v>
      </c>
      <c r="I39" s="9">
        <v>362.5</v>
      </c>
      <c r="J39" s="10" t="s">
        <v>39</v>
      </c>
      <c r="K39" s="10" t="s">
        <v>197</v>
      </c>
      <c r="L39" s="9"/>
      <c r="M39" s="9"/>
      <c r="N39" s="13" t="s">
        <v>198</v>
      </c>
      <c r="O39" s="24" t="e">
        <f>VLOOKUP(A39,'[1]09-06-26'!$A$2:$T$53,20,0)</f>
        <v>#N/A</v>
      </c>
      <c r="P39" s="24" t="e">
        <f>VLOOKUP(A39,'[1]16-06-26'!$A$2:$T$59,20,0)</f>
        <v>#N/A</v>
      </c>
      <c r="Q39" s="24" t="e">
        <f>VLOOKUP(A39,'[1]23-06-26'!$A$2:$T$48,20,0)</f>
        <v>#N/A</v>
      </c>
      <c r="R39" s="24" t="str">
        <f>VLOOKUP(A39,'[1]30-06-26'!$A$2:$T$51,20,0)</f>
        <v>Sunflower ( 12 Incjh ) 2 P n W Glad ( 14 Inch) 7   FF Sachet + Grass</v>
      </c>
      <c r="S39" s="24" t="e">
        <f>VLOOKUP(A39,'[2]07-07-26'!$A$2:$T$60,20,0)</f>
        <v>#N/A</v>
      </c>
      <c r="T39" s="24" t="s">
        <v>349</v>
      </c>
      <c r="U39" s="24">
        <v>3</v>
      </c>
      <c r="V39" s="24" t="s">
        <v>281</v>
      </c>
      <c r="W39" s="24">
        <v>7</v>
      </c>
      <c r="X39" s="24"/>
      <c r="Y39" s="24"/>
      <c r="Z39" s="24" t="s">
        <v>291</v>
      </c>
      <c r="AA39" s="24"/>
      <c r="AB39" s="24"/>
      <c r="AC39" s="24"/>
      <c r="AD39" s="24"/>
    </row>
    <row r="40" spans="1:30" ht="126.3" hidden="1" customHeight="1" x14ac:dyDescent="0.3">
      <c r="A40" s="1">
        <v>1542</v>
      </c>
      <c r="B40" s="8" t="s">
        <v>199</v>
      </c>
      <c r="C40" s="9">
        <v>9811004396</v>
      </c>
      <c r="D40" s="10" t="s">
        <v>200</v>
      </c>
      <c r="E40" s="10" t="s">
        <v>44</v>
      </c>
      <c r="F40" s="10" t="s">
        <v>17</v>
      </c>
      <c r="G40" s="11" t="s">
        <v>18</v>
      </c>
      <c r="H40" s="9">
        <v>3000</v>
      </c>
      <c r="I40" s="9">
        <v>375</v>
      </c>
      <c r="J40" s="10" t="s">
        <v>158</v>
      </c>
      <c r="K40" s="10" t="s">
        <v>201</v>
      </c>
      <c r="L40" s="10" t="s">
        <v>202</v>
      </c>
      <c r="M40" s="10" t="s">
        <v>203</v>
      </c>
      <c r="N40" s="13" t="s">
        <v>204</v>
      </c>
      <c r="O40" s="24" t="e">
        <f>VLOOKUP(A40,'[1]09-06-26'!$A$2:$T$53,20,0)</f>
        <v>#N/A</v>
      </c>
      <c r="P40" s="24" t="str">
        <f>VLOOKUP(A40,'[1]16-06-26'!$A$2:$T$59,20,0)</f>
        <v>P Spray Daisy ( 14 Inch ) 2 P n W Glad ( 14 Inch ) 7   FF Sachet + Grass</v>
      </c>
      <c r="Q40" s="24" t="str">
        <f>VLOOKUP(A40,'[1]23-06-26'!$A$2:$T$48,20,0)</f>
        <v>Pur Eustoma ( 12 Inch ) 2 Rajni ( 14 Inch ) 7   FF Sachet + Grass</v>
      </c>
      <c r="R40" s="24" t="str">
        <f>VLOOKUP(A40,'[1]30-06-26'!$A$2:$T$51,20,0)</f>
        <v>Sunflower ( 12 Incjh ) 2 P n W Car ( 14 Inch ) 7   FF Sachet + Grass</v>
      </c>
      <c r="S40" s="24" t="str">
        <f>VLOOKUP(A40,'[2]07-07-26'!$A$2:$T$60,20,0)</f>
        <v>P Spray Daisy ( 14 Inch ) 2 Mix Alstroemeria ( 12 Inch ) 7   FF Sachet + Grass</v>
      </c>
      <c r="T40" s="24" t="s">
        <v>349</v>
      </c>
      <c r="U40" s="24">
        <v>2</v>
      </c>
      <c r="V40" s="24" t="s">
        <v>281</v>
      </c>
      <c r="W40" s="24">
        <v>7</v>
      </c>
      <c r="X40" s="24"/>
      <c r="Y40" s="24"/>
      <c r="Z40" s="24" t="s">
        <v>291</v>
      </c>
      <c r="AA40" s="24"/>
      <c r="AB40" s="24"/>
      <c r="AC40" s="24"/>
      <c r="AD40" s="24"/>
    </row>
    <row r="41" spans="1:30" ht="126.3" hidden="1" customHeight="1" x14ac:dyDescent="0.3">
      <c r="A41" s="1">
        <v>2487</v>
      </c>
      <c r="B41" s="8" t="s">
        <v>205</v>
      </c>
      <c r="C41" s="9">
        <v>9711267571</v>
      </c>
      <c r="D41" s="10" t="s">
        <v>206</v>
      </c>
      <c r="E41" s="10" t="s">
        <v>25</v>
      </c>
      <c r="F41" s="10" t="s">
        <v>32</v>
      </c>
      <c r="G41" s="19" t="s">
        <v>66</v>
      </c>
      <c r="H41" s="9">
        <v>1950</v>
      </c>
      <c r="I41" s="9">
        <v>487.5</v>
      </c>
      <c r="J41" s="12" t="s">
        <v>86</v>
      </c>
      <c r="K41" s="10" t="s">
        <v>207</v>
      </c>
      <c r="L41" s="10" t="s">
        <v>208</v>
      </c>
      <c r="M41" s="10"/>
      <c r="N41" s="13" t="s">
        <v>209</v>
      </c>
      <c r="O41" s="24" t="str">
        <f>VLOOKUP(A41,'[1]09-06-26'!$A$2:$T$53,20,0)</f>
        <v>R n W  Carnation  22     Grass</v>
      </c>
      <c r="P41" s="24" t="str">
        <f>VLOOKUP(A41,'[1]16-06-26'!$A$2:$T$59,20,0)</f>
        <v>P n Pur Eustoma ( 12 Inch ) 4     FF Sachet + Grass</v>
      </c>
      <c r="Q41" s="24" t="str">
        <f>VLOOKUP(A41,'[1]23-06-26'!$A$2:$T$48,20,0)</f>
        <v>Mix Spray Daisy 7     Grass</v>
      </c>
      <c r="R41" s="24" t="e">
        <f>VLOOKUP(A41,'[1]30-06-26'!$A$2:$T$51,20,0)</f>
        <v>#N/A</v>
      </c>
      <c r="S41" s="24" t="str">
        <f>VLOOKUP(A41,'[2]07-07-26'!$A$2:$T$60,20,0)</f>
        <v>Y Asiatic ( 14 Inch ) 4     Grass</v>
      </c>
      <c r="T41" s="24" t="s">
        <v>281</v>
      </c>
      <c r="U41" s="24">
        <v>22</v>
      </c>
      <c r="V41" s="24"/>
      <c r="W41" s="24"/>
      <c r="X41" s="24"/>
      <c r="Y41" s="24"/>
      <c r="Z41" s="24" t="s">
        <v>291</v>
      </c>
      <c r="AA41" s="24"/>
      <c r="AB41" s="24"/>
      <c r="AC41" s="24"/>
      <c r="AD41" s="24"/>
    </row>
    <row r="42" spans="1:30" ht="126.3" hidden="1" customHeight="1" x14ac:dyDescent="0.3">
      <c r="A42" s="12" t="s">
        <v>210</v>
      </c>
      <c r="B42" s="8" t="s">
        <v>211</v>
      </c>
      <c r="C42" s="9">
        <v>9910866119</v>
      </c>
      <c r="D42" s="10" t="s">
        <v>212</v>
      </c>
      <c r="E42" s="10" t="s">
        <v>115</v>
      </c>
      <c r="F42" s="10" t="s">
        <v>32</v>
      </c>
      <c r="G42" s="10" t="s">
        <v>71</v>
      </c>
      <c r="H42" s="9">
        <v>2850</v>
      </c>
      <c r="I42" s="9">
        <v>2850</v>
      </c>
      <c r="J42" s="12" t="s">
        <v>213</v>
      </c>
      <c r="K42" s="10" t="s">
        <v>214</v>
      </c>
      <c r="L42" s="9"/>
      <c r="M42" s="9"/>
      <c r="N42" s="13" t="s">
        <v>121</v>
      </c>
      <c r="O42" s="24" t="e">
        <f>VLOOKUP(A42,'[1]09-06-26'!$A$2:$T$53,20,0)</f>
        <v>#N/A</v>
      </c>
      <c r="P42" s="24" t="e">
        <f>VLOOKUP(A42,'[1]16-06-26'!$A$2:$T$59,20,0)</f>
        <v>#N/A</v>
      </c>
      <c r="Q42" s="24" t="e">
        <f>VLOOKUP(A42,'[1]23-06-26'!$A$2:$T$48,20,0)</f>
        <v>#N/A</v>
      </c>
      <c r="R42" s="24" t="e">
        <f>VLOOKUP(A42,'[1]30-06-26'!$A$2:$T$51,20,0)</f>
        <v>#N/A</v>
      </c>
      <c r="S42" s="24" t="e">
        <f>VLOOKUP(A42,'[2]07-07-26'!$A$2:$T$60,20,0)</f>
        <v>#N/A</v>
      </c>
      <c r="T42" s="24" t="s">
        <v>292</v>
      </c>
      <c r="U42" s="24">
        <v>10</v>
      </c>
      <c r="V42" s="24" t="s">
        <v>293</v>
      </c>
      <c r="W42" s="24"/>
      <c r="X42" s="24"/>
      <c r="Y42" s="24"/>
      <c r="Z42" s="24"/>
      <c r="AA42" s="24"/>
      <c r="AB42" s="24"/>
      <c r="AC42" s="24"/>
      <c r="AD42" s="24"/>
    </row>
    <row r="43" spans="1:30" ht="126.3" hidden="1" customHeight="1" x14ac:dyDescent="0.3">
      <c r="A43" s="1">
        <v>2536</v>
      </c>
      <c r="B43" s="23" t="s">
        <v>215</v>
      </c>
      <c r="C43" s="9">
        <v>9811096665</v>
      </c>
      <c r="D43" s="10" t="s">
        <v>216</v>
      </c>
      <c r="E43" s="10" t="s">
        <v>93</v>
      </c>
      <c r="F43" s="10" t="s">
        <v>17</v>
      </c>
      <c r="G43" s="11" t="s">
        <v>26</v>
      </c>
      <c r="H43" s="9">
        <v>1450</v>
      </c>
      <c r="I43" s="9">
        <v>362.5</v>
      </c>
      <c r="J43" s="12" t="s">
        <v>39</v>
      </c>
      <c r="K43" s="10" t="s">
        <v>217</v>
      </c>
      <c r="L43" s="9"/>
      <c r="M43" s="9"/>
      <c r="N43" s="13" t="s">
        <v>198</v>
      </c>
      <c r="O43" s="24" t="str">
        <f>VLOOKUP(A43,'[1]09-06-26'!$A$2:$T$53,20,0)</f>
        <v>P n W Glad ( 14 Inch ) 9     Grass</v>
      </c>
      <c r="P43" s="24" t="str">
        <f>VLOOKUP(A43,'[1]16-06-26'!$A$2:$T$59,20,0)</f>
        <v>P n Y Spray Daisy ( 14 Inch ) 5     FF Sachet + Grass</v>
      </c>
      <c r="Q43" s="24" t="str">
        <f>VLOOKUP(A43,'[1]23-06-26'!$A$2:$T$48,20,0)</f>
        <v>Rajni ( 14 Inch ) 16     FF Sachet + Grass</v>
      </c>
      <c r="R43" s="24" t="str">
        <f>VLOOKUP(A43,'[1]30-06-26'!$A$2:$T$51,20,0)</f>
        <v>P n W Car ( 14 Inch ) 16     FF Sachet + Grass</v>
      </c>
      <c r="S43" s="24" t="str">
        <f>VLOOKUP(A43,'[2]07-07-26'!$A$2:$T$60,20,0)</f>
        <v>Y Asiatic ( 14 Inch ) 3     Grass</v>
      </c>
      <c r="T43" s="24" t="s">
        <v>282</v>
      </c>
      <c r="U43" s="24">
        <v>16</v>
      </c>
      <c r="V43" s="24"/>
      <c r="W43" s="24"/>
      <c r="X43" s="24"/>
      <c r="Y43" s="24"/>
      <c r="Z43" s="24" t="s">
        <v>290</v>
      </c>
      <c r="AA43" s="24"/>
      <c r="AB43" s="24"/>
      <c r="AC43" s="24"/>
      <c r="AD43" s="24"/>
    </row>
    <row r="44" spans="1:30" ht="126.3" hidden="1" customHeight="1" x14ac:dyDescent="0.3">
      <c r="A44" s="1">
        <v>3275</v>
      </c>
      <c r="B44" s="23" t="s">
        <v>218</v>
      </c>
      <c r="C44" s="9">
        <v>9910105022</v>
      </c>
      <c r="D44" s="10" t="s">
        <v>219</v>
      </c>
      <c r="E44" s="10" t="s">
        <v>115</v>
      </c>
      <c r="F44" s="10" t="s">
        <v>32</v>
      </c>
      <c r="G44" s="11" t="s">
        <v>26</v>
      </c>
      <c r="H44" s="9">
        <v>1450</v>
      </c>
      <c r="I44" s="9">
        <v>362.5</v>
      </c>
      <c r="J44" s="12" t="s">
        <v>39</v>
      </c>
      <c r="K44" s="10" t="s">
        <v>220</v>
      </c>
      <c r="L44" s="9"/>
      <c r="M44" s="9"/>
      <c r="N44" s="13" t="s">
        <v>226</v>
      </c>
      <c r="O44" s="24" t="str">
        <f>VLOOKUP(A44,'[1]09-06-26'!$A$2:$T$53,20,0)</f>
        <v>P Asiatic ( 14 Inch ) 2     Grass</v>
      </c>
      <c r="P44" s="24" t="str">
        <f>VLOOKUP(A44,'[1]16-06-26'!$A$2:$T$59,20,0)</f>
        <v>O n P Car ( 14 Inch ) 16     FF Sachet + Grass</v>
      </c>
      <c r="Q44" s="24" t="str">
        <f>VLOOKUP(A44,'[1]23-06-26'!$A$2:$T$48,20,0)</f>
        <v>Pur Eustoma ( 12 Inch ) 3     FF Sachet + Grass</v>
      </c>
      <c r="R44" s="24" t="str">
        <f>VLOOKUP(A44,'[1]30-06-26'!$A$2:$T$51,20,0)</f>
        <v>Rajni ( 14 Inch ) 16     Grass</v>
      </c>
      <c r="S44" s="24" t="str">
        <f>VLOOKUP(A44,'[2]07-07-26'!$A$2:$T$60,20,0)</f>
        <v>B Daisy ( 12 Inch ) 16     Grass</v>
      </c>
      <c r="T44" s="24" t="s">
        <v>283</v>
      </c>
      <c r="U44" s="24">
        <v>3</v>
      </c>
      <c r="V44" s="24"/>
      <c r="W44" s="24"/>
      <c r="X44" s="24"/>
      <c r="Y44" s="24"/>
      <c r="Z44" s="24" t="s">
        <v>291</v>
      </c>
      <c r="AA44" s="24"/>
      <c r="AB44" s="24"/>
      <c r="AC44" s="24"/>
      <c r="AD44" s="24"/>
    </row>
    <row r="45" spans="1:30" ht="126.3" hidden="1" customHeight="1" x14ac:dyDescent="0.3">
      <c r="A45" s="12" t="s">
        <v>221</v>
      </c>
      <c r="B45" s="8" t="s">
        <v>222</v>
      </c>
      <c r="C45" s="9" t="s">
        <v>223</v>
      </c>
      <c r="D45" s="10" t="s">
        <v>224</v>
      </c>
      <c r="E45" s="10" t="s">
        <v>25</v>
      </c>
      <c r="F45" s="10" t="s">
        <v>32</v>
      </c>
      <c r="G45" s="11" t="s">
        <v>26</v>
      </c>
      <c r="H45" s="9">
        <v>700</v>
      </c>
      <c r="I45" s="9">
        <v>700</v>
      </c>
      <c r="J45" s="12" t="s">
        <v>213</v>
      </c>
      <c r="K45" s="10" t="s">
        <v>225</v>
      </c>
      <c r="L45" s="9"/>
      <c r="M45" s="9"/>
      <c r="N45" s="13" t="s">
        <v>227</v>
      </c>
      <c r="O45" s="24" t="e">
        <f>VLOOKUP(A45,'[1]09-06-26'!$A$2:$T$53,20,0)</f>
        <v>#N/A</v>
      </c>
      <c r="P45" s="24" t="e">
        <f>VLOOKUP(A45,'[1]16-06-26'!$A$2:$T$59,20,0)</f>
        <v>#N/A</v>
      </c>
      <c r="Q45" s="24" t="e">
        <f>VLOOKUP(A45,'[1]23-06-26'!$A$2:$T$48,20,0)</f>
        <v>#N/A</v>
      </c>
      <c r="R45" s="24" t="e">
        <f>VLOOKUP(A45,'[1]30-06-26'!$A$2:$T$51,20,0)</f>
        <v>#N/A</v>
      </c>
      <c r="S45" s="24" t="e">
        <f>VLOOKUP(A45,'[2]07-07-26'!$A$2:$T$60,20,0)</f>
        <v>#N/A</v>
      </c>
      <c r="T45" s="24" t="s">
        <v>294</v>
      </c>
      <c r="U45" s="24">
        <v>2</v>
      </c>
      <c r="V45" s="24"/>
      <c r="W45" s="24"/>
      <c r="X45" s="24"/>
      <c r="Y45" s="24"/>
      <c r="Z45" s="24" t="s">
        <v>295</v>
      </c>
      <c r="AA45" s="24"/>
      <c r="AB45" s="24"/>
      <c r="AC45" s="24"/>
      <c r="AD45" s="24"/>
    </row>
    <row r="46" spans="1:30" ht="126.3" hidden="1" customHeight="1" x14ac:dyDescent="0.3">
      <c r="A46" s="1">
        <v>3117</v>
      </c>
      <c r="B46" s="8" t="s">
        <v>228</v>
      </c>
      <c r="C46" s="8">
        <v>9412006708</v>
      </c>
      <c r="D46" s="10" t="s">
        <v>229</v>
      </c>
      <c r="E46" s="10" t="s">
        <v>44</v>
      </c>
      <c r="F46" s="10" t="s">
        <v>32</v>
      </c>
      <c r="G46" s="9" t="s">
        <v>85</v>
      </c>
      <c r="H46" s="9">
        <v>1450</v>
      </c>
      <c r="I46" s="9">
        <v>362.5</v>
      </c>
      <c r="J46" s="12" t="s">
        <v>39</v>
      </c>
      <c r="K46" s="10" t="s">
        <v>230</v>
      </c>
      <c r="L46" s="9"/>
      <c r="M46" s="9"/>
      <c r="N46" s="13" t="s">
        <v>198</v>
      </c>
      <c r="O46" s="24" t="e">
        <f>VLOOKUP(A46,'[1]09-06-26'!$A$2:$T$53,20,0)</f>
        <v>#N/A</v>
      </c>
      <c r="P46" s="24" t="str">
        <f>VLOOKUP(A46,'[1]16-06-26'!$A$2:$T$59,20,0)</f>
        <v>P n Y Spray Daisy ( 14 Inch ) 5     FF Sachet + Grass</v>
      </c>
      <c r="Q46" s="24" t="e">
        <f>VLOOKUP(A46,'[1]23-06-26'!$A$2:$T$48,20,0)</f>
        <v>#N/A</v>
      </c>
      <c r="R46" s="24" t="str">
        <f>VLOOKUP(A46,'[1]30-06-26'!$A$2:$T$51,20,0)</f>
        <v>O Asiatic ( 14 Inch ) 3     Grass</v>
      </c>
      <c r="S46" s="24" t="str">
        <f>VLOOKUP(A46,'[2]07-07-26'!$A$2:$T$60,20,0)</f>
        <v>Pur n P Car ( 14 Inch ) 16     FF Sachet + Grass</v>
      </c>
      <c r="T46" s="24" t="s">
        <v>299</v>
      </c>
      <c r="U46" s="24">
        <v>4</v>
      </c>
      <c r="V46" s="24"/>
      <c r="W46" s="24"/>
      <c r="X46" s="24"/>
      <c r="Y46" s="24"/>
      <c r="Z46" s="24" t="s">
        <v>291</v>
      </c>
      <c r="AA46" s="24"/>
      <c r="AB46" s="24"/>
      <c r="AC46" s="24"/>
      <c r="AD46" s="24"/>
    </row>
    <row r="47" spans="1:30" ht="126.3" hidden="1" customHeight="1" x14ac:dyDescent="0.3">
      <c r="A47" s="1">
        <v>3231</v>
      </c>
      <c r="B47" s="8" t="s">
        <v>231</v>
      </c>
      <c r="C47" s="9">
        <v>9619924519</v>
      </c>
      <c r="D47" s="10" t="s">
        <v>232</v>
      </c>
      <c r="E47" s="10" t="s">
        <v>61</v>
      </c>
      <c r="F47" s="10" t="s">
        <v>233</v>
      </c>
      <c r="G47" s="11" t="s">
        <v>26</v>
      </c>
      <c r="H47" s="9">
        <v>2160</v>
      </c>
      <c r="I47" s="9">
        <v>270</v>
      </c>
      <c r="J47" s="10" t="s">
        <v>234</v>
      </c>
      <c r="K47" s="10" t="s">
        <v>235</v>
      </c>
      <c r="L47" s="9"/>
      <c r="M47" s="10" t="s">
        <v>236</v>
      </c>
      <c r="N47" s="13" t="s">
        <v>268</v>
      </c>
      <c r="O47" s="24" t="e">
        <f>VLOOKUP(A47,'[1]09-06-26'!$A$2:$T$53,20,0)</f>
        <v>#N/A</v>
      </c>
      <c r="P47" s="24" t="e">
        <f>VLOOKUP(A47,'[1]16-06-26'!$A$2:$T$59,20,0)</f>
        <v>#N/A</v>
      </c>
      <c r="Q47" s="24" t="e">
        <f>VLOOKUP(A47,'[1]23-06-26'!$A$2:$T$48,20,0)</f>
        <v>#N/A</v>
      </c>
      <c r="R47" s="24" t="e">
        <f>VLOOKUP(A47,'[1]30-06-26'!$A$2:$T$51,20,0)</f>
        <v>#N/A</v>
      </c>
      <c r="S47" s="24" t="e">
        <f>VLOOKUP(A47,'[2]07-07-26'!$A$2:$T$60,20,0)</f>
        <v>#N/A</v>
      </c>
      <c r="T47" s="24" t="s">
        <v>286</v>
      </c>
      <c r="U47" s="24">
        <v>10</v>
      </c>
      <c r="V47" s="24"/>
      <c r="W47" s="24"/>
      <c r="X47" s="24"/>
      <c r="Y47" s="24"/>
      <c r="Z47" s="24" t="s">
        <v>290</v>
      </c>
      <c r="AA47" s="24"/>
      <c r="AB47" s="24"/>
      <c r="AC47" s="24"/>
      <c r="AD47" s="24"/>
    </row>
    <row r="48" spans="1:30" ht="126.3" hidden="1" customHeight="1" x14ac:dyDescent="0.3">
      <c r="A48" s="12" t="s">
        <v>237</v>
      </c>
      <c r="B48" s="8" t="s">
        <v>238</v>
      </c>
      <c r="C48" s="9"/>
      <c r="D48" s="10" t="s">
        <v>238</v>
      </c>
      <c r="E48" s="10" t="s">
        <v>239</v>
      </c>
      <c r="F48" s="10" t="s">
        <v>32</v>
      </c>
      <c r="G48" s="10" t="s">
        <v>240</v>
      </c>
      <c r="H48" s="9">
        <v>1500</v>
      </c>
      <c r="I48" s="9">
        <v>1500</v>
      </c>
      <c r="J48" s="12" t="s">
        <v>213</v>
      </c>
      <c r="K48" s="9"/>
      <c r="L48" s="9"/>
      <c r="M48" s="9"/>
      <c r="N48" s="13" t="s">
        <v>226</v>
      </c>
      <c r="O48" s="24" t="e">
        <f>VLOOKUP(A48,'[1]09-06-26'!$A$2:$T$53,20,0)</f>
        <v>#N/A</v>
      </c>
      <c r="P48" s="24" t="e">
        <f>VLOOKUP(A48,'[1]16-06-26'!$A$2:$T$59,20,0)</f>
        <v>#N/A</v>
      </c>
      <c r="Q48" s="24" t="e">
        <f>VLOOKUP(A48,'[1]23-06-26'!$A$2:$T$48,20,0)</f>
        <v>#N/A</v>
      </c>
      <c r="R48" s="24" t="e">
        <f>VLOOKUP(A48,'[1]30-06-26'!$A$2:$T$51,20,0)</f>
        <v>#N/A</v>
      </c>
      <c r="S48" s="24" t="e">
        <f>VLOOKUP(A48,'[2]07-07-26'!$A$2:$T$60,20,0)</f>
        <v>#N/A</v>
      </c>
      <c r="T48" s="24" t="s">
        <v>296</v>
      </c>
      <c r="U48" s="24">
        <v>1</v>
      </c>
      <c r="V48" s="24"/>
      <c r="W48" s="24"/>
      <c r="X48" s="24"/>
      <c r="Y48" s="24"/>
      <c r="Z48" s="24"/>
      <c r="AA48" s="24"/>
      <c r="AB48" s="24"/>
      <c r="AC48" s="24"/>
      <c r="AD48" s="24"/>
    </row>
    <row r="49" spans="1:30" ht="126.3" hidden="1" customHeight="1" x14ac:dyDescent="0.3">
      <c r="A49" s="1">
        <v>3371</v>
      </c>
      <c r="B49" s="8" t="s">
        <v>241</v>
      </c>
      <c r="C49" s="9">
        <v>9560012831</v>
      </c>
      <c r="D49" s="10" t="s">
        <v>242</v>
      </c>
      <c r="E49" s="10" t="s">
        <v>25</v>
      </c>
      <c r="F49" s="10" t="s">
        <v>17</v>
      </c>
      <c r="G49" s="10" t="s">
        <v>85</v>
      </c>
      <c r="H49" s="9">
        <v>2300</v>
      </c>
      <c r="I49" s="9">
        <v>287.5</v>
      </c>
      <c r="J49" s="12" t="s">
        <v>33</v>
      </c>
      <c r="K49" s="10" t="s">
        <v>243</v>
      </c>
      <c r="L49" s="10" t="s">
        <v>244</v>
      </c>
      <c r="M49" s="10" t="s">
        <v>245</v>
      </c>
      <c r="N49" s="13" t="s">
        <v>246</v>
      </c>
      <c r="O49" s="24" t="str">
        <f>VLOOKUP(A49,'[1]09-06-26'!$A$2:$T$53,20,0)</f>
        <v>Pur Eustoma ( 12 Inch ) 3     FF Sachet + Grass</v>
      </c>
      <c r="P49" s="24" t="str">
        <f>VLOOKUP(A49,'[1]16-06-26'!$A$2:$T$59,20,0)</f>
        <v>Rajni ( 14 Inch ) 11     Grass</v>
      </c>
      <c r="Q49" s="24" t="str">
        <f>VLOOKUP(A49,'[1]23-06-26'!$A$2:$T$48,20,0)</f>
        <v>P Asiatic ( 14 Inch ) 2     Grass</v>
      </c>
      <c r="R49" s="24" t="str">
        <f>VLOOKUP(A49,'[1]30-06-26'!$A$2:$T$51,20,0)</f>
        <v>Sunflower ( 12 Incjh ) 3     FF Sachet + Grass</v>
      </c>
      <c r="S49" s="24" t="str">
        <f>VLOOKUP(A49,'[2]07-07-26'!$A$2:$T$60,20,0)</f>
        <v>Y Spray Daisy ( 14 Inch ) 2     FF Sachet + Grass</v>
      </c>
      <c r="T49" s="24" t="s">
        <v>283</v>
      </c>
      <c r="U49" s="24">
        <v>2</v>
      </c>
      <c r="V49" s="24"/>
      <c r="W49" s="24"/>
      <c r="X49" s="24"/>
      <c r="Y49" s="24"/>
      <c r="Z49" s="24" t="s">
        <v>290</v>
      </c>
      <c r="AA49" s="24"/>
      <c r="AB49" s="24"/>
      <c r="AC49" s="24"/>
      <c r="AD49" s="24"/>
    </row>
    <row r="50" spans="1:30" ht="126.3" hidden="1" customHeight="1" x14ac:dyDescent="0.3">
      <c r="A50" s="1">
        <v>2284</v>
      </c>
      <c r="B50" s="8" t="s">
        <v>247</v>
      </c>
      <c r="C50" s="9">
        <v>9873968830</v>
      </c>
      <c r="D50" s="10" t="s">
        <v>248</v>
      </c>
      <c r="E50" s="10" t="s">
        <v>25</v>
      </c>
      <c r="F50" s="10" t="s">
        <v>32</v>
      </c>
      <c r="G50" s="11" t="s">
        <v>26</v>
      </c>
      <c r="H50" s="9">
        <v>1450</v>
      </c>
      <c r="I50" s="9">
        <v>362.5</v>
      </c>
      <c r="J50" s="10" t="s">
        <v>39</v>
      </c>
      <c r="K50" s="10" t="s">
        <v>249</v>
      </c>
      <c r="L50" s="10" t="s">
        <v>250</v>
      </c>
      <c r="M50" s="9"/>
      <c r="N50" s="13" t="s">
        <v>251</v>
      </c>
      <c r="O50" s="24" t="e">
        <f>VLOOKUP(A50,'[1]09-06-26'!$A$2:$T$53,20,0)</f>
        <v>#N/A</v>
      </c>
      <c r="P50" s="24" t="e">
        <f>VLOOKUP(A50,'[1]16-06-26'!$A$2:$T$59,20,0)</f>
        <v>#N/A</v>
      </c>
      <c r="Q50" s="24" t="str">
        <f>VLOOKUP(A50,'[1]23-06-26'!$A$2:$T$48,20,0)</f>
        <v>Pur Eustoma ( 12 Inch ) 3     FF Sachet + Grass</v>
      </c>
      <c r="R50" s="24" t="str">
        <f>VLOOKUP(A50,'[1]30-06-26'!$A$2:$T$51,20,0)</f>
        <v>Rajni ( 14 Inch ) 16     Grass</v>
      </c>
      <c r="S50" s="24" t="str">
        <f>VLOOKUP(A50,'[2]07-07-26'!$A$2:$T$60,20,0)</f>
        <v>O Asiatic ( 14 Inch ) 3     Grass</v>
      </c>
      <c r="T50" s="24" t="s">
        <v>281</v>
      </c>
      <c r="U50" s="24">
        <v>16</v>
      </c>
      <c r="V50" s="24"/>
      <c r="W50" s="24"/>
      <c r="X50" s="24"/>
      <c r="Y50" s="24"/>
      <c r="Z50" s="24" t="s">
        <v>291</v>
      </c>
      <c r="AA50" s="24"/>
      <c r="AB50" s="24"/>
      <c r="AC50" s="24"/>
      <c r="AD50" s="24"/>
    </row>
    <row r="51" spans="1:30" ht="125.75" hidden="1" x14ac:dyDescent="0.3">
      <c r="A51" s="1">
        <v>1615</v>
      </c>
      <c r="B51" s="8" t="s">
        <v>270</v>
      </c>
      <c r="C51" s="9">
        <v>9971911162</v>
      </c>
      <c r="D51" s="10" t="s">
        <v>271</v>
      </c>
      <c r="E51" s="10" t="s">
        <v>115</v>
      </c>
      <c r="F51" s="10" t="s">
        <v>272</v>
      </c>
      <c r="G51" s="17" t="s">
        <v>273</v>
      </c>
      <c r="H51" s="9">
        <v>1450</v>
      </c>
      <c r="I51" s="9">
        <v>362.5</v>
      </c>
      <c r="J51" s="10" t="s">
        <v>276</v>
      </c>
      <c r="K51" s="10" t="s">
        <v>274</v>
      </c>
      <c r="L51" s="10"/>
      <c r="M51" s="9"/>
      <c r="N51" s="13" t="s">
        <v>275</v>
      </c>
      <c r="O51" s="24" t="e">
        <f>VLOOKUP(A51,'[1]09-06-26'!$A$2:$T$53,20,0)</f>
        <v>#N/A</v>
      </c>
      <c r="P51" s="24" t="e">
        <f>VLOOKUP(A51,'[1]16-06-26'!$A$2:$T$59,20,0)</f>
        <v>#N/A</v>
      </c>
      <c r="Q51" s="24" t="e">
        <f>VLOOKUP(A51,'[1]23-06-26'!$A$2:$T$48,20,0)</f>
        <v>#N/A</v>
      </c>
      <c r="R51" s="24" t="e">
        <f>VLOOKUP(A51,'[1]30-06-26'!$A$2:$T$51,20,0)</f>
        <v>#N/A</v>
      </c>
      <c r="S51" s="24" t="e">
        <f>VLOOKUP(A51,'[2]07-07-26'!$A$2:$T$60,20,0)</f>
        <v>#N/A</v>
      </c>
      <c r="T51" s="24" t="s">
        <v>283</v>
      </c>
      <c r="U51" s="24">
        <v>2</v>
      </c>
      <c r="V51" s="24"/>
      <c r="W51" s="24"/>
      <c r="X51" s="24"/>
      <c r="Y51" s="24"/>
      <c r="Z51" s="24" t="s">
        <v>290</v>
      </c>
      <c r="AA51" s="24"/>
      <c r="AB51" s="24"/>
      <c r="AC51" s="24"/>
      <c r="AD51" s="24"/>
    </row>
    <row r="52" spans="1:30" ht="83.85" hidden="1" x14ac:dyDescent="0.3">
      <c r="A52" s="26" t="s">
        <v>277</v>
      </c>
      <c r="B52" s="8" t="s">
        <v>278</v>
      </c>
      <c r="C52" s="9">
        <v>9999016333</v>
      </c>
      <c r="D52" s="10" t="s">
        <v>279</v>
      </c>
      <c r="E52" s="10" t="s">
        <v>25</v>
      </c>
      <c r="F52" s="10" t="s">
        <v>233</v>
      </c>
      <c r="G52" s="19" t="s">
        <v>280</v>
      </c>
      <c r="H52" s="9">
        <v>0</v>
      </c>
      <c r="I52" s="9">
        <f>H52</f>
        <v>0</v>
      </c>
      <c r="J52" s="10" t="s">
        <v>72</v>
      </c>
      <c r="K52" s="10"/>
      <c r="L52" s="10"/>
      <c r="M52" s="9"/>
      <c r="N52" s="13"/>
      <c r="O52" s="24"/>
      <c r="P52" s="24"/>
      <c r="Q52" s="24"/>
      <c r="R52" s="24"/>
      <c r="S52" s="24"/>
      <c r="T52" s="24"/>
      <c r="U52" s="24"/>
      <c r="V52" s="24"/>
      <c r="W52" s="24"/>
      <c r="X52" s="24"/>
      <c r="Y52" s="24"/>
      <c r="Z52" s="24"/>
      <c r="AA52" s="24"/>
      <c r="AB52" s="24"/>
      <c r="AC52" s="24"/>
      <c r="AD52" s="24"/>
    </row>
  </sheetData>
  <autoFilter ref="A1:AD52" xr:uid="{801850B3-B302-4F5C-81DB-3AB17C26F881}">
    <filterColumn colId="19">
      <filters>
        <filter val="P Asiatic ( 14 Inch )"/>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B2FB1-CD5C-48EE-8157-E3A503310394}">
  <dimension ref="A1:R60"/>
  <sheetViews>
    <sheetView tabSelected="1" workbookViewId="0">
      <pane xSplit="1" ySplit="1" topLeftCell="B27" activePane="bottomRight" state="frozen"/>
      <selection pane="topRight" activeCell="B1" sqref="B1"/>
      <selection pane="bottomLeft" activeCell="A2" sqref="A2"/>
      <selection pane="bottomRight" activeCell="N33" sqref="N33"/>
    </sheetView>
  </sheetViews>
  <sheetFormatPr defaultRowHeight="14" x14ac:dyDescent="0.3"/>
  <sheetData>
    <row r="1" spans="1:18" ht="41.95" x14ac:dyDescent="0.3">
      <c r="A1" s="27"/>
      <c r="B1" s="27" t="s">
        <v>287</v>
      </c>
      <c r="C1" s="28" t="s">
        <v>301</v>
      </c>
      <c r="D1" s="28" t="s">
        <v>302</v>
      </c>
      <c r="E1" s="28" t="s">
        <v>131</v>
      </c>
      <c r="F1" s="28" t="s">
        <v>303</v>
      </c>
      <c r="G1" s="28" t="s">
        <v>184</v>
      </c>
      <c r="H1" s="28" t="s">
        <v>304</v>
      </c>
      <c r="I1" s="28" t="s">
        <v>305</v>
      </c>
      <c r="J1" s="28" t="s">
        <v>306</v>
      </c>
      <c r="K1" s="28" t="s">
        <v>307</v>
      </c>
      <c r="L1" s="29" t="s">
        <v>308</v>
      </c>
      <c r="M1" s="29" t="s">
        <v>347</v>
      </c>
      <c r="N1" s="29" t="s">
        <v>309</v>
      </c>
      <c r="O1" s="30"/>
      <c r="P1" s="31" t="s">
        <v>310</v>
      </c>
      <c r="Q1" s="31" t="s">
        <v>311</v>
      </c>
      <c r="R1" s="30"/>
    </row>
    <row r="2" spans="1:18" x14ac:dyDescent="0.3">
      <c r="A2" s="32">
        <v>999</v>
      </c>
      <c r="B2" s="33"/>
      <c r="C2" s="33"/>
      <c r="D2" s="33"/>
      <c r="E2" s="33"/>
      <c r="F2" s="33"/>
      <c r="G2" s="33"/>
      <c r="H2" s="33"/>
      <c r="I2" s="33"/>
      <c r="J2" s="33"/>
      <c r="K2" s="33"/>
      <c r="L2" s="33"/>
      <c r="M2" s="33"/>
      <c r="N2" s="33"/>
      <c r="O2" s="34">
        <f t="shared" ref="O2:O7" si="0">SUM(B2:N2)</f>
        <v>0</v>
      </c>
      <c r="P2" s="34">
        <f>(O2*A2)/4</f>
        <v>0</v>
      </c>
      <c r="Q2" s="34"/>
      <c r="R2" s="34"/>
    </row>
    <row r="3" spans="1:18" x14ac:dyDescent="0.3">
      <c r="A3" s="32">
        <v>1450</v>
      </c>
      <c r="B3" s="33"/>
      <c r="C3" s="33">
        <v>2.5</v>
      </c>
      <c r="D3" s="33"/>
      <c r="E3" s="33">
        <v>1</v>
      </c>
      <c r="F3" s="33"/>
      <c r="G3" s="33">
        <v>3</v>
      </c>
      <c r="H3" s="33"/>
      <c r="I3" s="33">
        <v>5.5</v>
      </c>
      <c r="J3" s="35"/>
      <c r="K3" s="35">
        <v>7</v>
      </c>
      <c r="L3" s="33"/>
      <c r="M3" s="33"/>
      <c r="N3" s="33"/>
      <c r="O3" s="34">
        <f t="shared" si="0"/>
        <v>19</v>
      </c>
      <c r="P3" s="34">
        <f>(O3*A3)/4</f>
        <v>6887.5</v>
      </c>
      <c r="Q3" s="34"/>
      <c r="R3" s="34"/>
    </row>
    <row r="4" spans="1:18" x14ac:dyDescent="0.3">
      <c r="A4" s="32">
        <v>1950</v>
      </c>
      <c r="B4" s="33"/>
      <c r="C4" s="33">
        <v>1</v>
      </c>
      <c r="D4" s="33"/>
      <c r="E4" s="33"/>
      <c r="F4" s="33"/>
      <c r="G4" s="33">
        <v>1.5</v>
      </c>
      <c r="H4" s="33"/>
      <c r="I4" s="33">
        <v>2.5</v>
      </c>
      <c r="J4" s="33"/>
      <c r="K4" s="33">
        <v>1</v>
      </c>
      <c r="L4" s="33"/>
      <c r="M4" s="33"/>
      <c r="N4" s="33"/>
      <c r="O4" s="34">
        <f t="shared" si="0"/>
        <v>6</v>
      </c>
      <c r="P4" s="34">
        <f>(O4*A4)/4</f>
        <v>2925</v>
      </c>
      <c r="Q4" s="34"/>
      <c r="R4" s="34"/>
    </row>
    <row r="5" spans="1:18" x14ac:dyDescent="0.3">
      <c r="A5" s="32">
        <v>2750</v>
      </c>
      <c r="B5" s="33"/>
      <c r="C5" s="33"/>
      <c r="D5" s="33"/>
      <c r="E5" s="33"/>
      <c r="F5" s="33"/>
      <c r="G5" s="33"/>
      <c r="H5" s="33"/>
      <c r="I5" s="36"/>
      <c r="J5" s="36"/>
      <c r="K5" s="36"/>
      <c r="L5" s="36"/>
      <c r="M5" s="33"/>
      <c r="N5" s="33"/>
      <c r="O5" s="34">
        <f t="shared" si="0"/>
        <v>0</v>
      </c>
      <c r="P5" s="34">
        <f>(O5*A5)/4</f>
        <v>0</v>
      </c>
      <c r="Q5" s="34"/>
      <c r="R5" s="34"/>
    </row>
    <row r="6" spans="1:18" x14ac:dyDescent="0.3">
      <c r="A6" s="32">
        <v>4750</v>
      </c>
      <c r="B6" s="33"/>
      <c r="C6" s="33"/>
      <c r="D6" s="33"/>
      <c r="E6" s="33"/>
      <c r="F6" s="33"/>
      <c r="G6" s="33"/>
      <c r="H6" s="33"/>
      <c r="I6" s="33"/>
      <c r="J6" s="33"/>
      <c r="K6" s="33"/>
      <c r="L6" s="33"/>
      <c r="M6" s="33"/>
      <c r="N6" s="33"/>
      <c r="O6" s="34">
        <f t="shared" si="0"/>
        <v>0</v>
      </c>
      <c r="P6" s="34">
        <f>(O6*A6)/4</f>
        <v>0</v>
      </c>
      <c r="Q6" s="34"/>
      <c r="R6" s="34"/>
    </row>
    <row r="7" spans="1:18" x14ac:dyDescent="0.3">
      <c r="A7" s="27" t="s">
        <v>312</v>
      </c>
      <c r="B7" s="37">
        <f t="shared" ref="B7:N7" si="1">SUM(B2:B6)</f>
        <v>0</v>
      </c>
      <c r="C7" s="37">
        <f t="shared" si="1"/>
        <v>3.5</v>
      </c>
      <c r="D7" s="37">
        <f t="shared" si="1"/>
        <v>0</v>
      </c>
      <c r="E7" s="37">
        <f t="shared" si="1"/>
        <v>1</v>
      </c>
      <c r="F7" s="37">
        <f t="shared" si="1"/>
        <v>0</v>
      </c>
      <c r="G7" s="37">
        <f t="shared" si="1"/>
        <v>4.5</v>
      </c>
      <c r="H7" s="37">
        <f t="shared" si="1"/>
        <v>0</v>
      </c>
      <c r="I7" s="37">
        <f t="shared" si="1"/>
        <v>8</v>
      </c>
      <c r="J7" s="37">
        <f t="shared" si="1"/>
        <v>0</v>
      </c>
      <c r="K7" s="37">
        <f t="shared" si="1"/>
        <v>8</v>
      </c>
      <c r="L7" s="37">
        <f t="shared" si="1"/>
        <v>0</v>
      </c>
      <c r="M7" s="37">
        <f t="shared" si="1"/>
        <v>0</v>
      </c>
      <c r="N7" s="37">
        <f t="shared" si="1"/>
        <v>0</v>
      </c>
      <c r="O7" s="34">
        <f t="shared" si="0"/>
        <v>25</v>
      </c>
      <c r="P7" s="38">
        <f>SUM(P2:P6)</f>
        <v>9812.5</v>
      </c>
      <c r="Q7" s="38">
        <f>P7</f>
        <v>9812.5</v>
      </c>
      <c r="R7" s="34"/>
    </row>
    <row r="8" spans="1:18" ht="27.95" x14ac:dyDescent="0.3">
      <c r="A8" s="32" t="s">
        <v>313</v>
      </c>
      <c r="B8" s="33">
        <v>22</v>
      </c>
      <c r="C8" s="33">
        <v>10</v>
      </c>
      <c r="D8" s="33">
        <v>10</v>
      </c>
      <c r="E8" s="33">
        <v>5</v>
      </c>
      <c r="F8" s="33">
        <v>10</v>
      </c>
      <c r="G8" s="33">
        <v>20</v>
      </c>
      <c r="H8" s="33">
        <v>20</v>
      </c>
      <c r="I8" s="33">
        <v>20</v>
      </c>
      <c r="J8" s="33">
        <v>10</v>
      </c>
      <c r="K8" s="33">
        <v>10</v>
      </c>
      <c r="L8" s="33">
        <v>10</v>
      </c>
      <c r="M8" s="33">
        <v>1</v>
      </c>
      <c r="N8" s="33">
        <v>10</v>
      </c>
      <c r="O8" s="34"/>
      <c r="P8" s="34"/>
      <c r="Q8" s="34"/>
      <c r="R8" s="34"/>
    </row>
    <row r="9" spans="1:18" ht="27.95" x14ac:dyDescent="0.3">
      <c r="A9" s="27" t="s">
        <v>314</v>
      </c>
      <c r="B9" s="29">
        <v>170</v>
      </c>
      <c r="C9" s="29">
        <v>500</v>
      </c>
      <c r="D9" s="29">
        <v>160</v>
      </c>
      <c r="E9" s="29">
        <v>180</v>
      </c>
      <c r="F9" s="29">
        <v>240</v>
      </c>
      <c r="G9" s="29">
        <v>300</v>
      </c>
      <c r="H9" s="29">
        <v>375</v>
      </c>
      <c r="I9" s="29">
        <v>250</v>
      </c>
      <c r="J9" s="29">
        <v>425</v>
      </c>
      <c r="K9" s="29">
        <v>625</v>
      </c>
      <c r="L9" s="29">
        <v>1600</v>
      </c>
      <c r="M9" s="29">
        <v>120</v>
      </c>
      <c r="N9" s="29">
        <v>850</v>
      </c>
      <c r="O9" s="34"/>
      <c r="P9" s="34"/>
      <c r="Q9" s="34"/>
      <c r="R9" s="34"/>
    </row>
    <row r="10" spans="1:18" x14ac:dyDescent="0.3">
      <c r="A10" s="32">
        <v>999</v>
      </c>
      <c r="B10" s="33">
        <f>B2*9</f>
        <v>0</v>
      </c>
      <c r="C10" s="33">
        <f>C2*3</f>
        <v>0</v>
      </c>
      <c r="D10" s="33">
        <f>D2*9</f>
        <v>0</v>
      </c>
      <c r="E10" s="33">
        <f>E2*2</f>
        <v>0</v>
      </c>
      <c r="F10" s="33">
        <f>F2*9</f>
        <v>0</v>
      </c>
      <c r="G10" s="33">
        <f>G2*9</f>
        <v>0</v>
      </c>
      <c r="H10" s="33">
        <f>H2*9</f>
        <v>0</v>
      </c>
      <c r="I10" s="33">
        <f>I2*9</f>
        <v>0</v>
      </c>
      <c r="J10" s="35">
        <f>J2*3</f>
        <v>0</v>
      </c>
      <c r="K10" s="35">
        <f>K2*2</f>
        <v>0</v>
      </c>
      <c r="L10" s="35">
        <f>L3*0</f>
        <v>0</v>
      </c>
      <c r="M10" s="33">
        <f>M2*2</f>
        <v>0</v>
      </c>
      <c r="N10" s="33">
        <f>N2*2</f>
        <v>0</v>
      </c>
      <c r="O10" s="34">
        <f t="shared" ref="O10:O21" si="2">B10*($B$9/$B$8)+C10*($C$9/$C$8)+D10*($D$9/$D$8)+E10*($E$9/$E$8)+F10*($F$9/$F$8)+G10*($G$9/$G$8)+H10*($H$9/$H$8)+I10*($I$9/$I$8)+J10*($J$9/$J$8)+K10*($K$9/$K$8)+L10*($L$9/$L$8)+M10*($M$9/$M$8)+N10*($N$9/$N$8)</f>
        <v>0</v>
      </c>
      <c r="P10" s="34">
        <f>O2*(A2/4)</f>
        <v>0</v>
      </c>
      <c r="Q10" s="34"/>
      <c r="R10" s="34">
        <f>P10-O10</f>
        <v>0</v>
      </c>
    </row>
    <row r="11" spans="1:18" x14ac:dyDescent="0.3">
      <c r="A11" s="32">
        <v>1250</v>
      </c>
      <c r="B11" s="33">
        <f>B3*16</f>
        <v>0</v>
      </c>
      <c r="C11" s="33">
        <f>C3*6</f>
        <v>15</v>
      </c>
      <c r="D11" s="33">
        <f>D3*16</f>
        <v>0</v>
      </c>
      <c r="E11" s="33">
        <f>E3*4</f>
        <v>4</v>
      </c>
      <c r="F11" s="35">
        <f>F3*16</f>
        <v>0</v>
      </c>
      <c r="G11" s="35">
        <f>G3*16</f>
        <v>48</v>
      </c>
      <c r="H11" s="35">
        <f>H3*16</f>
        <v>0</v>
      </c>
      <c r="I11" s="35">
        <f>I3*16</f>
        <v>88</v>
      </c>
      <c r="J11" s="35">
        <f>J3*6</f>
        <v>0</v>
      </c>
      <c r="K11" s="33">
        <f>K3*3.25</f>
        <v>22.75</v>
      </c>
      <c r="L11" s="33">
        <f>L3*2</f>
        <v>0</v>
      </c>
      <c r="M11" s="33">
        <f>M3*4</f>
        <v>0</v>
      </c>
      <c r="N11" s="33">
        <f>N3*3.5</f>
        <v>0</v>
      </c>
      <c r="O11" s="34">
        <f t="shared" si="2"/>
        <v>4135.875</v>
      </c>
      <c r="P11" s="34">
        <f>O3*(A3/4)</f>
        <v>6887.5</v>
      </c>
      <c r="Q11" s="34"/>
      <c r="R11" s="34">
        <f>P11-O11</f>
        <v>2751.625</v>
      </c>
    </row>
    <row r="12" spans="1:18" x14ac:dyDescent="0.3">
      <c r="A12" s="32">
        <v>1700</v>
      </c>
      <c r="B12" s="33">
        <f>B4*22</f>
        <v>0</v>
      </c>
      <c r="C12" s="33">
        <f>C4*8</f>
        <v>8</v>
      </c>
      <c r="D12" s="33">
        <f>D4*22</f>
        <v>0</v>
      </c>
      <c r="E12" s="33">
        <f>E4*6</f>
        <v>0</v>
      </c>
      <c r="F12" s="35">
        <f>F4*22</f>
        <v>0</v>
      </c>
      <c r="G12" s="35">
        <f>G4*22</f>
        <v>33</v>
      </c>
      <c r="H12" s="35">
        <f>H4*22</f>
        <v>0</v>
      </c>
      <c r="I12" s="35">
        <f>I4*22</f>
        <v>55</v>
      </c>
      <c r="J12" s="35">
        <f>J4*8</f>
        <v>0</v>
      </c>
      <c r="K12" s="33">
        <f>K4*4</f>
        <v>4</v>
      </c>
      <c r="L12" s="33">
        <f>L4*3</f>
        <v>0</v>
      </c>
      <c r="M12" s="33">
        <f>M4*4</f>
        <v>0</v>
      </c>
      <c r="N12" s="33">
        <f>N4*5</f>
        <v>0</v>
      </c>
      <c r="O12" s="34">
        <f t="shared" si="2"/>
        <v>1832.5</v>
      </c>
      <c r="P12" s="34">
        <f>O4*(A4/4)</f>
        <v>2925</v>
      </c>
      <c r="Q12" s="34"/>
      <c r="R12" s="34">
        <f>P12-O12</f>
        <v>1092.5</v>
      </c>
    </row>
    <row r="13" spans="1:18" x14ac:dyDescent="0.3">
      <c r="A13" s="32">
        <v>2450</v>
      </c>
      <c r="B13" s="33">
        <f>B5*32</f>
        <v>0</v>
      </c>
      <c r="C13" s="33">
        <f>C5*10</f>
        <v>0</v>
      </c>
      <c r="D13" s="33">
        <f>D5*32</f>
        <v>0</v>
      </c>
      <c r="E13" s="33">
        <f>E5*8</f>
        <v>0</v>
      </c>
      <c r="F13" s="33">
        <f>F5*32</f>
        <v>0</v>
      </c>
      <c r="G13" s="33">
        <f>G5*32</f>
        <v>0</v>
      </c>
      <c r="H13" s="33">
        <f>H5*32</f>
        <v>0</v>
      </c>
      <c r="I13" s="35">
        <f>I5*32</f>
        <v>0</v>
      </c>
      <c r="J13" s="39">
        <f>J5*10</f>
        <v>0</v>
      </c>
      <c r="K13" s="33">
        <f>K5*8</f>
        <v>0</v>
      </c>
      <c r="L13" s="33">
        <f>L5*4</f>
        <v>0</v>
      </c>
      <c r="M13" s="33">
        <f>M5*6</f>
        <v>0</v>
      </c>
      <c r="N13" s="33">
        <f>N5*8</f>
        <v>0</v>
      </c>
      <c r="O13" s="34">
        <f t="shared" si="2"/>
        <v>0</v>
      </c>
      <c r="P13" s="34">
        <f>O5*(A5/4)</f>
        <v>0</v>
      </c>
      <c r="Q13" s="34"/>
      <c r="R13" s="34">
        <f>P13-O13</f>
        <v>0</v>
      </c>
    </row>
    <row r="14" spans="1:18" x14ac:dyDescent="0.3">
      <c r="A14" s="32">
        <v>4400</v>
      </c>
      <c r="B14" s="33">
        <f>B6*60</f>
        <v>0</v>
      </c>
      <c r="C14" s="33">
        <f>C6*20</f>
        <v>0</v>
      </c>
      <c r="D14" s="33">
        <f t="shared" ref="D14:I14" si="3">D6*60</f>
        <v>0</v>
      </c>
      <c r="E14" s="33">
        <f>E6*14</f>
        <v>0</v>
      </c>
      <c r="F14" s="35">
        <f>F6*60</f>
        <v>0</v>
      </c>
      <c r="G14" s="35">
        <f t="shared" si="3"/>
        <v>0</v>
      </c>
      <c r="H14" s="35">
        <f t="shared" si="3"/>
        <v>0</v>
      </c>
      <c r="I14" s="35">
        <f t="shared" si="3"/>
        <v>0</v>
      </c>
      <c r="J14" s="35">
        <f>J6*22</f>
        <v>0</v>
      </c>
      <c r="K14" s="33">
        <f>K6*12</f>
        <v>0</v>
      </c>
      <c r="L14" s="33">
        <f>L6*8</f>
        <v>0</v>
      </c>
      <c r="M14" s="33">
        <f>M6*12</f>
        <v>0</v>
      </c>
      <c r="N14" s="33">
        <f>N6*12</f>
        <v>0</v>
      </c>
      <c r="O14" s="34">
        <f t="shared" si="2"/>
        <v>0</v>
      </c>
      <c r="P14" s="34">
        <f>O6*(A6/4)</f>
        <v>0</v>
      </c>
      <c r="Q14" s="34"/>
      <c r="R14" s="34">
        <f>P14-O14</f>
        <v>0</v>
      </c>
    </row>
    <row r="15" spans="1:18" x14ac:dyDescent="0.3">
      <c r="A15" s="40" t="s">
        <v>213</v>
      </c>
      <c r="B15" s="41"/>
      <c r="C15" s="41"/>
      <c r="D15" s="41"/>
      <c r="E15" s="41"/>
      <c r="F15" s="41"/>
      <c r="G15" s="41"/>
      <c r="H15" s="41"/>
      <c r="I15" s="41"/>
      <c r="J15" s="41"/>
      <c r="K15" s="41"/>
      <c r="L15" s="41">
        <v>2</v>
      </c>
      <c r="M15" s="41">
        <v>10</v>
      </c>
      <c r="N15" s="33"/>
      <c r="O15" s="34">
        <f t="shared" si="2"/>
        <v>1520</v>
      </c>
      <c r="P15" s="34"/>
      <c r="Q15" s="34">
        <v>5000</v>
      </c>
      <c r="R15" s="34">
        <f>SUM(R10:R14)</f>
        <v>3844.125</v>
      </c>
    </row>
    <row r="16" spans="1:18" ht="27.95" x14ac:dyDescent="0.3">
      <c r="A16" s="42" t="s">
        <v>315</v>
      </c>
      <c r="B16" s="41">
        <v>30</v>
      </c>
      <c r="C16" s="41">
        <v>26</v>
      </c>
      <c r="D16" s="41">
        <v>44</v>
      </c>
      <c r="E16" s="41"/>
      <c r="F16" s="41"/>
      <c r="G16" s="41">
        <v>18</v>
      </c>
      <c r="H16" s="41"/>
      <c r="I16" s="41">
        <v>25</v>
      </c>
      <c r="J16" s="41"/>
      <c r="K16" s="41">
        <v>8</v>
      </c>
      <c r="L16" s="41"/>
      <c r="M16" s="41"/>
      <c r="N16" s="41"/>
      <c r="O16" s="34">
        <f t="shared" si="2"/>
        <v>3318.318181818182</v>
      </c>
      <c r="P16" s="34"/>
      <c r="Q16" s="34">
        <v>6300</v>
      </c>
      <c r="R16" s="34"/>
    </row>
    <row r="17" spans="1:18" ht="15.6" x14ac:dyDescent="0.3">
      <c r="A17" s="43" t="s">
        <v>316</v>
      </c>
      <c r="B17" s="44"/>
      <c r="C17" s="44"/>
      <c r="D17" s="44"/>
      <c r="E17" s="44"/>
      <c r="F17" s="44"/>
      <c r="G17" s="44"/>
      <c r="H17" s="44"/>
      <c r="I17" s="44"/>
      <c r="J17" s="44"/>
      <c r="K17" s="44"/>
      <c r="L17" s="44"/>
      <c r="M17" s="44"/>
      <c r="N17" s="44"/>
      <c r="O17" s="34">
        <f t="shared" si="2"/>
        <v>0</v>
      </c>
      <c r="P17" s="34"/>
      <c r="Q17" s="45"/>
      <c r="R17" s="34"/>
    </row>
    <row r="18" spans="1:18" ht="62.35" x14ac:dyDescent="0.3">
      <c r="A18" s="43" t="s">
        <v>348</v>
      </c>
      <c r="B18" s="44"/>
      <c r="C18" s="44">
        <v>40</v>
      </c>
      <c r="D18" s="44"/>
      <c r="E18" s="44"/>
      <c r="F18" s="44"/>
      <c r="G18" s="44"/>
      <c r="H18" s="44"/>
      <c r="I18" s="44">
        <v>160</v>
      </c>
      <c r="J18" s="44">
        <v>10</v>
      </c>
      <c r="K18" s="44">
        <v>10</v>
      </c>
      <c r="L18" s="44">
        <v>10</v>
      </c>
      <c r="M18" s="44"/>
      <c r="N18" s="44">
        <v>10</v>
      </c>
      <c r="O18" s="34">
        <f t="shared" si="2"/>
        <v>7500</v>
      </c>
      <c r="P18" s="34"/>
      <c r="Q18" s="45">
        <v>10000</v>
      </c>
      <c r="R18" s="34"/>
    </row>
    <row r="19" spans="1:18" ht="46.75" x14ac:dyDescent="0.3">
      <c r="A19" s="46" t="s">
        <v>317</v>
      </c>
      <c r="B19" s="44"/>
      <c r="C19" s="44"/>
      <c r="D19" s="44"/>
      <c r="E19" s="44"/>
      <c r="F19" s="44"/>
      <c r="G19" s="44"/>
      <c r="H19" s="44"/>
      <c r="I19" s="44"/>
      <c r="J19" s="44"/>
      <c r="K19" s="44">
        <v>5</v>
      </c>
      <c r="L19" s="44"/>
      <c r="M19" s="44"/>
      <c r="N19" s="44"/>
      <c r="O19" s="34">
        <f t="shared" si="2"/>
        <v>312.5</v>
      </c>
      <c r="P19" s="34"/>
      <c r="Q19" s="45">
        <v>380</v>
      </c>
      <c r="R19" s="34"/>
    </row>
    <row r="20" spans="1:18" ht="27.95" x14ac:dyDescent="0.3">
      <c r="A20" s="47" t="s">
        <v>318</v>
      </c>
      <c r="B20" s="48">
        <v>60</v>
      </c>
      <c r="C20" s="48">
        <v>20</v>
      </c>
      <c r="D20" s="48">
        <v>20</v>
      </c>
      <c r="E20" s="48">
        <v>20</v>
      </c>
      <c r="F20" s="48"/>
      <c r="G20" s="48"/>
      <c r="H20" s="48">
        <v>100</v>
      </c>
      <c r="I20" s="48">
        <v>160</v>
      </c>
      <c r="J20" s="48">
        <v>10</v>
      </c>
      <c r="K20" s="48">
        <v>10</v>
      </c>
      <c r="L20" s="48">
        <v>20</v>
      </c>
      <c r="M20" s="48">
        <v>5</v>
      </c>
      <c r="N20" s="48">
        <v>15</v>
      </c>
      <c r="O20" s="34">
        <f t="shared" si="2"/>
        <v>12503.636363636364</v>
      </c>
      <c r="P20" s="34"/>
      <c r="Q20" s="34">
        <v>20000</v>
      </c>
      <c r="R20" s="34"/>
    </row>
    <row r="21" spans="1:18" x14ac:dyDescent="0.3">
      <c r="A21" s="49" t="s">
        <v>316</v>
      </c>
      <c r="B21" s="48"/>
      <c r="C21" s="48"/>
      <c r="D21" s="48"/>
      <c r="E21" s="48"/>
      <c r="F21" s="48"/>
      <c r="G21" s="48"/>
      <c r="H21" s="48"/>
      <c r="I21" s="48"/>
      <c r="J21" s="48"/>
      <c r="K21" s="48"/>
      <c r="L21" s="48"/>
      <c r="M21" s="48"/>
      <c r="N21" s="48"/>
      <c r="O21" s="34">
        <f t="shared" si="2"/>
        <v>0</v>
      </c>
      <c r="P21" s="34"/>
      <c r="Q21" s="34"/>
      <c r="R21" s="34"/>
    </row>
    <row r="22" spans="1:18" x14ac:dyDescent="0.3">
      <c r="A22" s="32" t="s">
        <v>312</v>
      </c>
      <c r="B22" s="33">
        <f>SUM(B10:B21)</f>
        <v>90</v>
      </c>
      <c r="C22" s="33">
        <f t="shared" ref="C22:N22" si="4">SUM(C10:C21)</f>
        <v>109</v>
      </c>
      <c r="D22" s="33">
        <f t="shared" si="4"/>
        <v>64</v>
      </c>
      <c r="E22" s="33">
        <f t="shared" si="4"/>
        <v>24</v>
      </c>
      <c r="F22" s="33">
        <f t="shared" si="4"/>
        <v>0</v>
      </c>
      <c r="G22" s="33">
        <f t="shared" si="4"/>
        <v>99</v>
      </c>
      <c r="H22" s="33">
        <f t="shared" si="4"/>
        <v>100</v>
      </c>
      <c r="I22" s="33">
        <f t="shared" si="4"/>
        <v>488</v>
      </c>
      <c r="J22" s="33">
        <f t="shared" si="4"/>
        <v>20</v>
      </c>
      <c r="K22" s="33">
        <f t="shared" si="4"/>
        <v>59.75</v>
      </c>
      <c r="L22" s="33">
        <f t="shared" si="4"/>
        <v>32</v>
      </c>
      <c r="M22" s="33">
        <f t="shared" si="4"/>
        <v>15</v>
      </c>
      <c r="N22" s="33">
        <f t="shared" si="4"/>
        <v>25</v>
      </c>
      <c r="O22" s="34"/>
      <c r="P22" s="34"/>
      <c r="Q22" s="34"/>
      <c r="R22" s="34"/>
    </row>
    <row r="23" spans="1:18" ht="27.95" x14ac:dyDescent="0.3">
      <c r="A23" s="32" t="s">
        <v>319</v>
      </c>
      <c r="B23" s="33">
        <v>20</v>
      </c>
      <c r="C23" s="33"/>
      <c r="D23" s="33"/>
      <c r="E23" s="33"/>
      <c r="F23" s="33"/>
      <c r="G23" s="33"/>
      <c r="H23" s="33"/>
      <c r="I23" s="33"/>
      <c r="J23" s="33"/>
      <c r="K23" s="33">
        <v>8</v>
      </c>
      <c r="L23" s="33"/>
      <c r="M23" s="33">
        <v>5</v>
      </c>
      <c r="N23" s="33"/>
      <c r="O23" s="34">
        <f>B23*($B$9/$B$8)+C23*($C$9/$C$8)+D23*($D$9/$D$8)+E23*($E$9/$E$8)+F23*($F$9/$F$8)+G23*($G$9/$G$8)+H23*($H$9/$H$8)+I23*($I$9/$I$8)+J23*($J$9/$J$8)+K23*($K$9/$K$8)+L23*($L$9/$L$8)+M23*($M$9/$M$8)+N23*($N$9/$N$8)</f>
        <v>1254.5454545454545</v>
      </c>
      <c r="P23" s="34"/>
      <c r="Q23" s="34"/>
      <c r="R23" s="34"/>
    </row>
    <row r="24" spans="1:18" x14ac:dyDescent="0.3">
      <c r="A24" s="27" t="s">
        <v>320</v>
      </c>
      <c r="B24" s="50">
        <f t="shared" ref="B24:N24" si="5">B22-B23</f>
        <v>70</v>
      </c>
      <c r="C24" s="50">
        <f t="shared" si="5"/>
        <v>109</v>
      </c>
      <c r="D24" s="50">
        <f t="shared" si="5"/>
        <v>64</v>
      </c>
      <c r="E24" s="50">
        <f t="shared" si="5"/>
        <v>24</v>
      </c>
      <c r="F24" s="50">
        <f t="shared" si="5"/>
        <v>0</v>
      </c>
      <c r="G24" s="50">
        <f t="shared" si="5"/>
        <v>99</v>
      </c>
      <c r="H24" s="50">
        <f t="shared" si="5"/>
        <v>100</v>
      </c>
      <c r="I24" s="50">
        <f t="shared" si="5"/>
        <v>488</v>
      </c>
      <c r="J24" s="50">
        <f t="shared" si="5"/>
        <v>20</v>
      </c>
      <c r="K24" s="50">
        <f t="shared" si="5"/>
        <v>51.75</v>
      </c>
      <c r="L24" s="50">
        <f t="shared" si="5"/>
        <v>32</v>
      </c>
      <c r="M24" s="50">
        <f>M22-M23</f>
        <v>10</v>
      </c>
      <c r="N24" s="50">
        <f t="shared" si="5"/>
        <v>25</v>
      </c>
      <c r="O24" s="30"/>
      <c r="P24" s="30"/>
      <c r="Q24" s="30"/>
      <c r="R24" s="30"/>
    </row>
    <row r="25" spans="1:18" x14ac:dyDescent="0.3">
      <c r="A25" s="32" t="s">
        <v>321</v>
      </c>
      <c r="B25" s="51">
        <v>0.1</v>
      </c>
      <c r="C25" s="51">
        <v>0.1</v>
      </c>
      <c r="D25" s="51">
        <v>0.1</v>
      </c>
      <c r="E25" s="51">
        <v>0.1</v>
      </c>
      <c r="F25" s="51">
        <v>0.15</v>
      </c>
      <c r="G25" s="51">
        <v>0.1</v>
      </c>
      <c r="H25" s="51">
        <v>0.1</v>
      </c>
      <c r="I25" s="51">
        <v>0.1</v>
      </c>
      <c r="J25" s="51">
        <v>0.15</v>
      </c>
      <c r="K25" s="51">
        <v>0.1</v>
      </c>
      <c r="L25" s="51">
        <v>0.05</v>
      </c>
      <c r="M25" s="51">
        <v>0.1</v>
      </c>
      <c r="N25" s="51">
        <v>0.1</v>
      </c>
      <c r="O25" s="30"/>
      <c r="P25" s="30"/>
      <c r="Q25" s="30"/>
      <c r="R25" s="30"/>
    </row>
    <row r="26" spans="1:18" ht="41.95" x14ac:dyDescent="0.3">
      <c r="A26" s="32" t="s">
        <v>322</v>
      </c>
      <c r="B26" s="52">
        <f t="shared" ref="B26:N26" si="6">B24+(B24*10%)</f>
        <v>77</v>
      </c>
      <c r="C26" s="52">
        <f t="shared" si="6"/>
        <v>119.9</v>
      </c>
      <c r="D26" s="52">
        <f t="shared" si="6"/>
        <v>70.400000000000006</v>
      </c>
      <c r="E26" s="52">
        <f>E24+(E24*30%)</f>
        <v>31.2</v>
      </c>
      <c r="F26" s="52">
        <f t="shared" si="6"/>
        <v>0</v>
      </c>
      <c r="G26" s="52">
        <f t="shared" si="6"/>
        <v>108.9</v>
      </c>
      <c r="H26" s="52">
        <f t="shared" si="6"/>
        <v>110</v>
      </c>
      <c r="I26" s="52">
        <f t="shared" si="6"/>
        <v>536.79999999999995</v>
      </c>
      <c r="J26" s="52">
        <f>J24+(J24*15%)</f>
        <v>23</v>
      </c>
      <c r="K26" s="52">
        <f t="shared" si="6"/>
        <v>56.924999999999997</v>
      </c>
      <c r="L26" s="52">
        <f t="shared" si="6"/>
        <v>35.200000000000003</v>
      </c>
      <c r="M26" s="52">
        <f t="shared" si="6"/>
        <v>11</v>
      </c>
      <c r="N26" s="52">
        <f t="shared" si="6"/>
        <v>27.5</v>
      </c>
      <c r="O26" s="30"/>
      <c r="P26" s="30"/>
      <c r="Q26" s="30"/>
      <c r="R26" s="30"/>
    </row>
    <row r="27" spans="1:18" ht="27.95" x14ac:dyDescent="0.3">
      <c r="A27" s="32" t="s">
        <v>323</v>
      </c>
      <c r="B27" s="53">
        <f t="shared" ref="B27:N27" si="7">B26/B8</f>
        <v>3.5</v>
      </c>
      <c r="C27" s="53">
        <f t="shared" si="7"/>
        <v>11.99</v>
      </c>
      <c r="D27" s="53">
        <f t="shared" si="7"/>
        <v>7.0400000000000009</v>
      </c>
      <c r="E27" s="53">
        <f t="shared" si="7"/>
        <v>6.24</v>
      </c>
      <c r="F27" s="53">
        <f t="shared" si="7"/>
        <v>0</v>
      </c>
      <c r="G27" s="53">
        <f t="shared" si="7"/>
        <v>5.4450000000000003</v>
      </c>
      <c r="H27" s="53">
        <f t="shared" si="7"/>
        <v>5.5</v>
      </c>
      <c r="I27" s="53">
        <f t="shared" si="7"/>
        <v>26.839999999999996</v>
      </c>
      <c r="J27" s="53">
        <f t="shared" si="7"/>
        <v>2.2999999999999998</v>
      </c>
      <c r="K27" s="53">
        <f t="shared" si="7"/>
        <v>5.6924999999999999</v>
      </c>
      <c r="L27" s="53">
        <f t="shared" si="7"/>
        <v>3.5200000000000005</v>
      </c>
      <c r="M27" s="53">
        <f t="shared" si="7"/>
        <v>11</v>
      </c>
      <c r="N27" s="53">
        <f t="shared" si="7"/>
        <v>2.75</v>
      </c>
      <c r="O27" s="30"/>
      <c r="P27" s="30"/>
      <c r="Q27" s="30"/>
      <c r="R27" s="30"/>
    </row>
    <row r="28" spans="1:18" x14ac:dyDescent="0.3">
      <c r="A28" s="27" t="s">
        <v>324</v>
      </c>
      <c r="B28" s="29">
        <v>4</v>
      </c>
      <c r="C28" s="29">
        <v>12</v>
      </c>
      <c r="D28" s="29">
        <v>8</v>
      </c>
      <c r="E28" s="29">
        <v>6</v>
      </c>
      <c r="F28" s="29"/>
      <c r="G28" s="29">
        <v>6</v>
      </c>
      <c r="H28" s="29">
        <v>6</v>
      </c>
      <c r="I28" s="29">
        <v>30</v>
      </c>
      <c r="J28" s="29">
        <v>3</v>
      </c>
      <c r="K28" s="29">
        <v>6</v>
      </c>
      <c r="L28" s="29">
        <v>4</v>
      </c>
      <c r="M28" s="29">
        <v>10</v>
      </c>
      <c r="N28" s="29">
        <v>2</v>
      </c>
      <c r="O28" s="30"/>
      <c r="P28" s="30"/>
      <c r="Q28" s="30"/>
      <c r="R28" s="30"/>
    </row>
    <row r="29" spans="1:18" x14ac:dyDescent="0.3">
      <c r="A29" s="54"/>
      <c r="B29" s="55"/>
      <c r="C29" s="55"/>
      <c r="D29" s="55"/>
      <c r="E29" s="55"/>
      <c r="F29" s="55"/>
      <c r="G29" s="55"/>
      <c r="H29" s="55">
        <v>2</v>
      </c>
      <c r="I29" s="55">
        <v>2</v>
      </c>
      <c r="J29" s="55"/>
      <c r="K29" s="55"/>
      <c r="L29" s="55"/>
      <c r="M29" s="33"/>
      <c r="N29" s="29"/>
      <c r="O29" s="30"/>
      <c r="P29" s="30"/>
      <c r="Q29" s="30"/>
      <c r="R29" s="30"/>
    </row>
    <row r="30" spans="1:18" x14ac:dyDescent="0.3">
      <c r="A30" s="56"/>
      <c r="B30" s="57"/>
      <c r="C30" s="57">
        <v>4</v>
      </c>
      <c r="D30" s="57"/>
      <c r="E30" s="57"/>
      <c r="F30" s="57"/>
      <c r="G30" s="57">
        <v>3</v>
      </c>
      <c r="H30" s="57">
        <v>2</v>
      </c>
      <c r="I30" s="57">
        <v>4</v>
      </c>
      <c r="J30" s="57"/>
      <c r="K30" s="57">
        <v>2</v>
      </c>
      <c r="L30" s="57">
        <v>2</v>
      </c>
      <c r="M30" s="33"/>
      <c r="N30" s="33"/>
      <c r="O30" s="30"/>
      <c r="P30" s="30"/>
      <c r="Q30" s="30"/>
      <c r="R30" s="30"/>
    </row>
    <row r="31" spans="1:18" x14ac:dyDescent="0.3">
      <c r="A31" s="27"/>
      <c r="B31" s="33">
        <v>4</v>
      </c>
      <c r="C31" s="58">
        <v>3</v>
      </c>
      <c r="D31" s="33"/>
      <c r="E31" s="33"/>
      <c r="F31" s="33"/>
      <c r="G31" s="33">
        <v>3</v>
      </c>
      <c r="H31" s="33">
        <v>1</v>
      </c>
      <c r="I31" s="33">
        <v>11</v>
      </c>
      <c r="J31" s="33"/>
      <c r="K31" s="33">
        <v>1</v>
      </c>
      <c r="L31" s="33">
        <v>2</v>
      </c>
      <c r="M31" s="33"/>
      <c r="N31" s="33">
        <v>1</v>
      </c>
      <c r="O31" s="30"/>
      <c r="P31" s="30"/>
      <c r="Q31" s="30"/>
      <c r="R31" s="30"/>
    </row>
    <row r="32" spans="1:18" x14ac:dyDescent="0.3">
      <c r="A32" s="49"/>
      <c r="B32" s="59"/>
      <c r="C32" s="59">
        <v>3</v>
      </c>
      <c r="D32" s="59"/>
      <c r="E32" s="59"/>
      <c r="F32" s="59"/>
      <c r="G32" s="59"/>
      <c r="H32" s="59"/>
      <c r="I32" s="59">
        <v>1</v>
      </c>
      <c r="J32" s="59"/>
      <c r="K32" s="59"/>
      <c r="L32" s="59"/>
      <c r="M32" s="33"/>
      <c r="N32" s="33"/>
      <c r="O32" s="30"/>
      <c r="P32" s="30"/>
      <c r="Q32" s="30"/>
      <c r="R32" s="30"/>
    </row>
    <row r="33" spans="1:18" x14ac:dyDescent="0.3">
      <c r="A33" s="60"/>
      <c r="B33" s="61"/>
      <c r="C33" s="61"/>
      <c r="D33" s="61"/>
      <c r="E33" s="61"/>
      <c r="F33" s="61"/>
      <c r="G33" s="61"/>
      <c r="H33" s="61">
        <v>1</v>
      </c>
      <c r="I33" s="61"/>
      <c r="J33" s="61"/>
      <c r="K33" s="61">
        <v>3</v>
      </c>
      <c r="L33" s="61"/>
      <c r="M33" s="33"/>
      <c r="N33" s="33"/>
      <c r="O33" s="30"/>
      <c r="P33" s="30"/>
      <c r="Q33" s="30"/>
      <c r="R33" s="30"/>
    </row>
    <row r="34" spans="1:18" x14ac:dyDescent="0.3">
      <c r="A34" s="62"/>
      <c r="B34" s="63"/>
      <c r="C34" s="63"/>
      <c r="D34" s="63"/>
      <c r="E34" s="63"/>
      <c r="F34" s="63"/>
      <c r="G34" s="63"/>
      <c r="H34" s="63"/>
      <c r="I34" s="63">
        <v>2</v>
      </c>
      <c r="J34" s="63"/>
      <c r="K34" s="63"/>
      <c r="L34" s="63"/>
      <c r="M34" s="33">
        <v>10</v>
      </c>
      <c r="N34" s="33">
        <v>1</v>
      </c>
      <c r="O34" s="30"/>
      <c r="P34" s="30"/>
      <c r="Q34" s="30"/>
      <c r="R34" s="30"/>
    </row>
    <row r="35" spans="1:18" x14ac:dyDescent="0.3">
      <c r="A35" s="64"/>
      <c r="B35" s="65"/>
      <c r="C35" s="65">
        <v>2</v>
      </c>
      <c r="D35" s="65"/>
      <c r="E35" s="65"/>
      <c r="F35" s="65"/>
      <c r="G35" s="65"/>
      <c r="H35" s="65"/>
      <c r="I35" s="65">
        <v>10</v>
      </c>
      <c r="J35" s="65">
        <v>2</v>
      </c>
      <c r="K35" s="65"/>
      <c r="L35" s="65"/>
      <c r="M35" s="33"/>
      <c r="N35" s="33"/>
      <c r="O35" s="30"/>
      <c r="P35" s="30"/>
      <c r="Q35" s="30"/>
      <c r="R35" s="30"/>
    </row>
    <row r="36" spans="1:18" x14ac:dyDescent="0.3">
      <c r="A36" s="27"/>
      <c r="B36" s="33"/>
      <c r="C36" s="33"/>
      <c r="D36" s="33"/>
      <c r="E36" s="33"/>
      <c r="F36" s="33"/>
      <c r="G36" s="33"/>
      <c r="H36" s="33"/>
      <c r="I36" s="33"/>
      <c r="J36" s="33">
        <v>1</v>
      </c>
      <c r="K36" s="33"/>
      <c r="L36" s="29"/>
      <c r="M36" s="29"/>
      <c r="N36" s="33"/>
      <c r="O36" s="30"/>
      <c r="P36" s="30"/>
      <c r="Q36" s="30"/>
      <c r="R36" s="30"/>
    </row>
    <row r="37" spans="1:18" ht="15.6" x14ac:dyDescent="0.3">
      <c r="A37" s="66"/>
      <c r="B37" s="67"/>
      <c r="C37" s="67"/>
      <c r="D37" s="67"/>
      <c r="E37" s="67"/>
      <c r="F37" s="67"/>
      <c r="G37" s="67"/>
      <c r="H37" s="67"/>
      <c r="I37" s="67"/>
      <c r="J37" s="67"/>
      <c r="K37" s="67"/>
      <c r="L37" s="67"/>
      <c r="M37" s="67"/>
      <c r="N37" s="67"/>
      <c r="O37" s="30"/>
      <c r="P37" s="30"/>
      <c r="Q37" s="30"/>
      <c r="R37" s="30"/>
    </row>
    <row r="38" spans="1:18" x14ac:dyDescent="0.3">
      <c r="A38" s="29" t="s">
        <v>325</v>
      </c>
      <c r="B38" s="36">
        <f t="shared" ref="B38:N38" si="8">B28*B9</f>
        <v>680</v>
      </c>
      <c r="C38" s="36">
        <f t="shared" si="8"/>
        <v>6000</v>
      </c>
      <c r="D38" s="36">
        <f t="shared" si="8"/>
        <v>1280</v>
      </c>
      <c r="E38" s="36">
        <f t="shared" si="8"/>
        <v>1080</v>
      </c>
      <c r="F38" s="36">
        <f t="shared" si="8"/>
        <v>0</v>
      </c>
      <c r="G38" s="36">
        <f t="shared" si="8"/>
        <v>1800</v>
      </c>
      <c r="H38" s="36">
        <f t="shared" si="8"/>
        <v>2250</v>
      </c>
      <c r="I38" s="36">
        <f t="shared" si="8"/>
        <v>7500</v>
      </c>
      <c r="J38" s="36">
        <f t="shared" si="8"/>
        <v>1275</v>
      </c>
      <c r="K38" s="36">
        <f t="shared" si="8"/>
        <v>3750</v>
      </c>
      <c r="L38" s="36">
        <f t="shared" si="8"/>
        <v>6400</v>
      </c>
      <c r="M38" s="36">
        <f t="shared" si="8"/>
        <v>1200</v>
      </c>
      <c r="N38" s="36">
        <f t="shared" si="8"/>
        <v>1700</v>
      </c>
      <c r="O38" s="30">
        <f>B38+C38+D38+E38+F38+G38+H38+I38+J38+K38+L38+M38+N38+Q60+ 2000</f>
        <v>42425</v>
      </c>
      <c r="P38" s="68"/>
      <c r="Q38" s="34">
        <f>SUM(Q7:Q23)</f>
        <v>51492.5</v>
      </c>
      <c r="R38" s="30"/>
    </row>
    <row r="39" spans="1:18" x14ac:dyDescent="0.3">
      <c r="A39" s="30"/>
      <c r="B39" s="30"/>
      <c r="C39" s="30"/>
      <c r="D39" s="30"/>
      <c r="E39" s="30"/>
      <c r="F39" s="30"/>
      <c r="G39" s="30"/>
      <c r="H39" s="30"/>
      <c r="I39" s="30"/>
      <c r="J39" s="30"/>
      <c r="K39" s="30"/>
      <c r="L39" s="30"/>
      <c r="M39" s="30"/>
      <c r="N39" s="30"/>
      <c r="O39" s="30"/>
      <c r="P39" s="69" t="s">
        <v>326</v>
      </c>
      <c r="Q39" s="69" t="s">
        <v>327</v>
      </c>
      <c r="R39" s="30"/>
    </row>
    <row r="40" spans="1:18" x14ac:dyDescent="0.3">
      <c r="A40" s="30"/>
      <c r="B40" s="30"/>
      <c r="C40" s="30"/>
      <c r="D40" s="30"/>
      <c r="E40" s="30"/>
      <c r="F40" s="30"/>
      <c r="G40" s="30"/>
      <c r="H40" s="30"/>
      <c r="I40" s="30"/>
      <c r="J40" s="30"/>
      <c r="K40" s="30"/>
      <c r="L40" s="30"/>
      <c r="M40" s="30"/>
      <c r="N40" s="30" t="s">
        <v>328</v>
      </c>
      <c r="O40" s="30">
        <f t="shared" ref="O40:O59" si="9">Q40*P40</f>
        <v>1000</v>
      </c>
      <c r="P40" s="30">
        <v>5</v>
      </c>
      <c r="Q40" s="30">
        <v>200</v>
      </c>
      <c r="R40" s="30"/>
    </row>
    <row r="41" spans="1:18" x14ac:dyDescent="0.3">
      <c r="A41" s="30"/>
      <c r="B41" s="30"/>
      <c r="C41" s="30"/>
      <c r="D41" s="30"/>
      <c r="E41" s="30"/>
      <c r="F41" s="30"/>
      <c r="G41" s="30"/>
      <c r="H41" s="30"/>
      <c r="I41" s="30"/>
      <c r="J41" s="30"/>
      <c r="K41" s="30"/>
      <c r="L41" s="30"/>
      <c r="M41" s="30"/>
      <c r="N41" s="30" t="s">
        <v>329</v>
      </c>
      <c r="O41" s="30">
        <f t="shared" si="9"/>
        <v>300</v>
      </c>
      <c r="P41" s="30">
        <v>3</v>
      </c>
      <c r="Q41" s="30">
        <v>100</v>
      </c>
      <c r="R41" s="30"/>
    </row>
    <row r="42" spans="1:18" x14ac:dyDescent="0.3">
      <c r="A42" s="30"/>
      <c r="B42" s="30"/>
      <c r="C42" s="30"/>
      <c r="D42" s="30"/>
      <c r="E42" s="30"/>
      <c r="F42" s="30"/>
      <c r="G42" s="30"/>
      <c r="H42" s="30"/>
      <c r="I42" s="30"/>
      <c r="J42" s="30"/>
      <c r="K42" s="30"/>
      <c r="L42" s="30"/>
      <c r="M42" s="30"/>
      <c r="N42" s="30" t="s">
        <v>330</v>
      </c>
      <c r="O42" s="30">
        <f t="shared" si="9"/>
        <v>0</v>
      </c>
      <c r="P42" s="30">
        <v>0</v>
      </c>
      <c r="Q42" s="30">
        <v>100</v>
      </c>
      <c r="R42" s="30"/>
    </row>
    <row r="43" spans="1:18" x14ac:dyDescent="0.3">
      <c r="A43" s="30"/>
      <c r="B43" s="30"/>
      <c r="C43" s="30"/>
      <c r="D43" s="30"/>
      <c r="E43" s="30"/>
      <c r="F43" s="30"/>
      <c r="G43" s="30"/>
      <c r="H43" s="30"/>
      <c r="I43" s="30"/>
      <c r="J43" s="30"/>
      <c r="K43" s="30"/>
      <c r="L43" s="30"/>
      <c r="M43" s="30"/>
      <c r="N43" s="30" t="s">
        <v>331</v>
      </c>
      <c r="O43" s="30">
        <f t="shared" si="9"/>
        <v>2000</v>
      </c>
      <c r="P43" s="30">
        <v>100</v>
      </c>
      <c r="Q43" s="30">
        <v>20</v>
      </c>
      <c r="R43" s="30"/>
    </row>
    <row r="44" spans="1:18" ht="27.95" x14ac:dyDescent="0.3">
      <c r="A44" s="30"/>
      <c r="B44" s="30"/>
      <c r="C44" s="30"/>
      <c r="D44" s="30"/>
      <c r="E44" s="30"/>
      <c r="F44" s="70"/>
      <c r="G44" s="30"/>
      <c r="H44" s="30"/>
      <c r="I44" s="30"/>
      <c r="J44" s="30"/>
      <c r="K44" s="30"/>
      <c r="L44" s="30"/>
      <c r="M44" s="30"/>
      <c r="N44" s="30" t="s">
        <v>332</v>
      </c>
      <c r="O44" s="30">
        <f t="shared" si="9"/>
        <v>320</v>
      </c>
      <c r="P44" s="30">
        <v>4</v>
      </c>
      <c r="Q44" s="30">
        <v>80</v>
      </c>
      <c r="R44" s="30"/>
    </row>
    <row r="45" spans="1:18" x14ac:dyDescent="0.3">
      <c r="A45" s="30"/>
      <c r="B45" s="30"/>
      <c r="C45" s="30"/>
      <c r="D45" s="30"/>
      <c r="E45" s="30"/>
      <c r="F45" s="30"/>
      <c r="G45" s="30"/>
      <c r="H45" s="30"/>
      <c r="I45" s="30"/>
      <c r="J45" s="30"/>
      <c r="K45" s="30"/>
      <c r="L45" s="30"/>
      <c r="M45" s="30"/>
      <c r="N45" s="30" t="s">
        <v>333</v>
      </c>
      <c r="O45" s="30">
        <f t="shared" si="9"/>
        <v>0</v>
      </c>
      <c r="P45" s="30">
        <v>0</v>
      </c>
      <c r="Q45" s="30">
        <v>300</v>
      </c>
      <c r="R45" s="30"/>
    </row>
    <row r="46" spans="1:18" ht="27.95" x14ac:dyDescent="0.3">
      <c r="A46" s="30"/>
      <c r="B46" s="30"/>
      <c r="C46" s="30"/>
      <c r="D46" s="30"/>
      <c r="E46" s="30"/>
      <c r="F46" s="30"/>
      <c r="G46" s="30"/>
      <c r="H46" s="30"/>
      <c r="I46" s="30"/>
      <c r="J46" s="30"/>
      <c r="K46" s="30"/>
      <c r="L46" s="30"/>
      <c r="M46" s="30"/>
      <c r="N46" s="30" t="s">
        <v>334</v>
      </c>
      <c r="O46" s="30">
        <f t="shared" si="9"/>
        <v>0</v>
      </c>
      <c r="P46" s="30">
        <v>0</v>
      </c>
      <c r="Q46" s="30">
        <v>250</v>
      </c>
      <c r="R46" s="30"/>
    </row>
    <row r="47" spans="1:18" x14ac:dyDescent="0.3">
      <c r="A47" s="30"/>
      <c r="B47" s="30"/>
      <c r="C47" s="30"/>
      <c r="D47" s="30"/>
      <c r="E47" s="30"/>
      <c r="F47" s="30"/>
      <c r="G47" s="30"/>
      <c r="H47" s="30"/>
      <c r="I47" s="30"/>
      <c r="J47" s="30"/>
      <c r="K47" s="30"/>
      <c r="L47" s="30"/>
      <c r="M47" s="30"/>
      <c r="N47" s="30" t="s">
        <v>335</v>
      </c>
      <c r="O47" s="30">
        <f t="shared" si="9"/>
        <v>300</v>
      </c>
      <c r="P47" s="30">
        <v>3</v>
      </c>
      <c r="Q47" s="30">
        <v>100</v>
      </c>
      <c r="R47" s="30"/>
    </row>
    <row r="48" spans="1:18" ht="27.95" x14ac:dyDescent="0.3">
      <c r="A48" s="30"/>
      <c r="B48" s="30"/>
      <c r="C48" s="30"/>
      <c r="D48" s="30"/>
      <c r="E48" s="30"/>
      <c r="F48" s="30"/>
      <c r="G48" s="30"/>
      <c r="H48" s="30"/>
      <c r="I48" s="30"/>
      <c r="J48" s="30"/>
      <c r="K48" s="30"/>
      <c r="L48" s="30"/>
      <c r="M48" s="30"/>
      <c r="N48" s="30" t="s">
        <v>336</v>
      </c>
      <c r="O48" s="30">
        <f t="shared" si="9"/>
        <v>600</v>
      </c>
      <c r="P48" s="30">
        <v>2</v>
      </c>
      <c r="Q48" s="30">
        <v>300</v>
      </c>
      <c r="R48" s="30"/>
    </row>
    <row r="49" spans="1:18" x14ac:dyDescent="0.3">
      <c r="A49" s="30"/>
      <c r="B49" s="30"/>
      <c r="C49" s="30"/>
      <c r="D49" s="30"/>
      <c r="E49" s="30"/>
      <c r="F49" s="30"/>
      <c r="G49" s="30"/>
      <c r="H49" s="30"/>
      <c r="I49" s="30"/>
      <c r="J49" s="30"/>
      <c r="K49" s="30"/>
      <c r="L49" s="30"/>
      <c r="M49" s="30"/>
      <c r="N49" s="30" t="s">
        <v>337</v>
      </c>
      <c r="O49" s="30">
        <f t="shared" si="9"/>
        <v>0</v>
      </c>
      <c r="P49" s="30">
        <v>0</v>
      </c>
      <c r="Q49" s="30">
        <v>700</v>
      </c>
      <c r="R49" s="30"/>
    </row>
    <row r="50" spans="1:18" x14ac:dyDescent="0.3">
      <c r="A50" s="30"/>
      <c r="B50" s="30"/>
      <c r="C50" s="30"/>
      <c r="D50" s="30"/>
      <c r="E50" s="30"/>
      <c r="F50" s="30"/>
      <c r="G50" s="30"/>
      <c r="H50" s="30"/>
      <c r="I50" s="30"/>
      <c r="J50" s="30"/>
      <c r="K50" s="30"/>
      <c r="L50" s="30"/>
      <c r="M50" s="30"/>
      <c r="N50" s="30" t="s">
        <v>338</v>
      </c>
      <c r="O50" s="30">
        <f t="shared" si="9"/>
        <v>1500</v>
      </c>
      <c r="P50" s="30">
        <v>5</v>
      </c>
      <c r="Q50" s="30">
        <v>300</v>
      </c>
      <c r="R50" s="30"/>
    </row>
    <row r="51" spans="1:18" x14ac:dyDescent="0.3">
      <c r="A51" s="30"/>
      <c r="B51" s="30"/>
      <c r="C51" s="30"/>
      <c r="D51" s="30"/>
      <c r="E51" s="30"/>
      <c r="F51" s="30"/>
      <c r="G51" s="30"/>
      <c r="H51" s="30"/>
      <c r="I51" s="30"/>
      <c r="J51" s="30"/>
      <c r="K51" s="30"/>
      <c r="L51" s="30"/>
      <c r="M51" s="30"/>
      <c r="N51" s="30" t="s">
        <v>303</v>
      </c>
      <c r="O51" s="30">
        <f t="shared" si="9"/>
        <v>900</v>
      </c>
      <c r="P51" s="30">
        <v>5</v>
      </c>
      <c r="Q51" s="30">
        <v>180</v>
      </c>
      <c r="R51" s="30"/>
    </row>
    <row r="52" spans="1:18" ht="27.95" x14ac:dyDescent="0.3">
      <c r="A52" s="30"/>
      <c r="B52" s="30"/>
      <c r="C52" s="30"/>
      <c r="D52" s="30"/>
      <c r="E52" s="30"/>
      <c r="F52" s="30"/>
      <c r="G52" s="30"/>
      <c r="H52" s="30"/>
      <c r="I52" s="30"/>
      <c r="J52" s="30"/>
      <c r="K52" s="30"/>
      <c r="L52" s="30"/>
      <c r="M52" s="30"/>
      <c r="N52" s="30" t="s">
        <v>339</v>
      </c>
      <c r="O52" s="30">
        <f t="shared" si="9"/>
        <v>200</v>
      </c>
      <c r="P52" s="30">
        <v>2</v>
      </c>
      <c r="Q52" s="30">
        <v>100</v>
      </c>
      <c r="R52" s="30"/>
    </row>
    <row r="53" spans="1:18" ht="27.95" x14ac:dyDescent="0.3">
      <c r="A53" s="30"/>
      <c r="B53" s="30"/>
      <c r="C53" s="30"/>
      <c r="D53" s="30"/>
      <c r="E53" s="30"/>
      <c r="F53" s="30"/>
      <c r="G53" s="30"/>
      <c r="H53" s="30"/>
      <c r="I53" s="30"/>
      <c r="J53" s="30"/>
      <c r="K53" s="30"/>
      <c r="L53" s="30"/>
      <c r="M53" s="30"/>
      <c r="N53" s="30" t="s">
        <v>340</v>
      </c>
      <c r="O53" s="30">
        <f t="shared" si="9"/>
        <v>80</v>
      </c>
      <c r="P53" s="30">
        <v>1</v>
      </c>
      <c r="Q53" s="30">
        <v>80</v>
      </c>
      <c r="R53" s="30"/>
    </row>
    <row r="54" spans="1:18" ht="41.95" x14ac:dyDescent="0.3">
      <c r="A54" s="30"/>
      <c r="B54" s="30"/>
      <c r="C54" s="30"/>
      <c r="D54" s="30"/>
      <c r="E54" s="30"/>
      <c r="F54" s="30"/>
      <c r="G54" s="30"/>
      <c r="H54" s="30"/>
      <c r="I54" s="30"/>
      <c r="J54" s="30"/>
      <c r="K54" s="30"/>
      <c r="L54" s="30"/>
      <c r="M54" s="30"/>
      <c r="N54" s="30" t="s">
        <v>341</v>
      </c>
      <c r="O54" s="30">
        <f t="shared" si="9"/>
        <v>0</v>
      </c>
      <c r="P54" s="30">
        <v>0</v>
      </c>
      <c r="Q54" s="30">
        <v>450</v>
      </c>
      <c r="R54" s="30"/>
    </row>
    <row r="55" spans="1:18" ht="41.95" x14ac:dyDescent="0.3">
      <c r="A55" s="30"/>
      <c r="B55" s="30"/>
      <c r="C55" s="30"/>
      <c r="D55" s="30"/>
      <c r="E55" s="30"/>
      <c r="F55" s="30"/>
      <c r="G55" s="30"/>
      <c r="H55" s="30"/>
      <c r="I55" s="30"/>
      <c r="J55" s="30"/>
      <c r="K55" s="30"/>
      <c r="L55" s="30"/>
      <c r="M55" s="30"/>
      <c r="N55" s="30" t="s">
        <v>342</v>
      </c>
      <c r="O55" s="30">
        <f t="shared" si="9"/>
        <v>0</v>
      </c>
      <c r="P55" s="30">
        <v>0</v>
      </c>
      <c r="Q55" s="30">
        <v>550</v>
      </c>
      <c r="R55" s="30"/>
    </row>
    <row r="56" spans="1:18" ht="27.95" x14ac:dyDescent="0.3">
      <c r="A56" s="30"/>
      <c r="B56" s="30"/>
      <c r="C56" s="30"/>
      <c r="D56" s="30"/>
      <c r="E56" s="30"/>
      <c r="F56" s="30"/>
      <c r="G56" s="30"/>
      <c r="H56" s="30"/>
      <c r="I56" s="30"/>
      <c r="J56" s="30"/>
      <c r="K56" s="30"/>
      <c r="L56" s="30"/>
      <c r="M56" s="30"/>
      <c r="N56" s="30" t="s">
        <v>343</v>
      </c>
      <c r="O56" s="30">
        <f t="shared" si="9"/>
        <v>0</v>
      </c>
      <c r="P56" s="30">
        <v>0</v>
      </c>
      <c r="Q56" s="30">
        <v>200</v>
      </c>
      <c r="R56" s="30"/>
    </row>
    <row r="57" spans="1:18" ht="27.95" x14ac:dyDescent="0.3">
      <c r="A57" s="30"/>
      <c r="B57" s="30"/>
      <c r="C57" s="30"/>
      <c r="D57" s="30"/>
      <c r="E57" s="30"/>
      <c r="F57" s="30"/>
      <c r="G57" s="30"/>
      <c r="H57" s="30"/>
      <c r="I57" s="30"/>
      <c r="J57" s="30"/>
      <c r="K57" s="30"/>
      <c r="L57" s="30"/>
      <c r="M57" s="30"/>
      <c r="N57" s="30" t="s">
        <v>344</v>
      </c>
      <c r="O57" s="30">
        <f t="shared" si="9"/>
        <v>0</v>
      </c>
      <c r="P57" s="30">
        <v>0</v>
      </c>
      <c r="Q57" s="30">
        <v>600</v>
      </c>
      <c r="R57" s="30"/>
    </row>
    <row r="58" spans="1:18" x14ac:dyDescent="0.3">
      <c r="A58" s="30"/>
      <c r="B58" s="30"/>
      <c r="C58" s="30"/>
      <c r="D58" s="30"/>
      <c r="E58" s="30"/>
      <c r="F58" s="30"/>
      <c r="G58" s="30"/>
      <c r="H58" s="30"/>
      <c r="I58" s="30"/>
      <c r="J58" s="30"/>
      <c r="K58" s="30"/>
      <c r="L58" s="30"/>
      <c r="M58" s="30"/>
      <c r="N58" s="30" t="s">
        <v>345</v>
      </c>
      <c r="O58" s="30">
        <f t="shared" si="9"/>
        <v>0</v>
      </c>
      <c r="P58" s="30">
        <v>0</v>
      </c>
      <c r="Q58" s="30">
        <v>300</v>
      </c>
      <c r="R58" s="30"/>
    </row>
    <row r="59" spans="1:18" ht="27.95" x14ac:dyDescent="0.3">
      <c r="A59" s="30"/>
      <c r="B59" s="30"/>
      <c r="C59" s="30"/>
      <c r="D59" s="30"/>
      <c r="E59" s="30"/>
      <c r="F59" s="30"/>
      <c r="G59" s="30"/>
      <c r="H59" s="71">
        <f>(1038*25)/30</f>
        <v>865</v>
      </c>
      <c r="I59" s="30"/>
      <c r="J59" s="30"/>
      <c r="K59" s="30"/>
      <c r="L59" s="30"/>
      <c r="M59" s="30"/>
      <c r="N59" s="30" t="s">
        <v>346</v>
      </c>
      <c r="O59" s="30">
        <f t="shared" si="9"/>
        <v>0</v>
      </c>
      <c r="P59" s="30">
        <v>0</v>
      </c>
      <c r="Q59" s="30">
        <v>600</v>
      </c>
      <c r="R59" s="30"/>
    </row>
    <row r="60" spans="1:18" x14ac:dyDescent="0.3">
      <c r="Q60">
        <f>SUM(Q40:Q59)</f>
        <v>5510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Tripathi</dc:creator>
  <cp:lastModifiedBy>Amit Tripathi</cp:lastModifiedBy>
  <dcterms:created xsi:type="dcterms:W3CDTF">2026-07-13T16:22:16Z</dcterms:created>
  <dcterms:modified xsi:type="dcterms:W3CDTF">2026-07-13T18:36:11Z</dcterms:modified>
</cp:coreProperties>
</file>