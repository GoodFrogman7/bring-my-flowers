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f90bce48fe946bb5/Desktop/"/>
    </mc:Choice>
  </mc:AlternateContent>
  <xr:revisionPtr revIDLastSave="62" documentId="8_{20157E40-D0AD-4846-914C-B9D19EFFB97E}" xr6:coauthVersionLast="47" xr6:coauthVersionMax="47" xr10:uidLastSave="{8682FCE0-8849-4555-9018-F44847F3C091}"/>
  <bookViews>
    <workbookView xWindow="-107" yWindow="-107" windowWidth="20847" windowHeight="11100" activeTab="1" xr2:uid="{4EBA5E76-BF6D-4D9B-9D44-854B95EF7505}"/>
  </bookViews>
  <sheets>
    <sheet name="Sheet2" sheetId="2" r:id="rId1"/>
    <sheet name="Sheet1" sheetId="1" r:id="rId2"/>
  </sheets>
  <externalReferences>
    <externalReference r:id="rId3"/>
    <externalReference r:id="rId4"/>
  </externalReferences>
  <definedNames>
    <definedName name="_xlnm._FilterDatabase" localSheetId="1" hidden="1">Sheet1!$A$1:$AD$126</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126" i="1" l="1"/>
  <c r="Q60" i="2"/>
  <c r="O59" i="2"/>
  <c r="H59" i="2"/>
  <c r="O58" i="2"/>
  <c r="O57" i="2"/>
  <c r="O56" i="2"/>
  <c r="O55" i="2"/>
  <c r="O54" i="2"/>
  <c r="O53" i="2"/>
  <c r="O52" i="2"/>
  <c r="O51" i="2"/>
  <c r="O50" i="2"/>
  <c r="O49" i="2"/>
  <c r="O48" i="2"/>
  <c r="O47" i="2"/>
  <c r="O46" i="2"/>
  <c r="O45" i="2"/>
  <c r="O44" i="2"/>
  <c r="O43" i="2"/>
  <c r="O42" i="2"/>
  <c r="O41" i="2"/>
  <c r="O40" i="2"/>
  <c r="N38" i="2"/>
  <c r="M38" i="2"/>
  <c r="L38" i="2"/>
  <c r="K38" i="2"/>
  <c r="J38" i="2"/>
  <c r="I38" i="2"/>
  <c r="H38" i="2"/>
  <c r="G38" i="2"/>
  <c r="F38" i="2"/>
  <c r="E38" i="2"/>
  <c r="D38" i="2"/>
  <c r="C38" i="2"/>
  <c r="B38" i="2"/>
  <c r="O23" i="2"/>
  <c r="O21" i="2"/>
  <c r="O20" i="2"/>
  <c r="O19" i="2"/>
  <c r="O18" i="2"/>
  <c r="O17" i="2"/>
  <c r="O16" i="2"/>
  <c r="O15" i="2"/>
  <c r="N14" i="2"/>
  <c r="M14" i="2"/>
  <c r="L14" i="2"/>
  <c r="L22" i="2" s="1"/>
  <c r="L24" i="2" s="1"/>
  <c r="L26" i="2" s="1"/>
  <c r="L27" i="2" s="1"/>
  <c r="K14" i="2"/>
  <c r="J14" i="2"/>
  <c r="I14" i="2"/>
  <c r="H14" i="2"/>
  <c r="G14" i="2"/>
  <c r="F14" i="2"/>
  <c r="E14" i="2"/>
  <c r="D14" i="2"/>
  <c r="C14" i="2"/>
  <c r="B14" i="2"/>
  <c r="N13" i="2"/>
  <c r="M13" i="2"/>
  <c r="L13" i="2"/>
  <c r="K13" i="2"/>
  <c r="J13" i="2"/>
  <c r="I13" i="2"/>
  <c r="H13" i="2"/>
  <c r="G13" i="2"/>
  <c r="F13" i="2"/>
  <c r="E13" i="2"/>
  <c r="D13" i="2"/>
  <c r="C13" i="2"/>
  <c r="B13" i="2"/>
  <c r="N12" i="2"/>
  <c r="M12" i="2"/>
  <c r="L12" i="2"/>
  <c r="K12" i="2"/>
  <c r="J12" i="2"/>
  <c r="I12" i="2"/>
  <c r="H12" i="2"/>
  <c r="G12" i="2"/>
  <c r="F12" i="2"/>
  <c r="E12" i="2"/>
  <c r="D12" i="2"/>
  <c r="C12" i="2"/>
  <c r="B12" i="2"/>
  <c r="N11" i="2"/>
  <c r="M11" i="2"/>
  <c r="L11" i="2"/>
  <c r="K11" i="2"/>
  <c r="J11" i="2"/>
  <c r="I11" i="2"/>
  <c r="H11" i="2"/>
  <c r="G11" i="2"/>
  <c r="F11" i="2"/>
  <c r="E11" i="2"/>
  <c r="D11" i="2"/>
  <c r="C11" i="2"/>
  <c r="B11" i="2"/>
  <c r="N10" i="2"/>
  <c r="M10" i="2"/>
  <c r="L10" i="2"/>
  <c r="K10" i="2"/>
  <c r="J10" i="2"/>
  <c r="I10" i="2"/>
  <c r="H10" i="2"/>
  <c r="H22" i="2" s="1"/>
  <c r="H24" i="2" s="1"/>
  <c r="H26" i="2" s="1"/>
  <c r="H27" i="2" s="1"/>
  <c r="G10" i="2"/>
  <c r="F10" i="2"/>
  <c r="E10" i="2"/>
  <c r="D10" i="2"/>
  <c r="C10" i="2"/>
  <c r="B10" i="2"/>
  <c r="N7" i="2"/>
  <c r="M7" i="2"/>
  <c r="L7" i="2"/>
  <c r="K7" i="2"/>
  <c r="J7" i="2"/>
  <c r="I7" i="2"/>
  <c r="H7" i="2"/>
  <c r="G7" i="2"/>
  <c r="F7" i="2"/>
  <c r="E7" i="2"/>
  <c r="D7" i="2"/>
  <c r="C7" i="2"/>
  <c r="B7" i="2"/>
  <c r="O6" i="2"/>
  <c r="P6" i="2" s="1"/>
  <c r="O5" i="2"/>
  <c r="P13" i="2" s="1"/>
  <c r="O4" i="2"/>
  <c r="P12" i="2" s="1"/>
  <c r="O3" i="2"/>
  <c r="P11" i="2" s="1"/>
  <c r="O2" i="2"/>
  <c r="P2" i="2" s="1"/>
  <c r="O14" i="2" l="1"/>
  <c r="G22" i="2"/>
  <c r="G24" i="2" s="1"/>
  <c r="G26" i="2" s="1"/>
  <c r="G27" i="2" s="1"/>
  <c r="O7" i="2"/>
  <c r="O38" i="2"/>
  <c r="P3" i="2"/>
  <c r="I22" i="2"/>
  <c r="I24" i="2" s="1"/>
  <c r="I26" i="2" s="1"/>
  <c r="I27" i="2" s="1"/>
  <c r="O11" i="2"/>
  <c r="R11" i="2" s="1"/>
  <c r="C22" i="2"/>
  <c r="C24" i="2" s="1"/>
  <c r="C26" i="2" s="1"/>
  <c r="C27" i="2" s="1"/>
  <c r="K22" i="2"/>
  <c r="K24" i="2" s="1"/>
  <c r="K26" i="2" s="1"/>
  <c r="K27" i="2" s="1"/>
  <c r="O13" i="2"/>
  <c r="R13" i="2" s="1"/>
  <c r="D22" i="2"/>
  <c r="D24" i="2" s="1"/>
  <c r="D26" i="2" s="1"/>
  <c r="D27" i="2" s="1"/>
  <c r="B22" i="2"/>
  <c r="B24" i="2" s="1"/>
  <c r="B26" i="2" s="1"/>
  <c r="B27" i="2" s="1"/>
  <c r="E22" i="2"/>
  <c r="E24" i="2" s="1"/>
  <c r="E26" i="2" s="1"/>
  <c r="E27" i="2" s="1"/>
  <c r="M22" i="2"/>
  <c r="M24" i="2" s="1"/>
  <c r="M26" i="2" s="1"/>
  <c r="M27" i="2" s="1"/>
  <c r="J22" i="2"/>
  <c r="J24" i="2" s="1"/>
  <c r="J26" i="2" s="1"/>
  <c r="J27" i="2" s="1"/>
  <c r="F22" i="2"/>
  <c r="F24" i="2" s="1"/>
  <c r="F26" i="2" s="1"/>
  <c r="F27" i="2" s="1"/>
  <c r="N22" i="2"/>
  <c r="N24" i="2" s="1"/>
  <c r="N26" i="2" s="1"/>
  <c r="N27" i="2" s="1"/>
  <c r="O12" i="2"/>
  <c r="R12" i="2" s="1"/>
  <c r="P4" i="2"/>
  <c r="P5" i="2"/>
  <c r="O10" i="2"/>
  <c r="P10" i="2"/>
  <c r="P14" i="2"/>
  <c r="R14" i="2" l="1"/>
  <c r="R15" i="2" s="1"/>
  <c r="P7" i="2"/>
  <c r="Q7" i="2" s="1"/>
  <c r="Q38" i="2" s="1"/>
  <c r="R10" i="2"/>
  <c r="T130" i="1" l="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2" i="1"/>
</calcChain>
</file>

<file path=xl/sharedStrings.xml><?xml version="1.0" encoding="utf-8"?>
<sst xmlns="http://schemas.openxmlformats.org/spreadsheetml/2006/main" count="1424" uniqueCount="611">
  <si>
    <t>ID</t>
  </si>
  <si>
    <t>Name</t>
  </si>
  <si>
    <t>Ph. Number</t>
  </si>
  <si>
    <t>Address</t>
  </si>
  <si>
    <t>Zone</t>
  </si>
  <si>
    <t>Day</t>
  </si>
  <si>
    <t>Time Slot</t>
  </si>
  <si>
    <t>Pack</t>
  </si>
  <si>
    <t>Revenue</t>
  </si>
  <si>
    <t xml:space="preserve"> Type</t>
  </si>
  <si>
    <t>Remarks</t>
  </si>
  <si>
    <t>Flower Restriction</t>
  </si>
  <si>
    <t>Extra Instruction</t>
  </si>
  <si>
    <t>Final Number of Delivery</t>
  </si>
  <si>
    <t>Nishant Mishra</t>
  </si>
  <si>
    <t xml:space="preserve">41/5  PrimRose Vatika City </t>
  </si>
  <si>
    <t>Sohna Road 1</t>
  </si>
  <si>
    <t>Friday</t>
  </si>
  <si>
    <t>9 AM to 2 PM</t>
  </si>
  <si>
    <t>Bliss</t>
  </si>
  <si>
    <t>Friday n Monday//NO Car(12/02)NO RAJNI AT ALL(27/11)  Skip This del n start from 30th May(25/05) NO Rajni n Anbthurium (08/01) Yell Lily next (07/09) Skip 1 week (24/01) Paytm from Pragati Pandey (28/01) Send replacement tom (16/05)</t>
  </si>
  <si>
    <t>RAJNI n ANTHURIUM</t>
  </si>
  <si>
    <t>2  del of this cycle   -  0-cycles pmnt   Completed - Collect 0</t>
  </si>
  <si>
    <t>Noopur Gupta</t>
  </si>
  <si>
    <t>Topaz-186, GF, Emaar Emerald Hills</t>
  </si>
  <si>
    <t>Badshahpur</t>
  </si>
  <si>
    <t>9:30 Am to 2 PM</t>
  </si>
  <si>
    <t>Bloom</t>
  </si>
  <si>
    <t>Friday n Monday // Send replacement of Eustoma tom (08/09) No Orchids (23/01) Hold n start from July (27/05)</t>
  </si>
  <si>
    <t>Orchid</t>
  </si>
  <si>
    <t>Seasonal with 9 Del Only (02/04)</t>
  </si>
  <si>
    <t>3  del of this cycle   -  0-cycles pmnt   Completed - Collect 0</t>
  </si>
  <si>
    <t>Gitika Agarwal</t>
  </si>
  <si>
    <t>D11/502, Ireo Victory Valley, Sec 67</t>
  </si>
  <si>
    <t>9 AM - 12 PM</t>
  </si>
  <si>
    <t>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t>
  </si>
  <si>
    <t>4  del of this cycle   -  0-cycles pmnt   Completed - Collect 0</t>
  </si>
  <si>
    <t>Unnati Jain</t>
  </si>
  <si>
    <t>T-16/1003, Orchid Petals</t>
  </si>
  <si>
    <t>Monday</t>
  </si>
  <si>
    <t>Hold n start From 7th Nov (16/10) Skip 1 week (13/11) Today retirned and skip next week also (28/11) Check in Feb to restart (20/12) Skip 1 week (31/05) Hold n start from July (15/06)</t>
  </si>
  <si>
    <t>Nipun Jain</t>
  </si>
  <si>
    <t>Villa-9, Tattvam Villa</t>
  </si>
  <si>
    <t>Sohna Road 2</t>
  </si>
  <si>
    <t>Customized</t>
  </si>
  <si>
    <r>
      <t xml:space="preserve">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t>
    </r>
    <r>
      <rPr>
        <b/>
        <sz val="11"/>
        <color theme="1"/>
        <rFont val="Calibri"/>
        <family val="2"/>
        <scheme val="minor"/>
      </rPr>
      <t>8 Lilies in each Delivery (05/10)</t>
    </r>
    <r>
      <rPr>
        <sz val="11"/>
        <color theme="1"/>
        <rFont val="Calibri"/>
        <family val="2"/>
        <scheme val="minor"/>
      </rPr>
      <t xml:space="preserve">  No Grens (11/10) Single color always (26/11) Skip 3 weeks (24/12) Return tiday send tom (23/06) Sent one del Today (24/08) 16 Lilies now in 2 color (27/09) Today returned - not at home (28/11) No Delivery from 24th Dec to 5th Jan (19/12) No Flowers on 15th and 22nd (03/06)</t>
    </r>
  </si>
  <si>
    <t>Delight</t>
  </si>
  <si>
    <t>Smriti Saxena</t>
  </si>
  <si>
    <t>T-6/1201, M3M Merlin, Sec 67</t>
  </si>
  <si>
    <t>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t>
  </si>
  <si>
    <t>Rajni</t>
  </si>
  <si>
    <t>Radhika Marwah</t>
  </si>
  <si>
    <t>F-501, Mapsko Mountville, Sec 79</t>
  </si>
  <si>
    <t>4 Pm to 7 PM</t>
  </si>
  <si>
    <t>Hold till 2nd July (07/06)</t>
  </si>
  <si>
    <t>Pratibha Saran</t>
  </si>
  <si>
    <t>Topaz 124, G Floor, Emaar Emerald Hills, Sec 66</t>
  </si>
  <si>
    <t>Elation</t>
  </si>
  <si>
    <t>Hold till 28th jan (26/12) Skip 1 week (03/03) Paytm From Pratibha.libra // No Glad n BOP (03/04) start now from 03rd July (09/06) Skip 1 week (03/07)</t>
  </si>
  <si>
    <t>GLAD n BOP n GERBERA</t>
  </si>
  <si>
    <t>Divyesh Gandhi -- Surbhi Ourania</t>
  </si>
  <si>
    <t>Plot 795 A, Flat 104, Sec 17 A, Behind Deffence Colony</t>
  </si>
  <si>
    <t>Old Gurgaon</t>
  </si>
  <si>
    <t>Change to Sunday (01/10) Today Returned (19/10) Day Changed to Sunday (06/11) Skip 1 week (01/12)</t>
  </si>
  <si>
    <t>3  del of this cycle   -  0-cycles pmnt   CompletedNO COLLECTION-we have extra money - Collect -1</t>
  </si>
  <si>
    <t>Ambika Anand</t>
  </si>
  <si>
    <t>T-A2/401, Tulip Orange, Sec 70</t>
  </si>
  <si>
    <t>HDTNP (26/06) HDTNP (03/07)</t>
  </si>
  <si>
    <t>Hardik Shah</t>
  </si>
  <si>
    <t>T-5/1402, Vipul Green</t>
  </si>
  <si>
    <t>Poise</t>
  </si>
  <si>
    <t>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t>
  </si>
  <si>
    <t>Yamini Sharma</t>
  </si>
  <si>
    <t>Solace 253, AIPL Peaceful Homes, Sec 70 A</t>
  </si>
  <si>
    <t>Manesar</t>
  </si>
  <si>
    <t>Skip 1 week (28/05) Today returned (19/06) HDTNP (03/07)</t>
  </si>
  <si>
    <t>4  del of this cycle   -  1-cycles pmnt   Pending - Collect 1450</t>
  </si>
  <si>
    <t>Richa Khullar</t>
  </si>
  <si>
    <t>A3/1101, Tulip Yellow</t>
  </si>
  <si>
    <t>Love Alstroemeria  // Skip 1 week (16/06)</t>
  </si>
  <si>
    <t>Dr. Roma Kumar</t>
  </si>
  <si>
    <t>98110 87708</t>
  </si>
  <si>
    <t>RT-181, Royalton Tower
Inside Princeton Estate
DLF City Phase-V
Gurgaon-122009
Haryana</t>
  </si>
  <si>
    <t>DLF Phase 5</t>
  </si>
  <si>
    <t>Thursday</t>
  </si>
  <si>
    <t>Charm</t>
  </si>
  <si>
    <t>Sun to Thursday//NO Roses(Old) PREFER-- WHITE ROSE/RAJNIGANDHA/CHRYSANTHEMUM(18/11) Skip 1 Week(25/12) Day Changed to Monday till Lovkdown(23/08/20) Send replacement of Lilies(20/10) Day Changed to Sunday-send 1 del today and then every Sunday(30/11) Paytm from Pooja M Tripathi(26/04) Sent replacement today(30/07) Paytm of Gignger lily and eustoma added(06/11) Skip 1 week(06/11)  20 Rajnio sent in Subscription(06/02) Skip today(13/02) Rajni Next(19/02) Rajni next(02/03) Skip 1 week(02/06) Skip Sunday Delivery(13/08) Skip this thursday Delivery (28/02) Skip 1 week (28/02) No Blue Orchid (06/04) Hold today and next Sunday also (12/09) Hold today n one more del (19/09) Skip 1 week (22/02) Skip this thursday (12/03) Send replacement tom (04/05) Skip on sunday (01/06) Skip today (01/06) Skip 1 week (24/11) Hold n start from 29th Jan (18/01) Hold today (02/07) Today Hold (12/07)</t>
  </si>
  <si>
    <t>ORCHID</t>
  </si>
  <si>
    <t>Smriti Singh Bhatia</t>
  </si>
  <si>
    <t>T-3/4201, M3M Heights, 65th Avenue, Sec 65</t>
  </si>
  <si>
    <t>Hold next week // Skip 2 week (22/12) Day Change to Friday (28/03) Paytm From Ravish Bhatia (17/04) HDTNP 915/05) HDTNP (22/05) HDTNP (29/05) Hold n start from July (17/06)</t>
  </si>
  <si>
    <t>3  del of this cycle   -  1-cycles pmnt   Pending - Collect 1450</t>
  </si>
  <si>
    <t>Geetanjali Babbar</t>
  </si>
  <si>
    <t>N-206, Sispal Vihar</t>
  </si>
  <si>
    <t>Felicity</t>
  </si>
  <si>
    <t>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t>
  </si>
  <si>
    <t>Skip 18th n 21st Mar 25</t>
  </si>
  <si>
    <t>Manisha Aswani</t>
  </si>
  <si>
    <t>4-I/302, Orris Aster Court. Sec 85</t>
  </si>
  <si>
    <t>After 5:30 PM</t>
  </si>
  <si>
    <t>Insta // Sent replacement today (05/04) Sent Replacement today (19/04) Do Not Count last Del (06/05) Hold she will confirm (14/05) Payment confussion(29/06) Skip 1 week (22/04) Today Hold and skip (15/05) HDTNP (29/05) HDTNP (03/07) 3 Car extra next (10/07)</t>
  </si>
  <si>
    <t>3 Car extra next (10/07)</t>
  </si>
  <si>
    <t>Meenu Singh</t>
  </si>
  <si>
    <t xml:space="preserve">FLAT NO 16 A, TOWER 2, FAIRWAY EAST, M3M GOLF ESTATE
</t>
  </si>
  <si>
    <t>Savor</t>
  </si>
  <si>
    <t>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t>
  </si>
  <si>
    <t>Diff Flowers n Combination</t>
  </si>
  <si>
    <t>Neelam Ahuja</t>
  </si>
  <si>
    <t>4002, M3m Latitude, Sec 65</t>
  </si>
  <si>
    <t>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t>
  </si>
  <si>
    <t>Spray Daisy n GERBERA n Statice</t>
  </si>
  <si>
    <t>Neeraj Rathore</t>
  </si>
  <si>
    <t>A-1302, PalM Drive, Sec 66</t>
  </si>
  <si>
    <t>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t>
  </si>
  <si>
    <t>GERBERA  n BOP</t>
  </si>
  <si>
    <t>One Kind (30/01)  Rajni next (18/02)</t>
  </si>
  <si>
    <t>Bhumika Gupta</t>
  </si>
  <si>
    <t>H-37, 2nd Floor, Aaron Ville, Sec 48</t>
  </si>
  <si>
    <t>Joy</t>
  </si>
  <si>
    <t>No Rose n Glad n flowers in same color // Long Stems (20/04) Gpay from Tanmay Oberoi (15/06) Skip 3 Sunday (04/08) Skip 3 weeks (4/08) Day Change to Friday (27/09) Skip 1 week (15/01) Skip Friday (26/03) Returned today (01/05) Skip 1 week (20/06)</t>
  </si>
  <si>
    <t>Rose n Glad</t>
  </si>
  <si>
    <t>Long Stems</t>
  </si>
  <si>
    <t>Priyanka Chaturvedi</t>
  </si>
  <si>
    <t xml:space="preserve">Flat No. A-303, The Peaceful Homes, Sec 70-A
</t>
  </si>
  <si>
    <t>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t>
  </si>
  <si>
    <t>ROSE n SPRAY DAISY</t>
  </si>
  <si>
    <t>Amitt Nenwani</t>
  </si>
  <si>
    <t>Villa 21, Z Block, Tatvam Villas</t>
  </si>
  <si>
    <t>Elegance</t>
  </si>
  <si>
    <t>Friday n Monday//Mixed // Skip 1 week (17/04) Skip this week (12/11) Skip this week and send on 03rd Jan (29/12) Skip tom (15/03) Skip 1 week (26/03)</t>
  </si>
  <si>
    <t>Mixed Flowers// Change to enchantement from next cycle (12/1)</t>
  </si>
  <si>
    <t>G-00065</t>
  </si>
  <si>
    <t>Shilpa Tambi</t>
  </si>
  <si>
    <t>A4/1603, Yulip Yellow, Sec 69</t>
  </si>
  <si>
    <t>Gift From 9993806367 // Change day to Friday (08/07)</t>
  </si>
  <si>
    <t>Sumita Shahi</t>
  </si>
  <si>
    <t xml:space="preserve">T-A/501, Spaze I-tech Park, </t>
  </si>
  <si>
    <t>Skip 1 week (04/01) Skip 1 week (25/06) Send tom (26/06) Tday returned (15/08) Hold tom (05/09) Today hold n skip 1 week (26/09) Skip tom (19/03) Upgrade to Joy and four plus 1 Pack (12/04) Hold today (01/05) Skip 1 week (23/06)</t>
  </si>
  <si>
    <t>Aishwarya -- Acacia</t>
  </si>
  <si>
    <t>11/2, Acacia, Vatika City</t>
  </si>
  <si>
    <t>Upgrade to elation (06/11) Hold due to non payment (18/12) hold due to non payment (16/01) Skip 2 week (24/06)</t>
  </si>
  <si>
    <t>1  del of this cycle   -  0-cycles pmnt   Completed - Collect 0</t>
  </si>
  <si>
    <t>Ankita Aeron</t>
  </si>
  <si>
    <t>D-701, Shree Vardhman Victoria, Sec 70</t>
  </si>
  <si>
    <t>Car Next (27/06) Do not send on 8th and 15th Aug (31/07) Skip 1 week (18/09) Skip 2 week (15/10) Skip 1 week (09/06)</t>
  </si>
  <si>
    <t>Car Next (27/06)</t>
  </si>
  <si>
    <t>Ishita Chopra</t>
  </si>
  <si>
    <t>B-69, Ground Floor, Soutthend Floor, Sec 49</t>
  </si>
  <si>
    <t>No Red Rose // Today returned due to timing missunderstaning (21/11) No Roses (06/01)</t>
  </si>
  <si>
    <t>Roses</t>
  </si>
  <si>
    <t>Mohar Ray Dahiya</t>
  </si>
  <si>
    <t>Sovereign-3/201, Vatika City</t>
  </si>
  <si>
    <t>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t>
  </si>
  <si>
    <t>BOP n GERBERA</t>
  </si>
  <si>
    <t>Ms. Monaliza</t>
  </si>
  <si>
    <t>C-4/703, Sovereign, Vatika City</t>
  </si>
  <si>
    <t>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 Return today (03/07)</t>
  </si>
  <si>
    <t>Sunflower</t>
  </si>
  <si>
    <t>Nidhi Bansal</t>
  </si>
  <si>
    <t>03, Tatvam Villa's,Sector 48</t>
  </si>
  <si>
    <t>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t>
  </si>
  <si>
    <t>Long Stems (30/10)</t>
  </si>
  <si>
    <t>Nidhi Sharma Malhotra</t>
  </si>
  <si>
    <t>8130207722//9999016333</t>
  </si>
  <si>
    <t>Topaz-36, First Floor, Emaar Emerald Hills, Sec 65</t>
  </si>
  <si>
    <t>Friday n Monday//NO Glad(11/03)  Holy Change(16/03) Send next delivery on Monday (26/04) Heliconia Next (03/05) Now felicity (25/05) Today Returned (15/07) Paytm From sante (16/04) Date was updated from 13th july to 04th Aug -- deliveries missed-- now updated from Jule -- Still deliveries missed(05/07</t>
  </si>
  <si>
    <t>GLAD</t>
  </si>
  <si>
    <t>Parul Mahajan</t>
  </si>
  <si>
    <t>T-5/1002, Vipul Greens,Sec 48</t>
  </si>
  <si>
    <t>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t>
  </si>
  <si>
    <t>Prabudh Vaidya</t>
  </si>
  <si>
    <t>T-B/503, Shree Vardhman Mantra, Sec 67</t>
  </si>
  <si>
    <t>Priya Chaturvedi</t>
  </si>
  <si>
    <t>D-2003, Bestech Alturea, Sec 79</t>
  </si>
  <si>
    <t>Today Returned (08/08) {ayment From Chinmananda Devgoswami (25/10) Four Plus 1 Pack (15/04) Skip 1 week (07/05)</t>
  </si>
  <si>
    <t>Priyanka Dey</t>
  </si>
  <si>
    <t>D/1003, 10th Floor, Emaar Palm Heights, Sec 77</t>
  </si>
  <si>
    <t>After 5 PM</t>
  </si>
  <si>
    <t>Lily Next (28/07) Returned and hold (15/08) Four plus 1 Pack // Today returned (16/05)</t>
  </si>
  <si>
    <t>Ritika -- DLF Regal</t>
  </si>
  <si>
    <t>E-144, DLF Regal Garden, Sec 90</t>
  </si>
  <si>
    <t>From Ritika Hatanagdy</t>
  </si>
  <si>
    <t>Shilpi Samantray</t>
  </si>
  <si>
    <t>Q-294, DLF Ultima</t>
  </si>
  <si>
    <t>Flower Food next (21/05) Do not count todays delivery (30/05) Skip 1 week (26/06) Skip 1 week (09/07) No asiatic Lilies (07/08) No glad now (25/09) Replacement tom (24/10) Skip 1 week (08/11) Skip 2 week (12/12) Skip 1 week (21/01) HDTNP (27/02) Skip 1 week (09/04) HDTNP (15/05) Next del on 5th JUne (18/05)</t>
  </si>
  <si>
    <t>lilies n Glad</t>
  </si>
  <si>
    <t>More Eustoams</t>
  </si>
  <si>
    <t>Shivani Kapoor</t>
  </si>
  <si>
    <t>94, Tattvam Villa</t>
  </si>
  <si>
    <t>Grace</t>
  </si>
  <si>
    <t>Monday n Friday// Payment from Sanjeev K (05/05) Skip 1 week (26/07) Skip 1 week (04/11) Skip this Friday (26/12) Skip 1 week (01/01/25) Skip tom (02/02) No delivery on Monday (01/03) Skip 14th n send on 17th (11/03) Now start from 7th July (24/06)</t>
  </si>
  <si>
    <t>No White</t>
  </si>
  <si>
    <t>Shweta Katiyar</t>
  </si>
  <si>
    <t>G-122, DLF Primus, Sec 82 A</t>
  </si>
  <si>
    <t>4 PM to 7 PM</t>
  </si>
  <si>
    <t>No Eustoma// Skip tom (31/12/25) Replacement of guldawari tom (16/01)</t>
  </si>
  <si>
    <t>Eustoma</t>
  </si>
  <si>
    <t>Shweta Malhotra</t>
  </si>
  <si>
    <t>B-001, Park View Spa Next, Sec 67</t>
  </si>
  <si>
    <t>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t>
  </si>
  <si>
    <t>ANTHURIUM n GULDAWARI n Button Daisy</t>
  </si>
  <si>
    <t>Surabhi Sukriti</t>
  </si>
  <si>
    <t>D-804, Bestech Park Viw Spa Next, Sec 67</t>
  </si>
  <si>
    <t>Skip 1 week (01/10) Add changed (05/04) Today Hold (26/06)</t>
  </si>
  <si>
    <t>Vipin</t>
  </si>
  <si>
    <t>9555977401 // 9654829329</t>
  </si>
  <si>
    <t>Villa / VB-5, Tata Primanti, Sec 72</t>
  </si>
  <si>
    <t>Send in evening slot tom (11/03) Paytm From Hina Kapoor (06/04) Send replacement Tom (17/05) Send replacement of W Eustoma (17/05) Paytm from Tarun Kumar (15/95) Replacement tom (16/05) Paytm From Vimpin Kapooria (28/06)</t>
  </si>
  <si>
    <t>Anubhi</t>
  </si>
  <si>
    <t>T-10/6C, Central Park Resort</t>
  </si>
  <si>
    <t>1st del tom n then every Friday and Never Roses (19/07) Hold due to non payment (23/01) Start from Mar (12/02) HDTNP (13/03)</t>
  </si>
  <si>
    <t>Rose</t>
  </si>
  <si>
    <t>Navritu Kaushal Rai-- After 5:30 PM</t>
  </si>
  <si>
    <t>H. No. 3403, 1st Floor, Sec 23</t>
  </si>
  <si>
    <t>4 PM to 7PM</t>
  </si>
  <si>
    <t>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t>
  </si>
  <si>
    <t>Lily</t>
  </si>
  <si>
    <t>Radha Bhatnagar</t>
  </si>
  <si>
    <t>D-35, 2nd Floor, Vipul World</t>
  </si>
  <si>
    <t>Revathi-- After 5 PM</t>
  </si>
  <si>
    <t>A-1201, The Emaar Palm Drive</t>
  </si>
  <si>
    <t>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t>
  </si>
  <si>
    <t>Gerbera n ORCHID</t>
  </si>
  <si>
    <t>Rinshul Chandra</t>
  </si>
  <si>
    <t>T-2/203 B, 3rd Floor, M3M Golfestate East</t>
  </si>
  <si>
    <t>Send if only payment received in advance (28/06) Paytm from k Sai Ujjwal //</t>
  </si>
  <si>
    <t>Suruchi Maitra</t>
  </si>
  <si>
    <t>D-98, Vipul World</t>
  </si>
  <si>
    <t>No Spray Daisy (03/10) Now upgrade to Elation (14/10) Hold n start from 6th Jan (17/12) Hold n strat from 30th June (10/06) Hold n start from 5th Jan (30/12) Skip 1 week (06/06) Skip 1 week (22/06) Hold today and send after 29th (20'/12) Skip 2 week (21/06) Skip 2 week (18/12) Hold till 13th July (28/06)</t>
  </si>
  <si>
    <t>M0006</t>
  </si>
  <si>
    <t>Divya Sabharwal</t>
  </si>
  <si>
    <t>Tower 15, flat 1401, Vipul Greens , Sohna Road</t>
  </si>
  <si>
    <t>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 Send replacement tom (13/07)</t>
  </si>
  <si>
    <t>CAR n Orchid</t>
  </si>
  <si>
    <t>Ankita Sethi</t>
  </si>
  <si>
    <t>C1/202, Vatika City, Sec 49</t>
  </si>
  <si>
    <t>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t>
  </si>
  <si>
    <t>GLAD n HELICONIA</t>
  </si>
  <si>
    <t>Deepak Kohli</t>
  </si>
  <si>
    <t>539/C, 4th Floor, H Block, Palam Vihar</t>
  </si>
  <si>
    <t>Send 1 bunch Nargis From Amit n Pooja// Wish you a//Sending on 20th instaed of 21st,bcoz of Holi(18/03) Send 1 pack of FF(14/08) Time slot changed to Evening(18/09( Holy Change(16/03) Send tom (06/02)</t>
  </si>
  <si>
    <t>3  del of this cycle   -  0-cycles pmnt   In Process - Collect 0</t>
  </si>
  <si>
    <t>Maj. Gen. KN Singh</t>
  </si>
  <si>
    <t>GH 4/5C Gurgaon One Apartments- Sectr 22</t>
  </si>
  <si>
    <t>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t>
  </si>
  <si>
    <t>Manisha Mishra</t>
  </si>
  <si>
    <t>E-1202, maceo appartmnet, sector 91</t>
  </si>
  <si>
    <t>Dwarka Expressway</t>
  </si>
  <si>
    <t>Paytm from Rohit Ahuja</t>
  </si>
  <si>
    <t>3  del of this cycle   -  1-cycles pmnt   Pending - Collect 1950</t>
  </si>
  <si>
    <t>Meenal</t>
  </si>
  <si>
    <t>168, Deerwood</t>
  </si>
  <si>
    <t>Skip Friday and sned on Monday (07/01) HDTNP (24/04) Skip 2 week (27/05) Today returned (19/06)</t>
  </si>
  <si>
    <t>Mr. Pramod Narula 2</t>
  </si>
  <si>
    <t>Ww-57, Ground floor, Malibu Town, Sohna Road    Sohna Road Gurgaon  </t>
  </si>
  <si>
    <t>Enchantment</t>
  </si>
  <si>
    <t>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t>
  </si>
  <si>
    <t>Ms. Anubha T Agarwal</t>
  </si>
  <si>
    <t>D-902, Park View City-1, Sohna Road</t>
  </si>
  <si>
    <t>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t>
  </si>
  <si>
    <t>Ms. Arpita Bhargava</t>
  </si>
  <si>
    <t>T-4/1701,Tata Primanty,Sector-72</t>
  </si>
  <si>
    <t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t>
  </si>
  <si>
    <t>GERBERA n ROSE</t>
  </si>
  <si>
    <t>G-00011</t>
  </si>
  <si>
    <t>Nainsee Garg</t>
  </si>
  <si>
    <t>A67 Rosewood City Sector 49 Gurgaon 122001</t>
  </si>
  <si>
    <t>Nirvana Country</t>
  </si>
  <si>
    <t>No Glad (15/-5) Skip tom n sned next del on Sunday (29/05) Skip 1 week (03/07) Skip 1 week (12/11) Send tom (01/04) Sent one del today (09/04) Skip 1 week (11/05) Skip this cdel n send on Sunday (12/06)</t>
  </si>
  <si>
    <t>Glad</t>
  </si>
  <si>
    <t>Neera Dutta</t>
  </si>
  <si>
    <t>T-01/402m Vipul Greens</t>
  </si>
  <si>
    <t>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t>
  </si>
  <si>
    <t>Nidhi Sehgal</t>
  </si>
  <si>
    <t>D-23 Flat No 0002 Victory Valley Sec 67</t>
  </si>
  <si>
    <t>Mixed Flowers // Always FF (15/05) Hold till 15th June (19/05) FF with all Flowers (12/06)</t>
  </si>
  <si>
    <t>Mixed Flowers and always FF</t>
  </si>
  <si>
    <t xml:space="preserve">Nikhat </t>
  </si>
  <si>
    <t>90044 52898‬</t>
  </si>
  <si>
    <t>Tower B, flat 074, DLF regal gardens , sector 90</t>
  </si>
  <si>
    <t>Paytm From Puneet Pundora (06/03) Hold today (20/03)</t>
  </si>
  <si>
    <t>Shweta Bajpai</t>
  </si>
  <si>
    <t>288, Tatvam Villa</t>
  </si>
  <si>
    <t>Hold tOday (12/06) Today Returned (19/06)</t>
  </si>
  <si>
    <t>Smriti Maggon</t>
  </si>
  <si>
    <t>B-901, Emaar Palm Drive, Sec 66</t>
  </si>
  <si>
    <t>Rose//Car//Rajni//BOP(08/02) Holy Change(16/03) 8 Rajnigandha Next (12/10) Hold due to non payment (03/10) Hold due to non payment (16/01) Hold due to non payment (23/01)</t>
  </si>
  <si>
    <t xml:space="preserve">Sonali Srivastava </t>
  </si>
  <si>
    <t>T2/25A, SS, The Leaf, Sec 85</t>
  </si>
  <si>
    <t>Insta // 1st Del on Monday and then Friday morning (17/07) Skip tom n send on Monday (24/08) Hold due to non payment (16/01) HDTNP(20/02) HDTNP (24/04) Skip 2 week (13/05) No Car n Lily for next few weeks (03/07) Skip 1 week (09/07)</t>
  </si>
  <si>
    <t>No Car n Lily for next few weeks (03/07)</t>
  </si>
  <si>
    <t>2  del of this cycle   -  1-cycles pmnt   Pending - Collect 1450</t>
  </si>
  <si>
    <t>Sreeparna Ghosh</t>
  </si>
  <si>
    <t>H-701, Mapsko Mountville, Sec 79</t>
  </si>
  <si>
    <t>Send 1 W Asiatic as replacement (30/08) Skip 1 week (06/09) Returned-send next week (03/10) Send replacement of Gerbera tom (02/12) Skip 1 week (20/12) Upgarde to Joy from next cycle and mixed (20/02) Upgrade to Joy and skip 1 week (05/03)</t>
  </si>
  <si>
    <t>Upgarde to Joy from next cycle and mixed (20/02)</t>
  </si>
  <si>
    <t>Sreyoshi  Maitra</t>
  </si>
  <si>
    <t>T-1/1706, M3M Heights, Sec 65</t>
  </si>
  <si>
    <t>No Spray Daisy and Rajni // Payment from Mrittika Maitra (12/03) Send replacement of orchds tom (11/05) Today Returned (04/07) No eustoma (17/08) Hold today (24/10) Pls Send sunflowers on 9th Jan (12/12) HDTNP (13/03) Sent one del today (16/03) No Orchids (30/04) Today Returned (29/05)</t>
  </si>
  <si>
    <t>Orchids n Rajnigandha</t>
  </si>
  <si>
    <t>Only Flowers in List (10/07)</t>
  </si>
  <si>
    <t>Sudipta Karnik</t>
  </si>
  <si>
    <t>Tower 4, Flat 6A, Bellevue, Central Park,Sector-48    Sec 48 Gurgoan  122001</t>
  </si>
  <si>
    <r>
      <t>Pls send diff flowers in both package(24/07)Pls send only white color flowers other that Rajni till Nov-18(19/10)</t>
    </r>
    <r>
      <rPr>
        <b/>
        <sz val="11"/>
        <color theme="1"/>
        <rFont val="Calibri"/>
        <family val="2"/>
        <scheme val="minor"/>
      </rPr>
      <t>NO ROSE(20/12)</t>
    </r>
    <r>
      <rPr>
        <sz val="11"/>
        <color theme="1"/>
        <rFont val="Calibri"/>
        <family val="2"/>
        <scheme val="minor"/>
      </rPr>
      <t xml:space="preserve">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t>
    </r>
  </si>
  <si>
    <t>Sunita Dogra</t>
  </si>
  <si>
    <t>K-1431, K Block, Palam Vihar</t>
  </si>
  <si>
    <t>Today Returned (03/07)</t>
  </si>
  <si>
    <t>Chhavi Chugh</t>
  </si>
  <si>
    <t>FE-01-1B, M3M Golfestate, Sec 65</t>
  </si>
  <si>
    <t>Send 1 Del Tom (17/10) Skip 1 week (14/11) Skip tom n send on Monday (23/10) Replacement of 1 sunflower tom (07/11) Skip n sned on Monday (16/02) Skip 10th and send on 12th Apr (008/04)</t>
  </si>
  <si>
    <t>Noreen Tung</t>
  </si>
  <si>
    <t>C-1002, GPL Eden Heighrs, Sec 70</t>
  </si>
  <si>
    <t>No Gerbera ( 03/07)</t>
  </si>
  <si>
    <t>Gerbera</t>
  </si>
  <si>
    <t>Renu Kothari</t>
  </si>
  <si>
    <t>4101, M3M Latitude, Sec 65</t>
  </si>
  <si>
    <t>Nishtha</t>
  </si>
  <si>
    <t>580, Upper Ground Floor, Sec 30, Jharsa -- Adjacent Veerji Motor World</t>
  </si>
  <si>
    <t>South City 1</t>
  </si>
  <si>
    <t>Saturday</t>
  </si>
  <si>
    <t>Samta Mehra</t>
  </si>
  <si>
    <t>D-1401, Park View City-1, Sohna Road</t>
  </si>
  <si>
    <t>Mixed Flowers// Upgrade to Elation (30/03) Skip 3 weeks (13/06) Skip 2 weeks (21/12) Upgrade ti savor (23/02) Skip 1 week (16/04) Skip 1 week (20/06) Hold today (12/09) Skip 1 week (02/10) Skip 1 week (29/12) Skip 1 week (28/03) Skip 1 week (18/06) Mix of 3 Flowers (13/07)</t>
  </si>
  <si>
    <t xml:space="preserve">Sunflower </t>
  </si>
  <si>
    <t xml:space="preserve">Mix of 3 Flowers </t>
  </si>
  <si>
    <t>Surabhi Singh - Orchid Petals</t>
  </si>
  <si>
    <t>T-9/501, Orchid Petals</t>
  </si>
  <si>
    <t>Skip 1 week (16/10) Skip 1 week (11/11) Today Hold (20/02) HDTNP (27/02) HDTNP (06/03)</t>
  </si>
  <si>
    <t>Priyanka Agarwal</t>
  </si>
  <si>
    <t>624-A, Fairway East, Sector 65</t>
  </si>
  <si>
    <t>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t>
  </si>
  <si>
    <t>2  del of this cycle   -  1-cycles pmnt   Pending - Collect 1600</t>
  </si>
  <si>
    <t>Tahzeeb Mohammad</t>
  </si>
  <si>
    <t>Natura Tower -1, N 2105, M3M Marina, Sec 68</t>
  </si>
  <si>
    <t>Bi weekly Customised</t>
  </si>
  <si>
    <t>Gerbera // Rajni // Sunflowers // Eustoma // Orchid // Skip Monday (15/05)</t>
  </si>
  <si>
    <t>Aarti Malhotra</t>
  </si>
  <si>
    <t>T-10/1402, Orchid Petals</t>
  </si>
  <si>
    <t>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t>
  </si>
  <si>
    <t xml:space="preserve">Reena </t>
  </si>
  <si>
    <t>31/1, Ixia, Vatika City</t>
  </si>
  <si>
    <t>Tuesday</t>
  </si>
  <si>
    <t>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 Start from 14th July (06/07)</t>
  </si>
  <si>
    <t>RAJNI n HELICONIA</t>
  </si>
  <si>
    <t>Supriya Pahwa</t>
  </si>
  <si>
    <t>N6/004, Paras Irene, Sec 70 A</t>
  </si>
  <si>
    <t xml:space="preserve">Paytm From Abhinav Mehra </t>
  </si>
  <si>
    <t>Rachit Bansal</t>
  </si>
  <si>
    <t>T-K/1501, Emaar Palm Drive</t>
  </si>
  <si>
    <t>10 AM to 2:30 PM</t>
  </si>
  <si>
    <t>Skip 3 weeks from 25th (16/07) Skip  a week (11/09) Skip 1 week (02/10) Today hold n send on Sunday (10/10) Skip 1 week (08/01) Todau Hold (16/01) Skip 1 week (12/02) Skip 1 week (19/03) Skip 1 week (15/04)</t>
  </si>
  <si>
    <t>2  del of this cycle   -  1-cycles pmnt   Pending - Collect 1400</t>
  </si>
  <si>
    <t xml:space="preserve">
Manisha Kahai
</t>
  </si>
  <si>
    <t xml:space="preserve">Flat number 41, Jasminium 1, Vatika City, Sector 49 (Sohna Road)    Sec 49 Gurgaon  122001 
</t>
  </si>
  <si>
    <t>Day changed to Sat (25/02)Return-send tomorrow(03/11)Hold and start from 11th may(06/04) FF Sold today(03/08) FF Sold today n payment recvd(07/09) Holy Change(16/03) FF Next(20/03) Paytm from Manisha Singh (09/06) 250 returned via paytm (03/.11) Today Returned (18/07)</t>
  </si>
  <si>
    <t>Amit Jindal</t>
  </si>
  <si>
    <t>T-5/1401, Vipul Greens</t>
  </si>
  <si>
    <t>9:30 AM to 2 PM</t>
  </si>
  <si>
    <t>3 Oriental every week // Today Hold n returned (12/06)</t>
  </si>
  <si>
    <t>Anshu Mittal Roy</t>
  </si>
  <si>
    <t xml:space="preserve"> 97172 00986</t>
  </si>
  <si>
    <t xml:space="preserve"> B203 Godrej 101, Sector 79
</t>
  </si>
  <si>
    <t>15 % Discount (26/07) 3 Month with 10% discount (24/08) Skip 1 week (19/12) Skip 1 week (19/02) Skip 2 week (16/05) Today Returned (12/06) Hold today (19/06)</t>
  </si>
  <si>
    <t>Anukriti Tiwari</t>
  </si>
  <si>
    <t>H. No. 2134, 2nd Floor, E Block, Ansal Essencia, Sec 67</t>
  </si>
  <si>
    <t>Paytm From Sankalp Adhyapak (20/01) Returen today and sned on Monday (23/01)</t>
  </si>
  <si>
    <t>Arshdeep Kaur</t>
  </si>
  <si>
    <t>B-3103, Ireo Victory Valley, Sec 67</t>
  </si>
  <si>
    <t>NO Rose (06/04) Send replacement tom (04/06) Skip next Friday delivery (23/09) Skip 1 week (28/09) Skip 1 week (27/10) Paytm From Karandeep Harjit Singh (26/01) Skip 1 week (28/03) Skip 1 week (18/04) Skip tom (07/05)  Skip 2 week (06/06)</t>
  </si>
  <si>
    <t>ROSE</t>
  </si>
  <si>
    <t>Kamla Anand</t>
  </si>
  <si>
    <t>83  Jasminium 1,Vatika city 
Sec 49</t>
  </si>
  <si>
    <t>Skip tom (09/04)</t>
  </si>
  <si>
    <t>Lakshmi Shankaran</t>
  </si>
  <si>
    <t>C2/202,  Sovereign Vatika City</t>
  </si>
  <si>
    <t>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t>
  </si>
  <si>
    <t>GERBERA n GLAD</t>
  </si>
  <si>
    <t>Madhu Thapliyal</t>
  </si>
  <si>
    <t>2/201, Sovereign, Vatika City</t>
  </si>
  <si>
    <t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 Skip 1 week (09/07)</t>
  </si>
  <si>
    <t>GLAD n BOP</t>
  </si>
  <si>
    <t>Statice next (19/04)</t>
  </si>
  <si>
    <t>1  del of this cycle   -  1-cycles pmnt   Pending - Collect 1450</t>
  </si>
  <si>
    <t>Nandita Sharma</t>
  </si>
  <si>
    <t>Sovereign-2/102, Vatila City</t>
  </si>
  <si>
    <t>Hld till 8th Mar (22/02)</t>
  </si>
  <si>
    <t>Nikhita Basu</t>
  </si>
  <si>
    <t>4086, 01st Floor, Amara House, H Block, Ansal Essencia, Sector 67-A</t>
  </si>
  <si>
    <t>Pallabi Dey</t>
  </si>
  <si>
    <t>T-2/403, Uniworld Gardens 1</t>
  </si>
  <si>
    <t>Rachna Prasad</t>
  </si>
  <si>
    <t>N-3/202, Paras Irene Appartments, Sec 70 A</t>
  </si>
  <si>
    <t>1000 cash and 450 via paytm (01/11) This week send on Sunday (09/02) Paytm From Outside Edge (28/02) Replacement tom (09/03)</t>
  </si>
  <si>
    <t>No Flowers on 13th -send on 15th Feb (09/02)</t>
  </si>
  <si>
    <t>Rasmeeta Nayak</t>
  </si>
  <si>
    <t>H-504, Park View City - 2, Sohna Road</t>
  </si>
  <si>
    <t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t>
  </si>
  <si>
    <t>Sachi Poudiyal</t>
  </si>
  <si>
    <t>H. No. 901, Ground Floor, Sec 17 B, Next to St PBN School</t>
  </si>
  <si>
    <t>12 Del Payment done today (18/03) Hold n start from Aug(12/06) One Payment Received today (09/11)</t>
  </si>
  <si>
    <t>Shilpa Ravikumar</t>
  </si>
  <si>
    <t>A-902, Palm Premier, Emaar Palm Hills, OPP Hyatt Regency, Sec 77</t>
  </si>
  <si>
    <t>Hold till 7th Jan (25/01) Hold till 17th June (01/06)</t>
  </si>
  <si>
    <t>Shilpi Tibrewal</t>
  </si>
  <si>
    <t>Tower-A/3803, Ireo Victory Valley, Sec 67</t>
  </si>
  <si>
    <t>Either Rose or Car// Normal Flowers (04/05) Sent replacement today (26/08) Return yesterday (17/08) Today returned (25/07)</t>
  </si>
  <si>
    <t>2  del of this cycle   -  0-cycles pmnt   CompletedNO COLLECTION-we have extra money - Collect -50</t>
  </si>
  <si>
    <t>Surath Singh</t>
  </si>
  <si>
    <t>B-2205, Ireo Victory Valley,Sec-67</t>
  </si>
  <si>
    <t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t>
  </si>
  <si>
    <t>2  del of this cycle   -  1-cycles pmnt   Pending - Collect 2750</t>
  </si>
  <si>
    <t>Vismit Sharma</t>
  </si>
  <si>
    <t>R-164, DLF Ultima, Sec 81</t>
  </si>
  <si>
    <t>Skip 2 week (22/02) Skip 1 week (12/03) Skip 1 week (10/03) Skip 1 week (24/07) Skip 1 week (04/09) Skip 2 week (25/09) Hold n start from Jan (12/12)</t>
  </si>
  <si>
    <t>2  del of this cycle   -  1-cycles pmnt   Pending - Collect 1950</t>
  </si>
  <si>
    <t>Pallavi Jha</t>
  </si>
  <si>
    <t>E-1903, Mapsko Mountville, Sec 79</t>
  </si>
  <si>
    <t>From Pallavee Rajbongshi (16/01) Hold after 3rd Del (20/05)</t>
  </si>
  <si>
    <t>Jayati Dhingra</t>
  </si>
  <si>
    <t>3001, 30th Floor, M3M Lattitude, Sec 65</t>
  </si>
  <si>
    <t>No Rajni for some time being (31/10) Skip 1 week (17/12) Skip 1 week (21/01) Skip 1 week (12/02) Skip 1 week (23/02) Send tom (26/02) Replacement tom (16/05) Skip 1 week (21/05) Returned today (29/05)</t>
  </si>
  <si>
    <t>Check before sending (21/05)</t>
  </si>
  <si>
    <t>Akiksha Mohan</t>
  </si>
  <si>
    <t>D-601, Emaar Plam Drive</t>
  </si>
  <si>
    <t>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t>
  </si>
  <si>
    <t>GULDAWARI</t>
  </si>
  <si>
    <t>Saachi Satyaarth</t>
  </si>
  <si>
    <t>H-1504, Microtek Greenburg, Sec 86</t>
  </si>
  <si>
    <t>Skip 1 week (04/06) Do not count last Del (28/03) 1 Sunflower Extra next (03/04) Skip 2 week (21/06)</t>
  </si>
  <si>
    <t>1 Sunflower Extra Next (03/04)</t>
  </si>
  <si>
    <t>Shreyansh</t>
  </si>
  <si>
    <t>A-1208, Shree Vardhman Mantra, Sec 67</t>
  </si>
  <si>
    <t>B56467</t>
  </si>
  <si>
    <t>Bouquet</t>
  </si>
  <si>
    <t>10 W Asiatic</t>
  </si>
  <si>
    <t>1  del of this cycle   -  1-cycles pmnt   Pending - Collect 2000</t>
  </si>
  <si>
    <t>B56464</t>
  </si>
  <si>
    <t>Jasbir Singh</t>
  </si>
  <si>
    <t>9997092561 // 999453496</t>
  </si>
  <si>
    <t>Amber, 4th Floor, Universal Trade Centre</t>
  </si>
  <si>
    <t>By 11 AM</t>
  </si>
  <si>
    <t>Special Project</t>
  </si>
  <si>
    <t>1  del of this cycle   -  0-cycles pmnt   In Process - Collect 0</t>
  </si>
  <si>
    <t>CP00003</t>
  </si>
  <si>
    <t>Sumeet -- Anantraj</t>
  </si>
  <si>
    <t>Anatraj Estates, Sector 63</t>
  </si>
  <si>
    <t>Ghata</t>
  </si>
  <si>
    <t>By 9 AM</t>
  </si>
  <si>
    <t>Corporate</t>
  </si>
  <si>
    <t>Amrita Jain</t>
  </si>
  <si>
    <t>Flat 72, Emilia C2, Gardenia Street</t>
  </si>
  <si>
    <t>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t>
  </si>
  <si>
    <t>Rose n Orchid</t>
  </si>
  <si>
    <t>Anamika Singh</t>
  </si>
  <si>
    <t xml:space="preserve">788 C  Sector 15 part II  Sec 15 Gurgaon  122001 </t>
  </si>
  <si>
    <t>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t>
  </si>
  <si>
    <t>Bhavna Jain</t>
  </si>
  <si>
    <t>D-15/301, Ireo Victory Valley, Sec 67</t>
  </si>
  <si>
    <t>Devika Tandon</t>
  </si>
  <si>
    <t>A-293, AIPL The Peaceful Homes</t>
  </si>
  <si>
    <t>Disha Gopal</t>
  </si>
  <si>
    <t>T-10/4A, Central Park Resorts, Sec 48</t>
  </si>
  <si>
    <t>Micxed Flowers // Hold till 8th Jan (24/12)</t>
  </si>
  <si>
    <t>Mixed Flowers</t>
  </si>
  <si>
    <t>1  del of this cycle   -  1-cycles pmnt   Pending - Collect 1950</t>
  </si>
  <si>
    <t>Meenakshi Dua-- Evening Only</t>
  </si>
  <si>
    <t>T-9/803, Orchid Petals</t>
  </si>
  <si>
    <t>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t>
  </si>
  <si>
    <t xml:space="preserve">HELICONIA n BOP n GERBERA </t>
  </si>
  <si>
    <t>No Yel/Wht/Red in Glad and Guldawari</t>
  </si>
  <si>
    <t>Ms. Namrata Agarwal</t>
  </si>
  <si>
    <t>18/1101,Orchid Petals, Sohna Road</t>
  </si>
  <si>
    <t>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t>
  </si>
  <si>
    <t>Nidhi -- Emaar Palm</t>
  </si>
  <si>
    <t>T-57/101, Emaar emerakd Premier Floors, Sec 65</t>
  </si>
  <si>
    <t>From Nidhi Srivastava // No Del till 4th Oct (24/09) Hold due to non payment (26/12) Hold due to non payment (23/01) Skip 1 week (09/06)</t>
  </si>
  <si>
    <t>Nikhil Ranganathan-- Evening Only</t>
  </si>
  <si>
    <t>24/7, Primrose Vatika</t>
  </si>
  <si>
    <t>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t>
  </si>
  <si>
    <t>Parul Hazel</t>
  </si>
  <si>
    <t>E-1202, Palm Drive</t>
  </si>
  <si>
    <t>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t>
  </si>
  <si>
    <t>1  del of this cycle   -  1-cycles pmnt   Pending - Collect 1449</t>
  </si>
  <si>
    <t>Ranjeeta Sanghvi</t>
  </si>
  <si>
    <t>T-3/TH-B, Bellevue. Central Park 2</t>
  </si>
  <si>
    <t>Subhadra Chatterjee</t>
  </si>
  <si>
    <t>Tower -E, Flat 10B, Central Park Resort</t>
  </si>
  <si>
    <t>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t>
  </si>
  <si>
    <t>GULDAWARI n ROSE</t>
  </si>
  <si>
    <t>Sugandha Goyal</t>
  </si>
  <si>
    <t>T-15/3C, Central Park Resorts</t>
  </si>
  <si>
    <t>HDTNP (26/06)</t>
  </si>
  <si>
    <t>1  del of this cycle   -  1-cycles pmnt   Pending - Collect 2300</t>
  </si>
  <si>
    <t>Swati Gaur</t>
  </si>
  <si>
    <t>T-5/2617, Center court by County, Sec 88 A</t>
  </si>
  <si>
    <t>1  del of this cycle   -  1-cycles pmnt   Pending - Collect 2750</t>
  </si>
  <si>
    <t>Tina</t>
  </si>
  <si>
    <t>J-1603, Palm Drive</t>
  </si>
  <si>
    <t>From Radhika Neeraj Rathod//Colect cash (17/03) Paytm from Gureena Singh (29/08) Send tom n send on Monday this week (19/03) HDTNP (26/06) Do Not count last Del (04/0&amp;0</t>
  </si>
  <si>
    <t>Vasanta Poddar</t>
  </si>
  <si>
    <t>S-64, 2nd Floor, Uppal Southend</t>
  </si>
  <si>
    <t xml:space="preserve"> Skip 1 week (11/03) Skip 2 week (29/05) Sent 1 Del today (21/08) Send tom (06/02) Skip 1 week (19/02)</t>
  </si>
  <si>
    <t>Pre Flowers 4</t>
  </si>
  <si>
    <t>Pre Flowers 3</t>
  </si>
  <si>
    <t>Pre Flowers 2</t>
  </si>
  <si>
    <t>Pre Flowers 1</t>
  </si>
  <si>
    <t xml:space="preserve">Pre Flowers </t>
  </si>
  <si>
    <t>Flower 1</t>
  </si>
  <si>
    <t>stick</t>
  </si>
  <si>
    <t>Flower 2</t>
  </si>
  <si>
    <t>Stick</t>
  </si>
  <si>
    <t>Flower 3</t>
  </si>
  <si>
    <t>Consumables</t>
  </si>
  <si>
    <t>Delivered By</t>
  </si>
  <si>
    <t>Priority</t>
  </si>
  <si>
    <t>Feedback</t>
  </si>
  <si>
    <t>Payment</t>
  </si>
  <si>
    <t>5  del of this cycle   -  0-cycles pmnt   Completed - Collect 0</t>
  </si>
  <si>
    <t>8  del of this cycle   -  0-cycles pmnt   Completed - Collect 0</t>
  </si>
  <si>
    <t>6  del of this cycle   -  0-cycles pmnt   CompletedNO COLLECTION-we have extra money - Collect -50</t>
  </si>
  <si>
    <t>7  del of this cycle   -  0-cycles pmnt   Completed - Collect 0</t>
  </si>
  <si>
    <t>6  del of this cycle   -  0-cycles pmnt   Completed - Collect 0</t>
  </si>
  <si>
    <t>8  del of this cycle   -  0-cycles pmnt   In Process - Collect 0</t>
  </si>
  <si>
    <t>7  del of this cycle   -  0-cycles pmnt   Complimentary - Collect 0</t>
  </si>
  <si>
    <t>4  del of this cycle   -  1-cycles pmnt   Pending - Collect 1600</t>
  </si>
  <si>
    <t>Y Spray Daisy ( 14 Inch )</t>
  </si>
  <si>
    <t>P n W Glad ( 14 Inch )</t>
  </si>
  <si>
    <t>P n W Spray Daisy ( 14 Inch )</t>
  </si>
  <si>
    <t>P n W Car ( 14 Inch )</t>
  </si>
  <si>
    <t>P Spray Daisy ( 14 Inch )</t>
  </si>
  <si>
    <t>BOP ( 14 Inch )</t>
  </si>
  <si>
    <t>Sunflower ( 12 Inch )</t>
  </si>
  <si>
    <t>Mix Aster ( 14 Inch )</t>
  </si>
  <si>
    <t>W Asiatic ( 14 Inch )</t>
  </si>
  <si>
    <t>Rajni ( 14 Inch )</t>
  </si>
  <si>
    <t>P Oriental ( 15 Inch )</t>
  </si>
  <si>
    <t>Mix Alstroemeria ( 12 Inch )</t>
  </si>
  <si>
    <t>P Eustoma ( 12 Inch )</t>
  </si>
  <si>
    <t>Grass</t>
  </si>
  <si>
    <t>FF Sachet + Grass</t>
  </si>
  <si>
    <t>3 Areca palm + 3 Gypsola</t>
  </si>
  <si>
    <t>2 Limonium</t>
  </si>
  <si>
    <t>G n W Car ( 14 Inch )</t>
  </si>
  <si>
    <t>P n Y Spray Daisy ( 14 Inch )</t>
  </si>
  <si>
    <t>Pur Eustoma ( 12 Inch )</t>
  </si>
  <si>
    <t>P n Y Glad ( 14 Inch )</t>
  </si>
  <si>
    <t>Mix Glad ( 14 Inch )</t>
  </si>
  <si>
    <t>2 Limonium + FF Sachet</t>
  </si>
  <si>
    <t>2 Gypsola + FF Sachet</t>
  </si>
  <si>
    <t>1 Limonium</t>
  </si>
  <si>
    <t>Normal Greens</t>
  </si>
  <si>
    <t xml:space="preserve">Rectangle Vase Arrangement </t>
  </si>
  <si>
    <t>Spray Daisy</t>
  </si>
  <si>
    <t>Alstroemeria</t>
  </si>
  <si>
    <t>B Daisy</t>
  </si>
  <si>
    <t>Carnation</t>
  </si>
  <si>
    <t>Asiatic</t>
  </si>
  <si>
    <t>Oriental</t>
  </si>
  <si>
    <t>Anthurium // BOP</t>
  </si>
  <si>
    <t>total revenue</t>
  </si>
  <si>
    <t>revenue for the day</t>
  </si>
  <si>
    <t>Total</t>
  </si>
  <si>
    <t>Sticks in bndl</t>
  </si>
  <si>
    <t>Current Cost/bdl</t>
  </si>
  <si>
    <t>bi weekly</t>
  </si>
  <si>
    <t>NA</t>
  </si>
  <si>
    <t>Customized Plans</t>
  </si>
  <si>
    <t>A-2, G Floor</t>
  </si>
  <si>
    <t xml:space="preserve"> left of prev day</t>
  </si>
  <si>
    <t>TO BUY</t>
  </si>
  <si>
    <t>Wastage</t>
  </si>
  <si>
    <t>To buy wth wastage</t>
  </si>
  <si>
    <t>Bundles to buy</t>
  </si>
  <si>
    <t xml:space="preserve">Flowers </t>
  </si>
  <si>
    <t>COST</t>
  </si>
  <si>
    <t>Quantity</t>
  </si>
  <si>
    <t>Rate</t>
  </si>
  <si>
    <t>Arika</t>
  </si>
  <si>
    <t>victoria</t>
  </si>
  <si>
    <t>Murraiya</t>
  </si>
  <si>
    <t>grass</t>
  </si>
  <si>
    <t>Taal Palm</t>
  </si>
  <si>
    <t>Nargis</t>
  </si>
  <si>
    <t>Rose petal</t>
  </si>
  <si>
    <t>Genda</t>
  </si>
  <si>
    <t>Limonium</t>
  </si>
  <si>
    <t>Mogra</t>
  </si>
  <si>
    <t>Gypsy</t>
  </si>
  <si>
    <t>Leather Fern</t>
  </si>
  <si>
    <t>Cycus Palm</t>
  </si>
  <si>
    <t>O Marigold Lari</t>
  </si>
  <si>
    <t>Y Marigold Lari</t>
  </si>
  <si>
    <t>Ashok Lari</t>
  </si>
  <si>
    <t>Mogra Lari</t>
  </si>
  <si>
    <t>Rajni Lari</t>
  </si>
  <si>
    <t>Daisy Lari</t>
  </si>
  <si>
    <t>P n Y Gerbera ( 12 Inch )</t>
  </si>
  <si>
    <t>B56474</t>
  </si>
  <si>
    <t>Ramesh Kapoor</t>
  </si>
  <si>
    <t>T-6/1404, The Palms, South City 1</t>
  </si>
  <si>
    <t>By 7 PM</t>
  </si>
  <si>
    <t>4 P Spray Daisy + 7 W Car in Front Tissue Wrap</t>
  </si>
  <si>
    <t>1  del of this cycle   -  1-cycles pmnt   Pending - Collect 730</t>
  </si>
  <si>
    <t xml:space="preserve">P Spray Daisy + W Car </t>
  </si>
  <si>
    <t>4 + 7</t>
  </si>
  <si>
    <t>Fron Tissue Wrap</t>
  </si>
  <si>
    <t>P n W Car + P n W n G Spray Daisy + P n W Orchid + P n W Oriental + P n W Anthurium + P n W Aster + P n W Eustoma + Bop + Mix Spray Car</t>
  </si>
  <si>
    <t>100 + 40 + 30 + 20 + 20 + 40 + 20 + 10 + 30</t>
  </si>
  <si>
    <t xml:space="preserve">O Asiatic ( 14 Inch ) </t>
  </si>
  <si>
    <t>Mogra + Big Money Plant + Mig Monstera + Big Taal Palm +  Baby Dollar + Arocaria</t>
  </si>
  <si>
    <t>300 Gm + 8 + 8 + 8 +  20 + 2 Bunch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</si>
</sst>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quot;₹&quot;\ #,##0.00"/>
    <numFmt numFmtId="166" formatCode="dd\/mm\/yy"/>
    <numFmt numFmtId="167" formatCode="0.0"/>
  </numFmts>
  <fonts count="28"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b/>
      <sz val="12"/>
      <name val="Calibri"/>
      <family val="2"/>
    </font>
    <font>
      <b/>
      <i/>
      <sz val="11"/>
      <name val="Calibri"/>
      <family val="2"/>
      <scheme val="minor"/>
    </font>
    <font>
      <b/>
      <sz val="11"/>
      <name val="Calibri"/>
      <family val="2"/>
    </font>
    <font>
      <b/>
      <sz val="22"/>
      <name val="Calibri"/>
      <family val="2"/>
      <scheme val="minor"/>
    </font>
    <font>
      <b/>
      <sz val="11"/>
      <color indexed="8"/>
      <name val="Calibri"/>
      <family val="2"/>
    </font>
    <font>
      <sz val="11"/>
      <name val="Calibri"/>
      <family val="2"/>
    </font>
    <font>
      <b/>
      <sz val="11"/>
      <name val="Calibri"/>
      <family val="2"/>
      <scheme val="minor"/>
    </font>
    <font>
      <u/>
      <sz val="11"/>
      <color theme="10"/>
      <name val="Calibri"/>
      <family val="2"/>
      <scheme val="minor"/>
    </font>
    <font>
      <b/>
      <sz val="11"/>
      <color rgb="FFFFFFFF"/>
      <name val="Calibri"/>
      <family val="2"/>
      <scheme val="minor"/>
    </font>
    <font>
      <b/>
      <sz val="10"/>
      <color indexed="8"/>
      <name val="Arial"/>
      <family val="2"/>
    </font>
    <font>
      <b/>
      <sz val="14"/>
      <name val="Calibri"/>
      <family val="2"/>
      <scheme val="minor"/>
    </font>
    <font>
      <i/>
      <sz val="11"/>
      <color theme="1"/>
      <name val="Calibri"/>
      <family val="2"/>
      <scheme val="minor"/>
    </font>
    <font>
      <b/>
      <i/>
      <sz val="11"/>
      <color theme="1"/>
      <name val="Calibri"/>
      <family val="2"/>
      <scheme val="minor"/>
    </font>
    <font>
      <b/>
      <i/>
      <sz val="11"/>
      <color rgb="FF000000"/>
      <name val="Calibri"/>
      <family val="2"/>
      <scheme val="minor"/>
    </font>
    <font>
      <b/>
      <i/>
      <sz val="10"/>
      <color rgb="FF000000"/>
      <name val="Calibri"/>
      <family val="2"/>
      <scheme val="minor"/>
    </font>
    <font>
      <i/>
      <sz val="11"/>
      <color rgb="FF000000"/>
      <name val="Calibri"/>
      <family val="2"/>
      <scheme val="minor"/>
    </font>
    <font>
      <i/>
      <sz val="11"/>
      <name val="Calibri"/>
      <family val="2"/>
      <scheme val="minor"/>
    </font>
    <font>
      <b/>
      <i/>
      <sz val="12"/>
      <color rgb="FF000000"/>
      <name val="Calibri"/>
      <family val="2"/>
      <scheme val="minor"/>
    </font>
    <font>
      <b/>
      <i/>
      <sz val="11"/>
      <color rgb="FF7030A0"/>
      <name val="Calibri"/>
      <family val="2"/>
      <scheme val="minor"/>
    </font>
    <font>
      <i/>
      <sz val="11"/>
      <color rgb="FF7030A0"/>
      <name val="Calibri"/>
      <family val="2"/>
      <scheme val="minor"/>
    </font>
    <font>
      <b/>
      <i/>
      <sz val="11"/>
      <color theme="0"/>
      <name val="Calibri"/>
      <family val="2"/>
      <scheme val="minor"/>
    </font>
    <font>
      <i/>
      <sz val="12"/>
      <color theme="1"/>
      <name val="Calibri"/>
      <family val="2"/>
      <scheme val="minor"/>
    </font>
    <font>
      <sz val="12"/>
      <color theme="1"/>
      <name val="Calibri"/>
      <family val="2"/>
      <scheme val="minor"/>
    </font>
    <font>
      <i/>
      <sz val="10"/>
      <color theme="1"/>
      <name val="Calibri"/>
      <family val="2"/>
      <scheme val="minor"/>
    </font>
  </fonts>
  <fills count="15">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rgb="FFF6C3FF"/>
        <bgColor indexed="64"/>
      </patternFill>
    </fill>
    <fill>
      <patternFill patternType="solid">
        <fgColor rgb="FFFFFF00"/>
        <bgColor indexed="64"/>
      </patternFill>
    </fill>
    <fill>
      <patternFill patternType="solid">
        <fgColor rgb="FF92D050"/>
        <bgColor indexed="64"/>
      </patternFill>
    </fill>
    <fill>
      <patternFill patternType="solid">
        <fgColor rgb="FF7030A0"/>
        <bgColor indexed="64"/>
      </patternFill>
    </fill>
    <fill>
      <patternFill patternType="solid">
        <fgColor rgb="FFC00000"/>
        <bgColor indexed="64"/>
      </patternFill>
    </fill>
    <fill>
      <patternFill patternType="solid">
        <fgColor theme="9" tint="0.39997558519241921"/>
        <bgColor indexed="64"/>
      </patternFill>
    </fill>
    <fill>
      <patternFill patternType="solid">
        <fgColor rgb="FF00B0F0"/>
        <bgColor indexed="64"/>
      </patternFill>
    </fill>
    <fill>
      <patternFill patternType="solid">
        <fgColor rgb="FFFF99FF"/>
        <bgColor indexed="64"/>
      </patternFill>
    </fill>
    <fill>
      <patternFill patternType="solid">
        <fgColor rgb="FFFFC000"/>
        <bgColor indexed="64"/>
      </patternFill>
    </fill>
    <fill>
      <patternFill patternType="solid">
        <fgColor rgb="FFCC00CC"/>
        <bgColor indexed="64"/>
      </patternFill>
    </fill>
    <fill>
      <patternFill patternType="solid">
        <fgColor theme="4" tint="-0.249977111117893"/>
        <bgColor indexed="64"/>
      </patternFill>
    </fill>
  </fills>
  <borders count="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diagonal/>
    </border>
  </borders>
  <cellStyleXfs count="6">
    <xf numFmtId="0" fontId="0" fillId="0" borderId="0"/>
    <xf numFmtId="9" fontId="1" fillId="0" borderId="0" applyFont="0" applyFill="0" applyBorder="0" applyAlignment="0" applyProtection="0"/>
    <xf numFmtId="0" fontId="1" fillId="0" borderId="0"/>
    <xf numFmtId="0" fontId="11" fillId="0" borderId="0" applyNumberFormat="0" applyFill="0" applyBorder="0" applyAlignment="0" applyProtection="0"/>
    <xf numFmtId="0" fontId="1" fillId="0" borderId="0"/>
    <xf numFmtId="9" fontId="26" fillId="0" borderId="0" applyFont="0" applyFill="0" applyBorder="0" applyAlignment="0" applyProtection="0"/>
  </cellStyleXfs>
  <cellXfs count="82">
    <xf numFmtId="0" fontId="0" fillId="0" borderId="0" xfId="0"/>
    <xf numFmtId="0" fontId="1" fillId="2" borderId="1" xfId="0" applyFont="1" applyFill="1" applyBorder="1" applyAlignment="1">
      <alignment horizontal="center" vertical="center" wrapText="1" shrinkToFit="1"/>
    </xf>
    <xf numFmtId="0" fontId="4" fillId="2" borderId="1" xfId="2" applyFont="1" applyFill="1" applyBorder="1" applyAlignment="1">
      <alignment horizontal="center" vertical="center" wrapText="1" shrinkToFit="1"/>
    </xf>
    <xf numFmtId="1" fontId="4" fillId="2" borderId="1" xfId="2" applyNumberFormat="1" applyFont="1" applyFill="1" applyBorder="1" applyAlignment="1">
      <alignment horizontal="center" vertical="center" wrapText="1" shrinkToFit="1"/>
    </xf>
    <xf numFmtId="0" fontId="6" fillId="2" borderId="1" xfId="2" applyFont="1" applyFill="1" applyBorder="1" applyAlignment="1">
      <alignment horizontal="center" vertical="center" wrapText="1" shrinkToFit="1"/>
    </xf>
    <xf numFmtId="165" fontId="4" fillId="2" borderId="1" xfId="2" applyNumberFormat="1" applyFont="1" applyFill="1" applyBorder="1" applyAlignment="1">
      <alignment horizontal="center" vertical="center" wrapText="1" shrinkToFit="1"/>
    </xf>
    <xf numFmtId="166" fontId="6" fillId="2" borderId="1" xfId="2" applyNumberFormat="1" applyFont="1" applyFill="1" applyBorder="1" applyAlignment="1">
      <alignment horizontal="center" vertical="center" wrapText="1" shrinkToFit="1"/>
    </xf>
    <xf numFmtId="0" fontId="7" fillId="2"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0" fillId="2" borderId="1" xfId="0" applyFill="1" applyBorder="1" applyAlignment="1">
      <alignment horizontal="center" vertical="center" wrapText="1" shrinkToFit="1"/>
    </xf>
    <xf numFmtId="0" fontId="0" fillId="2" borderId="1" xfId="0" applyFill="1" applyBorder="1" applyAlignment="1">
      <alignment horizontal="center" vertical="center" wrapText="1"/>
    </xf>
    <xf numFmtId="0" fontId="9" fillId="2" borderId="1" xfId="2" applyFont="1" applyFill="1" applyBorder="1" applyAlignment="1">
      <alignment horizontal="center" vertical="center" wrapText="1" shrinkToFit="1"/>
    </xf>
    <xf numFmtId="0" fontId="1" fillId="2" borderId="1" xfId="0" applyFont="1" applyFill="1" applyBorder="1" applyAlignment="1">
      <alignment horizontal="center" vertical="center" wrapText="1"/>
    </xf>
    <xf numFmtId="0" fontId="0" fillId="0" borderId="1" xfId="0" applyBorder="1" applyAlignment="1">
      <alignment wrapText="1" shrinkToFit="1"/>
    </xf>
    <xf numFmtId="0" fontId="10"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4" borderId="1" xfId="0" applyFont="1" applyFill="1" applyBorder="1" applyAlignment="1">
      <alignment horizontal="center" vertical="center" wrapText="1" shrinkToFit="1"/>
    </xf>
    <xf numFmtId="0" fontId="0" fillId="5" borderId="1" xfId="0" applyFill="1" applyBorder="1" applyAlignment="1">
      <alignment horizontal="center" vertical="center" wrapText="1"/>
    </xf>
    <xf numFmtId="0" fontId="9" fillId="5" borderId="1" xfId="2" applyFont="1" applyFill="1" applyBorder="1" applyAlignment="1">
      <alignment horizontal="center" vertical="center" wrapText="1" shrinkToFit="1"/>
    </xf>
    <xf numFmtId="0" fontId="0" fillId="6" borderId="1" xfId="0" applyFill="1" applyBorder="1" applyAlignment="1">
      <alignment horizontal="center" vertical="center" wrapText="1" shrinkToFit="1"/>
    </xf>
    <xf numFmtId="0" fontId="12" fillId="3" borderId="1" xfId="0" applyFont="1" applyFill="1" applyBorder="1" applyAlignment="1">
      <alignment horizontal="center" vertical="center" wrapText="1"/>
    </xf>
    <xf numFmtId="0" fontId="13" fillId="2" borderId="1" xfId="0" applyFont="1" applyFill="1" applyBorder="1" applyAlignment="1">
      <alignment horizontal="center" vertical="center" wrapText="1"/>
    </xf>
    <xf numFmtId="0" fontId="1" fillId="2" borderId="1" xfId="4" applyFill="1" applyBorder="1" applyAlignment="1">
      <alignment horizontal="center" vertical="center" wrapText="1" shrinkToFit="1"/>
    </xf>
    <xf numFmtId="0" fontId="0" fillId="6" borderId="1" xfId="0" applyFill="1" applyBorder="1" applyAlignment="1">
      <alignment horizontal="center" vertical="center" wrapText="1"/>
    </xf>
    <xf numFmtId="0" fontId="10" fillId="7" borderId="1" xfId="0" applyFont="1" applyFill="1" applyBorder="1" applyAlignment="1">
      <alignment horizontal="center" vertical="center" wrapText="1"/>
    </xf>
    <xf numFmtId="0" fontId="9" fillId="5" borderId="2" xfId="2" applyFont="1" applyFill="1" applyBorder="1" applyAlignment="1">
      <alignment horizontal="center" vertical="center" wrapText="1" shrinkToFit="1"/>
    </xf>
    <xf numFmtId="0" fontId="0" fillId="2" borderId="3" xfId="0" applyFill="1" applyBorder="1" applyAlignment="1">
      <alignment horizontal="center" vertical="center" wrapText="1"/>
    </xf>
    <xf numFmtId="0" fontId="1" fillId="4"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 fillId="2" borderId="1" xfId="0" applyFont="1" applyFill="1" applyBorder="1" applyAlignment="1">
      <alignment horizontal="left" vertical="top" wrapText="1"/>
    </xf>
    <xf numFmtId="0" fontId="0" fillId="2" borderId="1" xfId="0" applyFill="1" applyBorder="1" applyAlignment="1">
      <alignment horizontal="left" vertical="top" wrapText="1"/>
    </xf>
    <xf numFmtId="0" fontId="1" fillId="2" borderId="2" xfId="0" applyFont="1" applyFill="1" applyBorder="1" applyAlignment="1">
      <alignment horizontal="center" vertical="center" wrapText="1"/>
    </xf>
    <xf numFmtId="0" fontId="2" fillId="7" borderId="1" xfId="0" applyFont="1" applyFill="1" applyBorder="1" applyAlignment="1">
      <alignment horizontal="center" vertical="center" wrapText="1"/>
    </xf>
    <xf numFmtId="0" fontId="15" fillId="0" borderId="1" xfId="0" applyFont="1" applyBorder="1" applyAlignment="1">
      <alignment wrapText="1" shrinkToFit="1"/>
    </xf>
    <xf numFmtId="0" fontId="16" fillId="0" borderId="1" xfId="0" applyFont="1" applyBorder="1" applyAlignment="1">
      <alignment wrapText="1" shrinkToFit="1"/>
    </xf>
    <xf numFmtId="0" fontId="17" fillId="0" borderId="4" xfId="2" applyFont="1" applyBorder="1" applyAlignment="1">
      <alignment horizontal="center" vertical="center" wrapText="1"/>
    </xf>
    <xf numFmtId="0" fontId="17" fillId="2" borderId="1" xfId="2" applyFont="1" applyFill="1" applyBorder="1" applyAlignment="1">
      <alignment horizontal="center" vertical="center" wrapText="1"/>
    </xf>
    <xf numFmtId="0" fontId="17" fillId="0" borderId="1" xfId="2" applyFont="1" applyBorder="1" applyAlignment="1">
      <alignment horizontal="center" vertical="center" wrapText="1"/>
    </xf>
    <xf numFmtId="0" fontId="15" fillId="0" borderId="0" xfId="0" applyFont="1" applyAlignment="1">
      <alignment horizontal="center" vertical="center" wrapText="1"/>
    </xf>
    <xf numFmtId="0" fontId="18" fillId="0" borderId="0" xfId="2" applyFont="1" applyAlignment="1">
      <alignment horizontal="center" vertical="center" wrapText="1"/>
    </xf>
    <xf numFmtId="0" fontId="19" fillId="0" borderId="4" xfId="2" applyFont="1" applyBorder="1" applyAlignment="1">
      <alignment horizontal="center" vertical="center" wrapText="1"/>
    </xf>
    <xf numFmtId="0" fontId="19" fillId="0" borderId="1" xfId="2" applyFont="1" applyBorder="1" applyAlignment="1">
      <alignment horizontal="center" vertical="center" wrapText="1"/>
    </xf>
    <xf numFmtId="1" fontId="15" fillId="0" borderId="0" xfId="0" applyNumberFormat="1" applyFont="1" applyAlignment="1">
      <alignment horizontal="center" vertical="center" wrapText="1"/>
    </xf>
    <xf numFmtId="0" fontId="20" fillId="0" borderId="1" xfId="2" applyFont="1" applyBorder="1" applyAlignment="1">
      <alignment horizontal="center" vertical="center" wrapText="1"/>
    </xf>
    <xf numFmtId="0" fontId="15" fillId="0" borderId="1" xfId="0" applyFont="1" applyBorder="1" applyAlignment="1">
      <alignment horizontal="center" vertical="center" wrapText="1"/>
    </xf>
    <xf numFmtId="2" fontId="19" fillId="0" borderId="1" xfId="2" applyNumberFormat="1" applyFont="1" applyBorder="1" applyAlignment="1">
      <alignment horizontal="center" vertical="center" wrapText="1"/>
    </xf>
    <xf numFmtId="1" fontId="19" fillId="0" borderId="0" xfId="2" applyNumberFormat="1" applyFont="1" applyAlignment="1">
      <alignment horizontal="center" vertical="center" wrapText="1"/>
    </xf>
    <xf numFmtId="1" fontId="20" fillId="0" borderId="1" xfId="2" applyNumberFormat="1" applyFont="1" applyBorder="1" applyAlignment="1">
      <alignment horizontal="center" vertical="center" wrapText="1"/>
    </xf>
    <xf numFmtId="0" fontId="19" fillId="5" borderId="4" xfId="2" applyFont="1" applyFill="1" applyBorder="1" applyAlignment="1">
      <alignment horizontal="center" vertical="center" wrapText="1"/>
    </xf>
    <xf numFmtId="0" fontId="19" fillId="9" borderId="1" xfId="2" applyFont="1" applyFill="1" applyBorder="1" applyAlignment="1">
      <alignment horizontal="center" vertical="center" wrapText="1"/>
    </xf>
    <xf numFmtId="0" fontId="17" fillId="9" borderId="4" xfId="2" applyFont="1" applyFill="1" applyBorder="1" applyAlignment="1">
      <alignment horizontal="center" vertical="center" wrapText="1"/>
    </xf>
    <xf numFmtId="0" fontId="21" fillId="5" borderId="4" xfId="2" applyFont="1" applyFill="1" applyBorder="1" applyAlignment="1">
      <alignment horizontal="center" vertical="center" wrapText="1"/>
    </xf>
    <xf numFmtId="0" fontId="19" fillId="10" borderId="1" xfId="2" applyFont="1" applyFill="1" applyBorder="1" applyAlignment="1">
      <alignment horizontal="center" vertical="center" wrapText="1"/>
    </xf>
    <xf numFmtId="1" fontId="15" fillId="0" borderId="0" xfId="1" applyNumberFormat="1" applyFont="1" applyAlignment="1">
      <alignment horizontal="center" vertical="center" wrapText="1"/>
    </xf>
    <xf numFmtId="0" fontId="21" fillId="2" borderId="4" xfId="2" applyFont="1" applyFill="1" applyBorder="1" applyAlignment="1">
      <alignment horizontal="center" vertical="center" wrapText="1"/>
    </xf>
    <xf numFmtId="0" fontId="17" fillId="6" borderId="4" xfId="2" applyFont="1" applyFill="1" applyBorder="1" applyAlignment="1">
      <alignment horizontal="center" vertical="center" wrapText="1"/>
    </xf>
    <xf numFmtId="0" fontId="17" fillId="6" borderId="1" xfId="2" applyFont="1" applyFill="1" applyBorder="1" applyAlignment="1">
      <alignment horizontal="center" vertical="center" wrapText="1"/>
    </xf>
    <xf numFmtId="0" fontId="17" fillId="5" borderId="4" xfId="2" applyFont="1" applyFill="1" applyBorder="1" applyAlignment="1">
      <alignment horizontal="center" vertical="center" wrapText="1"/>
    </xf>
    <xf numFmtId="1" fontId="17" fillId="0" borderId="1" xfId="2" applyNumberFormat="1" applyFont="1" applyBorder="1" applyAlignment="1">
      <alignment horizontal="center" vertical="center" wrapText="1"/>
    </xf>
    <xf numFmtId="9" fontId="19" fillId="0" borderId="1" xfId="2" applyNumberFormat="1" applyFont="1" applyBorder="1" applyAlignment="1">
      <alignment horizontal="center" vertical="center" wrapText="1"/>
    </xf>
    <xf numFmtId="1" fontId="19" fillId="0" borderId="1" xfId="2" applyNumberFormat="1" applyFont="1" applyBorder="1" applyAlignment="1">
      <alignment horizontal="center" vertical="center" wrapText="1"/>
    </xf>
    <xf numFmtId="167" fontId="19" fillId="0" borderId="1" xfId="2" applyNumberFormat="1" applyFont="1" applyBorder="1" applyAlignment="1">
      <alignment horizontal="center" vertical="center" wrapText="1"/>
    </xf>
    <xf numFmtId="0" fontId="17" fillId="3" borderId="4" xfId="2" applyFont="1" applyFill="1" applyBorder="1" applyAlignment="1">
      <alignment horizontal="center" vertical="center" wrapText="1"/>
    </xf>
    <xf numFmtId="0" fontId="19" fillId="3" borderId="1" xfId="2" applyFont="1" applyFill="1" applyBorder="1" applyAlignment="1">
      <alignment horizontal="center" vertical="center" wrapText="1"/>
    </xf>
    <xf numFmtId="0" fontId="5" fillId="11" borderId="4" xfId="2" applyFont="1" applyFill="1" applyBorder="1" applyAlignment="1">
      <alignment horizontal="center" vertical="center" wrapText="1"/>
    </xf>
    <xf numFmtId="0" fontId="20" fillId="11" borderId="1" xfId="2" applyFont="1" applyFill="1" applyBorder="1" applyAlignment="1">
      <alignment horizontal="center" vertical="center" wrapText="1"/>
    </xf>
    <xf numFmtId="0" fontId="0" fillId="0" borderId="0" xfId="0" applyAlignment="1">
      <alignment horizontal="center"/>
    </xf>
    <xf numFmtId="0" fontId="19" fillId="5" borderId="1" xfId="2" applyFont="1" applyFill="1" applyBorder="1" applyAlignment="1">
      <alignment horizontal="center" vertical="center" wrapText="1"/>
    </xf>
    <xf numFmtId="0" fontId="17" fillId="12" borderId="4" xfId="2" applyFont="1" applyFill="1" applyBorder="1" applyAlignment="1">
      <alignment horizontal="center" vertical="center" wrapText="1"/>
    </xf>
    <xf numFmtId="0" fontId="19" fillId="12" borderId="1" xfId="2" applyFont="1" applyFill="1" applyBorder="1" applyAlignment="1">
      <alignment horizontal="center" vertical="center" wrapText="1"/>
    </xf>
    <xf numFmtId="0" fontId="22" fillId="13" borderId="4" xfId="2" applyFont="1" applyFill="1" applyBorder="1" applyAlignment="1">
      <alignment horizontal="center" vertical="center" wrapText="1"/>
    </xf>
    <xf numFmtId="0" fontId="23" fillId="13" borderId="1" xfId="2" applyFont="1" applyFill="1" applyBorder="1" applyAlignment="1">
      <alignment horizontal="center" vertical="center" wrapText="1"/>
    </xf>
    <xf numFmtId="0" fontId="17" fillId="14" borderId="4" xfId="2" applyFont="1" applyFill="1" applyBorder="1" applyAlignment="1">
      <alignment horizontal="center" vertical="center" wrapText="1"/>
    </xf>
    <xf numFmtId="0" fontId="24" fillId="14" borderId="1" xfId="2" applyFont="1" applyFill="1" applyBorder="1" applyAlignment="1">
      <alignment horizontal="center" vertical="center" wrapText="1"/>
    </xf>
    <xf numFmtId="0" fontId="25" fillId="0" borderId="5" xfId="0" applyFont="1" applyBorder="1" applyAlignment="1">
      <alignment horizontal="center" vertical="center" wrapText="1"/>
    </xf>
    <xf numFmtId="0" fontId="25" fillId="0" borderId="1" xfId="0" applyFont="1" applyBorder="1" applyAlignment="1">
      <alignment horizontal="center" vertical="center" wrapText="1"/>
    </xf>
    <xf numFmtId="9" fontId="15" fillId="0" borderId="0" xfId="5" applyFont="1" applyAlignment="1">
      <alignment horizontal="center" vertical="center" wrapText="1"/>
    </xf>
    <xf numFmtId="0" fontId="16" fillId="0" borderId="0" xfId="0" applyFont="1" applyAlignment="1">
      <alignment horizontal="center" vertical="center" wrapText="1"/>
    </xf>
    <xf numFmtId="0" fontId="27" fillId="0" borderId="0" xfId="0" applyFont="1" applyAlignment="1">
      <alignment horizontal="center" vertical="center" wrapText="1"/>
    </xf>
    <xf numFmtId="0" fontId="15" fillId="0" borderId="0" xfId="0" quotePrefix="1" applyFont="1" applyAlignment="1">
      <alignment horizontal="center" vertical="center" wrapText="1"/>
    </xf>
    <xf numFmtId="0" fontId="0" fillId="2" borderId="1" xfId="0" applyFill="1" applyBorder="1" applyAlignment="1">
      <alignment horizontal="center" vertical="center"/>
    </xf>
  </cellXfs>
  <cellStyles count="6">
    <cellStyle name="Hyperlink 2" xfId="3" xr:uid="{28BA8085-75F4-443E-B4BD-92AC56BF6710}"/>
    <cellStyle name="Normal" xfId="0" builtinId="0"/>
    <cellStyle name="Normal 2" xfId="2" xr:uid="{0B4E5B7D-A6B9-4747-A257-1E17FDA8FB3B}"/>
    <cellStyle name="Normal 25" xfId="4" xr:uid="{70733EE3-33CB-4B3A-AD6E-D63A056F1013}"/>
    <cellStyle name="Percent" xfId="1" builtinId="5"/>
    <cellStyle name="Percent 2" xfId="5" xr:uid="{B55A3EB3-A22C-4C86-9B1B-D5660DFFCD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d.docs.live.net/f90bce48fe946bb5/Desktop/Final%20Feedback%20June%202026%20(31).xlsx" TargetMode="External"/><Relationship Id="rId1" Type="http://schemas.openxmlformats.org/officeDocument/2006/relationships/externalLinkPath" Target="Final%20Feedback%20June%202026%20(3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Amit%20Tripathi\Downloads\Feedback%20July%2026%20(18).xlsx" TargetMode="External"/><Relationship Id="rId1" Type="http://schemas.openxmlformats.org/officeDocument/2006/relationships/externalLinkPath" Target="file:///C:\Users\Amit%20Tripathi\Downloads\Feedback%20July%2026%20(18).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6-26"/>
      <sheetName val="02-06-26"/>
      <sheetName val="03-06-26"/>
      <sheetName val="04-06-26"/>
      <sheetName val="05-06-26"/>
      <sheetName val="06-6-26"/>
      <sheetName val=" 07-06-26"/>
      <sheetName val="08-06-26"/>
      <sheetName val="09-06-26"/>
      <sheetName val="10-06-26"/>
      <sheetName val="11-06-26"/>
      <sheetName val="12-06-26"/>
      <sheetName val="13-06-26"/>
      <sheetName val="14-06-26"/>
      <sheetName val="15-06-26"/>
      <sheetName val="16-06-26"/>
      <sheetName val="17-06-26"/>
      <sheetName val="18-06-26"/>
      <sheetName val="19-06-26"/>
      <sheetName val="20-06-26"/>
      <sheetName val="21-06-26"/>
      <sheetName val="22-06-26"/>
      <sheetName val="25-06-26"/>
      <sheetName val="23-06-26"/>
      <sheetName val="24-06-26"/>
      <sheetName val="26-06-26"/>
      <sheetName val="27-06-26"/>
      <sheetName val="28-06-26"/>
      <sheetName val="29-06-26"/>
      <sheetName val="30-06-26"/>
      <sheetName val="Sheet2"/>
    </sheetNames>
    <sheetDataSet>
      <sheetData sheetId="0"/>
      <sheetData sheetId="1"/>
      <sheetData sheetId="2"/>
      <sheetData sheetId="3"/>
      <sheetData sheetId="4"/>
      <sheetData sheetId="5"/>
      <sheetData sheetId="6"/>
      <sheetData sheetId="7"/>
      <sheetData sheetId="8"/>
      <sheetData sheetId="9"/>
      <sheetData sheetId="10"/>
      <sheetData sheetId="11">
        <row r="2">
          <cell r="A2">
            <v>3338</v>
          </cell>
          <cell r="B2" t="str">
            <v>Richa Khullar</v>
          </cell>
          <cell r="C2">
            <v>9871797835</v>
          </cell>
          <cell r="D2" t="str">
            <v>A3/1101, Tulip Yellow</v>
          </cell>
          <cell r="E2" t="str">
            <v>Badshahpur</v>
          </cell>
          <cell r="F2" t="str">
            <v>Friday</v>
          </cell>
          <cell r="G2" t="str">
            <v>4 Pm to 7 PM</v>
          </cell>
          <cell r="H2">
            <v>1450</v>
          </cell>
          <cell r="I2">
            <v>362.5</v>
          </cell>
          <cell r="J2" t="str">
            <v>Bliss</v>
          </cell>
          <cell r="K2" t="str">
            <v xml:space="preserve">Love Alstroemeria </v>
          </cell>
          <cell r="N2" t="str">
            <v>4  del of this cycle   -  0-cycles pmnt   Completed - Collect 0</v>
          </cell>
          <cell r="O2" t="str">
            <v>Alstomeria 16     Grass</v>
          </cell>
          <cell r="P2" t="str">
            <v>P Asiatic ( 15 inch ) 3     Grass</v>
          </cell>
          <cell r="Q2" t="str">
            <v>P n W Glad ( 16 Inch) 16     Grass</v>
          </cell>
          <cell r="R2" t="str">
            <v>R n W Car ( 14 Inch ) 16     FF Sachet + Grass</v>
          </cell>
          <cell r="S2" t="str">
            <v>O Asiatic ( 14 Inch ) 3     Grass</v>
          </cell>
          <cell r="T2" t="str">
            <v>P n W Spray Daisy ( 14 Inch ) 5     FF Sachet + Grass</v>
          </cell>
        </row>
        <row r="3">
          <cell r="A3">
            <v>2991</v>
          </cell>
          <cell r="B3" t="str">
            <v>Smriti Singh Bhatia</v>
          </cell>
          <cell r="C3">
            <v>9818648787</v>
          </cell>
          <cell r="D3" t="str">
            <v>T-3/4201, M3M Heights, 65th Avenue, Sec 65</v>
          </cell>
          <cell r="E3" t="str">
            <v>Badshahpur</v>
          </cell>
          <cell r="F3" t="str">
            <v>Friday</v>
          </cell>
          <cell r="G3" t="str">
            <v>9 AM - 12 PM</v>
          </cell>
          <cell r="H3">
            <v>1450</v>
          </cell>
          <cell r="I3">
            <v>362.5</v>
          </cell>
          <cell r="J3" t="str">
            <v>Bliss</v>
          </cell>
          <cell r="K3" t="str">
            <v>Hold next week // Skip 2 week (22/12) Day Change to Friday (28/03) Paytm From Ravish Bhatia (17/04) HDTNP 915/05) HDTNP (22/05) HDTNP (29/05)</v>
          </cell>
          <cell r="N3" t="str">
            <v>4  del of this cycle   -  0-cycles pmnt   Completed - Collect 0</v>
          </cell>
          <cell r="O3" t="str">
            <v>P Asiatic ( 16 inch) 2 B Daisy 7   Grass</v>
          </cell>
          <cell r="P3" t="e">
            <v>#N/A</v>
          </cell>
          <cell r="Q3" t="e">
            <v>#N/A</v>
          </cell>
          <cell r="R3" t="str">
            <v xml:space="preserve">Collect 725 Carry Receipt Book Collect 725 Carry Receipt Book Collect 725 Carry Receipt Book </v>
          </cell>
          <cell r="S3" t="str">
            <v>P n W Car ( 14 Inch ) 16     FF Sachet + Grass</v>
          </cell>
          <cell r="T3" t="str">
            <v>P n W Glad ( 14 Inch ) 16     Grass</v>
          </cell>
        </row>
        <row r="4">
          <cell r="A4" t="str">
            <v>B56138</v>
          </cell>
          <cell r="B4">
            <v>8860055496</v>
          </cell>
          <cell r="C4">
            <v>8860055496</v>
          </cell>
          <cell r="D4" t="str">
            <v>E-101, Bestech Park View Spa</v>
          </cell>
          <cell r="E4" t="str">
            <v>Spa</v>
          </cell>
          <cell r="F4" t="str">
            <v>Friday</v>
          </cell>
          <cell r="G4" t="str">
            <v>By 11:30 AM</v>
          </cell>
          <cell r="H4">
            <v>1350</v>
          </cell>
          <cell r="I4">
            <v>1350</v>
          </cell>
          <cell r="J4" t="str">
            <v>Bouquet</v>
          </cell>
          <cell r="K4" t="str">
            <v>3 P Asiatic + 3 W Asiatic + 6 Green Button daisy -- Only bunch no wrapping</v>
          </cell>
          <cell r="N4" t="str">
            <v>1  del of this cycle   -  0-cycles pmnt   Completed - Collect 0</v>
          </cell>
          <cell r="O4" t="e">
            <v>#N/A</v>
          </cell>
          <cell r="P4" t="e">
            <v>#N/A</v>
          </cell>
          <cell r="Q4" t="e">
            <v>#N/A</v>
          </cell>
          <cell r="R4" t="e">
            <v>#N/A</v>
          </cell>
          <cell r="S4" t="e">
            <v>#N/A</v>
          </cell>
          <cell r="T4" t="str">
            <v xml:space="preserve">P Asiaticx + W Asiatic + G Button Daisy 3 + 3 + 6 Bunch Withiut Wrapping    </v>
          </cell>
        </row>
        <row r="5">
          <cell r="A5">
            <v>72</v>
          </cell>
          <cell r="B5" t="str">
            <v>Mrs. Raman-- AFTER 4:30 PM</v>
          </cell>
          <cell r="C5">
            <v>9810235092</v>
          </cell>
          <cell r="D5" t="str">
            <v>1519, Sector-17 C</v>
          </cell>
          <cell r="E5" t="str">
            <v>Old Gurgaon</v>
          </cell>
          <cell r="F5" t="str">
            <v>Friday</v>
          </cell>
          <cell r="G5" t="str">
            <v>4 PM to 7PM</v>
          </cell>
          <cell r="H5">
            <v>999</v>
          </cell>
          <cell r="I5">
            <v>249.75</v>
          </cell>
          <cell r="J5" t="str">
            <v>Delight</v>
          </cell>
          <cell r="K5"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5" t="str">
            <v>2  del of this cycle   -  0-cycles pmnt   Completed - Collect 0</v>
          </cell>
          <cell r="O5" t="str">
            <v>Alstomeria 9     Grass</v>
          </cell>
          <cell r="P5" t="str">
            <v>P n W Glad ( 14 inch ) 9     Grass</v>
          </cell>
          <cell r="Q5" t="str">
            <v>P Spray Daisy ( 15 inch ) 3     FF Sachet + Grass</v>
          </cell>
          <cell r="R5" t="str">
            <v>R n W Car ( 14 Inch ) 9     FF Sachet + Grass</v>
          </cell>
          <cell r="S5" t="str">
            <v>O Asiatic ( 14 Inch ) 2     FF Sachet + Grass</v>
          </cell>
          <cell r="T5" t="str">
            <v>P n W Glad ( 14 Inch ) 9     Grass</v>
          </cell>
        </row>
        <row r="6">
          <cell r="A6">
            <v>2389</v>
          </cell>
          <cell r="B6" t="str">
            <v>Sreyoshi  Maitra</v>
          </cell>
          <cell r="C6">
            <v>9711760109</v>
          </cell>
          <cell r="D6" t="str">
            <v>T-1/1706, M3M Heights, Sec 65</v>
          </cell>
          <cell r="E6" t="str">
            <v>Badshahpur</v>
          </cell>
          <cell r="F6" t="str">
            <v>Friday</v>
          </cell>
          <cell r="G6" t="str">
            <v>9 AM - 12 PM</v>
          </cell>
          <cell r="H6">
            <v>1950</v>
          </cell>
          <cell r="I6">
            <v>487.5</v>
          </cell>
          <cell r="J6" t="str">
            <v>Joy</v>
          </cell>
          <cell r="K6" t="str">
            <v>No Spray Daisy and Rajni // Payment from Mrittika Maitra (12/03) Send replacement of orchds tom (11/05) Today Returned (04/07) No eustoma (17/08) Hold today (24/10) Pls Send sunflowers on 9th Jan (12/12) HDTNP (13/03) Sent one del today (16/03) No Orchids (30/04) Today Returned (29/05)</v>
          </cell>
          <cell r="L6" t="str">
            <v>Orchids n Rajnigandha</v>
          </cell>
          <cell r="M6" t="str">
            <v>Sunflower on 9th Jan (12/12)</v>
          </cell>
          <cell r="N6" t="str">
            <v>2  del of this cycle   -  0-cycles pmnt   Completed - Collect 0</v>
          </cell>
          <cell r="O6" t="str">
            <v>P n W Spray Daisy ( 15 inch ) 7     FF Sachet + Grass</v>
          </cell>
          <cell r="P6" t="str">
            <v>P n W Glad ( 14 inch ) 22     Grass</v>
          </cell>
          <cell r="Q6" t="str">
            <v>P Asiatic ( 15 inch ) 4     Grass</v>
          </cell>
          <cell r="R6" t="str">
            <v>R n W Car ( 14 Inch ) 22     FF Sachet + Grass</v>
          </cell>
          <cell r="S6" t="str">
            <v>Pur n P Eustoma ( 14 Inch ) 4     FF Sachet + Grass</v>
          </cell>
          <cell r="T6" t="str">
            <v>P n Y Spray Daisy ( 14 Inch ) 7     FF Sachet + Grass</v>
          </cell>
        </row>
        <row r="7">
          <cell r="A7">
            <v>2858</v>
          </cell>
          <cell r="B7" t="str">
            <v>Devika Tandon</v>
          </cell>
          <cell r="C7">
            <v>8527991304</v>
          </cell>
          <cell r="D7" t="str">
            <v>A-293, AIPL The Peaceful Homes</v>
          </cell>
          <cell r="E7" t="str">
            <v>Badshahpur</v>
          </cell>
          <cell r="F7" t="str">
            <v>Friday</v>
          </cell>
          <cell r="G7" t="str">
            <v>4 PM to 7PM</v>
          </cell>
          <cell r="H7">
            <v>1450</v>
          </cell>
          <cell r="I7">
            <v>362.5</v>
          </cell>
          <cell r="J7" t="str">
            <v>Bliss</v>
          </cell>
          <cell r="N7" t="str">
            <v>4  del of this cycle   -  0-cycles pmnt   Completed - Collect 0</v>
          </cell>
          <cell r="O7" t="e">
            <v>#N/A</v>
          </cell>
          <cell r="P7" t="e">
            <v>#N/A</v>
          </cell>
          <cell r="Q7" t="str">
            <v>R n W Car ( 14 inch ) 16     FF Sachet + Grass</v>
          </cell>
          <cell r="R7" t="str">
            <v>O Asiatic ( 15 Inch ) 3     Grass</v>
          </cell>
          <cell r="S7" t="str">
            <v>P n W Glad ( 14 Inch ) 16     Grass</v>
          </cell>
          <cell r="T7" t="str">
            <v>P n Y Spray Daisy ( 14 Inch ) 5     FF Sachet + Grass</v>
          </cell>
        </row>
        <row r="8">
          <cell r="A8">
            <v>3334</v>
          </cell>
          <cell r="B8" t="str">
            <v>Sachi Poudiyal</v>
          </cell>
          <cell r="C8">
            <v>8420453178</v>
          </cell>
          <cell r="D8" t="str">
            <v>H. No. 901, Ground Floor, Sec 17 B, Next to St PBN School</v>
          </cell>
          <cell r="E8" t="str">
            <v>Old Gurgaon</v>
          </cell>
          <cell r="F8" t="str">
            <v>Friday</v>
          </cell>
          <cell r="G8" t="str">
            <v>4 PM to 7 PM</v>
          </cell>
          <cell r="H8">
            <v>1450</v>
          </cell>
          <cell r="I8">
            <v>362.5</v>
          </cell>
          <cell r="J8" t="str">
            <v>Bliss</v>
          </cell>
          <cell r="N8" t="str">
            <v>4  del of this cycle   -  0-cycles pmnt   Completed - Collect 0</v>
          </cell>
          <cell r="O8" t="str">
            <v>Rajni 16     FF Sachet + Grass</v>
          </cell>
          <cell r="P8" t="str">
            <v>P n Y Spray Daisy ( 15 inch ) 5     FF Sachet + Grass</v>
          </cell>
          <cell r="Q8" t="str">
            <v>Rajni ( 16 inch ) 16     Grass</v>
          </cell>
          <cell r="R8" t="str">
            <v>P Asiatic ( 15 Inch ) 3     Grass</v>
          </cell>
          <cell r="S8" t="str">
            <v>P n W Glad ( 14 Inch ) 16     Grass</v>
          </cell>
          <cell r="T8" t="str">
            <v>Pur n P Car ( 14 Inch ) 16     FF Sachet + Grass</v>
          </cell>
        </row>
        <row r="9">
          <cell r="A9">
            <v>1994</v>
          </cell>
          <cell r="B9" t="str">
            <v>M P Bezbaruah</v>
          </cell>
          <cell r="C9">
            <v>9810623627</v>
          </cell>
          <cell r="D9" t="str">
            <v>323, Deerwood Chase, Sector 50</v>
          </cell>
          <cell r="E9" t="str">
            <v>Nirvana Country</v>
          </cell>
          <cell r="F9" t="str">
            <v>Friday</v>
          </cell>
          <cell r="G9" t="str">
            <v>9 AM - 12 PM</v>
          </cell>
          <cell r="H9">
            <v>999</v>
          </cell>
          <cell r="I9">
            <v>249.75</v>
          </cell>
          <cell r="J9" t="str">
            <v>Delight</v>
          </cell>
          <cell r="K9" t="str">
            <v>Send car on Thursday (05/06) Skip 2 week (18/04) No Rajni till Sep (10/07)</v>
          </cell>
          <cell r="M9" t="str">
            <v>No Rajni till sep(10/07)</v>
          </cell>
          <cell r="N9" t="str">
            <v>2  del of this cycle   -  0-cycles pmnt   Completed - Collect 0</v>
          </cell>
          <cell r="O9" t="str">
            <v>P Spray Daisy ( 16 Inch) 3     FF Sachet + Grass</v>
          </cell>
          <cell r="P9" t="str">
            <v>Mix Alstroemeria ( 14 inch ) 9     FF Sachet + Grass</v>
          </cell>
          <cell r="Q9" t="str">
            <v>P n W Glad ( 16 Inch) 9     Grass</v>
          </cell>
          <cell r="R9" t="str">
            <v>P Asiatic ( 15 Inch ) 2     Grass</v>
          </cell>
          <cell r="S9" t="str">
            <v>P n W Car ( 14 Inch ) 9     Grass</v>
          </cell>
          <cell r="T9" t="str">
            <v>Sunflower ( 12 Inch ) 2     FF Sachet + Grass</v>
          </cell>
        </row>
        <row r="10">
          <cell r="A10">
            <v>2083</v>
          </cell>
          <cell r="B10" t="str">
            <v>Neeraj Rathore</v>
          </cell>
          <cell r="C10">
            <v>9810570666</v>
          </cell>
          <cell r="D10" t="str">
            <v>A-1302, PalM Drive, Sec 66</v>
          </cell>
          <cell r="E10" t="str">
            <v>Badshahpur</v>
          </cell>
          <cell r="F10" t="str">
            <v>Friday</v>
          </cell>
          <cell r="G10" t="str">
            <v>9 AM - 12 PM</v>
          </cell>
          <cell r="H10">
            <v>2750</v>
          </cell>
          <cell r="I10">
            <v>687.5</v>
          </cell>
          <cell r="J10" t="str">
            <v>Elation</v>
          </cell>
          <cell r="K10"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10" t="str">
            <v>GERBERA  n BOP</v>
          </cell>
          <cell r="M10" t="str">
            <v>One Kind (30/01)  Rajni next (18/02)</v>
          </cell>
          <cell r="N10" t="str">
            <v>4  del of this cycle   -  0-cycles pmnt   Completed - Collect 0</v>
          </cell>
          <cell r="O10" t="e">
            <v>#N/A</v>
          </cell>
          <cell r="P10" t="e">
            <v>#N/A</v>
          </cell>
          <cell r="Q10" t="str">
            <v>R n W Car ( 14 inch ) 32     2 Gypsola + FF Sachet</v>
          </cell>
          <cell r="R10" t="str">
            <v>R n W Car ( 14 Inch ) 32     2 Limonium + Ff Sachet</v>
          </cell>
          <cell r="S10" t="str">
            <v xml:space="preserve">P Asiatic ( 14 Inch ) 6     2 Gypsola </v>
          </cell>
          <cell r="T10" t="str">
            <v>P n W Glad ( 14 Inch ) 32     2 Limonium</v>
          </cell>
        </row>
        <row r="11">
          <cell r="A11">
            <v>2394</v>
          </cell>
          <cell r="B11" t="str">
            <v>Sachi Poudiyal</v>
          </cell>
          <cell r="C11">
            <v>8420453178</v>
          </cell>
          <cell r="D11" t="str">
            <v>H. No. 901, Ground Floor, Sec 17 B, Next to St PBN School</v>
          </cell>
          <cell r="E11" t="str">
            <v>Old Gurgaon</v>
          </cell>
          <cell r="F11" t="str">
            <v>Friday</v>
          </cell>
          <cell r="G11" t="str">
            <v>4 PM to 7 PM</v>
          </cell>
          <cell r="H11">
            <v>1450</v>
          </cell>
          <cell r="I11">
            <v>362.5</v>
          </cell>
          <cell r="J11" t="str">
            <v>Bliss</v>
          </cell>
          <cell r="K11" t="str">
            <v>12 Del Payment done today (18/03) Hold n start from Aug(12/06) One Payment Received today (09/11)</v>
          </cell>
          <cell r="N11" t="str">
            <v>1  del of this cycle   -  1-cycles pmnt   Pending - Collect 1450</v>
          </cell>
          <cell r="O11" t="str">
            <v>Sunflower ( 15 inch) 4     Grass</v>
          </cell>
          <cell r="P11" t="str">
            <v>R n W Car ( 14 inch ) 16     FF Sachet + Grass</v>
          </cell>
          <cell r="Q11" t="str">
            <v>Asiatic 3     Grass</v>
          </cell>
          <cell r="R11" t="str">
            <v>P n Y Spray Daisy ( 15 Inch ) 5     FF Sachet + Grass</v>
          </cell>
          <cell r="S11" t="str">
            <v>P n W Glad ( 14 Inch ) 16     Grass</v>
          </cell>
          <cell r="T11" t="str">
            <v>Sunflower ( 12 Inch ) 4     FF Sachet + Grass</v>
          </cell>
        </row>
        <row r="12">
          <cell r="A12">
            <v>588</v>
          </cell>
          <cell r="B12" t="str">
            <v>Akiksha Mohan</v>
          </cell>
          <cell r="C12">
            <v>9810145564</v>
          </cell>
          <cell r="D12" t="str">
            <v>D-601, Emaar Plam Drive</v>
          </cell>
          <cell r="E12" t="str">
            <v>Badshahpur</v>
          </cell>
          <cell r="F12" t="str">
            <v>Friday</v>
          </cell>
          <cell r="G12" t="str">
            <v>9 AM - 12 PM</v>
          </cell>
          <cell r="H12">
            <v>1600</v>
          </cell>
          <cell r="I12">
            <v>200</v>
          </cell>
          <cell r="J12" t="str">
            <v>Bloom</v>
          </cell>
          <cell r="K1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12" t="str">
            <v>GULDAWARI</v>
          </cell>
          <cell r="N12" t="str">
            <v>8  del of this cycle   -  0-cycles pmnt   Completed - Collect 0</v>
          </cell>
          <cell r="O12" t="str">
            <v>P Spray Daisy ( 16 Inch) 2     FF Sachet + Grass</v>
          </cell>
          <cell r="P12" t="str">
            <v>Mix Alstroemeria ( 14 inch ) 7     FF Sachet + Grass</v>
          </cell>
          <cell r="Q12" t="str">
            <v>P n W Glad ( 16 Inch) 7     Grass</v>
          </cell>
          <cell r="R12" t="str">
            <v xml:space="preserve">Mix Carnation 7     </v>
          </cell>
          <cell r="S12" t="str">
            <v>Sunflower ( 14 Inch ) 2     FF Sachet + Grass</v>
          </cell>
          <cell r="T12" t="str">
            <v>Mix Alstroemeria ( 12 Inch ) 7     FF Sachet + Grass</v>
          </cell>
        </row>
        <row r="13">
          <cell r="A13">
            <v>3357</v>
          </cell>
          <cell r="B13" t="str">
            <v>Yamini Sharma</v>
          </cell>
          <cell r="C13">
            <v>9958582708</v>
          </cell>
          <cell r="D13" t="str">
            <v>Solace 253, AIPL Peaceful Homes, Sec 70 A</v>
          </cell>
          <cell r="E13" t="str">
            <v>Manesar</v>
          </cell>
          <cell r="F13" t="str">
            <v>Friday</v>
          </cell>
          <cell r="G13" t="str">
            <v>4 Pm to 7 PM</v>
          </cell>
          <cell r="H13">
            <v>1450</v>
          </cell>
          <cell r="I13">
            <v>362.5</v>
          </cell>
          <cell r="J13" t="str">
            <v>Bliss</v>
          </cell>
          <cell r="K13" t="str">
            <v>Skip 1 week (28/05)</v>
          </cell>
          <cell r="N13" t="str">
            <v>1  del of this cycle   -  1-cycles pmnt   Pending - Collect 1450</v>
          </cell>
          <cell r="O13" t="str">
            <v>Shd Pur n O Car 16     FF Sachet + Grass</v>
          </cell>
          <cell r="P13" t="str">
            <v>P n Y Spray Daisy ( 15 inch ) 5   Ensure Collection Ensure Collection FF Sachet + Grass</v>
          </cell>
          <cell r="Q13" t="str">
            <v>P n W Glad ( 16 Inch) 16     Grass</v>
          </cell>
          <cell r="R13" t="e">
            <v>#N/A</v>
          </cell>
          <cell r="S13" t="str">
            <v>O Asiatic ( 14 Inch ) 3     Grass</v>
          </cell>
          <cell r="T13" t="str">
            <v>Mix Alstroemeria ( 12 Inch ) 16     FF Sachet + Grass</v>
          </cell>
        </row>
        <row r="14">
          <cell r="A14">
            <v>1618</v>
          </cell>
          <cell r="B14" t="str">
            <v>Nidhi Sharma Malhotra</v>
          </cell>
          <cell r="C14" t="str">
            <v>8130207722//9999016333</v>
          </cell>
          <cell r="D14" t="str">
            <v>Topaz-36, First Floor, Emaar Emerald Hills, Sec 65</v>
          </cell>
          <cell r="E14" t="str">
            <v>Badshahpur</v>
          </cell>
          <cell r="F14" t="str">
            <v>Friday</v>
          </cell>
          <cell r="G14" t="str">
            <v>9 AM to 2 PM</v>
          </cell>
          <cell r="H14">
            <v>3000</v>
          </cell>
          <cell r="I14">
            <v>375</v>
          </cell>
          <cell r="J14" t="str">
            <v>Charm</v>
          </cell>
          <cell r="K14"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14" t="str">
            <v>GLAD</v>
          </cell>
          <cell r="N14" t="str">
            <v>5  del of this cycle   -  0-cycles pmnt   Complimentary - Collect 0</v>
          </cell>
          <cell r="O14" t="str">
            <v>P Asiatic ( 16 inch) 3     Grass</v>
          </cell>
          <cell r="P14" t="str">
            <v>Bop 3     FF Sachet + Grass</v>
          </cell>
          <cell r="Q14" t="str">
            <v>P n W Car ( 14 inch ) 15     FF Sachet + Grass</v>
          </cell>
          <cell r="R14" t="str">
            <v>Mix Spray Daisy 4     FF Sachet + Grass</v>
          </cell>
          <cell r="S14" t="str">
            <v>Pur Eustom ( 14 Inch ) 3     FF Sachet + Grass</v>
          </cell>
          <cell r="T14" t="str">
            <v>BOP ( 14 Inch ) 3     FF Sachet + Grass</v>
          </cell>
        </row>
        <row r="15">
          <cell r="A15">
            <v>139</v>
          </cell>
          <cell r="B15" t="str">
            <v>Mr. Pramod Narula 2</v>
          </cell>
          <cell r="C15">
            <v>9899048440</v>
          </cell>
          <cell r="D15" t="str">
            <v>Ww-57, Ground floor, Malibu Town, Sohna Road    Sohna Road Gurgaon  </v>
          </cell>
          <cell r="E15" t="str">
            <v>Sohna Road 1</v>
          </cell>
          <cell r="F15" t="str">
            <v>Friday</v>
          </cell>
          <cell r="G15" t="str">
            <v>9 AM - 12 PM</v>
          </cell>
          <cell r="H15">
            <v>4750</v>
          </cell>
          <cell r="I15">
            <v>1187.5</v>
          </cell>
          <cell r="J15" t="str">
            <v>Enchantment</v>
          </cell>
          <cell r="K15"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5" t="str">
            <v>lilies n Glad</v>
          </cell>
          <cell r="N15" t="str">
            <v>2  del of this cycle   -  0-cycles pmnt   Completed - Collect 0</v>
          </cell>
          <cell r="O15" t="str">
            <v>Sunflower ( 15 inch) 8 R n W Car  18 P n W Glad 18 FF Sachet + Grass</v>
          </cell>
          <cell r="P15" t="str">
            <v>P n W Spray Daisy ( 15 inch ) 10 P n W Car ( 14 inch ) 18 Mix Alstroemeria ( 14 inch )  18 FF Sachet + Grass</v>
          </cell>
          <cell r="Q15" t="str">
            <v>Y Asiatic ( 15 inch ) 6 P n W Glad ( 14 inch ) 18 Rajni ( 14 Inch ) 18 Grass</v>
          </cell>
          <cell r="R15" t="str">
            <v>Sunflower ( 14 Inch ) 6 R n W Car ( 14 Inch ) 18 Mix Alstroemeria ( 12 Inch ) 18 FF Sachet + Grass</v>
          </cell>
          <cell r="S15" t="str">
            <v>P n Y Spray Daisy ( 14 Inch ) 10 P n W Glad ( 14 Inch ) 18 P n W Car ( 14 Inch ) 18 Grass</v>
          </cell>
          <cell r="T15" t="str">
            <v>W Asiatic ( 14 inch ) 6 Mix Alstroemeria ( 12 Inch ) 18 Pur n P Car ( 14 Inch ) 18 Grass</v>
          </cell>
        </row>
        <row r="16">
          <cell r="A16">
            <v>3119</v>
          </cell>
          <cell r="B16" t="str">
            <v>Rachna Prasad</v>
          </cell>
          <cell r="C16">
            <v>9811106435</v>
          </cell>
          <cell r="D16" t="str">
            <v>N-3/202, Paras Irene Appartments, Sec 70 A</v>
          </cell>
          <cell r="E16" t="str">
            <v>Badshahpur</v>
          </cell>
          <cell r="F16" t="str">
            <v>Friday</v>
          </cell>
          <cell r="G16" t="str">
            <v>4 Pm to 7 PM</v>
          </cell>
          <cell r="H16">
            <v>1450</v>
          </cell>
          <cell r="I16">
            <v>362.5</v>
          </cell>
          <cell r="J16" t="str">
            <v>Bliss</v>
          </cell>
          <cell r="K16" t="str">
            <v>1000 cash and 450 via paytm (01/11) This week send on Sunday (09/02) Paytm From Outside Edge (28/02) Replacement tom (09/03)</v>
          </cell>
          <cell r="M16" t="str">
            <v>No Flowers on 13th -send on 15th Feb (09/02)</v>
          </cell>
          <cell r="N16" t="str">
            <v>1  del of this cycle   -  1-cycles pmnt   Pending - Collect 1450</v>
          </cell>
          <cell r="O16" t="str">
            <v>P Spray Daisy ( 16 Inch) 3 Alstomeria 7   FF Sachet + Grass</v>
          </cell>
          <cell r="P16" t="str">
            <v>Sunflower ( 15 inch ) 2 P n W Glad ( 14 inch ) 7   Grass</v>
          </cell>
          <cell r="Q16" t="str">
            <v>P Eustoma ( 14 Inch ) 2 P n W Car ( 14 inch ) 7   FF Sachet + Grass</v>
          </cell>
          <cell r="R16" t="str">
            <v>O Asiatic ( 15 Inch ) 2 Mix Alstroemeria ( 12 Inch )  7   Grass</v>
          </cell>
          <cell r="S16" t="str">
            <v>Y Spray Daisy ( 14 Inch ) 3 P n W Glad ( 14 Inch ) 7   FF Sachet + Grass</v>
          </cell>
          <cell r="T16" t="str">
            <v>Sunflower ( 12 Inch ) 2 Pur n P Car ( 14 Inch ) 7   FF Sachet + Grass</v>
          </cell>
        </row>
        <row r="17">
          <cell r="A17">
            <v>1377</v>
          </cell>
          <cell r="B17" t="str">
            <v>Geetanjali Babbar</v>
          </cell>
          <cell r="C17">
            <v>9958988852</v>
          </cell>
          <cell r="D17" t="str">
            <v>K-905, Sispal Vihar</v>
          </cell>
          <cell r="E17" t="str">
            <v>Sohna Road 1</v>
          </cell>
          <cell r="F17" t="str">
            <v>Friday</v>
          </cell>
          <cell r="G17" t="str">
            <v>9:30 Am to 2 PM</v>
          </cell>
          <cell r="H17">
            <v>2300</v>
          </cell>
          <cell r="I17">
            <v>287.5</v>
          </cell>
          <cell r="J17" t="str">
            <v>Felicity</v>
          </cell>
          <cell r="K17"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17" t="str">
            <v>Skip 18th n 21st Mar 25</v>
          </cell>
          <cell r="N17" t="str">
            <v>7  del of this cycle   -  0-cycles pmnt   Completed - Collect 0</v>
          </cell>
          <cell r="O17" t="str">
            <v>P Asiatic ( 16 inch) 2     Grass</v>
          </cell>
          <cell r="P17" t="str">
            <v>Rajni ( 14 inch ) 11     Grass</v>
          </cell>
          <cell r="Q17" t="str">
            <v>P n W Car ( 14 inch ) 11     FF Sachet + Grass</v>
          </cell>
          <cell r="R17" t="str">
            <v>O Asiatic ( 15 Inch ) 2   Collect payment Collect payment Grass</v>
          </cell>
          <cell r="S17" t="str">
            <v>Rajni ( 14 Inch ) 11     Grass</v>
          </cell>
          <cell r="T17" t="str">
            <v>Pur n P Car ( 14 Inch ) 11     FF Sachet + Grass</v>
          </cell>
        </row>
        <row r="18">
          <cell r="A18">
            <v>148</v>
          </cell>
          <cell r="B18" t="str">
            <v>Ruchi Kathpalia</v>
          </cell>
          <cell r="C18">
            <v>9899052574</v>
          </cell>
          <cell r="D18" t="str">
            <v>227, Lane 6B,Sector17,Gurgaon</v>
          </cell>
          <cell r="E18" t="str">
            <v>Old Gurgaon</v>
          </cell>
          <cell r="F18" t="str">
            <v>Friday</v>
          </cell>
          <cell r="G18" t="str">
            <v>4 PM to 7PM</v>
          </cell>
          <cell r="H18">
            <v>999</v>
          </cell>
          <cell r="I18">
            <v>249.75</v>
          </cell>
          <cell r="J18" t="str">
            <v>Delight</v>
          </cell>
          <cell r="K18"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18" t="str">
            <v>ROSE</v>
          </cell>
          <cell r="N18" t="str">
            <v>2  del of this cycle   -  0-cycles pmnt   Completed - Collect 0</v>
          </cell>
          <cell r="O18" t="str">
            <v>R n W Car 9     FF Sachet + Grass</v>
          </cell>
          <cell r="P18" t="str">
            <v>Sunflower ( 15 inch ) 2     Grass</v>
          </cell>
          <cell r="Q18" t="str">
            <v>Mix Glad 9     Grass</v>
          </cell>
          <cell r="R18" t="str">
            <v>Mix Alstroemeria ( 12 Inch ) 9     FF Sachet + Grass</v>
          </cell>
          <cell r="S18" t="str">
            <v>O Asiatic ( 14 Inch ) 2     Grass</v>
          </cell>
          <cell r="T18" t="str">
            <v>Pur n P Car ( 14 Inch ) 9     FF Sachet + Grass</v>
          </cell>
        </row>
        <row r="19">
          <cell r="A19">
            <v>781</v>
          </cell>
          <cell r="B19" t="str">
            <v>Maj. Gen. KN Singh</v>
          </cell>
          <cell r="C19">
            <v>9971391417</v>
          </cell>
          <cell r="D19" t="str">
            <v>GH 4/5C Gurgaon One Apartments- Sectr 22</v>
          </cell>
          <cell r="E19" t="str">
            <v>Old Gurgaon</v>
          </cell>
          <cell r="F19" t="str">
            <v>Friday</v>
          </cell>
          <cell r="G19" t="str">
            <v>4 PM to 7PM</v>
          </cell>
          <cell r="H19">
            <v>1450</v>
          </cell>
          <cell r="I19">
            <v>362.5</v>
          </cell>
          <cell r="J19" t="str">
            <v>Bliss</v>
          </cell>
          <cell r="K19"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9" t="str">
            <v>2  del of this cycle   -   0-cycles pmnt  Completed - Collect 0</v>
          </cell>
          <cell r="O19" t="str">
            <v>Sunflower ( 15 inch) 4     Grass</v>
          </cell>
          <cell r="P19" t="str">
            <v>R n W Car ( 14 inch ) 16     FF Sachet + Grass</v>
          </cell>
          <cell r="Q19" t="str">
            <v>P n W Glad ( 16 Inch) 16     Grass</v>
          </cell>
          <cell r="R19" t="str">
            <v>Mix Alstroemeria ( 12 Inch ) 16     FF Sachet + Grass</v>
          </cell>
          <cell r="S19" t="str">
            <v>P Asiatic ( 14 Inch ) 3     Grass</v>
          </cell>
          <cell r="T19" t="str">
            <v>P n Y Spray Daisy ( 14 Inch ) 5     FF Sachet + Grass</v>
          </cell>
        </row>
        <row r="20">
          <cell r="A20">
            <v>2899</v>
          </cell>
          <cell r="B20" t="str">
            <v>Mitali</v>
          </cell>
          <cell r="C20">
            <v>8805097625</v>
          </cell>
          <cell r="D20" t="str">
            <v>A-3o4, Emaar Emerald Estate, Sec 65</v>
          </cell>
          <cell r="E20" t="str">
            <v>Badshahpur</v>
          </cell>
          <cell r="F20" t="str">
            <v>Friday</v>
          </cell>
          <cell r="G20" t="str">
            <v>9 AM - 12 PM</v>
          </cell>
          <cell r="H20">
            <v>999</v>
          </cell>
          <cell r="I20">
            <v>249.75</v>
          </cell>
          <cell r="J20" t="str">
            <v>Delight</v>
          </cell>
          <cell r="K20" t="str">
            <v>Skip tom (16/10) Paytm from Mitali Bansal // Returned today (13/03) Send 1 Del tom (15/03)</v>
          </cell>
          <cell r="N20" t="str">
            <v>3  del of this cycle   -  0-cycles pmnt   Completed - Collect 0</v>
          </cell>
          <cell r="O20" t="str">
            <v>P n W Glad ( 15 inch) 9     Grass</v>
          </cell>
          <cell r="P20" t="str">
            <v>P Spray Daisy ( 15 inch ) 3     FF Sachet + Grass</v>
          </cell>
          <cell r="Q20" t="str">
            <v>Sunflower ( 15 inch ) 2     Grass</v>
          </cell>
          <cell r="R20" t="str">
            <v>Mix Alstroemeria ( 12 Inch ) 9     FF Sachet + Grass</v>
          </cell>
          <cell r="S20" t="str">
            <v>O Asiatic ( 14 Inch ) 2     Grass</v>
          </cell>
          <cell r="T20" t="str">
            <v>Pur n P Car ( 14 Inch ) 9     FF Sachet + Grass</v>
          </cell>
        </row>
        <row r="21">
          <cell r="A21">
            <v>628</v>
          </cell>
          <cell r="B21" t="str">
            <v>Parul Hazel</v>
          </cell>
          <cell r="C21">
            <v>9873675242</v>
          </cell>
          <cell r="D21" t="str">
            <v>E-1202, Palm Drive</v>
          </cell>
          <cell r="E21" t="str">
            <v>Badshahpur</v>
          </cell>
          <cell r="F21" t="str">
            <v>Friday</v>
          </cell>
          <cell r="G21" t="str">
            <v>9 AM - 12 PM</v>
          </cell>
          <cell r="H21">
            <v>1450</v>
          </cell>
          <cell r="I21">
            <v>362.5</v>
          </cell>
          <cell r="J21" t="str">
            <v>Bliss</v>
          </cell>
          <cell r="K21"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21" t="str">
            <v>4  del of this cycle   -  0-cycles pmnt   CompletedNO COLLECTION-we have extra money - Collect -50</v>
          </cell>
          <cell r="O21" t="e">
            <v>#N/A</v>
          </cell>
          <cell r="P21" t="e">
            <v>#N/A</v>
          </cell>
          <cell r="Q21" t="str">
            <v>P n W Glad ( 16 Inch) 16     Grass</v>
          </cell>
          <cell r="R21" t="str">
            <v>O Asiatic ( 15 Inch ) 3     Grass</v>
          </cell>
          <cell r="S21" t="str">
            <v>P n W Glad ( 14 Inch ) 16     Grass</v>
          </cell>
          <cell r="T21" t="str">
            <v>P n Y Spray Daisy ( 14 Inch ) 5     FF Sachet + Grass</v>
          </cell>
        </row>
        <row r="22">
          <cell r="A22">
            <v>2918</v>
          </cell>
          <cell r="B22" t="str">
            <v>Tina</v>
          </cell>
          <cell r="C22">
            <v>9212408077</v>
          </cell>
          <cell r="D22" t="str">
            <v>J-1603, Palm Drive</v>
          </cell>
          <cell r="E22" t="str">
            <v>Badshahpur</v>
          </cell>
          <cell r="F22" t="str">
            <v>Friday</v>
          </cell>
          <cell r="G22" t="str">
            <v>10 AM to 2:30 PM</v>
          </cell>
          <cell r="H22">
            <v>999</v>
          </cell>
          <cell r="I22">
            <v>249.75</v>
          </cell>
          <cell r="J22" t="str">
            <v>Delight</v>
          </cell>
          <cell r="K22" t="str">
            <v>From Radhika Neeraj Rathod//Colect cash (17/03) Paytm from Gureena Singh (29/08) Send tom n send on Monday this week (19/03)</v>
          </cell>
          <cell r="N22" t="str">
            <v>1  del of this cycle   -  1-cycles pmnt   Pending - Collect 999</v>
          </cell>
          <cell r="O22" t="str">
            <v>R n W Car 9     FF Sachet + Grass</v>
          </cell>
          <cell r="P22" t="str">
            <v>Sunflower ( 15 inch ) 2     Grass</v>
          </cell>
          <cell r="Q22" t="str">
            <v>P n W Glad ( 14 inch ) 9     Grass</v>
          </cell>
          <cell r="R22" t="str">
            <v>P Asiatic ( 15 Inch ) 2 Collect 1375 Carry Receipt Book   Grass</v>
          </cell>
          <cell r="S22" t="str">
            <v>P n W Car ( 14 Inch ) 9     FF Sachet + Grass</v>
          </cell>
          <cell r="T22" t="str">
            <v>Mix Alstroemeria ( 12 Inch ) 9     FF Sachet + Grass</v>
          </cell>
        </row>
        <row r="23">
          <cell r="B23" t="str">
            <v>Manisha Dilawari</v>
          </cell>
          <cell r="C23">
            <v>9810653326</v>
          </cell>
          <cell r="D23" t="str">
            <v>Building-6/5B, The Hibiscus</v>
          </cell>
          <cell r="H23" t="str">
            <v xml:space="preserve">Only Payment </v>
          </cell>
          <cell r="I23" t="str">
            <v xml:space="preserve">Only Payment </v>
          </cell>
          <cell r="J23" t="str">
            <v xml:space="preserve">Only Payment </v>
          </cell>
          <cell r="K23" t="str">
            <v xml:space="preserve">Only Payment </v>
          </cell>
          <cell r="L23" t="str">
            <v xml:space="preserve">Only Payment </v>
          </cell>
          <cell r="M23" t="str">
            <v xml:space="preserve">Only Payment </v>
          </cell>
          <cell r="N23" t="str">
            <v xml:space="preserve">Only Payment </v>
          </cell>
          <cell r="O23" t="str">
            <v xml:space="preserve">Only Payment </v>
          </cell>
          <cell r="P23" t="str">
            <v xml:space="preserve">Only Payment </v>
          </cell>
          <cell r="Q23" t="str">
            <v xml:space="preserve">Only Payment </v>
          </cell>
          <cell r="R23" t="str">
            <v xml:space="preserve">Only Payment </v>
          </cell>
          <cell r="S23" t="str">
            <v xml:space="preserve">Only Payment </v>
          </cell>
          <cell r="T23" t="str">
            <v xml:space="preserve">Only Payment  Only Payment  Only Payment  Only Payment  Only Payment  Only Payment  Only Payment </v>
          </cell>
        </row>
        <row r="24">
          <cell r="A24">
            <v>2224</v>
          </cell>
          <cell r="B24" t="str">
            <v>Samta Mehra</v>
          </cell>
          <cell r="C24">
            <v>9811137290</v>
          </cell>
          <cell r="D24" t="str">
            <v>D-1401, Park View City-1, Sohna Road</v>
          </cell>
          <cell r="E24" t="str">
            <v>Sohna Road 2</v>
          </cell>
          <cell r="F24" t="str">
            <v>Friday</v>
          </cell>
          <cell r="G24" t="str">
            <v>9 AM - 12 PM</v>
          </cell>
          <cell r="H24">
            <v>3750</v>
          </cell>
          <cell r="I24">
            <v>937.5</v>
          </cell>
          <cell r="J24" t="str">
            <v>Savor</v>
          </cell>
          <cell r="K24" t="str">
            <v>Mixed Flowers// Upgrade to Elation (30/03) Skip 3 weeks (13/06) Skip 2 weeks (21/12) Upgrade ti savor (23/02) Skip 1 week (16/04) Skip 1 week (20/06) Hold today (12/09) Skip 1 week (02/10) Skip 1 week (29/12) Skip 1 week (28/03)</v>
          </cell>
          <cell r="N24" t="str">
            <v>2  del of this cycle   -  0-cycles pmnt   Completed - Collect 0</v>
          </cell>
          <cell r="O24" t="e">
            <v>#N/A</v>
          </cell>
          <cell r="P24" t="str">
            <v>P n W Spray Daisy ( 15 inch ) 5 Mix Alstroemeria ( 14 inch ) 21   2 Gypsola + FF sachet</v>
          </cell>
          <cell r="Q24" t="str">
            <v>Y Asiatic ( 15 inch ) 4 P n W Glad ( 14 inch ) 21   2 Limonium + FF aschet</v>
          </cell>
          <cell r="R24" t="str">
            <v>P n W Eustoma ( 14 Inch ) 4 P n W Car ( 14 Inch ) 21   2 Gypsola + FF Sachet</v>
          </cell>
          <cell r="S24" t="str">
            <v>Sunflower ( 12 Inch ) 5 Mix Alstroemeria ( 12 Inch ) 20   2 Limonium + FF Sachet</v>
          </cell>
          <cell r="T24" t="str">
            <v>P n Y Spray Daisy ( 14 Inch ) 5 P n W Glad ( 14 Inch ) 21   2 Gypsola + FF Sachet</v>
          </cell>
        </row>
        <row r="25">
          <cell r="A25">
            <v>2260</v>
          </cell>
          <cell r="B25" t="str">
            <v>Madhu Chopra</v>
          </cell>
          <cell r="C25">
            <v>9810270218</v>
          </cell>
          <cell r="D25" t="str">
            <v>Anand Farm, Sri Krishna Chowk, Sec 22, Dundahera</v>
          </cell>
          <cell r="E25" t="str">
            <v>Old Gurgaon</v>
          </cell>
          <cell r="F25" t="str">
            <v>Friday</v>
          </cell>
          <cell r="G25" t="str">
            <v>4 Pm to 7 PM</v>
          </cell>
          <cell r="H25">
            <v>4750</v>
          </cell>
          <cell r="I25">
            <v>1187.5</v>
          </cell>
          <cell r="J25" t="str">
            <v>Enchantment</v>
          </cell>
          <cell r="K25"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25" t="str">
            <v>ROSE</v>
          </cell>
          <cell r="N25" t="str">
            <v>2  del of this cycle   -  0-cycles pmnt   In Process - Collect 0</v>
          </cell>
          <cell r="O25" t="str">
            <v>p Oriental + eustoma 3 + 4 Alstomeria + R n W Car 12 + 12 R Orchid 5 5 Areca palm + 3 Gypsola + 3 Limonium</v>
          </cell>
          <cell r="P25" t="str">
            <v>P Oriental ( 18 inch ) + BOP ( 15 Inch ) 3 + 3 P n W Glad ( 14 inch ) + B Daisy 12 + 10 Orchid 4 5 Areca palm + 3 Gypsola + 3 Limonium</v>
          </cell>
          <cell r="Q25" t="str">
            <v>W Oriental + G n Y Spray Daisy  3 + 5 P n W Car + Rajni 12 + 12 Eustoma 4 5 Areca Palm + 3 Gypsola + 3 Limonium</v>
          </cell>
          <cell r="R25" t="str">
            <v>P oriental + BOP 3 + 3 R n W Car ( 14 Inch ) + Mix Alstroemeria ( 12 Inch ) 12 + 12 Y Orchid 5 5 Areca Palm + 3 Gypsola + 3 Limonium</v>
          </cell>
          <cell r="S25" t="str">
            <v>W Oriental + Mix Anthurium 3 + 4 P n W Glad + P n W Car 12 + 12 G Orchid 5 5 Areca palm + 3 Gypsola + 3 Limonium</v>
          </cell>
          <cell r="T25" t="str">
            <v>P Oriental + Mix Eustoma 3 + 4 Mix Alstroemeria + Rajni 12 + 12 BOP 4 5 Areca Palm + 3 Gypaols + 3 Limonium</v>
          </cell>
        </row>
        <row r="26">
          <cell r="A26">
            <v>2372</v>
          </cell>
          <cell r="B26" t="str">
            <v>Sumita Shahi</v>
          </cell>
          <cell r="C26">
            <v>9910955257</v>
          </cell>
          <cell r="D26" t="str">
            <v xml:space="preserve">T-A/501, Spaze I-tech Park, </v>
          </cell>
          <cell r="E26" t="str">
            <v>Sohna Road 1</v>
          </cell>
          <cell r="F26" t="str">
            <v>Friday</v>
          </cell>
          <cell r="G26" t="str">
            <v>9 AM - 12 PM</v>
          </cell>
          <cell r="H26">
            <v>1950</v>
          </cell>
          <cell r="I26">
            <v>487.5</v>
          </cell>
          <cell r="J26" t="str">
            <v>Joy</v>
          </cell>
          <cell r="K26" t="str">
            <v>Skip 1 week (04/01) Skip 1 week (25/06) Send tom (26/06) Tday returned (15/08) Hold tom (05/09) Today hold n skip 1 week (26/09) Skip tom (19/03) Upgrade to Joy and four plus 1 Pack (12/04) Hold today (01/05)</v>
          </cell>
          <cell r="N26" t="str">
            <v>3  del of this cycle   -  0-cycles pmnt   Completed - Collect 0</v>
          </cell>
          <cell r="O26" t="str">
            <v>Shd Pur n O Car 22     FF Sachet + Grass</v>
          </cell>
          <cell r="P26" t="str">
            <v>Mix Alstroemeria ( 14 inch ) 22     FF Sachet + Grass</v>
          </cell>
          <cell r="Q26" t="str">
            <v>P n Y Spray Daisy ( 15 inch ) 7     FF Sachet + Grass</v>
          </cell>
          <cell r="R26" t="str">
            <v>P n W Glad ( 14 Inch ) 22     Grass</v>
          </cell>
          <cell r="S26" t="str">
            <v>Mix Alstroemeria ( 12 Inch ) 22     FF Sachet + Grass</v>
          </cell>
          <cell r="T26" t="str">
            <v>Pur n P Eustoma ( 14 Inch ) 4     FF Sachet + Grass</v>
          </cell>
        </row>
        <row r="27">
          <cell r="A27">
            <v>1433</v>
          </cell>
          <cell r="B27" t="str">
            <v>Navritu Kaushal Rai-- After 5:30 PM</v>
          </cell>
          <cell r="C27">
            <v>9818603355</v>
          </cell>
          <cell r="D27" t="str">
            <v>H. No. 3403, 1st Floor, Sec 23</v>
          </cell>
          <cell r="E27" t="str">
            <v>Old Gurgaon</v>
          </cell>
          <cell r="F27" t="str">
            <v>Friday</v>
          </cell>
          <cell r="G27" t="str">
            <v>4 PM to 7PM</v>
          </cell>
          <cell r="H27">
            <v>999</v>
          </cell>
          <cell r="I27">
            <v>249.75</v>
          </cell>
          <cell r="J27" t="str">
            <v>Delight</v>
          </cell>
          <cell r="K27"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27" t="str">
            <v>Lily</v>
          </cell>
          <cell r="M27" t="str">
            <v>No White</v>
          </cell>
          <cell r="N27" t="str">
            <v>2  del of this cycle   -  0-cycles pmnt   Completed - Collect 0</v>
          </cell>
          <cell r="O27" t="str">
            <v>Alstomeria 9     Grass</v>
          </cell>
          <cell r="P27" t="str">
            <v>R n W Car ( 14 inch ) 9     FF Sachet + Grass</v>
          </cell>
          <cell r="Q27" t="str">
            <v>Sunflower ( 15 inch ) 2     Grass</v>
          </cell>
          <cell r="R27" t="str">
            <v>P n W Glad ( 14 Inch ) 9     Grass</v>
          </cell>
          <cell r="S27" t="str">
            <v>P Spray Daisy ( 14 Inch ) 3     FF Sachet + Grass</v>
          </cell>
          <cell r="T27" t="str">
            <v>Pur n P Car ( 14 Inch ) 9     FF Sachet + Grass</v>
          </cell>
        </row>
        <row r="28">
          <cell r="A28">
            <v>2123</v>
          </cell>
          <cell r="B28" t="str">
            <v>Meenu Singh</v>
          </cell>
          <cell r="C28">
            <v>9999982765</v>
          </cell>
          <cell r="D28" t="str">
            <v xml:space="preserve">FLAT NO 16 A, TOWER 2, FAIRWAY EAST, M3M GOLF ESTATE
</v>
          </cell>
          <cell r="E28" t="str">
            <v>Badshahpur</v>
          </cell>
          <cell r="F28" t="str">
            <v>Friday</v>
          </cell>
          <cell r="G28" t="str">
            <v>9 AM - 12 PM</v>
          </cell>
          <cell r="H28">
            <v>3750</v>
          </cell>
          <cell r="I28">
            <v>937.5</v>
          </cell>
          <cell r="J28" t="str">
            <v>Savor</v>
          </cell>
          <cell r="K28"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28" t="str">
            <v>Diff Flowers n Combination</v>
          </cell>
          <cell r="N28" t="str">
            <v>4  del of this cycle   -  0-cycles pmnt   Completed - Collect 0</v>
          </cell>
          <cell r="O28" t="str">
            <v>Sunflower ( 15 inch) 5 P n W Glad 21   Grass</v>
          </cell>
          <cell r="P28" t="str">
            <v>BOP 3 Mix Alstroemeria ( 14 inch ) 21   FF Sachet + Grass</v>
          </cell>
          <cell r="Q28" t="str">
            <v>P Asiatic ( 15 inch ) 4 P n W Car ( 14 inch ) 21   FF Sachet + Grass</v>
          </cell>
          <cell r="R28" t="str">
            <v>P n W Spray Daisy ( 15 Inch ) 5 P n W Glad ( 14 Inch ) 21   2 Gypsola + FF Sachet</v>
          </cell>
          <cell r="S28" t="str">
            <v>Sunflower ( 12 Inch ) 5 Mix Alstroemeria ( 12 Inch ) 20   2 Limonium + FF Sachet</v>
          </cell>
          <cell r="T28" t="str">
            <v>Pur n P Eustoma ( 14 Inch ) 4 Pur n P Car ( 14 Inch ) 16   2 Gypsola + FF Sachet</v>
          </cell>
        </row>
        <row r="29">
          <cell r="A29">
            <v>2589</v>
          </cell>
          <cell r="B29" t="str">
            <v>Sonia Nayar -- Palm Vihar</v>
          </cell>
          <cell r="C29">
            <v>9711199830</v>
          </cell>
          <cell r="D29" t="str">
            <v>J-1206A, palam Vihar</v>
          </cell>
          <cell r="E29" t="str">
            <v>Old Gurgaon</v>
          </cell>
          <cell r="F29" t="str">
            <v>Friday</v>
          </cell>
          <cell r="G29" t="str">
            <v>4 PM to 7 PM</v>
          </cell>
          <cell r="H29">
            <v>999</v>
          </cell>
          <cell r="I29">
            <v>249.75</v>
          </cell>
          <cell r="J29" t="str">
            <v>Delight</v>
          </cell>
          <cell r="K29" t="str">
            <v>Hold n start from Jan (19/12)</v>
          </cell>
          <cell r="N29" t="str">
            <v>4  del of this cycle   -  0-cycles pmnt   Completed - Collect 0</v>
          </cell>
          <cell r="O29" t="str">
            <v>Alstomeria 9     Grass</v>
          </cell>
          <cell r="P29" t="str">
            <v>P n W Glad ( 14 inch ) 9     Grass</v>
          </cell>
          <cell r="Q29" t="str">
            <v>Y Spray Daisy ( 15 inch ) 3 R n W Car( 14 inch ) 9   FF Sachet + Grass</v>
          </cell>
          <cell r="R29" t="str">
            <v>Mix Alstroemeria ( 12 Inch ) 9     FF Sachet + Grass</v>
          </cell>
          <cell r="S29" t="str">
            <v>R n W Car ( 14 Inch ) 9     FF Sachet + Grass</v>
          </cell>
          <cell r="T29" t="str">
            <v>W Asiatic ( 14 inch ) 2     Grass</v>
          </cell>
        </row>
        <row r="30">
          <cell r="A30">
            <v>48</v>
          </cell>
          <cell r="B30" t="str">
            <v>Ms. Namrata Agarwal</v>
          </cell>
          <cell r="C30">
            <v>9873660272</v>
          </cell>
          <cell r="D30" t="str">
            <v>18/1101,Orchid Petals, Sohna Road</v>
          </cell>
          <cell r="E30" t="str">
            <v>Sohna Road 1</v>
          </cell>
          <cell r="F30" t="str">
            <v>Friday</v>
          </cell>
          <cell r="G30" t="str">
            <v>9 AM - 12 PM</v>
          </cell>
          <cell r="H30">
            <v>1950</v>
          </cell>
          <cell r="I30">
            <v>487.5</v>
          </cell>
          <cell r="J30" t="str">
            <v>Joy</v>
          </cell>
          <cell r="K30"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30" t="str">
            <v>4  del of this cycle   -  0-cycles pmnt   Completed - Collect 0</v>
          </cell>
          <cell r="O30" t="e">
            <v>#N/A</v>
          </cell>
          <cell r="P30" t="str">
            <v>P n Y Spray Daisy ( 15 inch ) 7     FF Sachet + Grass</v>
          </cell>
          <cell r="Q30" t="str">
            <v>P n W Car ( 14 inch ) 22     FF Sachet + Grass</v>
          </cell>
          <cell r="R30" t="str">
            <v>O Asiatic ( 15 Inch ) 4     Grass</v>
          </cell>
          <cell r="S30" t="str">
            <v>P n W Glad ( 14 Inch ) 22     Grass</v>
          </cell>
          <cell r="T30" t="str">
            <v>Mix Alstroemeria ( 12 Inch ) 22     FF Sachet + Grass</v>
          </cell>
        </row>
        <row r="31">
          <cell r="A31">
            <v>3050</v>
          </cell>
          <cell r="B31" t="str">
            <v>Unnati Jain</v>
          </cell>
          <cell r="C31">
            <v>8999727355</v>
          </cell>
          <cell r="D31" t="str">
            <v>T-16/1003, Orchid Petals</v>
          </cell>
          <cell r="E31" t="str">
            <v>Sohna Road 1</v>
          </cell>
          <cell r="F31" t="str">
            <v>Monday</v>
          </cell>
          <cell r="G31" t="str">
            <v>9 AM - 12 PM</v>
          </cell>
          <cell r="H31">
            <v>1600</v>
          </cell>
          <cell r="I31">
            <v>200</v>
          </cell>
          <cell r="J31" t="str">
            <v>Bloom</v>
          </cell>
          <cell r="K31" t="str">
            <v>Hold n start From 7th Nov (16/10) Skip 1 week (13/11) Today retirned and skip next week also (28/11) Check in Feb to restart (20/12) Skip 1 week (31/05)</v>
          </cell>
          <cell r="N31" t="str">
            <v>2  del of this cycle   -  1-cycles pmnt   Pending - Collect 1600</v>
          </cell>
          <cell r="O31" t="str">
            <v>Sunflower ( 15 inch) 2     Grass</v>
          </cell>
          <cell r="P31" t="str">
            <v>P Spray Daisy ( 15 inch ) 2     FF Sachet + Grass</v>
          </cell>
          <cell r="Q31" t="str">
            <v>Mix Car 7     Grass</v>
          </cell>
          <cell r="R31" t="str">
            <v>Sunflower ( 14 Inch ) 2     FF Sachet + Grass</v>
          </cell>
          <cell r="S31" t="e">
            <v>#N/A</v>
          </cell>
          <cell r="T31" t="str">
            <v>B Daisy ( 12 Inch ) 7     Grass</v>
          </cell>
        </row>
        <row r="32">
          <cell r="A32">
            <v>3062</v>
          </cell>
          <cell r="B32" t="str">
            <v>Shilpa Ravikumar</v>
          </cell>
          <cell r="C32">
            <v>9400305164</v>
          </cell>
          <cell r="D32" t="str">
            <v>A-902, Palm Premier, Emaar Palm Hills, OPP Hyatt Regency, Sec 77</v>
          </cell>
          <cell r="G32" t="str">
            <v>4 Pm to 7 PM</v>
          </cell>
          <cell r="H32">
            <v>1450</v>
          </cell>
          <cell r="I32">
            <v>362.5</v>
          </cell>
          <cell r="J32" t="str">
            <v>Bliss</v>
          </cell>
          <cell r="T32" t="str">
            <v>Mix Carnation  16     FF Sachet + Grass</v>
          </cell>
        </row>
        <row r="33">
          <cell r="A33">
            <v>87</v>
          </cell>
          <cell r="B33" t="str">
            <v>Deepak Kohli</v>
          </cell>
          <cell r="C33">
            <v>9716199110</v>
          </cell>
          <cell r="D33" t="str">
            <v>539/C, 4th Floor, H Block, Palam Vihar</v>
          </cell>
          <cell r="E33" t="str">
            <v>Old Gurgaon</v>
          </cell>
          <cell r="F33" t="str">
            <v>Friday</v>
          </cell>
          <cell r="G33" t="str">
            <v>4 PM to 7PM</v>
          </cell>
          <cell r="H33">
            <v>1450</v>
          </cell>
          <cell r="I33">
            <v>362.5</v>
          </cell>
          <cell r="J33" t="str">
            <v>Bliss</v>
          </cell>
          <cell r="K33" t="str">
            <v>Send 1 bunch Nargis From Amit n Pooja// Wish you a//Sending on 20th instaed of 21st,bcoz of Holi(18/03) Send 1 pack of FF(14/08) Time slot changed to Evening(18/09( Holy Change(16/03) Send tom (06/02)</v>
          </cell>
          <cell r="N33" t="str">
            <v>2  del of this cycle   -  0-cycles pmnt   In Process - Collect 0</v>
          </cell>
          <cell r="O33" t="str">
            <v>Alstomeria 16     Grass</v>
          </cell>
          <cell r="P33" t="str">
            <v>P n W Glad ( 14 inch ) 16     Grass</v>
          </cell>
          <cell r="Q33" t="str">
            <v>R n W Car ( 14 inch ) 16     FF Sachet + Grass</v>
          </cell>
          <cell r="R33" t="str">
            <v>O Asiatic ( 15 Inch ) 3     Grass</v>
          </cell>
          <cell r="S33" t="str">
            <v>Pur n P Eustoma ( 14 Inch ) 3     FF Sachet + Grass</v>
          </cell>
          <cell r="T33" t="str">
            <v>P n Y Spray Daisy ( 14 Inch ) 5     FF Sachet + Grass</v>
          </cell>
        </row>
        <row r="34">
          <cell r="A34">
            <v>1914</v>
          </cell>
          <cell r="B34" t="str">
            <v>Neelam Ahuja</v>
          </cell>
          <cell r="C34">
            <v>7011107486</v>
          </cell>
          <cell r="D34" t="str">
            <v>4002, M3m Latitude, Sec 65</v>
          </cell>
          <cell r="E34" t="str">
            <v>Badshahpur</v>
          </cell>
          <cell r="F34" t="str">
            <v>Friday</v>
          </cell>
          <cell r="G34" t="str">
            <v>9 AM - 12 PM</v>
          </cell>
          <cell r="H34">
            <v>3000</v>
          </cell>
          <cell r="I34">
            <v>375</v>
          </cell>
          <cell r="J34" t="str">
            <v>Charm</v>
          </cell>
          <cell r="K34"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34" t="str">
            <v>Spray Daisy n GERBERA n Statice</v>
          </cell>
          <cell r="N34" t="str">
            <v>7  del of this cycle   -  0-cycles pmnt   Completed - Collect 0</v>
          </cell>
          <cell r="O34" t="str">
            <v>R Orchid 4     FF Sachet + Grass</v>
          </cell>
          <cell r="P34" t="str">
            <v>Mix Alstroemeria ( 14 inch ) 15     FF Sachet + Grass</v>
          </cell>
          <cell r="Q34" t="str">
            <v>Sunflower ( 15 inch ) 3     Grass</v>
          </cell>
          <cell r="R34" t="str">
            <v>O Asiatic ( 15 Inch ) 3     Grass</v>
          </cell>
          <cell r="S34" t="str">
            <v>P n W Car ( 14 Inch ) 15     FF Sachet + Grass</v>
          </cell>
          <cell r="T34" t="str">
            <v>Mix Alstroemeria ( 12 Inch ) 15     FF Sachet + Grass</v>
          </cell>
        </row>
        <row r="35">
          <cell r="A35">
            <v>3369</v>
          </cell>
          <cell r="B35" t="str">
            <v>Renu Kothari</v>
          </cell>
          <cell r="C35">
            <v>9987323757</v>
          </cell>
          <cell r="D35" t="str">
            <v>4101, M3M Latitude, Sec 65</v>
          </cell>
          <cell r="E35" t="str">
            <v>Badshahpur</v>
          </cell>
          <cell r="F35" t="str">
            <v>Friday</v>
          </cell>
          <cell r="G35" t="str">
            <v>9 AM - 12 PM</v>
          </cell>
          <cell r="H35">
            <v>1450</v>
          </cell>
          <cell r="I35">
            <v>362.5</v>
          </cell>
          <cell r="J35" t="str">
            <v>Bliss</v>
          </cell>
          <cell r="N35" t="str">
            <v>4  del of this cycle   -  0-cycles pmnt   Completed - Collect 0</v>
          </cell>
          <cell r="O35" t="e">
            <v>#N/A</v>
          </cell>
          <cell r="P35" t="e">
            <v>#N/A</v>
          </cell>
          <cell r="Q35" t="str">
            <v>R n W Car ( 14 inch ) 16     FF Sachet + Grass</v>
          </cell>
          <cell r="R35" t="str">
            <v>P Asiatic ( 15 Inch ) 3     Grass</v>
          </cell>
          <cell r="S35" t="str">
            <v>P n W Glad ( 14 Inch ) 16     Grass</v>
          </cell>
          <cell r="T35" t="str">
            <v>P n Y Spray Daisy ( 14 Inch ) 5     FF Sachet + Grass</v>
          </cell>
        </row>
        <row r="36">
          <cell r="A36">
            <v>2985</v>
          </cell>
          <cell r="B36" t="str">
            <v>Leena -- Orchid Petals</v>
          </cell>
          <cell r="C36">
            <v>9810768350</v>
          </cell>
          <cell r="D36" t="str">
            <v>T-24/1103, Orchid Petals</v>
          </cell>
          <cell r="E36" t="str">
            <v>Sohna Road 1</v>
          </cell>
          <cell r="F36" t="str">
            <v>Friday</v>
          </cell>
          <cell r="G36" t="str">
            <v>9 AM - 12 PM</v>
          </cell>
          <cell r="H36">
            <v>1450</v>
          </cell>
          <cell r="I36">
            <v>362.5</v>
          </cell>
          <cell r="J36" t="str">
            <v>Bliss</v>
          </cell>
          <cell r="K36" t="str">
            <v>1st del tom and then every Friday // Upgrade to Bliss (08/01) Hold today (06/02) Skip Friday and send on Sunday this week (20/05)</v>
          </cell>
          <cell r="N36" t="str">
            <v>2  del of this cycle   -  0-cycles pmnt   Completed - Collect 0</v>
          </cell>
          <cell r="O36" t="str">
            <v>Pur Eustoma ( 14 inch )  3     FF Sachet + Grass</v>
          </cell>
          <cell r="P36" t="str">
            <v>P n W Spray Daisy ( 15 inch ) 5     FF Sachet + Grass</v>
          </cell>
          <cell r="Q36" t="e">
            <v>#N/A</v>
          </cell>
          <cell r="R36" t="str">
            <v>R n W Car ( 14 Inch ) 16     FF Sachet + Grass</v>
          </cell>
          <cell r="S36" t="str">
            <v>O Asiatic ( 14 Inch ) 3     Grass</v>
          </cell>
          <cell r="T36" t="str">
            <v>P n W Glad ( 14 Inch ) 16     Grass</v>
          </cell>
        </row>
        <row r="37">
          <cell r="A37">
            <v>953</v>
          </cell>
          <cell r="B37" t="str">
            <v>Nidhi Bansal</v>
          </cell>
          <cell r="C37">
            <v>9818647402</v>
          </cell>
          <cell r="D37" t="str">
            <v>03, Tatvam Villa's,Sector 48</v>
          </cell>
          <cell r="E37" t="str">
            <v>Sohna Road 2</v>
          </cell>
          <cell r="F37" t="str">
            <v>Friday</v>
          </cell>
          <cell r="G37" t="str">
            <v>9 AM - 12 PM</v>
          </cell>
          <cell r="H37">
            <v>2750</v>
          </cell>
          <cell r="I37">
            <v>687.5</v>
          </cell>
          <cell r="J37" t="str">
            <v>Elation</v>
          </cell>
          <cell r="K37"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37" t="str">
            <v>Long Stems (30/10)</v>
          </cell>
          <cell r="N37" t="str">
            <v>3  del of this cycle   -  0-cycles pmnt   Completed - Collect 0</v>
          </cell>
          <cell r="O37" t="str">
            <v>P n W Spray Daisy ( 15 inch ) 5 P n W Glad ( 15 inch ) 16   2 Gypsola + FF Sachet</v>
          </cell>
          <cell r="P37" t="str">
            <v>Sunflower ( 15 inch ) 4 Mix Alstroemeria ( 14 inch ) 15   2 Limonium</v>
          </cell>
          <cell r="Q37" t="str">
            <v>W Eustoma ( 14 inch ) 4 P n W Car ( 14 inch ) 15   2 Gypsola + FF Sachet</v>
          </cell>
          <cell r="R37" t="str">
            <v>O Asiatic ( 15 Inch ) 3 P n W Glad ( 14 Inch ) 16   2 Limonium</v>
          </cell>
          <cell r="S37" t="str">
            <v>P n Y Spray Daisy ( 14 Inch ) 5 Mix Alstroemeria ( 12 Inch ) 16   2 Gypsola + FF Sachet</v>
          </cell>
          <cell r="T37" t="str">
            <v>Sunflower ( 12 Inch ) 4 Pur n P Car ( 14 Inch ) 16   2 Limonium + FF sachet</v>
          </cell>
        </row>
        <row r="38">
          <cell r="A38">
            <v>2404</v>
          </cell>
          <cell r="B38" t="str">
            <v>Amitt Nenwani</v>
          </cell>
          <cell r="C38">
            <v>9810444444</v>
          </cell>
          <cell r="D38" t="str">
            <v>Villa 21, Z Block, Tatvam Villas</v>
          </cell>
          <cell r="E38" t="str">
            <v>Sohna Road 2</v>
          </cell>
          <cell r="F38" t="str">
            <v>Friday</v>
          </cell>
          <cell r="G38" t="str">
            <v>9 AM - 12 PM</v>
          </cell>
          <cell r="H38">
            <v>6350</v>
          </cell>
          <cell r="I38">
            <v>793.75</v>
          </cell>
          <cell r="J38" t="str">
            <v>Elegance</v>
          </cell>
          <cell r="K38" t="str">
            <v>Friday n Monday//Mixed // Skip 1 week (17/04) Skip this week (12/11) Skip this week and send on 03rd Jan (29/12) Skip tom (15/03) Skip 1 week (26/03)</v>
          </cell>
          <cell r="M38" t="str">
            <v>Mixed Flowers// Change to enchantement from next cycle (12/1)</v>
          </cell>
          <cell r="N38" t="str">
            <v>6  del of this cycle   -  0-cycles pmnt   In Process - Collect 0</v>
          </cell>
          <cell r="O38" t="str">
            <v>Y Asiatic ( 15 inch) 3 B Orchid 3 P n W Car 12 3 Areca Palm + 3 Gypsola + FF Sachet</v>
          </cell>
          <cell r="P38" t="str">
            <v>P Asiatic ( 15 inch ) 3 BOP ( 14 inch ) 3 Rajni ( 14 inch ) 10 3 Areca palm + 3 Gypsola</v>
          </cell>
          <cell r="Q38" t="str">
            <v>Y Asiatic ( 15 inch ) 3 B Orchid  4 Glad 12 3 Areca palm + 3 Limonium</v>
          </cell>
          <cell r="R38" t="str">
            <v>P Asiatic ( 15 Inch ) 3 P n Y Spray Daosy ( 15 Inch ) 4 P n W Car ( 14 Inch ) 12 3 Areca Palm + 3 Limonium</v>
          </cell>
          <cell r="S38" t="str">
            <v>W Asiatic ( 14 Inch ) 3 G Orchid  4 Rajni ( 14 Inch ) 12 Grass</v>
          </cell>
          <cell r="T38" t="str">
            <v>Y Asiatic ( 14 Inch ) 4 BOP ( 15 Inch ) 3 Pur n P Car ( 14 Inch ) 12 3 Areca palm + 3 Gypsola</v>
          </cell>
        </row>
        <row r="39">
          <cell r="A39">
            <v>2803</v>
          </cell>
          <cell r="B39" t="str">
            <v>Priyanka Dey</v>
          </cell>
          <cell r="C39">
            <v>9007706833</v>
          </cell>
          <cell r="D39" t="str">
            <v>D/1003, 10th Floor, Emaar Palm Heights, Sec 77</v>
          </cell>
          <cell r="E39" t="str">
            <v>Badshahpur</v>
          </cell>
          <cell r="F39" t="str">
            <v>Friday</v>
          </cell>
          <cell r="G39" t="str">
            <v>After 5 PM</v>
          </cell>
          <cell r="H39">
            <v>1450</v>
          </cell>
          <cell r="I39">
            <v>362.5</v>
          </cell>
          <cell r="J39" t="str">
            <v>Bliss</v>
          </cell>
          <cell r="K39" t="str">
            <v>Lily Next (28/07) Returned and hold (15/08) Four plus 1 Pack // Today returned (16/05)</v>
          </cell>
          <cell r="N39" t="str">
            <v>3  del of this cycle   -  0-cycles pmnt   Completed - Collect 0</v>
          </cell>
          <cell r="O39" t="str">
            <v>P n W Spray Daisy ( 15 inch ) 5     FF Sachet + Grass</v>
          </cell>
          <cell r="P39" t="str">
            <v>P Asiatic ( 15 inch ) 3     Grass</v>
          </cell>
          <cell r="Q39" t="str">
            <v>R n W Car ( 14 inch ) 16     FF Sachet + Grass</v>
          </cell>
          <cell r="R39" t="str">
            <v>Mix Alstroemeria ( 12 Inch ) 16     FF Sachet + Grass</v>
          </cell>
          <cell r="S39" t="str">
            <v>P n W Glad ( 14 Inch ) 16     Grass</v>
          </cell>
          <cell r="T39" t="str">
            <v>Y Asiatic ( 14 Inch ) 3     Grass</v>
          </cell>
        </row>
        <row r="40">
          <cell r="A40">
            <v>815</v>
          </cell>
          <cell r="B40" t="str">
            <v>Surath Singh</v>
          </cell>
          <cell r="C40">
            <v>9717166559</v>
          </cell>
          <cell r="D40" t="str">
            <v>B-2205, Ireo Victory Valley,Sec-67</v>
          </cell>
          <cell r="E40" t="str">
            <v>Badshahpur</v>
          </cell>
          <cell r="F40" t="str">
            <v>Friday</v>
          </cell>
          <cell r="G40" t="str">
            <v>9 AM - 12 PM</v>
          </cell>
          <cell r="H40">
            <v>2750</v>
          </cell>
          <cell r="I40">
            <v>687.5</v>
          </cell>
          <cell r="J40" t="str">
            <v>Elation</v>
          </cell>
          <cell r="K40"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40" t="str">
            <v>1  del of this cycle   -  1-cycles pmnt   Pending - Collect 2750</v>
          </cell>
          <cell r="O40" t="str">
            <v>P n W Glad ( 15 inch) 32     2 Gypsola</v>
          </cell>
          <cell r="P40" t="str">
            <v>Mix Alstroemeria ( 14 inch ) 32     2 Limonium + FF Sachet</v>
          </cell>
          <cell r="Q40" t="str">
            <v>R n W Car ( 14 inch ) 32     2 Gypsola + FF Sachet</v>
          </cell>
          <cell r="R40" t="str">
            <v xml:space="preserve">Mix Spray Daisy 10     2 Luminium +FF </v>
          </cell>
          <cell r="S40" t="str">
            <v xml:space="preserve">P Asiatic ( 14 Inch ) 6     2 Gypsola </v>
          </cell>
          <cell r="T40" t="str">
            <v>P n W Glad ( 14 Inch ) 32     2 Limonium</v>
          </cell>
        </row>
        <row r="41">
          <cell r="A41">
            <v>2126</v>
          </cell>
          <cell r="B41" t="str">
            <v>Nidhi Sehgal</v>
          </cell>
          <cell r="C41">
            <v>9620110010</v>
          </cell>
          <cell r="D41" t="str">
            <v>D-23 Flat No 0002 Victory Valley Sec 67</v>
          </cell>
          <cell r="H41">
            <v>2750</v>
          </cell>
          <cell r="I41">
            <v>687.5</v>
          </cell>
          <cell r="J41" t="str">
            <v>Elation</v>
          </cell>
          <cell r="T41" t="str">
            <v>O Asiatic 3 Pur n P Car ( 14 Inch ) 16   2 Limonium + FF Sachet</v>
          </cell>
        </row>
        <row r="42">
          <cell r="A42">
            <v>2927</v>
          </cell>
          <cell r="B42" t="str">
            <v>Anshita</v>
          </cell>
          <cell r="C42">
            <v>8085480356</v>
          </cell>
          <cell r="D42" t="str">
            <v>H. No. 3107, 2nd Flor, Ansal Versalia, Sec 67 A</v>
          </cell>
          <cell r="E42" t="str">
            <v>Badshahpur</v>
          </cell>
          <cell r="F42" t="str">
            <v>Friday</v>
          </cell>
          <cell r="G42" t="str">
            <v>9:30 Am to 2 PM</v>
          </cell>
          <cell r="H42">
            <v>999</v>
          </cell>
          <cell r="I42">
            <v>249.75</v>
          </cell>
          <cell r="J42" t="str">
            <v>Delight</v>
          </cell>
          <cell r="K42" t="str">
            <v>sent one del today (11/12) Skip 1 week (15/01) Skip today (20/02) Today returned (06/03) Skip 1 week (26/03) Hold for 2 week (22/04)</v>
          </cell>
          <cell r="N42" t="str">
            <v>4  del of this cycle   -  0-cycles pmnt   Completed - Collect 0</v>
          </cell>
          <cell r="O42" t="str">
            <v>P Spray Daisy ( 16 Inch) 3     FF Sachet + Grass</v>
          </cell>
          <cell r="P42" t="str">
            <v>P n W Glad ( 14 inch ) 9     Grass</v>
          </cell>
          <cell r="Q42" t="str">
            <v>Sunflower ( 15 inch ) 2     Grass</v>
          </cell>
          <cell r="R42" t="str">
            <v>Mix Alstroemeria ( 12 Inch ) 9     FF Sachet + Grass</v>
          </cell>
          <cell r="S42" t="str">
            <v>P n W Car ( 14 Inch ) 9     FF Sachet + Grass</v>
          </cell>
          <cell r="T42" t="str">
            <v>Y Asiatic ( 14 Inch ) 2     Grass</v>
          </cell>
        </row>
        <row r="43">
          <cell r="A43">
            <v>196</v>
          </cell>
          <cell r="B43" t="str">
            <v>Nipun Jain</v>
          </cell>
          <cell r="C43">
            <v>9999113554</v>
          </cell>
          <cell r="D43" t="str">
            <v>Villa-9, Tattvam Villa</v>
          </cell>
          <cell r="E43" t="str">
            <v>Sohna Road 2</v>
          </cell>
          <cell r="F43" t="str">
            <v>Friday</v>
          </cell>
          <cell r="G43" t="str">
            <v>9 AM - 12 PM</v>
          </cell>
          <cell r="H43">
            <v>3960</v>
          </cell>
          <cell r="I43">
            <v>990</v>
          </cell>
          <cell r="J43" t="str">
            <v>Customized</v>
          </cell>
          <cell r="K43"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43" t="str">
            <v>4  del of this cycle   -  0-cycles pmnt   Completed - Collect 0</v>
          </cell>
          <cell r="O43" t="str">
            <v>P Asiatic ( 16 inch) 8     2 Limonium</v>
          </cell>
          <cell r="P43" t="str">
            <v>W Asiatic ( 15 inch ) 8     2 Gypsola</v>
          </cell>
          <cell r="Q43" t="str">
            <v>Y Asiatic ( 15 inch ) 8     2 Limonium</v>
          </cell>
          <cell r="R43" t="str">
            <v>O Asiatic ( 15 Inch ) 8     2 Gypsola</v>
          </cell>
          <cell r="S43" t="str">
            <v>P Asiatic ( 14 Inch ) 8     2 Limonium</v>
          </cell>
          <cell r="T43" t="str">
            <v>W Asiatic ( 14 inch ) 8     2 Gypsola</v>
          </cell>
        </row>
        <row r="44">
          <cell r="A44">
            <v>2708</v>
          </cell>
          <cell r="B44" t="str">
            <v>Monica Bakshi</v>
          </cell>
          <cell r="C44">
            <v>9730543073</v>
          </cell>
          <cell r="D44" t="str">
            <v>K-1005, Palm Drive</v>
          </cell>
          <cell r="E44" t="str">
            <v>Badshahpur</v>
          </cell>
          <cell r="F44" t="str">
            <v>Friday</v>
          </cell>
          <cell r="G44" t="str">
            <v>9 AM - 12 PM</v>
          </cell>
          <cell r="H44">
            <v>999</v>
          </cell>
          <cell r="I44">
            <v>249.75</v>
          </cell>
          <cell r="J44" t="str">
            <v>Delight</v>
          </cell>
          <cell r="K44" t="str">
            <v>No Gerbera (02/12)</v>
          </cell>
          <cell r="L44" t="str">
            <v xml:space="preserve">GERBERA </v>
          </cell>
          <cell r="N44" t="str">
            <v>1  del of this cycle   -  0-cycles pmnt   Completed - Collect 0</v>
          </cell>
          <cell r="O44" t="str">
            <v>R n W Car 9     FF Sachet + Grass</v>
          </cell>
          <cell r="P44" t="str">
            <v>Mix Alstroemeria ( 14 inch ) 9     FF Sachet + Grass</v>
          </cell>
          <cell r="Q44" t="str">
            <v>P Asiatic ( 15 inch ) 3     Grass</v>
          </cell>
          <cell r="R44" t="str">
            <v>P n W Glad ( 14 Inch ) 9     Grass</v>
          </cell>
          <cell r="S44" t="str">
            <v>Y Spray Daisy ( 14 Inch ) 3     FF Sachet + Grass</v>
          </cell>
          <cell r="T44" t="str">
            <v>Pur n P Car ( 14 Inch ) 9     FF Sachet + Grass</v>
          </cell>
        </row>
        <row r="45">
          <cell r="A45">
            <v>3280</v>
          </cell>
          <cell r="B45" t="str">
            <v>Priti Sarsaswat</v>
          </cell>
          <cell r="C45">
            <v>9717283344</v>
          </cell>
          <cell r="D45" t="str">
            <v>C-1170, 2nd Floor, Ansal Essecia, C Block, Sec 67</v>
          </cell>
          <cell r="E45" t="str">
            <v>Badshahpur</v>
          </cell>
          <cell r="F45" t="str">
            <v>Monday</v>
          </cell>
          <cell r="G45" t="str">
            <v>9 AM - 12 PM</v>
          </cell>
          <cell r="H45">
            <v>1450</v>
          </cell>
          <cell r="I45">
            <v>362.5</v>
          </cell>
          <cell r="J45" t="str">
            <v>Bliss</v>
          </cell>
          <cell r="K45" t="str">
            <v>Rose In this Cycle (03/03) Day Change to Monday and skip 2 weeks (02/04) Start From Tom (16/04) HDTNP (22/05) Today returned (29/05)(</v>
          </cell>
          <cell r="M45" t="str">
            <v>One Kind and seasonal Next (03/03)</v>
          </cell>
          <cell r="N45" t="str">
            <v>4  del of this cycle   -  0-cycles pmnt   Completed - Collect 0</v>
          </cell>
          <cell r="O45" t="str">
            <v>P n W Glad ( 15 inch) 16     Grass</v>
          </cell>
          <cell r="P45" t="str">
            <v>Bop 3   Ensure Collection Ensure Collection FF Sachet + Grass</v>
          </cell>
          <cell r="Q45" t="e">
            <v>#N/A</v>
          </cell>
          <cell r="R45" t="str">
            <v>P Asiatic ( 15 Inch ) 3     Grass</v>
          </cell>
          <cell r="S45" t="str">
            <v>P n Y Spray Daisy ( 14 Inch ) 5     FF Sachet + Grass</v>
          </cell>
          <cell r="T45" t="str">
            <v>Pur n P Car ( 14 Inch ) 16     FF Sachet + Grass</v>
          </cell>
        </row>
        <row r="46">
          <cell r="A46">
            <v>2700</v>
          </cell>
          <cell r="B46" t="str">
            <v>Rachit Bansal</v>
          </cell>
          <cell r="C46">
            <v>8828352292</v>
          </cell>
          <cell r="D46" t="str">
            <v>T-K/1501, Emaar Palm Drive</v>
          </cell>
          <cell r="E46" t="str">
            <v>Badshahpur</v>
          </cell>
          <cell r="F46" t="str">
            <v>Friday</v>
          </cell>
          <cell r="G46" t="str">
            <v>10 AM to 2:30 PM</v>
          </cell>
          <cell r="H46">
            <v>1450</v>
          </cell>
          <cell r="I46">
            <v>362.5</v>
          </cell>
          <cell r="J46" t="str">
            <v>Bliss</v>
          </cell>
          <cell r="K46" t="str">
            <v>Skip 3 weeks from 25th (16/07) Skip  a week (11/09) Skip 1 week (02/10) Today hold n send on Sunday (10/10) Skip 1 week (08/01) Todau Hold (16/01) Skip 1 week (12/02) Skip 1 week (19/03) Skip 1 week (15/04)</v>
          </cell>
          <cell r="N46" t="str">
            <v>4  del of this cycle   -  0-cycles pmnt   CompletedNO COLLECTION-we have extra money - Collect -50</v>
          </cell>
          <cell r="O46" t="e">
            <v>#N/A</v>
          </cell>
          <cell r="P46" t="e">
            <v>#N/A</v>
          </cell>
          <cell r="Q46" t="str">
            <v>R n W Car ( 14 inch ) 16     FF Sachet + Grass</v>
          </cell>
          <cell r="R46" t="str">
            <v>O Asiatic ( 15 Inch ) 3     Grass</v>
          </cell>
          <cell r="S46" t="str">
            <v>P n W Glad ( 14 Inch ) 16     Grass</v>
          </cell>
          <cell r="T46" t="str">
            <v>P n Y Spray Daisy ( 14 Inch ) 5     FF Sachet + Grass</v>
          </cell>
        </row>
        <row r="47">
          <cell r="A47">
            <v>3309</v>
          </cell>
          <cell r="B47" t="str">
            <v>Tahzeeb Mohammad</v>
          </cell>
          <cell r="C47">
            <v>9986608474</v>
          </cell>
          <cell r="D47" t="str">
            <v>Natura Tower -1, N 2105, M3M Marina, Sec 68</v>
          </cell>
          <cell r="E47" t="str">
            <v>Badshahpur</v>
          </cell>
          <cell r="F47" t="str">
            <v>Friday</v>
          </cell>
          <cell r="G47" t="str">
            <v>9 AM - 12 PM</v>
          </cell>
          <cell r="H47">
            <v>2550</v>
          </cell>
          <cell r="I47">
            <v>318.75</v>
          </cell>
          <cell r="J47" t="str">
            <v>Bi weekly Customised</v>
          </cell>
          <cell r="K47" t="str">
            <v>Gerbera // Rajni // Sunflowers // Eustoma // Orchid // Skip Monday (15/05)</v>
          </cell>
          <cell r="N47" t="str">
            <v>2  del of this cycle   -  0-cycles pmnt   Completed - Collect 0</v>
          </cell>
          <cell r="O47" t="str">
            <v>W Eustoma 2     FF Sachet + Grass</v>
          </cell>
          <cell r="P47" t="str">
            <v>B Orchid 4     FF Sachet + Grass</v>
          </cell>
          <cell r="Q47" t="str">
            <v>Rajni ( 16 inch ) 11     Grass</v>
          </cell>
          <cell r="R47" t="str">
            <v>P Eustoma ( 14 Inch ) 3     FF Sachet + Grass</v>
          </cell>
          <cell r="S47" t="str">
            <v>G Orchid 4     Grass</v>
          </cell>
          <cell r="T47" t="str">
            <v>Rajni ( 14 Inch ) 11     Grass</v>
          </cell>
        </row>
        <row r="48">
          <cell r="A48">
            <v>2259</v>
          </cell>
          <cell r="B48" t="str">
            <v>Shivani Kapoor</v>
          </cell>
          <cell r="C48">
            <v>9818659010</v>
          </cell>
          <cell r="D48" t="str">
            <v>94, Tattvam Villa</v>
          </cell>
          <cell r="E48" t="str">
            <v>Sohna Road 2</v>
          </cell>
          <cell r="F48" t="str">
            <v>Monday</v>
          </cell>
          <cell r="G48" t="str">
            <v>9 AM - 12 PM</v>
          </cell>
          <cell r="H48">
            <v>3950</v>
          </cell>
          <cell r="I48">
            <v>493.75</v>
          </cell>
          <cell r="J48" t="str">
            <v>Grace</v>
          </cell>
          <cell r="K48" t="str">
            <v>Monday n Friday// Payment from Sanjeev K (05/05) Skip 1 week (26/07) Skip 1 week (04/11) Skip this Friday (26/12) Skip 1 week (01/01/25) Skip tom (02/02) No delivery on Monday (01/03) Skip 14th n send on 17th (11/03) Now start from 7th July (24/06)</v>
          </cell>
          <cell r="M48" t="str">
            <v>No White</v>
          </cell>
          <cell r="N48" t="str">
            <v>5  del of this cycle   -  0-cycles pmnt   Completed - Collect 0</v>
          </cell>
          <cell r="O48" t="str">
            <v>Sunflower ( 15 inch) 5     Grass</v>
          </cell>
          <cell r="P48" t="str">
            <v>R n W Car ( 14 inch ) 20     FF Sachet + Grass</v>
          </cell>
          <cell r="Q48" t="str">
            <v>P n W Glad ( 16 Inch) 20     Grass</v>
          </cell>
          <cell r="R48" t="str">
            <v>P Oriental ( 15 Inch ) 3     Grass</v>
          </cell>
          <cell r="S48" t="str">
            <v>Pur n P Eustoma ( 14 Inch ) 4     FF Sachet + Grass</v>
          </cell>
          <cell r="T48" t="str">
            <v>Pur n P Car ( 14 Inch ) 20     FF Sachet + Grass</v>
          </cell>
        </row>
        <row r="49">
          <cell r="A49">
            <v>3312</v>
          </cell>
          <cell r="B49" t="str">
            <v>Pallabi Dey</v>
          </cell>
          <cell r="C49">
            <v>9953755297</v>
          </cell>
          <cell r="D49" t="str">
            <v>T-2/403, Uniworld Gardens 1</v>
          </cell>
          <cell r="E49" t="str">
            <v>Sohna Road 1</v>
          </cell>
          <cell r="F49" t="str">
            <v>Monday</v>
          </cell>
          <cell r="G49" t="str">
            <v>4 Pm to 7 PM</v>
          </cell>
          <cell r="H49">
            <v>1950</v>
          </cell>
          <cell r="I49">
            <v>487.5</v>
          </cell>
          <cell r="J49" t="str">
            <v>Joy</v>
          </cell>
          <cell r="N49" t="str">
            <v>1  del of this cycle   -  1-cycles pmnt   Pending - Collect 1950</v>
          </cell>
          <cell r="O49" t="str">
            <v>O Asiatic ( 16 inch) 4     Grass</v>
          </cell>
          <cell r="P49" t="str">
            <v>Mix Car 22     Grass</v>
          </cell>
          <cell r="Q49" t="str">
            <v>Sunflower ( 15 inch ) 5     Grass</v>
          </cell>
          <cell r="R49" t="str">
            <v>P n W Glad ( 14 Inch ) 22 Collect 1375 Carry Receipt Book Collect 1375 Carry Receipt Book Grass</v>
          </cell>
          <cell r="S49" t="str">
            <v>P n Y Spray Daisy ( 14 Inch ) 7     FF Sachet + Grass</v>
          </cell>
          <cell r="T49" t="str">
            <v>W Asiatic ( 14 inch ) 4     Grass</v>
          </cell>
        </row>
        <row r="50">
          <cell r="A50">
            <v>2976</v>
          </cell>
          <cell r="B50" t="str">
            <v>Monika Dubey</v>
          </cell>
          <cell r="C50">
            <v>6350565083</v>
          </cell>
          <cell r="D50" t="str">
            <v>H-1101, Tower-H, Mapsko Mountville, Sec 79</v>
          </cell>
          <cell r="E50" t="str">
            <v>Badshahpur</v>
          </cell>
          <cell r="F50" t="str">
            <v>Friday</v>
          </cell>
          <cell r="G50" t="str">
            <v>4 Pm to 7 PM</v>
          </cell>
          <cell r="H50">
            <v>1450</v>
          </cell>
          <cell r="I50">
            <v>362.5</v>
          </cell>
          <cell r="J50" t="str">
            <v>Bliss</v>
          </cell>
          <cell r="K50" t="str">
            <v>2 Premium and 2 Seasonal // Yesterday returned (11/10)</v>
          </cell>
          <cell r="N50" t="str">
            <v>2  del of this cycle   -  0-cycles pmnt   Completed - Collect 0</v>
          </cell>
          <cell r="O50" t="e">
            <v>#N/A</v>
          </cell>
          <cell r="P50" t="e">
            <v>#N/A</v>
          </cell>
          <cell r="Q50" t="e">
            <v>#N/A</v>
          </cell>
          <cell r="R50" t="e">
            <v>#N/A</v>
          </cell>
          <cell r="S50" t="str">
            <v>P n W Car ( 14 Inch ) 16     FF Sachet + Grass</v>
          </cell>
          <cell r="T50" t="str">
            <v>Y Asiatic ( 14 Inch ) 3     Grass</v>
          </cell>
        </row>
        <row r="51">
          <cell r="A51">
            <v>2583</v>
          </cell>
          <cell r="B51" t="str">
            <v>Bhumika Gupta</v>
          </cell>
          <cell r="C51">
            <v>9818096329</v>
          </cell>
          <cell r="D51" t="str">
            <v>H-37, 2nd Floor, Aaron Ville, Sec 48</v>
          </cell>
          <cell r="E51" t="str">
            <v>Sohna Road 1</v>
          </cell>
          <cell r="F51" t="str">
            <v>Sunday</v>
          </cell>
          <cell r="G51" t="str">
            <v>9:30 Am to 2 PM</v>
          </cell>
          <cell r="H51">
            <v>1950</v>
          </cell>
          <cell r="I51">
            <v>487.5</v>
          </cell>
          <cell r="J51" t="str">
            <v>Joy</v>
          </cell>
          <cell r="K51" t="str">
            <v>No Rose n Glad n flowers in same color // Long Stems (20/04) Gpay from Tanmay Oberoi (15/06) Skip 3 Sunday (04/08) Skip 3 weeks (4/08) Day Change to Friday (27/09) Skip 1 week (15/01) Skip Friday (26/03) Returned today (01/05)</v>
          </cell>
          <cell r="L51" t="str">
            <v>Rose n Glad</v>
          </cell>
          <cell r="M51" t="str">
            <v>Long Stems</v>
          </cell>
          <cell r="N51" t="str">
            <v>3  del of this cycle   -  0-cycles pmnt   Completed - Collect 0</v>
          </cell>
          <cell r="O51" t="str">
            <v>P Asiatic ( 16 inch) 2 P n W Glad 11   FF Sachet + Grass</v>
          </cell>
          <cell r="P51" t="str">
            <v>Sunflower ( 15 inch ) 3 Mix Alstroemeria ( 14 inch ) 11   Grass</v>
          </cell>
          <cell r="Q51" t="str">
            <v>P n Y Spray Daisy ( 15 inch ) 4 P n W Car ( 14 inch ) 11   FF Sachet + Grass</v>
          </cell>
          <cell r="R51" t="str">
            <v>O Asiatic ( 15 Inch ) 2 P n W Glad ( 14 Inch ) 11   Grass</v>
          </cell>
          <cell r="S51" t="str">
            <v>Pur Eustom ( 14 Inch ) 2 Mix Alstroemeria ( 12 Inch ) 11   FF Sachet + Grass</v>
          </cell>
          <cell r="T51" t="str">
            <v>Sunflower ( 12 Inch ) 3 Pur n P Car ( 14 Inch ) 11   FF Sachet + Grass</v>
          </cell>
        </row>
        <row r="52">
          <cell r="A52">
            <v>3178</v>
          </cell>
          <cell r="B52" t="str">
            <v>Disha Gopal</v>
          </cell>
          <cell r="C52">
            <v>8588003677</v>
          </cell>
          <cell r="D52" t="str">
            <v>T-10/4A, Central Park Resorts, Sec 48</v>
          </cell>
          <cell r="E52" t="str">
            <v>Sohna Road 2</v>
          </cell>
          <cell r="F52" t="str">
            <v>Friday</v>
          </cell>
          <cell r="G52" t="str">
            <v>4 PM to 7 PM</v>
          </cell>
          <cell r="H52">
            <v>1950</v>
          </cell>
          <cell r="I52">
            <v>487.5</v>
          </cell>
          <cell r="J52" t="str">
            <v>Joy</v>
          </cell>
          <cell r="K52" t="str">
            <v>Micxed Flowers // Hold till 8th Jan (24/12)</v>
          </cell>
          <cell r="M52" t="str">
            <v>Mixed Flowers</v>
          </cell>
          <cell r="N52" t="str">
            <v>4  del of this cycle   -  0-cycles pmnt   Completed - Collect 0</v>
          </cell>
          <cell r="O52" t="str">
            <v>Pur Eustoma ( 14 inch )  2 P n W Car 11   FF Sachet + Grass</v>
          </cell>
          <cell r="P52" t="str">
            <v>Sunflower ( 15 inch ) 3 Mix Alstroemeria ( 14 inch ) 11   Grass</v>
          </cell>
          <cell r="Q52" t="str">
            <v>P n Y Spray Daisy ( 15 inch ) 4 P n W Glad ( 14 inch ) 11   FF Sachet + Grass</v>
          </cell>
          <cell r="R52" t="str">
            <v>O Asiatic ( 15 Inch ) 2 R n W Car ( 14 Inch ) 11   Grass</v>
          </cell>
          <cell r="S52" t="str">
            <v>P Eustoma ( 14 Inch ) 2 Mix Alstroemeria ( 12 Inch ) 11   FF Sachet + Grass</v>
          </cell>
          <cell r="T52" t="str">
            <v>Sunflower ( 12 Inch ) 3 P n W Car ( 14 Inch ) 11   FF Sachet + Grass</v>
          </cell>
        </row>
        <row r="53">
          <cell r="A53">
            <v>1630</v>
          </cell>
          <cell r="B53" t="str">
            <v>Nikhil Ranganathan-- Evening Only</v>
          </cell>
          <cell r="C53">
            <v>9910184448</v>
          </cell>
          <cell r="D53" t="str">
            <v>24/7, Primrose Vatika</v>
          </cell>
          <cell r="E53" t="str">
            <v>Sohna Road 1</v>
          </cell>
          <cell r="F53" t="str">
            <v>Friday</v>
          </cell>
          <cell r="G53" t="str">
            <v>4 Pm to 7 PM</v>
          </cell>
          <cell r="H53">
            <v>1450</v>
          </cell>
          <cell r="I53">
            <v>362.5</v>
          </cell>
          <cell r="J53" t="str">
            <v>Bliss</v>
          </cell>
          <cell r="K53"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53" t="str">
            <v>4  del of this cycle   -  0-cycles pmnt   Completed - Collect 0</v>
          </cell>
          <cell r="O53" t="str">
            <v>R n W Car 16     FF Sachet + Grass</v>
          </cell>
          <cell r="P53" t="str">
            <v>Spray Daisy 5     Grass</v>
          </cell>
          <cell r="Q53" t="str">
            <v>Sunflower ( 15 inch ) 4     Grass</v>
          </cell>
          <cell r="R53" t="str">
            <v>O Asiatic ( 15 Inch ) 3     Grass</v>
          </cell>
          <cell r="S53" t="str">
            <v>P n W Glad ( 14 Inch ) 16     Grass</v>
          </cell>
          <cell r="T53" t="str">
            <v>P n Y Spray Daisy ( 14 Inch ) 5     FF Sachet + Grass</v>
          </cell>
        </row>
        <row r="54">
          <cell r="A54">
            <v>2385</v>
          </cell>
          <cell r="B54" t="str">
            <v>Vasanta Poddar</v>
          </cell>
          <cell r="C54">
            <v>9899170709</v>
          </cell>
          <cell r="D54" t="str">
            <v>S-64, 2nd Floor, Uppal Southend</v>
          </cell>
          <cell r="E54" t="str">
            <v>Sohna Road 1</v>
          </cell>
          <cell r="F54" t="str">
            <v>Friday</v>
          </cell>
          <cell r="G54" t="str">
            <v>9 AM - 12 PM</v>
          </cell>
          <cell r="H54">
            <v>1950</v>
          </cell>
          <cell r="I54">
            <v>487.5</v>
          </cell>
          <cell r="J54" t="str">
            <v>Joy</v>
          </cell>
          <cell r="K54" t="str">
            <v xml:space="preserve"> Skip 1 week (11/03) Skip 2 week (29/05) Sent 1 Del today (21/08) Send tom (06/02) Skip 1 week (19/02)</v>
          </cell>
          <cell r="L54" t="str">
            <v>ORCHID</v>
          </cell>
          <cell r="N54" t="str">
            <v>4  del of this cycle   -  0-cycles pmnt   Completed - Collect 0</v>
          </cell>
          <cell r="O54" t="str">
            <v>Shd Pur n O Car 22     FF Sachet + Grass</v>
          </cell>
          <cell r="P54" t="str">
            <v>P n Y Spray Daisy ( 15 inch ) 7     FF Sachet + Grass</v>
          </cell>
          <cell r="Q54" t="str">
            <v>Sunflower ( 15 inch ) 5     Grass</v>
          </cell>
          <cell r="R54" t="str">
            <v>P n W Glad ( 14 Inch ) 22     Grass</v>
          </cell>
          <cell r="S54" t="str">
            <v>W Asiatic ( 14 Inch ) 4     Grass</v>
          </cell>
          <cell r="T54" t="str">
            <v>P Asiatic ( 14 Inch ) 4     Grass</v>
          </cell>
        </row>
        <row r="55">
          <cell r="A55">
            <v>9</v>
          </cell>
          <cell r="B55" t="str">
            <v>Ms. Reema Bose Suri-- Before 10 AM</v>
          </cell>
          <cell r="C55">
            <v>9818199482</v>
          </cell>
          <cell r="D55" t="str">
            <v>B-64, Spaze privi, Sec-72, Sohna Road</v>
          </cell>
          <cell r="E55" t="str">
            <v>Badshahpur</v>
          </cell>
          <cell r="F55" t="str">
            <v>Friday</v>
          </cell>
          <cell r="G55" t="str">
            <v>9 AM - 12 PM</v>
          </cell>
          <cell r="H55">
            <v>999</v>
          </cell>
          <cell r="I55">
            <v>249.75</v>
          </cell>
          <cell r="J55" t="str">
            <v>Delight</v>
          </cell>
          <cell r="K55" t="str">
            <v>Friday and Monday//Need Before 10 am (19/05)  NO BOP(07/02) NO BOP(20/07) Skip 1 week(09/08) Hold Now (16/10) Skip 1 week (07/12) Skip 1 Week (29/12) Skip 1 week (26/01) Skip 1 week (21/03) Sent replacement today (22/04) Return-send on Sunday (28/04) Sent replacement today(03/05) 1 Stem extra in next delivery (19/05) Skip this week Delivery (24/05)  No BOP (04/07) Skip tom n start from friday (23/07) Skip tom (06/08) Dont count last delivery (07/09) Skip Monday Del (01/10) Skip 1 more week (16/10) Send Replacement tomorrow (31/10) Skip 1 week (07/11) Skip Tom (10/12) Skip Friday Del (12/12) 1150 added of bouquet and 250 deducted aswe had 250 extra (17/12) Today returned (26/12) Skip 1 week (28/12) Skip 1 week (05/01) Skip tom (15/02) Return -send tom (22/03) Skip 1 week (11/04) Skip Tom (23/05) Skip 2 weeks (09/06) Skip tom n send on sunday (31/10) Skip 1 week (28/11) Skip 1 week (11/12) Skip 1 week (05/01) Skip 1 week (26/01) Skip thsi week n send on sunday before 11 AM (11/03) Skip tom (22/05) Skip 1 week and confirm before sending next week (19/06) 25th July del skipped (02/08) Skip tom (07/08) Skip tom (14/08) Hold today (29/08) Skip 1 week (13/11) Skip tom (11/12) Hold n start from Jan (19/12) Skip tom (23/01) Skip tom (13/02)</v>
          </cell>
          <cell r="L55" t="str">
            <v>BOP</v>
          </cell>
          <cell r="M55" t="str">
            <v>Confirm before sending (19/06)</v>
          </cell>
          <cell r="N55" t="str">
            <v>2  del of this cycle   -  0-cycles pmnt   Completed - Collect 0</v>
          </cell>
          <cell r="O55" t="str">
            <v>P Spray Daisy ( 16 Inch) 3     FF Sachet + Grass</v>
          </cell>
          <cell r="P55" t="str">
            <v>Mix Alstroemeria ( 14 inch ) 9     FF Sachet + Grass</v>
          </cell>
          <cell r="Q55" t="str">
            <v>R n W Car ( 14 inch ) 9     FF Sachet + Grass</v>
          </cell>
          <cell r="R55" t="str">
            <v>P Asiatic ( 15 Inch ) 2     Grass</v>
          </cell>
          <cell r="S55" t="str">
            <v>P n W Glad ( 14 Inch ) 9     Grass</v>
          </cell>
          <cell r="T55" t="str">
            <v>Sunflower ( 12 Inch ) 2     FF Sachet + Grass</v>
          </cell>
        </row>
        <row r="56">
          <cell r="A56">
            <v>2117</v>
          </cell>
          <cell r="B56" t="str">
            <v>Inderbir</v>
          </cell>
          <cell r="C56">
            <v>9650136697</v>
          </cell>
          <cell r="D56" t="str">
            <v>1101/C2, Vatika City, Sector 49</v>
          </cell>
          <cell r="E56" t="str">
            <v>Sohna Road 1</v>
          </cell>
          <cell r="F56" t="str">
            <v>Friday</v>
          </cell>
          <cell r="G56" t="str">
            <v>4 Pm to 7 PM</v>
          </cell>
          <cell r="H56">
            <v>999</v>
          </cell>
          <cell r="I56">
            <v>249.75</v>
          </cell>
          <cell r="J56" t="str">
            <v>Delight</v>
          </cell>
          <cell r="K56" t="str">
            <v>sent replacement of Gerbera today (23/07) 300 cahs received (12/09) Skip 1 week (11/01) Hold today (21/02)</v>
          </cell>
          <cell r="N56" t="str">
            <v>4  del of this cycle   -  0-cycles pmnt   CompletedNO COLLECTION-we have extra money - Collect -282</v>
          </cell>
          <cell r="O56" t="str">
            <v>R n W Car 9     FF Sachet + Grass</v>
          </cell>
          <cell r="P56" t="str">
            <v>Sunflower ( 15 inch ) 2     Grass</v>
          </cell>
          <cell r="Q56" t="str">
            <v>P n W Glad ( 14 inch ) 9     FF Sachet + Grass</v>
          </cell>
          <cell r="R56" t="str">
            <v>O Asiatic ( 15 Inch ) 2     Grass</v>
          </cell>
          <cell r="S56" t="str">
            <v>P Spray Daisy ( 14 Inch ) 3     FF Sachet + Grass</v>
          </cell>
          <cell r="T56" t="str">
            <v>Pur n P Car ( 14 Inch ) 9     FF Sachet + Grass</v>
          </cell>
        </row>
        <row r="57">
          <cell r="A57">
            <v>163</v>
          </cell>
          <cell r="B57" t="str">
            <v>Rasmeeta Nayak</v>
          </cell>
          <cell r="C57">
            <v>8800444342</v>
          </cell>
          <cell r="D57" t="str">
            <v>H-504, Park View City - 2, Sohna Road</v>
          </cell>
          <cell r="E57" t="str">
            <v>Sohna Road 1</v>
          </cell>
          <cell r="F57" t="str">
            <v>Friday</v>
          </cell>
          <cell r="G57" t="str">
            <v>9 AM - 12 PM</v>
          </cell>
          <cell r="H57">
            <v>1950</v>
          </cell>
          <cell r="I57">
            <v>487.5</v>
          </cell>
          <cell r="J57" t="str">
            <v>Joy</v>
          </cell>
          <cell r="K57"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57" t="str">
            <v>1  del of this cycle   -  0-cycles pmnt   Completed - Collect 0</v>
          </cell>
          <cell r="O57" t="str">
            <v>Shd Pur n O Car 22     FF Sachet + Grass</v>
          </cell>
          <cell r="P57" t="str">
            <v>Mix Alstroemeria ( 14 inch ) 22     FF Sachet + Grass</v>
          </cell>
          <cell r="Q57" t="str">
            <v>P n W Glad ( 16 Inch) 22     Grass</v>
          </cell>
          <cell r="R57" t="str">
            <v>Y Orchid  7     FF Sachet + Grass</v>
          </cell>
          <cell r="S57" t="str">
            <v>W Asiatic ( 14 Inch ) 4     Grass</v>
          </cell>
          <cell r="T57" t="str">
            <v>Pur n P Car ( 14 Inch ) 22     FF Sachet + Grass</v>
          </cell>
        </row>
        <row r="58">
          <cell r="A58">
            <v>207</v>
          </cell>
          <cell r="B58" t="str">
            <v>Ms. Monaliza</v>
          </cell>
          <cell r="C58">
            <v>9958305888</v>
          </cell>
          <cell r="D58" t="str">
            <v>C-4/703, Sovereign, Vatika City</v>
          </cell>
          <cell r="E58" t="str">
            <v>Sohna Road 1</v>
          </cell>
          <cell r="F58" t="str">
            <v>Friday</v>
          </cell>
          <cell r="G58" t="str">
            <v>4 Pm to 7 PM</v>
          </cell>
          <cell r="H58">
            <v>1450</v>
          </cell>
          <cell r="I58">
            <v>362.5</v>
          </cell>
          <cell r="J58" t="str">
            <v>Bliss</v>
          </cell>
          <cell r="K58"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58" t="str">
            <v>Sunflower</v>
          </cell>
          <cell r="N58" t="str">
            <v>3  del of this cycle   -  0-cycles pmnt   Completed - Collect 0</v>
          </cell>
          <cell r="O58" t="str">
            <v>R n W Car 16     FF Sachet + Grass</v>
          </cell>
          <cell r="P58" t="str">
            <v>Mix Alstroemeria ( 14 inch ) 16     FF Sachet + Grass</v>
          </cell>
          <cell r="Q58" t="str">
            <v>Mix Spray Daisy 5     FF Sachet + Grass</v>
          </cell>
          <cell r="R58" t="e">
            <v>#N/A</v>
          </cell>
          <cell r="S58" t="str">
            <v>P Asiatic ( 14 Inch ) 3     Grass</v>
          </cell>
          <cell r="T58" t="str">
            <v>P n W Glad ( 14 Inch ) 16     Grass</v>
          </cell>
        </row>
        <row r="59">
          <cell r="A59" t="str">
            <v>M00008</v>
          </cell>
          <cell r="B59" t="str">
            <v>Pooja Tripathi</v>
          </cell>
          <cell r="C59">
            <v>8800700522</v>
          </cell>
          <cell r="D59" t="str">
            <v>One Good Earth Trehan Luxury Floors 21 First Floor sector 70</v>
          </cell>
          <cell r="E59" t="str">
            <v>Nirvana Country</v>
          </cell>
          <cell r="F59" t="str">
            <v>Thursday</v>
          </cell>
          <cell r="G59" t="str">
            <v>9 AM - 12 PM</v>
          </cell>
          <cell r="H59">
            <v>3650</v>
          </cell>
          <cell r="I59">
            <v>912.5</v>
          </cell>
          <cell r="J59" t="str">
            <v>Mixed Bunch</v>
          </cell>
          <cell r="K59" t="str">
            <v>6 Lotus and 100 Gm Mogra</v>
          </cell>
          <cell r="N59" t="str">
            <v>2  del of this cycle   -  0-cycles pmnt   In Process - Collect 0</v>
          </cell>
          <cell r="O59" t="str">
            <v>Mix Spray Car + B Daosy + Mix Alstroemeria 15 + 10 + 15     Grass</v>
          </cell>
          <cell r="P59" t="str">
            <v>Mix Alstroemeria ( 14 inch ) 15 P n W Glad ( 14 inch ) 15 R n W Car ( 14 inch ) 15 Grass</v>
          </cell>
          <cell r="Q59" t="str">
            <v>Sunflower ( 15 inch ) 4 Rajni 15 P n W Car ( 15 inch ) 15 FF Sachet + Grass</v>
          </cell>
          <cell r="R59" t="str">
            <v>Mix Oriental  4 Mix Alstroemeria ( 12 Inch )  20 Shd Pur n P Car 15 2 Gypsola</v>
          </cell>
          <cell r="S59" t="e">
            <v>#N/A</v>
          </cell>
          <cell r="T59" t="str">
            <v>Mix Oriental + Mix Alstroemeria + Mix Car 4 + 15 + 15     2 Gypsola + FF Sachet</v>
          </cell>
        </row>
        <row r="60">
          <cell r="A60">
            <v>2775</v>
          </cell>
          <cell r="B60" t="str">
            <v>Sreeparna Ghosh</v>
          </cell>
          <cell r="C60">
            <v>9711590494</v>
          </cell>
          <cell r="D60" t="str">
            <v>H-701, Mapsko Mountville, Sec 79</v>
          </cell>
          <cell r="E60" t="str">
            <v>Badshahpur</v>
          </cell>
          <cell r="F60" t="str">
            <v>Friday</v>
          </cell>
          <cell r="G60" t="str">
            <v>4 PM to 7PM</v>
          </cell>
          <cell r="H60">
            <v>1950</v>
          </cell>
          <cell r="I60">
            <v>487.5</v>
          </cell>
          <cell r="J60" t="str">
            <v>Bliss</v>
          </cell>
          <cell r="K60" t="str">
            <v>Send 1 W Asiatic as replacement (30/08) Skip 1 week (06/09) Returned-send next week (03/10) Send replacement of Gerbera tom (02/12) Skip 1 week (20/12) Upgarde to Joy from next cycle and mixed (20/02) Upgrade to Joy and skip 1 week (05/03)</v>
          </cell>
          <cell r="M60" t="str">
            <v>Upgarde to Joy from next cycle and mixed (20/02)</v>
          </cell>
          <cell r="N60" t="str">
            <v>2  del of this cycle   -  0-cycles pmnt   Completed - Collect 0</v>
          </cell>
          <cell r="O60" t="str">
            <v>P Eustoma ( 14 inch ) 2 P n W Gerbera ( 14 inch ) 11   FF Sachet + Grass</v>
          </cell>
          <cell r="P60" t="str">
            <v>Sunflower ( 15 inch ) 3 Mix Alstroemeria ( 14 inch ) 10 Ensure Collection Ensure Collection Grass</v>
          </cell>
          <cell r="Q60" t="str">
            <v>P n W Spray Daisy 4 P n W Car ( 14 inch ) 11   FF Sachet + Grass</v>
          </cell>
          <cell r="R60" t="str">
            <v>O Asiatic ( 15 Inch ) 2 Spray Carnation 10   Grass</v>
          </cell>
          <cell r="S60" t="str">
            <v>Pur Eustom ( 14 Inch ) 2 P n W Glad ( 14 Inch ) 11   FF Sachet + Grass</v>
          </cell>
          <cell r="T60" t="str">
            <v>Sunflower ( 12 Inch ) 3 Mix Alstroemeria ( 12 Inch ) 11   FF Sachet + Grass</v>
          </cell>
        </row>
        <row r="61">
          <cell r="A61">
            <v>3354</v>
          </cell>
          <cell r="B61" t="str">
            <v>Radha Bhatnagar</v>
          </cell>
          <cell r="C61">
            <v>9971944440</v>
          </cell>
          <cell r="D61" t="str">
            <v>D-35, 2nd Floor, Vipul World</v>
          </cell>
          <cell r="E61" t="str">
            <v>Sohna Road 2</v>
          </cell>
          <cell r="F61" t="str">
            <v>Friday</v>
          </cell>
          <cell r="G61" t="str">
            <v>9 AM - 12 PM</v>
          </cell>
          <cell r="H61">
            <v>1450</v>
          </cell>
          <cell r="I61">
            <v>362.5</v>
          </cell>
          <cell r="J61" t="str">
            <v>Bliss</v>
          </cell>
          <cell r="N61" t="str">
            <v>2  del of this cycle   -  0-cycles pmnt   Completed - Collect 0</v>
          </cell>
          <cell r="O61" t="str">
            <v>Pur n P Car  16     FF Sachet + Grass</v>
          </cell>
          <cell r="P61" t="str">
            <v>P n Y Spray Daisy ( 15 inch ) 5     FF Sachet + Grass</v>
          </cell>
          <cell r="Q61" t="str">
            <v>P n W Glad ( 16 Inch) 16     Grass</v>
          </cell>
          <cell r="R61" t="str">
            <v>O Asiatic ( 15 Inch ) 3     Grass</v>
          </cell>
          <cell r="S61" t="str">
            <v>Mix Alstroemeria ( 12 Inch ) 16     FF Sachet + Grass</v>
          </cell>
          <cell r="T61" t="str">
            <v>R n W Car ( 14 Inch ) 16     FF Sachet + Grass</v>
          </cell>
        </row>
        <row r="62">
          <cell r="A62">
            <v>95</v>
          </cell>
          <cell r="B62" t="str">
            <v>Jasjeet Kaur</v>
          </cell>
          <cell r="C62">
            <v>9971132467</v>
          </cell>
          <cell r="D62" t="str">
            <v>L-1206, Emaar Palm drive Sector 66, golf course extension road</v>
          </cell>
          <cell r="E62" t="str">
            <v>Badshahpur</v>
          </cell>
          <cell r="F62" t="str">
            <v>Friday</v>
          </cell>
          <cell r="G62" t="str">
            <v>9 AM - 12 PM</v>
          </cell>
          <cell r="H62">
            <v>999</v>
          </cell>
          <cell r="I62">
            <v>249.75</v>
          </cell>
          <cell r="J62" t="str">
            <v>Delight</v>
          </cell>
          <cell r="K62" t="str">
            <v>Rose on Next Del(01/06)Rtrnd, pls send tom FF Sold Today(20/07)orrow(21/06)Return-next week(10/11) Hold n start from 5th Jan(21/12) Replacement Tom(13/04) Return-send tom(15/06) Yesterday returned-skip 2 week(16/06) Return-skip 1 week(02/11) Return-send tom(07/12) Paytm from Sobhit(14/12) Hold n start after 15th Jan and inform before sending(28/12) 15% Discount (26/07) Paytm From Sobhit Jain (15/08) Hold due to non payment (10/10) HDTNP (29/05)</v>
          </cell>
          <cell r="N62" t="str">
            <v>4  del of this cycle   -  0-cycles pmnt   CompletedNO COLLECTION-we have extra money - Collect -1</v>
          </cell>
          <cell r="O62" t="str">
            <v>R n W Car 9     FF Sachet + Grass</v>
          </cell>
          <cell r="P62" t="str">
            <v>P Spray Daisy ( 15 inch ) 3     FF Sachet + Grass</v>
          </cell>
          <cell r="Q62" t="str">
            <v>P n W Glad ( 14 inch ) 9     Grass</v>
          </cell>
          <cell r="R62" t="str">
            <v xml:space="preserve">Collect 500 Carry Receipt Book Collect 500 Carry Receipt Book Collect 500 Carry Receipt Book </v>
          </cell>
          <cell r="S62" t="str">
            <v>O Asiatic ( 14 Inch ) 2     Grass</v>
          </cell>
          <cell r="T62" t="str">
            <v>Pur n P Car ( 14 Inch ) 9     FF Sachet + Grass</v>
          </cell>
        </row>
        <row r="63">
          <cell r="A63">
            <v>1899</v>
          </cell>
          <cell r="B63" t="str">
            <v>Hardik Shah</v>
          </cell>
          <cell r="C63">
            <v>9811227080</v>
          </cell>
          <cell r="D63" t="str">
            <v>T-5/1402, Vipul Green</v>
          </cell>
          <cell r="E63" t="str">
            <v>Sohna Road 2</v>
          </cell>
          <cell r="F63" t="str">
            <v>Friday</v>
          </cell>
          <cell r="G63" t="str">
            <v>9 AM - 12 PM</v>
          </cell>
          <cell r="H63">
            <v>4850</v>
          </cell>
          <cell r="I63">
            <v>606.25</v>
          </cell>
          <cell r="J63" t="str">
            <v>Poise</v>
          </cell>
          <cell r="K63"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3" t="str">
            <v>8  del of this cycle   -  0-cycles pmnt   Completed - Collect 0</v>
          </cell>
          <cell r="O63" t="str">
            <v>BOP 6     FF Sachet + Grass</v>
          </cell>
          <cell r="P63" t="str">
            <v>Sunflower ( 15 inch ) 8     Grass</v>
          </cell>
          <cell r="Q63" t="str">
            <v>P Asiatic ( 15 inch ) 6     Grass</v>
          </cell>
          <cell r="R63" t="str">
            <v>P Oriental ( 15 Inch ) 4     Grass</v>
          </cell>
          <cell r="S63" t="str">
            <v>P n Y Spray Daisy ( 14 Inch ) 9     FF Sachet + Grass</v>
          </cell>
          <cell r="T63" t="str">
            <v>Y Asiatic ( 14 Inch ) 6     Grass</v>
          </cell>
        </row>
        <row r="64">
          <cell r="A64">
            <v>1147</v>
          </cell>
          <cell r="B64" t="str">
            <v xml:space="preserve">Reena </v>
          </cell>
          <cell r="C64">
            <v>9811157690</v>
          </cell>
          <cell r="D64" t="str">
            <v>31/1, Ixia, Vatika City</v>
          </cell>
          <cell r="E64" t="str">
            <v>Sohna Road 1</v>
          </cell>
          <cell r="F64" t="str">
            <v>Tuesday</v>
          </cell>
          <cell r="G64" t="str">
            <v>9 AM to 2 PM</v>
          </cell>
          <cell r="H64">
            <v>1600</v>
          </cell>
          <cell r="I64">
            <v>200</v>
          </cell>
          <cell r="J64" t="str">
            <v>Bloom</v>
          </cell>
          <cell r="K64"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64" t="str">
            <v>RAJNI n HELICONIA</v>
          </cell>
          <cell r="N64" t="str">
            <v>2  del of this cycle   -  0-cycles pmnt   Completed - Collect 0</v>
          </cell>
          <cell r="O64" t="str">
            <v>Sunflower ( 15 inch) 2     Grass</v>
          </cell>
          <cell r="P64" t="str">
            <v>P Spray Daisy ( 15 inch ) 2     FF Sachet + Grass</v>
          </cell>
          <cell r="Q64" t="str">
            <v>P n W Car ( 14 inch ) 7     FF Sachet + Grass</v>
          </cell>
          <cell r="R64" t="str">
            <v>Mix Alstroemeria ( 12 Inch ) 7     FF Sachet + Grass</v>
          </cell>
          <cell r="S64" t="str">
            <v>W Spray Daisy ( 14 Inch ) 2     FF Sachet + Grass</v>
          </cell>
          <cell r="T64" t="str">
            <v>Pink White Car ( 12 Inch ) 7     Grass</v>
          </cell>
        </row>
        <row r="65">
          <cell r="A65">
            <v>3047</v>
          </cell>
          <cell r="B65" t="str">
            <v>Meenal</v>
          </cell>
          <cell r="C65">
            <v>9811222881</v>
          </cell>
          <cell r="D65" t="str">
            <v>168, Deerwood</v>
          </cell>
          <cell r="E65" t="str">
            <v>Badshahpur</v>
          </cell>
          <cell r="F65" t="str">
            <v>Friday</v>
          </cell>
          <cell r="G65" t="str">
            <v>4 PM to 7PM</v>
          </cell>
          <cell r="H65">
            <v>999</v>
          </cell>
          <cell r="I65">
            <v>249.75</v>
          </cell>
          <cell r="J65" t="str">
            <v>Delight</v>
          </cell>
          <cell r="K65" t="str">
            <v>Skip Friday and sned on Monday (07/01) HDTNP (24/04) Skip 2 week (27/05)</v>
          </cell>
          <cell r="N65" t="str">
            <v>3  del of this cycle   -  0-cycles pmnt   Completed - Collect 0</v>
          </cell>
          <cell r="O65" t="str">
            <v>R n W Car 9     FF Sachet + Grass</v>
          </cell>
          <cell r="P65" t="str">
            <v>P n W Glad ( 14 inch ) 9     Grass</v>
          </cell>
          <cell r="Q65" t="str">
            <v>Sunflower ( 15 inch ) 2     Grass</v>
          </cell>
          <cell r="R65" t="e">
            <v>#N/A</v>
          </cell>
          <cell r="S65" t="e">
            <v>#N/A</v>
          </cell>
          <cell r="T65" t="str">
            <v>P Asiatic ( 14 Inch ) 2     Grass</v>
          </cell>
        </row>
        <row r="66">
          <cell r="A66">
            <v>3307</v>
          </cell>
          <cell r="B66" t="str">
            <v>Amit Jindal</v>
          </cell>
          <cell r="C66">
            <v>8860400001</v>
          </cell>
          <cell r="D66" t="str">
            <v>T-5/1401, Vipul Greens</v>
          </cell>
          <cell r="E66" t="str">
            <v>Sohna Road 2</v>
          </cell>
          <cell r="F66" t="str">
            <v>Friday</v>
          </cell>
          <cell r="G66" t="str">
            <v>9:30 AM to 2 PM</v>
          </cell>
          <cell r="H66">
            <v>2626</v>
          </cell>
          <cell r="I66">
            <v>656.5</v>
          </cell>
          <cell r="J66" t="str">
            <v>Customized</v>
          </cell>
          <cell r="K66" t="str">
            <v>3 Oriental every week</v>
          </cell>
          <cell r="N66" t="str">
            <v>2  del of this cycle   -  0-cycles pmnt   Completed - Collect 0</v>
          </cell>
          <cell r="O66" t="str">
            <v>W Oriental 3     1 Limonium</v>
          </cell>
          <cell r="P66" t="str">
            <v>P Oriental ( 18 inch ) 3     1 Gypsola</v>
          </cell>
          <cell r="Q66" t="str">
            <v>W Oriental ( 16 Inch ) 3     1 Limonium + FF aschet</v>
          </cell>
          <cell r="R66" t="str">
            <v>P Oriental ( 15 Inch ) 3     1 gypsola</v>
          </cell>
          <cell r="S66" t="str">
            <v>P Oriental ( 16 Inch ) 3     1 Limonium</v>
          </cell>
          <cell r="T66" t="str">
            <v>W Oriental ( 15 Inch ) 3     1 Gypsola</v>
          </cell>
        </row>
        <row r="67">
          <cell r="A67">
            <v>2427</v>
          </cell>
          <cell r="B67" t="str">
            <v>Amrita Jain</v>
          </cell>
          <cell r="C67">
            <v>9560706242</v>
          </cell>
          <cell r="D67" t="str">
            <v>Flat 72, Emilia C2, Gardenia Street</v>
          </cell>
          <cell r="E67" t="str">
            <v>Sohna Road 1</v>
          </cell>
          <cell r="F67" t="str">
            <v>Friday</v>
          </cell>
          <cell r="G67" t="str">
            <v>9 AM - 12 PM</v>
          </cell>
          <cell r="H67">
            <v>1450</v>
          </cell>
          <cell r="I67">
            <v>362.5</v>
          </cell>
          <cell r="J67" t="str">
            <v>Bliss</v>
          </cell>
          <cell r="K6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67" t="str">
            <v>Rose n Orchid</v>
          </cell>
          <cell r="N67" t="str">
            <v>4  del of this cycle   -  0-cycles pmnt   Completed - Collect 0</v>
          </cell>
          <cell r="O67" t="str">
            <v>P Spray Daisy ( 16 Inch) 3 Alstromia 7   FF Sachet + Grass</v>
          </cell>
          <cell r="P67" t="str">
            <v>Y Asiatic ( 15 inch ) 2 P n W Glad ( 14 inch ) 7   Grass</v>
          </cell>
          <cell r="Q67" t="str">
            <v>Sunflower ( 15 inch ) 2 B Daisy ( 12 inch ) 7   Grass</v>
          </cell>
          <cell r="R67" t="str">
            <v>Pur Eustoma 2 P n W Car ( 14 Inch ) 7   FF Sachet + Grass</v>
          </cell>
          <cell r="S67" t="str">
            <v>Y Spray Daisy ( 14 Inch ) 3 P n W Glad ( 14 Inch ) 7   FF Sachet + Grass</v>
          </cell>
          <cell r="T67" t="str">
            <v>P Asiatic ( 14 Inch ) 2 Mix Alstroemeria ( 12 Inch ) 7   Grass</v>
          </cell>
        </row>
        <row r="68">
          <cell r="A68">
            <v>3139</v>
          </cell>
          <cell r="B68" t="str">
            <v>Ishita Chopra</v>
          </cell>
          <cell r="C68">
            <v>9810247803</v>
          </cell>
          <cell r="D68" t="str">
            <v>B-69, Ground Floor, Soutthend Floor, Sec 49</v>
          </cell>
          <cell r="E68" t="str">
            <v>Sohna Road 1</v>
          </cell>
          <cell r="F68" t="str">
            <v>Friday</v>
          </cell>
          <cell r="G68" t="str">
            <v>4 Pm to 7 PM</v>
          </cell>
          <cell r="H68">
            <v>1450</v>
          </cell>
          <cell r="I68">
            <v>362.5</v>
          </cell>
          <cell r="J68" t="str">
            <v>Bliss</v>
          </cell>
          <cell r="K68" t="str">
            <v>No Red Rose // Today returned due to timing missunderstaning (21/11) No Roses (06/01)</v>
          </cell>
          <cell r="L68" t="str">
            <v>Roses</v>
          </cell>
          <cell r="N68" t="str">
            <v>3  del of this cycle   -  0-cycles pmnt   Completed - Collect 0</v>
          </cell>
          <cell r="O68" t="e">
            <v>#N/A</v>
          </cell>
          <cell r="P68" t="e">
            <v>#N/A</v>
          </cell>
          <cell r="Q68" t="e">
            <v>#N/A</v>
          </cell>
          <cell r="R68" t="str">
            <v>P n W Car 16     FF Sachet + Grass</v>
          </cell>
          <cell r="S68" t="str">
            <v>O Asiatic ( 14 Inch ) 3     Grass</v>
          </cell>
          <cell r="T68" t="str">
            <v>P n W Glad ( 14 Inch ) 16     Grass</v>
          </cell>
        </row>
        <row r="69">
          <cell r="A69">
            <v>1238</v>
          </cell>
          <cell r="B69" t="str">
            <v>Meenakshi Dua-- Evening Only</v>
          </cell>
          <cell r="C69">
            <v>9560900277</v>
          </cell>
          <cell r="D69" t="str">
            <v>T-9/803, Orchid Petals</v>
          </cell>
          <cell r="E69" t="str">
            <v>Sohna Road 1</v>
          </cell>
          <cell r="F69" t="str">
            <v>Friday</v>
          </cell>
          <cell r="G69" t="str">
            <v>4 PM to 7PM</v>
          </cell>
          <cell r="H69">
            <v>1950</v>
          </cell>
          <cell r="I69">
            <v>487.5</v>
          </cell>
          <cell r="J69" t="str">
            <v>Joy</v>
          </cell>
          <cell r="K6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69" t="str">
            <v xml:space="preserve">HELICONIA n BOP n GERBERA </v>
          </cell>
          <cell r="M69" t="str">
            <v>No Yel/Wht/Red in Glad and Guldawari</v>
          </cell>
          <cell r="N69" t="str">
            <v>4  del of this cycle   -  0-cycles pmnt   Completed - Collect 0</v>
          </cell>
          <cell r="O69" t="str">
            <v>Alstomeria 22     Grass</v>
          </cell>
          <cell r="P69" t="str">
            <v>P n W Glad ( 14 inch ) 22     Grass</v>
          </cell>
          <cell r="Q69" t="str">
            <v>P Asiatic ( 15 inch ) 4     Grass</v>
          </cell>
          <cell r="R69" t="str">
            <v>R n W Car ( 14 Inch ) 22     FF Sachet + Grass</v>
          </cell>
          <cell r="S69" t="str">
            <v>Pur n P Eustoma ( 14 Inch ) 4     FF Sachet + Grass</v>
          </cell>
          <cell r="T69" t="str">
            <v>P n Y Spray Daisy ( 14 Inch ) 7     FF Sachet + Grass</v>
          </cell>
        </row>
        <row r="70">
          <cell r="A70">
            <v>2832</v>
          </cell>
          <cell r="B70" t="str">
            <v>Anshu Mittal Roy</v>
          </cell>
          <cell r="C70" t="str">
            <v xml:space="preserve"> 97172 00986</v>
          </cell>
          <cell r="D70" t="str">
            <v xml:space="preserve"> B203 Godrej 101, Sector 79
</v>
          </cell>
          <cell r="E70" t="str">
            <v>Badshahpur</v>
          </cell>
          <cell r="F70" t="str">
            <v>Friday</v>
          </cell>
          <cell r="G70" t="str">
            <v>4 Pm to 7 PM</v>
          </cell>
          <cell r="H70">
            <v>1450</v>
          </cell>
          <cell r="I70">
            <v>362.5</v>
          </cell>
          <cell r="J70" t="str">
            <v>Bliss</v>
          </cell>
          <cell r="K70" t="str">
            <v>15 % Discount (26/07) 3 Month with 10% discount (24/08) Skip 1 week (19/12) Skip 1 week (19/02) Skip 2 week (16/05)</v>
          </cell>
          <cell r="N70" t="str">
            <v>2  del of this cycle   -  0-cycles pmnt   Completed - Collect 0</v>
          </cell>
          <cell r="O70" t="str">
            <v>Sunflower ( 15 inch) 2 B Daisy 7   Grass</v>
          </cell>
          <cell r="P70" t="str">
            <v>P Asiatic ( 15 inch ) 2 Mix Alstroemeria ( 14 inch ) 7   Grass</v>
          </cell>
          <cell r="Q70" t="e">
            <v>#N/A</v>
          </cell>
          <cell r="R70" t="e">
            <v>#N/A</v>
          </cell>
          <cell r="S70" t="str">
            <v>Y Spray Daisy ( 14 Inch ) 3 P n W Car ( 14 Inch ) 7   FF Sachet + Grass</v>
          </cell>
          <cell r="T70" t="str">
            <v>Pur Eustoma ( 12 Inch ) 2 P n W Glad ( 14 Inch ) 7   FF Sachet + Grass</v>
          </cell>
        </row>
        <row r="71">
          <cell r="A71">
            <v>359</v>
          </cell>
          <cell r="B71" t="str">
            <v>Sudipta Karnik</v>
          </cell>
          <cell r="C71">
            <v>9810266546</v>
          </cell>
          <cell r="D71" t="str">
            <v>Tower 4, Flat 6A, Bellevue, Central Park,Sector-48    Sec 48 Gurgoan  122001</v>
          </cell>
          <cell r="E71" t="str">
            <v>Sohna Road 2</v>
          </cell>
          <cell r="F71" t="str">
            <v>Friday</v>
          </cell>
          <cell r="G71" t="str">
            <v>9 AM - 12 PM</v>
          </cell>
          <cell r="H71">
            <v>1950</v>
          </cell>
          <cell r="I71">
            <v>487.5</v>
          </cell>
          <cell r="J71" t="str">
            <v>Joy</v>
          </cell>
          <cell r="K71"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71" t="str">
            <v>2  del of this cycle   -  1-cycles pmnt   Pending - Collect 1950</v>
          </cell>
          <cell r="O71" t="str">
            <v>P n W Glad ( 15 inch) 22     Grass</v>
          </cell>
          <cell r="P71" t="str">
            <v>R n W Car ( 14 inch ) 22     FF Sachet + Grass</v>
          </cell>
          <cell r="Q71" t="str">
            <v>Glad 22     Grass</v>
          </cell>
          <cell r="R71" t="str">
            <v>Y Orchid  7     FF Sachet + Grass</v>
          </cell>
          <cell r="S71" t="str">
            <v>O Asiatic ( 14 Inch ) 4     Grass</v>
          </cell>
          <cell r="T71" t="str">
            <v>Sunflower ( 12 Inch ) 5     FF Sachet + Grass</v>
          </cell>
        </row>
        <row r="72">
          <cell r="A72">
            <v>2798</v>
          </cell>
          <cell r="B72" t="str">
            <v>Priya Chaturvedi</v>
          </cell>
          <cell r="C72">
            <v>9999283603</v>
          </cell>
          <cell r="D72" t="str">
            <v>D-2003, Bestech Alturea, Sec 79</v>
          </cell>
          <cell r="E72" t="str">
            <v>Manesar</v>
          </cell>
          <cell r="F72" t="str">
            <v>Friday</v>
          </cell>
          <cell r="G72" t="str">
            <v>4 Pm to 7 PM</v>
          </cell>
          <cell r="H72">
            <v>1450</v>
          </cell>
          <cell r="I72">
            <v>362.5</v>
          </cell>
          <cell r="J72" t="str">
            <v>Bliss</v>
          </cell>
          <cell r="K72" t="str">
            <v>Today Returned (08/08) {ayment From Chinmananda Devgoswami (25/10) Four Plus 1 Pack (15/04) Skip 1 week (07/05)</v>
          </cell>
          <cell r="N72" t="str">
            <v>3  del of this cycle   -  0-cycles pmnt   Completed - Collect 0</v>
          </cell>
          <cell r="O72" t="e">
            <v>#N/A</v>
          </cell>
          <cell r="P72" t="str">
            <v>P n Y Spray Daisy ( 15 inch ) 5     FF Sachet + Grass</v>
          </cell>
          <cell r="Q72" t="str">
            <v>R n W Car ( 14 inch ) 16     FF Sachet + Grass</v>
          </cell>
          <cell r="R72" t="e">
            <v>#N/A</v>
          </cell>
          <cell r="S72" t="str">
            <v>O Asiatic ( 14 Inch ) 3     Grass</v>
          </cell>
          <cell r="T72" t="str">
            <v>P n W Glad ( 14 Inch ) 16     Grass</v>
          </cell>
        </row>
        <row r="73">
          <cell r="A73">
            <v>3257</v>
          </cell>
          <cell r="B73" t="str">
            <v>Dr. Pallavee</v>
          </cell>
          <cell r="C73">
            <v>9990359025</v>
          </cell>
          <cell r="D73" t="str">
            <v>T-6/603, Orchid Petals</v>
          </cell>
          <cell r="E73" t="str">
            <v>Sohna Road 1</v>
          </cell>
          <cell r="F73" t="str">
            <v>Friday</v>
          </cell>
          <cell r="G73" t="str">
            <v>4 Pm to 7 PM</v>
          </cell>
          <cell r="H73">
            <v>999</v>
          </cell>
          <cell r="I73">
            <v>249.75</v>
          </cell>
          <cell r="J73" t="str">
            <v>Delight</v>
          </cell>
          <cell r="K73" t="str">
            <v>From Pallavee Rajboganshi // Hold n start after 20th (03/05) Alstroemeria Next (06/06)</v>
          </cell>
          <cell r="M73" t="str">
            <v>Alstroemeria next (06/06)</v>
          </cell>
          <cell r="N73" t="str">
            <v>4  del of this cycle   -  0-cycles pmnt   CompletedNO COLLECTION-we have extra money - Collect -4</v>
          </cell>
          <cell r="O73" t="e">
            <v>#N/A</v>
          </cell>
          <cell r="P73" t="e">
            <v>#N/A</v>
          </cell>
          <cell r="Q73" t="str">
            <v>R n W Car ( 14 inch ) 9     FF Sachet + Grass</v>
          </cell>
          <cell r="R73" t="str">
            <v>O Asiatic ( 15 Inch ) 2     Grass</v>
          </cell>
          <cell r="S73" t="str">
            <v>P n W Glad ( 14 Inch ) 9     Grass</v>
          </cell>
          <cell r="T73" t="str">
            <v>Mix Alstroemeria ( 12 Inch ) 9     FF Sachet + Grass</v>
          </cell>
        </row>
        <row r="74">
          <cell r="A74">
            <v>1974</v>
          </cell>
          <cell r="B74" t="str">
            <v>Suruchi Maitra</v>
          </cell>
          <cell r="C74">
            <v>9810239177</v>
          </cell>
          <cell r="D74" t="str">
            <v>D-98, Vipul World</v>
          </cell>
          <cell r="E74" t="str">
            <v>Sohna Road 2</v>
          </cell>
          <cell r="F74" t="str">
            <v>Friday</v>
          </cell>
          <cell r="G74" t="str">
            <v>9 AM - 12 PM</v>
          </cell>
          <cell r="H74">
            <v>2750</v>
          </cell>
          <cell r="I74">
            <v>687.5</v>
          </cell>
          <cell r="J74" t="str">
            <v>Elation</v>
          </cell>
          <cell r="K74" t="str">
            <v>No Spray Daisy (03/10) Now upgrade to Elation (14/10) Hold n start from 6th Jan (17/12) Hold n strat from 30th June (10/06) Hold n start from 5th Jan (30/12) Skip 1 week (06/06) Skip 1 week (22/06) Hold today and send after 29th (20'/12) Skip 2 week (21/06) Skip 2 week (18/12)</v>
          </cell>
          <cell r="N74" t="str">
            <v>2  del of this cycle   -  0-cycles pmnt   Completed - Collect 0</v>
          </cell>
          <cell r="O74" t="str">
            <v>Sunflower ( 15 inch) 7     2 Gypsola</v>
          </cell>
          <cell r="P74" t="str">
            <v>P n W Glad ( 14 inch ) 22     2 Limonium</v>
          </cell>
          <cell r="Q74" t="str">
            <v>P Asiatic ( 15 inch ) 6     2 Gypsola</v>
          </cell>
          <cell r="R74" t="str">
            <v>P n W Spray Daisy ( 15 Inch ) 10     2 Limonium + Ff Sachet</v>
          </cell>
          <cell r="S74" t="str">
            <v>Pur n P Eustoma ( 14 Inch ) 6     2 Gypsola + FF Sachet</v>
          </cell>
          <cell r="T74" t="str">
            <v>Pur n P Car ( 14 Inch ) 32     2 Limonium + FF sachet</v>
          </cell>
        </row>
        <row r="75">
          <cell r="A75">
            <v>2454</v>
          </cell>
          <cell r="B75" t="str">
            <v>Vipin</v>
          </cell>
          <cell r="C75" t="str">
            <v>9555977401 // 9654829329</v>
          </cell>
          <cell r="D75" t="str">
            <v>Villa / VB-5, Tata Primanti, Sec 72</v>
          </cell>
          <cell r="E75" t="str">
            <v>Badshahpur</v>
          </cell>
          <cell r="F75" t="str">
            <v>Friday</v>
          </cell>
          <cell r="G75" t="str">
            <v>9 AM - 12 PM</v>
          </cell>
          <cell r="H75">
            <v>1950</v>
          </cell>
          <cell r="I75">
            <v>487.5</v>
          </cell>
          <cell r="J75" t="str">
            <v>Joy</v>
          </cell>
          <cell r="K75" t="str">
            <v>Send in evening slot tom (11/03) Paytm From Hina Kapoor (06/04) Send replacement Tom (17/05) Send replacement of W Eustoma (17/05) Paytm from Tarun Kumar (15/95) Replacement tom (16/05)</v>
          </cell>
          <cell r="N75" t="str">
            <v>3  del of this cycle   -  0-cycles pmnt   Completed - Collect 0</v>
          </cell>
          <cell r="O75" t="str">
            <v>P n W Spray Daisy ( 15 inch ) 4 R n W Car 11   FF Sachet + Grass</v>
          </cell>
          <cell r="P75" t="str">
            <v>Sunflower ( 15 inch ) 3 Mix Alstroemeria ( 14 inch ) 10 Ensure Collection Ensure Collection Grass</v>
          </cell>
          <cell r="Q75" t="str">
            <v>W Eustoma ( 14 inch ) 2 P n W Glad ( 14 inch ) 11   FF Sachet + Grass</v>
          </cell>
          <cell r="R75" t="str">
            <v>O Asiatic ( 15 Inch ) 2 P n W Car ( 14 Inch ) 11   Grass</v>
          </cell>
          <cell r="S75" t="str">
            <v>P n Y Spray Daisy ( 14 Inch ) 4 Mix Alstroemeria ( 12 Inch ) 11   FF Sachet + Grass</v>
          </cell>
          <cell r="T75" t="str">
            <v>Sunflower ( 12 Inch ) 3 P n W Glad ( 14 Inch ) 11   FF Sachet + Grass</v>
          </cell>
        </row>
        <row r="76">
          <cell r="A76">
            <v>3077</v>
          </cell>
          <cell r="B76" t="str">
            <v>Shweta Katiyar</v>
          </cell>
          <cell r="C76">
            <v>9999435065</v>
          </cell>
          <cell r="D76" t="str">
            <v>G-122, DLF Primus, Sec 82 A</v>
          </cell>
          <cell r="E76" t="str">
            <v>Manesar</v>
          </cell>
          <cell r="F76" t="str">
            <v>Friday</v>
          </cell>
          <cell r="G76" t="str">
            <v>4 PM to 7 PM</v>
          </cell>
          <cell r="H76">
            <v>1950</v>
          </cell>
          <cell r="I76">
            <v>487.5</v>
          </cell>
          <cell r="J76" t="str">
            <v>Joy</v>
          </cell>
          <cell r="K76" t="str">
            <v>No Eustoma// Skip tom (31/12/25) Replacement of guldawari tom (16/01)</v>
          </cell>
          <cell r="L76" t="str">
            <v>Eustoma</v>
          </cell>
          <cell r="N76" t="str">
            <v>3  del of this cycle   -  0-cycles pmnt   Completed - Collect 0</v>
          </cell>
          <cell r="O76" t="str">
            <v>BOP 2 P n W Gerbera ( 14 inch ) 11   FF Sachet + Grass</v>
          </cell>
          <cell r="P76" t="str">
            <v>P n W Spray Daisy ( 15 inch ) 4 Mix Alstroemeria ( 14 inch ) 10   FF Sachet + Grass</v>
          </cell>
          <cell r="Q76" t="str">
            <v>Sunflower ( 15 inch ) 3 P n W Glad ( 14 inch ) 11   Grass</v>
          </cell>
          <cell r="R76" t="str">
            <v>P Asiatic ( 15 Inch ) 2 P n W Car ( 14 Inch ) 11   Grass</v>
          </cell>
          <cell r="S76" t="str">
            <v>Pur Eustom ( 14 Inch ) 2 Mix Alstroemeria ( 12 Inch ) 11   FF Sachet + Grass</v>
          </cell>
          <cell r="T76" t="str">
            <v>P n Y Spray Daisy ( 14 Inch ) 4 P n W Glad ( 14 Inch ) 11   FF Sachet + Grass</v>
          </cell>
        </row>
        <row r="77">
          <cell r="A77">
            <v>43</v>
          </cell>
          <cell r="B77" t="str">
            <v>Ms. Arpita Bhargava</v>
          </cell>
          <cell r="C77">
            <v>9953515520</v>
          </cell>
          <cell r="D77" t="str">
            <v>T-4/1701,Tata Primanty,Sector-72</v>
          </cell>
          <cell r="E77" t="str">
            <v>Sohna Road 2</v>
          </cell>
          <cell r="F77" t="str">
            <v>Friday</v>
          </cell>
          <cell r="G77" t="str">
            <v>9 AM - 12 PM</v>
          </cell>
          <cell r="H77">
            <v>999</v>
          </cell>
          <cell r="I77">
            <v>249.75</v>
          </cell>
          <cell r="J77" t="str">
            <v>Delight</v>
          </cell>
          <cell r="K77"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77" t="str">
            <v>GERBERA n ROSE</v>
          </cell>
          <cell r="N77" t="str">
            <v>2  del of this cycle   -  1-cycles pmnt   Pending - Collect 999</v>
          </cell>
          <cell r="O77" t="str">
            <v>Pur Eustoma ( 14 inch )  2     Grass</v>
          </cell>
          <cell r="P77" t="str">
            <v>P n W Glad ( 14 inch ) 9     Grass</v>
          </cell>
          <cell r="Q77" t="str">
            <v>Y Spray Daisy ( 15 inch ) 3 Sunflower ( 15 inch ) 2   FF Sachet + Grass</v>
          </cell>
          <cell r="R77" t="str">
            <v>P Asiatic ( 15 Inch ) 2     Grass</v>
          </cell>
          <cell r="S77" t="str">
            <v>P n W Car ( 14 Inch ) 9     FF Sachet + Grass</v>
          </cell>
          <cell r="T77" t="str">
            <v>Mix Alstroemeria ( 12 Inch ) 9     FF Sachet + Grass</v>
          </cell>
        </row>
        <row r="78">
          <cell r="A78">
            <v>2652</v>
          </cell>
          <cell r="B78" t="str">
            <v>Shilpi Samantray</v>
          </cell>
          <cell r="C78">
            <v>8527486150</v>
          </cell>
          <cell r="D78" t="str">
            <v>Q-294, DLF Ultima</v>
          </cell>
          <cell r="E78" t="str">
            <v>Manesar</v>
          </cell>
          <cell r="F78" t="str">
            <v>Friday</v>
          </cell>
          <cell r="G78" t="str">
            <v>4 Pm to 7 PM</v>
          </cell>
          <cell r="H78">
            <v>1450</v>
          </cell>
          <cell r="I78">
            <v>362.5</v>
          </cell>
          <cell r="J78" t="str">
            <v>Bliss</v>
          </cell>
          <cell r="K78"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78" t="str">
            <v>lilies n Glad</v>
          </cell>
          <cell r="M78" t="str">
            <v>More Eustoams</v>
          </cell>
          <cell r="N78" t="str">
            <v>3  del of this cycle   -  0-cycles pmnt   Completed - Collect 0</v>
          </cell>
          <cell r="O78" t="str">
            <v>P Spray Daisy ( 16 Inch) 3 R n W Car 7   FF Sachet + Grass</v>
          </cell>
          <cell r="P78" t="e">
            <v>#N/A</v>
          </cell>
          <cell r="Q78" t="e">
            <v>#N/A</v>
          </cell>
          <cell r="R78" t="e">
            <v>#N/A</v>
          </cell>
          <cell r="S78" t="str">
            <v>O Asiatic ( 14 Inch ) 2 P n W Glad ( 14 Inch ) 7   Grass</v>
          </cell>
          <cell r="T78" t="str">
            <v>Pur Eustoma ( 12 Inch ) 2 Mix Alstroemeria ( 12 Inch ) 7   FF Sachet + Grass</v>
          </cell>
        </row>
        <row r="79">
          <cell r="A79">
            <v>2190</v>
          </cell>
          <cell r="B79" t="str">
            <v>Vismit Sharma</v>
          </cell>
          <cell r="C79">
            <v>9205393464</v>
          </cell>
          <cell r="D79" t="str">
            <v>R-164, DLF Ultima, Sec 81</v>
          </cell>
          <cell r="E79" t="str">
            <v>Manesar</v>
          </cell>
          <cell r="F79" t="str">
            <v>Friday</v>
          </cell>
          <cell r="G79" t="str">
            <v>4 Pm to 7 PM</v>
          </cell>
          <cell r="H79">
            <v>1950</v>
          </cell>
          <cell r="I79">
            <v>487.5</v>
          </cell>
          <cell r="J79" t="str">
            <v>Joy</v>
          </cell>
          <cell r="K79" t="str">
            <v>Skip 2 week (22/02) Skip 1 week (12/03) Skip 1 week (10/03) Skip 1 week (24/07) Skip 1 week (04/09) Skip 2 week (25/09) Hold n start from Jan (12/12)</v>
          </cell>
          <cell r="N79" t="str">
            <v>1  del of this cycle   -  0-cycles pmnt   Completed - Collect 0</v>
          </cell>
          <cell r="O79" t="str">
            <v>Shd Pur n O Car 22     FF Sachet + Grass</v>
          </cell>
          <cell r="P79" t="str">
            <v>Mix Alstroemeria ( 14 inch ) 22     FF Sachet + Grass</v>
          </cell>
          <cell r="Q79" t="str">
            <v>P n W Glad ( 14 inch ) 22     FF Sachet + Grass</v>
          </cell>
          <cell r="R79" t="str">
            <v>Y Orchid  7     FF Sachet + Grass</v>
          </cell>
          <cell r="S79" t="str">
            <v>P n Y Spray Daisy ( 14 Inch ) 7     FF Sachet + Grass</v>
          </cell>
          <cell r="T79" t="str">
            <v>Pur n P Car ( 14 Inch ) 22     FF Sachet + Grass</v>
          </cell>
        </row>
        <row r="80">
          <cell r="A80">
            <v>3322</v>
          </cell>
          <cell r="B80" t="str">
            <v>Bhavna Mishra</v>
          </cell>
          <cell r="C80">
            <v>9701147470</v>
          </cell>
          <cell r="D80" t="str">
            <v>Tower-A/701, Tulip Ivory, Sec 70</v>
          </cell>
          <cell r="E80" t="str">
            <v>Badshahpur</v>
          </cell>
          <cell r="F80" t="str">
            <v>Friday</v>
          </cell>
          <cell r="G80" t="str">
            <v>10 AM to 2:30 PM</v>
          </cell>
          <cell r="H80">
            <v>1450</v>
          </cell>
          <cell r="I80">
            <v>362.5</v>
          </cell>
          <cell r="J80" t="str">
            <v>Bliss</v>
          </cell>
          <cell r="K80" t="str">
            <v>Four Plus 1 Pack// No Sunflower n Alstroemeria (22/05)</v>
          </cell>
          <cell r="L80" t="str">
            <v>Sunflower n Alstroemeria (22/05)</v>
          </cell>
          <cell r="N80" t="str">
            <v>4  del of this cycle   -  0-cycles pmnt   Completed - Collect 0</v>
          </cell>
          <cell r="O80" t="str">
            <v>P n W Spray Daisy ( 15 inch ) 5     FF Sachet + Grass</v>
          </cell>
          <cell r="P80" t="str">
            <v>Mix Alstroemeria ( 14 inch ) 16     FF Sachet + Grass</v>
          </cell>
          <cell r="Q80" t="str">
            <v>R n W Car ( 14 inch ) 16     FF Sachet + Grass</v>
          </cell>
          <cell r="R80" t="str">
            <v>P Asiatic ( 15 Inch ) 3     Grass</v>
          </cell>
          <cell r="S80" t="str">
            <v>P n W Glad ( 14 Inch ) 16     Grass</v>
          </cell>
          <cell r="T80" t="str">
            <v>P n Y Spray Daisy ( 14 Inch ) 5     FF Sachet + Grass</v>
          </cell>
        </row>
        <row r="81">
          <cell r="A81">
            <v>2688</v>
          </cell>
          <cell r="B81" t="str">
            <v>Shabnam Chaudhari</v>
          </cell>
          <cell r="C81">
            <v>9810042409</v>
          </cell>
          <cell r="D81" t="str">
            <v>B-1902, Bestech Parkview Grandspa, Sec 81</v>
          </cell>
          <cell r="E81" t="str">
            <v>Manesar</v>
          </cell>
          <cell r="F81" t="str">
            <v>Friday</v>
          </cell>
          <cell r="G81" t="str">
            <v>4 PM to 7 PM</v>
          </cell>
          <cell r="H81">
            <v>999</v>
          </cell>
          <cell r="I81">
            <v>249.75</v>
          </cell>
          <cell r="J81" t="str">
            <v>Delight</v>
          </cell>
          <cell r="K81" t="str">
            <v>Only Seasonals (23/05) No Glad (06/06) No Yellow n white (15/06) 1 Stem extra (07/11) No Gerbera and do not count todays delivery (30/01) Next 2 time premium (07/03) Do not count todays delivery (27/03) 2 Stem extra next (01/05) No Gerbera and do not count last delivery (09/05) Only gerbera restricted (10/05)</v>
          </cell>
          <cell r="L81" t="str">
            <v>Gerbera</v>
          </cell>
          <cell r="M81" t="str">
            <v>Seasonal Only // 2 stem extra next (01/05)</v>
          </cell>
          <cell r="N81" t="str">
            <v>3  del of this cycle   -  0-cycles pmnt   Completed - Collect 0</v>
          </cell>
          <cell r="O81" t="str">
            <v>P n Y Gerbera ( 14 inch) 11     FF Sachet + Grass</v>
          </cell>
          <cell r="P81" t="str">
            <v>P n W Glad ( 14 inch ) 9     Grass</v>
          </cell>
          <cell r="Q81" t="str">
            <v>P n W Car ( 14 inch ) 9     FF Sachet + Grass</v>
          </cell>
          <cell r="R81" t="e">
            <v>#N/A</v>
          </cell>
          <cell r="S81" t="str">
            <v>Mix Alstroemeria ( 12 Inch ) 9     FF Sachet + Grass</v>
          </cell>
          <cell r="T81" t="str">
            <v>Rajni ( 14 Inch ) 9     Grass</v>
          </cell>
        </row>
        <row r="82">
          <cell r="A82">
            <v>2311</v>
          </cell>
          <cell r="B82" t="str">
            <v>Ranjeeta Sanghvi</v>
          </cell>
          <cell r="C82">
            <v>9986593206</v>
          </cell>
          <cell r="D82" t="str">
            <v>T-3/TH-B, Bellevue. Central Park 2</v>
          </cell>
          <cell r="E82" t="str">
            <v>Sohna Road 2</v>
          </cell>
          <cell r="F82" t="str">
            <v>Friday</v>
          </cell>
          <cell r="G82" t="str">
            <v>9 AM - 12 PM</v>
          </cell>
          <cell r="H82">
            <v>999</v>
          </cell>
          <cell r="I82">
            <v>249.75</v>
          </cell>
          <cell r="J82" t="str">
            <v>Delight</v>
          </cell>
          <cell r="N82" t="str">
            <v>4  del of this cycle   -  0-cycles pmnt   Completed - Collect 0</v>
          </cell>
          <cell r="O82" t="str">
            <v>R n W Car 9     FF Sachet + Grass</v>
          </cell>
          <cell r="P82" t="str">
            <v>Sunflower ( 15 inch ) 2     Grass</v>
          </cell>
          <cell r="Q82" t="str">
            <v>P Spray Daisy ( 15 inch ) 3 P n W Glad ( 14 inch ) 9   FF Sachet + Grass</v>
          </cell>
          <cell r="R82" t="str">
            <v>Mix Alstroemeria ( 12 Inch ) 9     FF Sachet + Grass</v>
          </cell>
          <cell r="S82" t="str">
            <v>P n W Glad ( 14 Inch ) 9     Grass</v>
          </cell>
          <cell r="T82" t="str">
            <v>Pur n P Car ( 14 Inch ) 9     FF Sachet + Grass</v>
          </cell>
        </row>
        <row r="83">
          <cell r="A83">
            <v>3290</v>
          </cell>
          <cell r="B83" t="str">
            <v>Ambika Anand</v>
          </cell>
          <cell r="C83">
            <v>8789906098</v>
          </cell>
          <cell r="D83" t="str">
            <v>T-A2/401, Tulip Orange, Sec 70</v>
          </cell>
          <cell r="E83" t="str">
            <v>Badshahpur</v>
          </cell>
          <cell r="F83" t="str">
            <v>Friday</v>
          </cell>
          <cell r="G83" t="str">
            <v>9 AM - 12 PM</v>
          </cell>
          <cell r="H83">
            <v>1450</v>
          </cell>
          <cell r="I83">
            <v>362.5</v>
          </cell>
          <cell r="J83" t="str">
            <v>Bliss</v>
          </cell>
          <cell r="N83" t="str">
            <v>1  del of this cycle   -  1-cycles pmnt   Pending - Collect 1450</v>
          </cell>
          <cell r="O83" t="str">
            <v>P n W Glad ( 15 inch) 16     Grass</v>
          </cell>
          <cell r="P83" t="str">
            <v>Asiatic 3     FF Sachet + Grass</v>
          </cell>
          <cell r="Q83" t="str">
            <v>Sunflower ( 15 inch ) 4     Grass</v>
          </cell>
          <cell r="R83" t="str">
            <v>R n W Car ( 14 Inch ) 16     FF Sachet + Grass</v>
          </cell>
          <cell r="S83" t="str">
            <v>P n Y Spray Daisy ( 14 Inch ) 5     FF Sachet + Grass</v>
          </cell>
          <cell r="T83" t="str">
            <v>P n W Glad ( 14 Inch ) 16     Grass</v>
          </cell>
        </row>
        <row r="84">
          <cell r="A84">
            <v>1389</v>
          </cell>
          <cell r="B84" t="str">
            <v>Revathi-- After 5 PM</v>
          </cell>
          <cell r="C84">
            <v>9811998878</v>
          </cell>
          <cell r="D84" t="str">
            <v>A-1201, The Emaar Palm Drive</v>
          </cell>
          <cell r="E84" t="str">
            <v>Badshahpur</v>
          </cell>
          <cell r="F84" t="str">
            <v>Friday</v>
          </cell>
          <cell r="G84" t="str">
            <v>4 PM to 7PM</v>
          </cell>
          <cell r="H84">
            <v>3850</v>
          </cell>
          <cell r="I84">
            <v>481.25</v>
          </cell>
          <cell r="J84" t="str">
            <v>Grace</v>
          </cell>
          <cell r="K84"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84" t="str">
            <v>Gerbera n ORCHID</v>
          </cell>
          <cell r="N84" t="str">
            <v>4  del of this cycle   -  0-cycles pmnt   Completed - Collect 0</v>
          </cell>
          <cell r="O84" t="str">
            <v>BOP 4     FF Sachet + Grass</v>
          </cell>
          <cell r="P84" t="str">
            <v>P n W Car ( 14 inch ) 20     FF Sachet + Grass</v>
          </cell>
          <cell r="Q84" t="str">
            <v>P n W Glad ( 16 Inch) 20     Grass</v>
          </cell>
          <cell r="R84" t="str">
            <v>Sunflower ( 14 Inch ) 5     Grass</v>
          </cell>
          <cell r="S84" t="str">
            <v>Pur n P Eustoma ( 14 Inch ) 4     FF Sachet + Grass</v>
          </cell>
          <cell r="T84" t="str">
            <v>Rajni ( 14 Inch ) 20     Grass</v>
          </cell>
        </row>
        <row r="85">
          <cell r="A85">
            <v>3013</v>
          </cell>
          <cell r="B85" t="str">
            <v>Surabhi Sukriti</v>
          </cell>
          <cell r="C85">
            <v>8652750573</v>
          </cell>
          <cell r="D85" t="str">
            <v>D-804, Bestech Park Viw Spa Next, Sec 67</v>
          </cell>
          <cell r="E85" t="str">
            <v>Badshahpur</v>
          </cell>
          <cell r="F85" t="str">
            <v>Friday</v>
          </cell>
          <cell r="G85" t="str">
            <v>4 PM to 7 PM</v>
          </cell>
          <cell r="H85">
            <v>1450</v>
          </cell>
          <cell r="I85">
            <v>362.5</v>
          </cell>
          <cell r="J85" t="str">
            <v>Bliss</v>
          </cell>
          <cell r="K85" t="str">
            <v>Skip 1 week (01/10) Add changed (05/04)</v>
          </cell>
          <cell r="N85" t="str">
            <v>3  del of this cycle   -  0-cycles pmnt   Completed - Collect 0</v>
          </cell>
          <cell r="O85" t="str">
            <v>G Button Daisy 3 Alstomeria 7   FF Sachet + Grass</v>
          </cell>
          <cell r="P85" t="str">
            <v>Eustoma 2 P n W Glad ( 14 inch ) 7   Grass</v>
          </cell>
          <cell r="Q85" t="str">
            <v>Sunflower ( 15 inch ) 2 P n W Car ( 14 inch ) 7   FF Sachet + Grass</v>
          </cell>
          <cell r="R85" t="str">
            <v>O Asiatic ( 15 Inch ) 2 Mix Alstroemeria ( 12 Inch )  7   Grass</v>
          </cell>
          <cell r="S85" t="str">
            <v>P Spray Daisy ( 14 Inch ) 3 P n W Glad ( 14 Inch ) 7   FF Sachet + Grass</v>
          </cell>
          <cell r="T85" t="str">
            <v>Pur Eustoma ( 12 Inch ) 2 Pur n P Car ( 14 Inch ) 7   FF Sachet + Grass</v>
          </cell>
        </row>
        <row r="86">
          <cell r="A86">
            <v>1996</v>
          </cell>
          <cell r="B86" t="str">
            <v>Ankita Sethi</v>
          </cell>
          <cell r="C86">
            <v>9899660037</v>
          </cell>
          <cell r="D86" t="str">
            <v>C1/202, Vatika City, Sec 49</v>
          </cell>
          <cell r="E86" t="str">
            <v>Sohna Road 1</v>
          </cell>
          <cell r="F86" t="str">
            <v>Friday</v>
          </cell>
          <cell r="G86" t="str">
            <v>9 AM - 12 PM</v>
          </cell>
          <cell r="H86">
            <v>1450</v>
          </cell>
          <cell r="I86">
            <v>362.5</v>
          </cell>
          <cell r="J86" t="str">
            <v>Bliss</v>
          </cell>
          <cell r="K86"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86" t="str">
            <v>GLAD n HELICONIA</v>
          </cell>
          <cell r="N86" t="str">
            <v>2  del of this cycle   -  1-cycles pmnt   Pending - Collect 1450</v>
          </cell>
          <cell r="O86" t="str">
            <v>P Eustoma ( 14 inch ) 3     FF Sachet + Grass</v>
          </cell>
          <cell r="P86" t="str">
            <v>R n W Car ( 14 inch ) 16     FF Sachet + Grass</v>
          </cell>
          <cell r="Q86" t="str">
            <v>Glad 16     FF Sachet + Grass</v>
          </cell>
          <cell r="R86" t="str">
            <v>P Asiatic ( 15 Inch ) 3     Grass</v>
          </cell>
          <cell r="S86" t="str">
            <v>P n Y Spray Daisy ( 14 Inch ) 5     FF Sachet + Grass</v>
          </cell>
          <cell r="T86" t="str">
            <v>Sunflower ( 12 Inch ) 4     FF Sachet + Grass</v>
          </cell>
        </row>
        <row r="87">
          <cell r="A87">
            <v>2599</v>
          </cell>
          <cell r="B87" t="str">
            <v>Huma Rizvi</v>
          </cell>
          <cell r="C87">
            <v>8527379089</v>
          </cell>
          <cell r="D87" t="str">
            <v>9C-Tower P, Central Park Resort</v>
          </cell>
          <cell r="E87" t="str">
            <v>Sohna Road 2</v>
          </cell>
          <cell r="F87" t="str">
            <v>Friday</v>
          </cell>
          <cell r="G87" t="str">
            <v>9 AM to 2 PM</v>
          </cell>
          <cell r="H87">
            <v>999</v>
          </cell>
          <cell r="I87">
            <v>249.75</v>
          </cell>
          <cell r="J87" t="str">
            <v>Delight</v>
          </cell>
          <cell r="K87" t="str">
            <v>Hold n start frommid july and confirm before sending (15/06) Hold till 5th Oct (12/09) No Sunflower (06/04)</v>
          </cell>
          <cell r="L87" t="str">
            <v>Glad</v>
          </cell>
          <cell r="N87" t="str">
            <v>4  del of this cycle   -  0-cycles pmnt   Completed - Collect 0</v>
          </cell>
          <cell r="O87" t="str">
            <v>R n W Car 9     FF Sachet + Grass</v>
          </cell>
          <cell r="P87" t="str">
            <v>Sunflower ( 15 inch ) 2     Grass</v>
          </cell>
          <cell r="Q87" t="str">
            <v>P Spray Daisy ( 15 inch ) 3     FF Sachet + Grass</v>
          </cell>
          <cell r="R87" t="str">
            <v>Mix Alstroemeria ( 12 Inch ) 9     FF Sachet + Grass</v>
          </cell>
          <cell r="S87" t="str">
            <v>O Asiatic ( 14 Inch ) 2     Grass</v>
          </cell>
          <cell r="T87" t="str">
            <v>Pur n P Car ( 14 Inch ) 9     FF Sachet + Grass</v>
          </cell>
        </row>
        <row r="88">
          <cell r="A88">
            <v>2018</v>
          </cell>
          <cell r="B88" t="str">
            <v>Lakshmi Shankaran</v>
          </cell>
          <cell r="C88">
            <v>9818054747</v>
          </cell>
          <cell r="D88" t="str">
            <v>C2/202,  Sovereign Vatika City</v>
          </cell>
          <cell r="E88" t="str">
            <v>Sohna Road 1</v>
          </cell>
          <cell r="F88" t="str">
            <v>Friday</v>
          </cell>
          <cell r="G88" t="str">
            <v>9 AM - 12 PM</v>
          </cell>
          <cell r="H88">
            <v>1450</v>
          </cell>
          <cell r="I88">
            <v>362.5</v>
          </cell>
          <cell r="J88" t="str">
            <v>Bliss</v>
          </cell>
          <cell r="K88"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v>
          </cell>
          <cell r="L88" t="str">
            <v>GERBERA n GLAD</v>
          </cell>
          <cell r="N88" t="str">
            <v>2  del of this cycle   -  0-cycles pmnt   Completed - Collect 0</v>
          </cell>
          <cell r="O88" t="str">
            <v>O Asiatic ( 16 inch) 3     Grass</v>
          </cell>
          <cell r="P88" t="e">
            <v>#N/A</v>
          </cell>
          <cell r="Q88" t="str">
            <v>P n Y Spray Daisy ( 15 inch ) 5     FF Sachet + Grass</v>
          </cell>
          <cell r="R88" t="e">
            <v>#N/A</v>
          </cell>
          <cell r="S88" t="str">
            <v>Mix Alstroemeria ( 12 Inch ) 16     FF Sachet + Grass</v>
          </cell>
          <cell r="T88" t="str">
            <v>W Asiatic ( 14 inch ) 3     Grass</v>
          </cell>
        </row>
        <row r="89">
          <cell r="A89">
            <v>296</v>
          </cell>
          <cell r="B89" t="str">
            <v>Madhu Thapliyal</v>
          </cell>
          <cell r="C89">
            <v>9999364696</v>
          </cell>
          <cell r="D89" t="str">
            <v>2/201, Sovereign, Vatika City</v>
          </cell>
          <cell r="E89" t="str">
            <v>Sohna Road 1</v>
          </cell>
          <cell r="F89" t="str">
            <v>Friday</v>
          </cell>
          <cell r="G89" t="str">
            <v>9 AM - 12 PM</v>
          </cell>
          <cell r="H89">
            <v>1450</v>
          </cell>
          <cell r="I89">
            <v>362.5</v>
          </cell>
          <cell r="J89" t="str">
            <v>Bliss</v>
          </cell>
          <cell r="K89"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89" t="str">
            <v>GLAD n BOP</v>
          </cell>
          <cell r="M89" t="str">
            <v>Statice next (19/04)</v>
          </cell>
          <cell r="N89" t="str">
            <v>1  del of this cycle   -  1-cycles pmnt   Pending - Collect 1450</v>
          </cell>
          <cell r="O89" t="str">
            <v>R n W Car 16     FF Sachet + Grass</v>
          </cell>
          <cell r="P89" t="str">
            <v>P Asiatic ( 15 inch ) 3     Grass</v>
          </cell>
          <cell r="Q89" t="str">
            <v>Sunflower ( 15 inch ) 4     Grass</v>
          </cell>
          <cell r="R89" t="str">
            <v>Mix Alstroemeria ( 12 Inch ) 16     FF Sachet + Grass</v>
          </cell>
          <cell r="S89" t="str">
            <v>P n W Spray Daisy ( 14 Inch ) 5     FF Sachet + Grass</v>
          </cell>
          <cell r="T89" t="str">
            <v>Pur n P Car ( 14 Inch ) 16     FF Sachet + Grass</v>
          </cell>
        </row>
        <row r="90">
          <cell r="A90">
            <v>1467</v>
          </cell>
          <cell r="B90" t="str">
            <v>Priyanka Chaturvedi</v>
          </cell>
          <cell r="C90">
            <v>7838930274</v>
          </cell>
          <cell r="D90" t="str">
            <v xml:space="preserve">Flat No. A-303, The Peaceful Homes, Sec 70-A
</v>
          </cell>
          <cell r="E90" t="str">
            <v>Badshahpur</v>
          </cell>
          <cell r="F90" t="str">
            <v>Friday</v>
          </cell>
          <cell r="G90" t="str">
            <v>9 AM - 12 PM</v>
          </cell>
          <cell r="H90">
            <v>1600</v>
          </cell>
          <cell r="I90">
            <v>200</v>
          </cell>
          <cell r="J90" t="str">
            <v>Bloom</v>
          </cell>
          <cell r="K90"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0" t="str">
            <v>ROSE n SPRAY DAISY</v>
          </cell>
          <cell r="N90" t="str">
            <v>6  del of this cycle   -  0-cycles pmnt   Completed - Collect 0</v>
          </cell>
          <cell r="O90" t="str">
            <v>Y Spray Daisy ( 16 inch)  2     FF Sachet + Grass</v>
          </cell>
          <cell r="P90" t="str">
            <v>P n W Glad ( 14 inch ) 7     Grass</v>
          </cell>
          <cell r="Q90" t="str">
            <v>Rajni ( 16 inch ) 7     Grass</v>
          </cell>
          <cell r="R90" t="e">
            <v>#N/A</v>
          </cell>
          <cell r="S90" t="e">
            <v>#N/A</v>
          </cell>
          <cell r="T90" t="str">
            <v>Glad ( 12 Inch ) 7     Grass</v>
          </cell>
        </row>
        <row r="91">
          <cell r="A91">
            <v>3368</v>
          </cell>
          <cell r="B91" t="str">
            <v>Sugandha Goyal</v>
          </cell>
          <cell r="C91">
            <v>9971681194</v>
          </cell>
          <cell r="D91" t="str">
            <v>T-15/3C, Central Park Resorts</v>
          </cell>
          <cell r="E91" t="str">
            <v>Sohna Road 2</v>
          </cell>
          <cell r="F91" t="str">
            <v>Monday</v>
          </cell>
          <cell r="G91" t="str">
            <v>9 AM - 12 PM</v>
          </cell>
          <cell r="H91">
            <v>2300</v>
          </cell>
          <cell r="I91">
            <v>287.5</v>
          </cell>
          <cell r="J91" t="str">
            <v>Felicity</v>
          </cell>
          <cell r="N91" t="str">
            <v>8  del of this cycle   -  0-cycles pmnt   Completed - Collect 0</v>
          </cell>
          <cell r="O91" t="e">
            <v>#N/A</v>
          </cell>
          <cell r="P91" t="e">
            <v>#N/A</v>
          </cell>
          <cell r="Q91" t="str">
            <v>P n W Glad ( 16 Inch) 11     Grass</v>
          </cell>
          <cell r="R91" t="str">
            <v>O Asiatic ( 15 Inch ) 2     Grass</v>
          </cell>
          <cell r="S91" t="str">
            <v>P Spray Daisy ( 14 Inch ) 3     FF Sachet + Grass</v>
          </cell>
          <cell r="T91" t="str">
            <v>Mix Alstroemeria ( 12 Inch ) 11     FF Sachet + Grass</v>
          </cell>
        </row>
        <row r="92">
          <cell r="A92">
            <v>2674</v>
          </cell>
          <cell r="B92" t="str">
            <v>Jaspreet Dhillon</v>
          </cell>
          <cell r="C92">
            <v>9971159399</v>
          </cell>
          <cell r="D92" t="str">
            <v>T-2/204, Uniworld Garden -1</v>
          </cell>
          <cell r="E92" t="str">
            <v>Sohna Road 1</v>
          </cell>
          <cell r="F92" t="str">
            <v>Friday</v>
          </cell>
          <cell r="G92" t="str">
            <v>9 AM - 12 PM</v>
          </cell>
          <cell r="H92">
            <v>999</v>
          </cell>
          <cell r="I92">
            <v>249.75</v>
          </cell>
          <cell r="J92" t="str">
            <v>Delight</v>
          </cell>
          <cell r="K92"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92" t="str">
            <v>Sunflower</v>
          </cell>
          <cell r="N92" t="str">
            <v>1  del of this cycle   -  1-cycles pmnt   Pending - Collect 999</v>
          </cell>
          <cell r="O92" t="e">
            <v>#N/A</v>
          </cell>
          <cell r="P92" t="str">
            <v>R n W Car ( 14 inch ) 9     FF Sachet + Grass</v>
          </cell>
          <cell r="Q92" t="e">
            <v>#N/A</v>
          </cell>
          <cell r="R92" t="str">
            <v>P n W Glad ( 14 Inch ) 9     Grass</v>
          </cell>
          <cell r="S92" t="str">
            <v>P Asiatic ( 14 Inch ) 2     Grass</v>
          </cell>
          <cell r="T92" t="str">
            <v>Mix Alstroemeria ( 12 Inch ) 9     FF Sachet + Grass</v>
          </cell>
        </row>
        <row r="93">
          <cell r="A93">
            <v>2066</v>
          </cell>
          <cell r="B93" t="str">
            <v>Shilpi Tibrewal</v>
          </cell>
          <cell r="C93">
            <v>9999103067</v>
          </cell>
          <cell r="D93" t="str">
            <v>Tower-A/3803, Ireo Victory Valley, Sec 67</v>
          </cell>
          <cell r="E93" t="str">
            <v>Badshahpur</v>
          </cell>
          <cell r="F93" t="str">
            <v>Friday</v>
          </cell>
          <cell r="G93" t="str">
            <v>4 Pm to 7 PM</v>
          </cell>
          <cell r="H93">
            <v>1450</v>
          </cell>
          <cell r="I93">
            <v>362.5</v>
          </cell>
          <cell r="J93" t="str">
            <v>Bliss</v>
          </cell>
          <cell r="K93" t="str">
            <v>Either Rose or Car// Normal Flowers (04/05) Sent replacement today (26/08) Return yesterday (17/08) Today returned (25/07)</v>
          </cell>
          <cell r="N93" t="str">
            <v>1  del of this cycle   -  0-cycles pmnt   CompletedNO COLLECTION-we have extra money - Collect -50</v>
          </cell>
          <cell r="O93" t="str">
            <v>P n W Spray Daisy ( 15 inch ) 5     FF Sachet + Grass</v>
          </cell>
          <cell r="P93" t="str">
            <v>P n W Glad ( 14 inch ) 16     Grass</v>
          </cell>
          <cell r="Q93" t="str">
            <v>P Asiatic ( 15 inch ) 3     Grass</v>
          </cell>
          <cell r="R93" t="str">
            <v>R n W Car ( 14 Inch ) 16     FF Sachet + Grass</v>
          </cell>
          <cell r="S93" t="str">
            <v>Pur Eustom ( 14 Inch ) 3     FF Sachet + Grass</v>
          </cell>
          <cell r="T93" t="str">
            <v>P n Y Spray Daisy ( 14 Inch ) 5     FF Sachet + Grass</v>
          </cell>
        </row>
        <row r="94">
          <cell r="A94">
            <v>3011</v>
          </cell>
          <cell r="B94" t="str">
            <v>Nandita Sharma</v>
          </cell>
          <cell r="C94">
            <v>9702930000</v>
          </cell>
          <cell r="D94" t="str">
            <v>Sovereign-2/102, Vatila City</v>
          </cell>
          <cell r="E94" t="str">
            <v>Sohna Road 1</v>
          </cell>
          <cell r="F94" t="str">
            <v>Friday</v>
          </cell>
          <cell r="G94" t="str">
            <v>9 AM to 2 PM</v>
          </cell>
          <cell r="H94">
            <v>1450</v>
          </cell>
          <cell r="I94">
            <v>362.5</v>
          </cell>
          <cell r="J94" t="str">
            <v>Bliss</v>
          </cell>
          <cell r="K94" t="str">
            <v>Hld till 8th Mar (22/02)</v>
          </cell>
          <cell r="N94" t="str">
            <v>1  del of this cycle   -  1-cycles pmnt   Pending - Collect 1450</v>
          </cell>
          <cell r="O94" t="str">
            <v>Y Spray Daisy ( 16 inch)  3 Alstromia 7   FF Sachet + Grass</v>
          </cell>
          <cell r="P94" t="str">
            <v>Bop 2 P n W Glad ( 14 inch ) 7   FF Sachet + Grass</v>
          </cell>
          <cell r="Q94" t="str">
            <v>Sunflower ( 15 inch ) 2 P n W Car ( 14 inch ) 7   FF Sachet + Grass</v>
          </cell>
          <cell r="R94" t="str">
            <v>O Asiatic ( 15 Inch ) 2 Mix Alstroemeria ( 12 Inch )  7   Grass</v>
          </cell>
          <cell r="S94" t="str">
            <v>P Spray Daisy ( 14 Inch ) 3 P n W Glad ( 14 Inch ) 7   FF Sachet + Grass</v>
          </cell>
          <cell r="T94" t="str">
            <v>Pur Eustoma ( 12 Inch ) 2 Pur n P Car ( 14 Inch ) 7   FF Sachet + Grass</v>
          </cell>
        </row>
        <row r="95">
          <cell r="A95">
            <v>1571</v>
          </cell>
          <cell r="B95" t="str">
            <v>Mohar Ray Dahiya</v>
          </cell>
          <cell r="C95">
            <v>9910019898</v>
          </cell>
          <cell r="D95" t="str">
            <v>Sovereign-3/201, Vatika City</v>
          </cell>
          <cell r="E95" t="str">
            <v>Sohna Road 1</v>
          </cell>
          <cell r="F95" t="str">
            <v>Friday</v>
          </cell>
          <cell r="G95" t="str">
            <v>9 AM to 2 PM</v>
          </cell>
          <cell r="H95">
            <v>1600</v>
          </cell>
          <cell r="I95">
            <v>200</v>
          </cell>
          <cell r="J95" t="str">
            <v>Bloom</v>
          </cell>
          <cell r="K95"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95" t="str">
            <v>BOP n GERBERA</v>
          </cell>
          <cell r="N95" t="str">
            <v>5  del of this cycle   -  0-cycles pmnt   Completed - Collect 0</v>
          </cell>
          <cell r="O95" t="str">
            <v>Sunflower ( 15 inch) 2     Grass</v>
          </cell>
          <cell r="P95" t="str">
            <v>P n W Car ( 14 inch ) 7     FF Sachet + Grass</v>
          </cell>
          <cell r="Q95" t="str">
            <v>Rajni ( 16 inch ) 7     Grass</v>
          </cell>
          <cell r="R95" t="str">
            <v>P n W Glad ( 14 Inch ) 7     Grass</v>
          </cell>
          <cell r="S95" t="str">
            <v>R n W Car ( 14 Inch ) 7     FF Sachet + Grass</v>
          </cell>
          <cell r="T95" t="str">
            <v>Rajni ( 14 Inch ) 7     Grass</v>
          </cell>
        </row>
        <row r="96">
          <cell r="A96">
            <v>3076</v>
          </cell>
          <cell r="B96" t="str">
            <v>Aishwarya -- Acacia</v>
          </cell>
          <cell r="C96">
            <v>8454952029</v>
          </cell>
          <cell r="D96" t="str">
            <v>11/2, Acacia, Vatika City</v>
          </cell>
          <cell r="E96" t="str">
            <v>Sohna Road 1</v>
          </cell>
          <cell r="F96" t="str">
            <v>Friday</v>
          </cell>
          <cell r="G96" t="str">
            <v>9 AM - 12 PM</v>
          </cell>
          <cell r="H96">
            <v>2750</v>
          </cell>
          <cell r="I96">
            <v>687.5</v>
          </cell>
          <cell r="J96" t="str">
            <v>Elation</v>
          </cell>
          <cell r="K96" t="str">
            <v>Upgrade to elation (06/11) Hold due to non payment (18/12) hold due to non payment (16/01)</v>
          </cell>
          <cell r="N96" t="str">
            <v>2  del of this cycle   -  0-cycles pmnt   Completed - Collect 0</v>
          </cell>
          <cell r="O96" t="str">
            <v>BOP 3 B Daisy 16   2 Gypsola</v>
          </cell>
          <cell r="P96" t="str">
            <v>P Asiatic ( 15 inch ) 3 Mix Alstroemeria ( 14 inch ) 16   2 Limonium</v>
          </cell>
          <cell r="Q96" t="str">
            <v>Sunflower ( 15 inch ) 4 P n W Glad ( 14 inch ) 15   2 Gypsola</v>
          </cell>
          <cell r="R96" t="str">
            <v>P n Y Spray Daisy ( 15 Inch ) 5 P n W Car ( 14 Inch ) 16   2 Limonium + Ff Sachet</v>
          </cell>
          <cell r="S96" t="str">
            <v>Pur Eustom ( 14 Inch ) 3 Mix Alstroemeria ( 12 Inch ) 16   2 Gypsola + FF Sachet</v>
          </cell>
          <cell r="T96" t="str">
            <v>Y Asiatic ( 14 Inch ) 3 P n W Glad ( 14 Inch ) 16   2 Limonium</v>
          </cell>
        </row>
        <row r="97">
          <cell r="A97">
            <v>152</v>
          </cell>
          <cell r="B97" t="str">
            <v xml:space="preserve">Manisha Kahai
</v>
          </cell>
          <cell r="C97">
            <v>9810013410</v>
          </cell>
          <cell r="D97" t="str">
            <v xml:space="preserve">Flat number 41, Jasminium 1, Vatika City, Sector 49 (Sohna Road)    Sec 49 Gurgaon  122001 
</v>
          </cell>
          <cell r="E97" t="str">
            <v>Sohna Road 1</v>
          </cell>
          <cell r="F97" t="str">
            <v>Friday</v>
          </cell>
          <cell r="G97" t="str">
            <v>9 AM - 12 PM</v>
          </cell>
          <cell r="H97">
            <v>1450</v>
          </cell>
          <cell r="I97">
            <v>362.5</v>
          </cell>
          <cell r="J97" t="str">
            <v>Bliss</v>
          </cell>
          <cell r="K97" t="str">
            <v>Day changed to Sat (25/02)Return-send tomorrow(03/11)Hold and start from 11th may(06/04) FF Sold today(03/08) FF Sold today n payment recvd(07/09) Holy Change(16/03) FF Next(20/03) Paytm from Manisha Singh (09/06) 250 returned via paytm (03/.11) Today Returned (18/07)</v>
          </cell>
          <cell r="N97" t="str">
            <v>1  del of this cycle   -  1-cycles pmnt   Pending - Collect 1450</v>
          </cell>
          <cell r="O97" t="str">
            <v>Pur Eustoma ( 14 inch )  3     FF Sachet + Grass</v>
          </cell>
          <cell r="P97" t="str">
            <v>P n Y Spray Daisy ( 15 inch ) 5     FF Sachet + Grass</v>
          </cell>
          <cell r="Q97" t="str">
            <v>P Asiatic ( 15 inch ) 3     Grass</v>
          </cell>
          <cell r="R97" t="str">
            <v>R n W Car ( 14 Inch ) 16     FF Sachet + Grass</v>
          </cell>
          <cell r="S97" t="str">
            <v>P n W Glad ( 14 Inch ) 16     Grass</v>
          </cell>
          <cell r="T97" t="str">
            <v>Sunflower ( 12 Inch ) 4     FF Sachet + Grass</v>
          </cell>
        </row>
        <row r="98">
          <cell r="A98">
            <v>36</v>
          </cell>
          <cell r="B98" t="str">
            <v>Ms. Anubha T Agarwal</v>
          </cell>
          <cell r="C98">
            <v>9818690761</v>
          </cell>
          <cell r="D98" t="str">
            <v>D-902, Park View City-1, Sohna Road</v>
          </cell>
          <cell r="E98" t="str">
            <v>Sohna Road 2</v>
          </cell>
          <cell r="F98" t="str">
            <v>Friday</v>
          </cell>
          <cell r="G98" t="str">
            <v>4 Pm to 7 PM</v>
          </cell>
          <cell r="H98">
            <v>999</v>
          </cell>
          <cell r="I98">
            <v>249.75</v>
          </cell>
          <cell r="J98" t="str">
            <v>Delight</v>
          </cell>
          <cell r="K98"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98" t="str">
            <v>2  del of this cycle   -  0-cycles pmnt   Completed - Collect 0</v>
          </cell>
          <cell r="O98" t="str">
            <v>Alstomeria 9     Grass</v>
          </cell>
          <cell r="P98" t="str">
            <v>P n W Glad ( 14 inch ) 9     Grass</v>
          </cell>
          <cell r="Q98" t="str">
            <v>R n W Car( 14 inch ) 9     FF Sachet + Grass</v>
          </cell>
          <cell r="R98" t="str">
            <v>O Asiatic ( 15 Inch ) 2     Grass</v>
          </cell>
          <cell r="S98" t="str">
            <v>Sunflower ( 12 Inch ) 2     FF Sachet + Grass</v>
          </cell>
          <cell r="T98" t="str">
            <v>P n W Glad ( 14 Inch ) 9     Grass</v>
          </cell>
        </row>
        <row r="99">
          <cell r="A99">
            <v>2678</v>
          </cell>
          <cell r="B99" t="str">
            <v>Saachi Satyaarth</v>
          </cell>
          <cell r="C99">
            <v>9643712005</v>
          </cell>
          <cell r="D99" t="str">
            <v>H-1504, Microtek Greenburg, Sec 86</v>
          </cell>
          <cell r="E99" t="str">
            <v>Manesar</v>
          </cell>
          <cell r="F99" t="str">
            <v>Friday</v>
          </cell>
          <cell r="G99" t="str">
            <v>4 PM to 7 PM</v>
          </cell>
          <cell r="H99">
            <v>1450</v>
          </cell>
          <cell r="I99">
            <v>362.5</v>
          </cell>
          <cell r="J99" t="str">
            <v>Bliss</v>
          </cell>
          <cell r="K99" t="str">
            <v>Skip 1 week (04/06) Do not count last Del (28/03) 1 Sunflower Extra next (03/04)</v>
          </cell>
          <cell r="M99" t="str">
            <v>1 Sunflower Extra Next (03/04)</v>
          </cell>
          <cell r="N99" t="str">
            <v>2  del of this cycle   -  0-cycles pmnt   Completed - Collect 0</v>
          </cell>
          <cell r="O99" t="str">
            <v>P Asiatic ( 16 inch) 2 B Daisy 7   Grass</v>
          </cell>
          <cell r="P99" t="str">
            <v>Y Spray Daisy ( 15 inch ) 3 Mix Alstroemeria ( 14 inch ) 7   FF Sachet + Grass</v>
          </cell>
          <cell r="Q99" t="str">
            <v>Sunflower ( 15 inch ) 2 P n W Glad ( 14 inch ) 7   Grass</v>
          </cell>
          <cell r="R99" t="str">
            <v>O Asiatic ( 15 Inch ) 2 R n W Car ( 14 Inch ) 7   Grass</v>
          </cell>
          <cell r="S99" t="str">
            <v>P Eustoma ( 14 Inch ) 2 Mix Alstroemeria ( 12 Inch ) 7   FF Sachet + Grass</v>
          </cell>
          <cell r="T99" t="str">
            <v>P Spray Daisy ( 14 Inch ) 3 P n W Glad ( 14 Inch ) 7   FF Sachet + Grass</v>
          </cell>
        </row>
        <row r="100">
          <cell r="A100">
            <v>3057</v>
          </cell>
          <cell r="B100" t="str">
            <v>Nimisha Narayan</v>
          </cell>
          <cell r="C100">
            <v>9999975582</v>
          </cell>
          <cell r="D100" t="str">
            <v>T-7/604, Uniworl Garden 1</v>
          </cell>
          <cell r="E100" t="str">
            <v>Sohna Road 1</v>
          </cell>
          <cell r="F100" t="str">
            <v>Friday</v>
          </cell>
          <cell r="G100" t="str">
            <v>9 AM - 12 PM</v>
          </cell>
          <cell r="H100">
            <v>999</v>
          </cell>
          <cell r="I100">
            <v>249.75</v>
          </cell>
          <cell r="J100" t="str">
            <v>Delight</v>
          </cell>
          <cell r="K100" t="str">
            <v>Skip n sned on Sunday (03/12) Return today (01/05)</v>
          </cell>
          <cell r="N100" t="str">
            <v>4  del of this cycle   -  0-cycles pmnt   Completed - Collect 0</v>
          </cell>
          <cell r="O100" t="str">
            <v>P n W Glad ( 15 inch) 9     Grass</v>
          </cell>
          <cell r="P100" t="str">
            <v>R n W Car ( 14 inch ) 9     FF Sachet + Grass</v>
          </cell>
          <cell r="Q100" t="str">
            <v>Sunflower ( 15 inch ) 2     Grass</v>
          </cell>
          <cell r="R100" t="str">
            <v>Mix Alstroemeria ( 12 Inch ) 9     FF Sachet + Grass</v>
          </cell>
          <cell r="S100" t="str">
            <v>P Asiatic ( 14 Inch ) 2     Grass</v>
          </cell>
          <cell r="T100" t="str">
            <v>P n W Glad ( 14 Inch ) 9     Grass</v>
          </cell>
        </row>
        <row r="101">
          <cell r="A101">
            <v>3375</v>
          </cell>
          <cell r="B101" t="str">
            <v>Saniya Anand</v>
          </cell>
          <cell r="C101">
            <v>9810955188</v>
          </cell>
          <cell r="D101" t="str">
            <v>D-1102, Caritriona Ambience Island</v>
          </cell>
          <cell r="E101" t="str">
            <v>M G Road</v>
          </cell>
          <cell r="F101" t="str">
            <v>Friday</v>
          </cell>
          <cell r="G101" t="str">
            <v>4 Pm to 7 PM</v>
          </cell>
          <cell r="H101">
            <v>1950</v>
          </cell>
          <cell r="I101">
            <v>487.5</v>
          </cell>
          <cell r="J101" t="str">
            <v>Joy</v>
          </cell>
          <cell r="N101" t="str">
            <v>2  del of this cycle   -  0-cycles pmnt   Completed - Collect 0</v>
          </cell>
          <cell r="O101" t="e">
            <v>#N/A</v>
          </cell>
          <cell r="P101" t="e">
            <v>#N/A</v>
          </cell>
          <cell r="Q101" t="e">
            <v>#N/A</v>
          </cell>
          <cell r="R101" t="e">
            <v>#N/A</v>
          </cell>
          <cell r="S101" t="str">
            <v>Shd Pur n P Car ( 14 Inch ) 22     FF Sachet + Grass</v>
          </cell>
          <cell r="T101" t="str">
            <v>P Asiatic ( 14 Inch ) 4     Grass</v>
          </cell>
        </row>
        <row r="102">
          <cell r="A102">
            <v>3337</v>
          </cell>
          <cell r="B102" t="str">
            <v>Shweta Bajpai</v>
          </cell>
          <cell r="C102">
            <v>9205184535</v>
          </cell>
          <cell r="D102" t="str">
            <v>288, Tatvam Villa</v>
          </cell>
          <cell r="E102" t="str">
            <v>Sohna Road 2</v>
          </cell>
          <cell r="F102" t="str">
            <v>Friday</v>
          </cell>
          <cell r="G102" t="str">
            <v>4 Pm to 7 PM</v>
          </cell>
          <cell r="H102">
            <v>1450</v>
          </cell>
          <cell r="I102">
            <v>1450</v>
          </cell>
          <cell r="J102" t="str">
            <v>Bliss</v>
          </cell>
          <cell r="N102" t="str">
            <v>4  del of this cycle   -  0-cycles pmnt   Completed - Collect 0</v>
          </cell>
          <cell r="O102" t="str">
            <v>Alstomeria 16     Grass</v>
          </cell>
          <cell r="P102" t="str">
            <v>P n W Glad ( 14 inch ) 16     Grass</v>
          </cell>
          <cell r="Q102" t="str">
            <v>P Asiatic ( 15 inch ) 3     Grass</v>
          </cell>
          <cell r="R102" t="str">
            <v>R n W Car ( 14 Inch ) 16     FF Sachet + Grass</v>
          </cell>
          <cell r="S102" t="str">
            <v>P n Y Spray Daisy ( 14 Inch ) 5     FF Sachet + Grass</v>
          </cell>
          <cell r="T102" t="str">
            <v>Mix Alstroemeria ( 12 Inch ) 16     FF Sachet + Grass</v>
          </cell>
        </row>
        <row r="103">
          <cell r="A103">
            <v>3289</v>
          </cell>
          <cell r="B103" t="str">
            <v>Devyani -- Blinkit</v>
          </cell>
          <cell r="C103">
            <v>8588870465</v>
          </cell>
          <cell r="D103" t="str">
            <v>H. No. 75, 1st Floor Emaar Emerald Hills, Ivory Block, Sec 65</v>
          </cell>
          <cell r="E103" t="str">
            <v>Badshahpur</v>
          </cell>
          <cell r="F103" t="str">
            <v>Friday</v>
          </cell>
          <cell r="G103" t="str">
            <v>Between 2:30 to 4 PM</v>
          </cell>
          <cell r="H103">
            <v>1950</v>
          </cell>
          <cell r="I103">
            <v>487.5</v>
          </cell>
          <cell r="J103" t="str">
            <v>Joy</v>
          </cell>
          <cell r="K103" t="str">
            <v>Paytm From Devyani Puri (17/03) Today hold n sned on monday (29/05)</v>
          </cell>
          <cell r="N103" t="str">
            <v>4  del of this cycle   -  0-cycles pmnt   Completed - Collect 0</v>
          </cell>
          <cell r="O103" t="e">
            <v>#N/A</v>
          </cell>
          <cell r="P103" t="e">
            <v>#N/A</v>
          </cell>
          <cell r="Q103" t="str">
            <v>P Asiatic ( 15 Inch ) 2 P n W Car ( 14 Inch ) 11   Grass</v>
          </cell>
          <cell r="R103" t="str">
            <v>P n Y Spray Daisy ( 15 Inch ) 4 Mix Alstroemeria ( 12 Inch )  10   FF Sachet + Grass</v>
          </cell>
          <cell r="S103" t="str">
            <v>Pur Eustom ( 14 Inch ) 3 P n W Glad ( 14 Inch ) 11   FF Sachet + Grass</v>
          </cell>
          <cell r="T103" t="str">
            <v>Sunflower ( 12 Inch ) 3 Pur n P Car ( 14 Inch ) 11   FF Sachet + Grass</v>
          </cell>
        </row>
        <row r="104">
          <cell r="A104">
            <v>3185</v>
          </cell>
          <cell r="B104" t="str">
            <v>Kamla Anand</v>
          </cell>
          <cell r="C104">
            <v>9711216660</v>
          </cell>
          <cell r="D104" t="str">
            <v>83  Jasminium 1,Vatika city 
Sec 49</v>
          </cell>
          <cell r="E104" t="str">
            <v>Sohna Road 1</v>
          </cell>
          <cell r="F104" t="str">
            <v>Friday</v>
          </cell>
          <cell r="G104" t="str">
            <v>9 AM - 12 PM</v>
          </cell>
          <cell r="H104">
            <v>999</v>
          </cell>
          <cell r="I104">
            <v>249.75</v>
          </cell>
          <cell r="J104" t="str">
            <v>Delight</v>
          </cell>
          <cell r="K104" t="str">
            <v>Skip tom (09/04)</v>
          </cell>
          <cell r="N104" t="str">
            <v>1  del of this cycle   -  0-cycles pmnt   Completed - Collect 0</v>
          </cell>
          <cell r="O104" t="str">
            <v>O Asiatic ( 16 inch) 2     Grass</v>
          </cell>
          <cell r="P104" t="str">
            <v>Mix Alstroemeria ( 14 inch ) 9     FF Sachet + Grass</v>
          </cell>
          <cell r="Q104" t="str">
            <v>Sunflower ( 15 inch ) 2     Grass</v>
          </cell>
          <cell r="R104" t="str">
            <v>R n W Car ( 14 Inch ) 9     FF Sachet + Grass</v>
          </cell>
          <cell r="S104" t="str">
            <v>P Spray Daisy ( 14 Inch ) 3     FF Sachet + Grass</v>
          </cell>
          <cell r="T104" t="str">
            <v>P n W Glad ( 14 Inch ) 9     Grass</v>
          </cell>
        </row>
        <row r="105">
          <cell r="A105">
            <v>2435</v>
          </cell>
          <cell r="B105" t="str">
            <v>Manisha Aswani</v>
          </cell>
          <cell r="C105">
            <v>7426027603</v>
          </cell>
          <cell r="D105" t="str">
            <v>4-I/302, Orris Aster Court. Sec 85</v>
          </cell>
          <cell r="E105" t="str">
            <v>Manesar</v>
          </cell>
          <cell r="F105" t="str">
            <v>Friday</v>
          </cell>
          <cell r="G105" t="str">
            <v>After 5:30 PM</v>
          </cell>
          <cell r="H105">
            <v>1450</v>
          </cell>
          <cell r="I105">
            <v>362.5</v>
          </cell>
          <cell r="J105" t="str">
            <v>Bliss</v>
          </cell>
          <cell r="K105" t="str">
            <v>Insta // Sent replacement today (05/04) Sent Replacement today (19/04) Do Not Count last Del (06/05) Hold she will confirm (14/05) Payment confussion(29/06) Skip 1 week (22/04) Today Hold and skip (15/05) HDTNP (29/05)</v>
          </cell>
          <cell r="M105" t="str">
            <v>Premium Flowers Extra next (16/08)</v>
          </cell>
          <cell r="N105" t="str">
            <v>4  del of this cycle   -  0-cycles pmnt   Completed - Collect 0</v>
          </cell>
          <cell r="O105" t="str">
            <v>R n W Car 16     FF Sachet + Grass</v>
          </cell>
          <cell r="P105" t="str">
            <v>P n W Spray Daisy ( 15 inch ) 5     FF Sachet + Grass</v>
          </cell>
          <cell r="Q105" t="e">
            <v>#N/A</v>
          </cell>
          <cell r="R105" t="str">
            <v xml:space="preserve">Collect 725 Carry Receipt Book Collect 725 with Change Carry Receipt Book Collect 725 with Change Carry Receipt Book </v>
          </cell>
          <cell r="S105" t="str">
            <v>O Asiatic ( 14 Inch ) 3     Grass</v>
          </cell>
          <cell r="T105" t="str">
            <v>P n W Glad ( 14 Inch ) 16     Grass</v>
          </cell>
        </row>
        <row r="106">
          <cell r="A106">
            <v>3081</v>
          </cell>
          <cell r="B106" t="str">
            <v xml:space="preserve">Nikhat </v>
          </cell>
          <cell r="C106" t="str">
            <v>90044 52898‬</v>
          </cell>
          <cell r="D106" t="str">
            <v>Tower B, flat 074, DLF regal gardens , sector 90</v>
          </cell>
          <cell r="E106" t="str">
            <v>Manesar</v>
          </cell>
          <cell r="F106" t="str">
            <v>Friday</v>
          </cell>
          <cell r="G106" t="str">
            <v>4 PM to 7 PM</v>
          </cell>
          <cell r="H106">
            <v>1450</v>
          </cell>
          <cell r="I106">
            <v>362.5</v>
          </cell>
          <cell r="J106" t="str">
            <v>Bliss</v>
          </cell>
          <cell r="K106" t="str">
            <v>Paytm From Puneet Pundora (06/03) Hold today (20/03)</v>
          </cell>
          <cell r="N106" t="str">
            <v>2  del of this cycle   -  0-cycles pmnt   Completed - Collect 0</v>
          </cell>
          <cell r="O106" t="str">
            <v>Y Spray Daisy ( 16 inch)  3 Alstomeria 7   FF Sachet + Grass</v>
          </cell>
          <cell r="P106" t="str">
            <v>Sunflower ( 15 inch ) 2 P n W Glad ( 14 inch ) 7   Grass</v>
          </cell>
          <cell r="Q106" t="str">
            <v>P Asiatic ( 15 inch ) 2 P n W Car ( 14 inch ) 7   Grass</v>
          </cell>
          <cell r="R106" t="str">
            <v>Sunflower ( 14 Inch ) 2 Mix Alstroemeria ( 12 Inch )  7   FF Sachet + Grass</v>
          </cell>
          <cell r="S106" t="str">
            <v>Pur Eustom ( 14 Inch ) 2 P n W Glad ( 14 Inch ) 7   FF Sachet + Grass</v>
          </cell>
          <cell r="T106" t="str">
            <v>W Asiatic ( 14 inch ) 2 Pur n P Car ( 14 Inch ) 7   Grass</v>
          </cell>
        </row>
        <row r="107">
          <cell r="A107" t="str">
            <v>CP00001</v>
          </cell>
          <cell r="B107" t="str">
            <v>Nidhi Sharma Malhotra -- BPTP -- Centra 1</v>
          </cell>
          <cell r="C107">
            <v>9999016333</v>
          </cell>
          <cell r="D107" t="str">
            <v>BPTP, Sec 61</v>
          </cell>
          <cell r="E107" t="str">
            <v>Ghata</v>
          </cell>
          <cell r="F107" t="str">
            <v>Friday</v>
          </cell>
          <cell r="G107" t="str">
            <v>By 8 AM</v>
          </cell>
          <cell r="H107">
            <v>24600</v>
          </cell>
          <cell r="I107">
            <v>24600</v>
          </cell>
          <cell r="J107" t="str">
            <v>Corporate</v>
          </cell>
          <cell r="T107" t="str">
            <v xml:space="preserve">      </v>
          </cell>
        </row>
        <row r="108">
          <cell r="A108">
            <v>3099</v>
          </cell>
          <cell r="B108" t="str">
            <v>Manisha Mishra</v>
          </cell>
          <cell r="C108">
            <v>9910993142</v>
          </cell>
          <cell r="D108" t="str">
            <v>E-1202, maceo appartmnet, sector 91</v>
          </cell>
          <cell r="E108" t="str">
            <v>Dwarka Expressway</v>
          </cell>
          <cell r="F108" t="str">
            <v>Friday</v>
          </cell>
          <cell r="G108" t="str">
            <v>4 PM to 7 PM</v>
          </cell>
          <cell r="H108">
            <v>1950</v>
          </cell>
          <cell r="I108">
            <v>487.5</v>
          </cell>
          <cell r="J108" t="str">
            <v>Joy</v>
          </cell>
          <cell r="K108" t="str">
            <v>Paytm from Rohit Ahuja</v>
          </cell>
          <cell r="N108" t="str">
            <v>2  del of this cycle   -  0-cycles pmnt   Completed - Collect 0</v>
          </cell>
          <cell r="O108" t="str">
            <v>P Eustoma ( 14 inch ) 2 P n W Gerbera ( 14 inch ) 11   FF Sachet + Grass</v>
          </cell>
          <cell r="P108" t="str">
            <v>Sunflower ( 15 inch ) 3 Mix Alstroemeria ( 14 inch ) 10 Ensure Collection Ensure Collection Grass</v>
          </cell>
          <cell r="Q108" t="str">
            <v>P Asiatic ( 15 inch ) 2 R n W Car( 14 inch ) 11   Grass</v>
          </cell>
          <cell r="R108" t="str">
            <v>Sunflower ( 14 Inch ) 3  Spray Carnation  10   FF Sachet + Grass</v>
          </cell>
          <cell r="S108" t="str">
            <v>Pur Eustom ( 14 Inch ) 2 P n W Glad ( 14 Inch ) 11   FF Sachet + Grass</v>
          </cell>
          <cell r="T108" t="str">
            <v>P n Y Spray Daisy ( 14 Inch ) 4 Mix Alstroemeria ( 12 Inch ) 11   FF Sachet + Grass</v>
          </cell>
        </row>
        <row r="109">
          <cell r="A109" t="str">
            <v>B56134</v>
          </cell>
          <cell r="B109" t="str">
            <v>Jitendra</v>
          </cell>
          <cell r="C109">
            <v>8800156951</v>
          </cell>
          <cell r="D109" t="str">
            <v>Trehan Luxury Floors</v>
          </cell>
          <cell r="E109" t="str">
            <v>Badshahpur</v>
          </cell>
          <cell r="F109" t="str">
            <v>Thursday</v>
          </cell>
          <cell r="G109" t="str">
            <v>By 10 AM</v>
          </cell>
          <cell r="H109">
            <v>1196</v>
          </cell>
          <cell r="I109">
            <v>1196</v>
          </cell>
          <cell r="J109" t="str">
            <v>Bouquet</v>
          </cell>
          <cell r="N109" t="str">
            <v>1  del of this cycle   -  0-cycles pmnt   In Process - Collect 0</v>
          </cell>
          <cell r="O109" t="e">
            <v>#N/A</v>
          </cell>
          <cell r="P109" t="e">
            <v>#N/A</v>
          </cell>
          <cell r="Q109" t="e">
            <v>#N/A</v>
          </cell>
          <cell r="R109" t="e">
            <v>#N/A</v>
          </cell>
          <cell r="S109" t="e">
            <v>#N/A</v>
          </cell>
          <cell r="T109" t="str">
            <v xml:space="preserve">Trehan Set 1     </v>
          </cell>
        </row>
        <row r="110">
          <cell r="B110" t="str">
            <v xml:space="preserve">Swarnim Saxena </v>
          </cell>
          <cell r="C110" t="str">
            <v xml:space="preserve"> 95360 92727</v>
          </cell>
          <cell r="D110" t="str">
            <v xml:space="preserve"> 808, tower 5, Pyramid Urban Homes, sector 70</v>
          </cell>
          <cell r="H110">
            <v>1390</v>
          </cell>
          <cell r="J110" t="str">
            <v>Bouquet</v>
          </cell>
          <cell r="K110" t="str">
            <v>Send today to Swarnim Saxena 
pyramid address  808, tower 5, Pyramid Urban Homes, sector 70
- 16 pink roses in single brown wrap 
Message: 
For Biwi
- ⁠10 yellow spray daisies in single brown wrap 
Message:
For Maa 
brown wrap kharab nahi hona chahiye ekdum bhi- pls ensure</v>
          </cell>
          <cell r="T110" t="str">
            <v xml:space="preserve">pink roses 16 single brown wrap+Massage yellow spray daisies 10 single brown wrap+Massage </v>
          </cell>
        </row>
        <row r="111">
          <cell r="B111" t="str">
            <v xml:space="preserve">Puja </v>
          </cell>
          <cell r="C111">
            <v>9711533000</v>
          </cell>
          <cell r="D111" t="str">
            <v>175GF Espace, Nirvana Country</v>
          </cell>
          <cell r="G111" t="str">
            <v xml:space="preserve">Before 11 Pm </v>
          </cell>
          <cell r="H111">
            <v>5450</v>
          </cell>
          <cell r="J111" t="str">
            <v>Bouquet</v>
          </cell>
          <cell r="T111" t="str">
            <v xml:space="preserve">Mix Flower Bunch  1 Massage    </v>
          </cell>
        </row>
        <row r="112">
          <cell r="B112" t="str">
            <v>Akhil</v>
          </cell>
          <cell r="C112" t="str">
            <v>98184 64073</v>
          </cell>
          <cell r="D112" t="str">
            <v>R 8B
Windsor Court
DLF Phase 4</v>
          </cell>
          <cell r="G112" t="str">
            <v>immediately</v>
          </cell>
          <cell r="H112">
            <v>750</v>
          </cell>
          <cell r="J112" t="str">
            <v>Bouquet</v>
          </cell>
          <cell r="K112" t="str">
            <v>Akhil
+91 98184 64073
R8B
Windsor Court
DLF Phase 4
Pls send 6 orchids in front walkin tissue wrap today immediately, if delivery team is not free then send via uber and we shall pay delivery charges..</v>
          </cell>
          <cell r="T112" t="str">
            <v xml:space="preserve">Orchids 6 front walkin tissue wrap    </v>
          </cell>
        </row>
        <row r="113">
          <cell r="A113">
            <v>1477</v>
          </cell>
          <cell r="B113" t="str">
            <v>Priyanka Agarwal</v>
          </cell>
          <cell r="C113">
            <v>9810745341</v>
          </cell>
          <cell r="D113" t="str">
            <v>624-A, Fairway East, Sector 65</v>
          </cell>
          <cell r="E113" t="str">
            <v>Badshahpur</v>
          </cell>
          <cell r="F113" t="str">
            <v>Friday</v>
          </cell>
          <cell r="G113" t="str">
            <v>9 AM to 2 PM</v>
          </cell>
          <cell r="H113">
            <v>1600</v>
          </cell>
          <cell r="I113">
            <v>200</v>
          </cell>
          <cell r="J113" t="str">
            <v>Bloom</v>
          </cell>
          <cell r="K1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13" t="str">
            <v>2  del of this cycle   -  1-cycles pmnt   Pending - Collect 1600</v>
          </cell>
          <cell r="O113" t="str">
            <v>Sunflower ( 15 inch) 2     Grass</v>
          </cell>
          <cell r="P113" t="str">
            <v>P n W Glad ( 14 inch ) 7   Ensure Collection Ensure Collection Grass</v>
          </cell>
          <cell r="Q113" t="e">
            <v>#N/A</v>
          </cell>
          <cell r="R113" t="str">
            <v xml:space="preserve">Collect 1400 Carry Receipt Book Collect 1400 Carry Receipt Book Collect 1400 Carry Receipt Book </v>
          </cell>
          <cell r="S113" t="str">
            <v>Mix Alstroemeria ( 12 Inch ) 7     FF Sachet + Grass</v>
          </cell>
          <cell r="T113" t="str">
            <v>Pur n P Car ( 14 Inch ) 7     FF Sachet + Grass</v>
          </cell>
        </row>
        <row r="114">
          <cell r="B114" t="str">
            <v>Maneesha Chaturvedi</v>
          </cell>
          <cell r="C114">
            <v>9971153076</v>
          </cell>
          <cell r="D114" t="str">
            <v>C-614, Sushant Lok I, Gurgaon 122009    Sushant Lok 1 Gurgaon  122009</v>
          </cell>
          <cell r="H114">
            <v>2475</v>
          </cell>
          <cell r="J114" t="str">
            <v>Bouquet</v>
          </cell>
          <cell r="K114" t="str">
            <v>Maneesha chaturvedi
+91 99711 53076
Pls send 4 pink and 2 white oriental
10 mix spray carnations
5 pink n white spray daisy with areca palm n greens today before 1pm</v>
          </cell>
          <cell r="T114" t="str">
            <v xml:space="preserve">Pink and  white oriental+ P spray carnations+pink n Yellow spray daisy 4+2+10+5 with areca palm n greens     </v>
          </cell>
        </row>
        <row r="115">
          <cell r="B115" t="str">
            <v>99535 32266</v>
          </cell>
          <cell r="C115" t="str">
            <v>99535 32267</v>
          </cell>
          <cell r="D115" t="str">
            <v>24, Cassia Marg, 3rd Floor
DLF Phase 2</v>
          </cell>
          <cell r="H115">
            <v>750</v>
          </cell>
          <cell r="J115" t="str">
            <v>Bouquet</v>
          </cell>
          <cell r="K115" t="str">
            <v>Send today 
5 pink asiatic lilies to 
‪+91 99535 32266‬
24, Cassia Marg, 3rd Floor
DLF Phase 2
Gurugram Haryana - 122008</v>
          </cell>
          <cell r="N115" t="str">
            <v>Collect 750</v>
          </cell>
          <cell r="T115" t="str">
            <v xml:space="preserve">pink asiatic 5 Greens    </v>
          </cell>
        </row>
      </sheetData>
      <sheetData sheetId="12"/>
      <sheetData sheetId="13"/>
      <sheetData sheetId="14"/>
      <sheetData sheetId="15"/>
      <sheetData sheetId="16"/>
      <sheetData sheetId="17"/>
      <sheetData sheetId="18">
        <row r="2">
          <cell r="A2">
            <v>330</v>
          </cell>
          <cell r="B2" t="str">
            <v>Anamika Singh</v>
          </cell>
          <cell r="C2">
            <v>9818455330</v>
          </cell>
          <cell r="D2" t="str">
            <v xml:space="preserve">788 C  Sector 15 part II  Sec 15 Gurgaon  122001 </v>
          </cell>
          <cell r="E2" t="str">
            <v>Old Gurgaon</v>
          </cell>
          <cell r="F2" t="str">
            <v>Friday</v>
          </cell>
          <cell r="G2" t="str">
            <v>4 PM to 7PM</v>
          </cell>
          <cell r="H2">
            <v>1450</v>
          </cell>
          <cell r="I2">
            <v>362.5</v>
          </cell>
          <cell r="J2" t="str">
            <v>Bliss</v>
          </cell>
          <cell r="K2"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v>
          </cell>
          <cell r="N2" t="str">
            <v>3  del of this cycle   -  1-cycles pmnt   Pending - Collect 1450</v>
          </cell>
          <cell r="O2" t="str">
            <v>P n W Glad ( 14 inch ) 16     Grass</v>
          </cell>
          <cell r="P2" t="str">
            <v>Y Asiatic ( 15 inch ) 3     Grass</v>
          </cell>
          <cell r="Q2" t="str">
            <v>R n W Car ( 14 Inch ) 16     FF Sachet + Grass</v>
          </cell>
          <cell r="R2" t="str">
            <v>Mix Alstroemeria ( 12 Inch ) 16     FF Sachet + Grass</v>
          </cell>
          <cell r="S2" t="e">
            <v>#N/A</v>
          </cell>
          <cell r="T2" t="str">
            <v xml:space="preserve">Mix Car 16    Grass </v>
          </cell>
        </row>
        <row r="3">
          <cell r="A3">
            <v>3009</v>
          </cell>
          <cell r="B3" t="str">
            <v>Supriya Mangal Lakshya</v>
          </cell>
          <cell r="C3">
            <v>8527224296</v>
          </cell>
          <cell r="D3" t="str">
            <v>Lakshya Mangal House, 12-A, Sector 14</v>
          </cell>
          <cell r="E3" t="str">
            <v>Old Gurgaon</v>
          </cell>
          <cell r="F3" t="str">
            <v>Friday</v>
          </cell>
          <cell r="G3" t="str">
            <v>4 PM to 7 Pm</v>
          </cell>
          <cell r="H3">
            <v>1950</v>
          </cell>
          <cell r="I3">
            <v>487.5</v>
          </cell>
          <cell r="J3" t="str">
            <v>Collection Only</v>
          </cell>
          <cell r="K3" t="str">
            <v>Day Changed to Friday Evening (11/09) Ski[p 1 week (27/11) 14th Nov Del was on hold (06/12) Hold due to non payment (09/1) Skip 1 week (22/01) Skip this Friday n send on Monday (28/01) Send tom (06/02) Send on Monday (06/02) Today Hold (20/02) Skip 2 weeks (11/03) HDTNP (01/05) HDTNP (29/05) HDTNP (12/06)</v>
          </cell>
          <cell r="N3" t="str">
            <v>3  del of this cycle   -  1-cycles pmnt   Pending - Collect 2200</v>
          </cell>
          <cell r="O3" t="str">
            <v>Sunflower ( 15 inch ) 3 Mix Alstroemeria ( 14 inch ) 11   Grass</v>
          </cell>
          <cell r="P3" t="str">
            <v>P Asiatic ( 15 inch ) 2 P n W Glad ( 14 inch ) 11   Grass</v>
          </cell>
          <cell r="Q3" t="e">
            <v>#N/A</v>
          </cell>
          <cell r="R3" t="e">
            <v>#N/A</v>
          </cell>
          <cell r="S3" t="e">
            <v>#N/A</v>
          </cell>
          <cell r="T3" t="str">
            <v xml:space="preserve">Collect 737 Pls Carry Change and Receipt Book Pls Carry Change and Receipt Book    </v>
          </cell>
        </row>
        <row r="4">
          <cell r="A4">
            <v>148</v>
          </cell>
          <cell r="B4" t="str">
            <v>Ruchi Kathpalia</v>
          </cell>
          <cell r="C4">
            <v>9899052574</v>
          </cell>
          <cell r="D4" t="str">
            <v>227, Lane 6B,Sector17,Gurgaon</v>
          </cell>
          <cell r="E4" t="str">
            <v>Old Gurgaon</v>
          </cell>
          <cell r="F4" t="str">
            <v>Friday</v>
          </cell>
          <cell r="G4" t="str">
            <v>4 PM to 7PM</v>
          </cell>
          <cell r="H4">
            <v>999</v>
          </cell>
          <cell r="I4">
            <v>249.75</v>
          </cell>
          <cell r="J4" t="str">
            <v>Delight</v>
          </cell>
          <cell r="K4"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4" t="str">
            <v>ROSE</v>
          </cell>
          <cell r="N4" t="str">
            <v>3  del of this cycle   -  0-cycles pmnt   Completed - Collect 0</v>
          </cell>
          <cell r="O4" t="str">
            <v>Sunflower ( 15 inch ) 2     Grass</v>
          </cell>
          <cell r="P4" t="str">
            <v>Mix Glad 9     Grass</v>
          </cell>
          <cell r="Q4" t="str">
            <v>Mix Alstroemeria ( 12 Inch ) 9     FF Sachet + Grass</v>
          </cell>
          <cell r="R4" t="str">
            <v>O Asiatic ( 14 Inch ) 2     Grass</v>
          </cell>
          <cell r="S4" t="str">
            <v>Pur n P Car ( 14 Inch ) 9     FF Sachet + Grass</v>
          </cell>
          <cell r="T4" t="str">
            <v xml:space="preserve">Rajni 9    Grass </v>
          </cell>
        </row>
        <row r="5">
          <cell r="A5">
            <v>2394</v>
          </cell>
          <cell r="B5" t="str">
            <v>Sachi Poudiyal</v>
          </cell>
          <cell r="C5">
            <v>8420453178</v>
          </cell>
          <cell r="D5" t="str">
            <v>H. No. 901, Ground Floor, Sec 17 B, Next to St PBN School</v>
          </cell>
          <cell r="E5" t="str">
            <v>Old Gurgaon</v>
          </cell>
          <cell r="F5" t="str">
            <v>Friday</v>
          </cell>
          <cell r="G5" t="str">
            <v>4 PM to 7 PM</v>
          </cell>
          <cell r="H5">
            <v>1450</v>
          </cell>
          <cell r="I5">
            <v>362.5</v>
          </cell>
          <cell r="J5" t="str">
            <v>Bliss</v>
          </cell>
          <cell r="K5" t="str">
            <v>12 Del Payment done today (18/03) Hold n start from Aug(12/06) One Payment Received today (09/11)</v>
          </cell>
          <cell r="N5" t="str">
            <v>2  del of this cycle   -  1-cycles pmnt   Pending - Collect 1450</v>
          </cell>
          <cell r="O5" t="str">
            <v>R n W Car ( 14 inch ) 16     FF Sachet + Grass</v>
          </cell>
          <cell r="P5" t="str">
            <v>Asiatic 3     Grass</v>
          </cell>
          <cell r="Q5" t="str">
            <v>P n Y Spray Daisy ( 15 Inch ) 5     FF Sachet + Grass</v>
          </cell>
          <cell r="R5" t="str">
            <v>P n W Glad ( 14 Inch ) 16     Grass</v>
          </cell>
          <cell r="S5" t="str">
            <v>Sunflower ( 12 Inch ) 4     FF Sachet + Grass</v>
          </cell>
          <cell r="T5" t="str">
            <v xml:space="preserve">Pur Eustom ( 12 Inch ) 3    FF Sachet + Grass </v>
          </cell>
        </row>
        <row r="6">
          <cell r="A6">
            <v>3334</v>
          </cell>
          <cell r="B6" t="str">
            <v>Sachi Poudiyal</v>
          </cell>
          <cell r="C6">
            <v>8420453178</v>
          </cell>
          <cell r="D6" t="str">
            <v>H. No. 901, Ground Floor, Sec 17 B, Next to St PBN School</v>
          </cell>
          <cell r="E6" t="str">
            <v>Old Gurgaon</v>
          </cell>
          <cell r="F6" t="str">
            <v>Friday</v>
          </cell>
          <cell r="G6" t="str">
            <v>4 PM to 7 PM</v>
          </cell>
          <cell r="H6">
            <v>1450</v>
          </cell>
          <cell r="I6">
            <v>362.5</v>
          </cell>
          <cell r="J6" t="str">
            <v>Bliss</v>
          </cell>
          <cell r="N6" t="str">
            <v>1  del of this cycle   -  1-cycles pmnt   Pending - Collect 1450</v>
          </cell>
          <cell r="O6" t="str">
            <v>P n Y Spray Daisy ( 15 inch ) 5     FF Sachet + Grass</v>
          </cell>
          <cell r="P6" t="str">
            <v>Rajni ( 16 inch ) 16     Grass</v>
          </cell>
          <cell r="Q6" t="str">
            <v>P Asiatic ( 15 Inch ) 3     Grass</v>
          </cell>
          <cell r="R6" t="str">
            <v>P n W Glad ( 14 Inch ) 16     Grass</v>
          </cell>
          <cell r="S6" t="str">
            <v>Pur n P Car ( 14 Inch ) 16     FF Sachet + Grass</v>
          </cell>
          <cell r="T6" t="str">
            <v xml:space="preserve">P n W Spray Daisy ( 14 Inch ) 5    FF Sachet + Grass </v>
          </cell>
        </row>
        <row r="7">
          <cell r="A7">
            <v>72</v>
          </cell>
          <cell r="B7" t="str">
            <v>Mrs. Raman-- AFTER 4:30 PM</v>
          </cell>
          <cell r="C7">
            <v>9810235092</v>
          </cell>
          <cell r="D7" t="str">
            <v>1519, Sector-17 C</v>
          </cell>
          <cell r="E7" t="str">
            <v>Old Gurgaon</v>
          </cell>
          <cell r="F7" t="str">
            <v>Friday</v>
          </cell>
          <cell r="G7" t="str">
            <v>4 PM to 7PM</v>
          </cell>
          <cell r="H7">
            <v>999</v>
          </cell>
          <cell r="I7">
            <v>249.75</v>
          </cell>
          <cell r="J7" t="str">
            <v>Delight</v>
          </cell>
          <cell r="K7"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7" t="str">
            <v>3  del of this cycle   -  0-cycles pmnt   Completed - Collect 0</v>
          </cell>
          <cell r="O7" t="str">
            <v>P n W Glad ( 14 inch ) 9     Grass</v>
          </cell>
          <cell r="P7" t="str">
            <v>P Spray Daisy ( 15 inch ) 3     FF Sachet + Grass</v>
          </cell>
          <cell r="Q7" t="str">
            <v>R n W Car ( 14 Inch ) 9     FF Sachet + Grass</v>
          </cell>
          <cell r="R7" t="str">
            <v>O Asiatic ( 14 Inch ) 2     FF Sachet + Grass</v>
          </cell>
          <cell r="S7" t="str">
            <v>P n W Glad ( 14 Inch ) 9     Grass</v>
          </cell>
          <cell r="T7" t="str">
            <v xml:space="preserve">Mix Alstroemeria ( 12 Inch ) 9    FF Sacget + Grass </v>
          </cell>
        </row>
        <row r="8">
          <cell r="A8">
            <v>3375</v>
          </cell>
          <cell r="B8" t="str">
            <v>Saniya Anand</v>
          </cell>
          <cell r="C8">
            <v>9810955188</v>
          </cell>
          <cell r="D8" t="str">
            <v>D-1102, Caritriona Ambience Island</v>
          </cell>
          <cell r="E8" t="str">
            <v>M G Road</v>
          </cell>
          <cell r="F8" t="str">
            <v>Friday</v>
          </cell>
          <cell r="G8" t="str">
            <v>4 Pm to 7 PM</v>
          </cell>
          <cell r="H8">
            <v>1950</v>
          </cell>
          <cell r="I8">
            <v>487.5</v>
          </cell>
          <cell r="J8" t="str">
            <v>Joy</v>
          </cell>
          <cell r="N8" t="str">
            <v>3  del of this cycle   -  0-cycles pmnt   Completed - Collect 0</v>
          </cell>
          <cell r="O8" t="e">
            <v>#N/A</v>
          </cell>
          <cell r="P8" t="e">
            <v>#N/A</v>
          </cell>
          <cell r="Q8" t="e">
            <v>#N/A</v>
          </cell>
          <cell r="R8" t="str">
            <v>Shd Pur n P Car ( 14 Inch ) 22     FF Sachet + Grass</v>
          </cell>
          <cell r="S8" t="str">
            <v>P Asiatic ( 14 Inch ) 4     Grass</v>
          </cell>
          <cell r="T8" t="str">
            <v>Rajni 22     Grass</v>
          </cell>
        </row>
        <row r="9">
          <cell r="A9">
            <v>781</v>
          </cell>
          <cell r="B9" t="str">
            <v>Maj. Gen. KN Singh</v>
          </cell>
          <cell r="C9">
            <v>9971391417</v>
          </cell>
          <cell r="D9" t="str">
            <v>GH 4/5C Gurgaon One Apartments- Sectr 22</v>
          </cell>
          <cell r="E9" t="str">
            <v>Old Gurgaon</v>
          </cell>
          <cell r="F9" t="str">
            <v>Friday</v>
          </cell>
          <cell r="G9" t="str">
            <v>4 PM to 7PM</v>
          </cell>
          <cell r="H9">
            <v>1450</v>
          </cell>
          <cell r="I9">
            <v>362.5</v>
          </cell>
          <cell r="J9" t="str">
            <v>Bliss</v>
          </cell>
          <cell r="K9"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9" t="str">
            <v>3  del of this cycle   -  0-cycles pmnt   Completed - Collect 0</v>
          </cell>
          <cell r="O9" t="str">
            <v>R n W Car ( 14 inch ) 16     FF Sachet + Grass</v>
          </cell>
          <cell r="P9" t="str">
            <v>P n W Glad ( 16 Inch) 16     Grass</v>
          </cell>
          <cell r="Q9" t="str">
            <v>Mix Alstroemeria ( 12 Inch ) 16     FF Sachet + Grass</v>
          </cell>
          <cell r="R9" t="str">
            <v>P Asiatic ( 14 Inch ) 3     Grass</v>
          </cell>
          <cell r="S9" t="str">
            <v>P n Y Spray Daisy ( 14 Inch ) 5     FF Sachet + Grass</v>
          </cell>
          <cell r="T9" t="str">
            <v xml:space="preserve">R n P Car ( 14 Inch ) 16    FF Sachet + Grass </v>
          </cell>
        </row>
        <row r="10">
          <cell r="A10">
            <v>3109</v>
          </cell>
          <cell r="B10" t="str">
            <v>Dr. Apoorva Batra</v>
          </cell>
          <cell r="C10">
            <v>9896166336</v>
          </cell>
          <cell r="D10" t="str">
            <v>T-40/002, Emaar Emerald Floors Premiers, Sec 65</v>
          </cell>
          <cell r="E10" t="str">
            <v>Badshahpur</v>
          </cell>
          <cell r="F10" t="str">
            <v>Friday</v>
          </cell>
          <cell r="G10" t="str">
            <v>4 Pm to 7 PM</v>
          </cell>
          <cell r="H10">
            <v>999</v>
          </cell>
          <cell r="I10">
            <v>249.75</v>
          </cell>
          <cell r="J10" t="str">
            <v>Delight</v>
          </cell>
          <cell r="K10" t="str">
            <v>HDTNP (22/05) Skip 1 week (11/06)</v>
          </cell>
          <cell r="N10" t="str">
            <v>2  del of this cycle   -  0-cycles pmnt   Completed - Collect 0</v>
          </cell>
          <cell r="O10" t="str">
            <v>R n W Car ( 14 inch ) 9   Ensure Collection Ensure Collection FF Sachet + Grass</v>
          </cell>
          <cell r="P10" t="e">
            <v>#N/A</v>
          </cell>
          <cell r="Q10" t="str">
            <v>O Asiatic ( 15 Inch ) 2     Grass</v>
          </cell>
          <cell r="R10" t="str">
            <v>P n W Glad ( 14 Inch ) 9     Grass</v>
          </cell>
          <cell r="S10" t="e">
            <v>#N/A</v>
          </cell>
          <cell r="T10" t="str">
            <v xml:space="preserve">Mix Car 9    FF Sachet + Grass </v>
          </cell>
        </row>
        <row r="11">
          <cell r="A11">
            <v>2066</v>
          </cell>
          <cell r="B11" t="str">
            <v>Shilpi Tibrewal</v>
          </cell>
          <cell r="C11">
            <v>9999103067</v>
          </cell>
          <cell r="D11" t="str">
            <v>Tower-A/3803, Ireo Victory Valley, Sec 67</v>
          </cell>
          <cell r="E11" t="str">
            <v>Badshahpur</v>
          </cell>
          <cell r="F11" t="str">
            <v>Friday</v>
          </cell>
          <cell r="G11" t="str">
            <v>4 Pm to 7 PM</v>
          </cell>
          <cell r="H11">
            <v>1450</v>
          </cell>
          <cell r="I11">
            <v>362.5</v>
          </cell>
          <cell r="J11" t="str">
            <v>Bliss</v>
          </cell>
          <cell r="K11" t="str">
            <v>Either Rose or Car// Normal Flowers (04/05) Sent replacement today (26/08) Return yesterday (17/08) Today returned (25/07)</v>
          </cell>
          <cell r="N11" t="str">
            <v>2  del of this cycle   -  0-cycles pmnt   CompletedNO COLLECTION-we have extra money - Collect -50</v>
          </cell>
          <cell r="O11" t="str">
            <v>P n W Glad ( 14 inch ) 16     Grass</v>
          </cell>
          <cell r="P11" t="str">
            <v>P Asiatic ( 15 inch ) 3     Grass</v>
          </cell>
          <cell r="Q11" t="str">
            <v>R n W Car ( 14 Inch ) 16     FF Sachet + Grass</v>
          </cell>
          <cell r="R11" t="str">
            <v>Pur Eustom ( 14 Inch ) 3     FF Sachet + Grass</v>
          </cell>
          <cell r="S11" t="str">
            <v>P n Y Spray Daisy ( 14 Inch ) 5     FF Sachet + Grass</v>
          </cell>
          <cell r="T11" t="str">
            <v xml:space="preserve">P n W Glad ( 14 Inch ) 16    Grass </v>
          </cell>
        </row>
        <row r="12">
          <cell r="A12">
            <v>3013</v>
          </cell>
          <cell r="B12" t="str">
            <v>Surabhi Sukriti</v>
          </cell>
          <cell r="C12">
            <v>8652750573</v>
          </cell>
          <cell r="D12" t="str">
            <v>D-804, Bestech Park Viw Spa Next, Sec 67</v>
          </cell>
          <cell r="E12" t="str">
            <v>Badshahpur</v>
          </cell>
          <cell r="F12" t="str">
            <v>Friday</v>
          </cell>
          <cell r="G12" t="str">
            <v>4 PM to 7 PM</v>
          </cell>
          <cell r="H12">
            <v>1450</v>
          </cell>
          <cell r="I12">
            <v>362.5</v>
          </cell>
          <cell r="J12" t="str">
            <v>Bliss</v>
          </cell>
          <cell r="K12" t="str">
            <v>Skip 1 week (01/10) Add changed (05/04)</v>
          </cell>
          <cell r="N12" t="str">
            <v>4  del of this cycle   -  0-cycles pmnt   Completed - Collect 0</v>
          </cell>
          <cell r="O12" t="str">
            <v>Eustoma 2 P n W Glad ( 14 inch ) 7   Grass</v>
          </cell>
          <cell r="P12" t="str">
            <v>Sunflower ( 15 inch ) 2 P n W Car ( 14 inch ) 7   FF Sachet + Grass</v>
          </cell>
          <cell r="Q12" t="str">
            <v>O Asiatic ( 15 Inch ) 2 Mix Alstroemeria ( 12 Inch )  7   Grass</v>
          </cell>
          <cell r="R12" t="str">
            <v>P Spray Daisy ( 14 Inch ) 3 P n W Glad ( 14 Inch ) 7   FF Sachet + Grass</v>
          </cell>
          <cell r="S12" t="str">
            <v>Pur Eustoma ( 12 Inch ) 2 Pur n P Car ( 14 Inch ) 7   FF Sachet + Grass</v>
          </cell>
          <cell r="T12" t="str">
            <v xml:space="preserve">Sunflower ( 12 Inch ) 2 Mix Alstroemeria (  12 Inch ) 7  FF Sachet + Grass </v>
          </cell>
        </row>
        <row r="13">
          <cell r="A13">
            <v>3119</v>
          </cell>
          <cell r="B13" t="str">
            <v>Rachna Prasad</v>
          </cell>
          <cell r="C13">
            <v>9811106435</v>
          </cell>
          <cell r="D13" t="str">
            <v>N-3/202, Paras Irene Appartments, Sec 70 A</v>
          </cell>
          <cell r="E13" t="str">
            <v>Badshahpur</v>
          </cell>
          <cell r="F13" t="str">
            <v>Friday</v>
          </cell>
          <cell r="G13" t="str">
            <v>4 Pm to 7 PM</v>
          </cell>
          <cell r="H13">
            <v>1450</v>
          </cell>
          <cell r="I13">
            <v>362.5</v>
          </cell>
          <cell r="J13" t="str">
            <v>Bliss</v>
          </cell>
          <cell r="K13" t="str">
            <v>1000 cash and 450 via paytm (01/11) This week send on Sunday (09/02) Paytm From Outside Edge (28/02) Replacement tom (09/03)</v>
          </cell>
          <cell r="M13" t="str">
            <v>No Flowers on 13th -send on 15th Feb (09/02)</v>
          </cell>
          <cell r="N13" t="str">
            <v>2  del of this cycle   -  1-cycles pmnt   Pending - Collect 1450</v>
          </cell>
          <cell r="O13" t="str">
            <v>Sunflower ( 15 inch ) 2 P n W Glad ( 14 inch ) 7   Grass</v>
          </cell>
          <cell r="P13" t="str">
            <v>P Eustoma ( 14 Inch ) 2 P n W Car ( 14 inch ) 7   FF Sachet + Grass</v>
          </cell>
          <cell r="Q13" t="str">
            <v>O Asiatic ( 15 Inch ) 2 Mix Alstroemeria ( 12 Inch )  7   Grass</v>
          </cell>
          <cell r="R13" t="str">
            <v>Y Spray Daisy ( 14 Inch ) 3 P n W Glad ( 14 Inch ) 7   FF Sachet + Grass</v>
          </cell>
          <cell r="S13" t="str">
            <v>Sunflower ( 12 Inch ) 2 Pur n P Car ( 14 Inch ) 7   FF Sachet + Grass</v>
          </cell>
          <cell r="T13" t="str">
            <v xml:space="preserve">Pur Eustom ( 12 Inch ) 2 Mix Alstroemeria (  12 Inch ) 7  FF Sachet + Grass </v>
          </cell>
        </row>
        <row r="14">
          <cell r="A14">
            <v>3357</v>
          </cell>
          <cell r="B14" t="str">
            <v>Yamini Sharma</v>
          </cell>
          <cell r="C14">
            <v>9958582708</v>
          </cell>
          <cell r="D14" t="str">
            <v>Solace 253, AIPL Peaceful Homes, Sec 70 A</v>
          </cell>
          <cell r="E14" t="str">
            <v>Manesar</v>
          </cell>
          <cell r="F14" t="str">
            <v>Friday</v>
          </cell>
          <cell r="G14" t="str">
            <v>4 Pm to 7 PM</v>
          </cell>
          <cell r="H14">
            <v>1450</v>
          </cell>
          <cell r="I14">
            <v>362.5</v>
          </cell>
          <cell r="J14" t="str">
            <v>Bliss</v>
          </cell>
          <cell r="K14" t="str">
            <v>Skip 1 week (28/05)</v>
          </cell>
          <cell r="N14" t="str">
            <v>2  del of this cycle   -  1-cycles pmnt   Pending - Collect 1450</v>
          </cell>
          <cell r="O14" t="str">
            <v>P n Y Spray Daisy ( 15 inch ) 5   Ensure Collection Ensure Collection FF Sachet + Grass</v>
          </cell>
          <cell r="P14" t="str">
            <v>P n W Glad ( 16 Inch) 16     Grass</v>
          </cell>
          <cell r="Q14" t="e">
            <v>#N/A</v>
          </cell>
          <cell r="R14" t="str">
            <v>O Asiatic ( 14 Inch ) 3     Grass</v>
          </cell>
          <cell r="S14" t="str">
            <v>Mix Alstroemeria ( 12 Inch ) 16     FF Sachet + Grass</v>
          </cell>
          <cell r="T14" t="str">
            <v xml:space="preserve">P Eustoma ( 12 Inch ) 3    FF Sachet + Grass </v>
          </cell>
        </row>
        <row r="15">
          <cell r="A15">
            <v>2858</v>
          </cell>
          <cell r="B15" t="str">
            <v>Devika Tandon</v>
          </cell>
          <cell r="C15">
            <v>8527991304</v>
          </cell>
          <cell r="D15" t="str">
            <v>A-293, AIPL The Peaceful Homes</v>
          </cell>
          <cell r="E15" t="str">
            <v>Badshahpur</v>
          </cell>
          <cell r="F15" t="str">
            <v>Friday</v>
          </cell>
          <cell r="G15" t="str">
            <v>4 PM to 7PM</v>
          </cell>
          <cell r="H15">
            <v>1450</v>
          </cell>
          <cell r="I15">
            <v>362.5</v>
          </cell>
          <cell r="J15" t="str">
            <v>Bliss</v>
          </cell>
          <cell r="N15" t="str">
            <v>1  del of this cycle   -  1-cycles pmnt   Pending - Collect 1450</v>
          </cell>
          <cell r="O15" t="e">
            <v>#N/A</v>
          </cell>
          <cell r="P15" t="str">
            <v>R n W Car ( 14 inch ) 16     FF Sachet + Grass</v>
          </cell>
          <cell r="Q15" t="str">
            <v>O Asiatic ( 15 Inch ) 3     Grass</v>
          </cell>
          <cell r="R15" t="str">
            <v>P n W Glad ( 14 Inch ) 16     Grass</v>
          </cell>
          <cell r="S15" t="str">
            <v>P n Y Spray Daisy ( 14 Inch ) 5     FF Sachet + Grass</v>
          </cell>
          <cell r="T15" t="str">
            <v xml:space="preserve">P Eustoma ( 12 Inch ) 3    FF Sachet + Grass </v>
          </cell>
        </row>
        <row r="16">
          <cell r="A16">
            <v>1630</v>
          </cell>
          <cell r="B16" t="str">
            <v>Nikhil Ranganathan-- Evening Only</v>
          </cell>
          <cell r="C16">
            <v>9910184448</v>
          </cell>
          <cell r="D16" t="str">
            <v>24/7, Primrose Vatika</v>
          </cell>
          <cell r="E16" t="str">
            <v>Sohna Road 1</v>
          </cell>
          <cell r="F16" t="str">
            <v>Friday</v>
          </cell>
          <cell r="G16" t="str">
            <v>4 Pm to 7 PM</v>
          </cell>
          <cell r="H16">
            <v>1450</v>
          </cell>
          <cell r="I16">
            <v>362.5</v>
          </cell>
          <cell r="J16" t="str">
            <v>Bliss</v>
          </cell>
          <cell r="K16"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16" t="str">
            <v>1  del of this cycle   -  1-cycles pmnt   Pending - Collect 1450</v>
          </cell>
          <cell r="O16" t="str">
            <v>Spray Daisy 5     Grass</v>
          </cell>
          <cell r="P16" t="str">
            <v>Sunflower ( 15 inch ) 4     Grass</v>
          </cell>
          <cell r="Q16" t="str">
            <v>O Asiatic ( 15 Inch ) 3     Grass</v>
          </cell>
          <cell r="R16" t="str">
            <v>P n W Glad ( 14 Inch ) 16     Grass</v>
          </cell>
          <cell r="S16" t="str">
            <v>P n Y Spray Daisy ( 14 Inch ) 5     FF Sachet + Grass</v>
          </cell>
          <cell r="T16" t="str">
            <v xml:space="preserve">R n P Car ( 14 Inch ) 16    FF Sachet + Grass </v>
          </cell>
        </row>
        <row r="17">
          <cell r="A17">
            <v>207</v>
          </cell>
          <cell r="B17" t="str">
            <v>Ms. Monaliza</v>
          </cell>
          <cell r="C17">
            <v>9958305888</v>
          </cell>
          <cell r="D17" t="str">
            <v>C-4/703, Sovereign, Vatika City</v>
          </cell>
          <cell r="E17" t="str">
            <v>Sohna Road 1</v>
          </cell>
          <cell r="F17" t="str">
            <v>Friday</v>
          </cell>
          <cell r="G17" t="str">
            <v>4 Pm to 7 PM</v>
          </cell>
          <cell r="H17">
            <v>1450</v>
          </cell>
          <cell r="I17">
            <v>362.5</v>
          </cell>
          <cell r="J17" t="str">
            <v>Bliss</v>
          </cell>
          <cell r="K17"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17" t="str">
            <v>Sunflower</v>
          </cell>
          <cell r="N17" t="str">
            <v>4  del of this cycle   -  0-cycles pmnt   Completed - Collect 0</v>
          </cell>
          <cell r="O17" t="str">
            <v>Mix Alstroemeria ( 14 inch ) 16     FF Sachet + Grass</v>
          </cell>
          <cell r="P17" t="str">
            <v>Mix Spray Daisy 5     FF Sachet + Grass</v>
          </cell>
          <cell r="Q17" t="e">
            <v>#N/A</v>
          </cell>
          <cell r="R17" t="str">
            <v>P Asiatic ( 14 Inch ) 3     Grass</v>
          </cell>
          <cell r="S17" t="str">
            <v>P n W Glad ( 14 Inch ) 16     Grass</v>
          </cell>
          <cell r="T17" t="str">
            <v xml:space="preserve">R n P Car ( 14 Inch ) 16    FF Sachet + Grass </v>
          </cell>
        </row>
        <row r="18">
          <cell r="A18">
            <v>467</v>
          </cell>
          <cell r="B18" t="str">
            <v>Mamta Wassan -- From Dilip Puri</v>
          </cell>
          <cell r="C18">
            <v>9867722349</v>
          </cell>
          <cell r="D18" t="str">
            <v>1/9, Hamelia Street, Vatika City</v>
          </cell>
          <cell r="E18" t="str">
            <v>Sohna Road 1</v>
          </cell>
          <cell r="F18" t="str">
            <v>Friday</v>
          </cell>
          <cell r="G18" t="str">
            <v>4 Pm to 7 PM</v>
          </cell>
          <cell r="H18">
            <v>1450</v>
          </cell>
          <cell r="I18">
            <v>362.5</v>
          </cell>
          <cell r="J18" t="str">
            <v>Bliss</v>
          </cell>
          <cell r="K18"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18" t="str">
            <v>3  del of this cycle   -  0-cycles pmnt   Completed - Collect 0</v>
          </cell>
          <cell r="O18" t="e">
            <v>#N/A</v>
          </cell>
          <cell r="P18" t="e">
            <v>#N/A</v>
          </cell>
          <cell r="Q18" t="e">
            <v>#N/A</v>
          </cell>
          <cell r="R18" t="str">
            <v>Mix Alstroemeria ( 12 Inch ) 16     FF Sachet + Grass</v>
          </cell>
          <cell r="S18" t="e">
            <v>#N/A</v>
          </cell>
          <cell r="T18" t="str">
            <v xml:space="preserve">O Asiatic ( 14 Inch ) 3    Grass </v>
          </cell>
        </row>
        <row r="19">
          <cell r="A19">
            <v>1389</v>
          </cell>
          <cell r="B19" t="str">
            <v>Revathi-- After 5 PM</v>
          </cell>
          <cell r="C19">
            <v>9811998878</v>
          </cell>
          <cell r="D19" t="str">
            <v>A-1201, The Emaar Palm Drive</v>
          </cell>
          <cell r="E19" t="str">
            <v>Badshahpur</v>
          </cell>
          <cell r="F19" t="str">
            <v>Friday</v>
          </cell>
          <cell r="G19" t="str">
            <v>4 PM to 7PM</v>
          </cell>
          <cell r="H19">
            <v>3850</v>
          </cell>
          <cell r="I19">
            <v>481.25</v>
          </cell>
          <cell r="J19" t="str">
            <v>Grace</v>
          </cell>
          <cell r="K19"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19" t="str">
            <v>Gerbera n ORCHID</v>
          </cell>
          <cell r="N19" t="str">
            <v>6  del of this cycle   -  0-cycles pmnt   Completed - Collect 0</v>
          </cell>
          <cell r="O19" t="str">
            <v>P n W Car ( 14 inch ) 20     FF Sachet + Grass</v>
          </cell>
          <cell r="P19" t="str">
            <v>P n W Glad ( 16 Inch) 20     Grass</v>
          </cell>
          <cell r="Q19" t="str">
            <v>Sunflower ( 14 Inch ) 5     Grass</v>
          </cell>
          <cell r="R19" t="str">
            <v>Pur n P Eustoma ( 14 Inch ) 4     FF Sachet + Grass</v>
          </cell>
          <cell r="S19" t="str">
            <v>Rajni ( 14 Inch ) 20     Grass</v>
          </cell>
          <cell r="T19" t="str">
            <v>P Asiatic ( 14 Inch ) 4     Grass</v>
          </cell>
        </row>
        <row r="20">
          <cell r="A20">
            <v>3062</v>
          </cell>
          <cell r="B20" t="str">
            <v>Shilpa Ravikumar</v>
          </cell>
          <cell r="C20">
            <v>9400305164</v>
          </cell>
          <cell r="D20" t="str">
            <v>A-902, Palm Premier, Emaar Palm Hills, OPP Hyatt Regency, Sec 77</v>
          </cell>
          <cell r="E20" t="str">
            <v>Manesar</v>
          </cell>
          <cell r="F20" t="str">
            <v>Friday</v>
          </cell>
          <cell r="G20" t="str">
            <v>4 Pm to 7 PM</v>
          </cell>
          <cell r="H20">
            <v>1450</v>
          </cell>
          <cell r="I20">
            <v>362.5</v>
          </cell>
          <cell r="J20" t="str">
            <v>Bliss</v>
          </cell>
          <cell r="K20" t="str">
            <v>Hold till 7th Jan (25/01) Hold till 17th June (01/06)</v>
          </cell>
          <cell r="N20" t="str">
            <v>2  del of this cycle   -  0-cycles pmnt   Completed - Collect 0</v>
          </cell>
          <cell r="O20" t="str">
            <v>P Spray Daisy ( 15 inch ) 3     FF Sachet + Grass</v>
          </cell>
          <cell r="P20" t="str">
            <v>R n W Car ( 14 inch ) 9     FF Sachet + Grass</v>
          </cell>
          <cell r="Q20" t="str">
            <v>P Asiatic ( 15 Inch ) 2     Grass</v>
          </cell>
          <cell r="R20" t="e">
            <v>#N/A</v>
          </cell>
          <cell r="S20" t="str">
            <v>Mix Carnation  16     FF Sachet + Grass</v>
          </cell>
          <cell r="T20" t="str">
            <v xml:space="preserve">Pur Eustom ( 12 Inch ) 3    FF Sachet + Grass </v>
          </cell>
        </row>
        <row r="21">
          <cell r="A21">
            <v>2803</v>
          </cell>
          <cell r="B21" t="str">
            <v>Priyanka Dey</v>
          </cell>
          <cell r="C21">
            <v>9007706833</v>
          </cell>
          <cell r="D21" t="str">
            <v>D/1003, 10th Floor, Emaar Palm Heights, Sec 77</v>
          </cell>
          <cell r="E21" t="str">
            <v>Badshahpur</v>
          </cell>
          <cell r="F21" t="str">
            <v>Friday</v>
          </cell>
          <cell r="G21" t="str">
            <v>After 5 PM</v>
          </cell>
          <cell r="H21">
            <v>1450</v>
          </cell>
          <cell r="I21">
            <v>362.5</v>
          </cell>
          <cell r="J21" t="str">
            <v>Delight</v>
          </cell>
          <cell r="K21" t="str">
            <v>Lily Next (28/07) Returned and hold (15/08) Four plus 1 Pack // Today returned (16/05)</v>
          </cell>
          <cell r="N21" t="str">
            <v>4  del of this cycle   -  0-cycles pmnt   Completed - Collect 0</v>
          </cell>
          <cell r="O21" t="str">
            <v>P Asiatic ( 15 inch ) 3     Grass</v>
          </cell>
          <cell r="P21" t="str">
            <v>R n W Car ( 14 inch ) 16     FF Sachet + Grass</v>
          </cell>
          <cell r="Q21" t="str">
            <v>Mix Alstroemeria ( 12 Inch ) 16     FF Sachet + Grass</v>
          </cell>
          <cell r="R21" t="str">
            <v>P n W Glad ( 14 Inch ) 16     Grass</v>
          </cell>
          <cell r="S21" t="str">
            <v>Y Asiatic ( 14 Inch ) 3     Grass</v>
          </cell>
          <cell r="T21" t="str">
            <v xml:space="preserve">Pur Eustom ( 12 Inch ) 3    FF Sachet + Grass </v>
          </cell>
        </row>
        <row r="22">
          <cell r="A22">
            <v>2976</v>
          </cell>
          <cell r="B22" t="str">
            <v>Monika Dubey</v>
          </cell>
          <cell r="C22">
            <v>6350565083</v>
          </cell>
          <cell r="D22" t="str">
            <v>H-1101, Tower-H, Mapsko Mountville, Sec 79</v>
          </cell>
          <cell r="E22" t="str">
            <v>Badshahpur</v>
          </cell>
          <cell r="F22" t="str">
            <v>Friday</v>
          </cell>
          <cell r="G22" t="str">
            <v>4 Pm to 7 PM</v>
          </cell>
          <cell r="H22">
            <v>1450</v>
          </cell>
          <cell r="I22">
            <v>362.5</v>
          </cell>
          <cell r="J22" t="str">
            <v>Bliss</v>
          </cell>
          <cell r="K22" t="str">
            <v>2 Premium and 2 Seasonal // Yesterday returned (11/10)</v>
          </cell>
          <cell r="N22" t="str">
            <v>3  del of this cycle   -  0-cycles pmnt   Completed - Collect 0</v>
          </cell>
          <cell r="O22" t="e">
            <v>#N/A</v>
          </cell>
          <cell r="P22" t="e">
            <v>#N/A</v>
          </cell>
          <cell r="Q22" t="e">
            <v>#N/A</v>
          </cell>
          <cell r="R22" t="str">
            <v>P n W Car ( 14 Inch ) 16     FF Sachet + Grass</v>
          </cell>
          <cell r="S22" t="str">
            <v>Y Asiatic ( 14 Inch ) 3     Grass</v>
          </cell>
          <cell r="T22" t="str">
            <v xml:space="preserve">P n W Glad ( 14 Inch ) 16    Grass </v>
          </cell>
        </row>
        <row r="23">
          <cell r="A23">
            <v>2775</v>
          </cell>
          <cell r="B23" t="str">
            <v>Sreeparna Ghosh</v>
          </cell>
          <cell r="C23">
            <v>9711590494</v>
          </cell>
          <cell r="D23" t="str">
            <v>H-701, Mapsko Mountville, Sec 79</v>
          </cell>
          <cell r="E23" t="str">
            <v>Badshahpur</v>
          </cell>
          <cell r="F23" t="str">
            <v>Friday</v>
          </cell>
          <cell r="G23" t="str">
            <v>4 PM to 7PM</v>
          </cell>
          <cell r="H23">
            <v>1950</v>
          </cell>
          <cell r="I23">
            <v>487.5</v>
          </cell>
          <cell r="J23" t="str">
            <v>Joy</v>
          </cell>
          <cell r="K23" t="str">
            <v>Send 1 W Asiatic as replacement (30/08) Skip 1 week (06/09) Returned-send next week (03/10) Send replacement of Gerbera tom (02/12) Skip 1 week (20/12) Upgarde to Joy from next cycle and mixed (20/02) Upgrade to Joy and skip 1 week (05/03)</v>
          </cell>
          <cell r="M23" t="str">
            <v>Upgarde to Joy from next cycle and mixed (20/02)</v>
          </cell>
          <cell r="N23" t="str">
            <v>3  del of this cycle   -  0-cycles pmnt   Completed - Collect 0</v>
          </cell>
          <cell r="O23" t="str">
            <v>Sunflower ( 15 inch ) 3 Mix Alstroemeria ( 14 inch ) 10 Ensure Collection Ensure Collection Grass</v>
          </cell>
          <cell r="P23" t="str">
            <v>P n W Spray Daisy 4 P n W Car ( 14 inch ) 11   FF Sachet + Grass</v>
          </cell>
          <cell r="Q23" t="str">
            <v>O Asiatic ( 15 Inch ) 2 Spray Carnation 10   Grass</v>
          </cell>
          <cell r="R23" t="str">
            <v>Pur Eustom ( 14 Inch ) 2 P n W Glad ( 14 Inch ) 11   FF Sachet + Grass</v>
          </cell>
          <cell r="S23" t="str">
            <v>Sunflower ( 12 Inch ) 3 Mix Alstroemeria ( 12 Inch ) 11   FF Sachet + Grass</v>
          </cell>
          <cell r="T23" t="str">
            <v>P Asiatic ( 14 Inch ) 4     Grass</v>
          </cell>
        </row>
        <row r="24">
          <cell r="A24">
            <v>2832</v>
          </cell>
          <cell r="B24" t="str">
            <v>Anshu Mittal Roy</v>
          </cell>
          <cell r="C24" t="str">
            <v xml:space="preserve"> 97172 00986</v>
          </cell>
          <cell r="D24" t="str">
            <v xml:space="preserve"> B203 Godrej 101, Sector 79
</v>
          </cell>
          <cell r="E24" t="str">
            <v>Badshahpur</v>
          </cell>
          <cell r="F24" t="str">
            <v>Friday</v>
          </cell>
          <cell r="G24" t="str">
            <v>4 Pm to 7 PM</v>
          </cell>
          <cell r="H24">
            <v>1450</v>
          </cell>
          <cell r="I24">
            <v>362.5</v>
          </cell>
          <cell r="J24" t="str">
            <v>Bliss</v>
          </cell>
          <cell r="K24" t="str">
            <v>15 % Discount (26/07) 3 Month with 10% discount (24/08) Skip 1 week (19/12) Skip 1 week (19/02) Skip 2 week (16/05) Today Returned (12/06)</v>
          </cell>
          <cell r="N24" t="str">
            <v>3  del of this cycle   -  0-cycles pmnt   Completed - Collect 0</v>
          </cell>
          <cell r="O24" t="str">
            <v>P Asiatic ( 15 inch ) 2 Mix Alstroemeria ( 14 inch ) 7   Grass</v>
          </cell>
          <cell r="P24" t="e">
            <v>#N/A</v>
          </cell>
          <cell r="Q24" t="e">
            <v>#N/A</v>
          </cell>
          <cell r="R24" t="str">
            <v>Y Spray Daisy ( 14 Inch ) 3 P n W Car ( 14 Inch ) 7   FF Sachet + Grass</v>
          </cell>
          <cell r="S24" t="str">
            <v>Pur Eustoma ( 12 Inch ) 2 P n W Glad ( 14 Inch ) 7   FF Sachet + Grass</v>
          </cell>
          <cell r="T24" t="str">
            <v xml:space="preserve">O Asiatic ( 14 Inch ) 2 Mix Alstroemeria (  12 Inch ) 7  Grass </v>
          </cell>
        </row>
        <row r="25">
          <cell r="A25">
            <v>2798</v>
          </cell>
          <cell r="B25" t="str">
            <v>Priya Chaturvedi</v>
          </cell>
          <cell r="C25">
            <v>9999283603</v>
          </cell>
          <cell r="D25" t="str">
            <v>D-2003, Bestech Alturea, Sec 79</v>
          </cell>
          <cell r="E25" t="str">
            <v>Manesar</v>
          </cell>
          <cell r="F25" t="str">
            <v>Friday</v>
          </cell>
          <cell r="G25" t="str">
            <v>4 Pm to 7 PM</v>
          </cell>
          <cell r="H25">
            <v>1450</v>
          </cell>
          <cell r="I25">
            <v>362.5</v>
          </cell>
          <cell r="J25" t="str">
            <v>Bliss</v>
          </cell>
          <cell r="K25" t="str">
            <v>Today Returned (08/08) {ayment From Chinmananda Devgoswami (25/10) Four Plus 1 Pack (15/04) Skip 1 week (07/05)</v>
          </cell>
          <cell r="N25" t="str">
            <v>4  del of this cycle   -  0-cycles pmnt   Completed - Collect 0</v>
          </cell>
          <cell r="O25" t="str">
            <v>P n Y Spray Daisy ( 15 inch ) 5     FF Sachet + Grass</v>
          </cell>
          <cell r="P25" t="str">
            <v>R n W Car ( 14 inch ) 16     FF Sachet + Grass</v>
          </cell>
          <cell r="Q25" t="e">
            <v>#N/A</v>
          </cell>
          <cell r="R25" t="str">
            <v>O Asiatic ( 14 Inch ) 3     Grass</v>
          </cell>
          <cell r="S25" t="str">
            <v>P n W Glad ( 14 Inch ) 16     Grass</v>
          </cell>
          <cell r="T25" t="str">
            <v xml:space="preserve">Pur Eustom ( 12 Inch ) 3    FF Sachet + Grass </v>
          </cell>
        </row>
        <row r="26">
          <cell r="A26">
            <v>3077</v>
          </cell>
          <cell r="B26" t="str">
            <v>Shweta Katiyar</v>
          </cell>
          <cell r="C26">
            <v>9999435065</v>
          </cell>
          <cell r="D26" t="str">
            <v>G-122, DLF Primus, Sec 82 A</v>
          </cell>
          <cell r="E26" t="str">
            <v>Manesar</v>
          </cell>
          <cell r="F26" t="str">
            <v>Friday</v>
          </cell>
          <cell r="G26" t="str">
            <v>4 PM to 7 PM</v>
          </cell>
          <cell r="H26">
            <v>1950</v>
          </cell>
          <cell r="I26">
            <v>487.5</v>
          </cell>
          <cell r="J26" t="str">
            <v>Joy</v>
          </cell>
          <cell r="K26" t="str">
            <v>No Eustoma// Skip tom (31/12/25) Replacement of guldawari tom (16/01)</v>
          </cell>
          <cell r="L26" t="str">
            <v>Eustoma</v>
          </cell>
          <cell r="N26" t="str">
            <v>4  del of this cycle   -  0-cycles pmnt   Completed - Collect 0</v>
          </cell>
          <cell r="O26" t="str">
            <v>P n W Spray Daisy ( 15 inch ) 4 Mix Alstroemeria ( 14 inch ) 10   FF Sachet + Grass</v>
          </cell>
          <cell r="P26" t="str">
            <v>Sunflower ( 15 inch ) 3 P n W Glad ( 14 inch ) 11   Grass</v>
          </cell>
          <cell r="Q26" t="str">
            <v>P Asiatic ( 15 Inch ) 2 P n W Car ( 14 Inch ) 11   Grass</v>
          </cell>
          <cell r="R26" t="str">
            <v>Pur Eustom ( 14 Inch ) 2 Mix Alstroemeria ( 12 Inch ) 11   FF Sachet + Grass</v>
          </cell>
          <cell r="S26" t="str">
            <v>P n Y Spray Daisy ( 14 Inch ) 4 P n W Glad ( 14 Inch ) 11   FF Sachet + Grass</v>
          </cell>
          <cell r="T26" t="str">
            <v>Eustoma  2 Pur n P Car ( 14 Inch ) 11   FF sachet + Grass</v>
          </cell>
        </row>
        <row r="27">
          <cell r="A27">
            <v>2652</v>
          </cell>
          <cell r="B27" t="str">
            <v>Shilpi Samantray</v>
          </cell>
          <cell r="C27">
            <v>8527486150</v>
          </cell>
          <cell r="D27" t="str">
            <v>Q-294, DLF Ultima</v>
          </cell>
          <cell r="E27" t="str">
            <v>Manesar</v>
          </cell>
          <cell r="F27" t="str">
            <v>Friday</v>
          </cell>
          <cell r="G27" t="str">
            <v>4 Pm to 7 PM</v>
          </cell>
          <cell r="H27">
            <v>1450</v>
          </cell>
          <cell r="I27">
            <v>362.5</v>
          </cell>
          <cell r="J27" t="str">
            <v>Bliss</v>
          </cell>
          <cell r="K27"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27" t="str">
            <v>lilies n Glad</v>
          </cell>
          <cell r="M27" t="str">
            <v>More Eustoams</v>
          </cell>
          <cell r="N27" t="str">
            <v>4  del of this cycle   -  0-cycles pmnt   Completed - Collect 0</v>
          </cell>
          <cell r="O27" t="e">
            <v>#N/A</v>
          </cell>
          <cell r="P27" t="e">
            <v>#N/A</v>
          </cell>
          <cell r="Q27" t="e">
            <v>#N/A</v>
          </cell>
          <cell r="R27" t="str">
            <v>O Asiatic ( 14 Inch ) 2 P n W Glad ( 14 Inch ) 7   Grass</v>
          </cell>
          <cell r="S27" t="str">
            <v>Pur Eustoma ( 12 Inch ) 2 Mix Alstroemeria ( 12 Inch ) 7   FF Sachet + Grass</v>
          </cell>
          <cell r="T27" t="str">
            <v xml:space="preserve">P Spray Daisy ( 14 Inch ) 3 Pur n P Car ( 14 Inch ) 7  FF Sachet + Grass </v>
          </cell>
        </row>
        <row r="28">
          <cell r="A28">
            <v>2190</v>
          </cell>
          <cell r="B28" t="str">
            <v>Vismit Sharma</v>
          </cell>
          <cell r="C28">
            <v>9205393464</v>
          </cell>
          <cell r="D28" t="str">
            <v>R-164, DLF Ultima, Sec 81</v>
          </cell>
          <cell r="E28" t="str">
            <v>Manesar</v>
          </cell>
          <cell r="F28" t="str">
            <v>Friday</v>
          </cell>
          <cell r="G28" t="str">
            <v>4 Pm to 7 PM</v>
          </cell>
          <cell r="H28">
            <v>1950</v>
          </cell>
          <cell r="I28">
            <v>487.5</v>
          </cell>
          <cell r="J28" t="str">
            <v>Joy</v>
          </cell>
          <cell r="K28" t="str">
            <v>Skip 2 week (22/02) Skip 1 week (12/03) Skip 1 week (10/03) Skip 1 week (24/07) Skip 1 week (04/09) Skip 2 week (25/09) Hold n start from Jan (12/12)</v>
          </cell>
          <cell r="N28" t="str">
            <v>2  del of this cycle   -  0-cycles pmnt   Completed - Collect 0</v>
          </cell>
          <cell r="O28" t="str">
            <v>Mix Alstroemeria ( 14 inch ) 22     FF Sachet + Grass</v>
          </cell>
          <cell r="P28" t="str">
            <v>P n W Glad ( 14 inch ) 22     FF Sachet + Grass</v>
          </cell>
          <cell r="Q28" t="str">
            <v>Y Orchid  7     FF Sachet + Grass</v>
          </cell>
          <cell r="R28" t="str">
            <v>P n Y Spray Daisy ( 14 Inch ) 7     FF Sachet + Grass</v>
          </cell>
          <cell r="S28" t="str">
            <v>Pur n P Car ( 14 Inch ) 22     FF Sachet + Grass</v>
          </cell>
          <cell r="T28" t="str">
            <v>P Asiatic ( 14 Inch ) 4     Grass</v>
          </cell>
        </row>
        <row r="29">
          <cell r="A29">
            <v>2688</v>
          </cell>
          <cell r="B29" t="str">
            <v>Shabnam Chaudhari</v>
          </cell>
          <cell r="C29">
            <v>9810042409</v>
          </cell>
          <cell r="D29" t="str">
            <v>B-1902, Bestech Parkview Grandspa, Sec 81</v>
          </cell>
          <cell r="E29" t="str">
            <v>Manesar</v>
          </cell>
          <cell r="F29" t="str">
            <v>Friday</v>
          </cell>
          <cell r="G29" t="str">
            <v>4 PM to 7 PM</v>
          </cell>
          <cell r="H29">
            <v>999</v>
          </cell>
          <cell r="I29">
            <v>249.75</v>
          </cell>
          <cell r="J29" t="str">
            <v>Delight</v>
          </cell>
          <cell r="K29" t="str">
            <v>Only Seasonals (23/05) No Glad (06/06) No Yellow n white (15/06) 1 Stem extra (07/11) No Gerbera and do not count todays delivery (30/01) Next 2 time premium (07/03) Do not count todays delivery (27/03) 2 Stem extra next (01/05) No Gerbera and do not count last delivery (09/05) Only gerbera restricted (10/05)</v>
          </cell>
          <cell r="L29" t="str">
            <v>Gerbera</v>
          </cell>
          <cell r="M29" t="str">
            <v>Seasonal Only // 2 stem extra next (01/05)</v>
          </cell>
          <cell r="N29" t="str">
            <v>4  del of this cycle   -  0-cycles pmnt   Completed - Collect 0</v>
          </cell>
          <cell r="O29" t="str">
            <v>P n W Glad ( 14 inch ) 9     Grass</v>
          </cell>
          <cell r="P29" t="str">
            <v>P n W Car ( 14 inch ) 9     FF Sachet + Grass</v>
          </cell>
          <cell r="Q29" t="e">
            <v>#N/A</v>
          </cell>
          <cell r="R29" t="str">
            <v>Mix Alstroemeria ( 12 Inch ) 9     FF Sachet + Grass</v>
          </cell>
          <cell r="S29" t="str">
            <v>Rajni ( 14 Inch ) 9     Grass</v>
          </cell>
          <cell r="T29" t="str">
            <v xml:space="preserve">P n W Glad ( 14 Inch ) 9    Grass </v>
          </cell>
        </row>
        <row r="30">
          <cell r="A30">
            <v>2678</v>
          </cell>
          <cell r="B30" t="str">
            <v>Saachi Satyaarth</v>
          </cell>
          <cell r="C30">
            <v>9643712005</v>
          </cell>
          <cell r="D30" t="str">
            <v>H-1504, Microtek Greenburg, Sec 86</v>
          </cell>
          <cell r="E30" t="str">
            <v>Manesar</v>
          </cell>
          <cell r="F30" t="str">
            <v>Friday</v>
          </cell>
          <cell r="G30" t="str">
            <v>4 PM to 7 PM</v>
          </cell>
          <cell r="H30">
            <v>1450</v>
          </cell>
          <cell r="I30">
            <v>362.5</v>
          </cell>
          <cell r="J30" t="str">
            <v>Bliss</v>
          </cell>
          <cell r="K30" t="str">
            <v>Skip 1 week (04/06) Do not count last Del (28/03) 1 Sunflower Extra next (03/04)</v>
          </cell>
          <cell r="M30" t="str">
            <v>1 Sunflower Extra Next (03/04)</v>
          </cell>
          <cell r="N30" t="str">
            <v>3  del of this cycle   -  0-cycles pmnt   Completed - Collect 0</v>
          </cell>
          <cell r="O30" t="str">
            <v>Y Spray Daisy ( 15 inch ) 3 Mix Alstroemeria ( 14 inch ) 7   FF Sachet + Grass</v>
          </cell>
          <cell r="P30" t="str">
            <v>Sunflower ( 15 inch ) 2 P n W Glad ( 14 inch ) 7   Grass</v>
          </cell>
          <cell r="Q30" t="str">
            <v>O Asiatic ( 15 Inch ) 2 R n W Car ( 14 Inch ) 7   Grass</v>
          </cell>
          <cell r="R30" t="str">
            <v>P Eustoma ( 14 Inch ) 2 Mix Alstroemeria ( 12 Inch ) 7   FF Sachet + Grass</v>
          </cell>
          <cell r="S30" t="str">
            <v>P Spray Daisy ( 14 Inch ) 3 P n W Glad ( 14 Inch ) 7   FF Sachet + Grass</v>
          </cell>
          <cell r="T30" t="str">
            <v xml:space="preserve">Sunflower ( 12 Inch ) 2 Pur n P Car ( 14 Inch ) 7  FF Sachet + Grass </v>
          </cell>
        </row>
        <row r="31">
          <cell r="A31">
            <v>2435</v>
          </cell>
          <cell r="B31" t="str">
            <v>Manisha Aswani</v>
          </cell>
          <cell r="C31">
            <v>7426027603</v>
          </cell>
          <cell r="D31" t="str">
            <v>4-I/302, Orris Aster Court. Sec 85</v>
          </cell>
          <cell r="E31" t="str">
            <v>Manesar</v>
          </cell>
          <cell r="F31" t="str">
            <v>Friday</v>
          </cell>
          <cell r="G31" t="str">
            <v>After 5:30 PM</v>
          </cell>
          <cell r="H31">
            <v>1450</v>
          </cell>
          <cell r="I31">
            <v>362.5</v>
          </cell>
          <cell r="J31" t="str">
            <v>Bliss</v>
          </cell>
          <cell r="K31" t="str">
            <v>Insta // Sent replacement today (05/04) Sent Replacement today (19/04) Do Not Count last Del (06/05) Hold she will confirm (14/05) Payment confussion(29/06) Skip 1 week (22/04) Today Hold and skip (15/05) HDTNP (29/05)</v>
          </cell>
          <cell r="M31" t="str">
            <v>Premium Flowers Extra next (16/08)</v>
          </cell>
          <cell r="N31" t="str">
            <v>1  del of this cycle   -  1-cycles pmnt   Pending - Collect 1450</v>
          </cell>
          <cell r="O31" t="str">
            <v>P n W Spray Daisy ( 15 inch ) 5     FF Sachet + Grass</v>
          </cell>
          <cell r="P31" t="e">
            <v>#N/A</v>
          </cell>
          <cell r="Q31" t="str">
            <v xml:space="preserve">Collect 725 Carry Receipt Book Collect 725 with Change Carry Receipt Book Collect 725 with Change Carry Receipt Book </v>
          </cell>
          <cell r="R31" t="str">
            <v>O Asiatic ( 14 Inch ) 3     Grass</v>
          </cell>
          <cell r="S31" t="str">
            <v>P n W Glad ( 14 Inch ) 16     Grass</v>
          </cell>
          <cell r="T31" t="str">
            <v xml:space="preserve">P Eustoma ( 12 Inch ) 3    FF Sachet + Grass </v>
          </cell>
        </row>
        <row r="32">
          <cell r="A32">
            <v>2448</v>
          </cell>
          <cell r="B32" t="str">
            <v>Sonali Srivastava -- 1450 Pack</v>
          </cell>
          <cell r="C32">
            <v>8510051543</v>
          </cell>
          <cell r="D32" t="str">
            <v>T2/25A, SS, The Leaf, Sec 85</v>
          </cell>
          <cell r="E32" t="str">
            <v>Manesar</v>
          </cell>
          <cell r="F32" t="str">
            <v>Friday</v>
          </cell>
          <cell r="G32" t="str">
            <v>9:30 Am to 2 PM</v>
          </cell>
          <cell r="H32">
            <v>999</v>
          </cell>
          <cell r="I32">
            <v>249.75</v>
          </cell>
          <cell r="J32" t="str">
            <v>Delight</v>
          </cell>
          <cell r="K32" t="str">
            <v>Insta // 1st Del on Monday and then Friday morning (17/07) Skip tom n send on Monday (24/08) Hold due to non payment (16/01) HDTNP(20/02) HDTNP (24/04) Skip 2 week (13/05)</v>
          </cell>
          <cell r="N32" t="str">
            <v>3  del of this cycle   -  0-cycles pmnt   Completed - Collect 0</v>
          </cell>
          <cell r="O32" t="e">
            <v>#N/A</v>
          </cell>
          <cell r="P32" t="e">
            <v>#N/A</v>
          </cell>
          <cell r="Q32" t="e">
            <v>#N/A</v>
          </cell>
          <cell r="R32" t="e">
            <v>#N/A</v>
          </cell>
          <cell r="S32" t="e">
            <v>#N/A</v>
          </cell>
          <cell r="T32" t="str">
            <v xml:space="preserve">P n W Glad ( 14 Inch ) 9    Grass </v>
          </cell>
        </row>
        <row r="33">
          <cell r="A33">
            <v>3081</v>
          </cell>
          <cell r="B33" t="str">
            <v xml:space="preserve">Nikhat </v>
          </cell>
          <cell r="C33" t="str">
            <v>90044 52898‬</v>
          </cell>
          <cell r="D33" t="str">
            <v>Tower B, flat 074, DLF regal gardens , sector 90</v>
          </cell>
          <cell r="E33" t="str">
            <v>Manesar</v>
          </cell>
          <cell r="F33" t="str">
            <v>Friday</v>
          </cell>
          <cell r="G33" t="str">
            <v>4 PM to 7 PM</v>
          </cell>
          <cell r="H33">
            <v>1450</v>
          </cell>
          <cell r="I33">
            <v>362.5</v>
          </cell>
          <cell r="J33" t="str">
            <v>Bliss</v>
          </cell>
          <cell r="K33" t="str">
            <v>Paytm From Puneet Pundora (06/03) Hold today (20/03)</v>
          </cell>
          <cell r="N33" t="str">
            <v>3  del of this cycle   -  0-cycles pmnt   Completed - Collect 0</v>
          </cell>
          <cell r="O33" t="str">
            <v>Sunflower ( 15 inch ) 2 P n W Glad ( 14 inch ) 7   Grass</v>
          </cell>
          <cell r="P33" t="str">
            <v>P Asiatic ( 15 inch ) 2 P n W Car ( 14 inch ) 7   Grass</v>
          </cell>
          <cell r="Q33" t="str">
            <v>Sunflower ( 14 Inch ) 2 Mix Alstroemeria ( 12 Inch )  7   FF Sachet + Grass</v>
          </cell>
          <cell r="R33" t="str">
            <v>Pur Eustom ( 14 Inch ) 2 P n W Glad ( 14 Inch ) 7   FF Sachet + Grass</v>
          </cell>
          <cell r="S33" t="str">
            <v>W Asiatic ( 14 inch ) 2 Pur n P Car ( 14 Inch ) 7   Grass</v>
          </cell>
          <cell r="T33" t="str">
            <v xml:space="preserve">P Spray Daisy ( 14 Inch ) 3 Mix Alstroemeria (  12 Inch ) 7  FF Sachet + Grass </v>
          </cell>
        </row>
        <row r="34">
          <cell r="A34">
            <v>3099</v>
          </cell>
          <cell r="B34" t="str">
            <v>Manisha Mishra</v>
          </cell>
          <cell r="C34">
            <v>9910993142</v>
          </cell>
          <cell r="D34" t="str">
            <v>E-1202, maceo appartmnet, sector 91</v>
          </cell>
          <cell r="E34" t="str">
            <v>Dwarka Expressway</v>
          </cell>
          <cell r="F34" t="str">
            <v>Friday</v>
          </cell>
          <cell r="G34" t="str">
            <v>4 PM to 7 PM</v>
          </cell>
          <cell r="H34">
            <v>1950</v>
          </cell>
          <cell r="I34">
            <v>487.5</v>
          </cell>
          <cell r="J34" t="str">
            <v>Joy</v>
          </cell>
          <cell r="K34" t="str">
            <v>Paytm from Rohit Ahuja</v>
          </cell>
          <cell r="N34" t="str">
            <v>3  del of this cycle   -  0-cycles pmnt   Completed - Collect 0</v>
          </cell>
          <cell r="O34" t="str">
            <v>Sunflower ( 15 inch ) 3 Mix Alstroemeria ( 14 inch ) 10 Ensure Collection Ensure Collection Grass</v>
          </cell>
          <cell r="P34" t="str">
            <v>P Asiatic ( 15 inch ) 2 R n W Car( 14 inch ) 11   Grass</v>
          </cell>
          <cell r="Q34" t="str">
            <v>Sunflower ( 14 Inch ) 3  Spray Carnation  10   FF Sachet + Grass</v>
          </cell>
          <cell r="R34" t="str">
            <v>Pur Eustom ( 14 Inch ) 2 P n W Glad ( 14 Inch ) 11   FF Sachet + Grass</v>
          </cell>
          <cell r="S34" t="str">
            <v>P n Y Spray Daisy ( 14 Inch ) 4 Mix Alstroemeria ( 12 Inch ) 11   FF Sachet + Grass</v>
          </cell>
          <cell r="T34" t="str">
            <v>O Asiatic ( 14 Inch ) 2 Pur n P Car ( 14 Inch ) 11   Grass</v>
          </cell>
        </row>
        <row r="35">
          <cell r="A35">
            <v>3381</v>
          </cell>
          <cell r="B35" t="str">
            <v>Swati Gaur</v>
          </cell>
          <cell r="C35">
            <v>9769021701</v>
          </cell>
          <cell r="D35" t="str">
            <v>T-5/2617, Center court by County, Sec 88 A</v>
          </cell>
          <cell r="E35" t="str">
            <v>Manesar</v>
          </cell>
          <cell r="F35" t="str">
            <v>Friday</v>
          </cell>
          <cell r="G35" t="str">
            <v>4 Pm to 7 PM</v>
          </cell>
          <cell r="H35">
            <v>2750</v>
          </cell>
          <cell r="I35">
            <v>687.5</v>
          </cell>
          <cell r="J35" t="str">
            <v>Elation</v>
          </cell>
          <cell r="N35" t="str">
            <v>1  del of this cycle   -  0-cycles pmnt   Completed - Collect 0</v>
          </cell>
          <cell r="O35" t="e">
            <v>#N/A</v>
          </cell>
          <cell r="P35" t="e">
            <v>#N/A</v>
          </cell>
          <cell r="Q35" t="e">
            <v>#N/A</v>
          </cell>
          <cell r="R35" t="e">
            <v>#N/A</v>
          </cell>
          <cell r="S35" t="e">
            <v>#N/A</v>
          </cell>
          <cell r="T35" t="str">
            <v>R n P Car ( 14 Inch ) 32     FF sachet + Grass</v>
          </cell>
        </row>
        <row r="36">
          <cell r="A36">
            <v>2713</v>
          </cell>
          <cell r="B36" t="str">
            <v>Priyanka Dahiya</v>
          </cell>
          <cell r="C36">
            <v>9818543931</v>
          </cell>
          <cell r="D36" t="str">
            <v>D-804, Ambience Creacions, Rao Gajraj Singh Marg, Sec 22</v>
          </cell>
          <cell r="E36" t="str">
            <v>Old Gurgaon</v>
          </cell>
          <cell r="F36" t="str">
            <v>Friday</v>
          </cell>
          <cell r="G36" t="str">
            <v>4 Pm to 7 PM</v>
          </cell>
          <cell r="H36">
            <v>1450</v>
          </cell>
          <cell r="I36">
            <v>362.5</v>
          </cell>
          <cell r="J36" t="str">
            <v>Bliss</v>
          </cell>
          <cell r="K36" t="str">
            <v>Today Hold and next week too (06/06) Only seasonals (18/07) Paytm From Rahul Chandra (01/11) Pls Send tom (06/02) Skip 2 week (31/05)</v>
          </cell>
          <cell r="M36" t="str">
            <v>Seasonals Only</v>
          </cell>
          <cell r="N36" t="str">
            <v>1  del of this cycle   -  1-cycles pmnt   Pending - Collect 1450</v>
          </cell>
          <cell r="O36" t="str">
            <v>P n W Glad ( 14 inch ) 9   Ensure Collection Ensure Collection Grass</v>
          </cell>
          <cell r="P36" t="str">
            <v>Mix Glad 9     Grass</v>
          </cell>
          <cell r="Q36" t="str">
            <v>R n W Car ( 14 Inch ) 9     FF Sachet + Grass</v>
          </cell>
          <cell r="R36" t="e">
            <v>#N/A</v>
          </cell>
          <cell r="S36" t="e">
            <v>#N/A</v>
          </cell>
          <cell r="T36" t="str">
            <v xml:space="preserve">P Asiatic ( 14 Inch ) 3  ensure collection  Pese Na  Mile To Call Karna  Grass </v>
          </cell>
        </row>
        <row r="37">
          <cell r="A37">
            <v>2260</v>
          </cell>
          <cell r="B37" t="str">
            <v>Madhu Chopra</v>
          </cell>
          <cell r="C37">
            <v>9810270218</v>
          </cell>
          <cell r="D37" t="str">
            <v>Anand Farm, Sri Krishna Chowk, Sec 22, Dundahera</v>
          </cell>
          <cell r="E37" t="str">
            <v>Old Gurgaon</v>
          </cell>
          <cell r="F37" t="str">
            <v>Friday</v>
          </cell>
          <cell r="G37" t="str">
            <v>4 Pm to 7 PM</v>
          </cell>
          <cell r="H37">
            <v>4750</v>
          </cell>
          <cell r="I37">
            <v>1187.5</v>
          </cell>
          <cell r="J37" t="str">
            <v>Enchantment</v>
          </cell>
          <cell r="K37"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37" t="str">
            <v>ROSE</v>
          </cell>
          <cell r="N37" t="str">
            <v>3  del of this cycle   -  0-cycles pmnt   In Process - Collect 0</v>
          </cell>
          <cell r="O37" t="str">
            <v>P Oriental ( 18 inch ) + BOP ( 15 Inch ) 3 + 3 P n W Glad ( 14 inch ) + B Daisy 12 + 10 Orchid 4 5 Areca palm + 3 Gypsola + 3 Limonium</v>
          </cell>
          <cell r="P37" t="str">
            <v>W Oriental + G n Y Spray Daisy  3 + 5 P n W Car + Rajni 12 + 12 Eustoma 4 5 Areca Palm + 3 Gypsola + 3 Limonium</v>
          </cell>
          <cell r="Q37" t="str">
            <v>P oriental + BOP 3 + 3 R n W Car ( 14 Inch ) + Mix Alstroemeria ( 12 Inch ) 12 + 12 Y Orchid 5 5 Areca Palm + 3 Gypsola + 3 Limonium</v>
          </cell>
          <cell r="R37" t="str">
            <v>W Oriental + Mix Anthurium 3 + 4 P n W Glad + P n W Car 12 + 12 G Orchid 5 5 Areca palm + 3 Gypsola + 3 Limonium</v>
          </cell>
          <cell r="S37" t="str">
            <v>P Oriental + Mix Eustoma 3 + 4 Mix Alstroemeria + Rajni 12 + 12 BOP 4 5 Areca Palm + 3 Gypaols + 3 Limonium</v>
          </cell>
          <cell r="T37" t="str">
            <v>W oriental + Pur n P Eustoma 3 + 4 Pur n P Car + Rajni  12 + 12 Mix Anthurium  4 5 Areca palm + 3 Gypsola + 3 Limonium</v>
          </cell>
        </row>
        <row r="38">
          <cell r="A38">
            <v>1433</v>
          </cell>
          <cell r="B38" t="str">
            <v>Navritu Kaushal Rai-- After 5:30 PM</v>
          </cell>
          <cell r="C38">
            <v>9818603355</v>
          </cell>
          <cell r="D38" t="str">
            <v>H. No. 3403, 1st Floor, Sec 23</v>
          </cell>
          <cell r="E38" t="str">
            <v>Old Gurgaon</v>
          </cell>
          <cell r="F38" t="str">
            <v>Friday</v>
          </cell>
          <cell r="G38" t="str">
            <v>4 PM to 7PM</v>
          </cell>
          <cell r="H38">
            <v>999</v>
          </cell>
          <cell r="I38">
            <v>249.75</v>
          </cell>
          <cell r="J38" t="str">
            <v>Delight</v>
          </cell>
          <cell r="K38"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38" t="str">
            <v>Lily</v>
          </cell>
          <cell r="M38" t="str">
            <v>No White</v>
          </cell>
          <cell r="N38" t="str">
            <v>3  del of this cycle   -  0-cycles pmnt   Completed - Collect 0</v>
          </cell>
          <cell r="O38" t="str">
            <v>R n W Car ( 14 inch ) 9     FF Sachet + Grass</v>
          </cell>
          <cell r="P38" t="str">
            <v>Sunflower ( 15 inch ) 2     Grass</v>
          </cell>
          <cell r="Q38" t="str">
            <v>P n W Glad ( 14 Inch ) 9     Grass</v>
          </cell>
          <cell r="R38" t="str">
            <v>P Spray Daisy ( 14 Inch ) 3     FF Sachet + Grass</v>
          </cell>
          <cell r="S38" t="str">
            <v>Pur n P Car ( 14 Inch ) 9     FF Sachet + Grass</v>
          </cell>
          <cell r="T38" t="str">
            <v xml:space="preserve">Mix Alstroemeria ( 12 Inch ) 9    FF Sachet + Grass </v>
          </cell>
        </row>
        <row r="39">
          <cell r="A39">
            <v>87</v>
          </cell>
          <cell r="B39" t="str">
            <v>Deepak Kohli</v>
          </cell>
          <cell r="C39">
            <v>9716199110</v>
          </cell>
          <cell r="D39" t="str">
            <v>539/C, 4th Floor, H Block, Palam Vihar</v>
          </cell>
          <cell r="E39" t="str">
            <v>Old Gurgaon</v>
          </cell>
          <cell r="F39" t="str">
            <v>Friday</v>
          </cell>
          <cell r="G39" t="str">
            <v>4 PM to 7PM</v>
          </cell>
          <cell r="H39">
            <v>1450</v>
          </cell>
          <cell r="I39">
            <v>362.5</v>
          </cell>
          <cell r="J39" t="str">
            <v>Bliss</v>
          </cell>
          <cell r="K39" t="str">
            <v>Send 1 bunch Nargis From Amit n Pooja// Wish you a//Sending on 20th instaed of 21st,bcoz of Holi(18/03) Send 1 pack of FF(14/08) Time slot changed to Evening(18/09( Holy Change(16/03) Send tom (06/02)</v>
          </cell>
          <cell r="N39" t="str">
            <v>3  del of this cycle   -  0-cycles pmnt   In Process - Collect 0</v>
          </cell>
          <cell r="O39" t="str">
            <v>P n W Glad ( 14 inch ) 16     Grass</v>
          </cell>
          <cell r="P39" t="str">
            <v>R n W Car ( 14 inch ) 16     FF Sachet + Grass</v>
          </cell>
          <cell r="Q39" t="str">
            <v>O Asiatic ( 15 Inch ) 3     Grass</v>
          </cell>
          <cell r="R39" t="str">
            <v>Pur n P Eustoma ( 14 Inch ) 3     FF Sachet + Grass</v>
          </cell>
          <cell r="S39" t="str">
            <v>P n Y Spray Daisy ( 14 Inch ) 5     FF Sachet + Grass</v>
          </cell>
          <cell r="T39" t="str">
            <v xml:space="preserve">Mix Car 16    Grass </v>
          </cell>
        </row>
        <row r="40">
          <cell r="A40">
            <v>3047</v>
          </cell>
          <cell r="B40" t="str">
            <v>Meenal</v>
          </cell>
          <cell r="C40">
            <v>9811222881</v>
          </cell>
          <cell r="D40" t="str">
            <v>168, Deerwood</v>
          </cell>
          <cell r="E40" t="str">
            <v>Badshahpur</v>
          </cell>
          <cell r="F40" t="str">
            <v>Friday</v>
          </cell>
          <cell r="G40" t="str">
            <v>4 PM to 7PM</v>
          </cell>
          <cell r="H40">
            <v>999</v>
          </cell>
          <cell r="I40">
            <v>249.75</v>
          </cell>
          <cell r="J40" t="str">
            <v>Delight</v>
          </cell>
          <cell r="K40" t="str">
            <v>Skip Friday and sned on Monday (07/01) HDTNP (24/04) Skip 2 week (27/05)</v>
          </cell>
          <cell r="N40" t="str">
            <v>4  del of this cycle   -  0-cycles pmnt   Completed - Collect 0</v>
          </cell>
          <cell r="O40" t="str">
            <v>P n W Glad ( 14 inch ) 9     Grass</v>
          </cell>
          <cell r="P40" t="str">
            <v>Sunflower ( 15 inch ) 2     Grass</v>
          </cell>
          <cell r="Q40" t="e">
            <v>#N/A</v>
          </cell>
          <cell r="R40" t="e">
            <v>#N/A</v>
          </cell>
          <cell r="S40" t="str">
            <v>P Asiatic ( 14 Inch ) 2     Grass</v>
          </cell>
          <cell r="T40" t="str">
            <v xml:space="preserve">Pur n P Car ( 14 Inch ) 9    FF Sachet + Grass </v>
          </cell>
        </row>
        <row r="41">
          <cell r="A41">
            <v>3301</v>
          </cell>
          <cell r="B41" t="str">
            <v>Akanksha -- Orchid Petal</v>
          </cell>
          <cell r="C41">
            <v>9953302209</v>
          </cell>
          <cell r="D41" t="str">
            <v>T-15/401, Orchid Petals</v>
          </cell>
          <cell r="E41" t="str">
            <v>Sohna Road 1</v>
          </cell>
          <cell r="F41" t="str">
            <v>Friday</v>
          </cell>
          <cell r="G41" t="str">
            <v>4 PM to 7 PM</v>
          </cell>
          <cell r="H41">
            <v>1950</v>
          </cell>
          <cell r="I41">
            <v>487.5</v>
          </cell>
          <cell r="J41" t="str">
            <v>Joy</v>
          </cell>
          <cell r="K41" t="str">
            <v>Paytm From Akanksha Jain// Skip 1 week (17/05) HDTNP (12/06)</v>
          </cell>
          <cell r="N41" t="str">
            <v>2  del of this cycle   -  0-cycles pmnt   Completed - Collect 0</v>
          </cell>
          <cell r="O41" t="str">
            <v>Mix Alstroemeria ( 14 inch ) 22     FF Sachet + Grass</v>
          </cell>
          <cell r="P41" t="e">
            <v>#N/A</v>
          </cell>
          <cell r="Q41" t="str">
            <v>O Asiatic ( 15 Inch ) 4     Grass</v>
          </cell>
          <cell r="R41" t="str">
            <v>P n W Spray Daisy ( 14 Inch ) 7     FF Sachet + Grass</v>
          </cell>
          <cell r="S41" t="e">
            <v>#N/A</v>
          </cell>
          <cell r="T41" t="str">
            <v>P n W Glad ( 14 Inch ) 22     Grass</v>
          </cell>
        </row>
        <row r="42">
          <cell r="A42">
            <v>3383</v>
          </cell>
          <cell r="B42" t="str">
            <v>Jaya Todi</v>
          </cell>
          <cell r="C42">
            <v>8084159730</v>
          </cell>
          <cell r="D42" t="str">
            <v>T-6/1001, M3M Heights, Sec 65</v>
          </cell>
          <cell r="E42" t="str">
            <v>Badshahpur</v>
          </cell>
          <cell r="F42" t="str">
            <v>Saturday</v>
          </cell>
          <cell r="G42" t="str">
            <v>10 AM to 2:30 PM</v>
          </cell>
          <cell r="H42">
            <v>1450</v>
          </cell>
          <cell r="I42">
            <v>362.5</v>
          </cell>
          <cell r="J42" t="str">
            <v>Bliss</v>
          </cell>
          <cell r="N42" t="str">
            <v>1  del of this cycle   -  0-cycles pmnt   Completed - Collect 0</v>
          </cell>
          <cell r="O42" t="e">
            <v>#N/A</v>
          </cell>
          <cell r="P42" t="e">
            <v>#N/A</v>
          </cell>
          <cell r="Q42" t="e">
            <v>#N/A</v>
          </cell>
          <cell r="R42" t="e">
            <v>#N/A</v>
          </cell>
          <cell r="S42" t="e">
            <v>#N/A</v>
          </cell>
          <cell r="T42" t="str">
            <v xml:space="preserve">R n P Car ( 14 Inch ) 16    FF Sachet + Grass </v>
          </cell>
        </row>
        <row r="43">
          <cell r="A43">
            <v>1147</v>
          </cell>
          <cell r="B43" t="str">
            <v xml:space="preserve">Reena </v>
          </cell>
          <cell r="C43">
            <v>9811157690</v>
          </cell>
          <cell r="D43" t="str">
            <v>31/1, Ixia, Vatika City</v>
          </cell>
          <cell r="E43" t="str">
            <v>Sohna Road 1</v>
          </cell>
          <cell r="F43" t="str">
            <v>Tuesday</v>
          </cell>
          <cell r="G43" t="str">
            <v>9 AM to 2 PM</v>
          </cell>
          <cell r="H43">
            <v>1600</v>
          </cell>
          <cell r="I43">
            <v>200</v>
          </cell>
          <cell r="J43" t="str">
            <v>Bloom</v>
          </cell>
          <cell r="K43"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43" t="str">
            <v>RAJNI n HELICONIA</v>
          </cell>
          <cell r="N43" t="str">
            <v>4  del of this cycle   -  0-cycles pmnt   Completed - Collect 0</v>
          </cell>
          <cell r="O43" t="str">
            <v>P Spray Daisy ( 15 inch ) 2     FF Sachet + Grass</v>
          </cell>
          <cell r="P43" t="str">
            <v>P n W Car ( 14 inch ) 7     FF Sachet + Grass</v>
          </cell>
          <cell r="Q43" t="str">
            <v>Mix Alstroemeria ( 12 Inch ) 7     FF Sachet + Grass</v>
          </cell>
          <cell r="R43" t="str">
            <v>W Spray Daisy ( 14 Inch ) 2     FF Sachet + Grass</v>
          </cell>
          <cell r="S43" t="str">
            <v>Pink White Car ( 12 Inch ) 7     Grass</v>
          </cell>
          <cell r="T43" t="str">
            <v>Rajni ( 14 Inch ) 7     Grass</v>
          </cell>
        </row>
        <row r="44">
          <cell r="A44">
            <v>2389</v>
          </cell>
          <cell r="B44" t="str">
            <v>Sreyoshi  Maitra</v>
          </cell>
          <cell r="C44">
            <v>9711760109</v>
          </cell>
          <cell r="D44" t="str">
            <v>T-1/1706, M3M Heights, Sec 65</v>
          </cell>
          <cell r="E44" t="str">
            <v>Badshahpur</v>
          </cell>
          <cell r="F44" t="str">
            <v>Friday</v>
          </cell>
          <cell r="G44" t="str">
            <v>9 AM - 12 PM</v>
          </cell>
          <cell r="H44">
            <v>1950</v>
          </cell>
          <cell r="I44">
            <v>487.5</v>
          </cell>
          <cell r="J44" t="str">
            <v>Joy</v>
          </cell>
          <cell r="K44" t="str">
            <v>No Spray Daisy and Rajni // Payment from Mrittika Maitra (12/03) Send replacement of orchds tom (11/05) Today Returned (04/07) No eustoma (17/08) Hold today (24/10) Pls Send sunflowers on 9th Jan (12/12) HDTNP (13/03) Sent one del today (16/03) No Orchids (30/04) Today Returned (29/05)</v>
          </cell>
          <cell r="L44" t="str">
            <v>Orchids n Rajnigandha</v>
          </cell>
          <cell r="M44" t="str">
            <v>Sunflower on 9th Jan (12/12)</v>
          </cell>
          <cell r="N44" t="str">
            <v>3  del of this cycle   -  0-cycles pmnt   Completed - Collect 0</v>
          </cell>
          <cell r="O44" t="str">
            <v>P n W Glad ( 14 inch ) 22     Grass</v>
          </cell>
          <cell r="P44" t="str">
            <v>P Asiatic ( 15 inch ) 4     Grass</v>
          </cell>
          <cell r="Q44" t="str">
            <v>R n W Car ( 14 Inch ) 22     FF Sachet + Grass</v>
          </cell>
          <cell r="R44" t="str">
            <v>Pur n P Eustoma ( 14 Inch ) 4     FF Sachet + Grass</v>
          </cell>
          <cell r="S44" t="str">
            <v>P n Y Spray Daisy ( 14 Inch ) 7     FF Sachet + Grass</v>
          </cell>
          <cell r="T44" t="str">
            <v>P n W Glad ( 14 Inch ) 22     Grass</v>
          </cell>
        </row>
        <row r="45">
          <cell r="A45">
            <v>1238</v>
          </cell>
          <cell r="B45" t="str">
            <v>Meenakshi Dua-- Evening Only</v>
          </cell>
          <cell r="C45">
            <v>9560900277</v>
          </cell>
          <cell r="D45" t="str">
            <v>T-9/803, Orchid Petals</v>
          </cell>
          <cell r="E45" t="str">
            <v>Sohna Road 1</v>
          </cell>
          <cell r="F45" t="str">
            <v>Friday</v>
          </cell>
          <cell r="G45" t="str">
            <v>4 PM to 7PM</v>
          </cell>
          <cell r="H45">
            <v>1950</v>
          </cell>
          <cell r="I45">
            <v>487.5</v>
          </cell>
          <cell r="J45" t="str">
            <v>Joy</v>
          </cell>
          <cell r="K45"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45" t="str">
            <v xml:space="preserve">HELICONIA n BOP n GERBERA </v>
          </cell>
          <cell r="M45" t="str">
            <v>No Yel/Wht/Red in Glad and Guldawari</v>
          </cell>
          <cell r="N45" t="str">
            <v>1  del of this cycle   -  1-cycles pmnt   Pending - Collect 1950</v>
          </cell>
          <cell r="O45" t="str">
            <v>P n W Glad ( 14 inch ) 22     Grass</v>
          </cell>
          <cell r="P45" t="str">
            <v>P Asiatic ( 15 inch ) 4     Grass</v>
          </cell>
          <cell r="Q45" t="str">
            <v>R n W Car ( 14 Inch ) 22     FF Sachet + Grass</v>
          </cell>
          <cell r="R45" t="str">
            <v>Pur n P Eustoma ( 14 Inch ) 4     FF Sachet + Grass</v>
          </cell>
          <cell r="S45" t="str">
            <v>P n Y Spray Daisy ( 14 Inch ) 7     FF Sachet + Grass</v>
          </cell>
          <cell r="T45" t="str">
            <v>Mix Car 22     FF sachet + Grass</v>
          </cell>
        </row>
        <row r="46">
          <cell r="A46">
            <v>2427</v>
          </cell>
          <cell r="B46" t="str">
            <v>Amrita Jain</v>
          </cell>
          <cell r="C46">
            <v>9560706242</v>
          </cell>
          <cell r="D46" t="str">
            <v>Flat 72, Emilia C2, Gardenia Street</v>
          </cell>
          <cell r="E46" t="str">
            <v>Sohna Road 1</v>
          </cell>
          <cell r="F46" t="str">
            <v>Friday</v>
          </cell>
          <cell r="G46" t="str">
            <v>9 AM - 12 PM</v>
          </cell>
          <cell r="H46">
            <v>1450</v>
          </cell>
          <cell r="I46">
            <v>362.5</v>
          </cell>
          <cell r="J46" t="str">
            <v>Bliss</v>
          </cell>
          <cell r="K46"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46" t="str">
            <v>Rose n Orchid</v>
          </cell>
          <cell r="N46" t="str">
            <v>1  del of this cycle   -  1-cycles pmnt   Pending - Collect 1450</v>
          </cell>
          <cell r="O46" t="str">
            <v>Y Asiatic ( 15 inch ) 2 P n W Glad ( 14 inch ) 7   Grass</v>
          </cell>
          <cell r="P46" t="str">
            <v>Sunflower ( 15 inch ) 2 B Daisy ( 12 inch ) 7   Grass</v>
          </cell>
          <cell r="Q46" t="str">
            <v>Pur Eustoma 2 P n W Car ( 14 Inch ) 7   FF Sachet + Grass</v>
          </cell>
          <cell r="R46" t="str">
            <v>Y Spray Daisy ( 14 Inch ) 3 P n W Glad ( 14 Inch ) 7   FF Sachet + Grass</v>
          </cell>
          <cell r="S46" t="str">
            <v>P Asiatic ( 14 Inch ) 2 Mix Alstroemeria ( 12 Inch ) 7   Grass</v>
          </cell>
          <cell r="T46" t="str">
            <v xml:space="preserve">Sunflower ( 12 Inch ) 2 Pur n P Car ( 14 Inch ) 7  FF Sachet + Grass </v>
          </cell>
        </row>
        <row r="47">
          <cell r="A47">
            <v>1994</v>
          </cell>
          <cell r="B47" t="str">
            <v>M P Bezbaruah</v>
          </cell>
          <cell r="C47">
            <v>9810623627</v>
          </cell>
          <cell r="D47" t="str">
            <v>323, Deerwood Chase, Sector 50</v>
          </cell>
          <cell r="E47" t="str">
            <v>Nirvana Country</v>
          </cell>
          <cell r="F47" t="str">
            <v>Friday</v>
          </cell>
          <cell r="G47" t="str">
            <v>9 AM - 12 PM</v>
          </cell>
          <cell r="H47">
            <v>999</v>
          </cell>
          <cell r="I47">
            <v>249.75</v>
          </cell>
          <cell r="J47" t="str">
            <v>Delight</v>
          </cell>
          <cell r="K47" t="str">
            <v>Send car on Thursday (05/06) Skip 2 week (18/04) No Rajni till Sep (10/07)</v>
          </cell>
          <cell r="M47" t="str">
            <v>No Rajni till sep(10/07)</v>
          </cell>
          <cell r="N47" t="str">
            <v>3  del of this cycle   -  0-cycles pmnt   Completed - Collect 0</v>
          </cell>
          <cell r="O47" t="str">
            <v>Mix Alstroemeria ( 14 inch ) 9     FF Sachet + Grass</v>
          </cell>
          <cell r="P47" t="str">
            <v>P n W Glad ( 16 Inch) 9     Grass</v>
          </cell>
          <cell r="Q47" t="str">
            <v>P Asiatic ( 15 Inch ) 2     Grass</v>
          </cell>
          <cell r="R47" t="str">
            <v>P n W Car ( 14 Inch ) 9     Grass</v>
          </cell>
          <cell r="S47" t="str">
            <v>Sunflower ( 12 Inch ) 2     FF Sachet + Grass</v>
          </cell>
          <cell r="T47" t="str">
            <v xml:space="preserve">P Spray Daisy ( 14 Inch ) 3    FF Sachet + Grass </v>
          </cell>
        </row>
        <row r="48">
          <cell r="A48">
            <v>1996</v>
          </cell>
          <cell r="B48" t="str">
            <v>Ankita Sethi</v>
          </cell>
          <cell r="C48">
            <v>9899660037</v>
          </cell>
          <cell r="D48" t="str">
            <v>C1/202, Vatika City, Sec 49</v>
          </cell>
          <cell r="E48" t="str">
            <v>Sohna Road 1</v>
          </cell>
          <cell r="F48" t="str">
            <v>Friday</v>
          </cell>
          <cell r="G48" t="str">
            <v>9 AM - 12 PM</v>
          </cell>
          <cell r="H48">
            <v>1450</v>
          </cell>
          <cell r="I48">
            <v>362.5</v>
          </cell>
          <cell r="J48" t="str">
            <v>Bliss</v>
          </cell>
          <cell r="K48"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48" t="str">
            <v>GLAD n HELICONIA</v>
          </cell>
          <cell r="N48" t="str">
            <v>3  del of this cycle   -  0-cycles pmnt   Completed - Collect 0</v>
          </cell>
          <cell r="O48" t="str">
            <v>R n W Car ( 14 inch ) 16     FF Sachet + Grass</v>
          </cell>
          <cell r="P48" t="str">
            <v>Glad 16     FF Sachet + Grass</v>
          </cell>
          <cell r="Q48" t="str">
            <v>P Asiatic ( 15 Inch ) 3     Grass</v>
          </cell>
          <cell r="R48" t="str">
            <v>P n Y Spray Daisy ( 14 Inch ) 5     FF Sachet + Grass</v>
          </cell>
          <cell r="S48" t="str">
            <v>Sunflower ( 12 Inch ) 4     FF Sachet + Grass</v>
          </cell>
          <cell r="T48" t="str">
            <v xml:space="preserve">Pur Eustom ( 12 Inch ) 3    FF Sachet + Grass </v>
          </cell>
        </row>
        <row r="49">
          <cell r="A49">
            <v>1618</v>
          </cell>
          <cell r="B49" t="str">
            <v>Nidhi Sharma Malhotra</v>
          </cell>
          <cell r="C49" t="str">
            <v>8130207722//9999016333</v>
          </cell>
          <cell r="D49" t="str">
            <v>Topaz-36, First Floor, Emaar Emerald Hills, Sec 65</v>
          </cell>
          <cell r="E49" t="str">
            <v>Badshahpur</v>
          </cell>
          <cell r="F49" t="str">
            <v>Friday</v>
          </cell>
          <cell r="G49" t="str">
            <v>9 AM to 2 PM</v>
          </cell>
          <cell r="H49">
            <v>3000</v>
          </cell>
          <cell r="I49">
            <v>375</v>
          </cell>
          <cell r="J49" t="str">
            <v>Charm</v>
          </cell>
          <cell r="K49"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49" t="str">
            <v>GLAD</v>
          </cell>
          <cell r="N49" t="str">
            <v>7  del of this cycle   -  0-cycles pmnt   Complimentary - Collect 0</v>
          </cell>
          <cell r="O49" t="str">
            <v>Bop 3     FF Sachet + Grass</v>
          </cell>
          <cell r="P49" t="str">
            <v>P n W Car ( 14 inch ) 15     FF Sachet + Grass</v>
          </cell>
          <cell r="Q49" t="str">
            <v>Mix Spray Daisy 4     FF Sachet + Grass</v>
          </cell>
          <cell r="R49" t="str">
            <v>Pur Eustom ( 14 Inch ) 3     FF Sachet + Grass</v>
          </cell>
          <cell r="S49" t="str">
            <v>BOP ( 14 Inch ) 3     FF Sachet + Grass</v>
          </cell>
          <cell r="T49" t="str">
            <v>P Asiatic ( 14 Inch ) 3     Grass</v>
          </cell>
        </row>
        <row r="50">
          <cell r="A50">
            <v>296</v>
          </cell>
          <cell r="B50" t="str">
            <v>Madhu Thapliyal</v>
          </cell>
          <cell r="C50">
            <v>9999364696</v>
          </cell>
          <cell r="D50" t="str">
            <v>2/201, Sovereign, Vatika City</v>
          </cell>
          <cell r="E50" t="str">
            <v>Sohna Road 1</v>
          </cell>
          <cell r="F50" t="str">
            <v>Friday</v>
          </cell>
          <cell r="G50" t="str">
            <v>9 AM - 12 PM</v>
          </cell>
          <cell r="H50">
            <v>1450</v>
          </cell>
          <cell r="I50">
            <v>362.5</v>
          </cell>
          <cell r="J50" t="str">
            <v>Bliss</v>
          </cell>
          <cell r="K50"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50" t="str">
            <v>GLAD n BOP</v>
          </cell>
          <cell r="M50" t="str">
            <v>Statice next (19/04)</v>
          </cell>
          <cell r="N50" t="str">
            <v>2  del of this cycle   -  0-cycles pmnt   Completed - Collect 0</v>
          </cell>
          <cell r="O50" t="str">
            <v>P Asiatic ( 15 inch ) 3     Grass</v>
          </cell>
          <cell r="P50" t="str">
            <v>Sunflower ( 15 inch ) 4     Grass</v>
          </cell>
          <cell r="Q50" t="str">
            <v>Mix Alstroemeria ( 12 Inch ) 16     FF Sachet + Grass</v>
          </cell>
          <cell r="R50" t="str">
            <v>P n W Spray Daisy ( 14 Inch ) 5     FF Sachet + Grass</v>
          </cell>
          <cell r="S50" t="str">
            <v>Pur n P Car ( 14 Inch ) 16     FF Sachet + Grass</v>
          </cell>
          <cell r="T50" t="str">
            <v xml:space="preserve">O Asiatic ( 14 Inch ) 3    Grass </v>
          </cell>
        </row>
        <row r="51">
          <cell r="A51" t="str">
            <v>G-00011</v>
          </cell>
          <cell r="B51" t="str">
            <v>Nainsee Garg</v>
          </cell>
          <cell r="C51">
            <v>9810561802</v>
          </cell>
          <cell r="D51" t="str">
            <v>A67 Rosewood City Sector 49 Gurgaon 122001</v>
          </cell>
          <cell r="E51" t="str">
            <v>Nirvana Country</v>
          </cell>
          <cell r="F51" t="str">
            <v>Friday</v>
          </cell>
          <cell r="G51" t="str">
            <v>9 AM to 2 PM</v>
          </cell>
          <cell r="H51">
            <v>2350</v>
          </cell>
          <cell r="I51">
            <v>293.75</v>
          </cell>
          <cell r="J51" t="str">
            <v>Felicity</v>
          </cell>
          <cell r="K51" t="str">
            <v>No Glad (15/-5) Skip tom n sned next del on Sunday (29/05) Skip 1 week (03/07) Skip 1 week (12/11) Send tom (01/04) Sent one del today (09/04) Skip 1 week (11/05) Skip this cdel n send on Sunday (12/06)</v>
          </cell>
          <cell r="L51" t="str">
            <v>Glad</v>
          </cell>
          <cell r="N51" t="str">
            <v>5  del of this cycle   -  0-cycles pmnt   Completed - Collect 0</v>
          </cell>
          <cell r="O51" t="e">
            <v>#N/A</v>
          </cell>
          <cell r="P51" t="str">
            <v>P n Y Spray Daisy ( 15 inch ) 4 Glad 11   FF Sachet + Grass</v>
          </cell>
          <cell r="Q51" t="str">
            <v>P Asiatic ( 15 Inch ) 2 Mix Alstroemeria ( 12 Inch )  20   Grass</v>
          </cell>
          <cell r="R51" t="str">
            <v>R n W Car ( 14 Inch ) 11     FF Sachet + Grass</v>
          </cell>
          <cell r="S51" t="e">
            <v>#N/A</v>
          </cell>
          <cell r="T51" t="str">
            <v>P Asiatic ( 14 Inch ) 2     Grass</v>
          </cell>
        </row>
        <row r="52">
          <cell r="A52">
            <v>2899</v>
          </cell>
          <cell r="B52" t="str">
            <v>Mitali</v>
          </cell>
          <cell r="C52">
            <v>8805097625</v>
          </cell>
          <cell r="D52" t="str">
            <v>A-3o4, Emaar Emerald Estate, Sec 65</v>
          </cell>
          <cell r="E52" t="str">
            <v>Badshahpur</v>
          </cell>
          <cell r="F52" t="str">
            <v>Friday</v>
          </cell>
          <cell r="G52" t="str">
            <v>9 AM - 12 PM</v>
          </cell>
          <cell r="H52">
            <v>999</v>
          </cell>
          <cell r="I52">
            <v>249.75</v>
          </cell>
          <cell r="J52" t="str">
            <v>Delight</v>
          </cell>
          <cell r="K52" t="str">
            <v>Skip tom (16/10) Paytm from Mitali Bansal // Returned today (13/03) Send 1 Del tom (15/03)</v>
          </cell>
          <cell r="N52" t="str">
            <v>4  del of this cycle   -  0-cycles pmnt   Completed - Collect 0</v>
          </cell>
          <cell r="O52" t="str">
            <v>P Spray Daisy ( 15 inch ) 3     FF Sachet + Grass</v>
          </cell>
          <cell r="P52" t="str">
            <v>Sunflower ( 15 inch ) 2     Grass</v>
          </cell>
          <cell r="Q52" t="str">
            <v>Mix Alstroemeria ( 12 Inch ) 9     FF Sachet + Grass</v>
          </cell>
          <cell r="R52" t="str">
            <v>O Asiatic ( 14 Inch ) 2     Grass</v>
          </cell>
          <cell r="S52" t="str">
            <v>Pur n P Car ( 14 Inch ) 9     FF Sachet + Grass</v>
          </cell>
          <cell r="T52" t="str">
            <v xml:space="preserve">P n W Glad ( 14 Inch ) 9    Grass </v>
          </cell>
        </row>
        <row r="53">
          <cell r="A53">
            <v>3139</v>
          </cell>
          <cell r="B53" t="str">
            <v>Ishita Chopra</v>
          </cell>
          <cell r="C53">
            <v>9810247803</v>
          </cell>
          <cell r="D53" t="str">
            <v>B-69, Ground Floor, Soutthend Floor, Sec 49</v>
          </cell>
          <cell r="E53" t="str">
            <v>Sohna Road 1</v>
          </cell>
          <cell r="F53" t="str">
            <v>Friday</v>
          </cell>
          <cell r="G53" t="str">
            <v>4 Pm to 7 PM</v>
          </cell>
          <cell r="H53">
            <v>1450</v>
          </cell>
          <cell r="I53">
            <v>362.5</v>
          </cell>
          <cell r="J53" t="str">
            <v>Bliss</v>
          </cell>
          <cell r="K53" t="str">
            <v>No Red Rose // Today returned due to timing missunderstaning (21/11) No Roses (06/01)</v>
          </cell>
          <cell r="L53" t="str">
            <v>Roses</v>
          </cell>
          <cell r="N53" t="str">
            <v>4  del of this cycle   -  0-cycles pmnt   Completed - Collect 0</v>
          </cell>
          <cell r="O53" t="e">
            <v>#N/A</v>
          </cell>
          <cell r="P53" t="e">
            <v>#N/A</v>
          </cell>
          <cell r="Q53" t="str">
            <v>P n W Car 16     FF Sachet + Grass</v>
          </cell>
          <cell r="R53" t="str">
            <v>O Asiatic ( 14 Inch ) 3     Grass</v>
          </cell>
          <cell r="S53" t="str">
            <v>P n W Glad ( 14 Inch ) 16     Grass</v>
          </cell>
          <cell r="T53" t="str">
            <v xml:space="preserve">Pur Eustom ( 12 Inch ) 3    FF Sachet + Grass </v>
          </cell>
        </row>
        <row r="54">
          <cell r="A54">
            <v>2385</v>
          </cell>
          <cell r="B54" t="str">
            <v>Vasanta Poddar</v>
          </cell>
          <cell r="C54">
            <v>9899170709</v>
          </cell>
          <cell r="D54" t="str">
            <v>S-64, 2nd Floor, Uppal Southend</v>
          </cell>
          <cell r="E54" t="str">
            <v>Sohna Road 1</v>
          </cell>
          <cell r="F54" t="str">
            <v>Friday</v>
          </cell>
          <cell r="G54" t="str">
            <v>9 AM - 12 PM</v>
          </cell>
          <cell r="H54">
            <v>1950</v>
          </cell>
          <cell r="I54">
            <v>487.5</v>
          </cell>
          <cell r="J54" t="str">
            <v>Joy</v>
          </cell>
          <cell r="K54" t="str">
            <v xml:space="preserve"> Skip 1 week (11/03) Skip 2 week (29/05) Sent 1 Del today (21/08) Send tom (06/02) Skip 1 week (19/02)</v>
          </cell>
          <cell r="L54" t="str">
            <v>ORCHID</v>
          </cell>
          <cell r="N54" t="str">
            <v>1  del of this cycle   -  1-cycles pmnt   Pending - Collect 1950</v>
          </cell>
          <cell r="O54" t="str">
            <v>P n Y Spray Daisy ( 15 inch ) 7     FF Sachet + Grass</v>
          </cell>
          <cell r="P54" t="str">
            <v>Sunflower ( 15 inch ) 5     Grass</v>
          </cell>
          <cell r="Q54" t="str">
            <v>P n W Glad ( 14 Inch ) 22     Grass</v>
          </cell>
          <cell r="R54" t="str">
            <v>W Asiatic ( 14 Inch ) 4     Grass</v>
          </cell>
          <cell r="S54" t="str">
            <v>P Asiatic ( 14 Inch ) 4     Grass</v>
          </cell>
          <cell r="T54" t="str">
            <v>R n P Car ( 14 Inch ) 22     FF sachet + Grass</v>
          </cell>
        </row>
        <row r="55">
          <cell r="A55">
            <v>2582</v>
          </cell>
          <cell r="B55" t="str">
            <v>Nidhi -- Emaar Palm</v>
          </cell>
          <cell r="C55">
            <v>9873404809</v>
          </cell>
          <cell r="D55" t="str">
            <v>T-57/101, Emaar emerakd Premier Floors, Sec 65</v>
          </cell>
          <cell r="E55" t="str">
            <v>Badshahpur</v>
          </cell>
          <cell r="F55" t="str">
            <v>Friday</v>
          </cell>
          <cell r="G55" t="str">
            <v>9:30 Am to 2 PM</v>
          </cell>
          <cell r="H55">
            <v>1450</v>
          </cell>
          <cell r="I55">
            <v>362.5</v>
          </cell>
          <cell r="J55" t="str">
            <v>Bliss</v>
          </cell>
          <cell r="K55" t="str">
            <v>From Nidhi Srivastava // No Del till 4th Oct (24/09) Hold due to non payment (26/12) Hold due to non payment (23/01) Skip 1 week (09/06)</v>
          </cell>
          <cell r="N55" t="str">
            <v>1  del of this cycle   -  1-cycles pmnt   Pending - Collect 999</v>
          </cell>
          <cell r="O55" t="str">
            <v>R n W Car ( 14 inch ) 9     FF Sachet + Grass</v>
          </cell>
          <cell r="P55" t="str">
            <v>Glad 9     Grass</v>
          </cell>
          <cell r="Q55" t="str">
            <v xml:space="preserve">Collect 500 Carry Receipt Book Collect 500 Carry Receipt Book Collect 500 Carry Receipt Book </v>
          </cell>
          <cell r="R55" t="str">
            <v>Y Spray Daisy ( 14 Inch ) 3     FF Sachet + Grass</v>
          </cell>
          <cell r="S55" t="e">
            <v>#N/A</v>
          </cell>
          <cell r="T55" t="str">
            <v xml:space="preserve">R n P Car ( 14 Inch ) 16    FF Sachet + Grass </v>
          </cell>
        </row>
        <row r="56">
          <cell r="A56">
            <v>2985</v>
          </cell>
          <cell r="B56" t="str">
            <v>Leena -- Orchid Petals</v>
          </cell>
          <cell r="C56">
            <v>9810768350</v>
          </cell>
          <cell r="D56" t="str">
            <v>T-24/1103, Orchid Petals</v>
          </cell>
          <cell r="E56" t="str">
            <v>Sohna Road 1</v>
          </cell>
          <cell r="F56" t="str">
            <v>Friday</v>
          </cell>
          <cell r="G56" t="str">
            <v>9 AM - 12 PM</v>
          </cell>
          <cell r="H56">
            <v>1450</v>
          </cell>
          <cell r="I56">
            <v>362.5</v>
          </cell>
          <cell r="J56" t="str">
            <v>Bliss</v>
          </cell>
          <cell r="K56" t="str">
            <v>1st del tom and then every Friday // Upgrade to Bliss (08/01) Hold today (06/02) Skip Friday and send on Sunday this week (20/05)</v>
          </cell>
          <cell r="N56" t="str">
            <v>3  del of this cycle   -  0-cycles pmnt   Completed - Collect 0</v>
          </cell>
          <cell r="O56" t="str">
            <v>P n W Spray Daisy ( 15 inch ) 5     FF Sachet + Grass</v>
          </cell>
          <cell r="P56" t="e">
            <v>#N/A</v>
          </cell>
          <cell r="Q56" t="str">
            <v>R n W Car ( 14 Inch ) 16     FF Sachet + Grass</v>
          </cell>
          <cell r="R56" t="str">
            <v>O Asiatic ( 14 Inch ) 3     Grass</v>
          </cell>
          <cell r="S56" t="str">
            <v>P n W Glad ( 14 Inch ) 16     Grass</v>
          </cell>
          <cell r="T56" t="str">
            <v xml:space="preserve">Pur Eustom ( 12 Inch ) 3    FF Sachet + Grass </v>
          </cell>
        </row>
        <row r="57">
          <cell r="A57">
            <v>3011</v>
          </cell>
          <cell r="B57" t="str">
            <v>Nandita Sharma</v>
          </cell>
          <cell r="C57">
            <v>9702930000</v>
          </cell>
          <cell r="D57" t="str">
            <v>Sovereign-2/102, Vatila City</v>
          </cell>
          <cell r="E57" t="str">
            <v>Sohna Road 1</v>
          </cell>
          <cell r="F57" t="str">
            <v>Friday</v>
          </cell>
          <cell r="G57" t="str">
            <v>9 AM to 2 PM</v>
          </cell>
          <cell r="H57">
            <v>1450</v>
          </cell>
          <cell r="I57">
            <v>362.5</v>
          </cell>
          <cell r="J57" t="str">
            <v>Bliss</v>
          </cell>
          <cell r="K57" t="str">
            <v>Hld till 8th Mar (22/02)</v>
          </cell>
          <cell r="N57" t="str">
            <v>2  del of this cycle   -  0-cycles pmnt   Completed - Collect 0</v>
          </cell>
          <cell r="O57" t="str">
            <v>Bop 2 P n W Glad ( 14 inch ) 7   FF Sachet + Grass</v>
          </cell>
          <cell r="P57" t="str">
            <v>Sunflower ( 15 inch ) 2 P n W Car ( 14 inch ) 7   FF Sachet + Grass</v>
          </cell>
          <cell r="Q57" t="str">
            <v>O Asiatic ( 15 Inch ) 2 Mix Alstroemeria ( 12 Inch )  7   Grass</v>
          </cell>
          <cell r="R57" t="str">
            <v>P Spray Daisy ( 14 Inch ) 3 P n W Glad ( 14 Inch ) 7   FF Sachet + Grass</v>
          </cell>
          <cell r="S57" t="str">
            <v>Pur Eustoma ( 12 Inch ) 2 Pur n P Car ( 14 Inch ) 7   FF Sachet + Grass</v>
          </cell>
          <cell r="T57" t="str">
            <v xml:space="preserve">Sunflower ( 12 Inch ) 2 Mix Alstroemeria (  12 Inch ) 7  FF Sachet + Grass </v>
          </cell>
        </row>
        <row r="58">
          <cell r="A58">
            <v>1571</v>
          </cell>
          <cell r="B58" t="str">
            <v>Mohar Ray Dahiya</v>
          </cell>
          <cell r="C58">
            <v>9910019898</v>
          </cell>
          <cell r="D58" t="str">
            <v>Sovereign-3/201, Vatika City</v>
          </cell>
          <cell r="E58" t="str">
            <v>Sohna Road 1</v>
          </cell>
          <cell r="F58" t="str">
            <v>Friday</v>
          </cell>
          <cell r="G58" t="str">
            <v>9 AM to 2 PM</v>
          </cell>
          <cell r="H58">
            <v>1600</v>
          </cell>
          <cell r="I58">
            <v>200</v>
          </cell>
          <cell r="J58" t="str">
            <v>Bloom</v>
          </cell>
          <cell r="K58"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8" t="str">
            <v>BOP n GERBERA</v>
          </cell>
          <cell r="N58" t="str">
            <v>7  del of this cycle   -  0-cycles pmnt   Completed - Collect 0</v>
          </cell>
          <cell r="O58" t="str">
            <v>P n W Car ( 14 inch ) 7     FF Sachet + Grass</v>
          </cell>
          <cell r="P58" t="str">
            <v>Rajni ( 16 inch ) 7     Grass</v>
          </cell>
          <cell r="Q58" t="str">
            <v>P n W Glad ( 14 Inch ) 7     Grass</v>
          </cell>
          <cell r="R58" t="str">
            <v>R n W Car ( 14 Inch ) 7     FF Sachet + Grass</v>
          </cell>
          <cell r="S58" t="str">
            <v>Rajni ( 14 Inch ) 7     Grass</v>
          </cell>
          <cell r="T58" t="str">
            <v>P n W Glad ( 14 Inch ) 7     Grass</v>
          </cell>
        </row>
        <row r="59">
          <cell r="A59">
            <v>36</v>
          </cell>
          <cell r="B59" t="str">
            <v>Ms. Anubha T Agarwal</v>
          </cell>
          <cell r="C59">
            <v>9818690761</v>
          </cell>
          <cell r="D59" t="str">
            <v>D-902, Park View City-1, Sohna Road</v>
          </cell>
          <cell r="E59" t="str">
            <v>Sohna Road 2</v>
          </cell>
          <cell r="F59" t="str">
            <v>Friday</v>
          </cell>
          <cell r="G59" t="str">
            <v>4 Pm to 7 PM</v>
          </cell>
          <cell r="H59">
            <v>999</v>
          </cell>
          <cell r="I59">
            <v>249.75</v>
          </cell>
          <cell r="J59" t="str">
            <v>Delight</v>
          </cell>
          <cell r="K59"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9" t="str">
            <v>3  del of this cycle   -  0-cycles pmnt   Completed - Collect 0</v>
          </cell>
          <cell r="O59" t="str">
            <v>P n W Glad ( 14 inch ) 9     Grass</v>
          </cell>
          <cell r="P59" t="str">
            <v>R n W Car( 14 inch ) 9     FF Sachet + Grass</v>
          </cell>
          <cell r="Q59" t="str">
            <v>O Asiatic ( 15 Inch ) 2     Grass</v>
          </cell>
          <cell r="R59" t="str">
            <v>Sunflower ( 12 Inch ) 2     FF Sachet + Grass</v>
          </cell>
          <cell r="S59" t="str">
            <v>P n W Glad ( 14 Inch ) 9     Grass</v>
          </cell>
          <cell r="T59" t="str">
            <v xml:space="preserve">Mix Alstroemeria ( 12 Inch ) 9    FF Sachet + Grass </v>
          </cell>
        </row>
        <row r="60">
          <cell r="A60">
            <v>3076</v>
          </cell>
          <cell r="B60" t="str">
            <v>Aishwarya -- Acacia</v>
          </cell>
          <cell r="C60">
            <v>8454952029</v>
          </cell>
          <cell r="D60" t="str">
            <v>11/2, Acacia, Vatika City</v>
          </cell>
          <cell r="E60" t="str">
            <v>Sohna Road 1</v>
          </cell>
          <cell r="F60" t="str">
            <v>Friday</v>
          </cell>
          <cell r="G60" t="str">
            <v>9 AM - 12 PM</v>
          </cell>
          <cell r="H60">
            <v>2750</v>
          </cell>
          <cell r="I60">
            <v>687.5</v>
          </cell>
          <cell r="J60" t="str">
            <v>Elation</v>
          </cell>
          <cell r="K60" t="str">
            <v>Upgrade to elation (06/11) Hold due to non payment (18/12) hold due to non payment (16/01)</v>
          </cell>
          <cell r="N60" t="str">
            <v>3  del of this cycle   -  0-cycles pmnt   Completed - Collect 0</v>
          </cell>
          <cell r="O60" t="str">
            <v>P Asiatic ( 15 inch ) 3 Mix Alstroemeria ( 14 inch ) 16   2 Limonium</v>
          </cell>
          <cell r="P60" t="str">
            <v>Sunflower ( 15 inch ) 4 P n W Glad ( 14 inch ) 15   2 Gypsola</v>
          </cell>
          <cell r="Q60" t="str">
            <v>P n Y Spray Daisy ( 15 Inch ) 5 P n W Car ( 14 Inch ) 16   2 Limonium + Ff Sachet</v>
          </cell>
          <cell r="R60" t="str">
            <v>Pur Eustom ( 14 Inch ) 3 Mix Alstroemeria ( 12 Inch ) 16   2 Gypsola + FF Sachet</v>
          </cell>
          <cell r="S60" t="str">
            <v>Y Asiatic ( 14 Inch ) 3 P n W Glad ( 14 Inch ) 16   2 Limonium</v>
          </cell>
          <cell r="T60" t="str">
            <v>Sunflower ( 12 Inch ) 4 Pur n P Car ( 14 Inch ) 16   FF sachet + Grass</v>
          </cell>
        </row>
        <row r="61">
          <cell r="A61">
            <v>48</v>
          </cell>
          <cell r="B61" t="str">
            <v>Ms. Namrata Agarwal</v>
          </cell>
          <cell r="C61">
            <v>9873660272</v>
          </cell>
          <cell r="D61" t="str">
            <v>18/1101,Orchid Petals, Sohna Road</v>
          </cell>
          <cell r="E61" t="str">
            <v>Sohna Road 1</v>
          </cell>
          <cell r="F61" t="str">
            <v>Friday</v>
          </cell>
          <cell r="G61" t="str">
            <v>9 AM - 12 PM</v>
          </cell>
          <cell r="H61">
            <v>1950</v>
          </cell>
          <cell r="I61">
            <v>487.5</v>
          </cell>
          <cell r="J61" t="str">
            <v>Joy</v>
          </cell>
          <cell r="K61"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61" t="str">
            <v>1  del of this cycle   -  1-cycles pmnt   Pending - Collect 1950</v>
          </cell>
          <cell r="O61" t="str">
            <v>P n Y Spray Daisy ( 15 inch ) 7     FF Sachet + Grass</v>
          </cell>
          <cell r="P61" t="str">
            <v>P n W Car ( 14 inch ) 22     FF Sachet + Grass</v>
          </cell>
          <cell r="Q61" t="str">
            <v>O Asiatic ( 15 Inch ) 4     Grass</v>
          </cell>
          <cell r="R61" t="str">
            <v>P n W Glad ( 14 Inch ) 22     Grass</v>
          </cell>
          <cell r="S61" t="str">
            <v>Mix Alstroemeria ( 12 Inch ) 22     FF Sachet + Grass</v>
          </cell>
          <cell r="T61" t="str">
            <v>Sunflower ( 12 Inch ) 5     FF sachet + Grass</v>
          </cell>
        </row>
        <row r="62">
          <cell r="A62">
            <v>152</v>
          </cell>
          <cell r="B62" t="str">
            <v xml:space="preserve">
Manisha Kahai
</v>
          </cell>
          <cell r="C62">
            <v>9810013410</v>
          </cell>
          <cell r="D62" t="str">
            <v xml:space="preserve">Flat number 41, Jasminium 1, Vatika City, Sector 49 (Sohna Road)    Sec 49 Gurgaon  122001 
</v>
          </cell>
          <cell r="E62" t="str">
            <v>Sohna Road 1</v>
          </cell>
          <cell r="F62" t="str">
            <v>Friday</v>
          </cell>
          <cell r="G62" t="str">
            <v>9 AM - 12 PM</v>
          </cell>
          <cell r="H62">
            <v>1450</v>
          </cell>
          <cell r="I62">
            <v>362.5</v>
          </cell>
          <cell r="J62" t="str">
            <v>Bliss</v>
          </cell>
          <cell r="K62" t="str">
            <v>Day changed to Sat (25/02)Return-send tomorrow(03/11)Hold and start from 11th may(06/04) FF Sold today(03/08) FF Sold today n payment recvd(07/09) Holy Change(16/03) FF Next(20/03) Paytm from Manisha Singh (09/06) 250 returned via paytm (03/.11) Today Returned (18/07)</v>
          </cell>
          <cell r="N62" t="str">
            <v>2  del of this cycle   -  0-cycles pmnt   Completed - Collect 0</v>
          </cell>
          <cell r="O62" t="str">
            <v>P n Y Spray Daisy ( 15 inch ) 5     FF Sachet + Grass</v>
          </cell>
          <cell r="P62" t="str">
            <v>P Asiatic ( 15 inch ) 3     Grass</v>
          </cell>
          <cell r="Q62" t="str">
            <v>R n W Car ( 14 Inch ) 16     FF Sachet + Grass</v>
          </cell>
          <cell r="R62" t="str">
            <v>P n W Glad ( 14 Inch ) 16     Grass</v>
          </cell>
          <cell r="S62" t="str">
            <v>Sunflower ( 12 Inch ) 4     FF Sachet + Grass</v>
          </cell>
          <cell r="T62" t="str">
            <v xml:space="preserve">Pur Eustom ( 12 Inch ) 3    FF Sachet + Grass </v>
          </cell>
        </row>
        <row r="63">
          <cell r="A63">
            <v>2372</v>
          </cell>
          <cell r="B63" t="str">
            <v>Sumita Shahi</v>
          </cell>
          <cell r="C63">
            <v>9910955257</v>
          </cell>
          <cell r="D63" t="str">
            <v xml:space="preserve">T-A/501, Spaze I-tech Park, </v>
          </cell>
          <cell r="E63" t="str">
            <v>Sohna Road 1</v>
          </cell>
          <cell r="F63" t="str">
            <v>Friday</v>
          </cell>
          <cell r="G63" t="str">
            <v>9 AM - 12 PM</v>
          </cell>
          <cell r="H63">
            <v>1950</v>
          </cell>
          <cell r="I63">
            <v>487.5</v>
          </cell>
          <cell r="J63" t="str">
            <v>Joy</v>
          </cell>
          <cell r="K63" t="str">
            <v>Skip 1 week (04/01) Skip 1 week (25/06) Send tom (26/06) Tday returned (15/08) Hold tom (05/09) Today hold n skip 1 week (26/09) Skip tom (19/03) Upgrade to Joy and four plus 1 Pack (12/04) Hold today (01/05)</v>
          </cell>
          <cell r="N63" t="str">
            <v>4  del of this cycle   -  0-cycles pmnt   Completed - Collect 0</v>
          </cell>
          <cell r="O63" t="str">
            <v>Mix Alstroemeria ( 14 inch ) 22     FF Sachet + Grass</v>
          </cell>
          <cell r="P63" t="str">
            <v>P n Y Spray Daisy ( 15 inch ) 7     FF Sachet + Grass</v>
          </cell>
          <cell r="Q63" t="str">
            <v>P n W Glad ( 14 Inch ) 22     Grass</v>
          </cell>
          <cell r="R63" t="str">
            <v>Mix Alstroemeria ( 12 Inch ) 22     FF Sachet + Grass</v>
          </cell>
          <cell r="S63" t="str">
            <v>Pur n P Eustoma ( 14 Inch ) 4     FF Sachet + Grass</v>
          </cell>
          <cell r="T63" t="str">
            <v>O Asiatic ( 14 Inch ) 4     Grass</v>
          </cell>
        </row>
        <row r="64">
          <cell r="A64">
            <v>163</v>
          </cell>
          <cell r="B64" t="str">
            <v>Rasmeeta Nayak</v>
          </cell>
          <cell r="C64">
            <v>8800444342</v>
          </cell>
          <cell r="D64" t="str">
            <v>H-504, Park View City - 2, Sohna Road</v>
          </cell>
          <cell r="E64" t="str">
            <v>Sohna Road 1</v>
          </cell>
          <cell r="F64" t="str">
            <v>Friday</v>
          </cell>
          <cell r="G64" t="str">
            <v>9 AM - 12 PM</v>
          </cell>
          <cell r="H64">
            <v>1950</v>
          </cell>
          <cell r="I64">
            <v>487.5</v>
          </cell>
          <cell r="J64" t="str">
            <v>Joy</v>
          </cell>
          <cell r="K64"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64" t="str">
            <v>2  del of this cycle   -  0-cycles pmnt   Completed - Collect 0</v>
          </cell>
          <cell r="O64" t="str">
            <v>Mix Alstroemeria ( 14 inch ) 22     FF Sachet + Grass</v>
          </cell>
          <cell r="P64" t="str">
            <v>P n W Glad ( 16 Inch) 22     Grass</v>
          </cell>
          <cell r="Q64" t="str">
            <v>Y Orchid  7     FF Sachet + Grass</v>
          </cell>
          <cell r="R64" t="str">
            <v>W Asiatic ( 14 Inch ) 4     Grass</v>
          </cell>
          <cell r="S64" t="str">
            <v>Pur n P Car ( 14 Inch ) 22     FF Sachet + Grass</v>
          </cell>
          <cell r="T64" t="str">
            <v>Sunflower ( 12 Inch ) 5     FF sachet + Grass</v>
          </cell>
        </row>
        <row r="65">
          <cell r="A65">
            <v>3337</v>
          </cell>
          <cell r="B65" t="str">
            <v>Shweta Bajpai</v>
          </cell>
          <cell r="C65">
            <v>9205184535</v>
          </cell>
          <cell r="D65" t="str">
            <v>288, Tatvam Villa</v>
          </cell>
          <cell r="E65" t="str">
            <v>Sohna Road 2</v>
          </cell>
          <cell r="F65" t="str">
            <v>Friday</v>
          </cell>
          <cell r="G65" t="str">
            <v>4 Pm to 7 PM</v>
          </cell>
          <cell r="H65">
            <v>1450</v>
          </cell>
          <cell r="I65">
            <v>1450</v>
          </cell>
          <cell r="J65" t="str">
            <v>Bliss</v>
          </cell>
          <cell r="K65" t="str">
            <v>Hold tOday (12/06)</v>
          </cell>
          <cell r="N65" t="str">
            <v>4  del of this cycle   -  0-cycles pmnt   Completed - Collect 0</v>
          </cell>
          <cell r="O65" t="str">
            <v>P n W Glad ( 14 inch ) 16     Grass</v>
          </cell>
          <cell r="P65" t="str">
            <v>P Asiatic ( 15 inch ) 3     Grass</v>
          </cell>
          <cell r="Q65" t="str">
            <v>R n W Car ( 14 Inch ) 16     FF Sachet + Grass</v>
          </cell>
          <cell r="R65" t="str">
            <v>P n Y Spray Daisy ( 14 Inch ) 5     FF Sachet + Grass</v>
          </cell>
          <cell r="S65" t="str">
            <v>Mix Alstroemeria ( 12 Inch ) 16     FF Sachet + Grass</v>
          </cell>
          <cell r="T65" t="str">
            <v xml:space="preserve">Pur Eustom ( 12 Inch ) 3    FF Sachet + Grass </v>
          </cell>
        </row>
        <row r="66">
          <cell r="A66">
            <v>953</v>
          </cell>
          <cell r="B66" t="str">
            <v>Nidhi Bansal</v>
          </cell>
          <cell r="C66">
            <v>9818647402</v>
          </cell>
          <cell r="D66" t="str">
            <v>03, Tatvam Villa's,Sector 48</v>
          </cell>
          <cell r="E66" t="str">
            <v>Sohna Road 2</v>
          </cell>
          <cell r="F66" t="str">
            <v>Friday</v>
          </cell>
          <cell r="G66" t="str">
            <v>9 AM - 12 PM</v>
          </cell>
          <cell r="H66">
            <v>2750</v>
          </cell>
          <cell r="I66">
            <v>687.5</v>
          </cell>
          <cell r="J66" t="str">
            <v>Elation</v>
          </cell>
          <cell r="K66"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66" t="str">
            <v>Long Stems (30/10)</v>
          </cell>
          <cell r="N66" t="str">
            <v>4  del of this cycle   -  0-cycles pmnt   Completed - Collect 0</v>
          </cell>
          <cell r="O66" t="str">
            <v>Sunflower ( 15 inch ) 4 Mix Alstroemeria ( 14 inch ) 15   2 Limonium</v>
          </cell>
          <cell r="P66" t="str">
            <v>W Eustoma ( 14 inch ) 4 P n W Car ( 14 inch ) 15   2 Gypsola + FF Sachet</v>
          </cell>
          <cell r="Q66" t="str">
            <v>O Asiatic ( 15 Inch ) 3 P n W Glad ( 14 Inch ) 16   2 Limonium</v>
          </cell>
          <cell r="R66" t="str">
            <v>P n Y Spray Daisy ( 14 Inch ) 5 Mix Alstroemeria ( 12 Inch ) 16   2 Gypsola + FF Sachet</v>
          </cell>
          <cell r="S66" t="str">
            <v>Sunflower ( 12 Inch ) 4 Pur n P Car ( 14 Inch ) 16   2 Limonium + FF sachet</v>
          </cell>
          <cell r="T66" t="str">
            <v>P Eustoma ( 12 Inch ) 4 P n W Glad ( 14 Inch ) 16   FF sachet + Grass</v>
          </cell>
        </row>
        <row r="67">
          <cell r="A67">
            <v>3185</v>
          </cell>
          <cell r="B67" t="str">
            <v>Kamla Anand</v>
          </cell>
          <cell r="C67">
            <v>9711216660</v>
          </cell>
          <cell r="D67" t="str">
            <v>83  Jasminium 1,Vatika city 
Sec 49</v>
          </cell>
          <cell r="E67" t="str">
            <v>Sohna Road 1</v>
          </cell>
          <cell r="F67" t="str">
            <v>Friday</v>
          </cell>
          <cell r="G67" t="str">
            <v>9 AM - 12 PM</v>
          </cell>
          <cell r="H67">
            <v>999</v>
          </cell>
          <cell r="I67">
            <v>249.75</v>
          </cell>
          <cell r="J67" t="str">
            <v>Delight</v>
          </cell>
          <cell r="K67" t="str">
            <v>Skip tom (09/04)</v>
          </cell>
          <cell r="N67" t="str">
            <v>2  del of this cycle   -  0-cycles pmnt   Completed - Collect 0</v>
          </cell>
          <cell r="O67" t="str">
            <v>Mix Alstroemeria ( 14 inch ) 9     FF Sachet + Grass</v>
          </cell>
          <cell r="P67" t="str">
            <v>Sunflower ( 15 inch ) 2     Grass</v>
          </cell>
          <cell r="Q67" t="str">
            <v>R n W Car ( 14 Inch ) 9     FF Sachet + Grass</v>
          </cell>
          <cell r="R67" t="str">
            <v>P Spray Daisy ( 14 Inch ) 3     FF Sachet + Grass</v>
          </cell>
          <cell r="S67" t="str">
            <v>P n W Glad ( 14 Inch ) 9     Grass</v>
          </cell>
          <cell r="T67" t="str">
            <v xml:space="preserve">O Asiatic ( 14 Inch ) 2    Grass </v>
          </cell>
        </row>
        <row r="68">
          <cell r="A68">
            <v>2404</v>
          </cell>
          <cell r="B68" t="str">
            <v>Amitt Nenwani</v>
          </cell>
          <cell r="C68">
            <v>9810444444</v>
          </cell>
          <cell r="D68" t="str">
            <v>Villa 21, Z Block, Tatvam Villas</v>
          </cell>
          <cell r="E68" t="str">
            <v>Sohna Road 2</v>
          </cell>
          <cell r="F68" t="str">
            <v>Friday</v>
          </cell>
          <cell r="G68" t="str">
            <v>9 AM - 12 PM</v>
          </cell>
          <cell r="H68">
            <v>6350</v>
          </cell>
          <cell r="I68">
            <v>793.75</v>
          </cell>
          <cell r="J68" t="str">
            <v>Elegance</v>
          </cell>
          <cell r="K68" t="str">
            <v>Friday n Monday//Mixed // Skip 1 week (17/04) Skip this week (12/11) Skip this week and send on 03rd Jan (29/12) Skip tom (15/03) Skip 1 week (26/03)</v>
          </cell>
          <cell r="M68" t="str">
            <v>Mixed Flowers// Change to enchantement from next cycle (12/1)</v>
          </cell>
          <cell r="N68" t="str">
            <v>8  del of this cycle   -  0-cycles pmnt   In Process - Collect 0</v>
          </cell>
          <cell r="O68" t="str">
            <v>P Asiatic ( 15 inch ) 3 BOP ( 14 inch ) 3 Rajni ( 14 inch ) 10 3 Areca palm + 3 Gypsola</v>
          </cell>
          <cell r="P68" t="str">
            <v>Y Asiatic ( 15 inch ) 3 B Orchid  4 Glad 12 3 Areca palm + 3 Limonium</v>
          </cell>
          <cell r="Q68" t="str">
            <v>P Asiatic ( 15 Inch ) 3 P n Y Spray Daosy ( 15 Inch ) 4 P n W Car ( 14 Inch ) 12 3 Areca Palm + 3 Limonium</v>
          </cell>
          <cell r="R68" t="str">
            <v>W Asiatic ( 14 Inch ) 3 G Orchid  4 Rajni ( 14 Inch ) 12 Grass</v>
          </cell>
          <cell r="S68" t="str">
            <v>Y Asiatic ( 14 Inch ) 4 BOP ( 15 Inch ) 3 Pur n P Car ( 14 Inch ) 12 3 Areca palm + 3 Gypsola</v>
          </cell>
          <cell r="T68" t="str">
            <v>O Asiatic ( 14 Inch ) 3 B Orchid  4 P n W Glad ( 14 Inch ) 12 Grass</v>
          </cell>
        </row>
        <row r="69">
          <cell r="A69">
            <v>3354</v>
          </cell>
          <cell r="B69" t="str">
            <v>Radha Bhatnagar</v>
          </cell>
          <cell r="C69">
            <v>9971944440</v>
          </cell>
          <cell r="D69" t="str">
            <v>D-35, 2nd Floor, Vipul World</v>
          </cell>
          <cell r="E69" t="str">
            <v>Sohna Road 2</v>
          </cell>
          <cell r="F69" t="str">
            <v>Friday</v>
          </cell>
          <cell r="G69" t="str">
            <v>9 AM - 12 PM</v>
          </cell>
          <cell r="H69">
            <v>1450</v>
          </cell>
          <cell r="I69">
            <v>362.5</v>
          </cell>
          <cell r="J69" t="str">
            <v>Bliss</v>
          </cell>
          <cell r="N69" t="str">
            <v>3  del of this cycle   -  0-cycles pmnt   Completed - Collect 0</v>
          </cell>
          <cell r="O69" t="str">
            <v>P n Y Spray Daisy ( 15 inch ) 5     FF Sachet + Grass</v>
          </cell>
          <cell r="P69" t="str">
            <v>P n W Glad ( 16 Inch) 16     Grass</v>
          </cell>
          <cell r="Q69" t="str">
            <v>O Asiatic ( 15 Inch ) 3     Grass</v>
          </cell>
          <cell r="R69" t="str">
            <v>Mix Alstroemeria ( 12 Inch ) 16     FF Sachet + Grass</v>
          </cell>
          <cell r="S69" t="str">
            <v>R n W Car ( 14 Inch ) 16     FF Sachet + Grass</v>
          </cell>
          <cell r="T69" t="str">
            <v xml:space="preserve">Pur Eustom ( 12 Inch ) 3    FF Sachet + Grass </v>
          </cell>
        </row>
        <row r="70">
          <cell r="A70">
            <v>2123</v>
          </cell>
          <cell r="B70" t="str">
            <v>Meenu Singh</v>
          </cell>
          <cell r="C70">
            <v>9999982765</v>
          </cell>
          <cell r="D70" t="str">
            <v xml:space="preserve">FLAT NO 16 A, TOWER 2, FAIRWAY EAST, M3M GOLF ESTATE
</v>
          </cell>
          <cell r="E70" t="str">
            <v>Badshahpur</v>
          </cell>
          <cell r="F70" t="str">
            <v>Friday</v>
          </cell>
          <cell r="G70" t="str">
            <v>9 AM - 12 PM</v>
          </cell>
          <cell r="H70">
            <v>3750</v>
          </cell>
          <cell r="I70">
            <v>937.5</v>
          </cell>
          <cell r="J70" t="str">
            <v>Savor</v>
          </cell>
          <cell r="K70"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70" t="str">
            <v>Diff Flowers n Combination</v>
          </cell>
          <cell r="N70" t="str">
            <v>1  del of this cycle   -  0-cycles pmnt   Completed - Collect 0</v>
          </cell>
          <cell r="O70" t="str">
            <v>BOP 3 Mix Alstroemeria ( 14 inch ) 21   FF Sachet + Grass</v>
          </cell>
          <cell r="P70" t="str">
            <v>P Asiatic ( 15 inch ) 4 P n W Car ( 14 inch ) 21   FF Sachet + Grass</v>
          </cell>
          <cell r="Q70" t="str">
            <v>P n W Spray Daisy ( 15 Inch ) 5 P n W Glad ( 14 Inch ) 21   2 Gypsola + FF Sachet</v>
          </cell>
          <cell r="R70" t="str">
            <v>Sunflower ( 12 Inch ) 5 Mix Alstroemeria ( 12 Inch ) 20   2 Limonium + FF Sachet</v>
          </cell>
          <cell r="S70" t="str">
            <v>Pur n P Eustoma ( 14 Inch ) 4 Pur n P Car ( 14 Inch ) 16   2 Gypsola + FF Sachet</v>
          </cell>
          <cell r="T70" t="str">
            <v>O Asiatic ( 14 Inch ) 4 P n W Glad ( 14 Inch ) 21   Grass</v>
          </cell>
        </row>
        <row r="71">
          <cell r="A71">
            <v>1477</v>
          </cell>
          <cell r="B71" t="str">
            <v>Priyanka Agarwal</v>
          </cell>
          <cell r="C71">
            <v>9810745341</v>
          </cell>
          <cell r="D71" t="str">
            <v>624-A, Fairway East, Sector 65</v>
          </cell>
          <cell r="E71" t="str">
            <v>Badshahpur</v>
          </cell>
          <cell r="F71" t="str">
            <v>Friday</v>
          </cell>
          <cell r="G71" t="str">
            <v>9 AM to 2 PM</v>
          </cell>
          <cell r="H71">
            <v>1600</v>
          </cell>
          <cell r="I71">
            <v>200</v>
          </cell>
          <cell r="J71" t="str">
            <v>Bloom</v>
          </cell>
          <cell r="K71"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71" t="str">
            <v>4  del of this cycle   -  0-cycles pmnt   Completed - Collect 0</v>
          </cell>
          <cell r="O71" t="str">
            <v>P n W Glad ( 14 inch ) 7   Ensure Collection Ensure Collection Grass</v>
          </cell>
          <cell r="P71" t="e">
            <v>#N/A</v>
          </cell>
          <cell r="Q71" t="str">
            <v xml:space="preserve">Collect 1400 Carry Receipt Book Collect 1400 Carry Receipt Book Collect 1400 Carry Receipt Book </v>
          </cell>
          <cell r="R71" t="str">
            <v>Mix Alstroemeria ( 12 Inch ) 7     FF Sachet + Grass</v>
          </cell>
          <cell r="S71" t="str">
            <v>Pur n P Car ( 14 Inch ) 7     FF Sachet + Grass</v>
          </cell>
          <cell r="T71" t="str">
            <v>P Spray Daisy ( 14 Inch ) 2     FF Sachet + Grass</v>
          </cell>
        </row>
        <row r="72">
          <cell r="A72">
            <v>2259</v>
          </cell>
          <cell r="B72" t="str">
            <v>Shivani Kapoor</v>
          </cell>
          <cell r="C72">
            <v>9818659010</v>
          </cell>
          <cell r="D72" t="str">
            <v>94, Tattvam Villa</v>
          </cell>
          <cell r="E72" t="str">
            <v>Sohna Road 2</v>
          </cell>
          <cell r="F72" t="str">
            <v>Monday</v>
          </cell>
          <cell r="G72" t="str">
            <v>9 AM - 12 PM</v>
          </cell>
          <cell r="H72">
            <v>3950</v>
          </cell>
          <cell r="I72">
            <v>493.75</v>
          </cell>
          <cell r="J72" t="str">
            <v>Grace</v>
          </cell>
          <cell r="K72" t="str">
            <v>Monday n Friday// Payment from Sanjeev K (05/05) Skip 1 week (26/07) Skip 1 week (04/11) Skip this Friday (26/12) Skip 1 week (01/01/25) Skip tom (02/02) No delivery on Monday (01/03) Skip 14th n send on 17th (11/03) Now start from 7th July (24/06)</v>
          </cell>
          <cell r="M72" t="str">
            <v>No White</v>
          </cell>
          <cell r="N72" t="str">
            <v>7  del of this cycle   -  0-cycles pmnt   Completed - Collect 0</v>
          </cell>
          <cell r="O72" t="str">
            <v>R n W Car ( 14 inch ) 20     FF Sachet + Grass</v>
          </cell>
          <cell r="P72" t="str">
            <v>P n W Glad ( 16 Inch) 20     Grass</v>
          </cell>
          <cell r="Q72" t="str">
            <v>P Oriental ( 15 Inch ) 3     Grass</v>
          </cell>
          <cell r="R72" t="str">
            <v>Pur n P Eustoma ( 14 Inch ) 4     FF Sachet + Grass</v>
          </cell>
          <cell r="S72" t="str">
            <v>Pur n P Car ( 14 Inch ) 20     FF Sachet + Grass</v>
          </cell>
          <cell r="T72" t="str">
            <v>P n W Glad ( 14 Inch ) 20     Grass</v>
          </cell>
        </row>
        <row r="73">
          <cell r="A73">
            <v>3307</v>
          </cell>
          <cell r="B73" t="str">
            <v>Amit Jindal</v>
          </cell>
          <cell r="C73">
            <v>8860400001</v>
          </cell>
          <cell r="D73" t="str">
            <v>T-5/1401, Vipul Greens</v>
          </cell>
          <cell r="E73" t="str">
            <v>Sohna Road 2</v>
          </cell>
          <cell r="F73" t="str">
            <v>Friday</v>
          </cell>
          <cell r="G73" t="str">
            <v>9:30 AM to 2 PM</v>
          </cell>
          <cell r="H73">
            <v>2626</v>
          </cell>
          <cell r="I73">
            <v>656.5</v>
          </cell>
          <cell r="J73" t="str">
            <v>Customized</v>
          </cell>
          <cell r="K73" t="str">
            <v>3 Oriental every week // Today Hold n returned (12/06)</v>
          </cell>
          <cell r="N73" t="str">
            <v>2  del of this cycle   -  0-cycles pmnt   Completed - Collect 0</v>
          </cell>
          <cell r="O73" t="str">
            <v>P Oriental ( 18 inch ) 3     1 Gypsola</v>
          </cell>
          <cell r="P73" t="str">
            <v>W Oriental ( 16 Inch ) 3     1 Limonium + FF aschet</v>
          </cell>
          <cell r="Q73" t="str">
            <v>P Oriental ( 15 Inch ) 3     1 gypsola</v>
          </cell>
          <cell r="R73" t="str">
            <v>P Oriental ( 16 Inch ) 3     1 Limonium</v>
          </cell>
          <cell r="S73" t="str">
            <v>W Oriental ( 15 Inch ) 3     1 Gypsola</v>
          </cell>
          <cell r="T73" t="str">
            <v>P Oriental ( 15 Inch ) 3     1 Limonium</v>
          </cell>
        </row>
        <row r="74">
          <cell r="A74">
            <v>1974</v>
          </cell>
          <cell r="B74" t="str">
            <v>Suruchi Maitra</v>
          </cell>
          <cell r="C74">
            <v>9810239177</v>
          </cell>
          <cell r="D74" t="str">
            <v>D-98, Vipul World</v>
          </cell>
          <cell r="E74" t="str">
            <v>Sohna Road 2</v>
          </cell>
          <cell r="F74" t="str">
            <v>Friday</v>
          </cell>
          <cell r="G74" t="str">
            <v>9 AM - 12 PM</v>
          </cell>
          <cell r="H74">
            <v>2750</v>
          </cell>
          <cell r="I74">
            <v>687.5</v>
          </cell>
          <cell r="J74" t="str">
            <v>Elation</v>
          </cell>
          <cell r="K74" t="str">
            <v>No Spray Daisy (03/10) Now upgrade to Elation (14/10) Hold n start from 6th Jan (17/12) Hold n strat from 30th June (10/06) Hold n start from 5th Jan (30/12) Skip 1 week (06/06) Skip 1 week (22/06) Hold today and send after 29th (20'/12) Skip 2 week (21/06) Skip 2 week (18/12)</v>
          </cell>
          <cell r="N74" t="str">
            <v>3  del of this cycle   -  0-cycles pmnt   Completed - Collect 0</v>
          </cell>
          <cell r="O74" t="str">
            <v>P n W Glad ( 14 inch ) 22     2 Limonium</v>
          </cell>
          <cell r="P74" t="str">
            <v>P Asiatic ( 15 inch ) 6     2 Gypsola</v>
          </cell>
          <cell r="Q74" t="str">
            <v>P n W Spray Daisy ( 15 Inch ) 10     2 Limonium + Ff Sachet</v>
          </cell>
          <cell r="R74" t="str">
            <v>Pur n P Eustoma ( 14 Inch ) 6     2 Gypsola + FF Sachet</v>
          </cell>
          <cell r="S74" t="str">
            <v>Pur n P Car ( 14 Inch ) 32     2 Limonium + FF sachet</v>
          </cell>
          <cell r="T74" t="str">
            <v>P n Pur Eustoma ( 12 Inch ) 6     FF sachet + Grass</v>
          </cell>
        </row>
        <row r="75">
          <cell r="A75">
            <v>1914</v>
          </cell>
          <cell r="B75" t="str">
            <v>Neelam Ahuja</v>
          </cell>
          <cell r="C75">
            <v>7011107486</v>
          </cell>
          <cell r="D75" t="str">
            <v>4002, M3m Latitude, Sec 65</v>
          </cell>
          <cell r="E75" t="str">
            <v>Badshahpur</v>
          </cell>
          <cell r="F75" t="str">
            <v>Friday</v>
          </cell>
          <cell r="G75" t="str">
            <v>9 AM - 12 PM</v>
          </cell>
          <cell r="H75">
            <v>3000</v>
          </cell>
          <cell r="I75">
            <v>375</v>
          </cell>
          <cell r="J75" t="str">
            <v>Charm</v>
          </cell>
          <cell r="K7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v>
          </cell>
          <cell r="L75" t="str">
            <v>Spray Daisy n GERBERA n Statice</v>
          </cell>
          <cell r="N75" t="str">
            <v>1  del of this cycle   -  1-cycles pmnt   Pending - Collect 3000</v>
          </cell>
          <cell r="O75" t="str">
            <v>Mix Alstroemeria ( 14 inch ) 15     FF Sachet + Grass</v>
          </cell>
          <cell r="P75" t="str">
            <v>Sunflower ( 15 inch ) 3     Grass</v>
          </cell>
          <cell r="Q75" t="str">
            <v>O Asiatic ( 15 Inch ) 3     Grass</v>
          </cell>
          <cell r="R75" t="str">
            <v>P n W Car ( 14 Inch ) 15     FF Sachet + Grass</v>
          </cell>
          <cell r="S75" t="str">
            <v>Mix Alstroemeria ( 12 Inch ) 15     FF Sachet + Grass</v>
          </cell>
          <cell r="T75" t="str">
            <v>Rajni ( 14 Inch ) 15     Grass</v>
          </cell>
        </row>
        <row r="76">
          <cell r="A76">
            <v>2126</v>
          </cell>
          <cell r="B76" t="str">
            <v>Nidhi Sehgal</v>
          </cell>
          <cell r="C76">
            <v>9620110010</v>
          </cell>
          <cell r="D76" t="str">
            <v>D-23 Flat No 0002 Victory Valley Sec 67</v>
          </cell>
          <cell r="E76" t="str">
            <v>Badshahpur</v>
          </cell>
          <cell r="F76" t="str">
            <v>Friday</v>
          </cell>
          <cell r="G76" t="str">
            <v>9 AM - 12 PM</v>
          </cell>
          <cell r="H76">
            <v>2750</v>
          </cell>
          <cell r="I76">
            <v>687.5</v>
          </cell>
          <cell r="J76" t="str">
            <v>Elation</v>
          </cell>
          <cell r="K76" t="str">
            <v>Mixed Flowers // Always FF (15/05) Hold till 15th June (19/05) FF with all Flowers (12/06)</v>
          </cell>
          <cell r="M76" t="str">
            <v>Mixed Flowers and always FF</v>
          </cell>
          <cell r="N76" t="str">
            <v>3  del of this cycle   -  0-cycles pmnt   Completed - Collect 0</v>
          </cell>
          <cell r="O76" t="str">
            <v>Bop 3 Mix Alstroemeria ( 14 inch ) 16   2 Limonium + FF Sachet</v>
          </cell>
          <cell r="P76" t="e">
            <v>#N/A</v>
          </cell>
          <cell r="Q76" t="e">
            <v>#N/A</v>
          </cell>
          <cell r="R76" t="e">
            <v>#N/A</v>
          </cell>
          <cell r="S76" t="str">
            <v>O Asiatic 3 Pur n P Car ( 14 Inch ) 16   2 Limonium + FF Sachet</v>
          </cell>
          <cell r="T76" t="str">
            <v>P Eustoma ( 12 Inch ) 4 P n W Glad ( 14 Inch ) 16  FF sachet + Grass FF sachet + Grass</v>
          </cell>
        </row>
        <row r="77">
          <cell r="A77">
            <v>2583</v>
          </cell>
          <cell r="B77" t="str">
            <v>Bhumika Gupta</v>
          </cell>
          <cell r="C77">
            <v>9818096329</v>
          </cell>
          <cell r="D77" t="str">
            <v>H-37, 2nd Floor, Aaron Ville, Sec 48</v>
          </cell>
          <cell r="E77" t="str">
            <v>Sohna Road 1</v>
          </cell>
          <cell r="F77" t="str">
            <v>Sunday</v>
          </cell>
          <cell r="G77" t="str">
            <v>9:30 Am to 2 PM</v>
          </cell>
          <cell r="H77">
            <v>1950</v>
          </cell>
          <cell r="I77">
            <v>487.5</v>
          </cell>
          <cell r="J77" t="str">
            <v>Joy</v>
          </cell>
          <cell r="K77" t="str">
            <v>No Rose n Glad n flowers in same color // Long Stems (20/04) Gpay from Tanmay Oberoi (15/06) Skip 3 Sunday (04/08) Skip 3 weeks (4/08) Day Change to Friday (27/09) Skip 1 week (15/01) Skip Friday (26/03) Returned today (01/05)</v>
          </cell>
          <cell r="L77" t="str">
            <v>Rose n Glad</v>
          </cell>
          <cell r="M77" t="str">
            <v>Long Stems</v>
          </cell>
          <cell r="N77" t="str">
            <v>4  del of this cycle   -  0-cycles pmnt   Completed - Collect 0</v>
          </cell>
          <cell r="O77" t="str">
            <v>Sunflower ( 15 inch ) 3 Mix Alstroemeria ( 14 inch ) 11   Grass</v>
          </cell>
          <cell r="P77" t="str">
            <v>P n Y Spray Daisy ( 15 inch ) 4 P n W Car ( 14 inch ) 11   FF Sachet + Grass</v>
          </cell>
          <cell r="Q77" t="str">
            <v>O Asiatic ( 15 Inch ) 2 P n W Glad ( 14 Inch ) 11   Grass</v>
          </cell>
          <cell r="R77" t="str">
            <v>Pur Eustom ( 14 Inch ) 2 Mix Alstroemeria ( 12 Inch ) 11   FF Sachet + Grass</v>
          </cell>
          <cell r="S77" t="str">
            <v>Sunflower ( 12 Inch ) 3 Pur n P Car ( 14 Inch ) 11   FF Sachet + Grass</v>
          </cell>
          <cell r="T77" t="str">
            <v>P Asiatic ( 14 Inch ) 2 P n W Glad ( 14 Inch ) 11   Grass</v>
          </cell>
        </row>
        <row r="78">
          <cell r="A78">
            <v>815</v>
          </cell>
          <cell r="B78" t="str">
            <v>Surath Singh</v>
          </cell>
          <cell r="C78">
            <v>9717166559</v>
          </cell>
          <cell r="D78" t="str">
            <v>B-2205, Ireo Victory Valley,Sec-67</v>
          </cell>
          <cell r="E78" t="str">
            <v>Badshahpur</v>
          </cell>
          <cell r="F78" t="str">
            <v>Friday</v>
          </cell>
          <cell r="G78" t="str">
            <v>9 AM - 12 PM</v>
          </cell>
          <cell r="H78">
            <v>2750</v>
          </cell>
          <cell r="I78">
            <v>687.5</v>
          </cell>
          <cell r="J78" t="str">
            <v>Elation</v>
          </cell>
          <cell r="K78"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78" t="str">
            <v>2  del of this cycle   -   0 -cycles pmnt   Completed - Collect 0</v>
          </cell>
          <cell r="O78" t="str">
            <v>Mix Alstroemeria ( 14 inch ) 32     2 Limonium + FF Sachet</v>
          </cell>
          <cell r="P78" t="str">
            <v>R n W Car ( 14 inch ) 32     2 Gypsola + FF Sachet</v>
          </cell>
          <cell r="Q78" t="str">
            <v xml:space="preserve">Mix Spray Daisy 10     2 Luminium +FF </v>
          </cell>
          <cell r="R78" t="str">
            <v xml:space="preserve">P Asiatic ( 14 Inch ) 6     2 Gypsola </v>
          </cell>
          <cell r="S78" t="str">
            <v>P n W Glad ( 14 Inch ) 32     2 Limonium</v>
          </cell>
          <cell r="T78" t="str">
            <v>P n Pur Eustoma ( 12 Inch ) 6     FF sachet + Grass</v>
          </cell>
        </row>
        <row r="79">
          <cell r="A79">
            <v>2454</v>
          </cell>
          <cell r="B79" t="str">
            <v>Vipin</v>
          </cell>
          <cell r="C79" t="str">
            <v>9555977401 // 9654829329</v>
          </cell>
          <cell r="D79" t="str">
            <v>Villa / VB-5, Tata Primanti, Sec 72</v>
          </cell>
          <cell r="E79" t="str">
            <v>Badshahpur</v>
          </cell>
          <cell r="F79" t="str">
            <v>Friday</v>
          </cell>
          <cell r="G79" t="str">
            <v>9 AM - 12 PM</v>
          </cell>
          <cell r="H79">
            <v>1950</v>
          </cell>
          <cell r="I79">
            <v>487.5</v>
          </cell>
          <cell r="J79" t="str">
            <v>Joy</v>
          </cell>
          <cell r="K79" t="str">
            <v>Send in evening slot tom (11/03) Paytm From Hina Kapoor (06/04) Send replacement Tom (17/05) Send replacement of W Eustoma (17/05) Paytm from Tarun Kumar (15/95) Replacement tom (16/05)</v>
          </cell>
          <cell r="N79" t="str">
            <v>4  del of this cycle   -  0-cycles pmnt   Completed - Collect 0</v>
          </cell>
          <cell r="O79" t="str">
            <v>Sunflower ( 15 inch ) 3 Mix Alstroemeria ( 14 inch ) 10 Ensure Collection Ensure Collection Grass</v>
          </cell>
          <cell r="P79" t="str">
            <v>W Eustoma ( 14 inch ) 2 P n W Glad ( 14 inch ) 11   FF Sachet + Grass</v>
          </cell>
          <cell r="Q79" t="str">
            <v>O Asiatic ( 15 Inch ) 2 P n W Car ( 14 Inch ) 11   Grass</v>
          </cell>
          <cell r="R79" t="str">
            <v>P n Y Spray Daisy ( 14 Inch ) 4 Mix Alstroemeria ( 12 Inch ) 11   FF Sachet + Grass</v>
          </cell>
          <cell r="S79" t="str">
            <v>Sunflower ( 12 Inch ) 3 P n W Glad ( 14 Inch ) 11   FF Sachet + Grass</v>
          </cell>
          <cell r="T79" t="str">
            <v>P Eustoma ( 12 Inch ) 2 Pur n P Car ( 14 Inch ) 11   FF sachet + Grass</v>
          </cell>
        </row>
        <row r="80">
          <cell r="A80">
            <v>43</v>
          </cell>
          <cell r="B80" t="str">
            <v>Ms. Arpita Bhargava</v>
          </cell>
          <cell r="C80">
            <v>9953515520</v>
          </cell>
          <cell r="D80" t="str">
            <v>T-4/1701,Tata Primanty,Sector-72</v>
          </cell>
          <cell r="E80" t="str">
            <v>Sohna Road 2</v>
          </cell>
          <cell r="F80" t="str">
            <v>Friday</v>
          </cell>
          <cell r="G80" t="str">
            <v>9 AM - 12 PM</v>
          </cell>
          <cell r="H80">
            <v>999</v>
          </cell>
          <cell r="I80">
            <v>249.75</v>
          </cell>
          <cell r="J80" t="str">
            <v>Delight</v>
          </cell>
          <cell r="K80"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80" t="str">
            <v>GERBERA n ROSE</v>
          </cell>
          <cell r="N80" t="str">
            <v>3  del of this cycle   -  0-cycles pmnt   CompletedNO COLLECTION-we have extra money - Collect -999</v>
          </cell>
          <cell r="O80" t="str">
            <v>P n W Glad ( 14 inch ) 9     Grass</v>
          </cell>
          <cell r="P80" t="str">
            <v>Y Spray Daisy ( 15 inch ) 3 Sunflower ( 15 inch ) 2   FF Sachet + Grass</v>
          </cell>
          <cell r="Q80" t="str">
            <v>P Asiatic ( 15 Inch ) 2     Grass</v>
          </cell>
          <cell r="R80" t="str">
            <v>P n W Car ( 14 Inch ) 9     FF Sachet + Grass</v>
          </cell>
          <cell r="S80" t="str">
            <v>Mix Alstroemeria ( 12 Inch ) 9     FF Sachet + Grass</v>
          </cell>
          <cell r="T80" t="str">
            <v xml:space="preserve">P n W Glad ( 14 Inch ) 9    Grass </v>
          </cell>
        </row>
        <row r="81">
          <cell r="A81">
            <v>359</v>
          </cell>
          <cell r="B81" t="str">
            <v>Sudipta Karnik</v>
          </cell>
          <cell r="C81">
            <v>9810266546</v>
          </cell>
          <cell r="D81" t="str">
            <v>Tower 4, Flat 6A, Bellevue, Central Park,Sector-48    Sec 48 Gurgoan  122001</v>
          </cell>
          <cell r="E81" t="str">
            <v>Sohna Road 2</v>
          </cell>
          <cell r="F81" t="str">
            <v>Friday</v>
          </cell>
          <cell r="G81" t="str">
            <v>9 AM - 12 PM</v>
          </cell>
          <cell r="H81">
            <v>1950</v>
          </cell>
          <cell r="I81">
            <v>487.5</v>
          </cell>
          <cell r="J81" t="str">
            <v>Joy</v>
          </cell>
          <cell r="K81"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1" t="str">
            <v>3  del of this cycle   -  0-cycles pmnt   Completed - Collect 0</v>
          </cell>
          <cell r="O81" t="str">
            <v>R n W Car ( 14 inch ) 22     FF Sachet + Grass</v>
          </cell>
          <cell r="P81" t="str">
            <v>Glad 22     Grass</v>
          </cell>
          <cell r="Q81" t="str">
            <v>Y Orchid  7     FF Sachet + Grass</v>
          </cell>
          <cell r="R81" t="str">
            <v>O Asiatic ( 14 Inch ) 4     Grass</v>
          </cell>
          <cell r="S81" t="str">
            <v>Sunflower ( 12 Inch ) 5     FF Sachet + Grass</v>
          </cell>
          <cell r="T81" t="str">
            <v>R n P Car ( 14 Inch ) 22     FF sachet + Grass</v>
          </cell>
        </row>
        <row r="82">
          <cell r="A82" t="str">
            <v>M00008</v>
          </cell>
          <cell r="B82" t="str">
            <v>Pooja Tripathi</v>
          </cell>
          <cell r="C82">
            <v>8800700522</v>
          </cell>
          <cell r="D82" t="str">
            <v>21 st Floor One Good Earth Trehan Sec 71</v>
          </cell>
          <cell r="E82" t="str">
            <v>Nirvana Country</v>
          </cell>
          <cell r="F82" t="str">
            <v>Thursday</v>
          </cell>
          <cell r="G82" t="str">
            <v>9 AM - 12 PM</v>
          </cell>
          <cell r="H82">
            <v>3650</v>
          </cell>
          <cell r="I82">
            <v>912.5</v>
          </cell>
          <cell r="J82" t="str">
            <v>Mixed Bunch</v>
          </cell>
          <cell r="K82" t="str">
            <v>6 Lotus and 100 Gm Mogra</v>
          </cell>
          <cell r="N82" t="str">
            <v>3  del of this cycle   -  0-cycles pmnt   In Process - Collect 0</v>
          </cell>
          <cell r="O82" t="str">
            <v>Mix Alstroemeria ( 14 inch ) 15 P n W Glad ( 14 inch ) 15 R n W Car ( 14 inch ) 15 Grass</v>
          </cell>
          <cell r="P82" t="str">
            <v>Sunflower ( 15 inch ) 4 Rajni 15 P n W Car ( 15 inch ) 15 FF Sachet + Grass</v>
          </cell>
          <cell r="Q82" t="str">
            <v>Mix Oriental  4 Mix Alstroemeria ( 12 Inch )  20 Shd Pur n P Car 15 2 Gypsola</v>
          </cell>
          <cell r="R82" t="e">
            <v>#N/A</v>
          </cell>
          <cell r="S82" t="str">
            <v>Mix Oriental + Mix Alstroemeria + Mix Car 4 + 15 + 15     2 Gypsola + FF Sachet</v>
          </cell>
          <cell r="T82" t="str">
            <v>Mix Oriental  4 P n W Glad ( 14 Inch ) 10 Rajni ( 14 Inch ) 10 Grass</v>
          </cell>
        </row>
        <row r="83">
          <cell r="A83">
            <v>2712</v>
          </cell>
          <cell r="B83" t="str">
            <v>Ankita Aeron</v>
          </cell>
          <cell r="C83">
            <v>8860253167</v>
          </cell>
          <cell r="D83" t="str">
            <v>D-701, Shree Vardhman Victoria, Sec 70</v>
          </cell>
          <cell r="E83" t="str">
            <v>Badshahpur</v>
          </cell>
          <cell r="F83" t="str">
            <v>Friday</v>
          </cell>
          <cell r="G83" t="str">
            <v>9:30 Am to 2 PM</v>
          </cell>
          <cell r="H83">
            <v>1450</v>
          </cell>
          <cell r="I83">
            <v>362.5</v>
          </cell>
          <cell r="J83" t="str">
            <v>Bliss</v>
          </cell>
          <cell r="K83" t="str">
            <v>Car Next (27/06) Do not send on 8th and 15th Aug (31/07) Skip 1 week (18/09) Skip 2 week (15/10) Skip 1 week (09/06)</v>
          </cell>
          <cell r="M83" t="str">
            <v>Car Next (27/06)</v>
          </cell>
          <cell r="N83" t="str">
            <v>4  del of this cycle   -  0-cycles pmnt   Completed - Collect 0</v>
          </cell>
          <cell r="O83" t="str">
            <v>P Spray Daisy ( 15 inch ) 3 Mix Alstroemeria ( 14 inch ) 7   FF Sachet + Grass</v>
          </cell>
          <cell r="P83" t="str">
            <v>W Eustoma ( 14 inch ) 2 P n W Car ( 14 inch ) 7   FF Sachet + Grass</v>
          </cell>
          <cell r="Q83" t="str">
            <v>O Asiatic ( 15 Inch ) 2 P n W Glad ( 14 Inch ) 7   Grass</v>
          </cell>
          <cell r="R83" t="str">
            <v>Sunflower ( 12 Inch ) 2 Mix Alstroemeria ( 12 Inch ) 7   FF Sachet + Grass</v>
          </cell>
          <cell r="S83" t="e">
            <v>#N/A</v>
          </cell>
          <cell r="T83" t="str">
            <v xml:space="preserve">P Spray Daisy ( 14 Inch ) 3 Pur n P Car ( 14 Inch ) 7  FF Sachet + Grass </v>
          </cell>
        </row>
        <row r="84">
          <cell r="A84">
            <v>3382</v>
          </cell>
          <cell r="B84" t="str">
            <v>Bhavna Jain</v>
          </cell>
          <cell r="C84">
            <v>8800691541</v>
          </cell>
          <cell r="D84" t="str">
            <v>D-15, Ireo Victory Valley, Sec 67</v>
          </cell>
          <cell r="E84" t="str">
            <v>Badshahpur</v>
          </cell>
          <cell r="F84" t="str">
            <v>Friday</v>
          </cell>
          <cell r="G84" t="str">
            <v>9:30 Am to 2 PM</v>
          </cell>
          <cell r="H84">
            <v>1450</v>
          </cell>
          <cell r="I84">
            <v>362.5</v>
          </cell>
          <cell r="J84" t="str">
            <v>Bliss</v>
          </cell>
          <cell r="N84" t="str">
            <v>1  del of this cycle   -  0-cycles pmnt   Completed - Collect 0</v>
          </cell>
          <cell r="O84" t="e">
            <v>#N/A</v>
          </cell>
          <cell r="P84" t="e">
            <v>#N/A</v>
          </cell>
          <cell r="Q84" t="e">
            <v>#N/A</v>
          </cell>
          <cell r="R84" t="e">
            <v>#N/A</v>
          </cell>
          <cell r="S84" t="e">
            <v>#N/A</v>
          </cell>
          <cell r="T84" t="str">
            <v xml:space="preserve">R n P Car ( 14 Inch ) 16    FF Sachet + Grass </v>
          </cell>
        </row>
        <row r="85">
          <cell r="A85">
            <v>3290</v>
          </cell>
          <cell r="B85" t="str">
            <v>Ambika Anand</v>
          </cell>
          <cell r="C85">
            <v>8789906098</v>
          </cell>
          <cell r="D85" t="str">
            <v>T-A2/401, Tulip Orange, Sec 70</v>
          </cell>
          <cell r="E85" t="str">
            <v>Badshahpur</v>
          </cell>
          <cell r="F85" t="str">
            <v>Friday</v>
          </cell>
          <cell r="G85" t="str">
            <v>9 AM - 12 PM</v>
          </cell>
          <cell r="H85">
            <v>1450</v>
          </cell>
          <cell r="I85">
            <v>362.5</v>
          </cell>
          <cell r="J85" t="str">
            <v>Bliss</v>
          </cell>
          <cell r="N85" t="str">
            <v>2  del of this cycle   -  1-cycles pmnt   Pending - Collect 1450</v>
          </cell>
          <cell r="O85" t="str">
            <v>Asiatic 3     FF Sachet + Grass</v>
          </cell>
          <cell r="P85" t="str">
            <v>Sunflower ( 15 inch ) 4     Grass</v>
          </cell>
          <cell r="Q85" t="str">
            <v>R n W Car ( 14 Inch ) 16     FF Sachet + Grass</v>
          </cell>
          <cell r="R85" t="str">
            <v>P n Y Spray Daisy ( 14 Inch ) 5     FF Sachet + Grass</v>
          </cell>
          <cell r="S85" t="str">
            <v>P n W Glad ( 14 Inch ) 16     Grass</v>
          </cell>
          <cell r="T85" t="str">
            <v xml:space="preserve">O Asiatic ( 14 Inch ) 3    Grass </v>
          </cell>
        </row>
        <row r="86">
          <cell r="A86">
            <v>2311</v>
          </cell>
          <cell r="B86" t="str">
            <v>Ranjeeta Sanghvi</v>
          </cell>
          <cell r="C86">
            <v>9986593206</v>
          </cell>
          <cell r="D86" t="str">
            <v>T-3/TH-B, Bellevue. Central Park 2</v>
          </cell>
          <cell r="E86" t="str">
            <v>Sohna Road 2</v>
          </cell>
          <cell r="F86" t="str">
            <v>Friday</v>
          </cell>
          <cell r="G86" t="str">
            <v>9 AM - 12 PM</v>
          </cell>
          <cell r="H86">
            <v>1450</v>
          </cell>
          <cell r="I86">
            <v>362.5</v>
          </cell>
          <cell r="J86" t="str">
            <v>Bliss</v>
          </cell>
          <cell r="N86" t="str">
            <v>1  del of this cycle   -  1-cycles pmnt   Pending - Collect 999</v>
          </cell>
          <cell r="O86" t="str">
            <v>Sunflower ( 15 inch ) 2     Grass</v>
          </cell>
          <cell r="P86" t="str">
            <v>P Spray Daisy ( 15 inch ) 3 P n W Glad ( 14 inch ) 9   FF Sachet + Grass</v>
          </cell>
          <cell r="Q86" t="str">
            <v>Mix Alstroemeria ( 12 Inch ) 9     FF Sachet + Grass</v>
          </cell>
          <cell r="R86" t="str">
            <v>P n W Glad ( 14 Inch ) 9     Grass</v>
          </cell>
          <cell r="S86" t="str">
            <v>Pur n P Car ( 14 Inch ) 9     FF Sachet + Grass</v>
          </cell>
          <cell r="T86" t="str">
            <v xml:space="preserve">O Asiatic ( 14 Inch ) 3    Grass </v>
          </cell>
        </row>
        <row r="87">
          <cell r="A87">
            <v>3178</v>
          </cell>
          <cell r="B87" t="str">
            <v>Disha Gopal</v>
          </cell>
          <cell r="C87">
            <v>8588003677</v>
          </cell>
          <cell r="D87" t="str">
            <v>T-10/4A, Central Park Resorts, Sec 48</v>
          </cell>
          <cell r="E87" t="str">
            <v>Sohna Road 2</v>
          </cell>
          <cell r="F87" t="str">
            <v>Friday</v>
          </cell>
          <cell r="G87" t="str">
            <v>4 PM to 7 PM</v>
          </cell>
          <cell r="H87">
            <v>1950</v>
          </cell>
          <cell r="I87">
            <v>487.5</v>
          </cell>
          <cell r="J87" t="str">
            <v>Joy</v>
          </cell>
          <cell r="K87" t="str">
            <v>Micxed Flowers // Hold till 8th Jan (24/12)</v>
          </cell>
          <cell r="M87" t="str">
            <v>Mixed Flowers</v>
          </cell>
          <cell r="N87" t="str">
            <v>1  del of this cycle   -  0-cycles pmnt   Completed - Collect 0</v>
          </cell>
          <cell r="O87" t="str">
            <v>Sunflower ( 15 inch ) 3 Mix Alstroemeria ( 14 inch ) 11   Grass</v>
          </cell>
          <cell r="P87" t="str">
            <v>P n Y Spray Daisy ( 15 inch ) 4 P n W Glad ( 14 inch ) 11   FF Sachet + Grass</v>
          </cell>
          <cell r="Q87" t="str">
            <v>O Asiatic ( 15 Inch ) 2 R n W Car ( 14 Inch ) 11   Grass</v>
          </cell>
          <cell r="R87" t="str">
            <v>P Eustoma ( 14 Inch ) 2 Mix Alstroemeria ( 12 Inch ) 11   FF Sachet + Grass</v>
          </cell>
          <cell r="S87" t="str">
            <v>Sunflower ( 12 Inch ) 3 P n W Car ( 14 Inch ) 11   FF Sachet + Grass</v>
          </cell>
          <cell r="T87" t="str">
            <v>P Asiatic ( 14 Inch ) 2 P n W Glad ( 14 Inch ) 11   Grass</v>
          </cell>
        </row>
        <row r="88">
          <cell r="A88">
            <v>1162</v>
          </cell>
          <cell r="B88" t="str">
            <v>Smriti Saxena</v>
          </cell>
          <cell r="C88">
            <v>9811090968</v>
          </cell>
          <cell r="D88" t="str">
            <v>T-6/1201, M3M Merlin, Sec 67</v>
          </cell>
          <cell r="E88" t="str">
            <v>Badshahpur</v>
          </cell>
          <cell r="F88" t="str">
            <v>Friday</v>
          </cell>
          <cell r="G88" t="str">
            <v>9 AM - 12 PM</v>
          </cell>
          <cell r="H88">
            <v>1450</v>
          </cell>
          <cell r="I88">
            <v>362.5</v>
          </cell>
          <cell r="J88" t="str">
            <v>Bliss</v>
          </cell>
          <cell r="K88"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v>
          </cell>
          <cell r="L88" t="str">
            <v>Rajni</v>
          </cell>
          <cell r="N88" t="str">
            <v>2  del of this cycle   -  1-cycles pmnt   Pending - Collect 1450</v>
          </cell>
          <cell r="O88" t="str">
            <v>R n W Car ( 14 inch ) 16     FF Sachet + Grass</v>
          </cell>
          <cell r="P88" t="str">
            <v>P Asiatic ( 15 inch ) 3     Grass</v>
          </cell>
          <cell r="Q88" t="str">
            <v>P n Y Spray Daisy ( 15 Inch ) 5     FF Sachet + Grass</v>
          </cell>
          <cell r="R88" t="str">
            <v>Sunflower ( 12 Inch ) 4     FF Sachet + Grass</v>
          </cell>
          <cell r="S88" t="e">
            <v>#N/A</v>
          </cell>
          <cell r="T88" t="str">
            <v xml:space="preserve">P n W Glad ( 14 Inch ) 16    Grass </v>
          </cell>
        </row>
        <row r="89">
          <cell r="A89">
            <v>3280</v>
          </cell>
          <cell r="B89" t="str">
            <v>Priti Sarsaswat</v>
          </cell>
          <cell r="C89">
            <v>9717283344</v>
          </cell>
          <cell r="D89" t="str">
            <v>C-1170, 2nd Floor, Ansal Essecia, C Block, Sec 67</v>
          </cell>
          <cell r="E89" t="str">
            <v>Badshahpur</v>
          </cell>
          <cell r="F89" t="str">
            <v>Monday</v>
          </cell>
          <cell r="G89" t="str">
            <v>9 AM - 12 PM</v>
          </cell>
          <cell r="H89">
            <v>1450</v>
          </cell>
          <cell r="I89">
            <v>362.5</v>
          </cell>
          <cell r="J89" t="str">
            <v>Bliss</v>
          </cell>
          <cell r="K89" t="str">
            <v>Rose In this Cycle (03/03) Day Change to Monday and skip 2 weeks (02/04) Start From Tom (16/04) HDTNP (22/05) Today returned (29/05)(</v>
          </cell>
          <cell r="M89" t="str">
            <v>One Kind and seasonal Next (03/03)</v>
          </cell>
          <cell r="N89" t="str">
            <v>1  del of this cycle   -  1-cycles pmnt   Pending - Collect 1450</v>
          </cell>
          <cell r="O89" t="str">
            <v>Bop 3   Ensure Collection Ensure Collection FF Sachet + Grass</v>
          </cell>
          <cell r="P89" t="e">
            <v>#N/A</v>
          </cell>
          <cell r="Q89" t="str">
            <v>P Asiatic ( 15 Inch ) 3     Grass</v>
          </cell>
          <cell r="R89" t="str">
            <v>P n Y Spray Daisy ( 14 Inch ) 5     FF Sachet + Grass</v>
          </cell>
          <cell r="S89" t="str">
            <v>Pur n P Car ( 14 Inch ) 16     FF Sachet + Grass</v>
          </cell>
          <cell r="T89" t="str">
            <v xml:space="preserve">P n W Glad ( 14 Inch ) 16    Grass </v>
          </cell>
        </row>
        <row r="90">
          <cell r="A90">
            <v>2927</v>
          </cell>
          <cell r="B90" t="str">
            <v>Anshita</v>
          </cell>
          <cell r="C90">
            <v>8085480356</v>
          </cell>
          <cell r="D90" t="str">
            <v>H. No. 3107, 2nd Flor, Ansal Versalia, Sec 67 A</v>
          </cell>
          <cell r="E90" t="str">
            <v>Badshahpur</v>
          </cell>
          <cell r="F90" t="str">
            <v>Friday</v>
          </cell>
          <cell r="G90" t="str">
            <v>9:30 Am to 2 PM</v>
          </cell>
          <cell r="H90">
            <v>1450</v>
          </cell>
          <cell r="I90">
            <v>362.5</v>
          </cell>
          <cell r="J90" t="str">
            <v>Bliss</v>
          </cell>
          <cell r="K90" t="str">
            <v>sent one del today (11/12) Skip 1 week (15/01) Skip today (20/02) Today returned (06/03) Skip 1 week (26/03) Hold for 2 week (22/04)</v>
          </cell>
          <cell r="N90" t="str">
            <v>1  del of this cycle   -  1-cycles pmnt   Pending - Collect 1450</v>
          </cell>
          <cell r="O90" t="str">
            <v>P n W Glad ( 14 inch ) 9     Grass</v>
          </cell>
          <cell r="P90" t="str">
            <v>Sunflower ( 15 inch ) 2     Grass</v>
          </cell>
          <cell r="Q90" t="str">
            <v>Mix Alstroemeria ( 12 Inch ) 9     FF Sachet + Grass</v>
          </cell>
          <cell r="R90" t="str">
            <v>P n W Car ( 14 Inch ) 9     FF Sachet + Grass</v>
          </cell>
          <cell r="S90" t="str">
            <v>Y Asiatic ( 14 Inch ) 2     Grass</v>
          </cell>
          <cell r="T90" t="str">
            <v xml:space="preserve">P n W Glad ( 14 Inch ) 16  ensure collection  Pese Na  Mile To Call Karna  Grass </v>
          </cell>
        </row>
        <row r="91">
          <cell r="A91">
            <v>3368</v>
          </cell>
          <cell r="B91" t="str">
            <v>Sugandha Goyal</v>
          </cell>
          <cell r="C91">
            <v>9971681194</v>
          </cell>
          <cell r="D91" t="str">
            <v>T-15/3C, Central Park Resorts</v>
          </cell>
          <cell r="E91" t="str">
            <v>Sohna Road 2</v>
          </cell>
          <cell r="F91" t="str">
            <v>Monday</v>
          </cell>
          <cell r="G91" t="str">
            <v>9 AM - 12 PM</v>
          </cell>
          <cell r="H91">
            <v>2300</v>
          </cell>
          <cell r="I91">
            <v>287.5</v>
          </cell>
          <cell r="J91" t="str">
            <v>Felicity</v>
          </cell>
          <cell r="N91" t="str">
            <v>2  del of this cycle   -  1-cycles pmnt   Pending - Collect 2300</v>
          </cell>
          <cell r="O91" t="e">
            <v>#N/A</v>
          </cell>
          <cell r="P91" t="str">
            <v>P n W Glad ( 16 Inch) 11     Grass</v>
          </cell>
          <cell r="Q91" t="str">
            <v>O Asiatic ( 15 Inch ) 2     Grass</v>
          </cell>
          <cell r="R91" t="str">
            <v>P Spray Daisy ( 14 Inch ) 3     FF Sachet + Grass</v>
          </cell>
          <cell r="S91" t="str">
            <v>Mix Alstroemeria ( 12 Inch ) 11     FF Sachet + Grass</v>
          </cell>
          <cell r="T91" t="str">
            <v>P Asiatic ( 14 Inch ) 2     Grass</v>
          </cell>
        </row>
        <row r="92">
          <cell r="A92">
            <v>1467</v>
          </cell>
          <cell r="B92" t="str">
            <v>Priyanka Chaturvedi</v>
          </cell>
          <cell r="C92">
            <v>7838930274</v>
          </cell>
          <cell r="D92" t="str">
            <v xml:space="preserve">Flat No. A-303, The Peaceful Homes, Sec 70-A
</v>
          </cell>
          <cell r="E92" t="str">
            <v>Badshahpur</v>
          </cell>
          <cell r="F92" t="str">
            <v>Friday</v>
          </cell>
          <cell r="G92" t="str">
            <v>9 AM - 12 PM</v>
          </cell>
          <cell r="H92">
            <v>1600</v>
          </cell>
          <cell r="I92">
            <v>200</v>
          </cell>
          <cell r="J92" t="str">
            <v>Bloom</v>
          </cell>
          <cell r="K92"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2" t="str">
            <v>ROSE n SPRAY DAISY</v>
          </cell>
          <cell r="N92" t="str">
            <v>8  del of this cycle   -  0-cycles pmnt   Completed - Collect 0</v>
          </cell>
          <cell r="O92" t="str">
            <v>P n W Glad ( 14 inch ) 7     Grass</v>
          </cell>
          <cell r="P92" t="str">
            <v>Rajni ( 16 inch ) 7     Grass</v>
          </cell>
          <cell r="Q92" t="e">
            <v>#N/A</v>
          </cell>
          <cell r="R92" t="e">
            <v>#N/A</v>
          </cell>
          <cell r="S92" t="str">
            <v>Glad ( 12 Inch ) 7     Grass</v>
          </cell>
          <cell r="T92" t="str">
            <v>P n W Glad ( 14 Inch ) 11     Grass</v>
          </cell>
        </row>
        <row r="93">
          <cell r="A93">
            <v>3309</v>
          </cell>
          <cell r="B93" t="str">
            <v>Tahzeeb Mohammad</v>
          </cell>
          <cell r="C93">
            <v>9986608474</v>
          </cell>
          <cell r="D93" t="str">
            <v>Natura Tower -1, N 2105, M3M Marina, Sec 68</v>
          </cell>
          <cell r="E93" t="str">
            <v>Badshahpur</v>
          </cell>
          <cell r="F93" t="str">
            <v>Friday</v>
          </cell>
          <cell r="G93" t="str">
            <v>9 AM - 12 PM</v>
          </cell>
          <cell r="H93">
            <v>2550</v>
          </cell>
          <cell r="I93">
            <v>318.75</v>
          </cell>
          <cell r="J93" t="str">
            <v>Bi weekly Customised</v>
          </cell>
          <cell r="K93" t="str">
            <v>Gerbera // Rajni // Sunflowers // Eustoma // Orchid // Skip Monday (15/05)</v>
          </cell>
          <cell r="N93" t="str">
            <v>4  del of this cycle   -  0-cycles pmnt   Completed - Collect 0</v>
          </cell>
          <cell r="O93" t="str">
            <v>B Orchid 4     FF Sachet + Grass</v>
          </cell>
          <cell r="P93" t="str">
            <v>Rajni ( 16 inch ) 11     Grass</v>
          </cell>
          <cell r="Q93" t="str">
            <v>P Eustoma ( 14 Inch ) 3     FF Sachet + Grass</v>
          </cell>
          <cell r="R93" t="str">
            <v>G Orchid 4     Grass</v>
          </cell>
          <cell r="S93" t="str">
            <v>Rajni ( 14 Inch ) 11     Grass</v>
          </cell>
          <cell r="T93" t="str">
            <v>Pur Eustom ( 12 Inch ) 3     FF Sachet + Grass</v>
          </cell>
        </row>
        <row r="94">
          <cell r="A94">
            <v>1268</v>
          </cell>
          <cell r="B94" t="str">
            <v>Shweta Malhotra</v>
          </cell>
          <cell r="C94">
            <v>9810290780</v>
          </cell>
          <cell r="D94" t="str">
            <v>B-001, Park View Spa Next, Sec 67</v>
          </cell>
          <cell r="E94" t="str">
            <v>Badshahpur</v>
          </cell>
          <cell r="F94" t="str">
            <v>Friday</v>
          </cell>
          <cell r="G94" t="str">
            <v>9 AM to 2 PM</v>
          </cell>
          <cell r="H94">
            <v>1950</v>
          </cell>
          <cell r="I94">
            <v>487.5</v>
          </cell>
          <cell r="J94" t="str">
            <v>Joy</v>
          </cell>
          <cell r="K94"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94" t="str">
            <v>ANTHURIUM n GULDAWARI n Button Daisy</v>
          </cell>
          <cell r="N94" t="str">
            <v>4  del of this cycle   -  0-cycles pmnt   Completed - Collect 0</v>
          </cell>
          <cell r="O94" t="str">
            <v>P Asiatic ( 15 inch ) 4     Grass</v>
          </cell>
          <cell r="P94" t="str">
            <v>Sunflower ( 15 inch ) 5     Grass</v>
          </cell>
          <cell r="Q94" t="str">
            <v>P n W Glad ( 14 Inch ) 22     Grass</v>
          </cell>
          <cell r="R94" t="str">
            <v>Mix Alstroemeria ( 12 Inch ) 22     FF Sachet + Grass</v>
          </cell>
          <cell r="S94" t="e">
            <v>#N/A</v>
          </cell>
          <cell r="T94" t="str">
            <v>O Asiatic ( 14 Inch ) 4     Grass</v>
          </cell>
        </row>
        <row r="95">
          <cell r="A95">
            <v>113</v>
          </cell>
          <cell r="B95" t="str">
            <v>Subhadra Chatterjee</v>
          </cell>
          <cell r="C95">
            <v>8826368500</v>
          </cell>
          <cell r="D95" t="str">
            <v>Tower -E, Flat 10B, Central Park Resort</v>
          </cell>
          <cell r="E95" t="str">
            <v>Sohna Road 2</v>
          </cell>
          <cell r="F95" t="str">
            <v>Friday</v>
          </cell>
          <cell r="G95" t="str">
            <v>9 AM - 12 PM</v>
          </cell>
          <cell r="H95">
            <v>1950</v>
          </cell>
          <cell r="I95">
            <v>487.5</v>
          </cell>
          <cell r="J95" t="str">
            <v>Joy</v>
          </cell>
          <cell r="K95"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5" t="str">
            <v>GULDAWARI n ROSE</v>
          </cell>
          <cell r="N95" t="str">
            <v>1  del of this cycle   -  1-cycles pmnt   Pending - Collect 1950</v>
          </cell>
          <cell r="O95" t="str">
            <v>Mix Alstroemeria ( 14 inch ) 22   Ensure Collection Ensure Collection FF Sachet + Grass</v>
          </cell>
          <cell r="P95" t="str">
            <v>P Asiatic ( 15 inch ) 4     Grass</v>
          </cell>
          <cell r="Q95" t="str">
            <v>Y Orchid  7     FF Sachet + Grass</v>
          </cell>
          <cell r="R95" t="e">
            <v>#N/A</v>
          </cell>
          <cell r="S95" t="e">
            <v>#N/A</v>
          </cell>
          <cell r="T95" t="str">
            <v>B Orchid  7     FF sachet + Grass</v>
          </cell>
        </row>
        <row r="96">
          <cell r="A96">
            <v>1624</v>
          </cell>
          <cell r="B96" t="str">
            <v>Smriti Maggon</v>
          </cell>
          <cell r="C96">
            <v>9811081666</v>
          </cell>
          <cell r="D96" t="str">
            <v>B-901, Emaar Palm Drive, Sec 66</v>
          </cell>
          <cell r="E96" t="str">
            <v>Badshahpur</v>
          </cell>
          <cell r="F96" t="str">
            <v>Friday</v>
          </cell>
          <cell r="G96" t="str">
            <v>9 AM - 12 PM</v>
          </cell>
          <cell r="H96">
            <v>1450</v>
          </cell>
          <cell r="I96">
            <v>362.5</v>
          </cell>
          <cell r="J96" t="str">
            <v>Bliss</v>
          </cell>
          <cell r="K96" t="str">
            <v>Rose//Car//Rajni//BOP(08/02) Holy Change(16/03) 8 Rajnigandha Next (12/10) Hold due to non payment (03/10) Hold due to non payment (16/01) Hold due to non payment (23/01)</v>
          </cell>
          <cell r="N96" t="str">
            <v>3  del of this cycle   -  0-cycles pmnt   Completed - Collect 0</v>
          </cell>
          <cell r="O96" t="str">
            <v>Bop 3   Ensure Collection Ensure Collection FF Sachet + Grass</v>
          </cell>
          <cell r="P96" t="str">
            <v>Sunflower ( 15 inch ) 4     Grass</v>
          </cell>
          <cell r="Q96" t="str">
            <v>O Asiatic ( 15 Inch ) 3     Grass</v>
          </cell>
          <cell r="R96" t="str">
            <v>P n Y Spray Daisy ( 14 Inch ) 5     FF Sachet + Grass</v>
          </cell>
          <cell r="S96" t="e">
            <v>#N/A</v>
          </cell>
          <cell r="T96" t="str">
            <v xml:space="preserve">P n W Glad ( 14 Inch ) 16    Grass </v>
          </cell>
        </row>
        <row r="97">
          <cell r="A97">
            <v>3312</v>
          </cell>
          <cell r="B97" t="str">
            <v>Pallabi Dey</v>
          </cell>
          <cell r="C97">
            <v>9953755297</v>
          </cell>
          <cell r="D97" t="str">
            <v>T-2/403, Uniworld Gardens 1</v>
          </cell>
          <cell r="E97" t="str">
            <v>Sohna Road 1</v>
          </cell>
          <cell r="F97" t="str">
            <v>Monday</v>
          </cell>
          <cell r="G97" t="str">
            <v>4 Pm to 7 PM</v>
          </cell>
          <cell r="H97">
            <v>1950</v>
          </cell>
          <cell r="I97">
            <v>487.5</v>
          </cell>
          <cell r="J97" t="str">
            <v>Joy</v>
          </cell>
          <cell r="N97" t="str">
            <v>2  del of this cycle   -  0-cycles pmnt   Completed - Collect 0</v>
          </cell>
          <cell r="O97" t="str">
            <v>Mix Car 22     Grass</v>
          </cell>
          <cell r="P97" t="str">
            <v>Sunflower ( 15 inch ) 5     Grass</v>
          </cell>
          <cell r="Q97" t="str">
            <v>P n W Glad ( 14 Inch ) 22 Collect 1375 Carry Receipt Book Collect 1375 Carry Receipt Book Grass</v>
          </cell>
          <cell r="R97" t="str">
            <v>P n Y Spray Daisy ( 14 Inch ) 7     FF Sachet + Grass</v>
          </cell>
          <cell r="S97" t="str">
            <v>W Asiatic ( 14 inch ) 4     Grass</v>
          </cell>
          <cell r="T97" t="str">
            <v>R n P Car ( 14 Inch ) 22     FF sachet + Grass</v>
          </cell>
        </row>
        <row r="98">
          <cell r="A98">
            <v>2708</v>
          </cell>
          <cell r="B98" t="str">
            <v>Monica Bakshi</v>
          </cell>
          <cell r="C98">
            <v>9730543073</v>
          </cell>
          <cell r="D98" t="str">
            <v>K-1005, Palm Drive</v>
          </cell>
          <cell r="E98" t="str">
            <v>Badshahpur</v>
          </cell>
          <cell r="F98" t="str">
            <v>Friday</v>
          </cell>
          <cell r="G98" t="str">
            <v>9 AM - 12 PM</v>
          </cell>
          <cell r="H98">
            <v>999</v>
          </cell>
          <cell r="I98">
            <v>249.75</v>
          </cell>
          <cell r="J98" t="str">
            <v>Delight</v>
          </cell>
          <cell r="K98" t="str">
            <v>No Gerbera (02/12)</v>
          </cell>
          <cell r="L98" t="str">
            <v xml:space="preserve">GERBERA </v>
          </cell>
          <cell r="N98" t="str">
            <v>2  del of this cycle   -  0-cycles pmnt   Completed - Collect 0</v>
          </cell>
          <cell r="O98" t="str">
            <v>Mix Alstroemeria ( 14 inch ) 9     FF Sachet + Grass</v>
          </cell>
          <cell r="P98" t="str">
            <v>P Asiatic ( 15 inch ) 3     Grass</v>
          </cell>
          <cell r="Q98" t="str">
            <v>P n W Glad ( 14 Inch ) 9     Grass</v>
          </cell>
          <cell r="R98" t="str">
            <v>Y Spray Daisy ( 14 Inch ) 3     FF Sachet + Grass</v>
          </cell>
          <cell r="S98" t="str">
            <v>Pur n P Car ( 14 Inch ) 9     FF Sachet + Grass</v>
          </cell>
          <cell r="T98" t="str">
            <v xml:space="preserve">Mix Alstroemeria ( 12 Inch ) 9    FF Sachet + Grass </v>
          </cell>
        </row>
        <row r="99">
          <cell r="A99">
            <v>2674</v>
          </cell>
          <cell r="B99" t="str">
            <v>Jaspreet Dhillon</v>
          </cell>
          <cell r="C99">
            <v>9971159399</v>
          </cell>
          <cell r="D99" t="str">
            <v>T-2/204, Uniworld Garden -1</v>
          </cell>
          <cell r="E99" t="str">
            <v>Sohna Road 1</v>
          </cell>
          <cell r="F99" t="str">
            <v>Friday</v>
          </cell>
          <cell r="G99" t="str">
            <v>9 AM - 12 PM</v>
          </cell>
          <cell r="H99">
            <v>999</v>
          </cell>
          <cell r="I99">
            <v>249.75</v>
          </cell>
          <cell r="J99" t="str">
            <v>Delight</v>
          </cell>
          <cell r="K99"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99" t="str">
            <v>Sunflower</v>
          </cell>
          <cell r="N99" t="str">
            <v>2  del of this cycle   -  1-cycles pmnt   Pending - Collect 999</v>
          </cell>
          <cell r="O99" t="str">
            <v>R n W Car ( 14 inch ) 9     FF Sachet + Grass</v>
          </cell>
          <cell r="P99" t="e">
            <v>#N/A</v>
          </cell>
          <cell r="Q99" t="str">
            <v>P n W Glad ( 14 Inch ) 9     Grass</v>
          </cell>
          <cell r="R99" t="str">
            <v>P Asiatic ( 14 Inch ) 2     Grass</v>
          </cell>
          <cell r="S99" t="str">
            <v>Mix Alstroemeria ( 12 Inch ) 9     FF Sachet + Grass</v>
          </cell>
          <cell r="T99" t="str">
            <v xml:space="preserve">P Spray Daisy ( 14 Inch ) 3    FF Sachet + Grass </v>
          </cell>
        </row>
        <row r="100">
          <cell r="A100">
            <v>2918</v>
          </cell>
          <cell r="B100" t="str">
            <v>Tina</v>
          </cell>
          <cell r="C100">
            <v>9212408077</v>
          </cell>
          <cell r="D100" t="str">
            <v>J-1603, Palm Drive</v>
          </cell>
          <cell r="E100" t="str">
            <v>Badshahpur</v>
          </cell>
          <cell r="F100" t="str">
            <v>Friday</v>
          </cell>
          <cell r="G100" t="str">
            <v>10 AM to 2:30 PM</v>
          </cell>
          <cell r="H100">
            <v>999</v>
          </cell>
          <cell r="I100">
            <v>249.75</v>
          </cell>
          <cell r="J100" t="str">
            <v>Delight</v>
          </cell>
          <cell r="K100" t="str">
            <v>From Radhika Neeraj Rathod//Colect cash (17/03) Paytm from Gureena Singh (29/08) Send tom n send on Monday this week (19/03)</v>
          </cell>
          <cell r="N100" t="str">
            <v>2  del of this cycle   -  1-cycles pmnt   Pending - Collect 999</v>
          </cell>
          <cell r="O100" t="str">
            <v>Sunflower ( 15 inch ) 2     Grass</v>
          </cell>
          <cell r="P100" t="str">
            <v>P n W Glad ( 14 inch ) 9     Grass</v>
          </cell>
          <cell r="Q100" t="str">
            <v>P Asiatic ( 15 Inch ) 2 Collect 1375 Carry Receipt Book   Grass</v>
          </cell>
          <cell r="R100" t="str">
            <v>P n W Car ( 14 Inch ) 9     FF Sachet + Grass</v>
          </cell>
          <cell r="S100" t="str">
            <v>Mix Alstroemeria ( 12 Inch ) 9     FF Sachet + Grass</v>
          </cell>
          <cell r="T100" t="str">
            <v xml:space="preserve">O Asiatic ( 14 Inch ) 2    Grass </v>
          </cell>
        </row>
        <row r="101">
          <cell r="A101">
            <v>588</v>
          </cell>
          <cell r="B101" t="str">
            <v>Akiksha Mohan</v>
          </cell>
          <cell r="C101">
            <v>9810145564</v>
          </cell>
          <cell r="D101" t="str">
            <v>D-601, Emaar Plam Drive</v>
          </cell>
          <cell r="E101" t="str">
            <v>Badshahpur</v>
          </cell>
          <cell r="F101" t="str">
            <v>Friday</v>
          </cell>
          <cell r="G101" t="str">
            <v>9 AM - 12 PM</v>
          </cell>
          <cell r="H101">
            <v>1600</v>
          </cell>
          <cell r="I101">
            <v>200</v>
          </cell>
          <cell r="J101" t="str">
            <v>Bloom</v>
          </cell>
          <cell r="K101"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101" t="str">
            <v>GULDAWARI</v>
          </cell>
          <cell r="N101" t="str">
            <v>2  del of this cycle   -  1-cycles pmnt   Pending - Collect 1600</v>
          </cell>
          <cell r="O101" t="str">
            <v>Mix Alstroemeria ( 14 inch ) 7     FF Sachet + Grass</v>
          </cell>
          <cell r="P101" t="str">
            <v>P n W Glad ( 16 Inch) 7     Grass</v>
          </cell>
          <cell r="Q101" t="str">
            <v xml:space="preserve">Mix Carnation 7     </v>
          </cell>
          <cell r="R101" t="str">
            <v>Sunflower ( 14 Inch ) 2     FF Sachet + Grass</v>
          </cell>
          <cell r="S101" t="str">
            <v>Mix Alstroemeria ( 12 Inch ) 7     FF Sachet + Grass</v>
          </cell>
          <cell r="T101" t="str">
            <v>P n W Glad ( 14 Inch ) 7     Grass</v>
          </cell>
        </row>
        <row r="102">
          <cell r="A102">
            <v>628</v>
          </cell>
          <cell r="B102" t="str">
            <v>Parul Hazel</v>
          </cell>
          <cell r="C102">
            <v>9873675242</v>
          </cell>
          <cell r="D102" t="str">
            <v>E-1202, Palm Drive</v>
          </cell>
          <cell r="E102" t="str">
            <v>Badshahpur</v>
          </cell>
          <cell r="F102" t="str">
            <v>Friday</v>
          </cell>
          <cell r="G102" t="str">
            <v>9 AM - 12 PM</v>
          </cell>
          <cell r="H102">
            <v>1450</v>
          </cell>
          <cell r="I102">
            <v>362.5</v>
          </cell>
          <cell r="J102" t="str">
            <v>Bliss</v>
          </cell>
          <cell r="K102"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102" t="str">
            <v>1  del of this cycle   -  1-cycles pmnt   Pending - Collect 1400</v>
          </cell>
          <cell r="O102" t="e">
            <v>#N/A</v>
          </cell>
          <cell r="P102" t="str">
            <v>P n W Glad ( 16 Inch) 16     Grass</v>
          </cell>
          <cell r="Q102" t="str">
            <v>O Asiatic ( 15 Inch ) 3     Grass</v>
          </cell>
          <cell r="R102" t="str">
            <v>P n W Glad ( 14 Inch ) 16     Grass</v>
          </cell>
          <cell r="S102" t="str">
            <v>P n Y Spray Daisy ( 14 Inch ) 5     FF Sachet + Grass</v>
          </cell>
          <cell r="T102" t="str">
            <v xml:space="preserve">R n P Car ( 14 Inch ) 16    FF Sachet + Grass </v>
          </cell>
        </row>
        <row r="103">
          <cell r="A103">
            <v>139</v>
          </cell>
          <cell r="B103" t="str">
            <v>Mr. Pramod Narula 2</v>
          </cell>
          <cell r="C103">
            <v>9899048440</v>
          </cell>
          <cell r="D103" t="str">
            <v>Ww-57, Ground floor, Malibu Town, Sohna Road    Sohna Road Gurgaon  </v>
          </cell>
          <cell r="E103" t="str">
            <v>Sohna Road 1</v>
          </cell>
          <cell r="F103" t="str">
            <v>Friday</v>
          </cell>
          <cell r="G103" t="str">
            <v>9 AM - 12 PM</v>
          </cell>
          <cell r="H103">
            <v>4750</v>
          </cell>
          <cell r="I103">
            <v>1187.5</v>
          </cell>
          <cell r="J103" t="str">
            <v>Enchantment</v>
          </cell>
          <cell r="K103"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03" t="str">
            <v>lilies n Glad</v>
          </cell>
          <cell r="N103" t="str">
            <v>3  del of this cycle   -  0-cycles pmnt   Completed - Collect 0</v>
          </cell>
          <cell r="O103" t="str">
            <v>P n W Spray Daisy ( 15 inch ) 10 P n W Car ( 14 inch ) 18 Mix Alstroemeria ( 14 inch )  18 FF Sachet + Grass</v>
          </cell>
          <cell r="P103" t="str">
            <v>Y Asiatic ( 15 inch ) 6 P n W Glad ( 14 inch ) 18 Rajni ( 14 Inch ) 18 Grass</v>
          </cell>
          <cell r="Q103" t="str">
            <v>Sunflower ( 14 Inch ) 6 R n W Car ( 14 Inch ) 18 Mix Alstroemeria ( 12 Inch ) 18 FF Sachet + Grass</v>
          </cell>
          <cell r="R103" t="str">
            <v>P n Y Spray Daisy ( 14 Inch ) 10 P n W Glad ( 14 Inch ) 18 P n W Car ( 14 Inch ) 18 Grass</v>
          </cell>
          <cell r="S103" t="str">
            <v>W Asiatic ( 14 inch ) 6 Mix Alstroemeria ( 12 Inch ) 18 Pur n P Car ( 14 Inch ) 18 Grass</v>
          </cell>
          <cell r="T103" t="str">
            <v>Sunflower ( 12 Inch ) 6 P n W Glad ( 14 Inch ) 18 Rajni ( 14 Inch ) 18 Grass</v>
          </cell>
        </row>
        <row r="104">
          <cell r="A104" t="str">
            <v>B56201</v>
          </cell>
          <cell r="B104" t="str">
            <v>Tina</v>
          </cell>
          <cell r="C104">
            <v>9212408077</v>
          </cell>
          <cell r="D104" t="str">
            <v>J-1603, Palm Drive</v>
          </cell>
          <cell r="E104" t="str">
            <v>Badshahpur</v>
          </cell>
          <cell r="F104" t="str">
            <v>Friday</v>
          </cell>
          <cell r="G104" t="str">
            <v>10 AM to 2:30 PM</v>
          </cell>
          <cell r="H104">
            <v>630</v>
          </cell>
          <cell r="I104">
            <v>630</v>
          </cell>
          <cell r="J104" t="str">
            <v>Bouquet</v>
          </cell>
          <cell r="K104" t="str">
            <v>100 Gm Mogra and 7 Rajni</v>
          </cell>
          <cell r="N104" t="str">
            <v>1  del of this cycle   -  1-cycles pmnt   Pending - Collect 630</v>
          </cell>
          <cell r="O104" t="e">
            <v>#N/A</v>
          </cell>
          <cell r="P104" t="e">
            <v>#N/A</v>
          </cell>
          <cell r="Q104" t="e">
            <v>#N/A</v>
          </cell>
          <cell r="R104" t="e">
            <v>#N/A</v>
          </cell>
          <cell r="S104" t="e">
            <v>#N/A</v>
          </cell>
          <cell r="T104" t="str">
            <v xml:space="preserve">Rajni ( 14 Inch ) 7 Mogra  100 Gm   </v>
          </cell>
        </row>
        <row r="105">
          <cell r="A105" t="str">
            <v>B56203</v>
          </cell>
          <cell r="B105" t="str">
            <v>Uttam singh negi -- M2K</v>
          </cell>
          <cell r="C105" t="str">
            <v>85959 25200</v>
          </cell>
          <cell r="D105" t="str">
            <v>M2K Corporate Park Shopping Plaza</v>
          </cell>
          <cell r="E105" t="str">
            <v>Nirvana Country</v>
          </cell>
          <cell r="F105" t="str">
            <v>Monday</v>
          </cell>
          <cell r="G105" t="str">
            <v>By 8:30 AM</v>
          </cell>
          <cell r="H105">
            <v>500</v>
          </cell>
          <cell r="I105">
            <v>500</v>
          </cell>
          <cell r="J105" t="str">
            <v>Bouquet</v>
          </cell>
          <cell r="K105" t="str">
            <v>2 Same Bouquet of Car</v>
          </cell>
          <cell r="N105" t="str">
            <v>1  del of this cycle   -  1-cycles pmnt   Pending - Collect 500</v>
          </cell>
          <cell r="O105" t="e">
            <v>#N/A</v>
          </cell>
          <cell r="P105" t="e">
            <v>#N/A</v>
          </cell>
          <cell r="Q105" t="e">
            <v>#N/A</v>
          </cell>
          <cell r="R105" t="e">
            <v>#N/A</v>
          </cell>
          <cell r="S105" t="e">
            <v>#N/A</v>
          </cell>
          <cell r="T105" t="str">
            <v xml:space="preserve">( Pur n P Car ) + ( Pur n P Car )  6 + 6 2 Same Bouquet    </v>
          </cell>
        </row>
        <row r="106">
          <cell r="A106">
            <v>1377</v>
          </cell>
          <cell r="B106" t="str">
            <v>Geetanjali Babbar</v>
          </cell>
          <cell r="C106">
            <v>9958988852</v>
          </cell>
          <cell r="D106" t="str">
            <v>K-905, Sispal Vihar</v>
          </cell>
          <cell r="E106" t="str">
            <v>Sohna Road 1</v>
          </cell>
          <cell r="F106" t="str">
            <v>Friday</v>
          </cell>
          <cell r="G106" t="str">
            <v>9:30 Am to 2 PM</v>
          </cell>
          <cell r="H106">
            <v>2300</v>
          </cell>
          <cell r="I106">
            <v>287.5</v>
          </cell>
          <cell r="J106" t="str">
            <v>Felicity</v>
          </cell>
          <cell r="K106"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v>
          </cell>
          <cell r="M106" t="str">
            <v>Skip 18th n 21st Mar 25</v>
          </cell>
          <cell r="N106" t="str">
            <v>1  del of this cycle   -  1-cycles pmnt   Pending - Collect 2300</v>
          </cell>
          <cell r="O106" t="str">
            <v>Rajni ( 14 inch ) 11     Grass</v>
          </cell>
          <cell r="P106" t="str">
            <v>P n W Car ( 14 inch ) 11     FF Sachet + Grass</v>
          </cell>
          <cell r="Q106" t="str">
            <v>O Asiatic ( 15 Inch ) 2   Collect payment Collect payment Grass</v>
          </cell>
          <cell r="R106" t="str">
            <v>Rajni ( 14 Inch ) 11     Grass</v>
          </cell>
          <cell r="S106" t="str">
            <v>Pur n P Car ( 14 Inch ) 11     FF Sachet + Grass</v>
          </cell>
          <cell r="T106" t="str">
            <v>P n W Glad ( 14 Inch ) 11     Grass</v>
          </cell>
        </row>
        <row r="107">
          <cell r="A107" t="str">
            <v>B56206</v>
          </cell>
          <cell r="B107">
            <v>9971105361</v>
          </cell>
          <cell r="C107">
            <v>9971105361</v>
          </cell>
          <cell r="D107" t="str">
            <v>A-16, 2nd Floor, Ashok Estate, Anant Raj Estate, Sec 63 A</v>
          </cell>
          <cell r="E107" t="str">
            <v>Ghata</v>
          </cell>
          <cell r="F107" t="str">
            <v>Friday</v>
          </cell>
          <cell r="G107" t="str">
            <v>By 11:30 aM</v>
          </cell>
          <cell r="H107">
            <v>950</v>
          </cell>
          <cell r="I107">
            <v>950</v>
          </cell>
          <cell r="J107" t="str">
            <v>Bouquet</v>
          </cell>
          <cell r="K107" t="str">
            <v>Rose Mala</v>
          </cell>
          <cell r="N107" t="str">
            <v>1  del of this cycle   -  1-cycles pmnt   Pending - Collect 950</v>
          </cell>
          <cell r="T107" t="str">
            <v xml:space="preserve">R Rose Mala 21     </v>
          </cell>
        </row>
        <row r="108">
          <cell r="B108" t="str">
            <v xml:space="preserve">Devika Nigam is sending Porter for pickup </v>
          </cell>
          <cell r="C108" t="str">
            <v xml:space="preserve">Devika Nigam is sending Porter for pickup </v>
          </cell>
          <cell r="D108" t="str">
            <v xml:space="preserve">Devika Nigam is sending Porter for pickup </v>
          </cell>
          <cell r="E108" t="str">
            <v xml:space="preserve">Devika Nigam is sending Porter for pickup </v>
          </cell>
          <cell r="F108" t="str">
            <v xml:space="preserve">Devika Nigam is sending Porter for pickup </v>
          </cell>
          <cell r="G108" t="str">
            <v xml:space="preserve">Devika Nigam is sending Porter for pickup </v>
          </cell>
          <cell r="H108">
            <v>280</v>
          </cell>
          <cell r="J108" t="str">
            <v>Bouquet</v>
          </cell>
          <cell r="T108" t="str">
            <v xml:space="preserve">Rajni 7     </v>
          </cell>
        </row>
        <row r="109">
          <cell r="B109" t="str">
            <v>Himantika Sethi</v>
          </cell>
          <cell r="C109">
            <v>9773856005</v>
          </cell>
          <cell r="D109" t="str">
            <v>A-5/402, World Spa East</v>
          </cell>
          <cell r="H109">
            <v>900</v>
          </cell>
          <cell r="J109" t="str">
            <v>Bouquet</v>
          </cell>
          <cell r="K109" t="str">
            <v>Send today 3 white oriental (buds) with greens to Himantika Sethi
+91 97738 56005</v>
          </cell>
          <cell r="T109" t="str">
            <v xml:space="preserve">W oriental Buds  3 green    </v>
          </cell>
        </row>
        <row r="110">
          <cell r="B110" t="str">
            <v>Sanjeev Takru,</v>
          </cell>
          <cell r="C110">
            <v>9810037403</v>
          </cell>
          <cell r="D110" t="str">
            <v>TG 2C/10, Garden Estate, Nathupur, Sector 24, Gurgaon</v>
          </cell>
          <cell r="H110">
            <v>2280</v>
          </cell>
          <cell r="J110" t="str">
            <v>Bouquet</v>
          </cell>
          <cell r="K110" t="str">
            <v>From Shivani Hazari 
Today 
6 oriental lilies and 12 carnations in full tissue wrap 
To 
Address: Sanjeev Takru, TG 2C/10, Garden Estate, Nathupur, Sector 24, Gurgaon
Message: 
Dearest Sanjeev Bhaiya, 
wish you a very Happy Birthday. 
Loads of love and best wishes always, 
Shivani &amp; Vivek</v>
          </cell>
          <cell r="T110" t="str">
            <v xml:space="preserve">Oriental+ Car 6+12 Full Tissue Wrap Message   </v>
          </cell>
        </row>
        <row r="111">
          <cell r="B111" t="str">
            <v>bptp centra 1..</v>
          </cell>
          <cell r="C111" t="str">
            <v>bptp centra 1..</v>
          </cell>
          <cell r="D111" t="str">
            <v>bptp centra 1..</v>
          </cell>
          <cell r="E111" t="str">
            <v>bptp centra 1..</v>
          </cell>
          <cell r="F111" t="str">
            <v>bptp centra 1..</v>
          </cell>
          <cell r="G111" t="str">
            <v>bptp centra 1..</v>
          </cell>
          <cell r="H111">
            <v>2000</v>
          </cell>
          <cell r="J111" t="str">
            <v>Bouquet</v>
          </cell>
          <cell r="K111" t="str">
            <v>Pls send 2 bouquet with 3 semi bloom Asiatic lilies and 10 carbations in walkin tossue wrap today immediately to bptp centra 1..</v>
          </cell>
          <cell r="T111" t="str">
            <v xml:space="preserve">Asiatic+ Car 3+10  Walking Tissue Wrap   </v>
          </cell>
        </row>
        <row r="112">
          <cell r="B112" t="str">
            <v>Tanya sharma</v>
          </cell>
          <cell r="C112">
            <v>9458605404</v>
          </cell>
          <cell r="D112" t="str">
            <v>Flat - 4C/ Tower -6 / 4th floor 
Bellevue towers , central park 2 
Sector -49</v>
          </cell>
          <cell r="G112" t="str">
            <v>Before 6 Pm</v>
          </cell>
          <cell r="H112">
            <v>600</v>
          </cell>
          <cell r="J112" t="str">
            <v>Bouquet</v>
          </cell>
          <cell r="K112" t="str">
            <v>Send today 
2 sunflowers and 6 blue daisies in tissue wrap 
To 
Tanya sharma
9458605404
Flat - 4C/ Tower -6 / 4th floor 
Bellevue towers , central park 2 
Sector -49
Message : I Love You</v>
          </cell>
          <cell r="T112" t="str">
            <v xml:space="preserve">Sunflower+B Daisy 2+6 Tissue Wrap Message   </v>
          </cell>
        </row>
        <row r="113">
          <cell r="B113" t="str">
            <v>Nupur</v>
          </cell>
          <cell r="C113">
            <v>9717076514</v>
          </cell>
          <cell r="D113" t="str">
            <v>Tower 16 .Flat 1602.The Close South take a Tower</v>
          </cell>
          <cell r="G113" t="str">
            <v xml:space="preserve"> 7:30 </v>
          </cell>
          <cell r="H113">
            <v>620</v>
          </cell>
          <cell r="J113" t="str">
            <v>Bouquet</v>
          </cell>
          <cell r="K113" t="str">
            <v>Send today around 7:30 
2 asiatic and 8 car bouquet in tissue wrap 
Tower 16 .Flat 1602.The Close South take a Tower
Nupur.
9717076514</v>
          </cell>
          <cell r="T113" t="str">
            <v xml:space="preserve">Asiatic and car 2+8 tissue wrap    </v>
          </cell>
        </row>
      </sheetData>
      <sheetData sheetId="19"/>
      <sheetData sheetId="20"/>
      <sheetData sheetId="21"/>
      <sheetData sheetId="22"/>
      <sheetData sheetId="23"/>
      <sheetData sheetId="24"/>
      <sheetData sheetId="25">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4  del of this cycle   -  0-cycles pmnt   Completed - Collect 0</v>
          </cell>
          <cell r="O2" t="str">
            <v>P Asiatic ( 15 inch ) 4     Grass</v>
          </cell>
          <cell r="P2" t="str">
            <v>R n W Car ( 14 Inch ) 22     FF Sachet + Grass</v>
          </cell>
          <cell r="Q2" t="str">
            <v>Pur n P Eustoma ( 14 Inch ) 4     FF Sachet + Grass</v>
          </cell>
          <cell r="R2" t="str">
            <v>P n Y Spray Daisy ( 14 Inch ) 7     FF Sachet + Grass</v>
          </cell>
          <cell r="S2" t="str">
            <v>P n W Glad ( 14 Inch ) 22     Grass</v>
          </cell>
          <cell r="T2" t="str">
            <v>O Asiatic ( 14 Inch ) 4     Grass</v>
          </cell>
        </row>
        <row r="3">
          <cell r="A3">
            <v>3062</v>
          </cell>
          <cell r="B3" t="str">
            <v>Shilpa Ravikumar</v>
          </cell>
          <cell r="C3">
            <v>9400305164</v>
          </cell>
          <cell r="D3" t="str">
            <v>A-902, Palm Premier, Emaar Palm Hills, OPP Hyatt Regency, Sec 77</v>
          </cell>
          <cell r="E3" t="str">
            <v>Manesar</v>
          </cell>
          <cell r="F3" t="str">
            <v>Friday</v>
          </cell>
          <cell r="G3" t="str">
            <v>4 Pm to 7 PM</v>
          </cell>
          <cell r="H3">
            <v>1450</v>
          </cell>
          <cell r="I3">
            <v>362.5</v>
          </cell>
          <cell r="J3" t="str">
            <v>Bliss</v>
          </cell>
          <cell r="K3" t="str">
            <v>Hold till 7th Jan (25/01) Hold till 17th June (01/06)</v>
          </cell>
          <cell r="N3" t="str">
            <v>3  del of this cycle   -  0-cycles pmnt   Completed - Collect 0</v>
          </cell>
          <cell r="O3" t="str">
            <v>R n W Car ( 14 inch ) 9     FF Sachet + Grass</v>
          </cell>
          <cell r="P3" t="str">
            <v>P Asiatic ( 15 Inch ) 2     Grass</v>
          </cell>
          <cell r="Q3" t="e">
            <v>#N/A</v>
          </cell>
          <cell r="R3" t="str">
            <v>Mix Carnation  16     FF Sachet + Grass</v>
          </cell>
          <cell r="S3" t="str">
            <v xml:space="preserve">Pur Eustom ( 12 Inch ) 3    FF Sachet + Grass </v>
          </cell>
          <cell r="T3" t="str">
            <v>P n W Glad ( 14 Inch ) 16     Grass</v>
          </cell>
        </row>
        <row r="4">
          <cell r="A4">
            <v>3383</v>
          </cell>
          <cell r="B4" t="str">
            <v>Jaya Todi</v>
          </cell>
          <cell r="C4">
            <v>8084159730</v>
          </cell>
          <cell r="D4" t="str">
            <v>T-6/1001, M3M Heights, Sec 65</v>
          </cell>
          <cell r="E4" t="str">
            <v>Badshahpur</v>
          </cell>
          <cell r="F4" t="str">
            <v>Saturday</v>
          </cell>
          <cell r="G4" t="str">
            <v>10 AM to 2:30 PM</v>
          </cell>
          <cell r="H4">
            <v>1450</v>
          </cell>
          <cell r="I4">
            <v>362.5</v>
          </cell>
          <cell r="J4" t="str">
            <v>Bliss</v>
          </cell>
          <cell r="N4" t="str">
            <v>2  del of this cycle   -  0-cycles pmnt   Completed - Collect 0</v>
          </cell>
          <cell r="O4" t="e">
            <v>#N/A</v>
          </cell>
          <cell r="P4" t="e">
            <v>#N/A</v>
          </cell>
          <cell r="Q4" t="e">
            <v>#N/A</v>
          </cell>
          <cell r="R4" t="e">
            <v>#N/A</v>
          </cell>
          <cell r="S4" t="str">
            <v xml:space="preserve">R n P Car ( 14 Inch ) 16    FF Sachet + Grass </v>
          </cell>
          <cell r="T4" t="str">
            <v>O Asiatic ( 14 Inch ) 3     Grass</v>
          </cell>
        </row>
        <row r="5">
          <cell r="A5">
            <v>3139</v>
          </cell>
          <cell r="B5" t="str">
            <v>Ishita Chopra</v>
          </cell>
          <cell r="C5">
            <v>9810247803</v>
          </cell>
          <cell r="D5" t="str">
            <v>B-69, Ground Floor, Soutthend Floor, Sec 49</v>
          </cell>
          <cell r="E5" t="str">
            <v>Sohna Road 1</v>
          </cell>
          <cell r="F5" t="str">
            <v>Friday</v>
          </cell>
          <cell r="G5" t="str">
            <v>4 Pm to 7 PM</v>
          </cell>
          <cell r="H5">
            <v>1450</v>
          </cell>
          <cell r="I5">
            <v>362.5</v>
          </cell>
          <cell r="J5" t="str">
            <v>Bliss</v>
          </cell>
          <cell r="K5" t="str">
            <v>No Red Rose // Today returned due to timing missunderstaning (21/11) No Roses (06/01)</v>
          </cell>
          <cell r="L5" t="str">
            <v>Roses</v>
          </cell>
          <cell r="N5" t="str">
            <v>1  del of this cycle   -  1-cycles pmnt   Pending - Collect 1450</v>
          </cell>
          <cell r="O5" t="e">
            <v>#N/A</v>
          </cell>
          <cell r="P5" t="str">
            <v>P n W Car 16     FF Sachet + Grass</v>
          </cell>
          <cell r="Q5" t="str">
            <v>O Asiatic ( 14 Inch ) 3     Grass</v>
          </cell>
          <cell r="R5" t="str">
            <v>P n W Glad ( 14 Inch ) 16     Grass</v>
          </cell>
          <cell r="S5" t="str">
            <v xml:space="preserve">Pur Eustom ( 12 Inch ) 3    FF Sachet + Grass </v>
          </cell>
          <cell r="T5" t="str">
            <v>P n Y Spray Daisy ( 14 Inch ) 5     FF sachet + Grass</v>
          </cell>
        </row>
        <row r="6">
          <cell r="A6">
            <v>1618</v>
          </cell>
          <cell r="B6" t="str">
            <v>Nidhi Sharma Malhotra</v>
          </cell>
          <cell r="C6" t="str">
            <v>8130207722//9999016333</v>
          </cell>
          <cell r="D6" t="str">
            <v>Topaz-36, First Floor, Emaar Emerald Hills, Sec 65</v>
          </cell>
          <cell r="E6" t="str">
            <v>Badshahpur</v>
          </cell>
          <cell r="F6" t="str">
            <v>Friday</v>
          </cell>
          <cell r="G6" t="str">
            <v>9 AM to 2 PM</v>
          </cell>
          <cell r="H6">
            <v>3000</v>
          </cell>
          <cell r="I6">
            <v>375</v>
          </cell>
          <cell r="J6" t="str">
            <v>Charm</v>
          </cell>
          <cell r="K6"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6" t="str">
            <v>GLAD</v>
          </cell>
          <cell r="N6" t="str">
            <v>1  del of this cycle   -  0-cycles pmnt   Complimentary - Collect 0</v>
          </cell>
          <cell r="O6" t="str">
            <v>P n W Car ( 14 inch ) 15     FF Sachet + Grass</v>
          </cell>
          <cell r="P6" t="str">
            <v>Mix Spray Daisy 4     FF Sachet + Grass</v>
          </cell>
          <cell r="Q6" t="str">
            <v>Pur Eustom ( 14 Inch ) 3     FF Sachet + Grass</v>
          </cell>
          <cell r="R6" t="str">
            <v>BOP ( 14 Inch ) 3     FF Sachet + Grass</v>
          </cell>
          <cell r="S6" t="str">
            <v>P Asiatic ( 14 Inch ) 3     Grass</v>
          </cell>
          <cell r="T6" t="str">
            <v>G n Y Spray Daisy ( 14 Inch ) 4     FF sachet + Grass</v>
          </cell>
        </row>
        <row r="7">
          <cell r="A7">
            <v>3016</v>
          </cell>
          <cell r="B7" t="str">
            <v>Divya Dwivedi</v>
          </cell>
          <cell r="C7">
            <v>7668421237</v>
          </cell>
          <cell r="D7" t="str">
            <v>T-83/402, Emaar palm Hills, Sec 77</v>
          </cell>
          <cell r="E7" t="str">
            <v>Badshahpur</v>
          </cell>
          <cell r="F7" t="str">
            <v>Friday</v>
          </cell>
          <cell r="G7" t="str">
            <v>4 Pm to 7 PM</v>
          </cell>
          <cell r="H7">
            <v>1950</v>
          </cell>
          <cell r="I7">
            <v>487.5</v>
          </cell>
          <cell r="J7" t="str">
            <v>Joy</v>
          </cell>
          <cell r="K7" t="str">
            <v>1st Del Tom and then every Friday (14/09) Skip 1 week (02/10) today hold (30/01) Skip 1 week (10/02) Four Plus 1 Pack (13/04)</v>
          </cell>
          <cell r="M7" t="str">
            <v>Oriental once in 1 cycle (13/04)</v>
          </cell>
          <cell r="N7" t="str">
            <v>3  del of this cycle   -  0-cycles pmnt   Completed - Collect 0</v>
          </cell>
          <cell r="O7" t="str">
            <v>R n W Car ( 14 inch ) 22     FF Sachet + Grass</v>
          </cell>
          <cell r="P7" t="str">
            <v>O Asiatic ( 15 Inch ) 4     Grass</v>
          </cell>
          <cell r="Q7" t="e">
            <v>#N/A</v>
          </cell>
          <cell r="R7" t="e">
            <v>#N/A</v>
          </cell>
          <cell r="S7" t="e">
            <v>#N/A</v>
          </cell>
          <cell r="T7" t="str">
            <v>P n W Glad ( 14 Inch ) 22     Grass</v>
          </cell>
        </row>
        <row r="8">
          <cell r="A8">
            <v>1238</v>
          </cell>
          <cell r="B8" t="str">
            <v>Meenakshi Dua-- Evening Only</v>
          </cell>
          <cell r="C8">
            <v>9560900277</v>
          </cell>
          <cell r="D8" t="str">
            <v>T-9/803, Orchid Petals</v>
          </cell>
          <cell r="E8" t="str">
            <v>Sohna Road 1</v>
          </cell>
          <cell r="F8" t="str">
            <v>Friday</v>
          </cell>
          <cell r="G8" t="str">
            <v>4 PM to 7PM</v>
          </cell>
          <cell r="H8">
            <v>1950</v>
          </cell>
          <cell r="I8">
            <v>487.5</v>
          </cell>
          <cell r="J8" t="str">
            <v>Joy</v>
          </cell>
          <cell r="K8"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8" t="str">
            <v xml:space="preserve">HELICONIA n BOP n GERBERA </v>
          </cell>
          <cell r="M8" t="str">
            <v>No Yel/Wht/Red in Glad and Guldawari</v>
          </cell>
          <cell r="N8" t="str">
            <v>2  del of this cycle   -  1-cycles pmnt   Pending - Collect 1950</v>
          </cell>
          <cell r="O8" t="str">
            <v>P Asiatic ( 15 inch ) 4     Grass</v>
          </cell>
          <cell r="P8" t="str">
            <v>R n W Car ( 14 Inch ) 22     FF Sachet + Grass</v>
          </cell>
          <cell r="Q8" t="str">
            <v>Pur n P Eustoma ( 14 Inch ) 4     FF Sachet + Grass</v>
          </cell>
          <cell r="R8" t="str">
            <v>P n Y Spray Daisy ( 14 Inch ) 7     FF Sachet + Grass</v>
          </cell>
          <cell r="S8" t="str">
            <v>Mix Car 22     FF sachet + Grass</v>
          </cell>
          <cell r="T8" t="str">
            <v>O Asiatic ( 14 Inch ) 4     Grass</v>
          </cell>
        </row>
        <row r="9">
          <cell r="A9">
            <v>3301</v>
          </cell>
          <cell r="B9" t="str">
            <v>Akanksha -- Orchid Petal</v>
          </cell>
          <cell r="C9">
            <v>9953302209</v>
          </cell>
          <cell r="D9" t="str">
            <v>T-15/401, Orchid Petals</v>
          </cell>
          <cell r="E9" t="str">
            <v>Sohna Road 1</v>
          </cell>
          <cell r="F9" t="str">
            <v>Friday</v>
          </cell>
          <cell r="G9" t="str">
            <v>4 PM to 7 PM</v>
          </cell>
          <cell r="H9">
            <v>1950</v>
          </cell>
          <cell r="I9">
            <v>487.5</v>
          </cell>
          <cell r="J9" t="str">
            <v>Joy</v>
          </cell>
          <cell r="K9" t="str">
            <v>Paytm From Akanksha Jain// Skip 1 week (17/05) HDTNP (12/06)</v>
          </cell>
          <cell r="N9" t="str">
            <v>3  del of this cycle   -  0-cycles pmnt   Completed - Collect 0</v>
          </cell>
          <cell r="O9" t="e">
            <v>#N/A</v>
          </cell>
          <cell r="P9" t="str">
            <v>O Asiatic ( 15 Inch ) 4     Grass</v>
          </cell>
          <cell r="Q9" t="str">
            <v>P n W Spray Daisy ( 14 Inch ) 7     FF Sachet + Grass</v>
          </cell>
          <cell r="R9" t="e">
            <v>#N/A</v>
          </cell>
          <cell r="S9" t="str">
            <v>P n W Glad ( 14 Inch ) 22     Grass</v>
          </cell>
          <cell r="T9" t="str">
            <v>Pur n P Car ( 14 Inch ) 22     FF Sachet + Grass</v>
          </cell>
        </row>
        <row r="10">
          <cell r="A10">
            <v>1994</v>
          </cell>
          <cell r="B10" t="str">
            <v>M P Bezbaruah</v>
          </cell>
          <cell r="C10">
            <v>9810623627</v>
          </cell>
          <cell r="D10" t="str">
            <v>323, Deerwood Chase, Sector 50</v>
          </cell>
          <cell r="E10" t="str">
            <v>Nirvana Country</v>
          </cell>
          <cell r="F10" t="str">
            <v>Friday</v>
          </cell>
          <cell r="G10" t="str">
            <v>9 AM - 12 PM</v>
          </cell>
          <cell r="H10">
            <v>999</v>
          </cell>
          <cell r="I10">
            <v>249.75</v>
          </cell>
          <cell r="J10" t="str">
            <v>Delight</v>
          </cell>
          <cell r="K10" t="str">
            <v>Send car on Thursday (05/06) Skip 2 week (18/04) No Rajni till Sep (10/07)</v>
          </cell>
          <cell r="M10" t="str">
            <v>No Rajni till sep(10/07)</v>
          </cell>
          <cell r="N10" t="str">
            <v>4  del of this cycle   -  0-cycles pmnt   Completed - Collect 0</v>
          </cell>
          <cell r="O10" t="str">
            <v>P n W Glad ( 16 Inch) 9     Grass</v>
          </cell>
          <cell r="P10" t="str">
            <v>P Asiatic ( 15 Inch ) 2     Grass</v>
          </cell>
          <cell r="Q10" t="str">
            <v>P n W Car ( 14 Inch ) 9     Grass</v>
          </cell>
          <cell r="R10" t="str">
            <v>Sunflower ( 12 Inch ) 2     FF Sachet + Grass</v>
          </cell>
          <cell r="S10" t="str">
            <v xml:space="preserve">P Spray Daisy ( 14 Inch ) 3    FF Sachet + Grass </v>
          </cell>
          <cell r="T10" t="str">
            <v>P n W Glad ( 14 Inch ) 9     Grass</v>
          </cell>
        </row>
        <row r="11">
          <cell r="A11">
            <v>1630</v>
          </cell>
          <cell r="B11" t="str">
            <v>Nikhil Ranganathan-- Evening Only</v>
          </cell>
          <cell r="C11">
            <v>9910184448</v>
          </cell>
          <cell r="D11" t="str">
            <v>24/7, Primrose Vatika</v>
          </cell>
          <cell r="E11" t="str">
            <v>Sohna Road 1</v>
          </cell>
          <cell r="F11" t="str">
            <v>Friday</v>
          </cell>
          <cell r="G11" t="str">
            <v>4 Pm to 7 PM</v>
          </cell>
          <cell r="H11">
            <v>1450</v>
          </cell>
          <cell r="I11">
            <v>362.5</v>
          </cell>
          <cell r="J11" t="str">
            <v>Bliss</v>
          </cell>
          <cell r="K11"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11" t="str">
            <v>2  del of this cycle   -  0-cycles pmnt   Completed - Collect 0</v>
          </cell>
          <cell r="O11" t="str">
            <v>Sunflower ( 15 inch ) 4     Grass</v>
          </cell>
          <cell r="P11" t="str">
            <v>O Asiatic ( 15 Inch ) 3     Grass</v>
          </cell>
          <cell r="Q11" t="str">
            <v>P n W Glad ( 14 Inch ) 16     Grass</v>
          </cell>
          <cell r="R11" t="str">
            <v>P n Y Spray Daisy ( 14 Inch ) 5     FF Sachet + Grass</v>
          </cell>
          <cell r="S11" t="str">
            <v xml:space="preserve">R n P Car ( 14 Inch ) 16    FF Sachet + Grass </v>
          </cell>
          <cell r="T11" t="str">
            <v>Pur Eustoma ( 12 Inch ) 3     FF sachet + Grass</v>
          </cell>
        </row>
        <row r="12">
          <cell r="A12" t="str">
            <v>B56276</v>
          </cell>
          <cell r="B12" t="str">
            <v>Parul Mahajan</v>
          </cell>
          <cell r="C12">
            <v>9560889949</v>
          </cell>
          <cell r="D12" t="str">
            <v xml:space="preserve">T-5/1002, Vipul Greens
</v>
          </cell>
          <cell r="E12" t="str">
            <v>Sohna Road 2</v>
          </cell>
          <cell r="F12" t="str">
            <v>Friday</v>
          </cell>
          <cell r="G12" t="str">
            <v>9 AM - 12 PM</v>
          </cell>
          <cell r="H12">
            <v>900</v>
          </cell>
          <cell r="I12">
            <v>900</v>
          </cell>
          <cell r="J12" t="str">
            <v>Bouquet</v>
          </cell>
          <cell r="K12" t="str">
            <v>From Divya Vipul Greens// 6 Asiatic // Happy Anniversary Ankush and Parul. Wishing you forever happiness ❤️
Lots of love..
Hum Paanch</v>
          </cell>
          <cell r="N12" t="str">
            <v>1  del of this cycle   -  0-cycles pmnt   Completed - Collect 0</v>
          </cell>
          <cell r="O12" t="e">
            <v>#N/A</v>
          </cell>
          <cell r="P12" t="e">
            <v>#N/A</v>
          </cell>
          <cell r="Q12" t="e">
            <v>#N/A</v>
          </cell>
          <cell r="R12" t="e">
            <v>#N/A</v>
          </cell>
          <cell r="S12" t="e">
            <v>#N/A</v>
          </cell>
          <cell r="T12" t="str">
            <v xml:space="preserve">P Asiatic  6 Walkin Tissue Wrap Message   </v>
          </cell>
        </row>
        <row r="13">
          <cell r="A13">
            <v>1477</v>
          </cell>
          <cell r="B13" t="str">
            <v>Priyanka Agarwal</v>
          </cell>
          <cell r="C13">
            <v>9810745341</v>
          </cell>
          <cell r="D13" t="str">
            <v>624-A, Fairway East, Sector 65</v>
          </cell>
          <cell r="E13" t="str">
            <v>Badshahpur</v>
          </cell>
          <cell r="F13" t="str">
            <v>Friday</v>
          </cell>
          <cell r="G13" t="str">
            <v>9 AM to 2 PM</v>
          </cell>
          <cell r="H13">
            <v>1600</v>
          </cell>
          <cell r="I13">
            <v>200</v>
          </cell>
          <cell r="J13" t="str">
            <v>Bloom</v>
          </cell>
          <cell r="K13"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13" t="str">
            <v>6  del of this cycle   -  0-cycles pmnt   Completed - Collect 0</v>
          </cell>
          <cell r="O13" t="e">
            <v>#N/A</v>
          </cell>
          <cell r="P13" t="str">
            <v xml:space="preserve">Collect 1400 Carry Receipt Book Collect 1400 Carry Receipt Book Collect 1400 Carry Receipt Book </v>
          </cell>
          <cell r="Q13" t="str">
            <v>Mix Alstroemeria ( 12 Inch ) 7     FF Sachet + Grass</v>
          </cell>
          <cell r="R13" t="str">
            <v>Pur n P Car ( 14 Inch ) 7     FF Sachet + Grass</v>
          </cell>
          <cell r="S13" t="str">
            <v>P Spray Daisy ( 14 Inch ) 2     FF Sachet + Grass</v>
          </cell>
          <cell r="T13" t="str">
            <v>Rajni ( 14 Inch ) 7     Grass</v>
          </cell>
        </row>
        <row r="14">
          <cell r="A14">
            <v>2123</v>
          </cell>
          <cell r="B14" t="str">
            <v>Meenu Singh</v>
          </cell>
          <cell r="C14">
            <v>9999982765</v>
          </cell>
          <cell r="D14" t="str">
            <v xml:space="preserve">FLAT NO 16 A, TOWER 2, FAIRWAY EAST, M3M GOLF ESTATE
</v>
          </cell>
          <cell r="E14" t="str">
            <v>Badshahpur</v>
          </cell>
          <cell r="F14" t="str">
            <v>Friday</v>
          </cell>
          <cell r="G14" t="str">
            <v>9 AM - 12 PM</v>
          </cell>
          <cell r="H14">
            <v>3750</v>
          </cell>
          <cell r="I14">
            <v>937.5</v>
          </cell>
          <cell r="J14" t="str">
            <v>Savor</v>
          </cell>
          <cell r="K14"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14" t="str">
            <v>Diff Flowers n Combination</v>
          </cell>
          <cell r="N14" t="str">
            <v>2  del of this cycle   -  0-cycles pmnt   Completed - Collect 0</v>
          </cell>
          <cell r="O14" t="str">
            <v>P Asiatic ( 15 inch ) 4 P n W Car ( 14 inch ) 21   FF Sachet + Grass</v>
          </cell>
          <cell r="P14" t="str">
            <v>P n W Spray Daisy ( 15 Inch ) 5 P n W Glad ( 14 Inch ) 21   2 Gypsola + FF Sachet</v>
          </cell>
          <cell r="Q14" t="str">
            <v>Sunflower ( 12 Inch ) 5 Mix Alstroemeria ( 12 Inch ) 20   2 Limonium + FF Sachet</v>
          </cell>
          <cell r="R14" t="str">
            <v>Pur n P Eustoma ( 14 Inch ) 4 Pur n P Car ( 14 Inch ) 16   2 Gypsola + FF Sachet</v>
          </cell>
          <cell r="S14" t="str">
            <v>O Asiatic ( 14 Inch ) 4 P n W Glad ( 14 Inch ) 21   Grass</v>
          </cell>
          <cell r="T14" t="str">
            <v xml:space="preserve">G n Y Spray Daisy ( 14 Inch ) 5 Rajni ( 14 Inch ) 20   2 Limonium </v>
          </cell>
        </row>
        <row r="15">
          <cell r="A15">
            <v>3375</v>
          </cell>
          <cell r="B15" t="str">
            <v>Saniya Anand</v>
          </cell>
          <cell r="C15">
            <v>9810955188</v>
          </cell>
          <cell r="D15" t="str">
            <v>D-1102, Caritriona Ambience Island Near Ambiance Mall</v>
          </cell>
          <cell r="E15" t="str">
            <v>M G Road</v>
          </cell>
          <cell r="F15" t="str">
            <v>Friday</v>
          </cell>
          <cell r="G15" t="str">
            <v>4 Pm to 7 PM</v>
          </cell>
          <cell r="H15">
            <v>1950</v>
          </cell>
          <cell r="I15">
            <v>487.5</v>
          </cell>
          <cell r="J15" t="str">
            <v>Joy</v>
          </cell>
          <cell r="N15" t="str">
            <v>4  del of this cycle   -  0-cycles pmnt   Completed - Collect 0</v>
          </cell>
          <cell r="O15" t="e">
            <v>#N/A</v>
          </cell>
          <cell r="P15" t="e">
            <v>#N/A</v>
          </cell>
          <cell r="Q15" t="str">
            <v>Shd Pur n P Car ( 14 Inch ) 22     FF Sachet + Grass</v>
          </cell>
          <cell r="R15" t="str">
            <v>P Asiatic ( 14 Inch ) 4     Grass</v>
          </cell>
          <cell r="S15" t="str">
            <v>Rajni 22     Grass</v>
          </cell>
          <cell r="T15" t="str">
            <v>P n W Glad ( 14 Inch ) 22     Grass</v>
          </cell>
        </row>
        <row r="16">
          <cell r="A16">
            <v>781</v>
          </cell>
          <cell r="B16" t="str">
            <v>Maj. Gen. KN Singh</v>
          </cell>
          <cell r="C16">
            <v>9971391417</v>
          </cell>
          <cell r="D16" t="str">
            <v>GH 4/5C Gurgaon One Apartments- Sectr 22</v>
          </cell>
          <cell r="E16" t="str">
            <v>Old Gurgaon</v>
          </cell>
          <cell r="F16" t="str">
            <v>Friday</v>
          </cell>
          <cell r="G16" t="str">
            <v>4 PM to 7PM</v>
          </cell>
          <cell r="H16">
            <v>1450</v>
          </cell>
          <cell r="I16">
            <v>362.5</v>
          </cell>
          <cell r="J16" t="str">
            <v>Bliss</v>
          </cell>
          <cell r="K16"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6" t="str">
            <v>4  del of this cycle   -  0-cycles pmnt   Completed - Collect 0</v>
          </cell>
          <cell r="O16" t="str">
            <v>P n W Glad ( 16 Inch) 16     Grass</v>
          </cell>
          <cell r="P16" t="str">
            <v>Mix Alstroemeria ( 12 Inch ) 16     FF Sachet + Grass</v>
          </cell>
          <cell r="Q16" t="str">
            <v>P Asiatic ( 14 Inch ) 3     Grass</v>
          </cell>
          <cell r="R16" t="str">
            <v>P n Y Spray Daisy ( 14 Inch ) 5     FF Sachet + Grass</v>
          </cell>
          <cell r="S16" t="str">
            <v xml:space="preserve">R n P Car ( 14 Inch ) 16    FF Sachet + Grass </v>
          </cell>
          <cell r="T16" t="str">
            <v>Mix Alstroemeria 16     Grass</v>
          </cell>
        </row>
        <row r="17">
          <cell r="A17">
            <v>2260</v>
          </cell>
          <cell r="B17" t="str">
            <v>Madhu Chopra</v>
          </cell>
          <cell r="C17">
            <v>9810270218</v>
          </cell>
          <cell r="D17" t="str">
            <v>Anand Farm, Sri Krishna Chowk, Sec 22, Dundahera</v>
          </cell>
          <cell r="E17" t="str">
            <v>Old Gurgaon</v>
          </cell>
          <cell r="F17" t="str">
            <v>Friday</v>
          </cell>
          <cell r="G17" t="str">
            <v>4 Pm to 7 PM</v>
          </cell>
          <cell r="H17">
            <v>4750</v>
          </cell>
          <cell r="I17">
            <v>1187.5</v>
          </cell>
          <cell r="J17" t="str">
            <v>Enchantment</v>
          </cell>
          <cell r="K17" t="str">
            <v>NO ROSE// From Albi Wife// Send replacement of Glad n Sunflower tom (20/04)  This week on Thursday (23/10) Anthurium/Lily and bop this week (23/10) Send 1 del tom n hld (11/06) Send on wednsday -- send 5 Oriental + Rajni for 2 Vase + Orchid for 1 Vase + 10 Stem 1 ft Bamboo in Vase with Ribbon (26/10) Hold till 7th Jan (19/12) Pls Send tom (06/02) Sent one del tiday instead of tim (26/02)</v>
          </cell>
          <cell r="L17" t="str">
            <v>ROSE</v>
          </cell>
          <cell r="N17" t="str">
            <v>4  del of this cycle   -  0-cycles pmnt   In Process - Collect 0</v>
          </cell>
          <cell r="O17" t="str">
            <v>W Oriental + G n Y Spray Daisy  3 + 5 P n W Car + Rajni 12 + 12 Eustoma 4 5 Areca Palm + 3 Gypsola + 3 Limonium</v>
          </cell>
          <cell r="P17" t="str">
            <v>P oriental + BOP 3 + 3 R n W Car ( 14 Inch ) + Mix Alstroemeria ( 12 Inch ) 12 + 12 Y Orchid 5 5 Areca Palm + 3 Gypsola + 3 Limonium</v>
          </cell>
          <cell r="Q17" t="str">
            <v>W Oriental + Mix Anthurium 3 + 4 P n W Glad + P n W Car 12 + 12 G Orchid 5 5 Areca palm + 3 Gypsola + 3 Limonium</v>
          </cell>
          <cell r="R17" t="str">
            <v>P Oriental + Mix Eustoma 3 + 4 Mix Alstroemeria + Rajni 12 + 12 BOP 4 5 Areca Palm + 3 Gypaols + 3 Limonium</v>
          </cell>
          <cell r="S17" t="str">
            <v>W oriental + Pur n P Eustoma 3 + 4 Pur n P Car + Rajni  12 + 12 Mix Anthurium  4 5 Areca palm + 3 Gypsola + 3 Limonium</v>
          </cell>
          <cell r="T17" t="str">
            <v>P Oriental + Spray Daisy  3 + 5 P n W Car + Rajni  12 + 12  Mix Alstromeria 12 5 Areca palm + 3 Gypsola + 3 Limonium</v>
          </cell>
        </row>
        <row r="18">
          <cell r="A18">
            <v>2803</v>
          </cell>
          <cell r="B18" t="str">
            <v>Priyanka Dey</v>
          </cell>
          <cell r="C18">
            <v>9007706833</v>
          </cell>
          <cell r="D18" t="str">
            <v>D/1003, 10th Floor, Emaar Palm Heights, Sec 77</v>
          </cell>
          <cell r="E18" t="str">
            <v>Badshahpur</v>
          </cell>
          <cell r="F18" t="str">
            <v>Friday</v>
          </cell>
          <cell r="G18" t="str">
            <v>After 5 PM</v>
          </cell>
          <cell r="H18">
            <v>1450</v>
          </cell>
          <cell r="I18">
            <v>362.5</v>
          </cell>
          <cell r="J18" t="str">
            <v>Delight</v>
          </cell>
          <cell r="K18" t="str">
            <v>Lily Next (28/07) Returned and hold (15/08) Four plus 1 Pack // Today returned (16/05)</v>
          </cell>
          <cell r="N18" t="str">
            <v>1  del of this cycle   -  1-cycles pmnt   Pending - Collect 1450</v>
          </cell>
          <cell r="O18" t="str">
            <v>R n W Car ( 14 inch ) 16     FF Sachet + Grass</v>
          </cell>
          <cell r="P18" t="str">
            <v>Mix Alstroemeria ( 12 Inch ) 16     FF Sachet + Grass</v>
          </cell>
          <cell r="Q18" t="str">
            <v>P n W Glad ( 14 Inch ) 16     Grass</v>
          </cell>
          <cell r="R18" t="str">
            <v>Y Asiatic ( 14 Inch ) 3     Grass</v>
          </cell>
          <cell r="S18" t="str">
            <v xml:space="preserve">Pur Eustom ( 12 Inch ) 3    FF Sachet + Grass </v>
          </cell>
          <cell r="T18" t="str">
            <v>Alstromeria 16     FF sachet + Grass</v>
          </cell>
        </row>
        <row r="19">
          <cell r="A19">
            <v>3098</v>
          </cell>
          <cell r="B19" t="str">
            <v>Jayati Dhingra</v>
          </cell>
          <cell r="C19">
            <v>9953158378</v>
          </cell>
          <cell r="D19" t="str">
            <v>3001, 30th Floor, M3M Lattitude, Sec 65</v>
          </cell>
          <cell r="E19" t="str">
            <v>Badshahpur</v>
          </cell>
          <cell r="F19" t="str">
            <v>Friday</v>
          </cell>
          <cell r="G19" t="str">
            <v>9 AM - 12 PM</v>
          </cell>
          <cell r="H19">
            <v>999</v>
          </cell>
          <cell r="I19">
            <v>249.75</v>
          </cell>
          <cell r="J19" t="str">
            <v>Delight</v>
          </cell>
          <cell r="K19" t="str">
            <v>No Rajni for some time being (31/10) Skip 1 week (21/01) Skip 1 week (23/02) Send tom (26/02) Skip 1 week (21/05) Returned Today (29/05)</v>
          </cell>
          <cell r="N19" t="str">
            <v>4  del of this cycle   -  0-cycles pmnt   CompletedNO COLLECTION-we have extra money - Collect -1</v>
          </cell>
          <cell r="O19" t="e">
            <v>#N/A</v>
          </cell>
          <cell r="P19" t="str">
            <v>R n W Car ( 14 Inch ) 9     FF Sachet + Grass</v>
          </cell>
          <cell r="Q19" t="str">
            <v>P Asiatic ( 14 Inch ) 2     Grass</v>
          </cell>
          <cell r="R19" t="e">
            <v>#N/A</v>
          </cell>
          <cell r="S19" t="e">
            <v>#N/A</v>
          </cell>
          <cell r="T19" t="str">
            <v>P n W Glad ( 14 Inch ) 9     Grass</v>
          </cell>
        </row>
        <row r="20">
          <cell r="A20">
            <v>296</v>
          </cell>
          <cell r="B20" t="str">
            <v>Madhu Thapliyal</v>
          </cell>
          <cell r="C20">
            <v>9999364696</v>
          </cell>
          <cell r="D20" t="str">
            <v>2/201, Sovereign, Vatika City</v>
          </cell>
          <cell r="G20" t="str">
            <v>Replacement</v>
          </cell>
          <cell r="H20" t="str">
            <v>Replacement</v>
          </cell>
          <cell r="I20" t="str">
            <v>Replacement</v>
          </cell>
          <cell r="J20" t="str">
            <v>Replacement</v>
          </cell>
          <cell r="K20" t="str">
            <v>Replacement</v>
          </cell>
          <cell r="L20" t="str">
            <v>Replacement</v>
          </cell>
          <cell r="M20" t="str">
            <v>Replacement</v>
          </cell>
          <cell r="N20" t="str">
            <v>Pls Collect Old Flowers</v>
          </cell>
          <cell r="T20" t="str">
            <v xml:space="preserve">Mix Spray Daisy 5     </v>
          </cell>
        </row>
        <row r="21">
          <cell r="A21" t="str">
            <v>G-00011</v>
          </cell>
          <cell r="B21" t="str">
            <v>Nainsee Garg</v>
          </cell>
          <cell r="C21">
            <v>9810561802</v>
          </cell>
          <cell r="D21" t="str">
            <v>A67 Rosewood City Sector 49 Gurgaon 122001</v>
          </cell>
          <cell r="E21" t="str">
            <v>Nirvana Country</v>
          </cell>
          <cell r="F21" t="str">
            <v>Friday</v>
          </cell>
          <cell r="G21" t="str">
            <v>9 AM to 2 PM</v>
          </cell>
          <cell r="H21">
            <v>2350</v>
          </cell>
          <cell r="I21">
            <v>293.75</v>
          </cell>
          <cell r="J21" t="str">
            <v>Felicity</v>
          </cell>
          <cell r="K21" t="str">
            <v>No Glad (15/-5) Skip tom n sned next del on Sunday (29/05) Skip 1 week (03/07) Skip 1 week (12/11) Send tom (01/04) Sent one del today (09/04) Skip 1 week (11/05) Skip this cdel n send on Sunday (12/06)</v>
          </cell>
          <cell r="L21" t="str">
            <v>Glad</v>
          </cell>
          <cell r="N21" t="str">
            <v>7  del of this cycle   -  0-cycles pmnt   Completed - Collect 0</v>
          </cell>
          <cell r="O21" t="str">
            <v>P n Y Spray Daisy ( 15 inch ) 4 Glad 11   FF Sachet + Grass</v>
          </cell>
          <cell r="P21" t="str">
            <v>P Asiatic ( 15 Inch ) 2 Mix Alstroemeria ( 12 Inch )  20   Grass</v>
          </cell>
          <cell r="Q21" t="str">
            <v>R n W Car ( 14 Inch ) 11     FF Sachet + Grass</v>
          </cell>
          <cell r="R21" t="e">
            <v>#N/A</v>
          </cell>
          <cell r="S21" t="str">
            <v>P Asiatic ( 14 Inch ) 2     Grass</v>
          </cell>
          <cell r="T21" t="str">
            <v>Y Spray Daisy ( 14 Inch ) 3     FF sachet + Grass</v>
          </cell>
        </row>
        <row r="22">
          <cell r="A22">
            <v>3078</v>
          </cell>
          <cell r="B22" t="str">
            <v>Jayati Dhingra</v>
          </cell>
          <cell r="C22">
            <v>9953158378</v>
          </cell>
          <cell r="D22" t="str">
            <v>3001, 30th Floor, M3M Lattitude, Sec 65</v>
          </cell>
          <cell r="E22" t="str">
            <v>Badshahpur</v>
          </cell>
          <cell r="F22" t="str">
            <v>Friday</v>
          </cell>
          <cell r="G22" t="str">
            <v>9 AM - 12 PM</v>
          </cell>
          <cell r="H22">
            <v>1950</v>
          </cell>
          <cell r="I22">
            <v>487.5</v>
          </cell>
          <cell r="J22" t="str">
            <v>Joy</v>
          </cell>
          <cell r="K22" t="str">
            <v>No Rajni for some time being (31/10) Skip 1 week (17/12) Skip 1 week (21/01) Skip 1 week (12/02) Skip 1 week (23/02) Send tom (26/02) Replacement tom (16/05) Skip 1 week (21/05) Returned today (29/05)</v>
          </cell>
          <cell r="M22" t="str">
            <v>Check before sending (21/05)</v>
          </cell>
          <cell r="N22" t="str">
            <v>2  del of this cycle   -  0-cycles pmnt   Completed - Collect 0</v>
          </cell>
          <cell r="O22" t="e">
            <v>#N/A</v>
          </cell>
          <cell r="P22" t="str">
            <v>Pur Eustoma 2 Mix Alstroemeria ( 12 Inch )  11   FF Sachet + Grass</v>
          </cell>
          <cell r="Q22" t="str">
            <v>W Asiatic ( 14 Inch ) 2 P n W Glad ( 14 Inch ) 11   Grass</v>
          </cell>
          <cell r="R22" t="e">
            <v>#N/A</v>
          </cell>
          <cell r="S22" t="e">
            <v>#N/A</v>
          </cell>
          <cell r="T22" t="str">
            <v>P Asiatic ( 14 Inch ) 2 Alstomeria( 12 Inch ) 11   Grass</v>
          </cell>
        </row>
        <row r="23">
          <cell r="A23">
            <v>2713</v>
          </cell>
          <cell r="B23" t="str">
            <v>Priyanka Dahiya</v>
          </cell>
          <cell r="C23">
            <v>9818543931</v>
          </cell>
          <cell r="D23" t="str">
            <v>D-804, Ambience Creacions, Rao Gajraj Singh Marg, Sec 22</v>
          </cell>
          <cell r="E23" t="str">
            <v>Old Gurgaon</v>
          </cell>
          <cell r="F23" t="str">
            <v>Friday</v>
          </cell>
          <cell r="G23" t="str">
            <v>4 Pm to 7 PM</v>
          </cell>
          <cell r="H23">
            <v>1450</v>
          </cell>
          <cell r="I23">
            <v>362.5</v>
          </cell>
          <cell r="J23" t="str">
            <v>Bliss</v>
          </cell>
          <cell r="K23" t="str">
            <v>Today Hold and next week too (06/06) Only seasonals (18/07) Paytm From Rahul Chandra (01/11) Pls Send tom (06/02) Skip 2 week (31/05)</v>
          </cell>
          <cell r="M23" t="str">
            <v>Seasonals Only</v>
          </cell>
          <cell r="N23" t="str">
            <v>2  del of this cycle   -  0-cycles pmnt   CompletedNO COLLECTION-we have extra money - Collect -1</v>
          </cell>
          <cell r="O23" t="str">
            <v>Mix Glad 9     Grass</v>
          </cell>
          <cell r="P23" t="str">
            <v>R n W Car ( 14 Inch ) 9     FF Sachet + Grass</v>
          </cell>
          <cell r="Q23" t="e">
            <v>#N/A</v>
          </cell>
          <cell r="R23" t="e">
            <v>#N/A</v>
          </cell>
          <cell r="S23" t="str">
            <v xml:space="preserve">P Asiatic ( 14 Inch ) 3  ensure collection  Pese Na  Mile To Call Karna  Grass </v>
          </cell>
          <cell r="T23" t="str">
            <v>P n W Glad ( 14 Inch ) 16     Grass</v>
          </cell>
        </row>
        <row r="24">
          <cell r="A24">
            <v>2985</v>
          </cell>
          <cell r="B24" t="str">
            <v>Leena -- Orchid Petals</v>
          </cell>
          <cell r="C24">
            <v>9810768350</v>
          </cell>
          <cell r="D24" t="str">
            <v>T-24/1103, Orchid Petals</v>
          </cell>
          <cell r="E24" t="str">
            <v>Sohna Road 1</v>
          </cell>
          <cell r="F24" t="str">
            <v>Friday</v>
          </cell>
          <cell r="G24" t="str">
            <v>9 AM - 12 PM</v>
          </cell>
          <cell r="H24">
            <v>1450</v>
          </cell>
          <cell r="I24">
            <v>362.5</v>
          </cell>
          <cell r="J24" t="str">
            <v>Bliss</v>
          </cell>
          <cell r="K24" t="str">
            <v>1st del tom and then every Friday // Upgrade to Bliss (08/01) Hold today (06/02) Skip Friday and send on Sunday this week (20/05)</v>
          </cell>
          <cell r="N24" t="str">
            <v>4  del of this cycle   -  0-cycles pmnt   Completed - Collect 0</v>
          </cell>
          <cell r="O24" t="e">
            <v>#N/A</v>
          </cell>
          <cell r="P24" t="str">
            <v>R n W Car ( 14 Inch ) 16     FF Sachet + Grass</v>
          </cell>
          <cell r="Q24" t="str">
            <v>O Asiatic ( 14 Inch ) 3     Grass</v>
          </cell>
          <cell r="R24" t="str">
            <v>P n W Glad ( 14 Inch ) 16     Grass</v>
          </cell>
          <cell r="S24" t="str">
            <v xml:space="preserve">Pur Eustom ( 12 Inch ) 3    FF Sachet + Grass </v>
          </cell>
          <cell r="T24" t="str">
            <v>P n Y Spray Daisy ( 14 Inch ) 5     FF sachet + Grass</v>
          </cell>
        </row>
        <row r="25">
          <cell r="A25">
            <v>48</v>
          </cell>
          <cell r="B25" t="str">
            <v>Ms. Namrata Agarwal</v>
          </cell>
          <cell r="C25">
            <v>9873660272</v>
          </cell>
          <cell r="D25" t="str">
            <v>18/1101,Orchid Petals, Sohna Road</v>
          </cell>
          <cell r="E25" t="str">
            <v>Sohna Road 1</v>
          </cell>
          <cell r="F25" t="str">
            <v>Friday</v>
          </cell>
          <cell r="G25" t="str">
            <v>9 AM - 12 PM</v>
          </cell>
          <cell r="H25">
            <v>1950</v>
          </cell>
          <cell r="I25">
            <v>487.5</v>
          </cell>
          <cell r="J25" t="str">
            <v>Joy</v>
          </cell>
          <cell r="K25"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25" t="str">
            <v>2  del of this cycle   -  1-cycles pmnt   Pending - Collect 1950</v>
          </cell>
          <cell r="O25" t="str">
            <v>P n W Car ( 14 inch ) 22     FF Sachet + Grass</v>
          </cell>
          <cell r="P25" t="str">
            <v>O Asiatic ( 15 Inch ) 4     Grass</v>
          </cell>
          <cell r="Q25" t="str">
            <v>P n W Glad ( 14 Inch ) 22     Grass</v>
          </cell>
          <cell r="R25" t="str">
            <v>Mix Alstroemeria ( 12 Inch ) 22     FF Sachet + Grass</v>
          </cell>
          <cell r="S25" t="str">
            <v>Sunflower ( 12 Inch ) 5     FF sachet + Grass</v>
          </cell>
          <cell r="T25" t="str">
            <v>Pur n P Car ( 14 Inch ) 22     FF Sachet + Grass</v>
          </cell>
        </row>
        <row r="26">
          <cell r="A26">
            <v>1433</v>
          </cell>
          <cell r="B26" t="str">
            <v>Navritu Kaushal Rai-- After 5:30 PM</v>
          </cell>
          <cell r="C26">
            <v>9818603355</v>
          </cell>
          <cell r="D26" t="str">
            <v>H. No. 3403, 1st Floor, Sec 23</v>
          </cell>
          <cell r="E26" t="str">
            <v>Old Gurgaon</v>
          </cell>
          <cell r="F26" t="str">
            <v>Friday</v>
          </cell>
          <cell r="G26" t="str">
            <v>4 PM to 7PM</v>
          </cell>
          <cell r="H26">
            <v>999</v>
          </cell>
          <cell r="I26">
            <v>249.75</v>
          </cell>
          <cell r="J26" t="str">
            <v>Delight</v>
          </cell>
          <cell r="K26"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26" t="str">
            <v>Lily</v>
          </cell>
          <cell r="M26" t="str">
            <v>No White</v>
          </cell>
          <cell r="N26" t="str">
            <v>4  del of this cycle   -  0-cycles pmnt   Completed - Collect 0</v>
          </cell>
          <cell r="O26" t="str">
            <v>Sunflower ( 15 inch ) 2     Grass</v>
          </cell>
          <cell r="P26" t="str">
            <v>P n W Glad ( 14 Inch ) 9     Grass</v>
          </cell>
          <cell r="Q26" t="str">
            <v>P Spray Daisy ( 14 Inch ) 3     FF Sachet + Grass</v>
          </cell>
          <cell r="R26" t="str">
            <v>Pur n P Car ( 14 Inch ) 9     FF Sachet + Grass</v>
          </cell>
          <cell r="S26" t="str">
            <v xml:space="preserve">Mix Alstroemeria ( 12 Inch ) 9    FF Sachet + Grass </v>
          </cell>
          <cell r="T26" t="str">
            <v>Pur Eustoma ( 12 Inch ) 2     FF aschet + Grass</v>
          </cell>
        </row>
        <row r="27">
          <cell r="A27">
            <v>87</v>
          </cell>
          <cell r="B27" t="str">
            <v>Deepak Kohli</v>
          </cell>
          <cell r="C27">
            <v>9716199110</v>
          </cell>
          <cell r="D27" t="str">
            <v>539/C, 4th Floor, H Block, Palam Vihar</v>
          </cell>
          <cell r="E27" t="str">
            <v>Old Gurgaon</v>
          </cell>
          <cell r="F27" t="str">
            <v>Friday</v>
          </cell>
          <cell r="G27" t="str">
            <v>4 PM to 7PM</v>
          </cell>
          <cell r="H27">
            <v>1450</v>
          </cell>
          <cell r="I27">
            <v>362.5</v>
          </cell>
          <cell r="J27" t="str">
            <v>Bliss</v>
          </cell>
          <cell r="K27" t="str">
            <v>Send 1 bunch Nargis From Amit n Pooja// Wish you a//Sending on 20th instaed of 21st,bcoz of Holi(18/03) Send 1 pack of FF(14/08) Time slot changed to Evening(18/09( Holy Change(16/03) Send tom (06/02)</v>
          </cell>
          <cell r="N27" t="str">
            <v>4  del of this cycle   -  0-cycles pmnt   In Process - Collect 0</v>
          </cell>
          <cell r="O27" t="str">
            <v>R n W Car ( 14 inch ) 16     FF Sachet + Grass</v>
          </cell>
          <cell r="P27" t="str">
            <v>O Asiatic ( 15 Inch ) 3     Grass</v>
          </cell>
          <cell r="Q27" t="str">
            <v>Pur n P Eustoma ( 14 Inch ) 3     FF Sachet + Grass</v>
          </cell>
          <cell r="R27" t="str">
            <v>P n Y Spray Daisy ( 14 Inch ) 5     FF Sachet + Grass</v>
          </cell>
          <cell r="S27" t="str">
            <v xml:space="preserve">Mix Car 16    Grass </v>
          </cell>
          <cell r="T27" t="str">
            <v>Asiatic 3     Grass</v>
          </cell>
        </row>
        <row r="28">
          <cell r="A28">
            <v>2775</v>
          </cell>
          <cell r="B28" t="str">
            <v>Sreeparna Ghosh</v>
          </cell>
          <cell r="C28">
            <v>9711590494</v>
          </cell>
          <cell r="D28" t="str">
            <v>H-701, Mapsko Mountville, Sec 79</v>
          </cell>
          <cell r="E28" t="str">
            <v>Badshahpur</v>
          </cell>
          <cell r="F28" t="str">
            <v>Friday</v>
          </cell>
          <cell r="G28" t="str">
            <v>4 PM to 7PM</v>
          </cell>
          <cell r="H28">
            <v>1950</v>
          </cell>
          <cell r="I28">
            <v>487.5</v>
          </cell>
          <cell r="J28" t="str">
            <v>Bliss</v>
          </cell>
          <cell r="K28" t="str">
            <v>Send 1 W Asiatic as replacement (30/08) Skip 1 week (06/09) Returned-send next week (03/10) Send replacement of Gerbera tom (02/12) Skip 1 week (20/12) Upgarde to Joy from next cycle and mixed (20/02) Upgrade to Joy and skip 1 week (05/03)</v>
          </cell>
          <cell r="M28" t="str">
            <v>Upgarde to Joy from next cycle and mixed (20/02)</v>
          </cell>
          <cell r="N28" t="str">
            <v>4  del of this cycle   -  0-cycles pmnt   Completed - Collect 0</v>
          </cell>
          <cell r="O28" t="str">
            <v>P n W Spray Daisy 4 P n W Car ( 14 inch ) 11   FF Sachet + Grass</v>
          </cell>
          <cell r="P28" t="str">
            <v>O Asiatic ( 15 Inch ) 2 Spray Carnation 10   Grass</v>
          </cell>
          <cell r="Q28" t="str">
            <v>Pur Eustom ( 14 Inch ) 2 P n W Glad ( 14 Inch ) 11   FF Sachet + Grass</v>
          </cell>
          <cell r="R28" t="str">
            <v>Sunflower ( 12 Inch ) 3 Mix Alstroemeria ( 12 Inch ) 11   FF Sachet + Grass</v>
          </cell>
          <cell r="S28" t="str">
            <v>P Asiatic ( 14 Inch ) 4     Grass</v>
          </cell>
          <cell r="T28" t="str">
            <v>Y Spray Daisy ( 14 Inch ) 4 Glad ( 14 Inch ) 11   FF Sachet + Grass</v>
          </cell>
        </row>
        <row r="29">
          <cell r="A29">
            <v>2385</v>
          </cell>
          <cell r="B29" t="str">
            <v>Vasanta Poddar</v>
          </cell>
          <cell r="C29">
            <v>9899170709</v>
          </cell>
          <cell r="D29" t="str">
            <v>S-64, 2nd Floor, Uppal Southend</v>
          </cell>
          <cell r="E29" t="str">
            <v>Sohna Road 1</v>
          </cell>
          <cell r="F29" t="str">
            <v>Friday</v>
          </cell>
          <cell r="G29" t="str">
            <v>9 AM - 12 PM</v>
          </cell>
          <cell r="H29">
            <v>1950</v>
          </cell>
          <cell r="I29">
            <v>487.5</v>
          </cell>
          <cell r="J29" t="str">
            <v>Joy</v>
          </cell>
          <cell r="K29" t="str">
            <v xml:space="preserve"> Skip 1 week (11/03) Skip 2 week (29/05) Sent 1 Del today (21/08) Send tom (06/02) Skip 1 week (19/02)</v>
          </cell>
          <cell r="L29" t="str">
            <v>ORCHID</v>
          </cell>
          <cell r="N29" t="str">
            <v>2  del of this cycle   -  0-cycles pmnt   Completed - Collect 0</v>
          </cell>
          <cell r="O29" t="str">
            <v>Sunflower ( 15 inch ) 5     Grass</v>
          </cell>
          <cell r="P29" t="str">
            <v>P n W Glad ( 14 Inch ) 22     Grass</v>
          </cell>
          <cell r="Q29" t="str">
            <v>W Asiatic ( 14 Inch ) 4     Grass</v>
          </cell>
          <cell r="R29" t="str">
            <v>P Asiatic ( 14 Inch ) 4     Grass</v>
          </cell>
          <cell r="S29" t="str">
            <v>R n P Car ( 14 Inch ) 22     FF sachet + Grass</v>
          </cell>
          <cell r="T29" t="str">
            <v>P n Y Spray Daisy ( 14 Inch ) 7     FF Sachet + Grass</v>
          </cell>
        </row>
        <row r="30">
          <cell r="A30">
            <v>207</v>
          </cell>
          <cell r="B30" t="str">
            <v>Ms. Monaliza</v>
          </cell>
          <cell r="C30">
            <v>9958305888</v>
          </cell>
          <cell r="D30" t="str">
            <v>C-4/703, Sovereign, Vatika City</v>
          </cell>
          <cell r="E30" t="str">
            <v>Sohna Road 1</v>
          </cell>
          <cell r="F30" t="str">
            <v>Friday</v>
          </cell>
          <cell r="G30" t="str">
            <v>4 Pm to 7 PM</v>
          </cell>
          <cell r="H30">
            <v>1450</v>
          </cell>
          <cell r="I30">
            <v>362.5</v>
          </cell>
          <cell r="J30" t="str">
            <v>Bliss</v>
          </cell>
          <cell r="K30"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30" t="str">
            <v>Sunflower</v>
          </cell>
          <cell r="N30" t="str">
            <v>1  del of this cycle   -  1-cycles pmnt   Pending - Collect 1450</v>
          </cell>
          <cell r="O30" t="str">
            <v>Mix Spray Daisy 5     FF Sachet + Grass</v>
          </cell>
          <cell r="P30" t="e">
            <v>#N/A</v>
          </cell>
          <cell r="Q30" t="str">
            <v>P Asiatic ( 14 Inch ) 3     Grass</v>
          </cell>
          <cell r="R30" t="str">
            <v>P n W Glad ( 14 Inch ) 16     Grass</v>
          </cell>
          <cell r="S30" t="str">
            <v xml:space="preserve">R n P Car ( 14 Inch ) 16    FF Sachet + Grass </v>
          </cell>
          <cell r="T30" t="str">
            <v>Pur Eustoma ( 12 Inch ) 3     FF sachet + Grass</v>
          </cell>
        </row>
        <row r="31">
          <cell r="A31">
            <v>2582</v>
          </cell>
          <cell r="B31" t="str">
            <v>Nidhi -- Emaar Palm</v>
          </cell>
          <cell r="C31">
            <v>9873404809</v>
          </cell>
          <cell r="D31" t="str">
            <v>T-57/101, Emaar emerakd Premier Floors, Sec 65</v>
          </cell>
          <cell r="E31" t="str">
            <v>Badshahpur</v>
          </cell>
          <cell r="F31" t="str">
            <v>Friday</v>
          </cell>
          <cell r="G31" t="str">
            <v>9:30 Am to 2 PM</v>
          </cell>
          <cell r="H31">
            <v>1450</v>
          </cell>
          <cell r="I31">
            <v>362.5</v>
          </cell>
          <cell r="J31" t="str">
            <v>Bliss</v>
          </cell>
          <cell r="K31" t="str">
            <v>From Nidhi Srivastava // No Del till 4th Oct (24/09) Hold due to non payment (26/12) Hold due to non payment (23/01) Skip 1 week (09/06)</v>
          </cell>
          <cell r="N31" t="str">
            <v>2  del of this cycle   -  0-cycles pmnt   Completed - Collect 0</v>
          </cell>
          <cell r="O31" t="str">
            <v>Glad 9     Grass</v>
          </cell>
          <cell r="P31" t="str">
            <v xml:space="preserve">Collect 500 Carry Receipt Book Collect 500 Carry Receipt Book Collect 500 Carry Receipt Book </v>
          </cell>
          <cell r="Q31" t="str">
            <v>Y Spray Daisy ( 14 Inch ) 3     FF Sachet + Grass</v>
          </cell>
          <cell r="R31" t="e">
            <v>#N/A</v>
          </cell>
          <cell r="S31" t="str">
            <v xml:space="preserve">R n P Car ( 14 Inch ) 16    FF Sachet + Grass </v>
          </cell>
          <cell r="T31" t="str">
            <v>P n W Glad ( 14 Inch ) 16     Grass</v>
          </cell>
        </row>
        <row r="32">
          <cell r="A32">
            <v>163</v>
          </cell>
          <cell r="B32" t="str">
            <v>Rasmeeta Nayak</v>
          </cell>
          <cell r="C32">
            <v>8800444342</v>
          </cell>
          <cell r="D32" t="str">
            <v>H-504, Park View City - 2, Sohna Road</v>
          </cell>
          <cell r="E32" t="str">
            <v>Sohna Road 1</v>
          </cell>
          <cell r="F32" t="str">
            <v>Friday</v>
          </cell>
          <cell r="G32" t="str">
            <v>9 AM - 12 PM</v>
          </cell>
          <cell r="H32">
            <v>1950</v>
          </cell>
          <cell r="I32">
            <v>487.5</v>
          </cell>
          <cell r="J32" t="str">
            <v>Joy</v>
          </cell>
          <cell r="K3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32" t="str">
            <v>3  del of this cycle   -  0-cycles pmnt   Completed - Collect 0</v>
          </cell>
          <cell r="O32" t="str">
            <v>P n W Glad ( 16 Inch) 22     Grass</v>
          </cell>
          <cell r="P32" t="str">
            <v>Y Orchid  7     FF Sachet + Grass</v>
          </cell>
          <cell r="Q32" t="str">
            <v>W Asiatic ( 14 Inch ) 4     Grass</v>
          </cell>
          <cell r="R32" t="str">
            <v>Pur n P Car ( 14 Inch ) 22     FF Sachet + Grass</v>
          </cell>
          <cell r="S32" t="str">
            <v>Sunflower ( 12 Inch ) 5     FF sachet + Grass</v>
          </cell>
          <cell r="T32" t="str">
            <v>Pur n P Eustoma ( 12 Inch ) 4     FF Sachet + Grass</v>
          </cell>
        </row>
        <row r="33">
          <cell r="A33">
            <v>2832</v>
          </cell>
          <cell r="B33" t="str">
            <v>Anshu Mittal Roy</v>
          </cell>
          <cell r="C33" t="str">
            <v xml:space="preserve"> 97172 00986</v>
          </cell>
          <cell r="D33" t="str">
            <v xml:space="preserve"> B203 Godrej 101, Sector 79
</v>
          </cell>
          <cell r="E33" t="str">
            <v>Badshahpur</v>
          </cell>
          <cell r="F33" t="str">
            <v>Friday</v>
          </cell>
          <cell r="G33" t="str">
            <v>4 Pm to 7 PM</v>
          </cell>
          <cell r="H33">
            <v>1450</v>
          </cell>
          <cell r="I33">
            <v>362.5</v>
          </cell>
          <cell r="J33" t="str">
            <v>Bliss</v>
          </cell>
          <cell r="K33" t="str">
            <v>15 % Discount (26/07) 3 Month with 10% discount (24/08) Skip 1 week (19/12) Skip 1 week (19/02) Skip 2 week (16/05) Today Returned (12/06) Hold today (19/06)</v>
          </cell>
          <cell r="N33" t="str">
            <v>3  del of this cycle   -  0-cycles pmnt   Completed - Collect 0</v>
          </cell>
          <cell r="O33" t="e">
            <v>#N/A</v>
          </cell>
          <cell r="P33" t="e">
            <v>#N/A</v>
          </cell>
          <cell r="Q33" t="str">
            <v>Y Spray Daisy ( 14 Inch ) 3 P n W Car ( 14 Inch ) 7   FF Sachet + Grass</v>
          </cell>
          <cell r="R33" t="str">
            <v>Pur Eustoma ( 12 Inch ) 2 P n W Glad ( 14 Inch ) 7   FF Sachet + Grass</v>
          </cell>
          <cell r="S33" t="str">
            <v xml:space="preserve">O Asiatic ( 14 Inch ) 2 Mix Alstroemeria (  12 Inch ) 7  Grass </v>
          </cell>
          <cell r="T33" t="str">
            <v>O Asiatic ( 14 Inch ) 2 Mix Alstroemeria ( 12 Inch ) 7   Grass</v>
          </cell>
        </row>
        <row r="34">
          <cell r="A34">
            <v>2394</v>
          </cell>
          <cell r="B34" t="str">
            <v>Sachi Poudiyal</v>
          </cell>
          <cell r="C34">
            <v>8420453178</v>
          </cell>
          <cell r="D34" t="str">
            <v>H. No. 901, Ground Floor, Sec 17 B, Next to St PBN School</v>
          </cell>
          <cell r="E34" t="str">
            <v>Old Gurgaon</v>
          </cell>
          <cell r="F34" t="str">
            <v>Friday</v>
          </cell>
          <cell r="G34" t="str">
            <v>4 PM to 7 PM</v>
          </cell>
          <cell r="H34">
            <v>1450</v>
          </cell>
          <cell r="I34">
            <v>362.5</v>
          </cell>
          <cell r="J34" t="str">
            <v>Bliss</v>
          </cell>
          <cell r="K34" t="str">
            <v>12 Del Payment done today (18/03) Hold n start from Aug(12/06) One Payment Received today (09/11)</v>
          </cell>
          <cell r="N34" t="str">
            <v>3  del of this cycle   -  0-cycles pmnt   Completed - Collect 0</v>
          </cell>
          <cell r="O34" t="str">
            <v>Asiatic 3     Grass</v>
          </cell>
          <cell r="P34" t="str">
            <v>P n Y Spray Daisy ( 15 Inch ) 5     FF Sachet + Grass</v>
          </cell>
          <cell r="Q34" t="str">
            <v>P n W Glad ( 14 Inch ) 16     Grass</v>
          </cell>
          <cell r="R34" t="str">
            <v>Sunflower ( 12 Inch ) 4     FF Sachet + Grass</v>
          </cell>
          <cell r="S34" t="str">
            <v xml:space="preserve">Pur Eustom ( 12 Inch ) 3    FF Sachet + Grass </v>
          </cell>
          <cell r="T34" t="str">
            <v>P n W Car ( 14 Inch ) 16     FF sachet + Grass</v>
          </cell>
        </row>
        <row r="35">
          <cell r="A35">
            <v>2798</v>
          </cell>
          <cell r="B35" t="str">
            <v>Priya Chaturvedi</v>
          </cell>
          <cell r="C35">
            <v>9999283603</v>
          </cell>
          <cell r="D35" t="str">
            <v>D-2003, Bestech Alturea, Sec 79</v>
          </cell>
          <cell r="E35" t="str">
            <v>Manesar</v>
          </cell>
          <cell r="F35" t="str">
            <v>Friday</v>
          </cell>
          <cell r="G35" t="str">
            <v>4 Pm to 7 PM</v>
          </cell>
          <cell r="H35">
            <v>1450</v>
          </cell>
          <cell r="I35">
            <v>362.5</v>
          </cell>
          <cell r="J35" t="str">
            <v>Bliss</v>
          </cell>
          <cell r="K35" t="str">
            <v>Today Returned (08/08) {ayment From Chinmananda Devgoswami (25/10) Four Plus 1 Pack (15/04) Skip 1 week (07/05)</v>
          </cell>
          <cell r="N35" t="str">
            <v>1  del of this cycle   -  1-cycles pmnt   Pending - Collect 1450</v>
          </cell>
          <cell r="O35" t="str">
            <v>R n W Car ( 14 inch ) 16     FF Sachet + Grass</v>
          </cell>
          <cell r="P35" t="e">
            <v>#N/A</v>
          </cell>
          <cell r="Q35" t="str">
            <v>O Asiatic ( 14 Inch ) 3     Grass</v>
          </cell>
          <cell r="R35" t="str">
            <v>P n W Glad ( 14 Inch ) 16     Grass</v>
          </cell>
          <cell r="S35" t="str">
            <v xml:space="preserve">Pur Eustom ( 12 Inch ) 3    FF Sachet + Grass </v>
          </cell>
          <cell r="T35" t="str">
            <v>Alstromeria 16     FF sachet + Grass</v>
          </cell>
        </row>
        <row r="36">
          <cell r="A36">
            <v>2224</v>
          </cell>
          <cell r="B36" t="str">
            <v>Samta Mehra</v>
          </cell>
          <cell r="C36">
            <v>9811137290</v>
          </cell>
          <cell r="D36" t="str">
            <v>D-1401, Park View City-1, Sohna Road</v>
          </cell>
          <cell r="E36" t="str">
            <v>Sohna Road 2</v>
          </cell>
          <cell r="F36" t="str">
            <v>Friday</v>
          </cell>
          <cell r="G36" t="str">
            <v>9 AM - 12 PM</v>
          </cell>
          <cell r="H36">
            <v>3750</v>
          </cell>
          <cell r="I36">
            <v>937.5</v>
          </cell>
          <cell r="J36" t="str">
            <v>Savor</v>
          </cell>
          <cell r="K36" t="str">
            <v>Mixed Flowers// Upgrade to Elation (30/03) Skip 3 weeks (13/06) Skip 2 weeks (21/12) Upgrade ti savor (23/02) Skip 1 week (16/04) Skip 1 week (20/06) Hold today (12/09) Skip 1 week (02/10) Skip 1 week (29/12) Skip 1 week (28/03) Skip 1 week (18/06)</v>
          </cell>
          <cell r="N36" t="str">
            <v>3  del of this cycle   -  0-cycles pmnt   Completed - Collect 0</v>
          </cell>
          <cell r="O36" t="str">
            <v>Y Asiatic ( 15 inch ) 4 P n W Glad ( 14 inch ) 21   2 Limonium + FF aschet</v>
          </cell>
          <cell r="P36" t="str">
            <v>P n W Eustoma ( 14 Inch ) 4 P n W Car ( 14 Inch ) 21   2 Gypsola + FF Sachet</v>
          </cell>
          <cell r="Q36" t="str">
            <v>Sunflower ( 12 Inch ) 5 Mix Alstroemeria ( 12 Inch ) 20   2 Limonium + FF Sachet</v>
          </cell>
          <cell r="R36" t="str">
            <v>P n Y Spray Daisy ( 14 Inch ) 5 P n W Glad ( 14 Inch ) 21   2 Gypsola + FF Sachet</v>
          </cell>
          <cell r="S36" t="e">
            <v>#N/A</v>
          </cell>
          <cell r="T36" t="str">
            <v xml:space="preserve">P Asiatic 4 Pur Eustoma ( 12 Inch ) 21   2 Limonium </v>
          </cell>
        </row>
        <row r="37">
          <cell r="A37">
            <v>2083</v>
          </cell>
          <cell r="B37" t="str">
            <v>Neeraj Rathore</v>
          </cell>
          <cell r="C37">
            <v>9810570666</v>
          </cell>
          <cell r="D37" t="str">
            <v>A-1302, PalM Drive, Sec 66</v>
          </cell>
          <cell r="E37" t="str">
            <v>Badshahpur</v>
          </cell>
          <cell r="F37" t="str">
            <v>Friday</v>
          </cell>
          <cell r="G37" t="str">
            <v>9 AM - 12 PM</v>
          </cell>
          <cell r="H37">
            <v>2300</v>
          </cell>
          <cell r="I37">
            <v>287.5</v>
          </cell>
          <cell r="J37" t="str">
            <v>Felicity</v>
          </cell>
          <cell r="K37"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37" t="str">
            <v>GERBERA  n BOP</v>
          </cell>
          <cell r="M37" t="str">
            <v>One Kind (30/01)  Rajni next (18/02)</v>
          </cell>
          <cell r="N37" t="str">
            <v>2  del of this cycle   -  1-cycles pmnt   Pending - Collect 2300</v>
          </cell>
          <cell r="O37" t="str">
            <v>R n W Car ( 14 inch ) 32     2 Gypsola + FF Sachet</v>
          </cell>
          <cell r="P37" t="str">
            <v>R n W Car ( 14 Inch ) 32     2 Limonium + Ff Sachet</v>
          </cell>
          <cell r="Q37" t="str">
            <v xml:space="preserve">P Asiatic ( 14 Inch ) 6     2 Gypsola </v>
          </cell>
          <cell r="R37" t="str">
            <v>P n W Glad ( 14 Inch ) 32     2 Limonium</v>
          </cell>
          <cell r="S37" t="e">
            <v>#N/A</v>
          </cell>
          <cell r="T37" t="str">
            <v>P n Y Spray Daisy ( 14 Inch ) 4     FF sachet + Grass</v>
          </cell>
        </row>
        <row r="38">
          <cell r="A38">
            <v>3077</v>
          </cell>
          <cell r="B38" t="str">
            <v>Shweta Katiyar</v>
          </cell>
          <cell r="C38">
            <v>9999435065</v>
          </cell>
          <cell r="D38" t="str">
            <v>G-122, DLF Primus, Sec 82 A</v>
          </cell>
          <cell r="E38" t="str">
            <v>Manesar</v>
          </cell>
          <cell r="F38" t="str">
            <v>Friday</v>
          </cell>
          <cell r="G38" t="str">
            <v>4 PM to 7 PM</v>
          </cell>
          <cell r="H38">
            <v>1950</v>
          </cell>
          <cell r="I38">
            <v>487.5</v>
          </cell>
          <cell r="J38" t="str">
            <v>Joy</v>
          </cell>
          <cell r="K38" t="str">
            <v>No Eustoma// Skip tom (31/12/25) Replacement of guldawari tom (16/01)</v>
          </cell>
          <cell r="L38" t="str">
            <v>Eustoma</v>
          </cell>
          <cell r="N38" t="str">
            <v>1  del of this cycle   -  1-cycles pmnt   Pending - Collect 1950</v>
          </cell>
          <cell r="O38" t="str">
            <v>Sunflower ( 15 inch ) 3 P n W Glad ( 14 inch ) 11   Grass</v>
          </cell>
          <cell r="P38" t="str">
            <v>P Asiatic ( 15 Inch ) 2 P n W Car ( 14 Inch ) 11   Grass</v>
          </cell>
          <cell r="Q38" t="str">
            <v>Pur Eustom ( 14 Inch ) 2 Mix Alstroemeria ( 12 Inch ) 11   FF Sachet + Grass</v>
          </cell>
          <cell r="R38" t="str">
            <v>P n Y Spray Daisy ( 14 Inch ) 4 P n W Glad ( 14 Inch ) 11   FF Sachet + Grass</v>
          </cell>
          <cell r="S38" t="str">
            <v>Eustoma  2 Pur n P Car ( 14 Inch ) 11   FF sachet + Grass</v>
          </cell>
          <cell r="T38" t="str">
            <v>Sunflower ( 12 Inch ) 3 Alstomeria( 12 Inch ) 11   FF Sachet + Grass</v>
          </cell>
        </row>
        <row r="39">
          <cell r="A39">
            <v>953</v>
          </cell>
          <cell r="B39" t="str">
            <v>Nidhi Bansal</v>
          </cell>
          <cell r="C39">
            <v>9818647402</v>
          </cell>
          <cell r="D39" t="str">
            <v>03, Tatvam Villa's,Sector 48</v>
          </cell>
          <cell r="E39" t="str">
            <v>Sohna Road 2</v>
          </cell>
          <cell r="F39" t="str">
            <v>Friday</v>
          </cell>
          <cell r="G39" t="str">
            <v>9 AM - 12 PM</v>
          </cell>
          <cell r="H39">
            <v>2750</v>
          </cell>
          <cell r="I39">
            <v>687.5</v>
          </cell>
          <cell r="J39" t="str">
            <v>Elation</v>
          </cell>
          <cell r="K39"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39" t="str">
            <v>Long Stems (30/10)</v>
          </cell>
          <cell r="N39" t="str">
            <v>1  del of this cycle   -  1-cycles pmnt   Pending - Collect 2750</v>
          </cell>
          <cell r="O39" t="str">
            <v>W Eustoma ( 14 inch ) 4 P n W Car ( 14 inch ) 15   2 Gypsola + FF Sachet</v>
          </cell>
          <cell r="P39" t="str">
            <v>O Asiatic ( 15 Inch ) 3 P n W Glad ( 14 Inch ) 16   2 Limonium</v>
          </cell>
          <cell r="Q39" t="str">
            <v>P n Y Spray Daisy ( 14 Inch ) 5 Mix Alstroemeria ( 12 Inch ) 16   2 Gypsola + FF Sachet</v>
          </cell>
          <cell r="R39" t="str">
            <v>Sunflower ( 12 Inch ) 4 Pur n P Car ( 14 Inch ) 16   2 Limonium + FF sachet</v>
          </cell>
          <cell r="S39" t="str">
            <v>P Eustoma ( 12 Inch ) 4 P n W Glad ( 14 Inch ) 16   FF sachet + Grass</v>
          </cell>
          <cell r="T39" t="str">
            <v>P Asiatic ( 14 Inch ) 3 Alstomeria( 12 Inch ) 15   2 Gypaols</v>
          </cell>
        </row>
        <row r="40">
          <cell r="A40">
            <v>2404</v>
          </cell>
          <cell r="B40" t="str">
            <v>Amitt Nenwani</v>
          </cell>
          <cell r="C40">
            <v>9810444444</v>
          </cell>
          <cell r="D40" t="str">
            <v>Villa 21, Z Block, Tatvam Villas</v>
          </cell>
          <cell r="E40" t="str">
            <v>Sohna Road 2</v>
          </cell>
          <cell r="F40" t="str">
            <v>Friday</v>
          </cell>
          <cell r="G40" t="str">
            <v>9 AM - 12 PM</v>
          </cell>
          <cell r="H40">
            <v>6350</v>
          </cell>
          <cell r="I40">
            <v>793.75</v>
          </cell>
          <cell r="J40" t="str">
            <v>Elegance</v>
          </cell>
          <cell r="K40" t="str">
            <v>Friday n Monday//Mixed // Skip 1 week (17/04) Skip this week (12/11) Skip this week and send on 03rd Jan (29/12) Skip tom (15/03) Skip 1 week (26/03)</v>
          </cell>
          <cell r="M40" t="str">
            <v>Mixed Flowers// Change to enchantement from next cycle (12/1)</v>
          </cell>
          <cell r="N40" t="str">
            <v>2  del of this cycle   -  0-cycles pmnt   In Process - Collect 0</v>
          </cell>
          <cell r="O40" t="str">
            <v>Y Asiatic ( 15 inch ) 3 B Orchid  4 Glad 12 3 Areca palm + 3 Limonium</v>
          </cell>
          <cell r="P40" t="str">
            <v>P Asiatic ( 15 Inch ) 3 P n Y Spray Daosy ( 15 Inch ) 4 P n W Car ( 14 Inch ) 12 3 Areca Palm + 3 Limonium</v>
          </cell>
          <cell r="Q40" t="str">
            <v>W Asiatic ( 14 Inch ) 3 G Orchid  4 Rajni ( 14 Inch ) 12 Grass</v>
          </cell>
          <cell r="R40" t="str">
            <v>Y Asiatic ( 14 Inch ) 4 BOP ( 15 Inch ) 3 Pur n P Car ( 14 Inch ) 12 3 Areca palm + 3 Gypsola</v>
          </cell>
          <cell r="S40" t="str">
            <v>O Asiatic ( 14 Inch ) 3 B Orchid  4 P n W Glad ( 14 Inch ) 12 Grass</v>
          </cell>
          <cell r="T40" t="str">
            <v>P Asiatic ( 14 Inch ) 3 Pur Eustoma ( 12 Inch ) 3 Rajni ( 14 Inch ) 12 3 Areca Palm + 3 Gypsola</v>
          </cell>
        </row>
        <row r="41">
          <cell r="A41">
            <v>1624</v>
          </cell>
          <cell r="B41" t="str">
            <v>Smriti Maggon</v>
          </cell>
          <cell r="C41">
            <v>9811081666</v>
          </cell>
          <cell r="D41" t="str">
            <v>B-901, Emaar Palm Drive, Sec 66</v>
          </cell>
          <cell r="E41" t="str">
            <v>Badshahpur</v>
          </cell>
          <cell r="F41" t="str">
            <v>Friday</v>
          </cell>
          <cell r="G41" t="str">
            <v>9 AM - 12 PM</v>
          </cell>
          <cell r="H41">
            <v>1450</v>
          </cell>
          <cell r="I41">
            <v>362.5</v>
          </cell>
          <cell r="J41" t="str">
            <v>Bliss</v>
          </cell>
          <cell r="K41" t="str">
            <v>Rose//Car//Rajni//BOP(08/02) Holy Change(16/03) 8 Rajnigandha Next (12/10) Hold due to non payment (03/10) Hold due to non payment (16/01) Hold due to non payment (23/01)</v>
          </cell>
          <cell r="N41" t="str">
            <v>4  del of this cycle   -  0-cycles pmnt   Completed - Collect 0</v>
          </cell>
          <cell r="O41" t="str">
            <v>Sunflower ( 15 inch ) 4     Grass</v>
          </cell>
          <cell r="P41" t="str">
            <v>O Asiatic ( 15 Inch ) 3     Grass</v>
          </cell>
          <cell r="Q41" t="str">
            <v>P n Y Spray Daisy ( 14 Inch ) 5     FF Sachet + Grass</v>
          </cell>
          <cell r="R41" t="e">
            <v>#N/A</v>
          </cell>
          <cell r="S41" t="str">
            <v xml:space="preserve">P n W Glad ( 14 Inch ) 16    Grass </v>
          </cell>
          <cell r="T41" t="str">
            <v>Pur n P Car ( 14 Inch ) 16     FF sachet + Grass</v>
          </cell>
        </row>
        <row r="42">
          <cell r="A42">
            <v>588</v>
          </cell>
          <cell r="B42" t="str">
            <v>Akiksha Mohan</v>
          </cell>
          <cell r="C42">
            <v>9810145564</v>
          </cell>
          <cell r="D42" t="str">
            <v>D-601, Emaar Plam Drive</v>
          </cell>
          <cell r="E42" t="str">
            <v>Badshahpur</v>
          </cell>
          <cell r="F42" t="str">
            <v>Friday</v>
          </cell>
          <cell r="G42" t="str">
            <v>9 AM - 12 PM</v>
          </cell>
          <cell r="H42">
            <v>1600</v>
          </cell>
          <cell r="I42">
            <v>200</v>
          </cell>
          <cell r="J42" t="str">
            <v>Bloom</v>
          </cell>
          <cell r="K42"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42" t="str">
            <v>GULDAWARI</v>
          </cell>
          <cell r="N42" t="str">
            <v>4  del of this cycle   -  0-cycles pmnt   Completed - Collect 0</v>
          </cell>
          <cell r="O42" t="str">
            <v>P n W Glad ( 16 Inch) 7     Grass</v>
          </cell>
          <cell r="P42" t="str">
            <v xml:space="preserve">Mix Carnation 7     </v>
          </cell>
          <cell r="Q42" t="str">
            <v>Sunflower ( 14 Inch ) 2     FF Sachet + Grass</v>
          </cell>
          <cell r="R42" t="str">
            <v>Mix Alstroemeria ( 12 Inch ) 7     FF Sachet + Grass</v>
          </cell>
          <cell r="S42" t="str">
            <v>P n W Glad ( 14 Inch ) 7     Grass</v>
          </cell>
          <cell r="T42" t="str">
            <v>Sunflower ( 12 Inch ) 2     FF sachet + Grass</v>
          </cell>
        </row>
        <row r="43">
          <cell r="A43">
            <v>2126</v>
          </cell>
          <cell r="B43" t="str">
            <v>Nidhi Sehgal</v>
          </cell>
          <cell r="C43">
            <v>9620110010</v>
          </cell>
          <cell r="D43" t="str">
            <v>D-23 Flat No 0002 Victory Valley Sec 67</v>
          </cell>
          <cell r="E43" t="str">
            <v>Badshahpur</v>
          </cell>
          <cell r="F43" t="str">
            <v>Friday</v>
          </cell>
          <cell r="G43" t="str">
            <v>9 AM - 12 PM</v>
          </cell>
          <cell r="H43">
            <v>2750</v>
          </cell>
          <cell r="I43">
            <v>687.5</v>
          </cell>
          <cell r="J43" t="str">
            <v>Elation</v>
          </cell>
          <cell r="K43" t="str">
            <v>Mixed Flowers // Always FF (15/05) Hold till 15th June (19/05) FF with all Flowers (12/06)</v>
          </cell>
          <cell r="M43" t="str">
            <v>Mixed Flowers and always FF</v>
          </cell>
          <cell r="N43" t="str">
            <v>4  del of this cycle   -  0-cycles pmnt   Completed - Collect 0</v>
          </cell>
          <cell r="O43" t="e">
            <v>#N/A</v>
          </cell>
          <cell r="P43" t="e">
            <v>#N/A</v>
          </cell>
          <cell r="Q43" t="e">
            <v>#N/A</v>
          </cell>
          <cell r="R43" t="str">
            <v>O Asiatic 3 Pur n P Car ( 14 Inch ) 16   2 Limonium + FF Sachet</v>
          </cell>
          <cell r="S43" t="str">
            <v>P Eustoma ( 12 Inch ) 4 P n W Glad ( 14 Inch ) 16  FF sachet + Grass FF sachet + Grass</v>
          </cell>
          <cell r="T43" t="str">
            <v>P n Y Spray Daisy ( 14 Inch ) 5 Mix Carnation  ( 12 Inch ) 15   FF Sachet + Grass</v>
          </cell>
        </row>
        <row r="44">
          <cell r="A44">
            <v>628</v>
          </cell>
          <cell r="B44" t="str">
            <v>Parul Hazel</v>
          </cell>
          <cell r="C44">
            <v>9873675242</v>
          </cell>
          <cell r="D44" t="str">
            <v>E-1202, Palm Drive</v>
          </cell>
          <cell r="E44" t="str">
            <v>Badshahpur</v>
          </cell>
          <cell r="F44" t="str">
            <v>Friday</v>
          </cell>
          <cell r="G44" t="str">
            <v>9 AM - 12 PM</v>
          </cell>
          <cell r="H44">
            <v>1450</v>
          </cell>
          <cell r="I44">
            <v>362.5</v>
          </cell>
          <cell r="J44" t="str">
            <v>Bliss</v>
          </cell>
          <cell r="K44"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44" t="str">
            <v>2  del of this cycle   -  1-cycles pmnt   Pending - Collect 1400</v>
          </cell>
          <cell r="O44" t="str">
            <v>P n W Glad ( 16 Inch) 16     Grass</v>
          </cell>
          <cell r="P44" t="str">
            <v>O Asiatic ( 15 Inch ) 3     Grass</v>
          </cell>
          <cell r="Q44" t="str">
            <v>P n W Glad ( 14 Inch ) 16     Grass</v>
          </cell>
          <cell r="R44" t="str">
            <v>P n Y Spray Daisy ( 14 Inch ) 5     FF Sachet + Grass</v>
          </cell>
          <cell r="S44" t="str">
            <v xml:space="preserve">R n P Car ( 14 Inch ) 16    FF Sachet + Grass </v>
          </cell>
          <cell r="T44" t="str">
            <v>Pur Eustoma ( 12 Inch ) 3     FF sachet + Grass</v>
          </cell>
        </row>
        <row r="45">
          <cell r="A45">
            <v>2259</v>
          </cell>
          <cell r="B45" t="str">
            <v>Shivani Kapoor</v>
          </cell>
          <cell r="C45">
            <v>9818659010</v>
          </cell>
          <cell r="D45" t="str">
            <v>94, Tattvam Villa</v>
          </cell>
          <cell r="E45" t="str">
            <v>Sohna Road 2</v>
          </cell>
          <cell r="F45" t="str">
            <v>Monday</v>
          </cell>
          <cell r="G45" t="str">
            <v>9 AM - 12 PM</v>
          </cell>
          <cell r="H45">
            <v>3950</v>
          </cell>
          <cell r="I45">
            <v>493.75</v>
          </cell>
          <cell r="J45" t="str">
            <v>Grace</v>
          </cell>
          <cell r="K45" t="str">
            <v>Monday n Friday// Payment from Sanjeev K (05/05) Skip 1 week (26/07) Skip 1 week (04/11) Skip this Friday (26/12) Skip 1 week (01/01/25) Skip tom (02/02) No delivery on Monday (01/03) Skip 14th n send on 17th (11/03) Now start from 7th July (24/06)</v>
          </cell>
          <cell r="M45" t="str">
            <v>No White</v>
          </cell>
          <cell r="N45" t="str">
            <v>1  del of this cycle   -  1-cycles pmnt   Pending - Collect 3950</v>
          </cell>
          <cell r="O45" t="str">
            <v>P n W Glad ( 16 Inch) 20     Grass</v>
          </cell>
          <cell r="P45" t="str">
            <v>P Oriental ( 15 Inch ) 3     Grass</v>
          </cell>
          <cell r="Q45" t="str">
            <v>Pur n P Eustoma ( 14 Inch ) 4     FF Sachet + Grass</v>
          </cell>
          <cell r="R45" t="str">
            <v>Pur n P Car ( 14 Inch ) 20     FF Sachet + Grass</v>
          </cell>
          <cell r="S45" t="str">
            <v>P n W Glad ( 14 Inch ) 20     Grass</v>
          </cell>
          <cell r="T45" t="str">
            <v>G n Y Spray Daisy ( 14 Inch ) 6     FF sachet + Grass</v>
          </cell>
        </row>
        <row r="46">
          <cell r="A46">
            <v>3382</v>
          </cell>
          <cell r="B46" t="str">
            <v>Bhavna Jain</v>
          </cell>
          <cell r="C46">
            <v>8800691541</v>
          </cell>
          <cell r="D46" t="str">
            <v>D-15, Ireo Victory Valley, Sec 67</v>
          </cell>
          <cell r="E46" t="str">
            <v>Badshahpur</v>
          </cell>
          <cell r="F46" t="str">
            <v>Friday</v>
          </cell>
          <cell r="G46" t="str">
            <v>9:30 Am to 2 PM</v>
          </cell>
          <cell r="H46">
            <v>1450</v>
          </cell>
          <cell r="I46">
            <v>362.5</v>
          </cell>
          <cell r="J46" t="str">
            <v>Bliss</v>
          </cell>
          <cell r="N46" t="str">
            <v>2  del of this cycle   -  0-cycles pmnt   Completed - Collect 0</v>
          </cell>
          <cell r="O46" t="e">
            <v>#N/A</v>
          </cell>
          <cell r="P46" t="e">
            <v>#N/A</v>
          </cell>
          <cell r="Q46" t="e">
            <v>#N/A</v>
          </cell>
          <cell r="R46" t="e">
            <v>#N/A</v>
          </cell>
          <cell r="S46" t="str">
            <v xml:space="preserve">R n P Car ( 14 Inch ) 16    FF Sachet + Grass </v>
          </cell>
          <cell r="T46" t="str">
            <v>O Asiatic ( 14 Inch ) 3     Grass</v>
          </cell>
        </row>
        <row r="47">
          <cell r="A47">
            <v>2454</v>
          </cell>
          <cell r="B47" t="str">
            <v>Vipin</v>
          </cell>
          <cell r="C47" t="str">
            <v>9555977401 // 9654829329</v>
          </cell>
          <cell r="D47" t="str">
            <v>Villa / VB-5, Tata Primanti, Sec 72</v>
          </cell>
          <cell r="E47" t="str">
            <v>Badshahpur</v>
          </cell>
          <cell r="F47" t="str">
            <v>Friday</v>
          </cell>
          <cell r="G47" t="str">
            <v>9 AM - 12 PM</v>
          </cell>
          <cell r="H47">
            <v>1950</v>
          </cell>
          <cell r="I47">
            <v>487.5</v>
          </cell>
          <cell r="J47" t="str">
            <v>Joy</v>
          </cell>
          <cell r="K47" t="str">
            <v>Send in evening slot tom (11/03) Paytm From Hina Kapoor (06/04) Send replacement Tom (17/05) Send replacement of W Eustoma (17/05) Paytm from Tarun Kumar (15/95) Replacement tom (16/05)</v>
          </cell>
          <cell r="N47" t="str">
            <v>1  del of this cycle   -  1-cycles pmnt   Pending - Collect 1950</v>
          </cell>
          <cell r="O47" t="str">
            <v>W Eustoma ( 14 inch ) 2 P n W Glad ( 14 inch ) 11   FF Sachet + Grass</v>
          </cell>
          <cell r="P47" t="str">
            <v>O Asiatic ( 15 Inch ) 2 P n W Car ( 14 Inch ) 11   Grass</v>
          </cell>
          <cell r="Q47" t="str">
            <v>P n Y Spray Daisy ( 14 Inch ) 4 Mix Alstroemeria ( 12 Inch ) 11   FF Sachet + Grass</v>
          </cell>
          <cell r="R47" t="str">
            <v>Sunflower ( 12 Inch ) 3 P n W Glad ( 14 Inch ) 11   FF Sachet + Grass</v>
          </cell>
          <cell r="S47" t="str">
            <v>P Eustoma ( 12 Inch ) 2 Pur n P Car ( 14 Inch ) 11   FF sachet + Grass</v>
          </cell>
          <cell r="T47" t="str">
            <v>P Asiatic ( 14 Inch ) 2 Glad ( 14 Inch ) 11   Grass</v>
          </cell>
        </row>
        <row r="48">
          <cell r="A48">
            <v>3068</v>
          </cell>
          <cell r="B48" t="str">
            <v>Hareet Kohli</v>
          </cell>
          <cell r="C48">
            <v>9897974815</v>
          </cell>
          <cell r="D48" t="str">
            <v>T-7/1401, tata Primanti, Sec 72</v>
          </cell>
          <cell r="E48" t="str">
            <v>Badshahpur</v>
          </cell>
          <cell r="F48" t="str">
            <v>Friday</v>
          </cell>
          <cell r="G48" t="str">
            <v>9 AM - 12 PM</v>
          </cell>
          <cell r="H48">
            <v>999</v>
          </cell>
          <cell r="I48">
            <v>249.75</v>
          </cell>
          <cell r="J48" t="str">
            <v>Collection Only</v>
          </cell>
          <cell r="K48" t="str">
            <v>One Del Sent today -- don’t send on 28th (26/11) Returned today (10/04) Send one del today (13/04) HDTNP (05/06) Collect paynt on 26th of 2 deliveries (12/06)</v>
          </cell>
          <cell r="N48" t="str">
            <v>3  del of this cycle   -  1-cycles pmnt   Pending - Collect 994</v>
          </cell>
          <cell r="O48" t="str">
            <v>Y Spray Daisy ( 15 inch ) 3 P n W Glad ( 14 inch ) 9   FF Sachet + Grass</v>
          </cell>
          <cell r="P48" t="str">
            <v>Mix Alstroemeria ( 12 Inch ) 9     FF Sachet + Grass</v>
          </cell>
          <cell r="Q48" t="e">
            <v>#N/A</v>
          </cell>
          <cell r="R48" t="e">
            <v>#N/A</v>
          </cell>
          <cell r="S48" t="e">
            <v>#N/A</v>
          </cell>
          <cell r="T48" t="str">
            <v xml:space="preserve">Collect Rs 500 Collect Rs 500     </v>
          </cell>
        </row>
        <row r="49">
          <cell r="A49">
            <v>815</v>
          </cell>
          <cell r="B49" t="str">
            <v>Surath Singh</v>
          </cell>
          <cell r="C49">
            <v>9717166559</v>
          </cell>
          <cell r="D49" t="str">
            <v>B-2205, Ireo Victory Valley,Sec-67</v>
          </cell>
          <cell r="E49" t="str">
            <v>Badshahpur</v>
          </cell>
          <cell r="F49" t="str">
            <v>Friday</v>
          </cell>
          <cell r="G49" t="str">
            <v>9 AM - 12 PM</v>
          </cell>
          <cell r="H49">
            <v>2750</v>
          </cell>
          <cell r="I49">
            <v>687.5</v>
          </cell>
          <cell r="J49" t="str">
            <v>Elation</v>
          </cell>
          <cell r="K49"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49" t="str">
            <v>3  del of this cycle   -  0-cycles pmnt   Completed - Collect 0</v>
          </cell>
          <cell r="O49" t="str">
            <v>R n W Car ( 14 inch ) 32     2 Gypsola + FF Sachet</v>
          </cell>
          <cell r="P49" t="str">
            <v xml:space="preserve">Mix Spray Daisy 10     2 Luminium +FF </v>
          </cell>
          <cell r="Q49" t="str">
            <v xml:space="preserve">P Asiatic ( 14 Inch ) 6     2 Gypsola </v>
          </cell>
          <cell r="R49" t="str">
            <v>P n W Glad ( 14 Inch ) 32     2 Limonium</v>
          </cell>
          <cell r="S49" t="str">
            <v>P n Pur Eustoma ( 12 Inch ) 6     FF sachet + Grass</v>
          </cell>
          <cell r="T49" t="str">
            <v>P n W Car ( 14 Inch ) 32     2 Gypsola + FF Sachet</v>
          </cell>
        </row>
        <row r="50">
          <cell r="A50">
            <v>43</v>
          </cell>
          <cell r="B50" t="str">
            <v>Ms. Arpita Bhargava</v>
          </cell>
          <cell r="C50">
            <v>9953515520</v>
          </cell>
          <cell r="D50" t="str">
            <v>T-4/1701,Tata Primanty,Sector-72</v>
          </cell>
          <cell r="E50" t="str">
            <v>Sohna Road 2</v>
          </cell>
          <cell r="F50" t="str">
            <v>Friday</v>
          </cell>
          <cell r="G50" t="str">
            <v>9 AM - 12 PM</v>
          </cell>
          <cell r="H50">
            <v>999</v>
          </cell>
          <cell r="I50">
            <v>249.75</v>
          </cell>
          <cell r="J50" t="str">
            <v>Delight</v>
          </cell>
          <cell r="K50"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50" t="str">
            <v>GERBERA n ROSE</v>
          </cell>
          <cell r="N50" t="str">
            <v>4  del of this cycle   -  0-cycles pmnt   CompletedNO COLLECTION-we have extra money - Collect -999</v>
          </cell>
          <cell r="O50" t="str">
            <v>Y Spray Daisy ( 15 inch ) 3 Sunflower ( 15 inch ) 2   FF Sachet + Grass</v>
          </cell>
          <cell r="P50" t="str">
            <v>P Asiatic ( 15 Inch ) 2     Grass</v>
          </cell>
          <cell r="Q50" t="str">
            <v>P n W Car ( 14 Inch ) 9     FF Sachet + Grass</v>
          </cell>
          <cell r="R50" t="str">
            <v>Mix Alstroemeria ( 12 Inch ) 9     FF Sachet + Grass</v>
          </cell>
          <cell r="S50" t="str">
            <v xml:space="preserve">P n W Glad ( 14 Inch ) 9    Grass </v>
          </cell>
          <cell r="T50" t="str">
            <v>Y Spray Daisy ( 14 Inch ) 3     FF aschet + Grass</v>
          </cell>
        </row>
        <row r="51">
          <cell r="A51">
            <v>2089</v>
          </cell>
          <cell r="B51" t="str">
            <v>Arshdeep Kaur</v>
          </cell>
          <cell r="C51">
            <v>8369995614</v>
          </cell>
          <cell r="D51" t="str">
            <v>B-3103, Ireo Victory Valley, Sec 67</v>
          </cell>
          <cell r="E51" t="str">
            <v>Badshahpur</v>
          </cell>
          <cell r="F51" t="str">
            <v>Friday</v>
          </cell>
          <cell r="G51" t="str">
            <v>9 AM - 12 PM</v>
          </cell>
          <cell r="H51">
            <v>1450</v>
          </cell>
          <cell r="I51">
            <v>362.5</v>
          </cell>
          <cell r="J51" t="str">
            <v>Bliss</v>
          </cell>
          <cell r="K51" t="str">
            <v>NO Rose (06/04) Send replacement tom (04/06) Skip next Friday delivery (23/09) Skip 1 week (28/09) Skip 1 week (27/10) Paytm From Karandeep Harjit Singh (26/01) Skip 1 week (28/03) Skip 1 week (18/04) Skip tom (07/05)  Skip 2 week (06/06)</v>
          </cell>
          <cell r="L51" t="str">
            <v>ROSE</v>
          </cell>
          <cell r="N51" t="str">
            <v>3  del of this cycle   -  0-cycles pmnt   Completed - Collect 0</v>
          </cell>
          <cell r="O51" t="str">
            <v>R n W Car ( 14 inch ) 16     FF Sachet + Grass</v>
          </cell>
          <cell r="P51" t="str">
            <v>O Asiatic ( 15 Inch ) 3     Grass</v>
          </cell>
          <cell r="Q51" t="str">
            <v>P n W Glad ( 14 Inch ) 16     Grass</v>
          </cell>
          <cell r="R51" t="e">
            <v>#N/A</v>
          </cell>
          <cell r="S51" t="e">
            <v>#N/A</v>
          </cell>
          <cell r="T51" t="str">
            <v>Mix Alstroemeria 16     FF sachet + Grass</v>
          </cell>
        </row>
        <row r="52">
          <cell r="A52">
            <v>467</v>
          </cell>
          <cell r="B52" t="str">
            <v>Mamta Wassan -- From Dilip Puri</v>
          </cell>
          <cell r="C52">
            <v>9867722349</v>
          </cell>
          <cell r="D52" t="str">
            <v>1/9, Hamelia Street, Vatika City</v>
          </cell>
          <cell r="E52" t="str">
            <v>Sohna Road 1</v>
          </cell>
          <cell r="F52" t="str">
            <v>Friday</v>
          </cell>
          <cell r="G52" t="str">
            <v>4 Pm to 7 PM</v>
          </cell>
          <cell r="H52">
            <v>1450</v>
          </cell>
          <cell r="I52">
            <v>362.5</v>
          </cell>
          <cell r="J52" t="str">
            <v>Bliss</v>
          </cell>
          <cell r="K52"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52" t="str">
            <v>4  del of this cycle   -  0-cycles pmnt   Completed - Collect 0</v>
          </cell>
          <cell r="O52" t="e">
            <v>#N/A</v>
          </cell>
          <cell r="P52" t="e">
            <v>#N/A</v>
          </cell>
          <cell r="Q52" t="str">
            <v>Mix Alstroemeria ( 12 Inch ) 16     FF Sachet + Grass</v>
          </cell>
          <cell r="R52" t="e">
            <v>#N/A</v>
          </cell>
          <cell r="S52" t="str">
            <v xml:space="preserve">O Asiatic ( 14 Inch ) 3    Grass </v>
          </cell>
          <cell r="T52" t="str">
            <v>P n W Glad ( 14 Inch ) 16     Grass</v>
          </cell>
        </row>
        <row r="53">
          <cell r="A53">
            <v>1389</v>
          </cell>
          <cell r="B53" t="str">
            <v>Revathi-- After 5 PM</v>
          </cell>
          <cell r="C53">
            <v>9811998878</v>
          </cell>
          <cell r="D53" t="str">
            <v>A-1201, The Emaar Palm Drive</v>
          </cell>
          <cell r="E53" t="str">
            <v>Badshahpur</v>
          </cell>
          <cell r="F53" t="str">
            <v>Friday</v>
          </cell>
          <cell r="G53" t="str">
            <v>4 PM to 7PM</v>
          </cell>
          <cell r="H53">
            <v>3850</v>
          </cell>
          <cell r="I53">
            <v>481.25</v>
          </cell>
          <cell r="J53" t="str">
            <v>Grace</v>
          </cell>
          <cell r="K53"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53" t="str">
            <v>Gerbera n ORCHID</v>
          </cell>
          <cell r="N53" t="str">
            <v>8  del of this cycle   -  0-cycles pmnt   Completed - Collect 0</v>
          </cell>
          <cell r="O53" t="str">
            <v>P n W Glad ( 16 Inch) 20     Grass</v>
          </cell>
          <cell r="P53" t="str">
            <v>Sunflower ( 14 Inch ) 5     Grass</v>
          </cell>
          <cell r="Q53" t="str">
            <v>Pur n P Eustoma ( 14 Inch ) 4     FF Sachet + Grass</v>
          </cell>
          <cell r="R53" t="str">
            <v>Rajni ( 14 Inch ) 20     Grass</v>
          </cell>
          <cell r="S53" t="str">
            <v>P Asiatic ( 14 Inch ) 4     Grass</v>
          </cell>
          <cell r="T53" t="str">
            <v>P n W Glad ( 14 Inch ) 20     Grass</v>
          </cell>
        </row>
        <row r="54">
          <cell r="A54">
            <v>3354</v>
          </cell>
          <cell r="B54" t="str">
            <v>Radha Bhatnagar</v>
          </cell>
          <cell r="C54">
            <v>9971944440</v>
          </cell>
          <cell r="D54" t="str">
            <v>D-35, 2nd Floor, Vipul World</v>
          </cell>
          <cell r="E54" t="str">
            <v>Sohna Road 2</v>
          </cell>
          <cell r="F54" t="str">
            <v>Friday</v>
          </cell>
          <cell r="G54" t="str">
            <v>9 AM - 12 PM</v>
          </cell>
          <cell r="H54">
            <v>1450</v>
          </cell>
          <cell r="I54">
            <v>362.5</v>
          </cell>
          <cell r="J54" t="str">
            <v>Bliss</v>
          </cell>
          <cell r="N54" t="str">
            <v>4  del of this cycle   -  0-cycles pmnt   Completed - Collect 0</v>
          </cell>
          <cell r="O54" t="str">
            <v>P n W Glad ( 16 Inch) 16     Grass</v>
          </cell>
          <cell r="P54" t="str">
            <v>O Asiatic ( 15 Inch ) 3     Grass</v>
          </cell>
          <cell r="Q54" t="str">
            <v>Mix Alstroemeria ( 12 Inch ) 16     FF Sachet + Grass</v>
          </cell>
          <cell r="R54" t="str">
            <v>R n W Car ( 14 Inch ) 16     FF Sachet + Grass</v>
          </cell>
          <cell r="S54" t="str">
            <v xml:space="preserve">Pur Eustom ( 12 Inch ) 3    FF Sachet + Grass </v>
          </cell>
          <cell r="T54" t="str">
            <v>P n W Glad ( 14 Inch ) 16     Grass</v>
          </cell>
        </row>
        <row r="55">
          <cell r="A55">
            <v>3334</v>
          </cell>
          <cell r="B55" t="str">
            <v>Sachi Poudiyal</v>
          </cell>
          <cell r="C55">
            <v>8420453178</v>
          </cell>
          <cell r="D55" t="str">
            <v>H. No. 901, Ground Floor, Sec 17 B, Next to St PBN School</v>
          </cell>
          <cell r="E55" t="str">
            <v>Old Gurgaon</v>
          </cell>
          <cell r="F55" t="str">
            <v>Friday</v>
          </cell>
          <cell r="G55" t="str">
            <v>4 PM to 7 PM</v>
          </cell>
          <cell r="H55">
            <v>1450</v>
          </cell>
          <cell r="I55">
            <v>362.5</v>
          </cell>
          <cell r="J55" t="str">
            <v>Bliss</v>
          </cell>
          <cell r="N55" t="str">
            <v>2  del of this cycle   -  0-cycles pmnt   Completed - Collect 0</v>
          </cell>
          <cell r="O55" t="str">
            <v>Rajni ( 16 inch ) 16     Grass</v>
          </cell>
          <cell r="P55" t="str">
            <v>P Asiatic ( 15 Inch ) 3     Grass</v>
          </cell>
          <cell r="Q55" t="str">
            <v>P n W Glad ( 14 Inch ) 16     Grass</v>
          </cell>
          <cell r="R55" t="str">
            <v>Pur n P Car ( 14 Inch ) 16     FF Sachet + Grass</v>
          </cell>
          <cell r="S55" t="str">
            <v xml:space="preserve">P n W Spray Daisy ( 14 Inch ) 5    FF Sachet + Grass </v>
          </cell>
          <cell r="T55" t="str">
            <v>Pur Eustoma ( 12 Inch ) 3     FF sachet + Grass</v>
          </cell>
        </row>
        <row r="56">
          <cell r="A56">
            <v>36</v>
          </cell>
          <cell r="B56" t="str">
            <v>Ms. Anubha T Agarwal</v>
          </cell>
          <cell r="C56">
            <v>9818690761</v>
          </cell>
          <cell r="D56" t="str">
            <v>D-902, Park View City-1, Sohna Road</v>
          </cell>
          <cell r="E56" t="str">
            <v>Sohna Road 2</v>
          </cell>
          <cell r="F56" t="str">
            <v>Friday</v>
          </cell>
          <cell r="G56" t="str">
            <v>4 Pm to 7 PM</v>
          </cell>
          <cell r="H56">
            <v>999</v>
          </cell>
          <cell r="I56">
            <v>249.75</v>
          </cell>
          <cell r="J56" t="str">
            <v>Delight</v>
          </cell>
          <cell r="K56"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56" t="str">
            <v>4  del of this cycle   -  0-cycles pmnt   Completed - Collect 0</v>
          </cell>
          <cell r="O56" t="str">
            <v>R n W Car( 14 inch ) 9     FF Sachet + Grass</v>
          </cell>
          <cell r="P56" t="str">
            <v>O Asiatic ( 15 Inch ) 2     Grass</v>
          </cell>
          <cell r="Q56" t="str">
            <v>Sunflower ( 12 Inch ) 2     FF Sachet + Grass</v>
          </cell>
          <cell r="R56" t="str">
            <v>P n W Glad ( 14 Inch ) 9     Grass</v>
          </cell>
          <cell r="S56" t="str">
            <v xml:space="preserve">Mix Alstroemeria ( 12 Inch ) 9    FF Sachet + Grass </v>
          </cell>
          <cell r="T56" t="str">
            <v>P n W Car ( 14 Inch ) 9     FF aschet + Grass</v>
          </cell>
        </row>
        <row r="57">
          <cell r="A57">
            <v>2708</v>
          </cell>
          <cell r="B57" t="str">
            <v>Monica Bakshi</v>
          </cell>
          <cell r="C57">
            <v>9730543073</v>
          </cell>
          <cell r="D57" t="str">
            <v>K-1005, Palm Drive</v>
          </cell>
          <cell r="E57" t="str">
            <v>Badshahpur</v>
          </cell>
          <cell r="F57" t="str">
            <v>Friday</v>
          </cell>
          <cell r="G57" t="str">
            <v>9 AM - 12 PM</v>
          </cell>
          <cell r="H57">
            <v>999</v>
          </cell>
          <cell r="I57">
            <v>249.75</v>
          </cell>
          <cell r="J57" t="str">
            <v>Delight</v>
          </cell>
          <cell r="K57" t="str">
            <v>No Gerbera (02/12)</v>
          </cell>
          <cell r="L57" t="str">
            <v xml:space="preserve">GERBERA </v>
          </cell>
          <cell r="N57" t="str">
            <v>3  del of this cycle   -  0-cycles pmnt   Completed - Collect 0</v>
          </cell>
          <cell r="O57" t="str">
            <v>P Asiatic ( 15 inch ) 3     Grass</v>
          </cell>
          <cell r="P57" t="str">
            <v>P n W Glad ( 14 Inch ) 9     Grass</v>
          </cell>
          <cell r="Q57" t="str">
            <v>Y Spray Daisy ( 14 Inch ) 3     FF Sachet + Grass</v>
          </cell>
          <cell r="R57" t="str">
            <v>Pur n P Car ( 14 Inch ) 9     FF Sachet + Grass</v>
          </cell>
          <cell r="S57" t="str">
            <v xml:space="preserve">Mix Alstroemeria ( 12 Inch ) 9    FF Sachet + Grass </v>
          </cell>
          <cell r="T57" t="str">
            <v>O Asiatic ( 14 Inch ) 2     Grass</v>
          </cell>
        </row>
        <row r="58">
          <cell r="A58">
            <v>2190</v>
          </cell>
          <cell r="B58" t="str">
            <v>Vismit Sharma</v>
          </cell>
          <cell r="C58">
            <v>9205393464</v>
          </cell>
          <cell r="D58" t="str">
            <v>R-164, DLF Ultima, Sec 81</v>
          </cell>
          <cell r="E58" t="str">
            <v>Manesar</v>
          </cell>
          <cell r="F58" t="str">
            <v>Friday</v>
          </cell>
          <cell r="G58" t="str">
            <v>4 Pm to 7 PM</v>
          </cell>
          <cell r="H58">
            <v>1950</v>
          </cell>
          <cell r="I58">
            <v>487.5</v>
          </cell>
          <cell r="J58" t="str">
            <v>Joy</v>
          </cell>
          <cell r="K58" t="str">
            <v>Skip 2 week (22/02) Skip 1 week (12/03) Skip 1 week (10/03) Skip 1 week (24/07) Skip 1 week (04/09) Skip 2 week (25/09) Hold n start from Jan (12/12)</v>
          </cell>
          <cell r="N58" t="str">
            <v>3  del of this cycle   -  0-cycles pmnt   Completed - Collect 0</v>
          </cell>
          <cell r="O58" t="str">
            <v>P n W Glad ( 14 inch ) 22     FF Sachet + Grass</v>
          </cell>
          <cell r="P58" t="str">
            <v>Y Orchid  7     FF Sachet + Grass</v>
          </cell>
          <cell r="Q58" t="str">
            <v>P n Y Spray Daisy ( 14 Inch ) 7     FF Sachet + Grass</v>
          </cell>
          <cell r="R58" t="str">
            <v>Pur n P Car ( 14 Inch ) 22     FF Sachet + Grass</v>
          </cell>
          <cell r="S58" t="str">
            <v>P Asiatic ( 14 Inch ) 4     Grass</v>
          </cell>
          <cell r="T58" t="str">
            <v>P n W Glad ( 14 Inch ) 22     Grass</v>
          </cell>
        </row>
        <row r="59">
          <cell r="A59">
            <v>3337</v>
          </cell>
          <cell r="B59" t="str">
            <v>Shweta Bajpai</v>
          </cell>
          <cell r="C59">
            <v>9205184535</v>
          </cell>
          <cell r="D59" t="str">
            <v>288, Tatvam Villa</v>
          </cell>
          <cell r="E59" t="str">
            <v>Sohna Road 2</v>
          </cell>
          <cell r="F59" t="str">
            <v>Friday</v>
          </cell>
          <cell r="G59" t="str">
            <v>4 Pm to 7 PM</v>
          </cell>
          <cell r="H59">
            <v>1450</v>
          </cell>
          <cell r="I59">
            <v>1450</v>
          </cell>
          <cell r="J59" t="str">
            <v>Bliss</v>
          </cell>
          <cell r="K59" t="str">
            <v>Hold tOday (12/06) Today Returned (19/06)</v>
          </cell>
          <cell r="N59" t="str">
            <v>4  del of this cycle   -  0-cycles pmnt   Completed - Collect 0</v>
          </cell>
          <cell r="O59" t="str">
            <v>P Asiatic ( 15 inch ) 3     Grass</v>
          </cell>
          <cell r="P59" t="str">
            <v>R n W Car ( 14 Inch ) 16     FF Sachet + Grass</v>
          </cell>
          <cell r="Q59" t="str">
            <v>P n Y Spray Daisy ( 14 Inch ) 5     FF Sachet + Grass</v>
          </cell>
          <cell r="R59" t="str">
            <v>Mix Alstroemeria ( 12 Inch ) 16     FF Sachet + Grass</v>
          </cell>
          <cell r="S59" t="str">
            <v xml:space="preserve">Pur Eustom ( 12 Inch ) 3    FF Sachet + Grass </v>
          </cell>
          <cell r="T59" t="str">
            <v>O Asiatic ( 14 Inch ) 3     Grass</v>
          </cell>
        </row>
        <row r="60">
          <cell r="A60">
            <v>72</v>
          </cell>
          <cell r="B60" t="str">
            <v>Mrs. Raman-- AFTER 4:30 PM</v>
          </cell>
          <cell r="C60">
            <v>9810235092</v>
          </cell>
          <cell r="D60" t="str">
            <v>1519, Sector-17 C</v>
          </cell>
          <cell r="E60" t="str">
            <v>Old Gurgaon</v>
          </cell>
          <cell r="F60" t="str">
            <v>Friday</v>
          </cell>
          <cell r="G60" t="str">
            <v>4 PM to 7PM</v>
          </cell>
          <cell r="H60">
            <v>999</v>
          </cell>
          <cell r="I60">
            <v>249.75</v>
          </cell>
          <cell r="J60" t="str">
            <v>Delight</v>
          </cell>
          <cell r="K60" t="str">
            <v>No Rajni n Daisy(22/05)Next Del on 12th June(08/06) Send cheque back to get a new one(11/06)Skip tomorrow and send on Friday this week(21/11) 1 Stick extra in next del(06/12) 1 Stick extra in next Del(06/12) 500 added for bouquet sent to Nupur n Karthik(29/12) After 24th skip n send on 14th Feb(10/01) Rses Next(10/01) Next Del on 14th Feb(24/01) Return-send tom(04/04) Send Next Del in Evening slot(01/05) Day Chnaged to Friday(26/06) Change day to sunday(10/07) FF Sold today(21/07) Return-send tom(03/11) PLS SEND 15TH DEL ON 14TH(27/11) Send sat this week before 11:30 AM(12/12) Today hold send on sat(20/08/20) Only Chrysanthemum till they are in good shape(12/11) Skip tom and send on friday(27/01) Skip 1 week(21/03) Shift to Delight and 8 stick every week(15/09) Always 8 sticks(10/12) Send on Sat this week(16/02)  Holy Change(16/03) Send on sat this week(23/03) Send this week on 8th (04/10) Skip tom and send on sunday (05/01) Hold today n send tom (03/03) Dont send on 30th June-- Send on 1st July with Pink n Yellow Gerbera (23/06) Hold today and send on sunday (27/10) Send a vase tom (25/01) Hold today n send tom (09/02) Hold today (07/06) Skip friday and send on sunday (08/08) Skip friday n start from sunday (30/01) Skip 1 week (11/03) Hold today n send on sunday (16/05) Hold till 1th June (25/05) Hold till 8th Feb (18/01)</v>
          </cell>
          <cell r="N60" t="str">
            <v>4  del of this cycle   -  0-cycles pmnt   Completed - Collect 0</v>
          </cell>
          <cell r="O60" t="str">
            <v>P Spray Daisy ( 15 inch ) 3     FF Sachet + Grass</v>
          </cell>
          <cell r="P60" t="str">
            <v>R n W Car ( 14 Inch ) 9     FF Sachet + Grass</v>
          </cell>
          <cell r="Q60" t="str">
            <v>O Asiatic ( 14 Inch ) 2     FF Sachet + Grass</v>
          </cell>
          <cell r="R60" t="str">
            <v>P n W Glad ( 14 Inch ) 9     Grass</v>
          </cell>
          <cell r="S60" t="str">
            <v xml:space="preserve">Mix Alstroemeria ( 12 Inch ) 9    FF Sacget + Grass </v>
          </cell>
          <cell r="T60" t="str">
            <v>P n W Car ( 14 Inch ) 9     FF aschet + Grass</v>
          </cell>
        </row>
        <row r="61">
          <cell r="A61">
            <v>1147</v>
          </cell>
          <cell r="B61" t="str">
            <v xml:space="preserve">Reena </v>
          </cell>
          <cell r="C61">
            <v>9811157690</v>
          </cell>
          <cell r="D61" t="str">
            <v>31/1, Ixia, Vatika City</v>
          </cell>
          <cell r="E61" t="str">
            <v>Sohna Road 1</v>
          </cell>
          <cell r="F61" t="str">
            <v>Tuesday</v>
          </cell>
          <cell r="G61" t="str">
            <v>9 AM to 2 PM</v>
          </cell>
          <cell r="H61">
            <v>1600</v>
          </cell>
          <cell r="I61">
            <v>200</v>
          </cell>
          <cell r="J61" t="str">
            <v>Bloom</v>
          </cell>
          <cell r="K61"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61" t="str">
            <v>RAJNI n HELICONIA</v>
          </cell>
          <cell r="N61" t="str">
            <v>6  del of this cycle   -  0-cycles pmnt   Completed - Collect 0</v>
          </cell>
          <cell r="O61" t="str">
            <v>P n W Car ( 14 inch ) 7     FF Sachet + Grass</v>
          </cell>
          <cell r="P61" t="str">
            <v>Mix Alstroemeria ( 12 Inch ) 7     FF Sachet + Grass</v>
          </cell>
          <cell r="Q61" t="str">
            <v>W Spray Daisy ( 14 Inch ) 2     FF Sachet + Grass</v>
          </cell>
          <cell r="R61" t="str">
            <v>Pink White Car ( 12 Inch ) 7     Grass</v>
          </cell>
          <cell r="S61" t="str">
            <v>Rajni ( 14 Inch ) 7     Grass</v>
          </cell>
          <cell r="T61" t="str">
            <v>P Spray Daisy ( 14 Inch ) 2     FF sachet + Grass</v>
          </cell>
        </row>
        <row r="62">
          <cell r="A62" t="str">
            <v>B56269</v>
          </cell>
          <cell r="B62">
            <v>9910591103</v>
          </cell>
          <cell r="C62">
            <v>9910591103</v>
          </cell>
          <cell r="D62" t="str">
            <v>A-95, GF, Palladians, Sec 47</v>
          </cell>
          <cell r="E62" t="str">
            <v>Sohna Road 1</v>
          </cell>
          <cell r="F62" t="str">
            <v>Friday</v>
          </cell>
          <cell r="G62" t="str">
            <v>By 1 PM</v>
          </cell>
          <cell r="H62">
            <v>2500</v>
          </cell>
          <cell r="I62">
            <v>2500</v>
          </cell>
          <cell r="J62" t="str">
            <v>Bouquet</v>
          </cell>
          <cell r="K62" t="str">
            <v>5 P Oriental and 12 B daisy in Brown Wrap from Neha N Kohli // Happy 70th Dadi 
Wishing you all very Happy Birthday 
Loadsa love,
Ana, Poppins, Mumma and Papa</v>
          </cell>
          <cell r="N62" t="str">
            <v>1  del of this cycle   -  0-cycles pmnt   In Process - Collect 0</v>
          </cell>
          <cell r="O62" t="e">
            <v>#N/A</v>
          </cell>
          <cell r="P62" t="e">
            <v>#N/A</v>
          </cell>
          <cell r="Q62" t="e">
            <v>#N/A</v>
          </cell>
          <cell r="R62" t="e">
            <v>#N/A</v>
          </cell>
          <cell r="S62" t="e">
            <v>#N/A</v>
          </cell>
          <cell r="T62" t="str">
            <v xml:space="preserve">P Oriental + B Daisy 5 + 12 Full Brown Wrap  Message   </v>
          </cell>
        </row>
        <row r="63">
          <cell r="A63" t="str">
            <v>B56267</v>
          </cell>
          <cell r="B63" t="str">
            <v>Dr. Manisha</v>
          </cell>
          <cell r="C63">
            <v>9753785932</v>
          </cell>
          <cell r="D63" t="str">
            <v>C K Birla Hospital</v>
          </cell>
          <cell r="E63" t="str">
            <v>Nirvana Country</v>
          </cell>
          <cell r="F63" t="str">
            <v>Friday</v>
          </cell>
          <cell r="G63" t="str">
            <v>By 1 PM</v>
          </cell>
          <cell r="H63">
            <v>1100</v>
          </cell>
          <cell r="I63">
            <v>1100</v>
          </cell>
          <cell r="J63" t="str">
            <v>Bouquet</v>
          </cell>
          <cell r="K63"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63" t="str">
            <v>1  del of this cycle   -  0-cycles pmnt   In Process - Collect 0</v>
          </cell>
          <cell r="O63" t="e">
            <v>#N/A</v>
          </cell>
          <cell r="P63" t="e">
            <v>#N/A</v>
          </cell>
          <cell r="Q63" t="e">
            <v>#N/A</v>
          </cell>
          <cell r="R63" t="e">
            <v>#N/A</v>
          </cell>
          <cell r="S63" t="e">
            <v>#N/A</v>
          </cell>
          <cell r="T63" t="str">
            <v xml:space="preserve">P Rose 25 Walkin Tissue Wrap Message   </v>
          </cell>
        </row>
        <row r="64">
          <cell r="A64">
            <v>3178</v>
          </cell>
          <cell r="B64" t="str">
            <v>Disha Gopal</v>
          </cell>
          <cell r="C64">
            <v>8588003677</v>
          </cell>
          <cell r="D64" t="str">
            <v>T-10/4A, Central Park Resorts, Sec 48</v>
          </cell>
          <cell r="E64" t="str">
            <v>Sohna Road 2</v>
          </cell>
          <cell r="F64" t="str">
            <v>Friday</v>
          </cell>
          <cell r="G64" t="str">
            <v>4 PM to 7 PM</v>
          </cell>
          <cell r="H64">
            <v>1950</v>
          </cell>
          <cell r="I64">
            <v>487.5</v>
          </cell>
          <cell r="J64" t="str">
            <v>Joy</v>
          </cell>
          <cell r="K64" t="str">
            <v>Micxed Flowers // Hold till 8th Jan (24/12)</v>
          </cell>
          <cell r="M64" t="str">
            <v>Mixed Flowers</v>
          </cell>
          <cell r="N64" t="str">
            <v>2  del of this cycle   -  0-cycles pmnt   Completed - Collect 0</v>
          </cell>
          <cell r="O64" t="str">
            <v>P n Y Spray Daisy ( 15 inch ) 4 P n W Glad ( 14 inch ) 11   FF Sachet + Grass</v>
          </cell>
          <cell r="P64" t="str">
            <v>O Asiatic ( 15 Inch ) 2 R n W Car ( 14 Inch ) 11   Grass</v>
          </cell>
          <cell r="Q64" t="str">
            <v>P Eustoma ( 14 Inch ) 2 Mix Alstroemeria ( 12 Inch ) 11   FF Sachet + Grass</v>
          </cell>
          <cell r="R64" t="str">
            <v>Sunflower ( 12 Inch ) 3 P n W Car ( 14 Inch ) 11   FF Sachet + Grass</v>
          </cell>
          <cell r="S64" t="str">
            <v>P Asiatic ( 14 Inch ) 2 P n W Glad ( 14 Inch ) 11   Grass</v>
          </cell>
          <cell r="T64" t="str">
            <v>P n Y Spray Daisy ( 14 Inch ) 4 Pink And White Car 11   FF Sachet + Grass</v>
          </cell>
        </row>
        <row r="65">
          <cell r="A65">
            <v>2652</v>
          </cell>
          <cell r="B65" t="str">
            <v>Shilpi Samantray</v>
          </cell>
          <cell r="C65">
            <v>8527486150</v>
          </cell>
          <cell r="D65" t="str">
            <v>Q-294, DLF Ultima</v>
          </cell>
          <cell r="E65" t="str">
            <v>Manesar</v>
          </cell>
          <cell r="F65" t="str">
            <v>Friday</v>
          </cell>
          <cell r="G65" t="str">
            <v>4 Pm to 7 PM</v>
          </cell>
          <cell r="H65">
            <v>1450</v>
          </cell>
          <cell r="I65">
            <v>362.5</v>
          </cell>
          <cell r="J65" t="str">
            <v>Bliss</v>
          </cell>
          <cell r="K65"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65" t="str">
            <v>lilies n Glad</v>
          </cell>
          <cell r="M65" t="str">
            <v>More Eustoams</v>
          </cell>
          <cell r="N65" t="str">
            <v>1  del of this cycle   -   0 -cycles pmnt  Completed - Collect 0</v>
          </cell>
          <cell r="O65" t="e">
            <v>#N/A</v>
          </cell>
          <cell r="P65" t="e">
            <v>#N/A</v>
          </cell>
          <cell r="Q65" t="str">
            <v>O Asiatic ( 14 Inch ) 2 P n W Glad ( 14 Inch ) 7   Grass</v>
          </cell>
          <cell r="R65" t="str">
            <v>Pur Eustoma ( 12 Inch ) 2 Mix Alstroemeria ( 12 Inch ) 7   FF Sachet + Grass</v>
          </cell>
          <cell r="S65" t="str">
            <v xml:space="preserve">P Spray Daisy ( 14 Inch ) 3 Pur n P Car ( 14 Inch ) 7  FF Sachet + Grass </v>
          </cell>
          <cell r="T65" t="str">
            <v>P Asiatic ( 14 Inch ) 2 p Car ( 14 inch ) 7   FF sachet + Grass</v>
          </cell>
        </row>
        <row r="66">
          <cell r="A66">
            <v>2927</v>
          </cell>
          <cell r="B66" t="str">
            <v>Anshita</v>
          </cell>
          <cell r="C66">
            <v>8085480356</v>
          </cell>
          <cell r="D66" t="str">
            <v>H. No. 3107, 2nd Flor, Ansal Versalia, Sec 67 A</v>
          </cell>
          <cell r="E66" t="str">
            <v>Badshahpur</v>
          </cell>
          <cell r="F66" t="str">
            <v>Friday</v>
          </cell>
          <cell r="G66" t="str">
            <v>9:30 Am to 2 PM</v>
          </cell>
          <cell r="H66">
            <v>1450</v>
          </cell>
          <cell r="I66">
            <v>362.5</v>
          </cell>
          <cell r="J66" t="str">
            <v>Bliss</v>
          </cell>
          <cell r="K66" t="str">
            <v>sent one del today (11/12) Skip 1 week (15/01) Skip today (20/02) Today returned (06/03) Skip 1 week (26/03) Hold for 2 week (22/04)</v>
          </cell>
          <cell r="N66" t="str">
            <v>2  del of this cycle   -  1-cycles pmnt   Pending - Collect 1450</v>
          </cell>
          <cell r="O66" t="str">
            <v>Sunflower ( 15 inch ) 2     Grass</v>
          </cell>
          <cell r="P66" t="str">
            <v>Mix Alstroemeria ( 12 Inch ) 9     FF Sachet + Grass</v>
          </cell>
          <cell r="Q66" t="str">
            <v>P n W Car ( 14 Inch ) 9     FF Sachet + Grass</v>
          </cell>
          <cell r="R66" t="str">
            <v>Y Asiatic ( 14 Inch ) 2     Grass</v>
          </cell>
          <cell r="S66" t="str">
            <v xml:space="preserve">P n W Glad ( 14 Inch ) 16  ensure collection  Pese Na  Mile To Call Karna  Grass </v>
          </cell>
          <cell r="T66" t="str">
            <v>Sunflower ( 12 Inch ) 4     FF sachet + Grass</v>
          </cell>
        </row>
        <row r="67">
          <cell r="A67">
            <v>2427</v>
          </cell>
          <cell r="B67" t="str">
            <v>Amrita Jain</v>
          </cell>
          <cell r="C67">
            <v>9560706242</v>
          </cell>
          <cell r="D67" t="str">
            <v>Flat 72, Emilia C2, Gardenia Street</v>
          </cell>
          <cell r="E67" t="str">
            <v>Sohna Road 1</v>
          </cell>
          <cell r="F67" t="str">
            <v>Friday</v>
          </cell>
          <cell r="G67" t="str">
            <v>9 AM - 12 PM</v>
          </cell>
          <cell r="H67">
            <v>1450</v>
          </cell>
          <cell r="I67">
            <v>362.5</v>
          </cell>
          <cell r="J67" t="str">
            <v>Bliss</v>
          </cell>
          <cell r="K6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67" t="str">
            <v>Rose n Orchid</v>
          </cell>
          <cell r="N67" t="str">
            <v>2  del of this cycle   -  0-cycles pmnt   Completed - Collect 0</v>
          </cell>
          <cell r="O67" t="str">
            <v>Sunflower ( 15 inch ) 2 B Daisy ( 12 inch ) 7   Grass</v>
          </cell>
          <cell r="P67" t="str">
            <v>Pur Eustoma 2 P n W Car ( 14 Inch ) 7   FF Sachet + Grass</v>
          </cell>
          <cell r="Q67" t="str">
            <v>Y Spray Daisy ( 14 Inch ) 3 P n W Glad ( 14 Inch ) 7   FF Sachet + Grass</v>
          </cell>
          <cell r="R67" t="str">
            <v>P Asiatic ( 14 Inch ) 2 Mix Alstroemeria ( 12 Inch ) 7   Grass</v>
          </cell>
          <cell r="S67" t="str">
            <v xml:space="preserve">Sunflower ( 12 Inch ) 2 Pur n P Car ( 14 Inch ) 7  FF Sachet + Grass </v>
          </cell>
          <cell r="T67" t="str">
            <v>P Eustoma ( 12 Inch ) 2 P n W Glad ( 14 Inch ) 7   FF sachet + Grass</v>
          </cell>
        </row>
        <row r="68">
          <cell r="A68">
            <v>1268</v>
          </cell>
          <cell r="B68" t="str">
            <v>Shweta Malhotra</v>
          </cell>
          <cell r="C68">
            <v>9810290780</v>
          </cell>
          <cell r="D68" t="str">
            <v>B-001, Park View Spa Next, Sec 67</v>
          </cell>
          <cell r="E68" t="str">
            <v>Badshahpur</v>
          </cell>
          <cell r="F68" t="str">
            <v>Friday</v>
          </cell>
          <cell r="G68" t="str">
            <v>9 AM to 2 PM</v>
          </cell>
          <cell r="H68">
            <v>1950</v>
          </cell>
          <cell r="I68">
            <v>487.5</v>
          </cell>
          <cell r="J68" t="str">
            <v>Joy</v>
          </cell>
          <cell r="K68"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8" t="str">
            <v>ANTHURIUM n GULDAWARI n Button Daisy</v>
          </cell>
          <cell r="N68" t="str">
            <v>1  del of this cycle   -  1-cycles pmnt   Pending - Collect 1950</v>
          </cell>
          <cell r="O68" t="str">
            <v>Sunflower ( 15 inch ) 5     Grass</v>
          </cell>
          <cell r="P68" t="str">
            <v>P n W Glad ( 14 Inch ) 22     Grass</v>
          </cell>
          <cell r="Q68" t="str">
            <v>Mix Alstroemeria ( 12 Inch ) 22     FF Sachet + Grass</v>
          </cell>
          <cell r="R68" t="e">
            <v>#N/A</v>
          </cell>
          <cell r="S68" t="str">
            <v>O Asiatic ( 14 Inch ) 4     Grass</v>
          </cell>
          <cell r="T68" t="str">
            <v>Pur n P Car ( 14 Inch ) 22     FF Sachet + Grass</v>
          </cell>
        </row>
        <row r="69">
          <cell r="A69">
            <v>3312</v>
          </cell>
          <cell r="B69" t="str">
            <v>Pallabi Dey</v>
          </cell>
          <cell r="C69">
            <v>9953755297</v>
          </cell>
          <cell r="D69" t="str">
            <v>T-2/403, Uniworld Gardens 1</v>
          </cell>
          <cell r="E69" t="str">
            <v>Sohna Road 1</v>
          </cell>
          <cell r="F69" t="str">
            <v>Monday</v>
          </cell>
          <cell r="G69" t="str">
            <v>4 Pm to 7 PM</v>
          </cell>
          <cell r="H69">
            <v>1950</v>
          </cell>
          <cell r="I69">
            <v>487.5</v>
          </cell>
          <cell r="J69" t="str">
            <v>Joy</v>
          </cell>
          <cell r="N69" t="str">
            <v>3  del of this cycle   -  0-cycles pmnt   Completed - Collect 0</v>
          </cell>
          <cell r="O69" t="str">
            <v>Sunflower ( 15 inch ) 5     Grass</v>
          </cell>
          <cell r="P69" t="str">
            <v>P n W Glad ( 14 Inch ) 22 Collect 1375 Carry Receipt Book Collect 1375 Carry Receipt Book Grass</v>
          </cell>
          <cell r="Q69" t="str">
            <v>P n Y Spray Daisy ( 14 Inch ) 7     FF Sachet + Grass</v>
          </cell>
          <cell r="R69" t="str">
            <v>W Asiatic ( 14 inch ) 4     Grass</v>
          </cell>
          <cell r="S69" t="str">
            <v>R n P Car ( 14 Inch ) 22     FF sachet + Grass</v>
          </cell>
          <cell r="T69" t="str">
            <v>Pur n P Eustoma ( 12 Inch ) 4     FF Sachet + Grass</v>
          </cell>
        </row>
        <row r="70">
          <cell r="B70" t="str">
            <v>Rupinder kaur</v>
          </cell>
          <cell r="C70">
            <v>9313292209</v>
          </cell>
          <cell r="D70" t="str">
            <v>325 Deerwood,Nirvana country,Near south city2,sector 50,Gurgaon.Haryana122018.</v>
          </cell>
          <cell r="G70" t="str">
            <v xml:space="preserve">Before 3Pm </v>
          </cell>
          <cell r="H70">
            <v>2000</v>
          </cell>
          <cell r="J70" t="str">
            <v>Bouquet</v>
          </cell>
          <cell r="K70" t="str">
            <v>Pls send mix eustoma bouquet in walkin tissue wrap today before 3pm , use 10 mix eustoma and make this in walkin tissue wrap 
Rupinder kaur.325 Deerwood,Nirvana country,Near south city2,sector 50,Gurgaon.Haryana122018.Ph no 9313292209</v>
          </cell>
          <cell r="T70" t="str">
            <v xml:space="preserve">Mix eustoma 10 walkin tissue wrap     </v>
          </cell>
        </row>
        <row r="71">
          <cell r="A71">
            <v>1996</v>
          </cell>
          <cell r="B71" t="str">
            <v>Ankita Sethi</v>
          </cell>
          <cell r="C71">
            <v>9899660037</v>
          </cell>
          <cell r="D71" t="str">
            <v>C1/202, Vatika City, Sec 49</v>
          </cell>
          <cell r="E71" t="str">
            <v>Sohna Road 1</v>
          </cell>
          <cell r="F71" t="str">
            <v>Friday</v>
          </cell>
          <cell r="G71" t="str">
            <v>9 AM - 12 PM</v>
          </cell>
          <cell r="H71">
            <v>1450</v>
          </cell>
          <cell r="I71">
            <v>362.5</v>
          </cell>
          <cell r="J71" t="str">
            <v>Bliss</v>
          </cell>
          <cell r="K71"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71" t="str">
            <v>GLAD n HELICONIA</v>
          </cell>
          <cell r="N71" t="str">
            <v>4  del of this cycle   -  0-cycles pmnt   Completed - Collect 0</v>
          </cell>
          <cell r="O71" t="str">
            <v>Glad 16     FF Sachet + Grass</v>
          </cell>
          <cell r="P71" t="str">
            <v>P Asiatic ( 15 Inch ) 3     Grass</v>
          </cell>
          <cell r="Q71" t="str">
            <v>P n Y Spray Daisy ( 14 Inch ) 5     FF Sachet + Grass</v>
          </cell>
          <cell r="R71" t="str">
            <v>Sunflower ( 12 Inch ) 4     FF Sachet + Grass</v>
          </cell>
          <cell r="S71" t="str">
            <v xml:space="preserve">Pur Eustom ( 12 Inch ) 3    FF Sachet + Grass </v>
          </cell>
          <cell r="T71" t="str">
            <v>P n W Car ( 14 Inch ) 16     FF sachet + Grass</v>
          </cell>
        </row>
        <row r="72">
          <cell r="A72">
            <v>2678</v>
          </cell>
          <cell r="B72" t="str">
            <v>Saachi Satyaarth</v>
          </cell>
          <cell r="C72">
            <v>9643712005</v>
          </cell>
          <cell r="D72" t="str">
            <v>H-1504, Microtek Greenburg, Sec 86</v>
          </cell>
          <cell r="E72" t="str">
            <v>Manesar</v>
          </cell>
          <cell r="F72" t="str">
            <v>Friday</v>
          </cell>
          <cell r="G72" t="str">
            <v>4 PM to 7 PM</v>
          </cell>
          <cell r="H72">
            <v>1450</v>
          </cell>
          <cell r="I72">
            <v>362.5</v>
          </cell>
          <cell r="J72" t="str">
            <v>Bliss</v>
          </cell>
          <cell r="K72" t="str">
            <v>Skip 1 week (04/06) Do not count last Del (28/03) 1 Sunflower Extra next (03/04)</v>
          </cell>
          <cell r="M72" t="str">
            <v>1 Sunflower Extra Next (03/04)</v>
          </cell>
          <cell r="N72" t="str">
            <v>4  del of this cycle   -  0-cycles pmnt   Completed - Collect 0</v>
          </cell>
          <cell r="O72" t="str">
            <v>Sunflower ( 15 inch ) 2 P n W Glad ( 14 inch ) 7   Grass</v>
          </cell>
          <cell r="P72" t="str">
            <v>O Asiatic ( 15 Inch ) 2 R n W Car ( 14 Inch ) 7   Grass</v>
          </cell>
          <cell r="Q72" t="str">
            <v>P Eustoma ( 14 Inch ) 2 Mix Alstroemeria ( 12 Inch ) 7   FF Sachet + Grass</v>
          </cell>
          <cell r="R72" t="str">
            <v>P Spray Daisy ( 14 Inch ) 3 P n W Glad ( 14 Inch ) 7   FF Sachet + Grass</v>
          </cell>
          <cell r="S72" t="str">
            <v xml:space="preserve">Sunflower ( 12 Inch ) 2 Pur n P Car ( 14 Inch ) 7  FF Sachet + Grass </v>
          </cell>
          <cell r="T72" t="str">
            <v>P Asiatic ( 14 Inch ) 2 Alstomeria( 12 Inch ) 7   Grass</v>
          </cell>
        </row>
        <row r="73">
          <cell r="A73">
            <v>3047</v>
          </cell>
          <cell r="B73" t="str">
            <v>Meenal</v>
          </cell>
          <cell r="C73">
            <v>9811222881</v>
          </cell>
          <cell r="D73" t="str">
            <v>168, Deerwood</v>
          </cell>
          <cell r="E73" t="str">
            <v>Badshahpur</v>
          </cell>
          <cell r="F73" t="str">
            <v>Friday</v>
          </cell>
          <cell r="G73" t="str">
            <v>4 PM to 7PM</v>
          </cell>
          <cell r="H73">
            <v>999</v>
          </cell>
          <cell r="I73">
            <v>249.75</v>
          </cell>
          <cell r="J73" t="str">
            <v>Delight</v>
          </cell>
          <cell r="K73" t="str">
            <v>Skip Friday and sned on Monday (07/01) HDTNP (24/04) Skip 2 week (27/05) Today returned (19/06)</v>
          </cell>
          <cell r="N73" t="str">
            <v>4  del of this cycle   -  0-cycles pmnt   Completed - Collect 0</v>
          </cell>
          <cell r="O73" t="str">
            <v>Sunflower ( 15 inch ) 2     Grass</v>
          </cell>
          <cell r="P73" t="e">
            <v>#N/A</v>
          </cell>
          <cell r="Q73" t="e">
            <v>#N/A</v>
          </cell>
          <cell r="R73" t="str">
            <v>P Asiatic ( 14 Inch ) 2     Grass</v>
          </cell>
          <cell r="S73" t="str">
            <v xml:space="preserve">Pur n P Car ( 14 Inch ) 9    FF Sachet + Grass </v>
          </cell>
          <cell r="T73" t="str">
            <v>P n W Glad ( 14 Inch ) 9     Grass</v>
          </cell>
        </row>
        <row r="74">
          <cell r="A74">
            <v>2018</v>
          </cell>
          <cell r="B74" t="str">
            <v>Lakshmi Shankaran</v>
          </cell>
          <cell r="C74">
            <v>9818054747</v>
          </cell>
          <cell r="D74" t="str">
            <v>C2/202,  Sovereign Vatika City</v>
          </cell>
          <cell r="E74" t="str">
            <v>Sohna Road 1</v>
          </cell>
          <cell r="F74" t="str">
            <v>Friday</v>
          </cell>
          <cell r="G74" t="str">
            <v>9 AM - 12 PM</v>
          </cell>
          <cell r="H74">
            <v>1450</v>
          </cell>
          <cell r="I74">
            <v>362.5</v>
          </cell>
          <cell r="J74" t="str">
            <v>Bliss</v>
          </cell>
          <cell r="K74"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74" t="str">
            <v>GERBERA n GLAD</v>
          </cell>
          <cell r="N74" t="str">
            <v>3  del of this cycle   -  0-cycles pmnt   Completed - Collect 0</v>
          </cell>
          <cell r="O74" t="str">
            <v>P n Y Spray Daisy ( 15 inch ) 5     FF Sachet + Grass</v>
          </cell>
          <cell r="P74" t="e">
            <v>#N/A</v>
          </cell>
          <cell r="Q74" t="str">
            <v>Mix Alstroemeria ( 12 Inch ) 16     FF Sachet + Grass</v>
          </cell>
          <cell r="R74" t="str">
            <v>W Asiatic ( 14 inch ) 3     Grass</v>
          </cell>
          <cell r="S74" t="e">
            <v>#N/A</v>
          </cell>
          <cell r="T74" t="str">
            <v>Pur n P Car ( 14 Inch ) 16     FF sachet + Grass</v>
          </cell>
        </row>
        <row r="75">
          <cell r="A75">
            <v>1974</v>
          </cell>
          <cell r="B75" t="str">
            <v>Suruchi Maitra</v>
          </cell>
          <cell r="C75">
            <v>9810239177</v>
          </cell>
          <cell r="D75" t="str">
            <v>D-98, Vipul World</v>
          </cell>
          <cell r="E75" t="str">
            <v>Sohna Road 2</v>
          </cell>
          <cell r="F75" t="str">
            <v>Friday</v>
          </cell>
          <cell r="G75" t="str">
            <v>9 AM - 12 PM</v>
          </cell>
          <cell r="H75">
            <v>2750</v>
          </cell>
          <cell r="I75">
            <v>687.5</v>
          </cell>
          <cell r="J75" t="str">
            <v>Elation</v>
          </cell>
          <cell r="K75" t="str">
            <v>No Spray Daisy (03/10) Now upgrade to Elation (14/10) Hold n start from 6th Jan (17/12) Hold n strat from 30th June (10/06) Hold n start from 5th Jan (30/12) Skip 1 week (06/06) Skip 1 week (22/06) Hold today and send after 29th (20'/12) Skip 2 week (21/06) Skip 2 week (18/12)</v>
          </cell>
          <cell r="N75" t="str">
            <v>4  del of this cycle   -  0-cycles pmnt   Completed - Collect 0</v>
          </cell>
          <cell r="O75" t="str">
            <v>P Asiatic ( 15 inch ) 6     2 Gypsola</v>
          </cell>
          <cell r="P75" t="str">
            <v>P n W Spray Daisy ( 15 Inch ) 10     2 Limonium + Ff Sachet</v>
          </cell>
          <cell r="Q75" t="str">
            <v>Pur n P Eustoma ( 14 Inch ) 6     2 Gypsola + FF Sachet</v>
          </cell>
          <cell r="R75" t="str">
            <v>Pur n P Car ( 14 Inch ) 32     2 Limonium + FF sachet</v>
          </cell>
          <cell r="S75" t="str">
            <v>P n Pur Eustoma ( 12 Inch ) 6     FF sachet + Grass</v>
          </cell>
          <cell r="T75" t="str">
            <v>O Asiatic ( 14 Inch ) 6     2 Gypaols</v>
          </cell>
        </row>
        <row r="76">
          <cell r="A76">
            <v>3011</v>
          </cell>
          <cell r="B76" t="str">
            <v>Nandita Sharma</v>
          </cell>
          <cell r="C76">
            <v>9702930000</v>
          </cell>
          <cell r="D76" t="str">
            <v>Sovereign-2/102, Vatila City</v>
          </cell>
          <cell r="E76" t="str">
            <v>Sohna Road 1</v>
          </cell>
          <cell r="F76" t="str">
            <v>Friday</v>
          </cell>
          <cell r="G76" t="str">
            <v>9 AM to 2 PM</v>
          </cell>
          <cell r="H76">
            <v>1450</v>
          </cell>
          <cell r="I76">
            <v>362.5</v>
          </cell>
          <cell r="J76" t="str">
            <v>Bliss</v>
          </cell>
          <cell r="K76" t="str">
            <v>Hld till 8th Mar (22/02)</v>
          </cell>
          <cell r="N76" t="str">
            <v>3  del of this cycle   -  0-cycles pmnt   Completed - Collect 0</v>
          </cell>
          <cell r="O76" t="str">
            <v>Sunflower ( 15 inch ) 2 P n W Car ( 14 inch ) 7   FF Sachet + Grass</v>
          </cell>
          <cell r="P76" t="str">
            <v>O Asiatic ( 15 Inch ) 2 Mix Alstroemeria ( 12 Inch )  7   Grass</v>
          </cell>
          <cell r="Q76" t="str">
            <v>P Spray Daisy ( 14 Inch ) 3 P n W Glad ( 14 Inch ) 7   FF Sachet + Grass</v>
          </cell>
          <cell r="R76" t="str">
            <v>Pur Eustoma ( 12 Inch ) 2 Pur n P Car ( 14 Inch ) 7   FF Sachet + Grass</v>
          </cell>
          <cell r="S76" t="str">
            <v xml:space="preserve">Sunflower ( 12 Inch ) 2 Mix Alstroemeria (  12 Inch ) 7  FF Sachet + Grass </v>
          </cell>
          <cell r="T76" t="str">
            <v>P Asiatic ( 14 Inch ) 2 Rajni ( 14 Inch ) 7   Grass</v>
          </cell>
        </row>
        <row r="77">
          <cell r="A77">
            <v>3109</v>
          </cell>
          <cell r="B77" t="str">
            <v>Dr. Apoorva Batra</v>
          </cell>
          <cell r="C77">
            <v>9896166336</v>
          </cell>
          <cell r="D77" t="str">
            <v>T-40/002, Emaar Emerald Floors Premiers, Sec 65</v>
          </cell>
          <cell r="E77" t="str">
            <v>Badshahpur</v>
          </cell>
          <cell r="F77" t="str">
            <v>Friday</v>
          </cell>
          <cell r="G77" t="str">
            <v>4 Pm to 7 PM</v>
          </cell>
          <cell r="H77">
            <v>999</v>
          </cell>
          <cell r="I77">
            <v>249.75</v>
          </cell>
          <cell r="J77" t="str">
            <v>Delight</v>
          </cell>
          <cell r="K77" t="str">
            <v>HDTNP (22/05) Skip 1 week (11/06) Hold after current cycle (20/06)</v>
          </cell>
          <cell r="N77" t="str">
            <v>3  del of this cycle   -  0-cycles pmnt   Completed - Collect 0</v>
          </cell>
          <cell r="O77" t="e">
            <v>#N/A</v>
          </cell>
          <cell r="P77" t="str">
            <v>O Asiatic ( 15 Inch ) 2     Grass</v>
          </cell>
          <cell r="Q77" t="str">
            <v>P n W Glad ( 14 Inch ) 9     Grass</v>
          </cell>
          <cell r="R77" t="e">
            <v>#N/A</v>
          </cell>
          <cell r="S77" t="str">
            <v xml:space="preserve">Mix Car 9    FF Sachet + Grass </v>
          </cell>
          <cell r="T77" t="str">
            <v>P Spray Daisy ( 14 Inch ) 3     FF aschet + Grass</v>
          </cell>
        </row>
        <row r="78">
          <cell r="A78">
            <v>296</v>
          </cell>
          <cell r="B78" t="str">
            <v>Madhu Thapliyal</v>
          </cell>
          <cell r="C78">
            <v>9999364696</v>
          </cell>
          <cell r="D78" t="str">
            <v>2/201, Sovereign, Vatika City</v>
          </cell>
          <cell r="E78" t="str">
            <v>Sohna Road 1</v>
          </cell>
          <cell r="F78" t="str">
            <v>Friday</v>
          </cell>
          <cell r="G78" t="str">
            <v>9 AM - 12 PM</v>
          </cell>
          <cell r="H78">
            <v>1450</v>
          </cell>
          <cell r="I78">
            <v>362.5</v>
          </cell>
          <cell r="J78" t="str">
            <v>Bliss</v>
          </cell>
          <cell r="K78"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78" t="str">
            <v>GLAD n BOP</v>
          </cell>
          <cell r="M78" t="str">
            <v>Statice next (19/04)</v>
          </cell>
          <cell r="N78" t="str">
            <v>3  del of this cycle   -  0-cycles pmnt   Completed - Collect 0</v>
          </cell>
          <cell r="O78" t="str">
            <v>Sunflower ( 15 inch ) 4     Grass</v>
          </cell>
          <cell r="P78" t="str">
            <v>Mix Alstroemeria ( 12 Inch ) 16     FF Sachet + Grass</v>
          </cell>
          <cell r="Q78" t="str">
            <v>P n W Spray Daisy ( 14 Inch ) 5     FF Sachet + Grass</v>
          </cell>
          <cell r="R78" t="str">
            <v>Pur n P Car ( 14 Inch ) 16     FF Sachet + Grass</v>
          </cell>
          <cell r="S78" t="str">
            <v xml:space="preserve">O Asiatic ( 14 Inch ) 3    Grass </v>
          </cell>
          <cell r="T78" t="str">
            <v>Mix Alstroemeria 16     FF sachet + Grass</v>
          </cell>
        </row>
        <row r="79">
          <cell r="A79">
            <v>833</v>
          </cell>
          <cell r="B79" t="str">
            <v>Parul Mahajan</v>
          </cell>
          <cell r="C79">
            <v>9560889949</v>
          </cell>
          <cell r="D79" t="str">
            <v>T-5/1002, Vipul Greens,Sec 48</v>
          </cell>
          <cell r="E79" t="str">
            <v>Sohna Road 2</v>
          </cell>
          <cell r="F79" t="str">
            <v>Friday</v>
          </cell>
          <cell r="G79" t="str">
            <v>9 AM - 12 PM</v>
          </cell>
          <cell r="H79">
            <v>3500</v>
          </cell>
          <cell r="I79">
            <v>875</v>
          </cell>
          <cell r="J79" t="str">
            <v>Customized</v>
          </cell>
          <cell r="K79"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79" t="str">
            <v>1  del of this cycle   -  0-cycles pmnt   Completed - Collect 0</v>
          </cell>
          <cell r="O79" t="str">
            <v>P Asiatic ( 15 inch ) 3 P n W Car ( 14 inch ) 18   2 Limonium + FF aschet</v>
          </cell>
          <cell r="P79" t="str">
            <v>P n W Eustoma ( 14 Inch ) 4 P n W Glad ( 14 Inch ) 18   2 Gypsola + FF Sachet</v>
          </cell>
          <cell r="Q79" t="str">
            <v>P n Y Spray Daisy ( 14 Inch ) 5 Mix Alstroemeria ( 12 Inch ) 18   2 Limonium + FF Sachet</v>
          </cell>
          <cell r="R79" t="e">
            <v>#N/A</v>
          </cell>
          <cell r="S79" t="e">
            <v>#N/A</v>
          </cell>
          <cell r="T79" t="str">
            <v>O Asiatic ( 14 Inch ) 4 Pur n p Car ( 14 inch ) 18   2 Gypsola</v>
          </cell>
        </row>
        <row r="80">
          <cell r="A80">
            <v>148</v>
          </cell>
          <cell r="B80" t="str">
            <v>Ruchi Kathpalia</v>
          </cell>
          <cell r="C80">
            <v>9899052574</v>
          </cell>
          <cell r="D80" t="str">
            <v>227, Lane 6B,Sector17,Gurgaon</v>
          </cell>
          <cell r="E80" t="str">
            <v>Old Gurgaon</v>
          </cell>
          <cell r="F80" t="str">
            <v>Friday</v>
          </cell>
          <cell r="G80" t="str">
            <v>4 PM to 7PM</v>
          </cell>
          <cell r="H80">
            <v>999</v>
          </cell>
          <cell r="I80">
            <v>249.75</v>
          </cell>
          <cell r="J80" t="str">
            <v>Delight</v>
          </cell>
          <cell r="K80" t="str">
            <v>Pls send some Extra flowers(22/08)Send glad on Friday this week only(27/09) Gifted 1 subscription of 450 to her mother(16/12) NO ROSE(21/12) Upgrade to 650 Plan n NO ORCHID(02/05) NO ASIATIC n ORCHID(04/05) FF Sold Today(20/07) FF Sold today(24/08) GLAD Next(26/09) paytm recvd of 150 from Aditya Kathpalia(11/01) Glad next(03/09/20) Sending Del tom due to Diwali(11/11) Preferred Flowers-- Glad+Chrysanthemum + Tuberose + Car(30/11) NO ROSE(05/02) Holy Change(16/03) NO ROSE (26/04) Pooja's Account (07/07) Send tom (06/02)</v>
          </cell>
          <cell r="L80" t="str">
            <v>ROSE</v>
          </cell>
          <cell r="N80" t="str">
            <v>4  del of this cycle   -  0-cycles pmnt   Completed - Collect 0</v>
          </cell>
          <cell r="O80" t="str">
            <v>Mix Glad 9     Grass</v>
          </cell>
          <cell r="P80" t="str">
            <v>Mix Alstroemeria ( 12 Inch ) 9     FF Sachet + Grass</v>
          </cell>
          <cell r="Q80" t="str">
            <v>O Asiatic ( 14 Inch ) 2     Grass</v>
          </cell>
          <cell r="R80" t="str">
            <v>Pur n P Car ( 14 Inch ) 9     FF Sachet + Grass</v>
          </cell>
          <cell r="S80" t="str">
            <v xml:space="preserve">Rajni 9    Grass </v>
          </cell>
          <cell r="T80" t="str">
            <v>P n W Glad ( 14 Inch ) 9     Grass</v>
          </cell>
        </row>
        <row r="81">
          <cell r="A81">
            <v>3307</v>
          </cell>
          <cell r="B81" t="str">
            <v>Amit Jindal</v>
          </cell>
          <cell r="C81">
            <v>8860400001</v>
          </cell>
          <cell r="D81" t="str">
            <v>T-5/1401, Vipul Greens</v>
          </cell>
          <cell r="E81" t="str">
            <v>Sohna Road 2</v>
          </cell>
          <cell r="F81" t="str">
            <v>Friday</v>
          </cell>
          <cell r="G81" t="str">
            <v>9:30 AM to 2 PM</v>
          </cell>
          <cell r="H81">
            <v>2626</v>
          </cell>
          <cell r="I81">
            <v>656.5</v>
          </cell>
          <cell r="J81" t="str">
            <v>Customized</v>
          </cell>
          <cell r="K81" t="str">
            <v>3 Oriental every week // Today Hold n returned (12/06)</v>
          </cell>
          <cell r="N81" t="str">
            <v>3  del of this cycle   -  0-cycles pmnt   Completed - Collect 0</v>
          </cell>
          <cell r="O81" t="str">
            <v>W Oriental ( 16 Inch ) 3     1 Limonium + FF aschet</v>
          </cell>
          <cell r="P81" t="str">
            <v>P Oriental ( 15 Inch ) 3     1 gypsola</v>
          </cell>
          <cell r="Q81" t="str">
            <v>P Oriental ( 16 Inch ) 3     1 Limonium</v>
          </cell>
          <cell r="R81" t="str">
            <v>W Oriental ( 15 Inch ) 3     1 Gypsola</v>
          </cell>
          <cell r="S81" t="str">
            <v>P Oriental ( 15 Inch ) 3     1 Limonium</v>
          </cell>
          <cell r="T81" t="str">
            <v>W Oriental 3     1 gypaols</v>
          </cell>
        </row>
        <row r="82">
          <cell r="A82">
            <v>1571</v>
          </cell>
          <cell r="B82" t="str">
            <v>Mohar Ray Dahiya</v>
          </cell>
          <cell r="C82">
            <v>9910019898</v>
          </cell>
          <cell r="D82" t="str">
            <v>Sovereign-3/201, Vatika City</v>
          </cell>
          <cell r="E82" t="str">
            <v>Sohna Road 1</v>
          </cell>
          <cell r="F82" t="str">
            <v>Friday</v>
          </cell>
          <cell r="G82" t="str">
            <v>9 AM to 2 PM</v>
          </cell>
          <cell r="H82">
            <v>1600</v>
          </cell>
          <cell r="I82">
            <v>200</v>
          </cell>
          <cell r="J82" t="str">
            <v>Bloom</v>
          </cell>
          <cell r="K82"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82" t="str">
            <v>BOP n GERBERA</v>
          </cell>
          <cell r="N82" t="str">
            <v>1  del of this cycle   -  1-cycles pmnt   Pending - Collect 1600</v>
          </cell>
          <cell r="O82" t="str">
            <v>Rajni ( 16 inch ) 7     Grass</v>
          </cell>
          <cell r="P82" t="str">
            <v>P n W Glad ( 14 Inch ) 7     Grass</v>
          </cell>
          <cell r="Q82" t="str">
            <v>R n W Car ( 14 Inch ) 7     FF Sachet + Grass</v>
          </cell>
          <cell r="R82" t="str">
            <v>Rajni ( 14 Inch ) 7     Grass</v>
          </cell>
          <cell r="S82" t="str">
            <v>P n W Glad ( 14 Inch ) 7     Grass</v>
          </cell>
          <cell r="T82" t="str">
            <v>P n W Car ( 14 Inch ) 7     FF sachet + Grass</v>
          </cell>
        </row>
        <row r="83">
          <cell r="A83">
            <v>2066</v>
          </cell>
          <cell r="B83" t="str">
            <v>Shilpi Tibrewal</v>
          </cell>
          <cell r="C83">
            <v>9999103067</v>
          </cell>
          <cell r="D83" t="str">
            <v>Tower-A/3803, Ireo Victory Valley, Sec 67</v>
          </cell>
          <cell r="E83" t="str">
            <v>Badshahpur</v>
          </cell>
          <cell r="F83" t="str">
            <v>Friday</v>
          </cell>
          <cell r="G83" t="str">
            <v>4 Pm to 7 PM</v>
          </cell>
          <cell r="H83">
            <v>1450</v>
          </cell>
          <cell r="I83">
            <v>362.5</v>
          </cell>
          <cell r="J83" t="str">
            <v>Bliss</v>
          </cell>
          <cell r="K83" t="str">
            <v>Either Rose or Car// Normal Flowers (04/05) Sent replacement today (26/08) Return yesterday (17/08) Today returned (25/07)</v>
          </cell>
          <cell r="N83" t="str">
            <v>3  del of this cycle   -  0-cycles pmnt   CompletedNO COLLECTION-we have extra money - Collect -50</v>
          </cell>
          <cell r="O83" t="str">
            <v>P Asiatic ( 15 inch ) 3     Grass</v>
          </cell>
          <cell r="P83" t="str">
            <v>R n W Car ( 14 Inch ) 16     FF Sachet + Grass</v>
          </cell>
          <cell r="Q83" t="str">
            <v>Pur Eustom ( 14 Inch ) 3     FF Sachet + Grass</v>
          </cell>
          <cell r="R83" t="str">
            <v>P n Y Spray Daisy ( 14 Inch ) 5     FF Sachet + Grass</v>
          </cell>
          <cell r="S83" t="str">
            <v xml:space="preserve">P n W Glad ( 14 Inch ) 16    Grass </v>
          </cell>
          <cell r="T83" t="str">
            <v>O Asiatic ( 14 Inch ) 3     Grass</v>
          </cell>
        </row>
        <row r="84">
          <cell r="A84">
            <v>3076</v>
          </cell>
          <cell r="B84" t="str">
            <v>Aishwarya -- Acacia</v>
          </cell>
          <cell r="C84">
            <v>8454952029</v>
          </cell>
          <cell r="D84" t="str">
            <v>11/2, Acacia, Vatika City</v>
          </cell>
          <cell r="E84" t="str">
            <v>Sohna Road 1</v>
          </cell>
          <cell r="F84" t="str">
            <v>Friday</v>
          </cell>
          <cell r="G84" t="str">
            <v>9 AM - 12 PM</v>
          </cell>
          <cell r="H84">
            <v>2750</v>
          </cell>
          <cell r="I84">
            <v>687.5</v>
          </cell>
          <cell r="J84" t="str">
            <v>Elation</v>
          </cell>
          <cell r="K84" t="str">
            <v>Upgrade to elation (06/11) Hold due to non payment (18/12) hold due to non payment (16/01)</v>
          </cell>
          <cell r="N84" t="str">
            <v>4  del of this cycle   -  0-cycles pmnt   Completed - Collect 0</v>
          </cell>
          <cell r="O84" t="str">
            <v>Sunflower ( 15 inch ) 4 P n W Glad ( 14 inch ) 15   2 Gypsola</v>
          </cell>
          <cell r="P84" t="str">
            <v>P n Y Spray Daisy ( 15 Inch ) 5 P n W Car ( 14 Inch ) 16   2 Limonium + Ff Sachet</v>
          </cell>
          <cell r="Q84" t="str">
            <v>Pur Eustom ( 14 Inch ) 3 Mix Alstroemeria ( 12 Inch ) 16   2 Gypsola + FF Sachet</v>
          </cell>
          <cell r="R84" t="str">
            <v>Y Asiatic ( 14 Inch ) 3 P n W Glad ( 14 Inch ) 16   2 Limonium</v>
          </cell>
          <cell r="S84" t="str">
            <v>Sunflower ( 12 Inch ) 4 Pur n P Car ( 14 Inch ) 16   FF sachet + Grass</v>
          </cell>
          <cell r="T84" t="str">
            <v>P n Y Spray Daisy ( 14 Inch ) 5 P n W Glad ( 14 Inch ) 15   2 Gypsola + FF Sachet</v>
          </cell>
        </row>
        <row r="85">
          <cell r="A85">
            <v>359</v>
          </cell>
          <cell r="B85" t="str">
            <v>Sudipta Karnik</v>
          </cell>
          <cell r="C85">
            <v>9810266546</v>
          </cell>
          <cell r="D85" t="str">
            <v>Tower 4, Flat 6A, Bellevue, Central Park,Sector-48    Sec 48 Gurgoan  122001</v>
          </cell>
          <cell r="E85" t="str">
            <v>Sohna Road 2</v>
          </cell>
          <cell r="F85" t="str">
            <v>Friday</v>
          </cell>
          <cell r="G85" t="str">
            <v>9 AM - 12 PM</v>
          </cell>
          <cell r="H85">
            <v>1950</v>
          </cell>
          <cell r="I85">
            <v>487.5</v>
          </cell>
          <cell r="J85" t="str">
            <v>Joy</v>
          </cell>
          <cell r="K85"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5" t="str">
            <v>4  del of this cycle   -  0-cycles pmnt   Completed - Collect 0</v>
          </cell>
          <cell r="O85" t="str">
            <v>Glad 22     Grass</v>
          </cell>
          <cell r="P85" t="str">
            <v>Y Orchid  7     FF Sachet + Grass</v>
          </cell>
          <cell r="Q85" t="str">
            <v>O Asiatic ( 14 Inch ) 4     Grass</v>
          </cell>
          <cell r="R85" t="str">
            <v>Sunflower ( 12 Inch ) 5     FF Sachet + Grass</v>
          </cell>
          <cell r="S85" t="str">
            <v>R n P Car ( 14 Inch ) 22     FF sachet + Grass</v>
          </cell>
          <cell r="T85" t="str">
            <v>Mix Alstroemeria 20     FF Sachet + Grass</v>
          </cell>
        </row>
        <row r="86">
          <cell r="A86" t="str">
            <v>B56266</v>
          </cell>
          <cell r="B86" t="str">
            <v>Dr. Neha</v>
          </cell>
          <cell r="C86">
            <v>9753785932</v>
          </cell>
          <cell r="D86" t="str">
            <v>C K Birla Hospital</v>
          </cell>
          <cell r="E86" t="str">
            <v>Nirvana Country</v>
          </cell>
          <cell r="F86" t="str">
            <v>Friday</v>
          </cell>
          <cell r="G86" t="str">
            <v>By 1 PM</v>
          </cell>
          <cell r="H86">
            <v>1100</v>
          </cell>
          <cell r="I86">
            <v>1100</v>
          </cell>
          <cell r="J86" t="str">
            <v>Bouquet</v>
          </cell>
          <cell r="K86"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86" t="str">
            <v>1  del of this cycle   -  0-cycles pmnt   In Process - Collect 0</v>
          </cell>
          <cell r="O86" t="e">
            <v>#N/A</v>
          </cell>
          <cell r="P86" t="e">
            <v>#N/A</v>
          </cell>
          <cell r="Q86" t="e">
            <v>#N/A</v>
          </cell>
          <cell r="R86" t="e">
            <v>#N/A</v>
          </cell>
          <cell r="S86" t="e">
            <v>#N/A</v>
          </cell>
          <cell r="T86" t="str">
            <v xml:space="preserve">P Rose 25 Walkin Tissue Wrap Message   </v>
          </cell>
        </row>
        <row r="87">
          <cell r="A87" t="str">
            <v>B56268</v>
          </cell>
          <cell r="B87" t="str">
            <v>Dr. Rohan Khandelewal</v>
          </cell>
          <cell r="C87">
            <v>9753785932</v>
          </cell>
          <cell r="D87" t="str">
            <v>C K Birla Hospital</v>
          </cell>
          <cell r="E87" t="str">
            <v>Nirvana Country</v>
          </cell>
          <cell r="F87" t="str">
            <v>Friday</v>
          </cell>
          <cell r="G87" t="str">
            <v>By 1 PM</v>
          </cell>
          <cell r="H87">
            <v>1100</v>
          </cell>
          <cell r="I87">
            <v>1100</v>
          </cell>
          <cell r="J87" t="str">
            <v>Bouquet</v>
          </cell>
          <cell r="K87" t="str">
            <v>From Simon Tully // Dear Doctors and Warrior Gods
Thank you! If my soul and mind could write my gratitude and blessings any better, they would. 
Always, be blessed! You’re the valour that pulls humanity and humankind through… your noble spirits are the highest devotion for me. 
In gratitude and love 
Simone Tully</v>
          </cell>
          <cell r="N87" t="str">
            <v>1  del of this cycle   -  0-cycles pmnt   In Process - Collect 0</v>
          </cell>
          <cell r="O87" t="e">
            <v>#N/A</v>
          </cell>
          <cell r="P87" t="e">
            <v>#N/A</v>
          </cell>
          <cell r="Q87" t="e">
            <v>#N/A</v>
          </cell>
          <cell r="R87" t="e">
            <v>#N/A</v>
          </cell>
          <cell r="S87" t="e">
            <v>#N/A</v>
          </cell>
          <cell r="T87" t="str">
            <v xml:space="preserve">Yel Rose 25 Walkin Tissue Wrap Message   </v>
          </cell>
        </row>
        <row r="88">
          <cell r="B88" t="str">
            <v>Rashmi Mehta</v>
          </cell>
          <cell r="C88" t="str">
            <v>96192 02856</v>
          </cell>
          <cell r="D88" t="str">
            <v>Flat 1802 Tower 14 The Close South Nirvana country</v>
          </cell>
          <cell r="H88">
            <v>3410</v>
          </cell>
          <cell r="J88" t="str">
            <v>Bouquet</v>
          </cell>
          <cell r="K88" t="str">
            <v>Rashmi Mehta tomorrow morning 
Here is my final order: 
4 oriental Lilies (long stalk with most flowers) 
1 blue orchid 
12 Rajnigandha - long stalk (my vase is very long) 
1 preserved hydrangea (pink only if available) 
12 Carnations - pink and white (long stem) 
palm leaves, greens
2 Gypso
+91 96192 02856</v>
          </cell>
          <cell r="T88" t="str">
            <v>W Oriental Lilies+Blue Orchid+Rajni+Pink n White Car+preserved hydrangea  4+1+12+12+1     palm leaves, greens
2 Gypso</v>
          </cell>
        </row>
        <row r="89">
          <cell r="B89" t="str">
            <v xml:space="preserve"> Dhara and Parveen</v>
          </cell>
          <cell r="C89">
            <v>9910317963</v>
          </cell>
          <cell r="D89" t="str">
            <v xml:space="preserve">C1-702,Vatika City </v>
          </cell>
          <cell r="H89">
            <v>600</v>
          </cell>
          <cell r="J89" t="str">
            <v>Bouquet</v>
          </cell>
          <cell r="K89" t="str">
            <v>Pls send this bouquet for my friend's anniversary 
Name: Dhara and Parveen
Address: C1-702,Vatika City 
Msg: Wishing you both a lifetime of bliss and happiness 
With love, From:
Lakshmi and Prashant
Dhara- +919910317963
Send today from Lakshmi Shankara a</v>
          </cell>
          <cell r="T89" t="str">
            <v xml:space="preserve">Red n White Car 10 Korean Wrap Message   </v>
          </cell>
        </row>
        <row r="90">
          <cell r="A90">
            <v>3309</v>
          </cell>
          <cell r="B90" t="str">
            <v>Tahzeeb Mohammad</v>
          </cell>
          <cell r="C90">
            <v>9986608474</v>
          </cell>
          <cell r="D90" t="str">
            <v>Natura Tower -1, N 2105, M3M Marina, Sec 68</v>
          </cell>
          <cell r="E90" t="str">
            <v>Badshahpur</v>
          </cell>
          <cell r="F90" t="str">
            <v>Friday</v>
          </cell>
          <cell r="G90" t="str">
            <v>9 AM - 12 PM</v>
          </cell>
          <cell r="H90">
            <v>2550</v>
          </cell>
          <cell r="I90">
            <v>318.75</v>
          </cell>
          <cell r="J90" t="str">
            <v>Bi weekly Customised</v>
          </cell>
          <cell r="K90" t="str">
            <v>Gerbera // Rajni // Sunflowers // Eustoma // Orchid // Skip Monday (15/05)</v>
          </cell>
          <cell r="N90" t="str">
            <v>6  del of this cycle   -  0-cycles pmnt   Completed - Collect 0</v>
          </cell>
          <cell r="O90" t="str">
            <v>Rajni ( 16 inch ) 11     Grass</v>
          </cell>
          <cell r="P90" t="str">
            <v>P Eustoma ( 14 Inch ) 3     FF Sachet + Grass</v>
          </cell>
          <cell r="Q90" t="str">
            <v>G Orchid 4     Grass</v>
          </cell>
          <cell r="R90" t="str">
            <v>Rajni ( 14 Inch ) 11     Grass</v>
          </cell>
          <cell r="S90" t="str">
            <v>Pur Eustom ( 12 Inch ) 3     FF Sachet + Grass</v>
          </cell>
          <cell r="T90" t="str">
            <v>Pur Eustoma ( 12 Inch ) 3     FF sachet + Grass</v>
          </cell>
        </row>
        <row r="91">
          <cell r="B91" t="str">
            <v>Malvika Samnani</v>
          </cell>
          <cell r="C91" t="str">
            <v>98181 12646</v>
          </cell>
          <cell r="D91" t="str">
            <v>402 A Hamilton court</v>
          </cell>
          <cell r="H91">
            <v>1150</v>
          </cell>
          <cell r="J91" t="str">
            <v>Bouquet</v>
          </cell>
          <cell r="K91" t="str">
            <v>402 A Hamilton court
Malvika Samnani
+91 98181 12646
Pls send 5 sunflowers and 10 Rajnigandha with areca palm n greens today..</v>
          </cell>
          <cell r="T91" t="str">
            <v xml:space="preserve">Sunflowers and Rajnigandha 5+10     areca palm n greens </v>
          </cell>
        </row>
        <row r="92">
          <cell r="A92">
            <v>1467</v>
          </cell>
          <cell r="B92" t="str">
            <v>Priyanka Chaturvedi</v>
          </cell>
          <cell r="C92">
            <v>7838930274</v>
          </cell>
          <cell r="D92" t="str">
            <v xml:space="preserve">Flat No. A-303, The Peaceful Homes, Sec 70-A
</v>
          </cell>
          <cell r="E92" t="str">
            <v>Badshahpur</v>
          </cell>
          <cell r="F92" t="str">
            <v>Friday</v>
          </cell>
          <cell r="G92" t="str">
            <v>9 AM - 12 PM</v>
          </cell>
          <cell r="H92">
            <v>1600</v>
          </cell>
          <cell r="I92">
            <v>200</v>
          </cell>
          <cell r="J92" t="str">
            <v>Bloom</v>
          </cell>
          <cell r="K92"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2" t="str">
            <v>ROSE n SPRAY DAISY</v>
          </cell>
          <cell r="N92" t="str">
            <v>2  del of this cycle   -  1-cycles pmnt   Pending - Collect 1600</v>
          </cell>
          <cell r="O92" t="str">
            <v>Rajni ( 16 inch ) 7     Grass</v>
          </cell>
          <cell r="P92" t="e">
            <v>#N/A</v>
          </cell>
          <cell r="Q92" t="e">
            <v>#N/A</v>
          </cell>
          <cell r="R92" t="str">
            <v>Glad ( 12 Inch ) 7     Grass</v>
          </cell>
          <cell r="S92" t="str">
            <v>P n W Glad ( 14 Inch ) 11     Grass</v>
          </cell>
          <cell r="T92" t="str">
            <v>P n W Car  ( 14 Inch ) 7     FF sachet + Grass</v>
          </cell>
        </row>
        <row r="93">
          <cell r="A93">
            <v>3381</v>
          </cell>
          <cell r="B93" t="str">
            <v>Swati Gaur</v>
          </cell>
          <cell r="C93">
            <v>9769021701</v>
          </cell>
          <cell r="D93" t="str">
            <v>T-5/2617, Center court by County, Sec 88 A</v>
          </cell>
          <cell r="E93" t="str">
            <v>Manesar</v>
          </cell>
          <cell r="F93" t="str">
            <v>Friday</v>
          </cell>
          <cell r="G93" t="str">
            <v>4 Pm to 7 PM</v>
          </cell>
          <cell r="H93">
            <v>2750</v>
          </cell>
          <cell r="I93">
            <v>687.5</v>
          </cell>
          <cell r="J93" t="str">
            <v>Elation</v>
          </cell>
          <cell r="N93" t="str">
            <v>2  del of this cycle   -  0-cycles pmnt   Completed - Collect 0</v>
          </cell>
          <cell r="O93" t="e">
            <v>#N/A</v>
          </cell>
          <cell r="P93" t="e">
            <v>#N/A</v>
          </cell>
          <cell r="Q93" t="e">
            <v>#N/A</v>
          </cell>
          <cell r="R93" t="e">
            <v>#N/A</v>
          </cell>
          <cell r="S93" t="str">
            <v>R n P Car ( 14 Inch ) 32     FF sachet + Grass</v>
          </cell>
          <cell r="T93" t="str">
            <v>O Asiatic ( 14 Inch ) 6     2 Gypaols</v>
          </cell>
        </row>
        <row r="94">
          <cell r="A94">
            <v>3013</v>
          </cell>
          <cell r="B94" t="str">
            <v>Surabhi Sukriti</v>
          </cell>
          <cell r="C94">
            <v>8652750573</v>
          </cell>
          <cell r="D94" t="str">
            <v>D-804, Bestech Park Viw Spa Next, Sec 67</v>
          </cell>
          <cell r="E94" t="str">
            <v>Badshahpur</v>
          </cell>
          <cell r="F94" t="str">
            <v>Friday</v>
          </cell>
          <cell r="G94" t="str">
            <v>4 PM to 7 PM</v>
          </cell>
          <cell r="H94">
            <v>1450</v>
          </cell>
          <cell r="I94">
            <v>362.5</v>
          </cell>
          <cell r="J94" t="str">
            <v>Bliss</v>
          </cell>
          <cell r="K94" t="str">
            <v>Skip 1 week (01/10) Add changed (05/04)</v>
          </cell>
          <cell r="N94" t="str">
            <v>1  del of this cycle   -  1-cycles pmnt   Pending - Collect 1450</v>
          </cell>
          <cell r="O94" t="str">
            <v>Sunflower ( 15 inch ) 2 P n W Car ( 14 inch ) 7   FF Sachet + Grass</v>
          </cell>
          <cell r="P94" t="str">
            <v>O Asiatic ( 15 Inch ) 2 Mix Alstroemeria ( 12 Inch )  7   Grass</v>
          </cell>
          <cell r="Q94" t="str">
            <v>P Spray Daisy ( 14 Inch ) 3 P n W Glad ( 14 Inch ) 7   FF Sachet + Grass</v>
          </cell>
          <cell r="R94" t="str">
            <v>Pur Eustoma ( 12 Inch ) 2 Pur n P Car ( 14 Inch ) 7   FF Sachet + Grass</v>
          </cell>
          <cell r="S94" t="str">
            <v xml:space="preserve">Sunflower ( 12 Inch ) 2 Mix Alstroemeria (  12 Inch ) 7  FF Sachet + Grass </v>
          </cell>
          <cell r="T94" t="str">
            <v>P Asiatic ( 14 Inch ) 2 Glad ( 14 Inch ) 7   Grass</v>
          </cell>
        </row>
        <row r="95">
          <cell r="A95">
            <v>3185</v>
          </cell>
          <cell r="B95" t="str">
            <v>Kamla Anand</v>
          </cell>
          <cell r="C95">
            <v>9711216660</v>
          </cell>
          <cell r="D95" t="str">
            <v>83  Jasminium 1,Vatika city 
Sec 49</v>
          </cell>
          <cell r="E95" t="str">
            <v>Sohna Road 1</v>
          </cell>
          <cell r="F95" t="str">
            <v>Friday</v>
          </cell>
          <cell r="G95" t="str">
            <v>9 AM - 12 PM</v>
          </cell>
          <cell r="H95">
            <v>999</v>
          </cell>
          <cell r="I95">
            <v>249.75</v>
          </cell>
          <cell r="J95" t="str">
            <v>Delight</v>
          </cell>
          <cell r="K95" t="str">
            <v>Skip tom (09/04)</v>
          </cell>
          <cell r="N95" t="str">
            <v>3  del of this cycle   -  0-cycles pmnt   Completed - Collect 0</v>
          </cell>
          <cell r="O95" t="str">
            <v>Sunflower ( 15 inch ) 2     Grass</v>
          </cell>
          <cell r="P95" t="str">
            <v>R n W Car ( 14 Inch ) 9     FF Sachet + Grass</v>
          </cell>
          <cell r="Q95" t="str">
            <v>P Spray Daisy ( 14 Inch ) 3     FF Sachet + Grass</v>
          </cell>
          <cell r="R95" t="str">
            <v>P n W Glad ( 14 Inch ) 9     Grass</v>
          </cell>
          <cell r="S95" t="str">
            <v xml:space="preserve">O Asiatic ( 14 Inch ) 2    Grass </v>
          </cell>
          <cell r="T95" t="str">
            <v>Rajni ( 14 Inch ) 9     Grass</v>
          </cell>
        </row>
        <row r="96">
          <cell r="A96">
            <v>3338</v>
          </cell>
          <cell r="B96" t="str">
            <v>Richa Khullar</v>
          </cell>
          <cell r="C96">
            <v>9871797835</v>
          </cell>
          <cell r="D96" t="str">
            <v>A3/1101, Tulip Yellow</v>
          </cell>
          <cell r="E96" t="str">
            <v>Badshahpur</v>
          </cell>
          <cell r="F96" t="str">
            <v>Friday</v>
          </cell>
          <cell r="G96" t="str">
            <v>4 Pm to 7 PM</v>
          </cell>
          <cell r="H96">
            <v>1450</v>
          </cell>
          <cell r="I96">
            <v>362.5</v>
          </cell>
          <cell r="J96" t="str">
            <v>Bliss</v>
          </cell>
          <cell r="K96" t="str">
            <v>Love Alstroemeria  // Skip 1 week (16/06)</v>
          </cell>
          <cell r="N96" t="str">
            <v>1  del of this cycle   -  1-cycles pmnt   Pending - Collect 1450</v>
          </cell>
          <cell r="O96" t="str">
            <v>P n W Glad ( 16 Inch) 16     Grass</v>
          </cell>
          <cell r="P96" t="str">
            <v>R n W Car ( 14 Inch ) 16     FF Sachet + Grass</v>
          </cell>
          <cell r="Q96" t="str">
            <v>O Asiatic ( 14 Inch ) 3     Grass</v>
          </cell>
          <cell r="R96" t="str">
            <v>P n W Spray Daisy ( 14 Inch ) 5     FF Sachet + Grass</v>
          </cell>
          <cell r="S96" t="e">
            <v>#N/A</v>
          </cell>
          <cell r="T96" t="str">
            <v>P n W Glad ( 14 Inch ) 16     Grass</v>
          </cell>
        </row>
        <row r="97">
          <cell r="A97">
            <v>2311</v>
          </cell>
          <cell r="B97" t="str">
            <v>Ranjeeta Sanghvi</v>
          </cell>
          <cell r="C97">
            <v>9986593206</v>
          </cell>
          <cell r="D97" t="str">
            <v>T-3/TH-B, Bellevue. Central Park 2</v>
          </cell>
          <cell r="E97" t="str">
            <v>Sohna Road 2</v>
          </cell>
          <cell r="F97" t="str">
            <v>Friday</v>
          </cell>
          <cell r="G97" t="str">
            <v>9 AM - 12 PM</v>
          </cell>
          <cell r="H97">
            <v>1450</v>
          </cell>
          <cell r="I97">
            <v>362.5</v>
          </cell>
          <cell r="J97" t="str">
            <v>Bliss</v>
          </cell>
          <cell r="N97" t="str">
            <v>2  del of this cycle   -  0-cycles pmnt   Completed - Collect 0</v>
          </cell>
          <cell r="O97" t="str">
            <v>P Spray Daisy ( 15 inch ) 3 P n W Glad ( 14 inch ) 9   FF Sachet + Grass</v>
          </cell>
          <cell r="P97" t="str">
            <v>Mix Alstroemeria ( 12 Inch ) 9     FF Sachet + Grass</v>
          </cell>
          <cell r="Q97" t="str">
            <v>P n W Glad ( 14 Inch ) 9     Grass</v>
          </cell>
          <cell r="R97" t="str">
            <v>Pur n P Car ( 14 Inch ) 9     FF Sachet + Grass</v>
          </cell>
          <cell r="S97" t="str">
            <v xml:space="preserve">O Asiatic ( 14 Inch ) 3    Grass </v>
          </cell>
          <cell r="T97" t="str">
            <v>Pur Eustoma ( 12 Inch ) 3     FF sachet + Grass</v>
          </cell>
        </row>
        <row r="98">
          <cell r="A98">
            <v>152</v>
          </cell>
          <cell r="B98" t="str">
            <v xml:space="preserve">
Manisha Kahai
</v>
          </cell>
          <cell r="C98">
            <v>9810013410</v>
          </cell>
          <cell r="D98" t="str">
            <v xml:space="preserve">Flat number 41, Jasminium 1, Vatika City, Sector 49 (Sohna Road)    Sec 49 Gurgaon  122001 
</v>
          </cell>
          <cell r="E98" t="str">
            <v>Sohna Road 1</v>
          </cell>
          <cell r="F98" t="str">
            <v>Friday</v>
          </cell>
          <cell r="G98" t="str">
            <v>9 AM - 12 PM</v>
          </cell>
          <cell r="H98">
            <v>1450</v>
          </cell>
          <cell r="I98">
            <v>362.5</v>
          </cell>
          <cell r="J98" t="str">
            <v>Bliss</v>
          </cell>
          <cell r="K98" t="str">
            <v>Day changed to Sat (25/02)Return-send tomorrow(03/11)Hold and start from 11th may(06/04) FF Sold today(03/08) FF Sold today n payment recvd(07/09) Holy Change(16/03) FF Next(20/03) Paytm from Manisha Singh (09/06) 250 returned via paytm (03/.11) Today Returned (18/07)</v>
          </cell>
          <cell r="N98" t="str">
            <v>3  del of this cycle   -  0-cycles pmnt   Completed - Collect 0</v>
          </cell>
          <cell r="O98" t="str">
            <v>P Asiatic ( 15 inch ) 3     Grass</v>
          </cell>
          <cell r="P98" t="str">
            <v>R n W Car ( 14 Inch ) 16     FF Sachet + Grass</v>
          </cell>
          <cell r="Q98" t="str">
            <v>P n W Glad ( 14 Inch ) 16     Grass</v>
          </cell>
          <cell r="R98" t="str">
            <v>Sunflower ( 12 Inch ) 4     FF Sachet + Grass</v>
          </cell>
          <cell r="S98" t="str">
            <v xml:space="preserve">Pur Eustom ( 12 Inch ) 3    FF Sachet + Grass </v>
          </cell>
          <cell r="T98" t="str">
            <v>O Asiatic ( 14 Inch ) 3     Grass</v>
          </cell>
        </row>
        <row r="99">
          <cell r="A99">
            <v>3388</v>
          </cell>
          <cell r="B99" t="str">
            <v>Malvika Anand</v>
          </cell>
          <cell r="C99">
            <v>9811822238</v>
          </cell>
          <cell r="D99" t="str">
            <v>A1, Cloud 9 Cottages, Vill Dhumaspur, Sec 67 A</v>
          </cell>
          <cell r="E99" t="str">
            <v>Badshahpur</v>
          </cell>
          <cell r="F99" t="str">
            <v>Friday</v>
          </cell>
          <cell r="G99" t="str">
            <v>9 AM - 12 PM</v>
          </cell>
          <cell r="H99">
            <v>1950</v>
          </cell>
          <cell r="I99">
            <v>487.5</v>
          </cell>
          <cell r="J99" t="str">
            <v>Joy</v>
          </cell>
          <cell r="N99" t="str">
            <v>1  del of this cycle   -  0-cycles pmnt   Completed - Collect 0</v>
          </cell>
          <cell r="O99" t="e">
            <v>#N/A</v>
          </cell>
          <cell r="P99" t="e">
            <v>#N/A</v>
          </cell>
          <cell r="Q99" t="e">
            <v>#N/A</v>
          </cell>
          <cell r="R99" t="e">
            <v>#N/A</v>
          </cell>
          <cell r="S99" t="e">
            <v>#N/A</v>
          </cell>
          <cell r="T99" t="str">
            <v>Pur n P Car ( 14 Inch ) 22     FF Sachet + Grass</v>
          </cell>
        </row>
        <row r="100">
          <cell r="A100">
            <v>113</v>
          </cell>
          <cell r="B100" t="str">
            <v>Subhadra Chatterjee</v>
          </cell>
          <cell r="C100">
            <v>8826368500</v>
          </cell>
          <cell r="D100" t="str">
            <v>Tower -E, Flat 10B, Central Park Resort</v>
          </cell>
          <cell r="E100" t="str">
            <v>Sohna Road 2</v>
          </cell>
          <cell r="F100" t="str">
            <v>Friday</v>
          </cell>
          <cell r="G100" t="str">
            <v>9 AM - 12 PM</v>
          </cell>
          <cell r="H100">
            <v>1950</v>
          </cell>
          <cell r="I100">
            <v>487.5</v>
          </cell>
          <cell r="J100" t="str">
            <v>Joy</v>
          </cell>
          <cell r="K100"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100" t="str">
            <v>GULDAWARI n ROSE</v>
          </cell>
          <cell r="N100" t="str">
            <v>2  del of this cycle   -  1-cycles pmnt   Pending - Collect 1950</v>
          </cell>
          <cell r="O100" t="str">
            <v>P Asiatic ( 15 inch ) 4     Grass</v>
          </cell>
          <cell r="P100" t="str">
            <v>Y Orchid  7     FF Sachet + Grass</v>
          </cell>
          <cell r="Q100" t="e">
            <v>#N/A</v>
          </cell>
          <cell r="R100" t="e">
            <v>#N/A</v>
          </cell>
          <cell r="S100" t="str">
            <v>B Orchid  7     FF sachet + Grass</v>
          </cell>
          <cell r="T100" t="str">
            <v>O Asiatic ( 14 Inch ) 4     Grass</v>
          </cell>
        </row>
        <row r="101">
          <cell r="B101" t="str">
            <v>Ruchi mathure</v>
          </cell>
          <cell r="C101">
            <v>9871265555</v>
          </cell>
          <cell r="D101" t="str">
            <v>D-013, Westend height, DLF-5</v>
          </cell>
          <cell r="H101">
            <v>760</v>
          </cell>
          <cell r="J101" t="str">
            <v>Bouquet</v>
          </cell>
          <cell r="K101" t="str">
            <v>Pls send 4 pink Asiatic and 4 Rajnigandha with areca palm n greens today to Ruchi Mathure — +91 98712 65555</v>
          </cell>
          <cell r="T101" t="str">
            <v>Pink Asiatic and  Rajnigandha 4+4     areca palm n greens</v>
          </cell>
        </row>
        <row r="102">
          <cell r="A102">
            <v>2712</v>
          </cell>
          <cell r="B102" t="str">
            <v>Ankita Aeron</v>
          </cell>
          <cell r="C102">
            <v>8860253167</v>
          </cell>
          <cell r="D102" t="str">
            <v>D-701, Shree Vardhman Victoria, Sec 70</v>
          </cell>
          <cell r="E102" t="str">
            <v>Badshahpur</v>
          </cell>
          <cell r="F102" t="str">
            <v>Friday</v>
          </cell>
          <cell r="G102" t="str">
            <v>9:30 Am to 2 PM</v>
          </cell>
          <cell r="H102">
            <v>1450</v>
          </cell>
          <cell r="I102">
            <v>362.5</v>
          </cell>
          <cell r="J102" t="str">
            <v>Bliss</v>
          </cell>
          <cell r="K102" t="str">
            <v>Car Next (27/06) Do not send on 8th and 15th Aug (31/07) Skip 1 week (18/09) Skip 2 week (15/10) Skip 1 week (09/06)</v>
          </cell>
          <cell r="M102" t="str">
            <v>Car Next (27/06)</v>
          </cell>
          <cell r="N102" t="str">
            <v>1  del of this cycle   -  1-cycles pmnt   Pending - Collect 1450</v>
          </cell>
          <cell r="O102" t="str">
            <v>W Eustoma ( 14 inch ) 2 P n W Car ( 14 inch ) 7   FF Sachet + Grass</v>
          </cell>
          <cell r="P102" t="str">
            <v>O Asiatic ( 15 Inch ) 2 P n W Glad ( 14 Inch ) 7   Grass</v>
          </cell>
          <cell r="Q102" t="str">
            <v>Sunflower ( 12 Inch ) 2 Mix Alstroemeria ( 12 Inch ) 7   FF Sachet + Grass</v>
          </cell>
          <cell r="R102" t="e">
            <v>#N/A</v>
          </cell>
          <cell r="S102" t="str">
            <v xml:space="preserve">P Spray Daisy ( 14 Inch ) 3 Pur n P Car ( 14 Inch ) 7  FF Sachet + Grass </v>
          </cell>
          <cell r="T102" t="str">
            <v>P Asiatic ( 14 Inch ) 2 P n W Glad ( 14 Inch ) 7   Grass</v>
          </cell>
        </row>
        <row r="103">
          <cell r="A103">
            <v>3081</v>
          </cell>
          <cell r="B103" t="str">
            <v xml:space="preserve">Nikhat </v>
          </cell>
          <cell r="C103" t="str">
            <v>90044 52898‬</v>
          </cell>
          <cell r="D103" t="str">
            <v>Tower B, flat 074, DLF regal gardens , sector 90</v>
          </cell>
          <cell r="E103" t="str">
            <v>Manesar</v>
          </cell>
          <cell r="F103" t="str">
            <v>Friday</v>
          </cell>
          <cell r="G103" t="str">
            <v>4 PM to 7 PM</v>
          </cell>
          <cell r="H103">
            <v>1450</v>
          </cell>
          <cell r="I103">
            <v>362.5</v>
          </cell>
          <cell r="J103" t="str">
            <v>Bliss</v>
          </cell>
          <cell r="K103" t="str">
            <v>Paytm From Puneet Pundora (06/03) Hold today (20/03)</v>
          </cell>
          <cell r="N103" t="str">
            <v>4  del of this cycle   -  0-cycles pmnt   Completed - Collect 0</v>
          </cell>
          <cell r="O103" t="str">
            <v>P Asiatic ( 15 inch ) 2 P n W Car ( 14 inch ) 7   Grass</v>
          </cell>
          <cell r="P103" t="str">
            <v>Sunflower ( 14 Inch ) 2 Mix Alstroemeria ( 12 Inch )  7   FF Sachet + Grass</v>
          </cell>
          <cell r="Q103" t="str">
            <v>Pur Eustom ( 14 Inch ) 2 P n W Glad ( 14 Inch ) 7   FF Sachet + Grass</v>
          </cell>
          <cell r="R103" t="str">
            <v>W Asiatic ( 14 inch ) 2 Pur n P Car ( 14 Inch ) 7   Grass</v>
          </cell>
          <cell r="S103" t="str">
            <v xml:space="preserve">P Spray Daisy ( 14 Inch ) 3 Mix Alstroemeria (  12 Inch ) 7  FF Sachet + Grass </v>
          </cell>
          <cell r="T103" t="str">
            <v>Eustoma  2 P n W Glad ( 14 Inch ) 7   FF sachet + Grass</v>
          </cell>
        </row>
        <row r="104">
          <cell r="A104">
            <v>3389</v>
          </cell>
          <cell r="B104" t="str">
            <v>Ritika -- DLF Regal</v>
          </cell>
          <cell r="C104">
            <v>9975423958</v>
          </cell>
          <cell r="D104" t="str">
            <v>E-144, DLF Regal Garden, Sec 90</v>
          </cell>
          <cell r="E104" t="str">
            <v>Manesar</v>
          </cell>
          <cell r="F104" t="str">
            <v>Friday</v>
          </cell>
          <cell r="G104" t="str">
            <v>4 Pm to 7 PM</v>
          </cell>
          <cell r="H104">
            <v>1950</v>
          </cell>
          <cell r="I104">
            <v>487.5</v>
          </cell>
          <cell r="J104" t="str">
            <v>Joy</v>
          </cell>
          <cell r="K104" t="str">
            <v>From Ritika Hatanagdy</v>
          </cell>
          <cell r="N104" t="str">
            <v>1  del of this cycle   -  0-cycles pmnt   Completed - Collect 0</v>
          </cell>
          <cell r="O104" t="e">
            <v>#N/A</v>
          </cell>
          <cell r="P104" t="e">
            <v>#N/A</v>
          </cell>
          <cell r="Q104" t="e">
            <v>#N/A</v>
          </cell>
          <cell r="R104" t="e">
            <v>#N/A</v>
          </cell>
          <cell r="S104" t="e">
            <v>#N/A</v>
          </cell>
          <cell r="T104" t="str">
            <v>Alstromeria 22     FF Sachet + Grass</v>
          </cell>
        </row>
        <row r="105">
          <cell r="A105">
            <v>3099</v>
          </cell>
          <cell r="B105" t="str">
            <v>Manisha Mishra</v>
          </cell>
          <cell r="C105">
            <v>9910993142</v>
          </cell>
          <cell r="D105" t="str">
            <v>E-1202, maceo appartmnet, sector 91</v>
          </cell>
          <cell r="E105" t="str">
            <v>Dwarka Expressway</v>
          </cell>
          <cell r="F105" t="str">
            <v>Friday</v>
          </cell>
          <cell r="G105" t="str">
            <v>4 PM to 7 PM</v>
          </cell>
          <cell r="H105">
            <v>1950</v>
          </cell>
          <cell r="I105">
            <v>487.5</v>
          </cell>
          <cell r="J105" t="str">
            <v>Joy</v>
          </cell>
          <cell r="K105" t="str">
            <v>Paytm from Rohit Ahuja</v>
          </cell>
          <cell r="N105" t="str">
            <v>4  del of this cycle   -  0-cycles pmnt   Completed - Collect 0</v>
          </cell>
          <cell r="O105" t="str">
            <v>P Asiatic ( 15 inch ) 2 R n W Car( 14 inch ) 11   Grass</v>
          </cell>
          <cell r="P105" t="str">
            <v>Sunflower ( 14 Inch ) 3  Spray Carnation  10   FF Sachet + Grass</v>
          </cell>
          <cell r="Q105" t="str">
            <v>Pur Eustom ( 14 Inch ) 2 P n W Glad ( 14 Inch ) 11   FF Sachet + Grass</v>
          </cell>
          <cell r="R105" t="str">
            <v>P n Y Spray Daisy ( 14 Inch ) 4 Mix Alstroemeria ( 12 Inch ) 11   FF Sachet + Grass</v>
          </cell>
          <cell r="S105" t="str">
            <v>O Asiatic ( 14 Inch ) 2 Pur n P Car ( 14 Inch ) 11   Grass</v>
          </cell>
          <cell r="T105" t="str">
            <v>Asiatic 2 Alstromeria 11   FF Sachet + Grass</v>
          </cell>
        </row>
        <row r="106">
          <cell r="A106">
            <v>2435</v>
          </cell>
          <cell r="B106" t="str">
            <v>Manisha Aswani</v>
          </cell>
          <cell r="C106">
            <v>7426027603</v>
          </cell>
          <cell r="D106" t="str">
            <v>4-I/302, Orris Aster Court. Sec 85</v>
          </cell>
          <cell r="E106" t="str">
            <v>Manesar</v>
          </cell>
          <cell r="F106" t="str">
            <v>Friday</v>
          </cell>
          <cell r="G106" t="str">
            <v>After 5:30 PM</v>
          </cell>
          <cell r="H106">
            <v>1450</v>
          </cell>
          <cell r="I106">
            <v>362.5</v>
          </cell>
          <cell r="J106" t="str">
            <v>Bliss</v>
          </cell>
          <cell r="K106" t="str">
            <v>Insta // Sent replacement today (05/04) Sent Replacement today (19/04) Do Not Count last Del (06/05) Hold she will confirm (14/05) Payment confussion(29/06) Skip 1 week (22/04) Today Hold and skip (15/05) HDTNP (29/05)</v>
          </cell>
          <cell r="M106" t="str">
            <v>Premium Flowers Extra next (16/08)</v>
          </cell>
          <cell r="N106" t="str">
            <v>2  del of this cycle   -  1-cycles pmnt   Pending - Collect 1450</v>
          </cell>
          <cell r="O106" t="e">
            <v>#N/A</v>
          </cell>
          <cell r="P106" t="str">
            <v xml:space="preserve">Collect 725 Carry Receipt Book Collect 725 with Change Carry Receipt Book Collect 725 with Change Carry Receipt Book </v>
          </cell>
          <cell r="Q106" t="str">
            <v>O Asiatic ( 14 Inch ) 3     Grass</v>
          </cell>
          <cell r="R106" t="str">
            <v>P n W Glad ( 14 Inch ) 16     Grass</v>
          </cell>
          <cell r="S106" t="str">
            <v xml:space="preserve">P Eustoma ( 12 Inch ) 3    FF Sachet + Grass </v>
          </cell>
          <cell r="T106" t="str">
            <v>Alstromeria 16     FF sachet + Grass</v>
          </cell>
        </row>
        <row r="107">
          <cell r="A107">
            <v>2674</v>
          </cell>
          <cell r="B107" t="str">
            <v>Jaspreet Dhillon</v>
          </cell>
          <cell r="C107">
            <v>9971159399</v>
          </cell>
          <cell r="D107" t="str">
            <v>T-2/204, Uniworld Garden -1</v>
          </cell>
          <cell r="E107" t="str">
            <v>Sohna Road 1</v>
          </cell>
          <cell r="F107" t="str">
            <v>Friday</v>
          </cell>
          <cell r="G107" t="str">
            <v>9 AM - 12 PM</v>
          </cell>
          <cell r="H107">
            <v>999</v>
          </cell>
          <cell r="I107">
            <v>249.75</v>
          </cell>
          <cell r="J107" t="str">
            <v>Delight</v>
          </cell>
          <cell r="K107"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07" t="str">
            <v>Sunflower</v>
          </cell>
          <cell r="N107" t="str">
            <v>3  del of this cycle   -  0-cycles pmnt   Completed - Collect 0</v>
          </cell>
          <cell r="O107" t="e">
            <v>#N/A</v>
          </cell>
          <cell r="P107" t="str">
            <v>P n W Glad ( 14 Inch ) 9     Grass</v>
          </cell>
          <cell r="Q107" t="str">
            <v>P Asiatic ( 14 Inch ) 2     Grass</v>
          </cell>
          <cell r="R107" t="str">
            <v>Mix Alstroemeria ( 12 Inch ) 9     FF Sachet + Grass</v>
          </cell>
          <cell r="S107" t="str">
            <v xml:space="preserve">P Spray Daisy ( 14 Inch ) 3    FF Sachet + Grass </v>
          </cell>
          <cell r="T107" t="str">
            <v>Pur Eustoma ( 12 Inch ) 9     FF aschet + Grass</v>
          </cell>
        </row>
        <row r="108">
          <cell r="A108">
            <v>2448</v>
          </cell>
          <cell r="B108" t="str">
            <v>Sonali Srivastava -- 1450 Pack</v>
          </cell>
          <cell r="C108">
            <v>8510051543</v>
          </cell>
          <cell r="D108" t="str">
            <v>T2/25A, SS, The Leaf, Sec 85</v>
          </cell>
          <cell r="E108" t="str">
            <v>Manesar</v>
          </cell>
          <cell r="F108" t="str">
            <v>Friday</v>
          </cell>
          <cell r="G108" t="str">
            <v>9:30 Am to 2 PM</v>
          </cell>
          <cell r="H108">
            <v>999</v>
          </cell>
          <cell r="I108">
            <v>249.75</v>
          </cell>
          <cell r="J108" t="str">
            <v>Delight</v>
          </cell>
          <cell r="K108" t="str">
            <v>Insta // 1st Del on Monday and then Friday morning (17/07) Skip tom n send on Monday (24/08) Hold due to non payment (16/01) HDTNP(20/02) HDTNP (24/04) Skip 2 week (13/05)</v>
          </cell>
          <cell r="N108" t="str">
            <v>4  del of this cycle   -  0-cycles pmnt   Completed - Collect 0</v>
          </cell>
          <cell r="O108" t="e">
            <v>#N/A</v>
          </cell>
          <cell r="P108" t="e">
            <v>#N/A</v>
          </cell>
          <cell r="Q108" t="e">
            <v>#N/A</v>
          </cell>
          <cell r="R108" t="e">
            <v>#N/A</v>
          </cell>
          <cell r="S108" t="str">
            <v xml:space="preserve">P n W Glad ( 14 Inch ) 9    Grass </v>
          </cell>
          <cell r="T108" t="str">
            <v>P Asiatic ( 14 Inch ) 2     Grass</v>
          </cell>
        </row>
        <row r="109">
          <cell r="A109">
            <v>3391</v>
          </cell>
          <cell r="B109" t="str">
            <v>Prabudh Vaidya</v>
          </cell>
          <cell r="C109">
            <v>9013524554</v>
          </cell>
          <cell r="D109" t="str">
            <v>T-B/503, Shree Vardhman Mantra, Sec 67</v>
          </cell>
          <cell r="E109" t="str">
            <v>Badshahpur</v>
          </cell>
          <cell r="F109" t="str">
            <v>Friday</v>
          </cell>
          <cell r="G109" t="str">
            <v>9 AM - 12 PM</v>
          </cell>
          <cell r="H109">
            <v>1450</v>
          </cell>
          <cell r="I109">
            <v>362.5</v>
          </cell>
          <cell r="J109" t="str">
            <v>Bliss</v>
          </cell>
          <cell r="N109" t="str">
            <v>1  del of this cycle   -  0-cycles pmnt   Completed - Collect 0</v>
          </cell>
          <cell r="O109" t="e">
            <v>#N/A</v>
          </cell>
          <cell r="P109" t="e">
            <v>#N/A</v>
          </cell>
          <cell r="Q109" t="e">
            <v>#N/A</v>
          </cell>
          <cell r="R109" t="e">
            <v>#N/A</v>
          </cell>
          <cell r="S109" t="e">
            <v>#N/A</v>
          </cell>
          <cell r="T109" t="str">
            <v>Pur n P Car ( 14 Inch ) 16     FF sachet + Grass</v>
          </cell>
        </row>
        <row r="110">
          <cell r="A110">
            <v>2858</v>
          </cell>
          <cell r="B110" t="str">
            <v>Devika Tandon</v>
          </cell>
          <cell r="C110">
            <v>8527991304</v>
          </cell>
          <cell r="D110" t="str">
            <v>A-293, AIPL The Peaceful Homes</v>
          </cell>
          <cell r="E110" t="str">
            <v>Badshahpur</v>
          </cell>
          <cell r="F110" t="str">
            <v>Friday</v>
          </cell>
          <cell r="G110" t="str">
            <v>4 PM to 7PM</v>
          </cell>
          <cell r="H110">
            <v>1450</v>
          </cell>
          <cell r="I110">
            <v>362.5</v>
          </cell>
          <cell r="J110" t="str">
            <v>Bliss</v>
          </cell>
          <cell r="N110" t="str">
            <v>2  del of this cycle   -  1-cycles pmnt   Pending - Collect 1450</v>
          </cell>
          <cell r="O110" t="str">
            <v>R n W Car ( 14 inch ) 16     FF Sachet + Grass</v>
          </cell>
          <cell r="P110" t="str">
            <v>O Asiatic ( 15 Inch ) 3     Grass</v>
          </cell>
          <cell r="Q110" t="str">
            <v>P n W Glad ( 14 Inch ) 16     Grass</v>
          </cell>
          <cell r="R110" t="str">
            <v>P n Y Spray Daisy ( 14 Inch ) 5     FF Sachet + Grass</v>
          </cell>
          <cell r="S110" t="str">
            <v xml:space="preserve">P Eustoma ( 12 Inch ) 3    FF Sachet + Grass </v>
          </cell>
          <cell r="T110" t="str">
            <v>P n W Car ( 14 Inch ) 16     FF sachet + Grass</v>
          </cell>
        </row>
        <row r="111">
          <cell r="A111">
            <v>139</v>
          </cell>
          <cell r="B111" t="str">
            <v>Mr. Pramod Narula 2</v>
          </cell>
          <cell r="C111">
            <v>9899048440</v>
          </cell>
          <cell r="D111" t="str">
            <v>Ww-57, Ground floor, Malibu Town, Sohna Road    Sohna Road Gurgaon  </v>
          </cell>
          <cell r="E111" t="str">
            <v>Sohna Road 1</v>
          </cell>
          <cell r="F111" t="str">
            <v>Friday</v>
          </cell>
          <cell r="G111" t="str">
            <v>9 AM - 12 PM</v>
          </cell>
          <cell r="H111">
            <v>4750</v>
          </cell>
          <cell r="I111">
            <v>1187.5</v>
          </cell>
          <cell r="J111" t="str">
            <v>Enchantment</v>
          </cell>
          <cell r="K111"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11" t="str">
            <v>lilies n Glad</v>
          </cell>
          <cell r="N111" t="str">
            <v>4  del of this cycle   -  0-cycles pmnt   Completed - Collect 0</v>
          </cell>
          <cell r="O111" t="str">
            <v>Y Asiatic ( 15 inch ) 6 P n W Glad ( 14 inch ) 18 Rajni ( 14 Inch ) 18 Grass</v>
          </cell>
          <cell r="P111" t="str">
            <v>Sunflower ( 14 Inch ) 6 R n W Car ( 14 Inch ) 18 Mix Alstroemeria ( 12 Inch ) 18 FF Sachet + Grass</v>
          </cell>
          <cell r="Q111" t="str">
            <v>P n Y Spray Daisy ( 14 Inch ) 10 P n W Glad ( 14 Inch ) 18 P n W Car ( 14 Inch ) 18 Grass</v>
          </cell>
          <cell r="R111" t="str">
            <v>W Asiatic ( 14 inch ) 6 Mix Alstroemeria ( 12 Inch ) 18 Pur n P Car ( 14 Inch ) 18 Grass</v>
          </cell>
          <cell r="S111" t="str">
            <v>Sunflower ( 12 Inch ) 6 P n W Glad ( 14 Inch ) 18 Rajni ( 14 Inch ) 18 Grass</v>
          </cell>
          <cell r="T111" t="str">
            <v>P n W Spray Daisy 8 P n W Car ( 14 Inch ) 18 Glad ( 14 Inch ) 18 Grass</v>
          </cell>
        </row>
        <row r="112">
          <cell r="A112" t="str">
            <v>CP00001</v>
          </cell>
          <cell r="B112" t="str">
            <v>Nidhi Sharma Malhotra -- BPTP -- Centra 1</v>
          </cell>
          <cell r="C112">
            <v>9999016333</v>
          </cell>
          <cell r="D112" t="str">
            <v>BPTP, Sec 61</v>
          </cell>
          <cell r="E112" t="str">
            <v>Ghata</v>
          </cell>
          <cell r="F112" t="str">
            <v>Thursday</v>
          </cell>
          <cell r="G112" t="str">
            <v>By 5 PM</v>
          </cell>
          <cell r="H112">
            <v>24600</v>
          </cell>
          <cell r="I112">
            <v>24600</v>
          </cell>
          <cell r="J112" t="str">
            <v>Corporate</v>
          </cell>
          <cell r="T112" t="str">
            <v xml:space="preserve">G n W Car + G n W Spray Daisy + G Orchid + W Asiatic + W Oriental  240 + 40 + 40 + 8 + 8 G Anthurium + G Eustoma 15 + 20   </v>
          </cell>
        </row>
        <row r="113">
          <cell r="A113" t="str">
            <v>B00000</v>
          </cell>
          <cell r="B113" t="str">
            <v>BPTP Astire</v>
          </cell>
          <cell r="D113" t="str">
            <v>BPTP Astire, Sec 71</v>
          </cell>
          <cell r="E113" t="str">
            <v>Badshahpur</v>
          </cell>
          <cell r="F113" t="str">
            <v>Sunday</v>
          </cell>
          <cell r="G113" t="str">
            <v>By 10 AM</v>
          </cell>
          <cell r="H113">
            <v>0</v>
          </cell>
          <cell r="I113">
            <v>0</v>
          </cell>
          <cell r="J113" t="str">
            <v>Flower Workshop</v>
          </cell>
          <cell r="K113" t="str">
            <v>30 People</v>
          </cell>
          <cell r="N113" t="str">
            <v>1  del of this cycle   -  0-cycles pmnt   In Process - Collect 0</v>
          </cell>
          <cell r="O113" t="str">
            <v xml:space="preserve">Visit      </v>
          </cell>
          <cell r="P113" t="e">
            <v>#N/A</v>
          </cell>
          <cell r="Q113" t="e">
            <v>#N/A</v>
          </cell>
          <cell r="R113" t="e">
            <v>#N/A</v>
          </cell>
          <cell r="S113" t="e">
            <v>#N/A</v>
          </cell>
          <cell r="T113" t="str">
            <v xml:space="preserve">      </v>
          </cell>
        </row>
        <row r="114">
          <cell r="A114" t="str">
            <v>B00000</v>
          </cell>
          <cell r="B114" t="str">
            <v>BPTP Pride</v>
          </cell>
          <cell r="D114" t="str">
            <v>BPTP Pride , Faridabad</v>
          </cell>
          <cell r="E114" t="str">
            <v>Faridabad</v>
          </cell>
          <cell r="F114" t="str">
            <v>Sunday</v>
          </cell>
          <cell r="G114" t="str">
            <v>By 10 AM</v>
          </cell>
          <cell r="H114">
            <v>0</v>
          </cell>
          <cell r="I114">
            <v>0</v>
          </cell>
          <cell r="J114" t="str">
            <v>Flower Workshop</v>
          </cell>
          <cell r="K114" t="str">
            <v>30 People</v>
          </cell>
          <cell r="N114" t="str">
            <v>1  del of this cycle   -  0-cycles pmnt   In Process - Collect 0</v>
          </cell>
          <cell r="O114" t="str">
            <v xml:space="preserve">Visit      </v>
          </cell>
          <cell r="P114" t="e">
            <v>#N/A</v>
          </cell>
          <cell r="Q114" t="e">
            <v>#N/A</v>
          </cell>
          <cell r="R114" t="e">
            <v>#N/A</v>
          </cell>
          <cell r="S114" t="e">
            <v>#N/A</v>
          </cell>
          <cell r="T114" t="str">
            <v xml:space="preserve">      </v>
          </cell>
        </row>
        <row r="115">
          <cell r="A115">
            <v>3335</v>
          </cell>
          <cell r="B115" t="str">
            <v>Aman Batra</v>
          </cell>
          <cell r="C115">
            <v>8826778738</v>
          </cell>
          <cell r="D115" t="str">
            <v>Tower-F/702, The Ivy, Block A, Sushant Lok-1</v>
          </cell>
          <cell r="E115" t="str">
            <v>DLF Phase 4</v>
          </cell>
          <cell r="F115" t="str">
            <v>Saturday</v>
          </cell>
          <cell r="G115" t="str">
            <v>10 AM to 2:30 PM</v>
          </cell>
          <cell r="H115">
            <v>4750</v>
          </cell>
          <cell r="I115">
            <v>1187.5</v>
          </cell>
          <cell r="J115" t="str">
            <v>Enchantment</v>
          </cell>
          <cell r="K115" t="str">
            <v>Hold n start from 30th May // Sen this week on Friday (25/06) No Glad (25/06)</v>
          </cell>
          <cell r="L115" t="str">
            <v>Glad</v>
          </cell>
          <cell r="N115" t="str">
            <v>1  del of this cycle   -  1-cycles pmnt   Pending - Collect 4750</v>
          </cell>
          <cell r="O115" t="e">
            <v>#N/A</v>
          </cell>
          <cell r="P115" t="e">
            <v>#N/A</v>
          </cell>
          <cell r="Q115" t="e">
            <v>#N/A</v>
          </cell>
          <cell r="R115" t="e">
            <v>#N/A</v>
          </cell>
          <cell r="S115" t="e">
            <v>#N/A</v>
          </cell>
          <cell r="T115" t="str">
            <v>BOP 6 Pur n p Car ( 14 inch ) 30   3 Areca palm + 3 Gyspola</v>
          </cell>
        </row>
        <row r="116">
          <cell r="A116">
            <v>3357</v>
          </cell>
          <cell r="B116" t="str">
            <v>Yamini Sharma</v>
          </cell>
          <cell r="C116">
            <v>9958582708</v>
          </cell>
          <cell r="D116" t="str">
            <v>Solace 253, AIPL Peaceful Homes, Sec 70 A</v>
          </cell>
          <cell r="E116" t="str">
            <v>Manesar</v>
          </cell>
          <cell r="F116" t="str">
            <v>Friday</v>
          </cell>
          <cell r="G116" t="str">
            <v>4 Pm to 7 PM</v>
          </cell>
          <cell r="H116">
            <v>1450</v>
          </cell>
          <cell r="I116">
            <v>362.5</v>
          </cell>
          <cell r="J116" t="str">
            <v>Bliss</v>
          </cell>
          <cell r="K116" t="str">
            <v>Skip 1 week (28/05) Today returned (19/06)</v>
          </cell>
          <cell r="N116" t="str">
            <v>2  del of this cycle   -  1-cycles pmnt   Pending - Collect 1450</v>
          </cell>
          <cell r="O116" t="str">
            <v>P n W Glad ( 16 Inch) 16     Grass</v>
          </cell>
          <cell r="P116" t="e">
            <v>#N/A</v>
          </cell>
          <cell r="Q116" t="str">
            <v>O Asiatic ( 14 Inch ) 3     Grass</v>
          </cell>
          <cell r="R116" t="str">
            <v>Mix Alstroemeria ( 12 Inch ) 16     FF Sachet + Grass</v>
          </cell>
          <cell r="S116" t="str">
            <v xml:space="preserve">P Eustoma ( 12 Inch ) 3    FF Sachet + Grass </v>
          </cell>
          <cell r="T116" t="str">
            <v>Pur n P Car ( 14 Inch ) 16     FF sachet + Grass</v>
          </cell>
        </row>
        <row r="117">
          <cell r="B117" t="str">
            <v>Himantika Sethi</v>
          </cell>
          <cell r="C117">
            <v>9773856005</v>
          </cell>
          <cell r="D117" t="str">
            <v>A-5/402, World Spa East</v>
          </cell>
          <cell r="H117">
            <v>1480</v>
          </cell>
          <cell r="J117" t="str">
            <v>Bouquet</v>
          </cell>
          <cell r="K117" t="str">
            <v>Himantika Sethi
+91 97738 56005
Pls send 4 white oriental lily and 7 white carnations with 2 stem of baby’s breath for 1480 today..</v>
          </cell>
          <cell r="T117" t="str">
            <v xml:space="preserve">W oriental+ W Car 4+7  with 2 stem of baby’s breath    </v>
          </cell>
        </row>
        <row r="118">
          <cell r="B118" t="str">
            <v xml:space="preserve">Vani Maullick </v>
          </cell>
          <cell r="C118" t="str">
            <v>98730 10016</v>
          </cell>
          <cell r="D118" t="str">
            <v>A tower, flat 702
Ireo uptown
Sector 66</v>
          </cell>
          <cell r="H118">
            <v>1030</v>
          </cell>
          <cell r="J118" t="str">
            <v>Bouquet</v>
          </cell>
          <cell r="K118" t="str">
            <v>Send today Vani Maullick 
+91 98730 10016
Address: 
A tower, flat 702
Ireo uptown
Sector 66
3 oriental lilies - 2 pink and one white semi bloomed and 7 red carnations in tissue wrap 
neeche sponge achche se laga dena
collect 1030 on delivery</v>
          </cell>
          <cell r="T118" t="str">
            <v xml:space="preserve">3 oriental lilies - 2 pink and one white semi bloomed and 7 red carnations in tissue wrap       </v>
          </cell>
        </row>
        <row r="119">
          <cell r="A119">
            <v>3119</v>
          </cell>
          <cell r="B119" t="str">
            <v>Rachna Prasad</v>
          </cell>
          <cell r="C119">
            <v>9811106435</v>
          </cell>
          <cell r="D119" t="str">
            <v>N-3/202, Paras Irene Appartments, Sec 70 A</v>
          </cell>
          <cell r="E119" t="str">
            <v>Badshahpur</v>
          </cell>
          <cell r="F119" t="str">
            <v>Friday</v>
          </cell>
          <cell r="G119" t="str">
            <v>4 Pm to 7 PM</v>
          </cell>
          <cell r="H119">
            <v>1450</v>
          </cell>
          <cell r="I119">
            <v>362.5</v>
          </cell>
          <cell r="J119" t="str">
            <v>Bliss</v>
          </cell>
          <cell r="K119" t="str">
            <v>1000 cash and 450 via paytm (01/11) This week send on Sunday (09/02) Paytm From Outside Edge (28/02) Replacement tom (09/03)</v>
          </cell>
          <cell r="M119" t="str">
            <v>No Flowers on 13th -send on 15th Feb (09/02)</v>
          </cell>
          <cell r="N119" t="str">
            <v>3  del of this cycle   -  0-cycles pmnt   Completed - Collect 0</v>
          </cell>
          <cell r="O119" t="str">
            <v>P Eustoma ( 14 Inch ) 2 P n W Car ( 14 inch ) 7   FF Sachet + Grass</v>
          </cell>
          <cell r="P119" t="str">
            <v>O Asiatic ( 15 Inch ) 2 Mix Alstroemeria ( 12 Inch )  7   Grass</v>
          </cell>
          <cell r="Q119" t="str">
            <v>Y Spray Daisy ( 14 Inch ) 3 P n W Glad ( 14 Inch ) 7   FF Sachet + Grass</v>
          </cell>
          <cell r="R119" t="str">
            <v>Sunflower ( 12 Inch ) 2 Pur n P Car ( 14 Inch ) 7   FF Sachet + Grass</v>
          </cell>
          <cell r="S119" t="str">
            <v xml:space="preserve">Pur Eustom ( 12 Inch ) 2 Mix Alstroemeria (  12 Inch ) 7  FF Sachet + Grass </v>
          </cell>
          <cell r="T119" t="str">
            <v>P Asiatic ( 14 Inch ) 2 Glad ( 14 Inch ) 7   Grass</v>
          </cell>
        </row>
        <row r="120">
          <cell r="A120" t="str">
            <v>B56275</v>
          </cell>
          <cell r="B120" t="str">
            <v>Pooja Ma'am -- Jasbir Singh</v>
          </cell>
          <cell r="C120" t="str">
            <v>9997092561 // 999453496</v>
          </cell>
          <cell r="D120" t="str">
            <v>Amber, 4th Floor, Universal Trade Centre</v>
          </cell>
          <cell r="E120" t="str">
            <v>Sohna Road 1</v>
          </cell>
          <cell r="F120" t="str">
            <v>Friday</v>
          </cell>
          <cell r="G120" t="str">
            <v>By 8:30 AM</v>
          </cell>
          <cell r="H120">
            <v>4800</v>
          </cell>
          <cell r="I120">
            <v>4800</v>
          </cell>
          <cell r="J120" t="str">
            <v>Bouquet</v>
          </cell>
          <cell r="N120" t="str">
            <v>1  del of this cycle   -  0-cycles pmnt   In Process - Collect 0</v>
          </cell>
          <cell r="O120" t="e">
            <v>#N/A</v>
          </cell>
          <cell r="P120" t="e">
            <v>#N/A</v>
          </cell>
          <cell r="Q120" t="e">
            <v>#N/A</v>
          </cell>
          <cell r="R120" t="e">
            <v>#N/A</v>
          </cell>
          <cell r="S120" t="e">
            <v>#N/A</v>
          </cell>
          <cell r="T120" t="str">
            <v xml:space="preserve">Sunflower + B daisy  6 Bunch    </v>
          </cell>
        </row>
        <row r="121">
          <cell r="B121" t="str">
            <v xml:space="preserve"> Nehant</v>
          </cell>
          <cell r="D121" t="str">
            <v>T15/401 Vipul Greens</v>
          </cell>
          <cell r="H121">
            <v>1250</v>
          </cell>
          <cell r="J121" t="str">
            <v>Bouquet</v>
          </cell>
          <cell r="K121" t="str">
            <v>Send today from Amit Jindal
5 semi bloomed pink oriental lilies in tissue wrap to 
T15/401 Vipul Greens
Message 
Happy 21st Wedding Anniversary “ Nehant”
From 
Sarika Amit Jindal</v>
          </cell>
          <cell r="T121" t="str">
            <v xml:space="preserve">semi bloomed pink oriental lilies 5 tissue wrap msg   </v>
          </cell>
        </row>
      </sheetData>
      <sheetData sheetId="26"/>
      <sheetData sheetId="27"/>
      <sheetData sheetId="28"/>
      <sheetData sheetId="29"/>
      <sheetData sheetId="3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01-07-26"/>
      <sheetName val="02-07-26"/>
      <sheetName val="03-07-26"/>
      <sheetName val="04-07-26"/>
      <sheetName val="05-07-26"/>
      <sheetName val="06-07-26"/>
      <sheetName val="07-07-26"/>
      <sheetName val="08-07-26"/>
      <sheetName val="09-07-26"/>
      <sheetName val="10-07-26"/>
      <sheetName val="11-07-26"/>
      <sheetName val="12-07-26"/>
      <sheetName val="13-07-26"/>
      <sheetName val="14-07-26"/>
      <sheetName val="15-07-26"/>
      <sheetName val="16-07-26"/>
    </sheetNames>
    <sheetDataSet>
      <sheetData sheetId="0"/>
      <sheetData sheetId="1"/>
      <sheetData sheetId="2">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1  del of this cycle   -  1-cycles pmnt   Pending - Collect 1950</v>
          </cell>
          <cell r="O2" t="str">
            <v>R n W Car ( 14 Inch ) 22     FF Sachet + Grass</v>
          </cell>
          <cell r="P2" t="str">
            <v>Pur n P Eustoma ( 14 Inch ) 4     FF Sachet + Grass</v>
          </cell>
          <cell r="Q2" t="str">
            <v>P n Y Spray Daisy ( 14 Inch ) 7     FF Sachet + Grass</v>
          </cell>
          <cell r="R2" t="str">
            <v>P n W Glad ( 14 Inch ) 22     Grass</v>
          </cell>
          <cell r="S2" t="str">
            <v>O Asiatic ( 14 Inch ) 4     Grass</v>
          </cell>
          <cell r="T2" t="str">
            <v>Pur n P Car ( 14 Inch ) 22     FF Sachet + Grass</v>
          </cell>
        </row>
        <row r="3">
          <cell r="A3">
            <v>3062</v>
          </cell>
          <cell r="B3" t="str">
            <v>Shilpa Ravikumar</v>
          </cell>
          <cell r="C3">
            <v>9400305164</v>
          </cell>
          <cell r="D3" t="str">
            <v>A-902, Palm Premier, Emaar Palm Hills, OPP Hyatt Regency, Sec 77</v>
          </cell>
          <cell r="E3" t="str">
            <v>Manesar</v>
          </cell>
          <cell r="F3" t="str">
            <v>Friday</v>
          </cell>
          <cell r="G3" t="str">
            <v>4 Pm to 7 PM</v>
          </cell>
          <cell r="H3">
            <v>1450</v>
          </cell>
          <cell r="I3">
            <v>362.5</v>
          </cell>
          <cell r="J3" t="str">
            <v>Bliss</v>
          </cell>
          <cell r="K3" t="str">
            <v>Hold till 7th Jan (25/01) Hold till 17th June (01/06)</v>
          </cell>
          <cell r="N3" t="str">
            <v>4  del of this cycle   -  0-cycles pmnt   Completed - Collect 0</v>
          </cell>
          <cell r="O3" t="str">
            <v>P Asiatic ( 15 Inch ) 2     Grass</v>
          </cell>
          <cell r="P3" t="e">
            <v>#N/A</v>
          </cell>
          <cell r="Q3" t="str">
            <v>Mix Carnation  16     FF Sachet + Grass</v>
          </cell>
          <cell r="R3" t="str">
            <v xml:space="preserve">Pur Eustom ( 12 Inch ) 3    FF Sachet + Grass </v>
          </cell>
          <cell r="S3" t="str">
            <v>P n W Glad ( 14 Inch ) 16     Grass</v>
          </cell>
          <cell r="T3" t="str">
            <v>Sunflower ( 12 Inch ) 4     FF Sachet + Grass</v>
          </cell>
        </row>
        <row r="4">
          <cell r="A4">
            <v>2991</v>
          </cell>
          <cell r="B4" t="str">
            <v>Smriti Singh Bhatia</v>
          </cell>
          <cell r="C4">
            <v>9818648787</v>
          </cell>
          <cell r="D4" t="str">
            <v>T-3/4201, M3M Heights, 65th Avenue, Sec 65</v>
          </cell>
          <cell r="E4" t="str">
            <v>Badshahpur</v>
          </cell>
          <cell r="F4" t="str">
            <v>Friday</v>
          </cell>
          <cell r="G4" t="str">
            <v>9 AM - 12 PM</v>
          </cell>
          <cell r="H4">
            <v>1450</v>
          </cell>
          <cell r="I4">
            <v>362.5</v>
          </cell>
          <cell r="J4" t="str">
            <v>Bliss</v>
          </cell>
          <cell r="K4" t="str">
            <v>Hold next week // Skip 2 week (22/12) Day Change to Friday (28/03) Paytm From Ravish Bhatia (17/04) HDTNP 915/05) HDTNP (22/05) HDTNP (29/05) Hold n start from July (17/06)</v>
          </cell>
          <cell r="N4" t="str">
            <v>1  del of this cycle   -  1-cycles pmnt   Pending - Collect 1450</v>
          </cell>
          <cell r="O4" t="str">
            <v xml:space="preserve">Collect 725 Carry Receipt Book Collect 725 Carry Receipt Book Collect 725 Carry Receipt Book </v>
          </cell>
          <cell r="P4" t="str">
            <v>P n W Car ( 14 Inch ) 16     FF Sachet + Grass</v>
          </cell>
          <cell r="Q4" t="str">
            <v>P n W Glad ( 14 Inch ) 16     Grass</v>
          </cell>
          <cell r="R4" t="e">
            <v>#N/A</v>
          </cell>
          <cell r="S4" t="e">
            <v>#N/A</v>
          </cell>
          <cell r="T4" t="str">
            <v>G Spray Daisy ( 14 Inch ) 5     Grass</v>
          </cell>
        </row>
        <row r="5">
          <cell r="A5">
            <v>2582</v>
          </cell>
          <cell r="B5" t="str">
            <v>Nidhi -- Emaar Palm</v>
          </cell>
          <cell r="C5">
            <v>9873404809</v>
          </cell>
          <cell r="D5" t="str">
            <v>T-57/101, Emaar emerakd Premier Floors, Sec 65</v>
          </cell>
          <cell r="E5" t="str">
            <v>Badshahpur</v>
          </cell>
          <cell r="F5" t="str">
            <v>Friday</v>
          </cell>
          <cell r="G5" t="str">
            <v>9:30 Am to 2 PM</v>
          </cell>
          <cell r="H5">
            <v>1450</v>
          </cell>
          <cell r="I5">
            <v>362.5</v>
          </cell>
          <cell r="J5" t="str">
            <v>Bliss</v>
          </cell>
          <cell r="K5" t="str">
            <v>From Nidhi Srivastava // No Del till 4th Oct (24/09) Hold due to non payment (26/12) Hold due to non payment (23/01) Skip 1 week (09/06)</v>
          </cell>
          <cell r="N5" t="str">
            <v>3  del of this cycle   -  0-cycles pmnt   Completed - Collect 0</v>
          </cell>
          <cell r="O5" t="str">
            <v xml:space="preserve">Collect 500 Carry Receipt Book Collect 500 Carry Receipt Book Collect 500 Carry Receipt Book </v>
          </cell>
          <cell r="P5" t="str">
            <v>Y Spray Daisy ( 14 Inch ) 3     FF Sachet + Grass</v>
          </cell>
          <cell r="Q5" t="e">
            <v>#N/A</v>
          </cell>
          <cell r="R5" t="str">
            <v xml:space="preserve">R n P Car ( 14 Inch ) 16    FF Sachet + Grass </v>
          </cell>
          <cell r="S5" t="str">
            <v>P n W Glad ( 14 Inch ) 16     Grass</v>
          </cell>
          <cell r="T5" t="str">
            <v>G Spray Daisy ( 14 Inch ) 5     Grass</v>
          </cell>
        </row>
        <row r="6">
          <cell r="A6">
            <v>2126</v>
          </cell>
          <cell r="B6" t="str">
            <v>Nidhi Sehgal</v>
          </cell>
          <cell r="C6">
            <v>9620110010</v>
          </cell>
          <cell r="D6" t="str">
            <v>D-23 Flat No 0002 Victory Valley Sec 67</v>
          </cell>
          <cell r="E6" t="str">
            <v>Badshahpur</v>
          </cell>
          <cell r="F6" t="str">
            <v>Friday</v>
          </cell>
          <cell r="G6" t="str">
            <v>9 AM - 12 PM</v>
          </cell>
          <cell r="H6">
            <v>2750</v>
          </cell>
          <cell r="I6">
            <v>687.5</v>
          </cell>
          <cell r="J6" t="str">
            <v>Elation</v>
          </cell>
          <cell r="K6" t="str">
            <v>Mixed Flowers // Always FF (15/05) Hold till 15th June (19/05) FF with all Flowers (12/06)</v>
          </cell>
          <cell r="M6" t="str">
            <v>Mixed Flowers and always FF</v>
          </cell>
          <cell r="N6" t="str">
            <v>1  del of this cycle   -  0-cycles pmnt   Completed - Collect 0</v>
          </cell>
          <cell r="O6" t="e">
            <v>#N/A</v>
          </cell>
          <cell r="P6" t="e">
            <v>#N/A</v>
          </cell>
          <cell r="Q6" t="str">
            <v>O Asiatic 3 Pur n P Car ( 14 Inch ) 16   2 Limonium + FF Sachet</v>
          </cell>
          <cell r="R6" t="str">
            <v>P Eustoma ( 12 Inch ) 4 P n W Glad ( 14 Inch ) 16  FF sachet + Grass FF sachet + Grass</v>
          </cell>
          <cell r="S6" t="str">
            <v>P n Y Spray Daisy ( 14 Inch ) 5 Mix Carnation  ( 12 Inch ) 15   FF Sachet + Grass</v>
          </cell>
          <cell r="T6" t="str">
            <v>Sunflower ( 12 Inch ) 4 Rajni ( 14 Inch ) 16   FF Sachet + Grass</v>
          </cell>
        </row>
        <row r="7">
          <cell r="A7" t="str">
            <v>G-00011</v>
          </cell>
          <cell r="B7" t="str">
            <v>Nainsee Garg</v>
          </cell>
          <cell r="C7">
            <v>9810561802</v>
          </cell>
          <cell r="D7" t="str">
            <v>A67 Rosewood City Sector 49 Gurgaon 122001</v>
          </cell>
          <cell r="E7" t="str">
            <v>Nirvana Country</v>
          </cell>
          <cell r="F7" t="str">
            <v>Friday</v>
          </cell>
          <cell r="G7" t="str">
            <v>9 AM to 2 PM</v>
          </cell>
          <cell r="H7">
            <v>2350</v>
          </cell>
          <cell r="I7">
            <v>293.75</v>
          </cell>
          <cell r="J7" t="str">
            <v>Felicity</v>
          </cell>
          <cell r="K7" t="str">
            <v>No Glad (15/-5) Skip tom n sned next del on Sunday (29/05) Skip 1 week (03/07) Skip 1 week (12/11) Send tom (01/04) Sent one del today (09/04) Skip 1 week (11/05) Skip this cdel n send on Sunday (12/06)</v>
          </cell>
          <cell r="L7" t="str">
            <v>Glad</v>
          </cell>
          <cell r="N7" t="str">
            <v>1  del of this cycle   -  1-cycles pmnt   Pending - Collect 2300</v>
          </cell>
          <cell r="O7" t="str">
            <v>P Asiatic ( 15 Inch ) 2 Mix Alstroemeria ( 12 Inch )  20   Grass</v>
          </cell>
          <cell r="P7" t="str">
            <v>R n W Car ( 14 Inch ) 11     FF Sachet + Grass</v>
          </cell>
          <cell r="Q7" t="e">
            <v>#N/A</v>
          </cell>
          <cell r="R7" t="str">
            <v>P Asiatic ( 14 Inch ) 2     Grass</v>
          </cell>
          <cell r="S7" t="str">
            <v>Y Spray Daisy ( 14 Inch ) 3     FF sachet + Grass</v>
          </cell>
          <cell r="T7" t="str">
            <v>Sunflower ( 12 Inch ) 3     FF Sachet + Grass</v>
          </cell>
        </row>
        <row r="8">
          <cell r="A8">
            <v>2394</v>
          </cell>
          <cell r="B8" t="str">
            <v>Sachi Poudiyal</v>
          </cell>
          <cell r="C8">
            <v>8420453178</v>
          </cell>
          <cell r="D8" t="str">
            <v>H. No. 901, Ground Floor, Sec 17 B, Next to St PBN School</v>
          </cell>
          <cell r="E8" t="str">
            <v>Old Gurgaon</v>
          </cell>
          <cell r="F8" t="str">
            <v>Friday</v>
          </cell>
          <cell r="G8" t="str">
            <v>4 PM to 7 PM</v>
          </cell>
          <cell r="H8">
            <v>1450</v>
          </cell>
          <cell r="I8">
            <v>362.5</v>
          </cell>
          <cell r="J8" t="str">
            <v>Bliss</v>
          </cell>
          <cell r="K8" t="str">
            <v>12 Del Payment done today (18/03) Hold n start from Aug(12/06) One Payment Received today (09/11)</v>
          </cell>
          <cell r="N8" t="str">
            <v>4  del of this cycle   -  0-cycles pmnt   Completed - Collect 0</v>
          </cell>
          <cell r="O8" t="str">
            <v>P n Y Spray Daisy ( 15 Inch ) 5     FF Sachet + Grass</v>
          </cell>
          <cell r="P8" t="str">
            <v>P n W Glad ( 14 Inch ) 16     Grass</v>
          </cell>
          <cell r="Q8" t="str">
            <v>Sunflower ( 12 Inch ) 4     FF Sachet + Grass</v>
          </cell>
          <cell r="R8" t="str">
            <v xml:space="preserve">Pur Eustom ( 12 Inch ) 3    FF Sachet + Grass </v>
          </cell>
          <cell r="S8" t="str">
            <v>P n W Car ( 14 Inch ) 16     FF sachet + Grass</v>
          </cell>
          <cell r="T8" t="str">
            <v>G Spray Daisy ( 14 Inch ) 5     Grass</v>
          </cell>
        </row>
        <row r="9">
          <cell r="A9">
            <v>2385</v>
          </cell>
          <cell r="B9" t="str">
            <v>Vasanta Poddar</v>
          </cell>
          <cell r="C9">
            <v>9899170709</v>
          </cell>
          <cell r="D9" t="str">
            <v>S-64, 2nd Floor, Uppal Southend</v>
          </cell>
          <cell r="E9" t="str">
            <v>Sohna Road 1</v>
          </cell>
          <cell r="F9" t="str">
            <v>Friday</v>
          </cell>
          <cell r="G9" t="str">
            <v>9 AM - 12 PM</v>
          </cell>
          <cell r="H9">
            <v>1950</v>
          </cell>
          <cell r="I9">
            <v>487.5</v>
          </cell>
          <cell r="J9" t="str">
            <v>Joy</v>
          </cell>
          <cell r="K9" t="str">
            <v xml:space="preserve"> Skip 1 week (11/03) Skip 2 week (29/05) Sent 1 Del today (21/08) Send tom (06/02) Skip 1 week (19/02)</v>
          </cell>
          <cell r="L9" t="str">
            <v>ORCHID</v>
          </cell>
          <cell r="N9" t="str">
            <v>3  del of this cycle   -  0-cycles pmnt   Completed - Collect 0</v>
          </cell>
          <cell r="O9" t="str">
            <v>P n W Glad ( 14 Inch ) 22     Grass</v>
          </cell>
          <cell r="P9" t="str">
            <v>W Asiatic ( 14 Inch ) 4     Grass</v>
          </cell>
          <cell r="Q9" t="str">
            <v>P Asiatic ( 14 Inch ) 4     Grass</v>
          </cell>
          <cell r="R9" t="str">
            <v>R n P Car ( 14 Inch ) 22     FF sachet + Grass</v>
          </cell>
          <cell r="S9" t="str">
            <v>P n Y Spray Daisy ( 14 Inch ) 7     FF Sachet + Grass</v>
          </cell>
          <cell r="T9" t="str">
            <v>P n W Glad ( 14 Inch ) 22     Grass</v>
          </cell>
        </row>
        <row r="10">
          <cell r="A10">
            <v>3016</v>
          </cell>
          <cell r="B10" t="str">
            <v>Divya Dwivedi</v>
          </cell>
          <cell r="C10">
            <v>7668421237</v>
          </cell>
          <cell r="D10" t="str">
            <v>T-83/402, Emaar palm Hills, Sec 77</v>
          </cell>
          <cell r="E10" t="str">
            <v>Badshahpur</v>
          </cell>
          <cell r="F10" t="str">
            <v>Friday</v>
          </cell>
          <cell r="G10" t="str">
            <v>4 Pm to 7 PM</v>
          </cell>
          <cell r="H10">
            <v>1950</v>
          </cell>
          <cell r="I10">
            <v>487.5</v>
          </cell>
          <cell r="J10" t="str">
            <v>Joy</v>
          </cell>
          <cell r="K10" t="str">
            <v>1st Del Tom and then every Friday (14/09) Skip 1 week (02/10) today hold (30/01) Skip 1 week (10/02) Four Plus 1 Pack (13/04)</v>
          </cell>
          <cell r="M10" t="str">
            <v>Oriental once in 1 cycle (13/04)</v>
          </cell>
          <cell r="N10" t="str">
            <v>4  del of this cycle   -  0-cycles pmnt   Completed - Collect 0</v>
          </cell>
          <cell r="O10" t="str">
            <v>O Asiatic ( 15 Inch ) 4     Grass</v>
          </cell>
          <cell r="P10" t="e">
            <v>#N/A</v>
          </cell>
          <cell r="Q10" t="e">
            <v>#N/A</v>
          </cell>
          <cell r="R10" t="e">
            <v>#N/A</v>
          </cell>
          <cell r="S10" t="str">
            <v>P n W Glad ( 14 Inch ) 22     Grass</v>
          </cell>
          <cell r="T10" t="str">
            <v>Pur n P Car ( 14 Inch ) 22     FF Sachet + Grass</v>
          </cell>
        </row>
        <row r="11">
          <cell r="A11">
            <v>2803</v>
          </cell>
          <cell r="B11" t="str">
            <v>Priyanka Dey</v>
          </cell>
          <cell r="C11">
            <v>9007706833</v>
          </cell>
          <cell r="D11" t="str">
            <v>D/1003, 10th Floor, Emaar Palm Heights, Sec 77</v>
          </cell>
          <cell r="E11" t="str">
            <v>Badshahpur</v>
          </cell>
          <cell r="F11" t="str">
            <v>Friday</v>
          </cell>
          <cell r="G11" t="str">
            <v>After 5 PM</v>
          </cell>
          <cell r="H11">
            <v>1450</v>
          </cell>
          <cell r="I11">
            <v>362.5</v>
          </cell>
          <cell r="J11" t="str">
            <v>Delight</v>
          </cell>
          <cell r="K11" t="str">
            <v>Lily Next (28/07) Returned and hold (15/08) Four plus 1 Pack // Today returned (16/05)</v>
          </cell>
          <cell r="N11" t="str">
            <v>2  del of this cycle   -  0-cycles pmnt   Completed - Collect 0</v>
          </cell>
          <cell r="O11" t="str">
            <v>Mix Alstroemeria ( 12 Inch ) 16     FF Sachet + Grass</v>
          </cell>
          <cell r="P11" t="str">
            <v>P n W Glad ( 14 Inch ) 16     Grass</v>
          </cell>
          <cell r="Q11" t="str">
            <v>Y Asiatic ( 14 Inch ) 3     Grass</v>
          </cell>
          <cell r="R11" t="str">
            <v xml:space="preserve">Pur Eustom ( 12 Inch ) 3    FF Sachet + Grass </v>
          </cell>
          <cell r="S11" t="str">
            <v>Alstromeria 16     FF sachet + Grass</v>
          </cell>
          <cell r="T11" t="str">
            <v>Pur n P Car ( 14 Inch ) 16     FF Sachet + Grass</v>
          </cell>
        </row>
        <row r="12">
          <cell r="A12">
            <v>163</v>
          </cell>
          <cell r="B12" t="str">
            <v>Rasmeeta Nayak</v>
          </cell>
          <cell r="C12">
            <v>8800444342</v>
          </cell>
          <cell r="D12" t="str">
            <v>H-504, Park View City - 2, Sohna Road</v>
          </cell>
          <cell r="E12" t="str">
            <v>Sohna Road 1</v>
          </cell>
          <cell r="F12" t="str">
            <v>Friday</v>
          </cell>
          <cell r="G12" t="str">
            <v>Before 10.30 Am</v>
          </cell>
          <cell r="H12">
            <v>1950</v>
          </cell>
          <cell r="I12">
            <v>487.5</v>
          </cell>
          <cell r="J12" t="str">
            <v>Joy</v>
          </cell>
          <cell r="K12"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12" t="str">
            <v>4  del of this cycle   -  0-cycles pmnt   Completed - Collect 0</v>
          </cell>
          <cell r="O12" t="str">
            <v>Y Orchid  7     FF Sachet + Grass</v>
          </cell>
          <cell r="P12" t="str">
            <v>W Asiatic ( 14 Inch ) 4     Grass</v>
          </cell>
          <cell r="Q12" t="str">
            <v>Pur n P Car ( 14 Inch ) 22     FF Sachet + Grass</v>
          </cell>
          <cell r="R12" t="str">
            <v>Sunflower ( 12 Inch ) 5     FF sachet + Grass</v>
          </cell>
          <cell r="S12" t="str">
            <v>Pur n P Eustoma ( 12 Inch ) 4     FF Sachet + Grass</v>
          </cell>
          <cell r="T12" t="str">
            <v>P n W Glad ( 14 Inch ) 22 1st Del Tom in Route 1st Del Tom in Route 1st Del Tom in Route  Grass</v>
          </cell>
        </row>
        <row r="13">
          <cell r="A13">
            <v>3050</v>
          </cell>
          <cell r="B13" t="str">
            <v>Unnati Jain</v>
          </cell>
          <cell r="C13">
            <v>8999727355</v>
          </cell>
          <cell r="D13" t="str">
            <v>T-16/1003, Orchid Petals</v>
          </cell>
          <cell r="E13" t="str">
            <v>Sohna Road 1</v>
          </cell>
          <cell r="F13" t="str">
            <v>Monday</v>
          </cell>
          <cell r="G13" t="str">
            <v>9 AM - 12 PM</v>
          </cell>
          <cell r="H13">
            <v>1600</v>
          </cell>
          <cell r="I13">
            <v>200</v>
          </cell>
          <cell r="J13" t="str">
            <v>Bloom</v>
          </cell>
          <cell r="K13" t="str">
            <v>Hold n start From 7th Nov (16/10) Skip 1 week (13/11) Today retirned and skip next week also (28/11) Check in Feb to restart (20/12) Skip 1 week (31/05) Hold n start from July (15/06)</v>
          </cell>
          <cell r="N13" t="str">
            <v>4  del of this cycle   -  0-cycles pmnt   Completed - Collect 0</v>
          </cell>
          <cell r="O13" t="str">
            <v>Sunflower ( 14 Inch ) 2     FF Sachet + Grass</v>
          </cell>
          <cell r="P13" t="e">
            <v>#N/A</v>
          </cell>
          <cell r="Q13" t="str">
            <v>B Daisy ( 12 Inch ) 7     Grass</v>
          </cell>
          <cell r="R13" t="e">
            <v>#N/A</v>
          </cell>
          <cell r="S13" t="e">
            <v>#N/A</v>
          </cell>
          <cell r="T13" t="str">
            <v>Pur n P Car ( 14 Inch ) 7     FF Sachet + Grass</v>
          </cell>
        </row>
        <row r="14">
          <cell r="A14">
            <v>3139</v>
          </cell>
          <cell r="B14" t="str">
            <v>Ishita Chopra</v>
          </cell>
          <cell r="C14">
            <v>9810247803</v>
          </cell>
          <cell r="D14" t="str">
            <v>B-69, Ground Floor, Soutthend Floor, Sec 49</v>
          </cell>
          <cell r="E14" t="str">
            <v>Sohna Road 1</v>
          </cell>
          <cell r="F14" t="str">
            <v>Friday</v>
          </cell>
          <cell r="G14" t="str">
            <v>4 Pm to 7 PM</v>
          </cell>
          <cell r="H14">
            <v>1450</v>
          </cell>
          <cell r="I14">
            <v>362.5</v>
          </cell>
          <cell r="J14" t="str">
            <v>Bliss</v>
          </cell>
          <cell r="K14" t="str">
            <v>No Red Rose // Today returned due to timing missunderstaning (21/11) No Roses (06/01)</v>
          </cell>
          <cell r="L14" t="str">
            <v>Roses</v>
          </cell>
          <cell r="N14" t="str">
            <v>2  del of this cycle   -  0-cycles pmnt   Completed - Collect 0</v>
          </cell>
          <cell r="O14" t="str">
            <v>P n W Car 16     FF Sachet + Grass</v>
          </cell>
          <cell r="P14" t="str">
            <v>O Asiatic ( 14 Inch ) 3     Grass</v>
          </cell>
          <cell r="Q14" t="str">
            <v>P n W Glad ( 14 Inch ) 16     Grass</v>
          </cell>
          <cell r="R14" t="str">
            <v xml:space="preserve">Pur Eustom ( 12 Inch ) 3    FF Sachet + Grass </v>
          </cell>
          <cell r="S14" t="str">
            <v>P n Y Spray Daisy ( 14 Inch ) 5     FF sachet + Grass</v>
          </cell>
          <cell r="T14" t="str">
            <v>Pur n P Car ( 14 Inch ) 16     FF Sachet + Grass</v>
          </cell>
        </row>
        <row r="15">
          <cell r="A15">
            <v>1411</v>
          </cell>
          <cell r="B15" t="str">
            <v>Aarti Malhotra</v>
          </cell>
          <cell r="C15">
            <v>9810002228</v>
          </cell>
          <cell r="D15" t="str">
            <v>T-10/1402, Orchid Petals</v>
          </cell>
          <cell r="E15" t="str">
            <v>Sohna Road 1</v>
          </cell>
          <cell r="F15" t="str">
            <v>Friday</v>
          </cell>
          <cell r="G15" t="str">
            <v>9 AM - 12 PM</v>
          </cell>
          <cell r="H15">
            <v>3000</v>
          </cell>
          <cell r="I15">
            <v>375</v>
          </cell>
          <cell r="J15" t="str">
            <v>Charm</v>
          </cell>
          <cell r="K15"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15" t="str">
            <v>8  del of this cycle   -  0-cycles pmnt   Completed - Collect 0</v>
          </cell>
          <cell r="O15" t="str">
            <v>Mix Alstroemeria ( 12 Inch ) 15     FF Sachet + Grass</v>
          </cell>
          <cell r="P15" t="e">
            <v>#N/A</v>
          </cell>
          <cell r="Q15" t="e">
            <v>#N/A</v>
          </cell>
          <cell r="R15" t="e">
            <v>#N/A</v>
          </cell>
          <cell r="S15" t="e">
            <v>#N/A</v>
          </cell>
          <cell r="T15" t="str">
            <v>Pur n P Car ( 14 Inch ) 15     FF Sachet + Grass</v>
          </cell>
        </row>
        <row r="16">
          <cell r="A16">
            <v>3077</v>
          </cell>
          <cell r="B16" t="str">
            <v>Shweta Katiyar</v>
          </cell>
          <cell r="C16">
            <v>9999435065</v>
          </cell>
          <cell r="D16" t="str">
            <v>G-122, DLF Primus, Sec 82 A</v>
          </cell>
          <cell r="E16" t="str">
            <v>Manesar</v>
          </cell>
          <cell r="F16" t="str">
            <v>Friday</v>
          </cell>
          <cell r="G16" t="str">
            <v>4 PM to 7 PM</v>
          </cell>
          <cell r="H16">
            <v>1950</v>
          </cell>
          <cell r="I16">
            <v>487.5</v>
          </cell>
          <cell r="J16" t="str">
            <v>Joy</v>
          </cell>
          <cell r="K16" t="str">
            <v>No Eustoma// Skip tom (31/12/25) Replacement of guldawari tom (16/01)</v>
          </cell>
          <cell r="L16" t="str">
            <v>Eustoma</v>
          </cell>
          <cell r="N16" t="str">
            <v>2  del of this cycle   -  1-cycles pmnt   Pending - Collect 1950</v>
          </cell>
          <cell r="O16" t="str">
            <v>P Asiatic ( 15 Inch ) 2 P n W Car ( 14 Inch ) 11   Grass</v>
          </cell>
          <cell r="P16" t="str">
            <v>Pur Eustom ( 14 Inch ) 2 Mix Alstroemeria ( 12 Inch ) 11   FF Sachet + Grass</v>
          </cell>
          <cell r="Q16" t="str">
            <v>P n Y Spray Daisy ( 14 Inch ) 4 P n W Glad ( 14 Inch ) 11   FF Sachet + Grass</v>
          </cell>
          <cell r="R16" t="str">
            <v>Eustoma  2 Pur n P Car ( 14 Inch ) 11   FF sachet + Grass</v>
          </cell>
          <cell r="S16" t="str">
            <v>Sunflower ( 12 Inch ) 3 Alstomeria( 12 Inch ) 11   FF Sachet + Grass</v>
          </cell>
          <cell r="T16" t="str">
            <v>W Asiatic ( 14 Inch ) 2 P n W Glad ( 14 Inch ) 11   Grass</v>
          </cell>
        </row>
        <row r="17">
          <cell r="A17">
            <v>48</v>
          </cell>
          <cell r="B17" t="str">
            <v>Ms. Namrata Agarwal</v>
          </cell>
          <cell r="C17">
            <v>9873660272</v>
          </cell>
          <cell r="D17" t="str">
            <v>18/1101,Orchid Petals, Sohna Road</v>
          </cell>
          <cell r="E17" t="str">
            <v>Sohna Road 1</v>
          </cell>
          <cell r="F17" t="str">
            <v>Friday</v>
          </cell>
          <cell r="G17" t="str">
            <v>9 AM - 12 PM</v>
          </cell>
          <cell r="H17">
            <v>1950</v>
          </cell>
          <cell r="I17">
            <v>487.5</v>
          </cell>
          <cell r="J17" t="str">
            <v>Joy</v>
          </cell>
          <cell r="K17"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17" t="str">
            <v>3  del of this cycle   -  0-cycles pmnt   Completed - Collect 0</v>
          </cell>
          <cell r="O17" t="str">
            <v>O Asiatic ( 15 Inch ) 4     Grass</v>
          </cell>
          <cell r="P17" t="str">
            <v>P n W Glad ( 14 Inch ) 22     Grass</v>
          </cell>
          <cell r="Q17" t="str">
            <v>Mix Alstroemeria ( 12 Inch ) 22     FF Sachet + Grass</v>
          </cell>
          <cell r="R17" t="str">
            <v>Sunflower ( 12 Inch ) 5     FF sachet + Grass</v>
          </cell>
          <cell r="S17" t="str">
            <v>Pur n P Car ( 14 Inch ) 22     FF Sachet + Grass</v>
          </cell>
          <cell r="T17" t="str">
            <v>G n Y Spray Daisy ( 14 Inch ) 7     Grass</v>
          </cell>
        </row>
        <row r="18">
          <cell r="A18">
            <v>2985</v>
          </cell>
          <cell r="B18" t="str">
            <v>Leena -- Orchid Petals</v>
          </cell>
          <cell r="C18">
            <v>9810768350</v>
          </cell>
          <cell r="D18" t="str">
            <v>T-24/1103, Orchid Petals</v>
          </cell>
          <cell r="E18" t="str">
            <v>Sohna Road 1</v>
          </cell>
          <cell r="F18" t="str">
            <v>Friday</v>
          </cell>
          <cell r="G18" t="str">
            <v>9 AM - 12 PM</v>
          </cell>
          <cell r="H18">
            <v>1450</v>
          </cell>
          <cell r="I18">
            <v>362.5</v>
          </cell>
          <cell r="J18" t="str">
            <v>Bliss</v>
          </cell>
          <cell r="K18" t="str">
            <v>1st del tom and then every Friday // Upgrade to Bliss (08/01) Hold today (06/02) Skip Friday and send on Sunday this week (20/05)</v>
          </cell>
          <cell r="N18" t="str">
            <v>1  del of this cycle   -  0-cycles pmnt   Completed - Collect 0</v>
          </cell>
          <cell r="O18" t="str">
            <v>R n W Car ( 14 Inch ) 16     FF Sachet + Grass</v>
          </cell>
          <cell r="P18" t="str">
            <v>O Asiatic ( 14 Inch ) 3     Grass</v>
          </cell>
          <cell r="Q18" t="str">
            <v>P n W Glad ( 14 Inch ) 16     Grass</v>
          </cell>
          <cell r="R18" t="str">
            <v xml:space="preserve">Pur Eustom ( 12 Inch ) 3    FF Sachet + Grass </v>
          </cell>
          <cell r="S18" t="str">
            <v>P n Y Spray Daisy ( 14 Inch ) 5     FF sachet + Grass</v>
          </cell>
          <cell r="T18" t="str">
            <v>Pur n P Car ( 14 Inch ) 16     FF Sachet + Grass</v>
          </cell>
        </row>
        <row r="19">
          <cell r="A19">
            <v>3301</v>
          </cell>
          <cell r="B19" t="str">
            <v>Akanksha -- Orchid Petal</v>
          </cell>
          <cell r="C19">
            <v>9953302209</v>
          </cell>
          <cell r="D19" t="str">
            <v>T-15/401, Orchid Petals</v>
          </cell>
          <cell r="E19" t="str">
            <v>Sohna Road 1</v>
          </cell>
          <cell r="F19" t="str">
            <v>Friday</v>
          </cell>
          <cell r="G19" t="str">
            <v>4 PM to 7 PM</v>
          </cell>
          <cell r="H19">
            <v>1950</v>
          </cell>
          <cell r="I19">
            <v>487.5</v>
          </cell>
          <cell r="J19" t="str">
            <v>Joy</v>
          </cell>
          <cell r="K19" t="str">
            <v>Paytm From Akanksha Jain// Skip 1 week (17/05) HDTNP (12/06)</v>
          </cell>
          <cell r="N19" t="str">
            <v>4  del of this cycle   -  0-cycles pmnt   Completed - Collect 0</v>
          </cell>
          <cell r="O19" t="str">
            <v>O Asiatic ( 15 Inch ) 4     Grass</v>
          </cell>
          <cell r="P19" t="str">
            <v>P n W Spray Daisy ( 14 Inch ) 7     FF Sachet + Grass</v>
          </cell>
          <cell r="Q19" t="e">
            <v>#N/A</v>
          </cell>
          <cell r="R19" t="str">
            <v>P n W Glad ( 14 Inch ) 22     Grass</v>
          </cell>
          <cell r="S19" t="str">
            <v>Pur n P Car ( 14 Inch ) 22     FF Sachet + Grass</v>
          </cell>
          <cell r="T19" t="str">
            <v>W Asiatic ( 14 Inch ) 4     Grass</v>
          </cell>
        </row>
        <row r="20">
          <cell r="A20">
            <v>2805</v>
          </cell>
          <cell r="B20" t="str">
            <v>Niti Beri</v>
          </cell>
          <cell r="C20">
            <v>8130432211</v>
          </cell>
          <cell r="D20" t="str">
            <v>D-92, DLF Ultima, Sec 81</v>
          </cell>
          <cell r="E20" t="str">
            <v>Manesar</v>
          </cell>
          <cell r="F20" t="str">
            <v>Friday</v>
          </cell>
          <cell r="G20" t="str">
            <v>4 PM to 8 PM</v>
          </cell>
          <cell r="H20">
            <v>2750</v>
          </cell>
          <cell r="I20">
            <v>687.5</v>
          </cell>
          <cell r="J20" t="str">
            <v>Elation</v>
          </cell>
          <cell r="K20" t="str">
            <v>2ith 15% discount // Skip 1 week (29/09) Today Hold (14/11) Hold Tom (04/12) Send one del tom (30/12) HDTNP (27/02) No Gerbera (06/05)</v>
          </cell>
          <cell r="L20" t="str">
            <v>Gerbera</v>
          </cell>
          <cell r="N20" t="str">
            <v>4  del of this cycle   -  0-cycles pmnt   Completed - Collect 0</v>
          </cell>
          <cell r="O20" t="e">
            <v>#N/A</v>
          </cell>
          <cell r="P20" t="e">
            <v>#N/A</v>
          </cell>
          <cell r="Q20" t="e">
            <v>#N/A</v>
          </cell>
          <cell r="R20" t="e">
            <v>#N/A</v>
          </cell>
          <cell r="S20" t="e">
            <v>#N/A</v>
          </cell>
          <cell r="T20" t="str">
            <v>O Asiatic ( 14 Inch ) 3 P n W Car ( 14 Inch ) 16   FF Sachet + Grass</v>
          </cell>
        </row>
        <row r="21">
          <cell r="A21">
            <v>3382</v>
          </cell>
          <cell r="B21" t="str">
            <v>Bhavna Jain</v>
          </cell>
          <cell r="C21">
            <v>8800691541</v>
          </cell>
          <cell r="D21" t="str">
            <v>D-15/301, Ireo Victory Valley, Sec 67</v>
          </cell>
          <cell r="E21" t="str">
            <v>Badshahpur</v>
          </cell>
          <cell r="F21" t="str">
            <v>Friday</v>
          </cell>
          <cell r="G21" t="str">
            <v>9:30 Am to 2 PM</v>
          </cell>
          <cell r="H21">
            <v>1450</v>
          </cell>
          <cell r="I21">
            <v>362.5</v>
          </cell>
          <cell r="J21" t="str">
            <v>Bliss</v>
          </cell>
          <cell r="N21" t="str">
            <v>3  del of this cycle   -  0-cycles pmnt   Completed - Collect 0</v>
          </cell>
          <cell r="O21" t="e">
            <v>#N/A</v>
          </cell>
          <cell r="P21" t="e">
            <v>#N/A</v>
          </cell>
          <cell r="Q21" t="e">
            <v>#N/A</v>
          </cell>
          <cell r="R21" t="str">
            <v xml:space="preserve">R n P Car ( 14 Inch ) 16    FF Sachet + Grass </v>
          </cell>
          <cell r="S21" t="str">
            <v>O Asiatic ( 14 Inch ) 3     Grass</v>
          </cell>
          <cell r="T21" t="str">
            <v>P n W Glad ( 14 Inch ) 16     Grass</v>
          </cell>
        </row>
        <row r="22">
          <cell r="A22">
            <v>2372</v>
          </cell>
          <cell r="B22" t="str">
            <v>Sumita Shahi</v>
          </cell>
          <cell r="C22">
            <v>9910955257</v>
          </cell>
          <cell r="D22" t="str">
            <v xml:space="preserve">T-A/501, Spaze I-tech Park, </v>
          </cell>
          <cell r="E22" t="str">
            <v>Sohna Road 1</v>
          </cell>
          <cell r="F22" t="str">
            <v>Friday</v>
          </cell>
          <cell r="G22" t="str">
            <v>9 AM - 12 PM</v>
          </cell>
          <cell r="H22">
            <v>1950</v>
          </cell>
          <cell r="I22">
            <v>487.5</v>
          </cell>
          <cell r="J22" t="str">
            <v>Joy</v>
          </cell>
          <cell r="K22" t="str">
            <v>Skip 1 week (04/01) Skip 1 week (25/06) Send tom (26/06) Tday returned (15/08) Hold tom (05/09) Today hold n skip 1 week (26/09) Skip tom (19/03) Upgrade to Joy and four plus 1 Pack (12/04) Hold today (01/05) Skip 1 week (23/06)</v>
          </cell>
          <cell r="N22" t="str">
            <v>1  del of this cycle   -  0-cycles pmnt   Completed - Collect 0</v>
          </cell>
          <cell r="O22" t="str">
            <v>P n W Glad ( 14 Inch ) 22     Grass</v>
          </cell>
          <cell r="P22" t="str">
            <v>Mix Alstroemeria ( 12 Inch ) 22     FF Sachet + Grass</v>
          </cell>
          <cell r="Q22" t="str">
            <v>Pur n P Eustoma ( 14 Inch ) 4     FF Sachet + Grass</v>
          </cell>
          <cell r="R22" t="str">
            <v>O Asiatic ( 14 Inch ) 4     Grass</v>
          </cell>
          <cell r="S22" t="e">
            <v>#N/A</v>
          </cell>
          <cell r="T22" t="str">
            <v>Pur n P Car ( 14 Inch ) 22     FF Sachet + Grass</v>
          </cell>
        </row>
        <row r="23">
          <cell r="A23">
            <v>815</v>
          </cell>
          <cell r="B23" t="str">
            <v>Surath Singh</v>
          </cell>
          <cell r="C23">
            <v>9717166559</v>
          </cell>
          <cell r="D23" t="str">
            <v>B-2205, Ireo Victory Valley,Sec-67</v>
          </cell>
          <cell r="E23" t="str">
            <v>Badshahpur</v>
          </cell>
          <cell r="F23" t="str">
            <v>Friday</v>
          </cell>
          <cell r="G23" t="str">
            <v>9 AM - 12 PM</v>
          </cell>
          <cell r="H23">
            <v>2750</v>
          </cell>
          <cell r="I23">
            <v>687.5</v>
          </cell>
          <cell r="J23" t="str">
            <v>Elation</v>
          </cell>
          <cell r="K23"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23" t="str">
            <v>4  del of this cycle   -  0-cycles pmnt   Completed - Collect 0</v>
          </cell>
          <cell r="O23" t="str">
            <v xml:space="preserve">Mix Spray Daisy 10     2 Luminium +FF </v>
          </cell>
          <cell r="P23" t="str">
            <v xml:space="preserve">P Asiatic ( 14 Inch ) 6     2 Gypsola </v>
          </cell>
          <cell r="Q23" t="str">
            <v>P n W Glad ( 14 Inch ) 32     2 Limonium</v>
          </cell>
          <cell r="R23" t="str">
            <v>P n Pur Eustoma ( 12 Inch ) 6     FF sachet + Grass</v>
          </cell>
          <cell r="S23" t="str">
            <v>P n W Car ( 14 Inch ) 32     2 Gypsola + FF Sachet</v>
          </cell>
          <cell r="T23" t="str">
            <v>Sunflower ( 12 Inch ) 7     FF Sachet + Grass</v>
          </cell>
        </row>
        <row r="24">
          <cell r="A24">
            <v>1618</v>
          </cell>
          <cell r="B24" t="str">
            <v>Nidhi Sharma Malhotra</v>
          </cell>
          <cell r="C24" t="str">
            <v>8130207722//9999016333</v>
          </cell>
          <cell r="D24" t="str">
            <v>Topaz-36, First Floor, Emaar Emerald Hills, Sec 65</v>
          </cell>
          <cell r="E24" t="str">
            <v>Badshahpur</v>
          </cell>
          <cell r="F24" t="str">
            <v>Friday</v>
          </cell>
          <cell r="G24" t="str">
            <v>9 AM to 2 PM</v>
          </cell>
          <cell r="H24">
            <v>3000</v>
          </cell>
          <cell r="I24">
            <v>375</v>
          </cell>
          <cell r="J24" t="str">
            <v>Charm</v>
          </cell>
          <cell r="K24"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4" t="str">
            <v>GLAD</v>
          </cell>
          <cell r="N24" t="str">
            <v>3  del of this cycle   -  0-cycles pmnt   Complimentary - Collect 0</v>
          </cell>
          <cell r="O24" t="str">
            <v>Mix Spray Daisy 4     FF Sachet + Grass</v>
          </cell>
          <cell r="P24" t="str">
            <v>Pur Eustom ( 14 Inch ) 3     FF Sachet + Grass</v>
          </cell>
          <cell r="Q24" t="str">
            <v>BOP ( 14 Inch ) 3     FF Sachet + Grass</v>
          </cell>
          <cell r="R24" t="str">
            <v>P Asiatic ( 14 Inch ) 3     Grass</v>
          </cell>
          <cell r="S24" t="str">
            <v>G n Y Spray Daisy ( 14 Inch ) 4     FF sachet + Grass</v>
          </cell>
          <cell r="T24" t="str">
            <v>P Oriental ( 15 Inch ) 3     Grass</v>
          </cell>
        </row>
        <row r="25">
          <cell r="A25">
            <v>1147</v>
          </cell>
          <cell r="B25" t="str">
            <v xml:space="preserve">Reena </v>
          </cell>
          <cell r="C25">
            <v>9811157690</v>
          </cell>
          <cell r="D25" t="str">
            <v>31/1, Ixia, Vatika City</v>
          </cell>
          <cell r="E25" t="str">
            <v>Sohna Road 1</v>
          </cell>
          <cell r="F25" t="str">
            <v>Tuesday</v>
          </cell>
          <cell r="G25" t="str">
            <v>9 AM to 2 PM</v>
          </cell>
          <cell r="H25">
            <v>1600</v>
          </cell>
          <cell r="I25">
            <v>200</v>
          </cell>
          <cell r="J25" t="str">
            <v>Bloom</v>
          </cell>
          <cell r="K25" t="str">
            <v>Tuesday and Friday//NO Rose/Rajni and ORCHID(30/10) Pink car Next(08/11) No Rose/No Rajni/No Orchids(30/11  NO RAJNI n HELICONIA (30/12) Star From Sunday (24/08) Skip coming Friday (07/12) Skip 1 week (18/01) Shift tom del to Sunday (20/06) Skip Friday Del (15/08) Today Returned(03/09) Skip 27th Del (22/12) Skip tom (30/01) Today Returned-send again (04/04) Hold n start from 15th (07/04) Skip friday (26/06) Skip 1 week (07/08) Skip tom del (11/09) Skip 1 week (01/11) Skip tom (30/04)</v>
          </cell>
          <cell r="L25" t="str">
            <v>RAJNI n HELICONIA</v>
          </cell>
          <cell r="N25" t="str">
            <v>8  del of this cycle   -  0-cycles pmnt   Completed - Collect 0</v>
          </cell>
          <cell r="O25" t="str">
            <v>Mix Alstroemeria ( 12 Inch ) 7     FF Sachet + Grass</v>
          </cell>
          <cell r="P25" t="str">
            <v>W Spray Daisy ( 14 Inch ) 2     FF Sachet + Grass</v>
          </cell>
          <cell r="Q25" t="str">
            <v>Pink White Car ( 12 Inch ) 7     Grass</v>
          </cell>
          <cell r="R25" t="str">
            <v>Rajni ( 14 Inch ) 7     Grass</v>
          </cell>
          <cell r="S25" t="str">
            <v>P Spray Daisy ( 14 Inch ) 2     FF sachet + Grass</v>
          </cell>
          <cell r="T25" t="str">
            <v>Pur n P Car ( 14 Inch ) 7     FF Sachet + Grass</v>
          </cell>
        </row>
        <row r="26">
          <cell r="A26">
            <v>953</v>
          </cell>
          <cell r="B26" t="str">
            <v>Nidhi Bansal</v>
          </cell>
          <cell r="C26">
            <v>9818647402</v>
          </cell>
          <cell r="D26" t="str">
            <v>03, Tatvam Villa's,Sector 48</v>
          </cell>
          <cell r="E26" t="str">
            <v>Sohna Road 2</v>
          </cell>
          <cell r="F26" t="str">
            <v>Friday</v>
          </cell>
          <cell r="G26" t="str">
            <v>9 AM - 12 PM</v>
          </cell>
          <cell r="H26">
            <v>2750</v>
          </cell>
          <cell r="I26">
            <v>687.5</v>
          </cell>
          <cell r="J26" t="str">
            <v>Elation</v>
          </cell>
          <cell r="K26"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26" t="str">
            <v>Long Stems (30/10)</v>
          </cell>
          <cell r="N26" t="str">
            <v>2  del of this cycle   -  0-cycles pmnt   Completed - Collect 0</v>
          </cell>
          <cell r="O26" t="str">
            <v>O Asiatic ( 15 Inch ) 3 P n W Glad ( 14 Inch ) 16   2 Limonium</v>
          </cell>
          <cell r="P26" t="str">
            <v>P n Y Spray Daisy ( 14 Inch ) 5 Mix Alstroemeria ( 12 Inch ) 16   2 Gypsola + FF Sachet</v>
          </cell>
          <cell r="Q26" t="str">
            <v>Sunflower ( 12 Inch ) 4 Pur n P Car ( 14 Inch ) 16   2 Limonium + FF sachet</v>
          </cell>
          <cell r="R26" t="str">
            <v>P Eustoma ( 12 Inch ) 4 P n W Glad ( 14 Inch ) 16   FF sachet + Grass</v>
          </cell>
          <cell r="S26" t="str">
            <v>P Asiatic ( 14 Inch ) 3 Alstomeria( 12 Inch ) 15   2 Gypaols</v>
          </cell>
          <cell r="T26" t="str">
            <v>Sunflower ( 12 Inch ) 4 Rajni ( 14 Inch ) 16   FF Sachet + Grass</v>
          </cell>
        </row>
        <row r="27">
          <cell r="A27">
            <v>2427</v>
          </cell>
          <cell r="B27" t="str">
            <v>Amrita Jain</v>
          </cell>
          <cell r="C27">
            <v>9560706242</v>
          </cell>
          <cell r="D27" t="str">
            <v>Flat 72, Emilia C2, Gardenia Street</v>
          </cell>
          <cell r="E27" t="str">
            <v>Sohna Road 1</v>
          </cell>
          <cell r="F27" t="str">
            <v>Friday</v>
          </cell>
          <cell r="G27" t="str">
            <v>9 AM - 12 PM</v>
          </cell>
          <cell r="H27">
            <v>1450</v>
          </cell>
          <cell r="I27">
            <v>362.5</v>
          </cell>
          <cell r="J27" t="str">
            <v>Bliss</v>
          </cell>
          <cell r="K27"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27" t="str">
            <v>Rose n Orchid</v>
          </cell>
          <cell r="N27" t="str">
            <v>3  del of this cycle   -  0-cycles pmnt   Completed - Collect 0</v>
          </cell>
          <cell r="O27" t="str">
            <v>Pur Eustoma 2 P n W Car ( 14 Inch ) 7   FF Sachet + Grass</v>
          </cell>
          <cell r="P27" t="str">
            <v>Y Spray Daisy ( 14 Inch ) 3 P n W Glad ( 14 Inch ) 7   FF Sachet + Grass</v>
          </cell>
          <cell r="Q27" t="str">
            <v>P Asiatic ( 14 Inch ) 2 Mix Alstroemeria ( 12 Inch ) 7   Grass</v>
          </cell>
          <cell r="R27" t="str">
            <v xml:space="preserve">Sunflower ( 12 Inch ) 2 Pur n P Car ( 14 Inch ) 7  FF Sachet + Grass </v>
          </cell>
          <cell r="S27" t="str">
            <v>P Eustoma ( 12 Inch ) 2 P n W Glad ( 14 Inch ) 7   FF sachet + Grass</v>
          </cell>
          <cell r="T27" t="str">
            <v>G Spray Daisy ( 14 Inch ) 3 Rajni ( 14 Inch ) 7   Grass</v>
          </cell>
        </row>
        <row r="28">
          <cell r="A28">
            <v>1996</v>
          </cell>
          <cell r="B28" t="str">
            <v>Ankita Sethi</v>
          </cell>
          <cell r="C28">
            <v>9899660037</v>
          </cell>
          <cell r="D28" t="str">
            <v>C1/202, Vatika City, Sec 49</v>
          </cell>
          <cell r="E28" t="str">
            <v>Sohna Road 1</v>
          </cell>
          <cell r="F28" t="str">
            <v>Friday</v>
          </cell>
          <cell r="G28" t="str">
            <v>9 AM - 12 PM</v>
          </cell>
          <cell r="H28">
            <v>1450</v>
          </cell>
          <cell r="I28">
            <v>362.5</v>
          </cell>
          <cell r="J28" t="str">
            <v>Bliss</v>
          </cell>
          <cell r="K28"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28" t="str">
            <v>GLAD n HELICONIA</v>
          </cell>
          <cell r="N28" t="str">
            <v>1  del of this cycle   -  1-cycles pmnt   Pending - Collect 1450</v>
          </cell>
          <cell r="O28" t="str">
            <v>P Asiatic ( 15 Inch ) 3     Grass</v>
          </cell>
          <cell r="P28" t="str">
            <v>P n Y Spray Daisy ( 14 Inch ) 5     FF Sachet + Grass</v>
          </cell>
          <cell r="Q28" t="str">
            <v>Sunflower ( 12 Inch ) 4     FF Sachet + Grass</v>
          </cell>
          <cell r="R28" t="str">
            <v xml:space="preserve">Pur Eustom ( 12 Inch ) 3    FF Sachet + Grass </v>
          </cell>
          <cell r="S28" t="str">
            <v>P n W Car ( 14 Inch ) 16     FF sachet + Grass</v>
          </cell>
          <cell r="T28" t="str">
            <v>O Asiatic ( 14 Inch ) 3     Grass</v>
          </cell>
        </row>
        <row r="29">
          <cell r="A29">
            <v>1238</v>
          </cell>
          <cell r="B29" t="str">
            <v>Meenakshi Dua-- Evening Only</v>
          </cell>
          <cell r="C29">
            <v>9560900277</v>
          </cell>
          <cell r="D29" t="str">
            <v>T-9/803, Orchid Petals</v>
          </cell>
          <cell r="E29" t="str">
            <v>Sohna Road 1</v>
          </cell>
          <cell r="F29" t="str">
            <v>Friday</v>
          </cell>
          <cell r="G29" t="str">
            <v>4 PM to 7PM</v>
          </cell>
          <cell r="H29">
            <v>1950</v>
          </cell>
          <cell r="I29">
            <v>487.5</v>
          </cell>
          <cell r="J29" t="str">
            <v>Joy</v>
          </cell>
          <cell r="K2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v>
          </cell>
          <cell r="L29" t="str">
            <v xml:space="preserve">HELICONIA n BOP n GERBERA </v>
          </cell>
          <cell r="M29" t="str">
            <v>No Yel/Wht/Red in Glad and Guldawari</v>
          </cell>
          <cell r="N29" t="str">
            <v>3  del of this cycle   -  0-cycles pmnt   Completed - Collect 0</v>
          </cell>
          <cell r="O29" t="str">
            <v>R n W Car ( 14 Inch ) 22     FF Sachet + Grass</v>
          </cell>
          <cell r="P29" t="str">
            <v>Pur n P Eustoma ( 14 Inch ) 4     FF Sachet + Grass</v>
          </cell>
          <cell r="Q29" t="str">
            <v>P n Y Spray Daisy ( 14 Inch ) 7     FF Sachet + Grass</v>
          </cell>
          <cell r="R29" t="str">
            <v>Mix Car 22     FF sachet + Grass</v>
          </cell>
          <cell r="S29" t="str">
            <v>O Asiatic ( 14 Inch ) 4     Grass</v>
          </cell>
          <cell r="T29" t="str">
            <v>Baloon Flower 4     Grass</v>
          </cell>
        </row>
        <row r="30">
          <cell r="A30">
            <v>2801</v>
          </cell>
          <cell r="B30" t="str">
            <v>Noopur Gupta</v>
          </cell>
          <cell r="C30">
            <v>9810130319</v>
          </cell>
          <cell r="D30" t="str">
            <v>Topaz-186, GF, Emaar Emerald Hills</v>
          </cell>
          <cell r="E30" t="str">
            <v>Badshahpur</v>
          </cell>
          <cell r="F30" t="str">
            <v>Friday</v>
          </cell>
          <cell r="G30" t="str">
            <v>9:30 Am to 2 PM</v>
          </cell>
          <cell r="H30">
            <v>1600</v>
          </cell>
          <cell r="I30">
            <v>200</v>
          </cell>
          <cell r="J30" t="str">
            <v>Bloom</v>
          </cell>
          <cell r="K30" t="str">
            <v>Friday n Monday // Send replacement of Eustoma tom (08/09) No Orchids (23/01) Hold n start from July (27/05)</v>
          </cell>
          <cell r="L30" t="str">
            <v>Orchid</v>
          </cell>
          <cell r="M30" t="str">
            <v>Seasonal with 9 Del Only (02/04)</v>
          </cell>
          <cell r="N30" t="str">
            <v>1  del of this cycle   -  1-cycles pmnt   Pending - Collect 1600</v>
          </cell>
          <cell r="O30" t="e">
            <v>#N/A</v>
          </cell>
          <cell r="P30" t="e">
            <v>#N/A</v>
          </cell>
          <cell r="Q30" t="e">
            <v>#N/A</v>
          </cell>
          <cell r="R30" t="e">
            <v>#N/A</v>
          </cell>
          <cell r="S30" t="e">
            <v>#N/A</v>
          </cell>
          <cell r="T30" t="str">
            <v>Pur n P Car ( 14 Inch ) 7     FF Sachet + Grass</v>
          </cell>
        </row>
        <row r="31">
          <cell r="A31">
            <v>2018</v>
          </cell>
          <cell r="B31" t="str">
            <v>Lakshmi Shankaran</v>
          </cell>
          <cell r="C31">
            <v>9818054747</v>
          </cell>
          <cell r="D31" t="str">
            <v>C2/202,  Sovereign Vatika City</v>
          </cell>
          <cell r="E31" t="str">
            <v>Sohna Road 1</v>
          </cell>
          <cell r="F31" t="str">
            <v>Friday</v>
          </cell>
          <cell r="G31" t="str">
            <v>9 AM - 12 PM</v>
          </cell>
          <cell r="H31">
            <v>1450</v>
          </cell>
          <cell r="I31">
            <v>362.5</v>
          </cell>
          <cell r="J31" t="str">
            <v>Bliss</v>
          </cell>
          <cell r="K31"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31" t="str">
            <v>GERBERA n GLAD</v>
          </cell>
          <cell r="N31" t="str">
            <v>4  del of this cycle   -  0-cycles pmnt   Completed - Collect 0</v>
          </cell>
          <cell r="O31" t="e">
            <v>#N/A</v>
          </cell>
          <cell r="P31" t="str">
            <v>Mix Alstroemeria ( 12 Inch ) 16     FF Sachet + Grass</v>
          </cell>
          <cell r="Q31" t="str">
            <v>W Asiatic ( 14 inch ) 3     Grass</v>
          </cell>
          <cell r="R31" t="e">
            <v>#N/A</v>
          </cell>
          <cell r="S31" t="str">
            <v>Pur n P Car ( 14 Inch ) 16     FF sachet + Grass</v>
          </cell>
          <cell r="T31" t="str">
            <v>Sunflower ( 12 Inch ) 4     FF Sachet + Grass</v>
          </cell>
        </row>
        <row r="32">
          <cell r="A32">
            <v>1630</v>
          </cell>
          <cell r="B32" t="str">
            <v>Nikhil Ranganathan-- Evening Only</v>
          </cell>
          <cell r="C32">
            <v>9910184448</v>
          </cell>
          <cell r="D32" t="str">
            <v>24/7, Primrose Vatika</v>
          </cell>
          <cell r="E32" t="str">
            <v>Sohna Road 1</v>
          </cell>
          <cell r="F32" t="str">
            <v>Friday</v>
          </cell>
          <cell r="G32" t="str">
            <v>4 Pm to 7 PM</v>
          </cell>
          <cell r="H32">
            <v>1450</v>
          </cell>
          <cell r="I32">
            <v>362.5</v>
          </cell>
          <cell r="J32" t="str">
            <v>Bliss</v>
          </cell>
          <cell r="K32"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32" t="str">
            <v>3  del of this cycle   -  0-cycles pmnt   Completed - Collect 0</v>
          </cell>
          <cell r="O32" t="str">
            <v>O Asiatic ( 15 Inch ) 3     Grass</v>
          </cell>
          <cell r="P32" t="str">
            <v>P n W Glad ( 14 Inch ) 16     Grass</v>
          </cell>
          <cell r="Q32" t="str">
            <v>P n Y Spray Daisy ( 14 Inch ) 5     FF Sachet + Grass</v>
          </cell>
          <cell r="R32" t="str">
            <v xml:space="preserve">R n P Car ( 14 Inch ) 16    FF Sachet + Grass </v>
          </cell>
          <cell r="S32" t="str">
            <v>Pur Eustoma ( 12 Inch ) 3     FF sachet + Grass</v>
          </cell>
          <cell r="T32" t="str">
            <v>Sunflower ( 12 Inch ) 4     FF Sachet + Grass</v>
          </cell>
        </row>
        <row r="33">
          <cell r="A33">
            <v>296</v>
          </cell>
          <cell r="B33" t="str">
            <v>Madhu Thapliyal</v>
          </cell>
          <cell r="C33">
            <v>9999364696</v>
          </cell>
          <cell r="D33" t="str">
            <v>2/201, Sovereign, Vatika City</v>
          </cell>
          <cell r="E33" t="str">
            <v>Sohna Road 1</v>
          </cell>
          <cell r="F33" t="str">
            <v>Friday</v>
          </cell>
          <cell r="G33" t="str">
            <v>9 AM - 12 PM</v>
          </cell>
          <cell r="H33">
            <v>1450</v>
          </cell>
          <cell r="I33">
            <v>362.5</v>
          </cell>
          <cell r="J33" t="str">
            <v>Bliss</v>
          </cell>
          <cell r="K33" t="str">
            <v xml:space="preserve">  Orchids tom(11/10) Pls sned on thursday with Lilies(27/10) Orchids next(22/11) Orchids Next(06/12) Skip n send Chrysanthemum on Momday(17/01) Skip 1 week and  Orchids Next(24/01) Lilies Next(31/01) Orchids nxt(07/02) Paytm from Chandresh(08/02) P n W Chrysanthemum Tom(14/02) NO R Orchids next(21/02)  NO RAJNI N GLAD(25/02)  No Red Daisy (13/10) Skip 1 week (20/10) 1 Spray Daisy Next (30/10) Skip 1 week (07/11) NO GLAD (02/12) Skip 1 week (08/12) Upgrade to Joy (16/12) NO GLAD  AND NO HELICONIA(22/12) Skip 1 week (05/01) P n W Gerbera Next (09/01) SEnt repolacement today (16/01) Skip 1 week (25/01) Spray Daisy Next (16/02) Spray Daisy next (06/04) Sent replacement (09/04) skip 1 wek (13/04) Skip 1 week (20/04) Change to Bliss and send flower food -- No BOP n Glad (18/05) Skip 1 week (31/05) Return today and skip 2 week (09/06) Skip 1 week (14/06) Sent replacement today (26/06) Skip 1 week (29/06) Skip 1 week (08/11) Skip 1 week (18/12) Skip 1 week (25/01) Skip 1 week (08/02) Skip 2 week (21/03) Hold tom (16/05) Skip 2 week (10/096) Sent replacement today (15/07) Skip 1 week (22/07) Spray Daisy next (15/08) Hold today (25/10) Skip this week (25/10) Return today n hold next week also (03/01) Skip 1 week (23/01) Hold today (28/03) Skip 1 week (10/04) Skip tom (19/06) Skip 1 week (02/07) Skip 1 week (24/07) Skip 1 week (01/08) Skip 1 week (15/10) Skip 1 week (19/11) Skip 1 week (05/01) Skip 1 week (17/01) Skip 1 week (29/01) Skip 1 week (22/03) Statice next (19/04)</v>
          </cell>
          <cell r="L33" t="str">
            <v>GLAD n BOP</v>
          </cell>
          <cell r="M33" t="str">
            <v>Statice next (19/04)</v>
          </cell>
          <cell r="N33" t="str">
            <v>4  del of this cycle   -  0-cycles pmnt   Completed - Collect 0</v>
          </cell>
          <cell r="O33" t="str">
            <v>Mix Alstroemeria ( 12 Inch ) 16     FF Sachet + Grass</v>
          </cell>
          <cell r="P33" t="str">
            <v>P n W Spray Daisy ( 14 Inch ) 5     FF Sachet + Grass</v>
          </cell>
          <cell r="Q33" t="str">
            <v>Pur n P Car ( 14 Inch ) 16     FF Sachet + Grass</v>
          </cell>
          <cell r="R33" t="str">
            <v xml:space="preserve">O Asiatic ( 14 Inch ) 3    Grass </v>
          </cell>
          <cell r="S33" t="str">
            <v xml:space="preserve">Mix Spray Daisy 5     </v>
          </cell>
          <cell r="T33" t="str">
            <v>Rajni ( 14 Inch ) 16     Grass</v>
          </cell>
        </row>
        <row r="34">
          <cell r="A34">
            <v>196</v>
          </cell>
          <cell r="B34" t="str">
            <v>Nipun Jain</v>
          </cell>
          <cell r="C34">
            <v>9999113554</v>
          </cell>
          <cell r="D34" t="str">
            <v>Villa-9, Tattvam Villa</v>
          </cell>
          <cell r="E34" t="str">
            <v>Sohna Road 2</v>
          </cell>
          <cell r="F34" t="str">
            <v>Friday</v>
          </cell>
          <cell r="G34" t="str">
            <v>9 AM - 12 PM</v>
          </cell>
          <cell r="H34">
            <v>3960</v>
          </cell>
          <cell r="I34">
            <v>990</v>
          </cell>
          <cell r="J34" t="str">
            <v>Customized</v>
          </cell>
          <cell r="K34"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34" t="str">
            <v>1  del of this cycle   -  1-cycles pmnt   Pending - Collect 3960</v>
          </cell>
          <cell r="O34" t="str">
            <v>O Asiatic ( 15 Inch ) 8     2 Gypsola</v>
          </cell>
          <cell r="P34" t="str">
            <v>P Asiatic ( 14 Inch ) 8     2 Limonium</v>
          </cell>
          <cell r="Q34" t="str">
            <v>W Asiatic ( 14 inch ) 8     2 Gypsola</v>
          </cell>
          <cell r="R34" t="e">
            <v>#N/A</v>
          </cell>
          <cell r="S34" t="e">
            <v>#N/A</v>
          </cell>
          <cell r="T34" t="str">
            <v>O Asiatic ( 14 Inch ) 8     2 Limonium</v>
          </cell>
        </row>
        <row r="35">
          <cell r="A35">
            <v>3334</v>
          </cell>
          <cell r="B35" t="str">
            <v>Sachi Poudiyal</v>
          </cell>
          <cell r="C35">
            <v>8420453178</v>
          </cell>
          <cell r="D35" t="str">
            <v>H. No. 901, Ground Floor, Sec 17 B, Next to St PBN School</v>
          </cell>
          <cell r="E35" t="str">
            <v>Old Gurgaon</v>
          </cell>
          <cell r="F35" t="str">
            <v>Friday</v>
          </cell>
          <cell r="G35" t="str">
            <v>4 PM to 7 PM</v>
          </cell>
          <cell r="H35">
            <v>1450</v>
          </cell>
          <cell r="I35">
            <v>362.5</v>
          </cell>
          <cell r="J35" t="str">
            <v>Bliss</v>
          </cell>
          <cell r="N35" t="str">
            <v>3  del of this cycle   -  0-cycles pmnt   Completed - Collect 0</v>
          </cell>
          <cell r="O35" t="str">
            <v>P Asiatic ( 15 Inch ) 3     Grass</v>
          </cell>
          <cell r="P35" t="str">
            <v>P n W Glad ( 14 Inch ) 16     Grass</v>
          </cell>
          <cell r="Q35" t="str">
            <v>Pur n P Car ( 14 Inch ) 16     FF Sachet + Grass</v>
          </cell>
          <cell r="R35" t="str">
            <v xml:space="preserve">P n W Spray Daisy ( 14 Inch ) 5    FF Sachet + Grass </v>
          </cell>
          <cell r="S35" t="str">
            <v>Pur Eustoma ( 12 Inch ) 3     FF sachet + Grass</v>
          </cell>
          <cell r="T35" t="str">
            <v>Sunflower ( 12 Inch ) 4     FF Sachet + Grass</v>
          </cell>
        </row>
        <row r="36">
          <cell r="A36">
            <v>207</v>
          </cell>
          <cell r="B36" t="str">
            <v>Ms. Monaliza</v>
          </cell>
          <cell r="C36">
            <v>9958305888</v>
          </cell>
          <cell r="D36" t="str">
            <v>C-4/703, Sovereign, Vatika City</v>
          </cell>
          <cell r="E36" t="str">
            <v>Sohna Road 1</v>
          </cell>
          <cell r="F36" t="str">
            <v>Friday</v>
          </cell>
          <cell r="G36" t="str">
            <v>4 Pm to 7 PM</v>
          </cell>
          <cell r="H36">
            <v>1450</v>
          </cell>
          <cell r="I36">
            <v>362.5</v>
          </cell>
          <cell r="J36" t="str">
            <v>Bliss</v>
          </cell>
          <cell r="K36"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v>
          </cell>
          <cell r="L36" t="str">
            <v>Sunflower</v>
          </cell>
          <cell r="N36" t="str">
            <v>2  del of this cycle   -  1-cycles pmnt   Pending - Collect 1450</v>
          </cell>
          <cell r="O36" t="e">
            <v>#N/A</v>
          </cell>
          <cell r="P36" t="str">
            <v>P Asiatic ( 14 Inch ) 3     Grass</v>
          </cell>
          <cell r="Q36" t="str">
            <v>P n W Glad ( 14 Inch ) 16     Grass</v>
          </cell>
          <cell r="R36" t="str">
            <v xml:space="preserve">R n P Car ( 14 Inch ) 16    FF Sachet + Grass </v>
          </cell>
          <cell r="S36" t="str">
            <v>Pur Eustoma ( 12 Inch ) 3     FF sachet + Grass</v>
          </cell>
          <cell r="T36" t="str">
            <v>O Asiatic ( 14 Inch ) 3     Grass</v>
          </cell>
        </row>
        <row r="37">
          <cell r="A37">
            <v>2089</v>
          </cell>
          <cell r="B37" t="str">
            <v>Arshdeep Kaur</v>
          </cell>
          <cell r="C37">
            <v>8369995614</v>
          </cell>
          <cell r="D37" t="str">
            <v>B-3103, Ireo Victory Valley, Sec 67</v>
          </cell>
          <cell r="E37" t="str">
            <v>Badshahpur</v>
          </cell>
          <cell r="F37" t="str">
            <v>Friday</v>
          </cell>
          <cell r="G37" t="str">
            <v>9 AM - 12 PM</v>
          </cell>
          <cell r="H37">
            <v>1450</v>
          </cell>
          <cell r="I37">
            <v>362.5</v>
          </cell>
          <cell r="J37" t="str">
            <v>Bliss</v>
          </cell>
          <cell r="K37" t="str">
            <v>NO Rose (06/04) Send replacement tom (04/06) Skip next Friday delivery (23/09) Skip 1 week (28/09) Skip 1 week (27/10) Paytm From Karandeep Harjit Singh (26/01) Skip 1 week (28/03) Skip 1 week (18/04) Skip tom (07/05)  Skip 2 week (06/06)</v>
          </cell>
          <cell r="L37" t="str">
            <v>ROSE</v>
          </cell>
          <cell r="N37" t="str">
            <v>4  del of this cycle   -  0-cycles pmnt   Completed - Collect 0</v>
          </cell>
          <cell r="O37" t="str">
            <v>O Asiatic ( 15 Inch ) 3     Grass</v>
          </cell>
          <cell r="P37" t="str">
            <v>P n W Glad ( 14 Inch ) 16     Grass</v>
          </cell>
          <cell r="Q37" t="e">
            <v>#N/A</v>
          </cell>
          <cell r="R37" t="e">
            <v>#N/A</v>
          </cell>
          <cell r="S37" t="str">
            <v>Mix Alstroemeria 16     FF sachet + Grass</v>
          </cell>
          <cell r="T37" t="str">
            <v>Pur n P Car ( 14 Inch ) 16     FF Sachet + Grass</v>
          </cell>
        </row>
        <row r="38">
          <cell r="A38">
            <v>3120</v>
          </cell>
          <cell r="B38" t="str">
            <v>Pratibha Saran</v>
          </cell>
          <cell r="C38">
            <v>9953670482</v>
          </cell>
          <cell r="D38" t="str">
            <v>Topaz 124, G Floor, Emaar Emerald Hills, Sec 66</v>
          </cell>
          <cell r="E38" t="str">
            <v>Badshahpur</v>
          </cell>
          <cell r="F38" t="str">
            <v>Friday</v>
          </cell>
          <cell r="G38" t="str">
            <v>9 AM to 2 PM</v>
          </cell>
          <cell r="H38">
            <v>2750</v>
          </cell>
          <cell r="I38">
            <v>687.5</v>
          </cell>
          <cell r="J38" t="str">
            <v>Elation</v>
          </cell>
          <cell r="K38" t="str">
            <v>Hold till 28th jan (26/12) Skip 1 week (03/03) Paytm From Pratibha.libra // No Glad n BOP (03/04) start now from 03rd July (09/06)</v>
          </cell>
          <cell r="L38" t="str">
            <v>GLAD n BOP n GERBERA</v>
          </cell>
          <cell r="N38" t="str">
            <v>1  del of this cycle   -  1-cycles pmnt   Pending - Collect 2750</v>
          </cell>
          <cell r="O38" t="str">
            <v>P n Y Spray Daisy ( 15 Inch ) 5 P n W Car ( 14 Inch ) 16   2 Limonium + Ff Sachet</v>
          </cell>
          <cell r="P38" t="str">
            <v xml:space="preserve">W Asiatic ( 14 Inch ) 3 Mix Alstroemeria ( 12 Inch ) 16   2 Gypsola </v>
          </cell>
          <cell r="Q38" t="e">
            <v>#N/A</v>
          </cell>
          <cell r="R38" t="e">
            <v>#N/A</v>
          </cell>
          <cell r="S38" t="e">
            <v>#N/A</v>
          </cell>
          <cell r="T38" t="str">
            <v>Sunflower ( 12 Inch ) 4 Pur n P Car ( 14 Inch ) 16   FF Sachet + Grass</v>
          </cell>
        </row>
        <row r="39">
          <cell r="A39">
            <v>2190</v>
          </cell>
          <cell r="B39" t="str">
            <v>Vismit Sharma</v>
          </cell>
          <cell r="C39">
            <v>9205393464</v>
          </cell>
          <cell r="D39" t="str">
            <v>R-164, DLF Ultima, Sec 81</v>
          </cell>
          <cell r="E39" t="str">
            <v>Manesar</v>
          </cell>
          <cell r="F39" t="str">
            <v>Friday</v>
          </cell>
          <cell r="G39" t="str">
            <v>4 Pm to 7 PM</v>
          </cell>
          <cell r="H39">
            <v>1950</v>
          </cell>
          <cell r="I39">
            <v>487.5</v>
          </cell>
          <cell r="J39" t="str">
            <v>Joy</v>
          </cell>
          <cell r="K39" t="str">
            <v>Skip 2 week (22/02) Skip 1 week (12/03) Skip 1 week (10/03) Skip 1 week (24/07) Skip 1 week (04/09) Skip 2 week (25/09) Hold n start from Jan (12/12)</v>
          </cell>
          <cell r="N39" t="str">
            <v>4  del of this cycle   -  0-cycles pmnt   Completed - Collect 0</v>
          </cell>
          <cell r="O39" t="str">
            <v>Y Orchid  7     FF Sachet + Grass</v>
          </cell>
          <cell r="P39" t="str">
            <v>P n Y Spray Daisy ( 14 Inch ) 7     FF Sachet + Grass</v>
          </cell>
          <cell r="Q39" t="str">
            <v>Pur n P Car ( 14 Inch ) 22     FF Sachet + Grass</v>
          </cell>
          <cell r="R39" t="str">
            <v>P Asiatic ( 14 Inch ) 4     Grass</v>
          </cell>
          <cell r="S39" t="str">
            <v>P n W Glad ( 14 Inch ) 22     Grass</v>
          </cell>
          <cell r="T39" t="str">
            <v>Sunflower ( 12 Inch ) 5     FF Sachet + Grass</v>
          </cell>
        </row>
        <row r="40">
          <cell r="A40">
            <v>1477</v>
          </cell>
          <cell r="B40" t="str">
            <v>Priyanka Agarwal</v>
          </cell>
          <cell r="C40">
            <v>9810745341</v>
          </cell>
          <cell r="D40" t="str">
            <v>624-A, Fairway East, Sector 65</v>
          </cell>
          <cell r="E40" t="str">
            <v>Badshahpur</v>
          </cell>
          <cell r="F40" t="str">
            <v>Friday</v>
          </cell>
          <cell r="G40" t="str">
            <v>9 AM to 2 PM</v>
          </cell>
          <cell r="H40">
            <v>1600</v>
          </cell>
          <cell r="I40">
            <v>200</v>
          </cell>
          <cell r="J40" t="str">
            <v>Bloom</v>
          </cell>
          <cell r="K40"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40" t="str">
            <v>8  del of this cycle   -  0-cycles pmnt   Completed - Collect 0</v>
          </cell>
          <cell r="O40" t="str">
            <v xml:space="preserve">Collect 1400 Carry Receipt Book Collect 1400 Carry Receipt Book Collect 1400 Carry Receipt Book </v>
          </cell>
          <cell r="P40" t="str">
            <v>Mix Alstroemeria ( 12 Inch ) 7     FF Sachet + Grass</v>
          </cell>
          <cell r="Q40" t="str">
            <v>Pur n P Car ( 14 Inch ) 7     FF Sachet + Grass</v>
          </cell>
          <cell r="R40" t="str">
            <v>P Spray Daisy ( 14 Inch ) 2     FF Sachet + Grass</v>
          </cell>
          <cell r="S40" t="str">
            <v>Rajni ( 14 Inch ) 7     Grass</v>
          </cell>
          <cell r="T40" t="str">
            <v>P n W Car ( 14 Inch ) 7     FF Sachet + Grass</v>
          </cell>
        </row>
        <row r="41">
          <cell r="A41">
            <v>2404</v>
          </cell>
          <cell r="B41" t="str">
            <v>Amitt Nenwani</v>
          </cell>
          <cell r="C41">
            <v>9810444444</v>
          </cell>
          <cell r="D41" t="str">
            <v>Villa 21, Z Block, Tatvam Villas</v>
          </cell>
          <cell r="E41" t="str">
            <v>Sohna Road 2</v>
          </cell>
          <cell r="F41" t="str">
            <v>Friday</v>
          </cell>
          <cell r="G41" t="str">
            <v>9 AM - 12 PM</v>
          </cell>
          <cell r="H41">
            <v>6350</v>
          </cell>
          <cell r="I41">
            <v>793.75</v>
          </cell>
          <cell r="J41" t="str">
            <v>Elegance</v>
          </cell>
          <cell r="K41" t="str">
            <v>Friday n Monday//Mixed // Skip 1 week (17/04) Skip this week (12/11) Skip this week and send on 03rd Jan (29/12) Skip tom (15/03) Skip 1 week (26/03)</v>
          </cell>
          <cell r="M41" t="str">
            <v>Mixed Flowers// Change to enchantement from next cycle (12/1)</v>
          </cell>
          <cell r="N41" t="str">
            <v>4  del of this cycle   -  0-cycles pmnt   In Process - Collect 0</v>
          </cell>
          <cell r="O41" t="str">
            <v>P Asiatic ( 15 Inch ) 3 P n Y Spray Daosy ( 15 Inch ) 4 P n W Car ( 14 Inch ) 12 3 Areca Palm + 3 Limonium</v>
          </cell>
          <cell r="P41" t="str">
            <v>W Asiatic ( 14 Inch ) 3 G Orchid  4 Rajni ( 14 Inch ) 12 Grass</v>
          </cell>
          <cell r="Q41" t="str">
            <v>Y Asiatic ( 14 Inch ) 4 BOP ( 15 Inch ) 3 Pur n P Car ( 14 Inch ) 12 3 Areca palm + 3 Gypsola</v>
          </cell>
          <cell r="R41" t="str">
            <v>O Asiatic ( 14 Inch ) 3 B Orchid  4 P n W Glad ( 14 Inch ) 12 Grass</v>
          </cell>
          <cell r="S41" t="str">
            <v>P Asiatic ( 14 Inch ) 3 Pur Eustoma ( 12 Inch ) 3 Rajni ( 14 Inch ) 12 3 Areca Palm + 3 Gypsola</v>
          </cell>
          <cell r="T41" t="str">
            <v>W Asiatic ( 14 Inch ) 3 Baloon Flower  4 R n W Car ( 14 Inch ) 12 3 Areca Palm + 3 Limonium</v>
          </cell>
        </row>
        <row r="42">
          <cell r="A42">
            <v>467</v>
          </cell>
          <cell r="B42" t="str">
            <v>Mamta Wassan -- From Dilip Puri</v>
          </cell>
          <cell r="C42">
            <v>9867722349</v>
          </cell>
          <cell r="D42" t="str">
            <v>1/9, Hamelia Street, Vatika City</v>
          </cell>
          <cell r="E42" t="str">
            <v>Sohna Road 1</v>
          </cell>
          <cell r="F42" t="str">
            <v>Friday</v>
          </cell>
          <cell r="G42" t="str">
            <v>4 Pm to 7 PM</v>
          </cell>
          <cell r="H42">
            <v>1450</v>
          </cell>
          <cell r="I42">
            <v>362.5</v>
          </cell>
          <cell r="J42" t="str">
            <v>Bliss</v>
          </cell>
          <cell r="K42"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42" t="str">
            <v>1  del of this cycle   -  0-cycles pmnt   In Process - Collect 0</v>
          </cell>
          <cell r="O42" t="e">
            <v>#N/A</v>
          </cell>
          <cell r="P42" t="str">
            <v>Mix Alstroemeria ( 12 Inch ) 16     FF Sachet + Grass</v>
          </cell>
          <cell r="Q42" t="e">
            <v>#N/A</v>
          </cell>
          <cell r="R42" t="str">
            <v xml:space="preserve">O Asiatic ( 14 Inch ) 3    Grass </v>
          </cell>
          <cell r="S42" t="str">
            <v>P n W Glad ( 14 Inch ) 16     Grass</v>
          </cell>
          <cell r="T42" t="str">
            <v>Pur n P Car ( 14 Inch ) 16     FF Sachet + Grass</v>
          </cell>
        </row>
        <row r="43">
          <cell r="A43">
            <v>2652</v>
          </cell>
          <cell r="B43" t="str">
            <v>Shilpi Samantray</v>
          </cell>
          <cell r="C43">
            <v>8527486150</v>
          </cell>
          <cell r="D43" t="str">
            <v>Q-294, DLF Ultima</v>
          </cell>
          <cell r="E43" t="str">
            <v>Manesar</v>
          </cell>
          <cell r="F43" t="str">
            <v>Friday</v>
          </cell>
          <cell r="G43" t="str">
            <v>4 Pm to 7 PM</v>
          </cell>
          <cell r="H43">
            <v>1450</v>
          </cell>
          <cell r="I43">
            <v>362.5</v>
          </cell>
          <cell r="J43" t="str">
            <v>Bliss</v>
          </cell>
          <cell r="K43"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43" t="str">
            <v>lilies n Glad</v>
          </cell>
          <cell r="M43" t="str">
            <v>More Eustoams</v>
          </cell>
          <cell r="N43" t="str">
            <v>2  del of this cycle   -  0-cycles pmnt   Completed - Collect 0</v>
          </cell>
          <cell r="O43" t="e">
            <v>#N/A</v>
          </cell>
          <cell r="P43" t="str">
            <v>O Asiatic ( 14 Inch ) 2 P n W Glad ( 14 Inch ) 7   Grass</v>
          </cell>
          <cell r="Q43" t="str">
            <v>Pur Eustoma ( 12 Inch ) 2 Mix Alstroemeria ( 12 Inch ) 7   FF Sachet + Grass</v>
          </cell>
          <cell r="R43" t="str">
            <v xml:space="preserve">P Spray Daisy ( 14 Inch ) 3 Pur n P Car ( 14 Inch ) 7  FF Sachet + Grass </v>
          </cell>
          <cell r="S43" t="str">
            <v>P Asiatic ( 14 Inch ) 2 p Car ( 14 inch ) 7   FF sachet + Grass</v>
          </cell>
          <cell r="T43" t="str">
            <v>Sunflower ( 12 Inch ) 2 P n W Glad ( 14 Inch ) 7   FF Sachet + Grass</v>
          </cell>
        </row>
        <row r="44">
          <cell r="A44">
            <v>2055</v>
          </cell>
          <cell r="B44" t="str">
            <v>Gitika Agarwal</v>
          </cell>
          <cell r="C44">
            <v>9871628499</v>
          </cell>
          <cell r="D44" t="str">
            <v>D11/502, Ireo Victory Valley, Sec 67</v>
          </cell>
          <cell r="E44" t="str">
            <v>Badshahpur</v>
          </cell>
          <cell r="F44" t="str">
            <v>Friday</v>
          </cell>
          <cell r="G44" t="str">
            <v>9 AM - 12 PM</v>
          </cell>
          <cell r="H44">
            <v>1450</v>
          </cell>
          <cell r="I44">
            <v>362.5</v>
          </cell>
          <cell r="J44" t="str">
            <v>Bliss</v>
          </cell>
          <cell r="K44"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v>
          </cell>
          <cell r="N44" t="str">
            <v>3  del of this cycle   -  0-cycles pmnt   Completed - Collect 0</v>
          </cell>
          <cell r="O44" t="str">
            <v>Y Spray Daisy ( 15 Inch ) 3 P n W Glad ( 14 Inch ) 7   FF Sachet + Grass</v>
          </cell>
          <cell r="P44" t="str">
            <v>O Asiatic ( 14 Inch ) 2 Mix Alstroemeria ( 12 Inch ) 7   Grass</v>
          </cell>
          <cell r="Q44" t="e">
            <v>#N/A</v>
          </cell>
          <cell r="R44" t="e">
            <v>#N/A</v>
          </cell>
          <cell r="S44" t="e">
            <v>#N/A</v>
          </cell>
          <cell r="T44" t="str">
            <v>Sunflower ( 12 Inch ) 2 Pur n P Car ( 14 Inch ) 7   FF Sachet + Grass</v>
          </cell>
        </row>
        <row r="45">
          <cell r="A45">
            <v>2123</v>
          </cell>
          <cell r="B45" t="str">
            <v>Meenu Singh</v>
          </cell>
          <cell r="C45">
            <v>9999982765</v>
          </cell>
          <cell r="D45" t="str">
            <v xml:space="preserve">FLAT NO 16 A, TOWER 2, FAIRWAY EAST, M3M GOLF ESTATE
</v>
          </cell>
          <cell r="E45" t="str">
            <v>Badshahpur</v>
          </cell>
          <cell r="F45" t="str">
            <v>Friday</v>
          </cell>
          <cell r="G45" t="str">
            <v>9 AM - 12 PM</v>
          </cell>
          <cell r="H45">
            <v>3750</v>
          </cell>
          <cell r="I45">
            <v>937.5</v>
          </cell>
          <cell r="J45" t="str">
            <v>Savor</v>
          </cell>
          <cell r="K45"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v>
          </cell>
          <cell r="M45" t="str">
            <v>Diff Flowers n Combination</v>
          </cell>
          <cell r="N45" t="str">
            <v>3  del of this cycle   -  0-cycles pmnt   Completed - Collect 0</v>
          </cell>
          <cell r="O45" t="str">
            <v>P n W Spray Daisy ( 15 Inch ) 5 P n W Glad ( 14 Inch ) 21   2 Gypsola + FF Sachet</v>
          </cell>
          <cell r="P45" t="str">
            <v>Sunflower ( 12 Inch ) 5 Mix Alstroemeria ( 12 Inch ) 20   2 Limonium + FF Sachet</v>
          </cell>
          <cell r="Q45" t="str">
            <v>Pur n P Eustoma ( 14 Inch ) 4 Pur n P Car ( 14 Inch ) 16   2 Gypsola + FF Sachet</v>
          </cell>
          <cell r="R45" t="str">
            <v>O Asiatic ( 14 Inch ) 4 P n W Glad ( 14 Inch ) 21   Grass</v>
          </cell>
          <cell r="S45" t="str">
            <v xml:space="preserve">G n Y Spray Daisy ( 14 Inch ) 5 Rajni ( 14 Inch ) 20   2 Limonium </v>
          </cell>
          <cell r="T45" t="str">
            <v>Baloon Flowers  4 Pur n P Car ( 14 Inch ) 20   FF Sachet + Grass</v>
          </cell>
        </row>
        <row r="46">
          <cell r="A46">
            <v>3011</v>
          </cell>
          <cell r="B46" t="str">
            <v>Nandita Sharma</v>
          </cell>
          <cell r="C46">
            <v>9702930000</v>
          </cell>
          <cell r="D46" t="str">
            <v>Sovereign-2/102, Vatila City</v>
          </cell>
          <cell r="E46" t="str">
            <v>Sohna Road 1</v>
          </cell>
          <cell r="F46" t="str">
            <v>Friday</v>
          </cell>
          <cell r="G46" t="str">
            <v>9 AM to 2 PM</v>
          </cell>
          <cell r="H46">
            <v>1450</v>
          </cell>
          <cell r="I46">
            <v>362.5</v>
          </cell>
          <cell r="J46" t="str">
            <v>Bliss</v>
          </cell>
          <cell r="K46" t="str">
            <v>Hld till 8th Mar (22/02)</v>
          </cell>
          <cell r="N46" t="str">
            <v>4  del of this cycle   -  0-cycles pmnt   Completed - Collect 0</v>
          </cell>
          <cell r="O46" t="str">
            <v>O Asiatic ( 15 Inch ) 2 Mix Alstroemeria ( 12 Inch )  7   Grass</v>
          </cell>
          <cell r="P46" t="str">
            <v>P Spray Daisy ( 14 Inch ) 3 P n W Glad ( 14 Inch ) 7   FF Sachet + Grass</v>
          </cell>
          <cell r="Q46" t="str">
            <v>Pur Eustoma ( 12 Inch ) 2 Pur n P Car ( 14 Inch ) 7   FF Sachet + Grass</v>
          </cell>
          <cell r="R46" t="str">
            <v xml:space="preserve">Sunflower ( 12 Inch ) 2 Mix Alstroemeria (  12 Inch ) 7  FF Sachet + Grass </v>
          </cell>
          <cell r="S46" t="str">
            <v>P Asiatic ( 14 Inch ) 2 Rajni ( 14 Inch ) 7   Grass</v>
          </cell>
          <cell r="T46" t="str">
            <v>G Spray Daisy ( 14 Inch ) 3 P n W Glad ( 14 Inch ) 7   FF Sachet + Grass</v>
          </cell>
        </row>
        <row r="47">
          <cell r="A47">
            <v>2927</v>
          </cell>
          <cell r="B47" t="str">
            <v>Anshita</v>
          </cell>
          <cell r="C47">
            <v>8085480356</v>
          </cell>
          <cell r="D47" t="str">
            <v>H. No. 3107, 2nd Flor, Ansal Versalia, Sec 67 A</v>
          </cell>
          <cell r="E47" t="str">
            <v>Badshahpur</v>
          </cell>
          <cell r="F47" t="str">
            <v>Friday</v>
          </cell>
          <cell r="G47" t="str">
            <v>9:30 Am to 2 PM</v>
          </cell>
          <cell r="H47">
            <v>1450</v>
          </cell>
          <cell r="I47">
            <v>362.5</v>
          </cell>
          <cell r="J47" t="str">
            <v>Bliss</v>
          </cell>
          <cell r="K47" t="str">
            <v>sent one del today (11/12) Skip 1 week (15/01) Skip today (20/02) Today returned (06/03) Skip 1 week (26/03) Hold for 2 week (22/04)</v>
          </cell>
          <cell r="N47" t="str">
            <v>3  del of this cycle   -  0-cycles pmnt   Completed - Collect 0</v>
          </cell>
          <cell r="O47" t="str">
            <v>Mix Alstroemeria ( 12 Inch ) 9     FF Sachet + Grass</v>
          </cell>
          <cell r="P47" t="str">
            <v>P n W Car ( 14 Inch ) 9     FF Sachet + Grass</v>
          </cell>
          <cell r="Q47" t="str">
            <v>Y Asiatic ( 14 Inch ) 2     Grass</v>
          </cell>
          <cell r="R47" t="str">
            <v xml:space="preserve">P n W Glad ( 14 Inch ) 16  ensure collection  Pese Na  Mile To Call Karna  Grass </v>
          </cell>
          <cell r="S47" t="str">
            <v>Sunflower ( 12 Inch ) 4     FF sachet + Grass</v>
          </cell>
          <cell r="T47" t="str">
            <v>Pur n P Car ( 14 Inch ) 16     FF Sachet + Grass</v>
          </cell>
        </row>
        <row r="48">
          <cell r="A48">
            <v>1389</v>
          </cell>
          <cell r="B48" t="str">
            <v>Revathi-- After 5 PM</v>
          </cell>
          <cell r="C48">
            <v>9811998878</v>
          </cell>
          <cell r="D48" t="str">
            <v>A-1201, The Emaar Palm Drive</v>
          </cell>
          <cell r="E48" t="str">
            <v>Badshahpur</v>
          </cell>
          <cell r="F48" t="str">
            <v>Friday</v>
          </cell>
          <cell r="G48" t="str">
            <v>4 PM to 7PM</v>
          </cell>
          <cell r="H48">
            <v>3850</v>
          </cell>
          <cell r="I48">
            <v>481.25</v>
          </cell>
          <cell r="J48" t="str">
            <v>Grace</v>
          </cell>
          <cell r="K48"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48" t="str">
            <v>Gerbera n ORCHID</v>
          </cell>
          <cell r="N48" t="str">
            <v>2  del of this cycle   -  0-cycles pmnt   Completed - Collect 0</v>
          </cell>
          <cell r="O48" t="str">
            <v>Sunflower ( 14 Inch ) 5     Grass</v>
          </cell>
          <cell r="P48" t="str">
            <v>Pur n P Eustoma ( 14 Inch ) 4     FF Sachet + Grass</v>
          </cell>
          <cell r="Q48" t="str">
            <v>Rajni ( 14 Inch ) 20     Grass</v>
          </cell>
          <cell r="R48" t="str">
            <v>P Asiatic ( 14 Inch ) 4     Grass</v>
          </cell>
          <cell r="S48" t="str">
            <v>P n W Glad ( 14 Inch ) 20     Grass</v>
          </cell>
          <cell r="T48" t="str">
            <v>Sunflower ( 12 Inch ) 5     FF Sachet + Grass</v>
          </cell>
        </row>
        <row r="49">
          <cell r="A49">
            <v>36</v>
          </cell>
          <cell r="B49" t="str">
            <v>Ms. Anubha T Agarwal</v>
          </cell>
          <cell r="C49">
            <v>9818690761</v>
          </cell>
          <cell r="D49" t="str">
            <v>D-902, Park View City-1, Sohna Road</v>
          </cell>
          <cell r="E49" t="str">
            <v>Sohna Road 2</v>
          </cell>
          <cell r="F49" t="str">
            <v>Friday</v>
          </cell>
          <cell r="G49" t="str">
            <v>4 Pm to 7 PM</v>
          </cell>
          <cell r="H49">
            <v>1450</v>
          </cell>
          <cell r="I49">
            <v>362.5</v>
          </cell>
          <cell r="J49" t="str">
            <v>Bliss</v>
          </cell>
          <cell r="K49"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49" t="str">
            <v>1  del of this cycle   -  1-cycles pmnt   Pending - Collect 1450</v>
          </cell>
          <cell r="O49" t="str">
            <v>O Asiatic ( 15 Inch ) 2     Grass</v>
          </cell>
          <cell r="P49" t="str">
            <v>Sunflower ( 12 Inch ) 2     FF Sachet + Grass</v>
          </cell>
          <cell r="Q49" t="str">
            <v>P n W Glad ( 14 Inch ) 9     Grass</v>
          </cell>
          <cell r="R49" t="str">
            <v xml:space="preserve">Mix Alstroemeria ( 12 Inch ) 9    FF Sachet + Grass </v>
          </cell>
          <cell r="S49" t="str">
            <v>P n W Car ( 14 Inch ) 9     FF aschet + Grass</v>
          </cell>
          <cell r="T49" t="str">
            <v>P Asiatic ( 14 Inch ) 3     Grass</v>
          </cell>
        </row>
        <row r="50">
          <cell r="A50">
            <v>2259</v>
          </cell>
          <cell r="B50" t="str">
            <v>Shivani Kapoor</v>
          </cell>
          <cell r="C50">
            <v>9818659010</v>
          </cell>
          <cell r="D50" t="str">
            <v>94, Tattvam Villa</v>
          </cell>
          <cell r="E50" t="str">
            <v>Sohna Road 2</v>
          </cell>
          <cell r="F50" t="str">
            <v>Monday</v>
          </cell>
          <cell r="G50" t="str">
            <v>9 AM - 12 PM</v>
          </cell>
          <cell r="H50">
            <v>3950</v>
          </cell>
          <cell r="I50">
            <v>493.75</v>
          </cell>
          <cell r="J50" t="str">
            <v>Grace</v>
          </cell>
          <cell r="K50" t="str">
            <v>Monday n Friday// Payment from Sanjeev K (05/05) Skip 1 week (26/07) Skip 1 week (04/11) Skip this Friday (26/12) Skip 1 week (01/01/25) Skip tom (02/02) No delivery on Monday (01/03) Skip 14th n send on 17th (11/03) Now start from 7th July (24/06)</v>
          </cell>
          <cell r="M50" t="str">
            <v>No White</v>
          </cell>
          <cell r="N50" t="str">
            <v>3  del of this cycle   -  1-cycles pmnt   Pending - Collect 3950</v>
          </cell>
          <cell r="O50" t="str">
            <v>P Oriental ( 15 Inch ) 3     Grass</v>
          </cell>
          <cell r="P50" t="str">
            <v>Pur n P Eustoma ( 14 Inch ) 4     FF Sachet + Grass</v>
          </cell>
          <cell r="Q50" t="str">
            <v>Pur n P Car ( 14 Inch ) 20     FF Sachet + Grass</v>
          </cell>
          <cell r="R50" t="str">
            <v>P n W Glad ( 14 Inch ) 20     Grass</v>
          </cell>
          <cell r="S50" t="str">
            <v>G n Y Spray Daisy ( 14 Inch ) 6     FF sachet + Grass</v>
          </cell>
          <cell r="T50" t="str">
            <v>Baloon Flowers  5     FF Sachet + Grass</v>
          </cell>
        </row>
        <row r="51">
          <cell r="A51">
            <v>3394</v>
          </cell>
          <cell r="B51" t="str">
            <v>Rinshul Chandra</v>
          </cell>
          <cell r="C51">
            <v>7013060378</v>
          </cell>
          <cell r="D51" t="str">
            <v>T-2/203 B, 3rd Floor, M3M Golfestate East</v>
          </cell>
          <cell r="E51" t="str">
            <v>Badshahpur</v>
          </cell>
          <cell r="F51" t="str">
            <v>Friday</v>
          </cell>
          <cell r="G51" t="str">
            <v>9 AM to 2 PM</v>
          </cell>
          <cell r="H51">
            <v>2750</v>
          </cell>
          <cell r="I51">
            <v>687.5</v>
          </cell>
          <cell r="J51" t="str">
            <v>Bliss</v>
          </cell>
          <cell r="K51" t="str">
            <v>Send if only payment received in advance (28/06) Paytm from k Sai Ujjwal //</v>
          </cell>
          <cell r="N51" t="str">
            <v>1  del of this cycle   -  0-cycles pmnt   Completed - Collect 0</v>
          </cell>
          <cell r="O51" t="e">
            <v>#N/A</v>
          </cell>
          <cell r="P51" t="e">
            <v>#N/A</v>
          </cell>
          <cell r="Q51" t="e">
            <v>#N/A</v>
          </cell>
          <cell r="R51" t="e">
            <v>#N/A</v>
          </cell>
          <cell r="S51" t="e">
            <v>#N/A</v>
          </cell>
          <cell r="T51" t="str">
            <v>Pur n P Car ( 14 Inch ) 32     FF Sachet + Grass</v>
          </cell>
        </row>
        <row r="52">
          <cell r="A52">
            <v>3337</v>
          </cell>
          <cell r="B52" t="str">
            <v>Shweta Bajpai</v>
          </cell>
          <cell r="C52">
            <v>9205184535</v>
          </cell>
          <cell r="D52" t="str">
            <v>288, Tatvam Villa</v>
          </cell>
          <cell r="E52" t="str">
            <v>Sohna Road 2</v>
          </cell>
          <cell r="F52" t="str">
            <v>Friday</v>
          </cell>
          <cell r="G52" t="str">
            <v>4 Pm to 7 PM</v>
          </cell>
          <cell r="H52">
            <v>1450</v>
          </cell>
          <cell r="I52">
            <v>1450</v>
          </cell>
          <cell r="J52" t="str">
            <v>Bliss</v>
          </cell>
          <cell r="K52" t="str">
            <v>Hold tOday (12/06) Today Returned (19/06)</v>
          </cell>
          <cell r="N52" t="str">
            <v>1  del of this cycle   -  1-cycles pmnt   Pending - Collect 1450</v>
          </cell>
          <cell r="O52" t="str">
            <v>R n W Car ( 14 Inch ) 16     FF Sachet + Grass</v>
          </cell>
          <cell r="P52" t="str">
            <v>P n Y Spray Daisy ( 14 Inch ) 5     FF Sachet + Grass</v>
          </cell>
          <cell r="Q52" t="str">
            <v>Mix Alstroemeria ( 12 Inch ) 16     FF Sachet + Grass</v>
          </cell>
          <cell r="R52" t="str">
            <v xml:space="preserve">Pur Eustom ( 12 Inch ) 3    FF Sachet + Grass </v>
          </cell>
          <cell r="S52" t="str">
            <v>O Asiatic ( 14 Inch ) 3     Grass</v>
          </cell>
          <cell r="T52" t="str">
            <v>P n W Glad ( 14 Inch ) 16     Grass</v>
          </cell>
        </row>
        <row r="53">
          <cell r="A53">
            <v>3078</v>
          </cell>
          <cell r="B53" t="str">
            <v>Jayati Dhingra</v>
          </cell>
          <cell r="C53">
            <v>9953158378</v>
          </cell>
          <cell r="D53" t="str">
            <v>3001, 30th Floor, M3M Lattitude, Sec 65</v>
          </cell>
          <cell r="E53" t="str">
            <v>Badshahpur</v>
          </cell>
          <cell r="F53" t="str">
            <v>Friday</v>
          </cell>
          <cell r="G53" t="str">
            <v>9 AM - 12 PM</v>
          </cell>
          <cell r="H53">
            <v>1950</v>
          </cell>
          <cell r="I53">
            <v>487.5</v>
          </cell>
          <cell r="J53" t="str">
            <v>Joy</v>
          </cell>
          <cell r="K53" t="str">
            <v>No Rajni for some time being (31/10) Skip 1 week (17/12) Skip 1 week (21/01) Skip 1 week (12/02) Skip 1 week (23/02) Send tom (26/02) Replacement tom (16/05) Skip 1 week (21/05) Returned today (29/05)</v>
          </cell>
          <cell r="M53" t="str">
            <v>Check before sending (21/05)</v>
          </cell>
          <cell r="N53" t="str">
            <v>3  del of this cycle   -  0-cycles pmnt   Completed - Collect 0</v>
          </cell>
          <cell r="O53" t="str">
            <v>Pur Eustoma 2 Mix Alstroemeria ( 12 Inch )  11   FF Sachet + Grass</v>
          </cell>
          <cell r="P53" t="str">
            <v>W Asiatic ( 14 Inch ) 2 P n W Glad ( 14 Inch ) 11   Grass</v>
          </cell>
          <cell r="Q53" t="e">
            <v>#N/A</v>
          </cell>
          <cell r="R53" t="e">
            <v>#N/A</v>
          </cell>
          <cell r="S53" t="str">
            <v>P Asiatic ( 14 Inch ) 2 Alstomeria( 12 Inch ) 11   Grass</v>
          </cell>
          <cell r="T53" t="str">
            <v>Sunflower ( 12 Inch ) 3 Pur n P Car ( 14 Inch ) 11   FF Sachet + Grass</v>
          </cell>
        </row>
        <row r="54">
          <cell r="A54">
            <v>1571</v>
          </cell>
          <cell r="B54" t="str">
            <v>Mohar Ray Dahiya</v>
          </cell>
          <cell r="C54">
            <v>9910019898</v>
          </cell>
          <cell r="D54" t="str">
            <v>Sovereign-3/201, Vatika City</v>
          </cell>
          <cell r="E54" t="str">
            <v>Sohna Road 1</v>
          </cell>
          <cell r="F54" t="str">
            <v>Friday</v>
          </cell>
          <cell r="G54" t="str">
            <v>9 AM to 2 PM</v>
          </cell>
          <cell r="H54">
            <v>1600</v>
          </cell>
          <cell r="I54">
            <v>200</v>
          </cell>
          <cell r="J54" t="str">
            <v>Bloom</v>
          </cell>
          <cell r="K54"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4" t="str">
            <v>BOP n GERBERA</v>
          </cell>
          <cell r="N54" t="str">
            <v>3  del of this cycle   -  1-cycles pmnt   Pending - Collect 1600</v>
          </cell>
          <cell r="O54" t="str">
            <v>P n W Glad ( 14 Inch ) 7     Grass</v>
          </cell>
          <cell r="P54" t="str">
            <v>R n W Car ( 14 Inch ) 7     FF Sachet + Grass</v>
          </cell>
          <cell r="Q54" t="str">
            <v>Rajni ( 14 Inch ) 7     Grass</v>
          </cell>
          <cell r="R54" t="str">
            <v>P n W Glad ( 14 Inch ) 7     Grass</v>
          </cell>
          <cell r="S54" t="str">
            <v>P n W Car ( 14 Inch ) 7     FF sachet + Grass</v>
          </cell>
          <cell r="T54" t="str">
            <v>Rajni ( 14 Inch ) 7     Grass</v>
          </cell>
        </row>
        <row r="55">
          <cell r="A55">
            <v>1914</v>
          </cell>
          <cell r="B55" t="str">
            <v>Neelam Ahuja</v>
          </cell>
          <cell r="C55">
            <v>7011107486</v>
          </cell>
          <cell r="D55" t="str">
            <v>4002, M3m Latitude, Sec 65</v>
          </cell>
          <cell r="E55" t="str">
            <v>Badshahpur</v>
          </cell>
          <cell r="F55" t="str">
            <v>Friday</v>
          </cell>
          <cell r="G55" t="str">
            <v>9 AM - 12 PM</v>
          </cell>
          <cell r="H55">
            <v>3000</v>
          </cell>
          <cell r="I55">
            <v>375</v>
          </cell>
          <cell r="J55" t="str">
            <v>Charm</v>
          </cell>
          <cell r="K55"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55" t="str">
            <v>Spray Daisy n GERBERA n Statice</v>
          </cell>
          <cell r="N55" t="str">
            <v>2  del of this cycle   -  0-cycles pmnt   Completed - Collect 0</v>
          </cell>
          <cell r="O55" t="str">
            <v>O Asiatic ( 15 Inch ) 3     Grass</v>
          </cell>
          <cell r="P55" t="str">
            <v>P n W Car ( 14 Inch ) 15     FF Sachet + Grass</v>
          </cell>
          <cell r="Q55" t="str">
            <v>Mix Alstroemeria ( 12 Inch ) 15     FF Sachet + Grass</v>
          </cell>
          <cell r="R55" t="str">
            <v>Rajni ( 14 Inch ) 15     Grass</v>
          </cell>
          <cell r="S55" t="e">
            <v>#N/A</v>
          </cell>
          <cell r="T55" t="str">
            <v>W Asiatic ( 14 Inch ) 3     Grass</v>
          </cell>
        </row>
        <row r="56">
          <cell r="A56">
            <v>2083</v>
          </cell>
          <cell r="B56" t="str">
            <v>Neeraj Rathore</v>
          </cell>
          <cell r="C56">
            <v>9810570666</v>
          </cell>
          <cell r="D56" t="str">
            <v>A-1302, PalM Drive, Sec 66</v>
          </cell>
          <cell r="E56" t="str">
            <v>Badshahpur</v>
          </cell>
          <cell r="F56" t="str">
            <v>Friday</v>
          </cell>
          <cell r="G56" t="str">
            <v>9 AM - 12 PM</v>
          </cell>
          <cell r="H56">
            <v>2300</v>
          </cell>
          <cell r="I56">
            <v>287.5</v>
          </cell>
          <cell r="J56" t="str">
            <v>Felicity</v>
          </cell>
          <cell r="K56"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56" t="str">
            <v>GERBERA  n BOP</v>
          </cell>
          <cell r="M56" t="str">
            <v>One Kind (30/01)  Rajni next (18/02)</v>
          </cell>
          <cell r="N56" t="str">
            <v>4  del of this cycle   -  1-cycles pmnt   Pending - Collect 2300</v>
          </cell>
          <cell r="O56" t="str">
            <v>R n W Car ( 14 Inch ) 32     2 Limonium + Ff Sachet</v>
          </cell>
          <cell r="P56" t="str">
            <v xml:space="preserve">P Asiatic ( 14 Inch ) 6     2 Gypsola </v>
          </cell>
          <cell r="Q56" t="str">
            <v>P n W Glad ( 14 Inch ) 32     2 Limonium</v>
          </cell>
          <cell r="R56" t="e">
            <v>#N/A</v>
          </cell>
          <cell r="S56" t="str">
            <v>P n Y Spray Daisy ( 14 Inch ) 4     FF sachet + Grass</v>
          </cell>
          <cell r="T56" t="str">
            <v>P n W Glad ( 14 Inch ) 11     Grass</v>
          </cell>
        </row>
        <row r="57">
          <cell r="A57">
            <v>3178</v>
          </cell>
          <cell r="B57" t="str">
            <v>Disha Gopal</v>
          </cell>
          <cell r="C57">
            <v>8588003677</v>
          </cell>
          <cell r="D57" t="str">
            <v>T-10/4A, Central Park Resorts, Sec 48</v>
          </cell>
          <cell r="E57" t="str">
            <v>Sohna Road 2</v>
          </cell>
          <cell r="F57" t="str">
            <v>Friday</v>
          </cell>
          <cell r="G57" t="str">
            <v>4 PM to 7 PM</v>
          </cell>
          <cell r="H57">
            <v>1950</v>
          </cell>
          <cell r="I57">
            <v>487.5</v>
          </cell>
          <cell r="J57" t="str">
            <v>Joy</v>
          </cell>
          <cell r="K57" t="str">
            <v>Micxed Flowers // Hold till 8th Jan (24/12)</v>
          </cell>
          <cell r="M57" t="str">
            <v>Mixed Flowers</v>
          </cell>
          <cell r="N57" t="str">
            <v>3  del of this cycle   -  0-cycles pmnt   Completed - Collect 0</v>
          </cell>
          <cell r="O57" t="str">
            <v>O Asiatic ( 15 Inch ) 2 R n W Car ( 14 Inch ) 11   Grass</v>
          </cell>
          <cell r="P57" t="str">
            <v>P Eustoma ( 14 Inch ) 2 Mix Alstroemeria ( 12 Inch ) 11   FF Sachet + Grass</v>
          </cell>
          <cell r="Q57" t="str">
            <v>Sunflower ( 12 Inch ) 3 P n W Car ( 14 Inch ) 11   FF Sachet + Grass</v>
          </cell>
          <cell r="R57" t="str">
            <v>P Asiatic ( 14 Inch ) 2 P n W Glad ( 14 Inch ) 11   Grass</v>
          </cell>
          <cell r="S57" t="str">
            <v>P n Y Spray Daisy ( 14 Inch ) 4 Pink And White Car 11   FF Sachet + Grass</v>
          </cell>
          <cell r="T57" t="str">
            <v>Sunflower ( 12 Inch ) 3 Rajni ( 14 Inch ) 11   FF Sachet + Grass</v>
          </cell>
        </row>
        <row r="58">
          <cell r="A58">
            <v>1624</v>
          </cell>
          <cell r="B58" t="str">
            <v>Smriti Maggon</v>
          </cell>
          <cell r="C58">
            <v>9811081666</v>
          </cell>
          <cell r="D58" t="str">
            <v>B-901, Emaar Palm Drive, Sec 66</v>
          </cell>
          <cell r="E58" t="str">
            <v>Badshahpur</v>
          </cell>
          <cell r="F58" t="str">
            <v>Friday</v>
          </cell>
          <cell r="G58" t="str">
            <v>9 AM - 12 PM</v>
          </cell>
          <cell r="H58">
            <v>1450</v>
          </cell>
          <cell r="I58">
            <v>362.5</v>
          </cell>
          <cell r="J58" t="str">
            <v>Bliss</v>
          </cell>
          <cell r="K58" t="str">
            <v>Rose//Car//Rajni//BOP(08/02) Holy Change(16/03) 8 Rajnigandha Next (12/10) Hold due to non payment (03/10) Hold due to non payment (16/01) Hold due to non payment (23/01)</v>
          </cell>
          <cell r="N58" t="str">
            <v>1  del of this cycle   -  1-cycles pmnt   Pending - Collect 1450</v>
          </cell>
          <cell r="O58" t="str">
            <v>O Asiatic ( 15 Inch ) 3     Grass</v>
          </cell>
          <cell r="P58" t="str">
            <v>P n Y Spray Daisy ( 14 Inch ) 5     FF Sachet + Grass</v>
          </cell>
          <cell r="Q58" t="e">
            <v>#N/A</v>
          </cell>
          <cell r="R58" t="str">
            <v xml:space="preserve">P n W Glad ( 14 Inch ) 16    Grass </v>
          </cell>
          <cell r="S58" t="str">
            <v>Pur n P Car ( 14 Inch ) 16     FF sachet + Grass</v>
          </cell>
          <cell r="T58" t="str">
            <v>Sunflower ( 12 Inch ) 4     FF Sachet + Grass</v>
          </cell>
        </row>
        <row r="59">
          <cell r="A59">
            <v>3354</v>
          </cell>
          <cell r="B59" t="str">
            <v>Radha Bhatnagar</v>
          </cell>
          <cell r="C59">
            <v>9971944440</v>
          </cell>
          <cell r="D59" t="str">
            <v>D-35, 2nd Floor, Vipul World</v>
          </cell>
          <cell r="E59" t="str">
            <v>Sohna Road 2</v>
          </cell>
          <cell r="F59" t="str">
            <v>Friday</v>
          </cell>
          <cell r="G59" t="str">
            <v>9 AM - 12 PM</v>
          </cell>
          <cell r="H59">
            <v>1450</v>
          </cell>
          <cell r="I59">
            <v>362.5</v>
          </cell>
          <cell r="J59" t="str">
            <v>Bliss</v>
          </cell>
          <cell r="N59" t="str">
            <v>1  del of this cycle   -  0-cycles pmnt   Completed - Collect 0</v>
          </cell>
          <cell r="O59" t="str">
            <v>O Asiatic ( 15 Inch ) 3     Grass</v>
          </cell>
          <cell r="P59" t="str">
            <v>Mix Alstroemeria ( 12 Inch ) 16     FF Sachet + Grass</v>
          </cell>
          <cell r="Q59" t="str">
            <v>R n W Car ( 14 Inch ) 16     FF Sachet + Grass</v>
          </cell>
          <cell r="R59" t="str">
            <v xml:space="preserve">Pur Eustom ( 12 Inch ) 3    FF Sachet + Grass </v>
          </cell>
          <cell r="S59" t="str">
            <v>P n W Glad ( 14 Inch ) 16     Grass</v>
          </cell>
          <cell r="T59" t="str">
            <v>Sunflower ( 12 Inch ) 4     FF Sachet + Grass</v>
          </cell>
        </row>
        <row r="60">
          <cell r="A60">
            <v>781</v>
          </cell>
          <cell r="B60" t="str">
            <v>Maj. Gen. KN Singh</v>
          </cell>
          <cell r="C60">
            <v>9971391417</v>
          </cell>
          <cell r="D60" t="str">
            <v>GH 4/5C Gurgaon One Apartments- Sectr 22</v>
          </cell>
          <cell r="E60" t="str">
            <v>Old Gurgaon</v>
          </cell>
          <cell r="F60" t="str">
            <v>Friday</v>
          </cell>
          <cell r="G60" t="str">
            <v>4 PM to 7PM</v>
          </cell>
          <cell r="H60">
            <v>1450</v>
          </cell>
          <cell r="I60">
            <v>362.5</v>
          </cell>
          <cell r="J60" t="str">
            <v>Bliss</v>
          </cell>
          <cell r="K60"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60" t="str">
            <v>1  del of this cycle   -  0-cycles pmnt   Completed - Collect 0</v>
          </cell>
          <cell r="O60" t="str">
            <v>Mix Alstroemeria ( 12 Inch ) 16     FF Sachet + Grass</v>
          </cell>
          <cell r="P60" t="str">
            <v>P Asiatic ( 14 Inch ) 3     Grass</v>
          </cell>
          <cell r="Q60" t="str">
            <v>P n Y Spray Daisy ( 14 Inch ) 5     FF Sachet + Grass</v>
          </cell>
          <cell r="R60" t="str">
            <v xml:space="preserve">R n P Car ( 14 Inch ) 16    FF Sachet + Grass </v>
          </cell>
          <cell r="S60" t="str">
            <v>Mix Alstroemeria 16     Grass</v>
          </cell>
          <cell r="T60" t="str">
            <v>Sunflower ( 12 Inch ) 4     FF Sachet + Grass</v>
          </cell>
        </row>
        <row r="61">
          <cell r="A61">
            <v>2583</v>
          </cell>
          <cell r="B61" t="str">
            <v>Bhumika Gupta</v>
          </cell>
          <cell r="C61">
            <v>9818096329</v>
          </cell>
          <cell r="D61" t="str">
            <v>H-37, 2nd Floor, Aaron Ville, Sec 48</v>
          </cell>
          <cell r="E61" t="str">
            <v>Sohna Road 1</v>
          </cell>
          <cell r="F61" t="str">
            <v>Friday</v>
          </cell>
          <cell r="G61" t="str">
            <v>9:30 Am to 2 PM</v>
          </cell>
          <cell r="H61">
            <v>1950</v>
          </cell>
          <cell r="I61">
            <v>487.5</v>
          </cell>
          <cell r="J61" t="str">
            <v>Joy</v>
          </cell>
          <cell r="K61" t="str">
            <v>No Rose n Glad n flowers in same color // Long Stems (20/04) Gpay from Tanmay Oberoi (15/06) Skip 3 Sunday (04/08) Skip 3 weeks (4/08) Day Change to Friday (27/09) Skip 1 week (15/01) Skip Friday (26/03) Returned today (01/05) Skip 1 week (20/06)</v>
          </cell>
          <cell r="L61" t="str">
            <v>Rose n Glad</v>
          </cell>
          <cell r="M61" t="str">
            <v>Long Stems</v>
          </cell>
          <cell r="N61" t="str">
            <v>1  del of this cycle   -  1-cycles pmnt   Pending - Collect 1950</v>
          </cell>
          <cell r="O61" t="str">
            <v>O Asiatic ( 15 Inch ) 2 P n W Glad ( 14 Inch ) 11   Grass</v>
          </cell>
          <cell r="P61" t="str">
            <v>Pur Eustom ( 14 Inch ) 2 Mix Alstroemeria ( 12 Inch ) 11   FF Sachet + Grass</v>
          </cell>
          <cell r="Q61" t="str">
            <v>Sunflower ( 12 Inch ) 3 Pur n P Car ( 14 Inch ) 11   FF Sachet + Grass</v>
          </cell>
          <cell r="R61" t="str">
            <v>P Asiatic ( 14 Inch ) 2 P n W Glad ( 14 Inch ) 11   Grass</v>
          </cell>
          <cell r="S61" t="e">
            <v>#N/A</v>
          </cell>
          <cell r="T61" t="str">
            <v>Sunflower ( 12 Inch ) 3 Rajni ( 14 Inch ) 11   FF Sachet + Grass</v>
          </cell>
        </row>
        <row r="62">
          <cell r="A62">
            <v>3273</v>
          </cell>
          <cell r="B62" t="str">
            <v>Sharmishtha Jhulka</v>
          </cell>
          <cell r="C62">
            <v>9810010615</v>
          </cell>
          <cell r="D62" t="str">
            <v>817-B, The Camelias</v>
          </cell>
          <cell r="E62" t="str">
            <v>Golf Course Road</v>
          </cell>
          <cell r="F62" t="str">
            <v>Thursday</v>
          </cell>
          <cell r="G62" t="str">
            <v>9 AM to 2 PM</v>
          </cell>
          <cell r="H62">
            <v>5800</v>
          </cell>
          <cell r="I62">
            <v>1450</v>
          </cell>
          <cell r="J62" t="str">
            <v>Replacement</v>
          </cell>
          <cell r="K62" t="str">
            <v>send on 19th, 26th Mar, 23rd April and may 26 // Now start from 18th June (15/05) 10 Asiatic Lilies // 20 Spray Daisies // 10 Sunflowers// 10 Eustoma Pack (20/05) No Sunflowers ( 02/07)</v>
          </cell>
          <cell r="L62" t="str">
            <v>Sunflower</v>
          </cell>
          <cell r="N62" t="str">
            <v>2  del of this cycle   -  0-cycles pmnt   Completed - Collect 0</v>
          </cell>
          <cell r="O62" t="str">
            <v>Mix Spray Daisy 20     2 Gypsola</v>
          </cell>
          <cell r="P62" t="e">
            <v>#N/A</v>
          </cell>
          <cell r="Q62" t="e">
            <v>#N/A</v>
          </cell>
          <cell r="R62" t="e">
            <v>#N/A</v>
          </cell>
          <cell r="S62" t="e">
            <v>#N/A</v>
          </cell>
          <cell r="T62" t="str">
            <v xml:space="preserve">Pur n P Eustoma ( 12 Inch ) 10     2 Limonium </v>
          </cell>
        </row>
        <row r="63">
          <cell r="A63">
            <v>833</v>
          </cell>
          <cell r="B63" t="str">
            <v>Parul Mahajan</v>
          </cell>
          <cell r="C63">
            <v>9560889949</v>
          </cell>
          <cell r="D63" t="str">
            <v>T-5/1002, Vipul Greens,Sec 48</v>
          </cell>
          <cell r="E63" t="str">
            <v>Sohna Road 2</v>
          </cell>
          <cell r="F63" t="str">
            <v>Friday</v>
          </cell>
          <cell r="G63" t="str">
            <v>9 AM - 12 PM</v>
          </cell>
          <cell r="H63">
            <v>3500</v>
          </cell>
          <cell r="I63">
            <v>875</v>
          </cell>
          <cell r="J63" t="str">
            <v>Customized</v>
          </cell>
          <cell r="K63"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63" t="str">
            <v>2  del of this cycle   -  0-cycles pmnt   Completed - Collect 0</v>
          </cell>
          <cell r="O63" t="str">
            <v>P n W Eustoma ( 14 Inch ) 4 P n W Glad ( 14 Inch ) 18   2 Gypsola + FF Sachet</v>
          </cell>
          <cell r="P63" t="str">
            <v>P n Y Spray Daisy ( 14 Inch ) 5 Mix Alstroemeria ( 12 Inch ) 18   2 Limonium + FF Sachet</v>
          </cell>
          <cell r="Q63" t="e">
            <v>#N/A</v>
          </cell>
          <cell r="R63" t="e">
            <v>#N/A</v>
          </cell>
          <cell r="S63" t="str">
            <v>O Asiatic ( 14 Inch ) 4 Pur n p Car ( 14 inch ) 18   2 Gypsola</v>
          </cell>
          <cell r="T63" t="str">
            <v xml:space="preserve">Baloon Flowers  5 Rajni ( 14 Inch ) 18   2 Limonium </v>
          </cell>
        </row>
        <row r="64">
          <cell r="A64">
            <v>3312</v>
          </cell>
          <cell r="B64" t="str">
            <v>Pallabi Dey</v>
          </cell>
          <cell r="C64">
            <v>9953755297</v>
          </cell>
          <cell r="D64" t="str">
            <v>T-2/403, Uniworld Gardens 1</v>
          </cell>
          <cell r="E64" t="str">
            <v>Sohna Road 1</v>
          </cell>
          <cell r="F64" t="str">
            <v>Monday</v>
          </cell>
          <cell r="G64" t="str">
            <v>4 Pm to 7 PM</v>
          </cell>
          <cell r="H64">
            <v>1950</v>
          </cell>
          <cell r="I64">
            <v>487.5</v>
          </cell>
          <cell r="J64" t="str">
            <v>Joy</v>
          </cell>
          <cell r="N64" t="str">
            <v>4  del of this cycle   -  0-cycles pmnt   Completed - Collect 0</v>
          </cell>
          <cell r="O64" t="str">
            <v>P n W Glad ( 14 Inch ) 22 Collect 1375 Carry Receipt Book Collect 1375 Carry Receipt Book Grass</v>
          </cell>
          <cell r="P64" t="str">
            <v>P n Y Spray Daisy ( 14 Inch ) 7     FF Sachet + Grass</v>
          </cell>
          <cell r="Q64" t="str">
            <v>W Asiatic ( 14 inch ) 4     Grass</v>
          </cell>
          <cell r="R64" t="str">
            <v>R n P Car ( 14 Inch ) 22     FF sachet + Grass</v>
          </cell>
          <cell r="S64" t="str">
            <v>Pur n P Eustoma ( 12 Inch ) 4     FF Sachet + Grass</v>
          </cell>
          <cell r="T64" t="str">
            <v>P n W Glad ( 14 Inch ) 22     Grass</v>
          </cell>
        </row>
        <row r="65">
          <cell r="A65">
            <v>1268</v>
          </cell>
          <cell r="B65" t="str">
            <v>Shweta Malhotra</v>
          </cell>
          <cell r="C65">
            <v>9810290780</v>
          </cell>
          <cell r="D65" t="str">
            <v>B-001, Park View Spa Next, Sec 67</v>
          </cell>
          <cell r="E65" t="str">
            <v>Badshahpur</v>
          </cell>
          <cell r="F65" t="str">
            <v>Friday</v>
          </cell>
          <cell r="G65" t="str">
            <v>9 AM to 2 PM</v>
          </cell>
          <cell r="H65">
            <v>1950</v>
          </cell>
          <cell r="I65">
            <v>487.5</v>
          </cell>
          <cell r="J65" t="str">
            <v>Joy</v>
          </cell>
          <cell r="K65"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5" t="str">
            <v>ANTHURIUM n GULDAWARI n Button Daisy</v>
          </cell>
          <cell r="N65" t="str">
            <v>2  del of this cycle   -  1-cycles pmnt   Pending - Collect 1950</v>
          </cell>
          <cell r="O65" t="str">
            <v>P n W Glad ( 14 Inch ) 22     Grass</v>
          </cell>
          <cell r="P65" t="str">
            <v>Mix Alstroemeria ( 12 Inch ) 22     FF Sachet + Grass</v>
          </cell>
          <cell r="Q65" t="e">
            <v>#N/A</v>
          </cell>
          <cell r="R65" t="str">
            <v>O Asiatic ( 14 Inch ) 4     Grass</v>
          </cell>
          <cell r="S65" t="str">
            <v>Pur n P Car ( 14 Inch ) 22     FF Sachet + Grass</v>
          </cell>
          <cell r="T65" t="str">
            <v>Sunflower ( 12 Inch ) 5     FF Sachet + Grass</v>
          </cell>
        </row>
        <row r="66">
          <cell r="A66">
            <v>3307</v>
          </cell>
          <cell r="B66" t="str">
            <v>Amit Jindal</v>
          </cell>
          <cell r="C66">
            <v>8860400001</v>
          </cell>
          <cell r="D66" t="str">
            <v>T-5/1401, Vipul Greens</v>
          </cell>
          <cell r="E66" t="str">
            <v>Sohna Road 2</v>
          </cell>
          <cell r="F66" t="str">
            <v>Friday</v>
          </cell>
          <cell r="G66" t="str">
            <v>9:30 AM to 2 PM</v>
          </cell>
          <cell r="H66">
            <v>2626</v>
          </cell>
          <cell r="I66">
            <v>656.5</v>
          </cell>
          <cell r="J66" t="str">
            <v>Customized</v>
          </cell>
          <cell r="K66" t="str">
            <v>3 Oriental every week // Today Hold n returned (12/06)</v>
          </cell>
          <cell r="N66" t="str">
            <v>4  del of this cycle   -  0-cycles pmnt   Completed - Collect 0</v>
          </cell>
          <cell r="O66" t="str">
            <v>P Oriental ( 15 Inch ) 3     1 gypsola</v>
          </cell>
          <cell r="P66" t="str">
            <v>P Oriental ( 16 Inch ) 3     1 Limonium</v>
          </cell>
          <cell r="Q66" t="str">
            <v>W Oriental ( 15 Inch ) 3     1 Gypsola</v>
          </cell>
          <cell r="R66" t="str">
            <v>P Oriental ( 15 Inch ) 3     1 Limonium</v>
          </cell>
          <cell r="S66" t="str">
            <v>W Oriental 3     1 gypaols</v>
          </cell>
          <cell r="T66" t="str">
            <v>P Oriental ( 15 Inch ) 3     1 Limonium</v>
          </cell>
        </row>
        <row r="67">
          <cell r="A67">
            <v>3185</v>
          </cell>
          <cell r="B67" t="str">
            <v>Kamla Anand</v>
          </cell>
          <cell r="C67">
            <v>9711216660</v>
          </cell>
          <cell r="D67" t="str">
            <v>83  Jasminium 1,Vatika city 
Sec 49</v>
          </cell>
          <cell r="E67" t="str">
            <v>Sohna Road 1</v>
          </cell>
          <cell r="F67" t="str">
            <v>Friday</v>
          </cell>
          <cell r="G67" t="str">
            <v>9 AM - 12 PM</v>
          </cell>
          <cell r="H67">
            <v>999</v>
          </cell>
          <cell r="I67">
            <v>249.75</v>
          </cell>
          <cell r="J67" t="str">
            <v>Delight</v>
          </cell>
          <cell r="K67" t="str">
            <v>Skip tom (09/04)</v>
          </cell>
          <cell r="N67" t="str">
            <v>4  del of this cycle   -  0-cycles pmnt   Completed - Collect 0</v>
          </cell>
          <cell r="O67" t="str">
            <v>R n W Car ( 14 Inch ) 9     FF Sachet + Grass</v>
          </cell>
          <cell r="P67" t="str">
            <v>P Spray Daisy ( 14 Inch ) 3     FF Sachet + Grass</v>
          </cell>
          <cell r="Q67" t="str">
            <v>P n W Glad ( 14 Inch ) 9     Grass</v>
          </cell>
          <cell r="R67" t="str">
            <v xml:space="preserve">O Asiatic ( 14 Inch ) 2    Grass </v>
          </cell>
          <cell r="S67" t="str">
            <v>Rajni ( 14 Inch ) 9     Grass</v>
          </cell>
          <cell r="T67" t="str">
            <v>Pur n P Car ( 14 Inch ) 9     FF Sachet + Grass</v>
          </cell>
        </row>
        <row r="68">
          <cell r="A68">
            <v>3309</v>
          </cell>
          <cell r="B68" t="str">
            <v>Tahzeeb Mohammad</v>
          </cell>
          <cell r="C68">
            <v>9986608474</v>
          </cell>
          <cell r="D68" t="str">
            <v>Natura Tower -1, N 2105, M3M Marina, Sec 68</v>
          </cell>
          <cell r="E68" t="str">
            <v>Badshahpur</v>
          </cell>
          <cell r="F68" t="str">
            <v>Friday</v>
          </cell>
          <cell r="G68" t="str">
            <v>9 AM - 12 PM</v>
          </cell>
          <cell r="H68">
            <v>2550</v>
          </cell>
          <cell r="I68">
            <v>318.75</v>
          </cell>
          <cell r="J68" t="str">
            <v>Bi weekly Customised</v>
          </cell>
          <cell r="K68" t="str">
            <v>Gerbera // Rajni // Sunflowers // Eustoma // Orchid // Skip Monday (15/05)</v>
          </cell>
          <cell r="N68" t="str">
            <v>8  del of this cycle   -  0-cycles pmnt   Completed - Collect 0</v>
          </cell>
          <cell r="O68" t="str">
            <v>P Eustoma ( 14 Inch ) 3     FF Sachet + Grass</v>
          </cell>
          <cell r="P68" t="str">
            <v>G Orchid 4     Grass</v>
          </cell>
          <cell r="Q68" t="str">
            <v>Rajni ( 14 Inch ) 11     Grass</v>
          </cell>
          <cell r="R68" t="str">
            <v>Pur Eustom ( 12 Inch ) 3     FF Sachet + Grass</v>
          </cell>
          <cell r="S68" t="str">
            <v>Pur Eustoma ( 12 Inch ) 3     FF sachet + Grass</v>
          </cell>
          <cell r="T68" t="str">
            <v>Rajni ( 14 Inch ) 11     Grass</v>
          </cell>
        </row>
        <row r="69">
          <cell r="A69">
            <v>1467</v>
          </cell>
          <cell r="B69" t="str">
            <v>Priyanka Chaturvedi</v>
          </cell>
          <cell r="C69">
            <v>7838930274</v>
          </cell>
          <cell r="D69" t="str">
            <v xml:space="preserve">Flat No. A-303, The Peaceful Homes, Sec 70-A
</v>
          </cell>
          <cell r="E69" t="str">
            <v>Badshahpur</v>
          </cell>
          <cell r="F69" t="str">
            <v>Friday</v>
          </cell>
          <cell r="G69" t="str">
            <v>9 AM - 12 PM</v>
          </cell>
          <cell r="H69">
            <v>1600</v>
          </cell>
          <cell r="I69">
            <v>200</v>
          </cell>
          <cell r="J69" t="str">
            <v>Bloom</v>
          </cell>
          <cell r="K69"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69" t="str">
            <v>ROSE n SPRAY DAISY</v>
          </cell>
          <cell r="N69" t="str">
            <v>4  del of this cycle   -  0-cycles pmnt   Completed - Collect 0</v>
          </cell>
          <cell r="O69" t="e">
            <v>#N/A</v>
          </cell>
          <cell r="P69" t="e">
            <v>#N/A</v>
          </cell>
          <cell r="Q69" t="str">
            <v>Glad ( 12 Inch ) 7     Grass</v>
          </cell>
          <cell r="R69" t="str">
            <v>P n W Glad ( 14 Inch ) 11     Grass</v>
          </cell>
          <cell r="S69" t="str">
            <v>P n W Car  ( 14 Inch ) 7     FF sachet + Grass</v>
          </cell>
          <cell r="T69" t="str">
            <v>Rajni ( 14 Inch ) 7     Grass</v>
          </cell>
        </row>
        <row r="70">
          <cell r="A70">
            <v>2678</v>
          </cell>
          <cell r="B70" t="str">
            <v>Saachi Satyaarth</v>
          </cell>
          <cell r="C70">
            <v>9643712005</v>
          </cell>
          <cell r="D70" t="str">
            <v>H-1504, Microtek Greenburg, Sec 86</v>
          </cell>
          <cell r="E70" t="str">
            <v>Manesar</v>
          </cell>
          <cell r="F70" t="str">
            <v>Friday</v>
          </cell>
          <cell r="G70" t="str">
            <v>4 PM to 7 PM</v>
          </cell>
          <cell r="H70">
            <v>1450</v>
          </cell>
          <cell r="I70">
            <v>362.5</v>
          </cell>
          <cell r="J70" t="str">
            <v>Bliss</v>
          </cell>
          <cell r="K70" t="str">
            <v>Skip 1 week (04/06) Do not count last Del (28/03) 1 Sunflower Extra next (03/04) Skip 1 week (26/06)</v>
          </cell>
          <cell r="M70" t="str">
            <v>1 Sunflower Extra Next (03/04)</v>
          </cell>
          <cell r="N70" t="str">
            <v>4  del of this cycle   -  0-cycles pmnt   Completed - Collect 0</v>
          </cell>
          <cell r="O70" t="str">
            <v>O Asiatic ( 15 Inch ) 2 R n W Car ( 14 Inch ) 7   Grass</v>
          </cell>
          <cell r="P70" t="str">
            <v>P Eustoma ( 14 Inch ) 2 Mix Alstroemeria ( 12 Inch ) 7   FF Sachet + Grass</v>
          </cell>
          <cell r="Q70" t="str">
            <v>P Spray Daisy ( 14 Inch ) 3 P n W Glad ( 14 Inch ) 7   FF Sachet + Grass</v>
          </cell>
          <cell r="R70" t="str">
            <v xml:space="preserve">Sunflower ( 12 Inch ) 2 Pur n P Car ( 14 Inch ) 7  FF Sachet + Grass </v>
          </cell>
          <cell r="S70" t="str">
            <v>P Asiatic ( 14 Inch ) 2 Alstomeria( 12 Inch ) 7   Grass</v>
          </cell>
          <cell r="T70" t="str">
            <v>G Spray Daisy ( 14 Inch ) 3 P n W Glad ( 14 Inch ) 7   Grass</v>
          </cell>
        </row>
        <row r="71">
          <cell r="A71">
            <v>3047</v>
          </cell>
          <cell r="B71" t="str">
            <v>Meenal</v>
          </cell>
          <cell r="C71">
            <v>9811222881</v>
          </cell>
          <cell r="D71" t="str">
            <v>168, Deerwood</v>
          </cell>
          <cell r="E71" t="str">
            <v>Badshahpur</v>
          </cell>
          <cell r="F71" t="str">
            <v>Friday</v>
          </cell>
          <cell r="G71" t="str">
            <v>4 PM to 7PM</v>
          </cell>
          <cell r="H71">
            <v>1450</v>
          </cell>
          <cell r="I71">
            <v>362.5</v>
          </cell>
          <cell r="J71" t="str">
            <v>Bliss</v>
          </cell>
          <cell r="K71" t="str">
            <v>Skip Friday and sned on Monday (07/01) HDTNP (24/04) Skip 2 week (27/05) Today returned (19/06)</v>
          </cell>
          <cell r="N71" t="str">
            <v>1  del of this cycle   -  1-cycles pmnt   Pending - Collect 1450</v>
          </cell>
          <cell r="O71" t="e">
            <v>#N/A</v>
          </cell>
          <cell r="P71" t="e">
            <v>#N/A</v>
          </cell>
          <cell r="Q71" t="str">
            <v>P Asiatic ( 14 Inch ) 2     Grass</v>
          </cell>
          <cell r="R71" t="str">
            <v xml:space="preserve">Pur n P Car ( 14 Inch ) 9    FF Sachet + Grass </v>
          </cell>
          <cell r="S71" t="str">
            <v>P n W Glad ( 14 Inch ) 9     Grass</v>
          </cell>
          <cell r="T71" t="str">
            <v>Sunflower ( 12 Inch ) 4     FF Sachet + Grass</v>
          </cell>
        </row>
        <row r="72">
          <cell r="A72">
            <v>152</v>
          </cell>
          <cell r="B72" t="str">
            <v xml:space="preserve">
Manisha Kahai
</v>
          </cell>
          <cell r="C72">
            <v>9810013410</v>
          </cell>
          <cell r="D72" t="str">
            <v xml:space="preserve">Flat number 41, Jasminium 1, Vatika City, Sector 49 (Sohna Road)    Sec 49 Gurgaon  122001 
</v>
          </cell>
          <cell r="E72" t="str">
            <v>Sohna Road 1</v>
          </cell>
          <cell r="F72" t="str">
            <v>Friday</v>
          </cell>
          <cell r="G72" t="str">
            <v>9 AM - 12 PM</v>
          </cell>
          <cell r="H72">
            <v>1450</v>
          </cell>
          <cell r="I72">
            <v>362.5</v>
          </cell>
          <cell r="J72" t="str">
            <v>Bliss</v>
          </cell>
          <cell r="K72" t="str">
            <v>Day changed to Sat (25/02)Return-send tomorrow(03/11)Hold and start from 11th may(06/04) FF Sold today(03/08) FF Sold today n payment recvd(07/09) Holy Change(16/03) FF Next(20/03) Paytm from Manisha Singh (09/06) 250 returned via paytm (03/.11) Today Returned (18/07)</v>
          </cell>
          <cell r="N72" t="str">
            <v>4  del of this cycle   -  0-cycles pmnt   Completed - Collect 0</v>
          </cell>
          <cell r="O72" t="str">
            <v>R n W Car ( 14 Inch ) 16     FF Sachet + Grass</v>
          </cell>
          <cell r="P72" t="str">
            <v>P n W Glad ( 14 Inch ) 16     Grass</v>
          </cell>
          <cell r="Q72" t="str">
            <v>Sunflower ( 12 Inch ) 4     FF Sachet + Grass</v>
          </cell>
          <cell r="R72" t="str">
            <v xml:space="preserve">Pur Eustom ( 12 Inch ) 3    FF Sachet + Grass </v>
          </cell>
          <cell r="S72" t="str">
            <v>O Asiatic ( 14 Inch ) 3     Grass</v>
          </cell>
          <cell r="T72" t="str">
            <v>Pur n P Car ( 14 Inch ) 16     FF Sachet + Grass</v>
          </cell>
        </row>
        <row r="73">
          <cell r="A73">
            <v>3383</v>
          </cell>
          <cell r="B73" t="str">
            <v>Jaya Todi</v>
          </cell>
          <cell r="C73">
            <v>8084159730</v>
          </cell>
          <cell r="D73" t="str">
            <v>T-6/1001, M3M Heights, Sec 65</v>
          </cell>
          <cell r="E73" t="str">
            <v>Badshahpur</v>
          </cell>
          <cell r="F73" t="str">
            <v>Saturday</v>
          </cell>
          <cell r="G73" t="str">
            <v>4 PM to 7PM</v>
          </cell>
          <cell r="H73">
            <v>1450</v>
          </cell>
          <cell r="I73">
            <v>362.5</v>
          </cell>
          <cell r="J73" t="str">
            <v>Bliss</v>
          </cell>
          <cell r="N73" t="str">
            <v>3  del of this cycle   -  0-cycles pmnt   Completed - Collect 0</v>
          </cell>
          <cell r="O73" t="e">
            <v>#N/A</v>
          </cell>
          <cell r="P73" t="e">
            <v>#N/A</v>
          </cell>
          <cell r="Q73" t="e">
            <v>#N/A</v>
          </cell>
          <cell r="R73" t="str">
            <v xml:space="preserve">R n P Car ( 14 Inch ) 16    FF Sachet + Grass </v>
          </cell>
          <cell r="S73" t="str">
            <v>O Asiatic ( 14 Inch ) 3     Grass</v>
          </cell>
          <cell r="T73" t="str">
            <v>P n W Glad ( 14 Inch ) 16     Grass</v>
          </cell>
        </row>
        <row r="74">
          <cell r="A74">
            <v>2224</v>
          </cell>
          <cell r="B74" t="str">
            <v>Samta Mehra</v>
          </cell>
          <cell r="C74">
            <v>9811137290</v>
          </cell>
          <cell r="D74" t="str">
            <v>D-1401, Park View City-1, Sohna Road</v>
          </cell>
          <cell r="E74" t="str">
            <v>Sohna Road 2</v>
          </cell>
          <cell r="F74" t="str">
            <v>Friday</v>
          </cell>
          <cell r="G74" t="str">
            <v>9 AM - 12 PM</v>
          </cell>
          <cell r="H74">
            <v>3750</v>
          </cell>
          <cell r="I74">
            <v>937.5</v>
          </cell>
          <cell r="J74" t="str">
            <v>Savor</v>
          </cell>
          <cell r="K74" t="str">
            <v>Mixed Flowers// Upgrade to Elation (30/03) Skip 3 weeks (13/06) Skip 2 weeks (21/12) Upgrade ti savor (23/02) Skip 1 week (16/04) Skip 1 week (20/06) Hold today (12/09) Skip 1 week (02/10) Skip 1 week (29/12) Skip 1 week (28/03) Skip 1 week (18/06)</v>
          </cell>
          <cell r="N74" t="str">
            <v>4  del of this cycle   -  0-cycles pmnt   Completed - Collect 0</v>
          </cell>
          <cell r="O74" t="str">
            <v>P n W Eustoma ( 14 Inch ) 4 P n W Car ( 14 Inch ) 21   2 Gypsola + FF Sachet</v>
          </cell>
          <cell r="P74" t="str">
            <v>Sunflower ( 12 Inch ) 5 Mix Alstroemeria ( 12 Inch ) 20   2 Limonium + FF Sachet</v>
          </cell>
          <cell r="Q74" t="str">
            <v>P n Y Spray Daisy ( 14 Inch ) 5 P n W Glad ( 14 Inch ) 21   2 Gypsola + FF Sachet</v>
          </cell>
          <cell r="R74" t="e">
            <v>#N/A</v>
          </cell>
          <cell r="S74" t="str">
            <v xml:space="preserve">P Asiatic 4 Pur Eustoma ( 12 Inch ) 21   2 Limonium </v>
          </cell>
          <cell r="T74" t="str">
            <v>Baloon Flowers  5 Pur n P Car ( 14 Inch ) 20   2 Limonium + FF Sachet</v>
          </cell>
        </row>
        <row r="75">
          <cell r="A75">
            <v>588</v>
          </cell>
          <cell r="B75" t="str">
            <v>Akiksha Mohan</v>
          </cell>
          <cell r="C75">
            <v>9810145564</v>
          </cell>
          <cell r="D75" t="str">
            <v>D-601, Emaar Plam Drive</v>
          </cell>
          <cell r="E75" t="str">
            <v>Badshahpur</v>
          </cell>
          <cell r="F75" t="str">
            <v>Friday</v>
          </cell>
          <cell r="G75" t="str">
            <v>9 AM - 12 PM</v>
          </cell>
          <cell r="H75">
            <v>1600</v>
          </cell>
          <cell r="I75">
            <v>200</v>
          </cell>
          <cell r="J75" t="str">
            <v>Bloom</v>
          </cell>
          <cell r="K75"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75" t="str">
            <v>GULDAWARI</v>
          </cell>
          <cell r="N75" t="str">
            <v>6  del of this cycle   -  0-cycles pmnt   Completed - Collect 0</v>
          </cell>
          <cell r="O75" t="str">
            <v xml:space="preserve">Mix Carnation 7     </v>
          </cell>
          <cell r="P75" t="str">
            <v>Sunflower ( 14 Inch ) 2     FF Sachet + Grass</v>
          </cell>
          <cell r="Q75" t="str">
            <v>Mix Alstroemeria ( 12 Inch ) 7     FF Sachet + Grass</v>
          </cell>
          <cell r="R75" t="str">
            <v>P n W Glad ( 14 Inch ) 7     Grass</v>
          </cell>
          <cell r="S75" t="str">
            <v>Sunflower ( 12 Inch ) 2     FF sachet + Grass</v>
          </cell>
          <cell r="T75" t="str">
            <v>Rajni ( 14 Inch ) 7     Grass</v>
          </cell>
        </row>
        <row r="76">
          <cell r="A76">
            <v>2454</v>
          </cell>
          <cell r="B76" t="str">
            <v>Vipin</v>
          </cell>
          <cell r="C76" t="str">
            <v>9555977401 // 9654829329</v>
          </cell>
          <cell r="D76" t="str">
            <v>Villa / VB-5, Tata Primanti, Sec 72</v>
          </cell>
          <cell r="E76" t="str">
            <v>Badshahpur</v>
          </cell>
          <cell r="F76" t="str">
            <v>Friday</v>
          </cell>
          <cell r="G76" t="str">
            <v>9 AM - 12 PM</v>
          </cell>
          <cell r="H76">
            <v>1950</v>
          </cell>
          <cell r="I76">
            <v>487.5</v>
          </cell>
          <cell r="J76" t="str">
            <v>Joy</v>
          </cell>
          <cell r="K76" t="str">
            <v>Send in evening slot tom (11/03) Paytm From Hina Kapoor (06/04) Send replacement Tom (17/05) Send replacement of W Eustoma (17/05) Paytm from Tarun Kumar (15/95) Replacement tom (16/05) Paytm From Vimpin Kapooria (28/06)</v>
          </cell>
          <cell r="N76" t="str">
            <v>2  del of this cycle   -  0-cycles pmnt   Completed - Collect 0</v>
          </cell>
          <cell r="O76" t="str">
            <v>O Asiatic ( 15 Inch ) 2 P n W Car ( 14 Inch ) 11   Grass</v>
          </cell>
          <cell r="P76" t="str">
            <v>P n Y Spray Daisy ( 14 Inch ) 4 Mix Alstroemeria ( 12 Inch ) 11   FF Sachet + Grass</v>
          </cell>
          <cell r="Q76" t="str">
            <v>Sunflower ( 12 Inch ) 3 P n W Glad ( 14 Inch ) 11   FF Sachet + Grass</v>
          </cell>
          <cell r="R76" t="str">
            <v>P Eustoma ( 12 Inch ) 2 Pur n P Car ( 14 Inch ) 11   FF sachet + Grass</v>
          </cell>
          <cell r="S76" t="str">
            <v>P Asiatic ( 14 Inch ) 2 Glad ( 14 Inch ) 11   Grass</v>
          </cell>
          <cell r="T76" t="str">
            <v>Sunflower ( 12 Inch ) 3 Rajni ( 14 Inch ) 11   FF Sachet + Grass</v>
          </cell>
        </row>
        <row r="77">
          <cell r="A77">
            <v>3388</v>
          </cell>
          <cell r="B77" t="str">
            <v>Malvika Anand</v>
          </cell>
          <cell r="C77">
            <v>9811822238</v>
          </cell>
          <cell r="D77" t="str">
            <v>A1, Cloud 9 Cottages, Vill Dhumaspur, Sec 67 A</v>
          </cell>
          <cell r="E77" t="str">
            <v>Badshahpur</v>
          </cell>
          <cell r="F77" t="str">
            <v>Friday</v>
          </cell>
          <cell r="G77" t="str">
            <v>9 AM - 12 PM</v>
          </cell>
          <cell r="H77">
            <v>1950</v>
          </cell>
          <cell r="I77">
            <v>487.5</v>
          </cell>
          <cell r="J77" t="str">
            <v>Joy</v>
          </cell>
          <cell r="N77" t="str">
            <v>2  del of this cycle   -  0-cycles pmnt   Completed - Collect 0</v>
          </cell>
          <cell r="O77" t="e">
            <v>#N/A</v>
          </cell>
          <cell r="P77" t="e">
            <v>#N/A</v>
          </cell>
          <cell r="Q77" t="e">
            <v>#N/A</v>
          </cell>
          <cell r="R77" t="e">
            <v>#N/A</v>
          </cell>
          <cell r="S77" t="str">
            <v>Pur n P Car ( 14 Inch ) 22     FF Sachet + Grass</v>
          </cell>
          <cell r="T77" t="str">
            <v>O Asiatic ( 14 Inch ) 4     Grass</v>
          </cell>
        </row>
        <row r="78">
          <cell r="A78">
            <v>2448</v>
          </cell>
          <cell r="B78" t="str">
            <v>Sonali Srivastava -- 1450 Pack</v>
          </cell>
          <cell r="C78">
            <v>8510051543</v>
          </cell>
          <cell r="D78" t="str">
            <v>T2/25A, SS, The Leaf, Sec 85</v>
          </cell>
          <cell r="E78" t="str">
            <v>Manesar</v>
          </cell>
          <cell r="F78" t="str">
            <v>Friday</v>
          </cell>
          <cell r="G78" t="str">
            <v>9:30 Am to 2 PM</v>
          </cell>
          <cell r="H78">
            <v>1450</v>
          </cell>
          <cell r="I78">
            <v>362.5</v>
          </cell>
          <cell r="J78" t="str">
            <v>Bliss</v>
          </cell>
          <cell r="K78" t="str">
            <v>Insta // 1st Del on Monday and then Friday morning (17/07) Skip tom n send on Monday (24/08) Hold due to non payment (16/01) HDTNP(20/02) HDTNP (24/04) Skip 2 week (13/05)</v>
          </cell>
          <cell r="N78" t="str">
            <v>1  del of this cycle   -  1-cycles pmnt   Pending - Collect 1450</v>
          </cell>
          <cell r="O78" t="e">
            <v>#N/A</v>
          </cell>
          <cell r="P78" t="e">
            <v>#N/A</v>
          </cell>
          <cell r="Q78" t="e">
            <v>#N/A</v>
          </cell>
          <cell r="R78" t="str">
            <v xml:space="preserve">P n W Glad ( 14 Inch ) 9    Grass </v>
          </cell>
          <cell r="S78" t="str">
            <v>P Asiatic ( 14 Inch ) 2     Grass</v>
          </cell>
          <cell r="T78" t="str">
            <v>Pur n P Car ( 14 Inch ) 16     FF Sachet + Grass</v>
          </cell>
        </row>
        <row r="79">
          <cell r="A79">
            <v>3381</v>
          </cell>
          <cell r="B79" t="str">
            <v>Swati Gaur</v>
          </cell>
          <cell r="C79">
            <v>9769021701</v>
          </cell>
          <cell r="D79" t="str">
            <v>T-5/2617, Center court by County, Sec 88 A</v>
          </cell>
          <cell r="E79" t="str">
            <v>Manesar</v>
          </cell>
          <cell r="F79" t="str">
            <v>Friday</v>
          </cell>
          <cell r="G79" t="str">
            <v>4 Pm to 7 PM</v>
          </cell>
          <cell r="H79">
            <v>2750</v>
          </cell>
          <cell r="I79">
            <v>687.5</v>
          </cell>
          <cell r="J79" t="str">
            <v>Elation</v>
          </cell>
          <cell r="N79" t="str">
            <v>3  del of this cycle   -  0-cycles pmnt   Completed - Collect 0</v>
          </cell>
          <cell r="O79" t="e">
            <v>#N/A</v>
          </cell>
          <cell r="P79" t="e">
            <v>#N/A</v>
          </cell>
          <cell r="Q79" t="e">
            <v>#N/A</v>
          </cell>
          <cell r="R79" t="str">
            <v>R n P Car ( 14 Inch ) 32     FF sachet + Grass</v>
          </cell>
          <cell r="S79" t="str">
            <v>O Asiatic ( 14 Inch ) 6     2 Gypaols</v>
          </cell>
          <cell r="T79" t="str">
            <v>P n W Glad ( 14 Inch ) 32     Grass</v>
          </cell>
        </row>
        <row r="80">
          <cell r="A80">
            <v>3081</v>
          </cell>
          <cell r="B80" t="str">
            <v xml:space="preserve">Nikhat </v>
          </cell>
          <cell r="C80" t="str">
            <v>90044 52898‬</v>
          </cell>
          <cell r="D80" t="str">
            <v>Tower B, flat 074, DLF regal gardens , sector 90</v>
          </cell>
          <cell r="E80" t="str">
            <v>Manesar</v>
          </cell>
          <cell r="F80" t="str">
            <v>Friday</v>
          </cell>
          <cell r="G80" t="str">
            <v>4 PM to 7 PM</v>
          </cell>
          <cell r="H80">
            <v>1450</v>
          </cell>
          <cell r="I80">
            <v>362.5</v>
          </cell>
          <cell r="J80" t="str">
            <v>Bliss</v>
          </cell>
          <cell r="K80" t="str">
            <v>Paytm From Puneet Pundora (06/03) Hold today (20/03)</v>
          </cell>
          <cell r="N80" t="str">
            <v>1  del of this cycle   -  1-cycles pmnt   Pending - Collect 1450</v>
          </cell>
          <cell r="O80" t="str">
            <v>Sunflower ( 14 Inch ) 2 Mix Alstroemeria ( 12 Inch )  7   FF Sachet + Grass</v>
          </cell>
          <cell r="P80" t="str">
            <v>Pur Eustom ( 14 Inch ) 2 P n W Glad ( 14 Inch ) 7   FF Sachet + Grass</v>
          </cell>
          <cell r="Q80" t="str">
            <v>W Asiatic ( 14 inch ) 2 Pur n P Car ( 14 Inch ) 7   Grass</v>
          </cell>
          <cell r="R80" t="str">
            <v xml:space="preserve">P Spray Daisy ( 14 Inch ) 3 Mix Alstroemeria (  12 Inch ) 7  FF Sachet + Grass </v>
          </cell>
          <cell r="S80" t="str">
            <v>Eustoma  2 P n W Glad ( 14 Inch ) 7   FF sachet + Grass</v>
          </cell>
          <cell r="T80" t="str">
            <v>Sunflower ( 12 Inch ) 2 Rajni ( 14 Inch ) 7   FF Sachet + Grass</v>
          </cell>
        </row>
        <row r="81">
          <cell r="A81">
            <v>3389</v>
          </cell>
          <cell r="B81" t="str">
            <v>Ritika -- DLF Regal</v>
          </cell>
          <cell r="C81">
            <v>9975423958</v>
          </cell>
          <cell r="D81" t="str">
            <v>E-144, DLF Regal Garden, Sec 90</v>
          </cell>
          <cell r="E81" t="str">
            <v>Manesar</v>
          </cell>
          <cell r="F81" t="str">
            <v>Friday</v>
          </cell>
          <cell r="G81" t="str">
            <v>4 Pm to 7 PM</v>
          </cell>
          <cell r="H81">
            <v>1950</v>
          </cell>
          <cell r="I81">
            <v>487.5</v>
          </cell>
          <cell r="J81" t="str">
            <v>Joy</v>
          </cell>
          <cell r="K81" t="str">
            <v>From Ritika Hatanagdy</v>
          </cell>
          <cell r="N81" t="str">
            <v>2  del of this cycle   -  0-cycles pmnt   Completed - Collect 0</v>
          </cell>
          <cell r="O81" t="e">
            <v>#N/A</v>
          </cell>
          <cell r="P81" t="e">
            <v>#N/A</v>
          </cell>
          <cell r="Q81" t="e">
            <v>#N/A</v>
          </cell>
          <cell r="R81" t="e">
            <v>#N/A</v>
          </cell>
          <cell r="S81" t="str">
            <v>Alstromeria 22     FF Sachet + Grass</v>
          </cell>
          <cell r="T81" t="str">
            <v>O Asiatic ( 14 Inch ) 4     Grass</v>
          </cell>
        </row>
        <row r="82">
          <cell r="A82">
            <v>1899</v>
          </cell>
          <cell r="B82" t="str">
            <v>Hardik Shah</v>
          </cell>
          <cell r="C82">
            <v>9811227080</v>
          </cell>
          <cell r="D82" t="str">
            <v>T-5/1402, Vipul Green</v>
          </cell>
          <cell r="E82" t="str">
            <v>Sohna Road 2</v>
          </cell>
          <cell r="F82" t="str">
            <v>Friday</v>
          </cell>
          <cell r="G82" t="str">
            <v>9 AM - 12 PM</v>
          </cell>
          <cell r="H82">
            <v>4850</v>
          </cell>
          <cell r="I82">
            <v>606.25</v>
          </cell>
          <cell r="J82" t="str">
            <v>Poise</v>
          </cell>
          <cell r="K82"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82" t="str">
            <v>2  del of this cycle   -  1-cycles pmnt   Pending - Collect 4850</v>
          </cell>
          <cell r="O82" t="str">
            <v>P Oriental ( 15 Inch ) 4     Grass</v>
          </cell>
          <cell r="P82" t="str">
            <v>P n Y Spray Daisy ( 14 Inch ) 9     FF Sachet + Grass</v>
          </cell>
          <cell r="Q82" t="str">
            <v>Y Asiatic ( 14 Inch ) 6     Grass</v>
          </cell>
          <cell r="R82" t="e">
            <v>#N/A</v>
          </cell>
          <cell r="S82" t="e">
            <v>#N/A</v>
          </cell>
          <cell r="T82" t="str">
            <v>P n W Glad ( 14 Inch ) 26     Grass</v>
          </cell>
        </row>
        <row r="83">
          <cell r="A83">
            <v>3099</v>
          </cell>
          <cell r="B83" t="str">
            <v>Manisha Mishra</v>
          </cell>
          <cell r="C83">
            <v>9910993142</v>
          </cell>
          <cell r="D83" t="str">
            <v>E-1202, maceo appartmnet, sector 91</v>
          </cell>
          <cell r="E83" t="str">
            <v>Dwarka Expressway</v>
          </cell>
          <cell r="F83" t="str">
            <v>Friday</v>
          </cell>
          <cell r="G83" t="str">
            <v>4 PM to 7 PM</v>
          </cell>
          <cell r="H83">
            <v>1950</v>
          </cell>
          <cell r="I83">
            <v>487.5</v>
          </cell>
          <cell r="J83" t="str">
            <v>Joy</v>
          </cell>
          <cell r="K83" t="str">
            <v>Paytm from Rohit Ahuja</v>
          </cell>
          <cell r="N83" t="str">
            <v>1  del of this cycle   -  1-cycles pmnt   Pending - Collect 1950</v>
          </cell>
          <cell r="O83" t="str">
            <v>Sunflower ( 14 Inch ) 3  Spray Carnation  10   FF Sachet + Grass</v>
          </cell>
          <cell r="P83" t="str">
            <v>Pur Eustom ( 14 Inch ) 2 P n W Glad ( 14 Inch ) 11   FF Sachet + Grass</v>
          </cell>
          <cell r="Q83" t="str">
            <v>P n Y Spray Daisy ( 14 Inch ) 4 Mix Alstroemeria ( 12 Inch ) 11   FF Sachet + Grass</v>
          </cell>
          <cell r="R83" t="str">
            <v>O Asiatic ( 14 Inch ) 2 Pur n P Car ( 14 Inch ) 11   Grass</v>
          </cell>
          <cell r="S83" t="str">
            <v>Asiatic 2 Alstromeria 11   FF Sachet + Grass</v>
          </cell>
          <cell r="T83" t="str">
            <v>Sunflower ( 12 Inch ) 3 P n W Glad ( 14 Inch ) 11   FF Sachet + Grass</v>
          </cell>
        </row>
        <row r="84">
          <cell r="A84">
            <v>2712</v>
          </cell>
          <cell r="B84" t="str">
            <v>Ankita Aeron</v>
          </cell>
          <cell r="C84">
            <v>8860253167</v>
          </cell>
          <cell r="D84" t="str">
            <v>D-701, Shree Vardhman Victoria, Sec 70</v>
          </cell>
          <cell r="E84" t="str">
            <v>Badshahpur</v>
          </cell>
          <cell r="F84" t="str">
            <v>Friday</v>
          </cell>
          <cell r="G84" t="str">
            <v>9:30 Am to 2 PM</v>
          </cell>
          <cell r="H84">
            <v>1450</v>
          </cell>
          <cell r="I84">
            <v>362.5</v>
          </cell>
          <cell r="J84" t="str">
            <v>Bliss</v>
          </cell>
          <cell r="K84" t="str">
            <v>Car Next (27/06) Do not send on 8th and 15th Aug (31/07) Skip 1 week (18/09) Skip 2 week (15/10) Skip 1 week (09/06)</v>
          </cell>
          <cell r="M84" t="str">
            <v>Car Next (27/06)</v>
          </cell>
          <cell r="N84" t="str">
            <v>2  del of this cycle   -  0-cycles pmnt   Completed - Collect 0</v>
          </cell>
          <cell r="O84" t="str">
            <v>O Asiatic ( 15 Inch ) 2 P n W Glad ( 14 Inch ) 7   Grass</v>
          </cell>
          <cell r="P84" t="str">
            <v>Sunflower ( 12 Inch ) 2 Mix Alstroemeria ( 12 Inch ) 7   FF Sachet + Grass</v>
          </cell>
          <cell r="Q84" t="e">
            <v>#N/A</v>
          </cell>
          <cell r="R84" t="str">
            <v xml:space="preserve">P Spray Daisy ( 14 Inch ) 3 Pur n P Car ( 14 Inch ) 7  FF Sachet + Grass </v>
          </cell>
          <cell r="S84" t="str">
            <v>P Asiatic ( 14 Inch ) 2 P n W Glad ( 14 Inch ) 7   Grass</v>
          </cell>
          <cell r="T84" t="str">
            <v>Sunflower ( 12 Inch ) 2 Rajni ( 14 Inch ) 7   FF Sachet + Grass</v>
          </cell>
        </row>
        <row r="85">
          <cell r="A85">
            <v>3109</v>
          </cell>
          <cell r="B85" t="str">
            <v>Dr. Apoorva Batra</v>
          </cell>
          <cell r="C85">
            <v>9896166336</v>
          </cell>
          <cell r="D85" t="str">
            <v>T-40/002, Emaar Emerald Floors Premiers, Sec 65</v>
          </cell>
          <cell r="E85" t="str">
            <v>Badshahpur</v>
          </cell>
          <cell r="F85" t="str">
            <v>Friday</v>
          </cell>
          <cell r="G85" t="str">
            <v>4 Pm to 7 PM</v>
          </cell>
          <cell r="H85">
            <v>999</v>
          </cell>
          <cell r="I85">
            <v>249.75</v>
          </cell>
          <cell r="J85" t="str">
            <v>Delight</v>
          </cell>
          <cell r="K85" t="str">
            <v>HDTNP (22/05) Skip 1 week (11/06) Hold after current cycle (20/06)</v>
          </cell>
          <cell r="N85" t="str">
            <v>4  del of this cycle   -  0-cycles pmnt   Completed - Collect 0</v>
          </cell>
          <cell r="O85" t="str">
            <v>O Asiatic ( 15 Inch ) 2     Grass</v>
          </cell>
          <cell r="P85" t="str">
            <v>P n W Glad ( 14 Inch ) 9     Grass</v>
          </cell>
          <cell r="Q85" t="e">
            <v>#N/A</v>
          </cell>
          <cell r="R85" t="str">
            <v xml:space="preserve">Mix Car 9    FF Sachet + Grass </v>
          </cell>
          <cell r="S85" t="str">
            <v>P Spray Daisy ( 14 Inch ) 3     FF aschet + Grass</v>
          </cell>
          <cell r="T85" t="str">
            <v>P Asiatic ( 14 Inch ) 2     Grass</v>
          </cell>
        </row>
        <row r="86">
          <cell r="A86" t="str">
            <v>M0006</v>
          </cell>
          <cell r="B86" t="str">
            <v>Divya Sabharwal</v>
          </cell>
          <cell r="C86">
            <v>9560068750</v>
          </cell>
          <cell r="D86" t="str">
            <v>Tower 15, flat 1401, Vipul Greens , Sohna Road</v>
          </cell>
          <cell r="E86" t="str">
            <v>Sohna Road 2</v>
          </cell>
          <cell r="F86" t="str">
            <v>Friday</v>
          </cell>
          <cell r="G86" t="str">
            <v>9 AM - 12 PM</v>
          </cell>
          <cell r="H86">
            <v>3950</v>
          </cell>
          <cell r="I86">
            <v>493.75</v>
          </cell>
          <cell r="J86" t="str">
            <v>Grace</v>
          </cell>
          <cell r="K86"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86" t="str">
            <v>CAR n Orchid</v>
          </cell>
          <cell r="N86" t="str">
            <v>1  del of this cycle   -  1-cycles pmnt   Pending - Collect 3950</v>
          </cell>
          <cell r="O86" t="e">
            <v>#N/A</v>
          </cell>
          <cell r="P86" t="e">
            <v>#N/A</v>
          </cell>
          <cell r="Q86" t="e">
            <v>#N/A</v>
          </cell>
          <cell r="R86" t="e">
            <v>#N/A</v>
          </cell>
          <cell r="S86" t="e">
            <v>#N/A</v>
          </cell>
          <cell r="T86" t="str">
            <v>P Asiatic ( 14 Inch ) 4     Grass</v>
          </cell>
        </row>
        <row r="87">
          <cell r="A87">
            <v>1970</v>
          </cell>
          <cell r="B87" t="str">
            <v>Neera Dutta</v>
          </cell>
          <cell r="C87">
            <v>9811325497</v>
          </cell>
          <cell r="D87" t="str">
            <v>T-01/402 Vipul Greens</v>
          </cell>
          <cell r="E87" t="str">
            <v>Sohna Road 2</v>
          </cell>
          <cell r="F87" t="str">
            <v>Friday</v>
          </cell>
          <cell r="G87" t="str">
            <v>9 AM - 12 PM</v>
          </cell>
          <cell r="H87">
            <v>1450</v>
          </cell>
          <cell r="I87">
            <v>362.5</v>
          </cell>
          <cell r="J87" t="str">
            <v>Bliss</v>
          </cell>
          <cell r="K87"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87" t="str">
            <v>1  del of this cycle   -  0-cycles pmnt   Completed - Collect 0</v>
          </cell>
          <cell r="O87" t="e">
            <v>#N/A</v>
          </cell>
          <cell r="P87" t="e">
            <v>#N/A</v>
          </cell>
          <cell r="Q87" t="e">
            <v>#N/A</v>
          </cell>
          <cell r="R87" t="e">
            <v>#N/A</v>
          </cell>
          <cell r="S87" t="e">
            <v>#N/A</v>
          </cell>
          <cell r="T87" t="str">
            <v>Pur n P Car ( 14 Inch ) 16     FF Sachet + Grass</v>
          </cell>
        </row>
        <row r="88">
          <cell r="A88">
            <v>359</v>
          </cell>
          <cell r="B88" t="str">
            <v>Sudipta Karnik</v>
          </cell>
          <cell r="C88">
            <v>9810266546</v>
          </cell>
          <cell r="D88" t="str">
            <v>Tower 4, Flat 6A, Bellevue, Central Park,Sector-48    Sec 48 Gurgoan  122001</v>
          </cell>
          <cell r="E88" t="str">
            <v>Sohna Road 2</v>
          </cell>
          <cell r="F88" t="str">
            <v>Friday</v>
          </cell>
          <cell r="G88" t="str">
            <v>9 AM - 12 PM</v>
          </cell>
          <cell r="H88">
            <v>1950</v>
          </cell>
          <cell r="I88">
            <v>487.5</v>
          </cell>
          <cell r="J88" t="str">
            <v>Joy</v>
          </cell>
          <cell r="K88"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88" t="str">
            <v>1  del of this cycle   -  1-cycles pmnt   Pending - Collect 1950</v>
          </cell>
          <cell r="O88" t="str">
            <v>Y Orchid  7     FF Sachet + Grass</v>
          </cell>
          <cell r="P88" t="str">
            <v>O Asiatic ( 14 Inch ) 4     Grass</v>
          </cell>
          <cell r="Q88" t="str">
            <v>Sunflower ( 12 Inch ) 5     FF Sachet + Grass</v>
          </cell>
          <cell r="R88" t="str">
            <v>R n P Car ( 14 Inch ) 22     FF sachet + Grass</v>
          </cell>
          <cell r="S88" t="str">
            <v>Mix Alstroemeria 20     FF Sachet + Grass</v>
          </cell>
          <cell r="T88" t="str">
            <v>Baloon Flowers  5     Grass</v>
          </cell>
        </row>
        <row r="89">
          <cell r="A89">
            <v>2066</v>
          </cell>
          <cell r="B89" t="str">
            <v>Shilpi Tibrewal</v>
          </cell>
          <cell r="C89">
            <v>9999103067</v>
          </cell>
          <cell r="D89" t="str">
            <v>Tower-A/3803, Ireo Victory Valley, Sec 67</v>
          </cell>
          <cell r="E89" t="str">
            <v>Badshahpur</v>
          </cell>
          <cell r="F89" t="str">
            <v>Friday</v>
          </cell>
          <cell r="G89" t="str">
            <v>4 Pm to 7 PM</v>
          </cell>
          <cell r="H89">
            <v>1450</v>
          </cell>
          <cell r="I89">
            <v>362.5</v>
          </cell>
          <cell r="J89" t="str">
            <v>Bliss</v>
          </cell>
          <cell r="K89" t="str">
            <v>Either Rose or Car// Normal Flowers (04/05) Sent replacement today (26/08) Return yesterday (17/08) Today returned (25/07)</v>
          </cell>
          <cell r="N89" t="str">
            <v>4  del of this cycle   -  0-cycles pmnt   CompletedNO COLLECTION-we have extra money - Collect -50</v>
          </cell>
          <cell r="O89" t="str">
            <v>R n W Car ( 14 Inch ) 16     FF Sachet + Grass</v>
          </cell>
          <cell r="P89" t="str">
            <v>Pur Eustom ( 14 Inch ) 3     FF Sachet + Grass</v>
          </cell>
          <cell r="Q89" t="str">
            <v>P n Y Spray Daisy ( 14 Inch ) 5     FF Sachet + Grass</v>
          </cell>
          <cell r="R89" t="str">
            <v xml:space="preserve">P n W Glad ( 14 Inch ) 16    Grass </v>
          </cell>
          <cell r="S89" t="str">
            <v>O Asiatic ( 14 Inch ) 3     Grass</v>
          </cell>
          <cell r="T89" t="str">
            <v>Pur n P Car ( 14 Inch ) 16     FF Sachet + Grass</v>
          </cell>
        </row>
        <row r="90">
          <cell r="A90">
            <v>2713</v>
          </cell>
          <cell r="B90" t="str">
            <v>Priyanka Dahiya</v>
          </cell>
          <cell r="C90">
            <v>9818543931</v>
          </cell>
          <cell r="D90" t="str">
            <v>D-804, Ambience Creacions, Rao Gajraj Singh Marg, Sec 22</v>
          </cell>
          <cell r="E90" t="str">
            <v>Old Gurgaon</v>
          </cell>
          <cell r="F90" t="str">
            <v>Friday</v>
          </cell>
          <cell r="G90" t="str">
            <v>4 Pm to 7 PM</v>
          </cell>
          <cell r="H90">
            <v>1450</v>
          </cell>
          <cell r="I90">
            <v>362.5</v>
          </cell>
          <cell r="J90" t="str">
            <v>Bliss</v>
          </cell>
          <cell r="K90" t="str">
            <v>Today Hold and next week too (06/06) Only seasonals (18/07) Paytm From Rahul Chandra (01/11) Pls Send tom (06/02) Skip 2 week (31/05)</v>
          </cell>
          <cell r="M90" t="str">
            <v>Seasonals Only</v>
          </cell>
          <cell r="N90" t="str">
            <v>3  del of this cycle   -  0-cycles pmnt   CompletedNO COLLECTION-we have extra money - Collect -1</v>
          </cell>
          <cell r="O90" t="str">
            <v>R n W Car ( 14 Inch ) 9     FF Sachet + Grass</v>
          </cell>
          <cell r="P90" t="e">
            <v>#N/A</v>
          </cell>
          <cell r="Q90" t="e">
            <v>#N/A</v>
          </cell>
          <cell r="R90" t="str">
            <v xml:space="preserve">P Asiatic ( 14 Inch ) 3  ensure collection  Pese Na  Mile To Call Karna  Grass </v>
          </cell>
          <cell r="S90" t="str">
            <v>P n W Glad ( 14 Inch ) 16     Grass</v>
          </cell>
          <cell r="T90" t="str">
            <v>Sunflower ( 12 Inch ) 4     FF Sachet + Grass</v>
          </cell>
        </row>
        <row r="91">
          <cell r="A91">
            <v>2311</v>
          </cell>
          <cell r="B91" t="str">
            <v>Ranjeeta Sanghvi</v>
          </cell>
          <cell r="C91">
            <v>9986593206</v>
          </cell>
          <cell r="D91" t="str">
            <v>T-3/TH-B, Bellevue. Central Park 2</v>
          </cell>
          <cell r="E91" t="str">
            <v>Sohna Road 2</v>
          </cell>
          <cell r="F91" t="str">
            <v>Friday</v>
          </cell>
          <cell r="G91" t="str">
            <v>9 AM - 12 PM</v>
          </cell>
          <cell r="H91">
            <v>1450</v>
          </cell>
          <cell r="I91">
            <v>362.5</v>
          </cell>
          <cell r="J91" t="str">
            <v>Bliss</v>
          </cell>
          <cell r="N91" t="str">
            <v>3  del of this cycle   -  0-cycles pmnt   Completed - Collect 0</v>
          </cell>
          <cell r="O91" t="str">
            <v>Mix Alstroemeria ( 12 Inch ) 9     FF Sachet + Grass</v>
          </cell>
          <cell r="P91" t="str">
            <v>P n W Glad ( 14 Inch ) 9     Grass</v>
          </cell>
          <cell r="Q91" t="str">
            <v>Pur n P Car ( 14 Inch ) 9     FF Sachet + Grass</v>
          </cell>
          <cell r="R91" t="str">
            <v xml:space="preserve">O Asiatic ( 14 Inch ) 3    Grass </v>
          </cell>
          <cell r="S91" t="str">
            <v>Pur Eustoma ( 12 Inch ) 3     FF sachet + Grass</v>
          </cell>
          <cell r="T91" t="str">
            <v>Sunflower ( 12 Inch ) 4     FF Sachet + Grass</v>
          </cell>
        </row>
        <row r="92">
          <cell r="A92">
            <v>3013</v>
          </cell>
          <cell r="B92" t="str">
            <v>Surabhi Sukriti</v>
          </cell>
          <cell r="C92">
            <v>8652750573</v>
          </cell>
          <cell r="D92" t="str">
            <v>D-804, Bestech Park Viw Spa Next, Sec 67</v>
          </cell>
          <cell r="E92" t="str">
            <v>Badshahpur</v>
          </cell>
          <cell r="F92" t="str">
            <v>Friday</v>
          </cell>
          <cell r="G92" t="str">
            <v>4 PM to 7 PM</v>
          </cell>
          <cell r="H92">
            <v>1450</v>
          </cell>
          <cell r="I92">
            <v>362.5</v>
          </cell>
          <cell r="J92" t="str">
            <v>Bliss</v>
          </cell>
          <cell r="K92" t="str">
            <v>Skip 1 week (01/10) Add changed (05/04) Today Hold (26/06)</v>
          </cell>
          <cell r="N92" t="str">
            <v>1  del of this cycle   -  1-cycles pmnt   Pending - Collect 1450</v>
          </cell>
          <cell r="O92" t="str">
            <v>O Asiatic ( 15 Inch ) 2 Mix Alstroemeria ( 12 Inch )  7   Grass</v>
          </cell>
          <cell r="P92" t="str">
            <v>P Spray Daisy ( 14 Inch ) 3 P n W Glad ( 14 Inch ) 7   FF Sachet + Grass</v>
          </cell>
          <cell r="Q92" t="str">
            <v>Pur Eustoma ( 12 Inch ) 2 Pur n P Car ( 14 Inch ) 7   FF Sachet + Grass</v>
          </cell>
          <cell r="R92" t="str">
            <v xml:space="preserve">Sunflower ( 12 Inch ) 2 Mix Alstroemeria (  12 Inch ) 7  FF Sachet + Grass </v>
          </cell>
          <cell r="S92" t="str">
            <v>P Asiatic ( 14 Inch ) 2 Glad ( 14 Inch ) 7   Grass</v>
          </cell>
          <cell r="T92" t="str">
            <v>G Spray Daisy ( 14 Inch ) 3 P n W Car ( 14 Inch ) 7   FF Sachet + Grass</v>
          </cell>
        </row>
        <row r="93">
          <cell r="A93">
            <v>628</v>
          </cell>
          <cell r="B93" t="str">
            <v>Parul Hazel</v>
          </cell>
          <cell r="C93">
            <v>9873675242</v>
          </cell>
          <cell r="D93" t="str">
            <v>E-1202, Palm Drive</v>
          </cell>
          <cell r="E93" t="str">
            <v>Badshahpur</v>
          </cell>
          <cell r="F93" t="str">
            <v>Friday</v>
          </cell>
          <cell r="G93" t="str">
            <v>9 AM - 12 PM</v>
          </cell>
          <cell r="H93">
            <v>1450</v>
          </cell>
          <cell r="I93">
            <v>362.5</v>
          </cell>
          <cell r="J93" t="str">
            <v>Bliss</v>
          </cell>
          <cell r="K93"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93" t="str">
            <v>3  del of this cycle   -  0-cycles pmnt   Completed - Collect 0</v>
          </cell>
          <cell r="O93" t="str">
            <v>O Asiatic ( 15 Inch ) 3     Grass</v>
          </cell>
          <cell r="P93" t="str">
            <v>P n W Glad ( 14 Inch ) 16     Grass</v>
          </cell>
          <cell r="Q93" t="str">
            <v>P n Y Spray Daisy ( 14 Inch ) 5     FF Sachet + Grass</v>
          </cell>
          <cell r="R93" t="str">
            <v xml:space="preserve">R n P Car ( 14 Inch ) 16    FF Sachet + Grass </v>
          </cell>
          <cell r="S93" t="str">
            <v>Pur Eustoma ( 12 Inch ) 3     FF sachet + Grass</v>
          </cell>
          <cell r="T93" t="str">
            <v>Sunflower ( 12 Inch ) 4     FF Sachet + Grass</v>
          </cell>
        </row>
        <row r="94">
          <cell r="A94">
            <v>113</v>
          </cell>
          <cell r="B94" t="str">
            <v>Subhadra Chatterjee</v>
          </cell>
          <cell r="C94">
            <v>8826368500</v>
          </cell>
          <cell r="D94" t="str">
            <v>Tower -E, Flat 10B, Central Park Resort</v>
          </cell>
          <cell r="E94" t="str">
            <v>Sohna Road 2</v>
          </cell>
          <cell r="F94" t="str">
            <v>Friday</v>
          </cell>
          <cell r="G94" t="str">
            <v>9 AM - 12 PM</v>
          </cell>
          <cell r="H94">
            <v>1950</v>
          </cell>
          <cell r="I94">
            <v>487.5</v>
          </cell>
          <cell r="J94" t="str">
            <v>Joy</v>
          </cell>
          <cell r="K94"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4" t="str">
            <v>GULDAWARI n ROSE</v>
          </cell>
          <cell r="N94" t="str">
            <v>3  del of this cycle   -  0-cycles pmnt   Completed - Collect 0</v>
          </cell>
          <cell r="O94" t="str">
            <v>Y Orchid  7     FF Sachet + Grass</v>
          </cell>
          <cell r="P94" t="e">
            <v>#N/A</v>
          </cell>
          <cell r="Q94" t="e">
            <v>#N/A</v>
          </cell>
          <cell r="R94" t="str">
            <v>B Orchid  7     FF sachet + Grass</v>
          </cell>
          <cell r="S94" t="str">
            <v>O Asiatic ( 14 Inch ) 4     Grass</v>
          </cell>
          <cell r="T94" t="str">
            <v>Baloon Flowers  5     FF Sachet + Grass</v>
          </cell>
        </row>
        <row r="95">
          <cell r="A95">
            <v>3338</v>
          </cell>
          <cell r="B95" t="str">
            <v>Richa Khullar</v>
          </cell>
          <cell r="C95">
            <v>9871797835</v>
          </cell>
          <cell r="D95" t="str">
            <v>A3/1101, Tulip Yellow</v>
          </cell>
          <cell r="E95" t="str">
            <v>Badshahpur</v>
          </cell>
          <cell r="F95" t="str">
            <v>Friday</v>
          </cell>
          <cell r="G95" t="str">
            <v>4 Pm to 7 PM</v>
          </cell>
          <cell r="H95">
            <v>1450</v>
          </cell>
          <cell r="I95">
            <v>362.5</v>
          </cell>
          <cell r="J95" t="str">
            <v>Bliss</v>
          </cell>
          <cell r="K95" t="str">
            <v>Love Alstroemeria  // Skip 1 week (16/06)</v>
          </cell>
          <cell r="N95" t="str">
            <v>2  del of this cycle   -  1-cycles pmnt   Pending - Collect 1450</v>
          </cell>
          <cell r="O95" t="str">
            <v>R n W Car ( 14 Inch ) 16     FF Sachet + Grass</v>
          </cell>
          <cell r="P95" t="str">
            <v>O Asiatic ( 14 Inch ) 3     Grass</v>
          </cell>
          <cell r="Q95" t="str">
            <v>P n W Spray Daisy ( 14 Inch ) 5     FF Sachet + Grass</v>
          </cell>
          <cell r="R95" t="e">
            <v>#N/A</v>
          </cell>
          <cell r="S95" t="str">
            <v>P n W Glad ( 14 Inch ) 16     Grass</v>
          </cell>
          <cell r="T95" t="str">
            <v>Sunflower ( 12 Inch ) 4     FF Sachet + Grass</v>
          </cell>
        </row>
        <row r="96">
          <cell r="A96">
            <v>43</v>
          </cell>
          <cell r="B96" t="str">
            <v>Ms. Arpita Bhargava</v>
          </cell>
          <cell r="C96">
            <v>9953515520</v>
          </cell>
          <cell r="D96" t="str">
            <v>T-4/1701,Tata Primanty,Sector-72</v>
          </cell>
          <cell r="E96" t="str">
            <v>Sohna Road 2</v>
          </cell>
          <cell r="F96" t="str">
            <v>Friday</v>
          </cell>
          <cell r="G96" t="str">
            <v>9 AM - 12 PM</v>
          </cell>
          <cell r="H96">
            <v>1450</v>
          </cell>
          <cell r="I96">
            <v>362.5</v>
          </cell>
          <cell r="J96" t="str">
            <v>Bliss</v>
          </cell>
          <cell r="K96"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96" t="str">
            <v>GERBERA n ROSE</v>
          </cell>
          <cell r="N96" t="str">
            <v>1  del of this cycle   -  1-cycles pmnt   Pending - Collect 451</v>
          </cell>
          <cell r="O96" t="str">
            <v>P Asiatic ( 15 Inch ) 2     Grass</v>
          </cell>
          <cell r="P96" t="str">
            <v>P n W Car ( 14 Inch ) 9     FF Sachet + Grass</v>
          </cell>
          <cell r="Q96" t="str">
            <v>Mix Alstroemeria ( 12 Inch ) 9     FF Sachet + Grass</v>
          </cell>
          <cell r="R96" t="str">
            <v xml:space="preserve">P n W Glad ( 14 Inch ) 9    Grass </v>
          </cell>
          <cell r="S96" t="str">
            <v>Y Spray Daisy ( 14 Inch ) 3     FF aschet + Grass</v>
          </cell>
          <cell r="T96" t="str">
            <v>Pur n P Car ( 14 Inch ) 16     FF Sachet + Grass</v>
          </cell>
        </row>
        <row r="97">
          <cell r="A97">
            <v>1433</v>
          </cell>
          <cell r="B97" t="str">
            <v>Navritu Kaushal Rai-- After 5:30 PM</v>
          </cell>
          <cell r="C97">
            <v>9818603355</v>
          </cell>
          <cell r="D97" t="str">
            <v>H. No. 3403, 1st Floor, Sec 23</v>
          </cell>
          <cell r="E97" t="str">
            <v>Old Gurgaon</v>
          </cell>
          <cell r="F97" t="str">
            <v>Friday</v>
          </cell>
          <cell r="G97" t="str">
            <v>4 PM to 7PM</v>
          </cell>
          <cell r="H97">
            <v>1450</v>
          </cell>
          <cell r="I97">
            <v>362.5</v>
          </cell>
          <cell r="J97" t="str">
            <v>Bliss</v>
          </cell>
          <cell r="K97"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97" t="str">
            <v>Lily</v>
          </cell>
          <cell r="M97" t="str">
            <v>No White</v>
          </cell>
          <cell r="N97" t="str">
            <v>1  del of this cycle   -  1-cycles pmnt   Pending - Collect 1450</v>
          </cell>
          <cell r="O97" t="str">
            <v>P n W Glad ( 14 Inch ) 9     Grass</v>
          </cell>
          <cell r="P97" t="str">
            <v>P Spray Daisy ( 14 Inch ) 3     FF Sachet + Grass</v>
          </cell>
          <cell r="Q97" t="str">
            <v>Pur n P Car ( 14 Inch ) 9     FF Sachet + Grass</v>
          </cell>
          <cell r="R97" t="str">
            <v xml:space="preserve">Mix Alstroemeria ( 12 Inch ) 9    FF Sachet + Grass </v>
          </cell>
          <cell r="S97" t="str">
            <v>Pur Eustoma ( 12 Inch ) 2     FF aschet + Grass</v>
          </cell>
          <cell r="T97" t="str">
            <v>P n W Glad ( 14 Inch ) 16     Grass</v>
          </cell>
        </row>
        <row r="98">
          <cell r="A98">
            <v>3397</v>
          </cell>
          <cell r="B98" t="str">
            <v>Sunita Dogra</v>
          </cell>
          <cell r="C98">
            <v>9810520716</v>
          </cell>
          <cell r="D98" t="str">
            <v>K-1431, K Block, Palam Vihar</v>
          </cell>
          <cell r="E98" t="str">
            <v>Old Gurgaon</v>
          </cell>
          <cell r="F98" t="str">
            <v>Friday</v>
          </cell>
          <cell r="G98" t="str">
            <v>4 PM to 7PM</v>
          </cell>
          <cell r="H98">
            <v>1450</v>
          </cell>
          <cell r="I98">
            <v>362.5</v>
          </cell>
          <cell r="J98" t="str">
            <v>Bliss</v>
          </cell>
          <cell r="N98" t="str">
            <v>1  del of this cycle   -  1-cycles pmnt   Pending - Collect 1450</v>
          </cell>
          <cell r="O98" t="e">
            <v>#N/A</v>
          </cell>
          <cell r="P98" t="e">
            <v>#N/A</v>
          </cell>
          <cell r="Q98" t="e">
            <v>#N/A</v>
          </cell>
          <cell r="R98" t="e">
            <v>#N/A</v>
          </cell>
          <cell r="S98" t="e">
            <v>#N/A</v>
          </cell>
          <cell r="T98" t="str">
            <v>Pur n P Car ( 14 Inch ) 16     FF Sachet + Grass</v>
          </cell>
        </row>
        <row r="99">
          <cell r="A99">
            <v>3119</v>
          </cell>
          <cell r="B99" t="str">
            <v>Rachna Prasad</v>
          </cell>
          <cell r="C99">
            <v>9811106435</v>
          </cell>
          <cell r="D99" t="str">
            <v>N-3/202, Paras Irene Appartments, Sec 70 A</v>
          </cell>
          <cell r="E99" t="str">
            <v>Badshahpur</v>
          </cell>
          <cell r="F99" t="str">
            <v>Friday</v>
          </cell>
          <cell r="G99" t="str">
            <v>4 Pm to 7 PM</v>
          </cell>
          <cell r="H99">
            <v>1450</v>
          </cell>
          <cell r="I99">
            <v>362.5</v>
          </cell>
          <cell r="J99" t="str">
            <v>Bliss</v>
          </cell>
          <cell r="K99" t="str">
            <v>1000 cash and 450 via paytm (01/11) This week send on Sunday (09/02) Paytm From Outside Edge (28/02) Replacement tom (09/03)</v>
          </cell>
          <cell r="M99" t="str">
            <v>No Flowers on 13th -send on 15th Feb (09/02)</v>
          </cell>
          <cell r="N99" t="str">
            <v>4  del of this cycle   -  0-cycles pmnt   Completed - Collect 0</v>
          </cell>
          <cell r="O99" t="str">
            <v>O Asiatic ( 15 Inch ) 2 Mix Alstroemeria ( 12 Inch )  7   Grass</v>
          </cell>
          <cell r="P99" t="str">
            <v>Y Spray Daisy ( 14 Inch ) 3 P n W Glad ( 14 Inch ) 7   FF Sachet + Grass</v>
          </cell>
          <cell r="Q99" t="str">
            <v>Sunflower ( 12 Inch ) 2 Pur n P Car ( 14 Inch ) 7   FF Sachet + Grass</v>
          </cell>
          <cell r="R99" t="str">
            <v xml:space="preserve">Pur Eustom ( 12 Inch ) 2 Mix Alstroemeria (  12 Inch ) 7  FF Sachet + Grass </v>
          </cell>
          <cell r="S99" t="str">
            <v>P Asiatic ( 14 Inch ) 2 Glad ( 14 Inch ) 7   Grass</v>
          </cell>
          <cell r="T99" t="str">
            <v>Sunflower ( 12 Inch ) 2 P n W Car ( 14 Inch ) 7   FF Sachet + Grass</v>
          </cell>
        </row>
        <row r="100">
          <cell r="A100">
            <v>2858</v>
          </cell>
          <cell r="B100" t="str">
            <v>Devika Tandon</v>
          </cell>
          <cell r="C100">
            <v>8527991304</v>
          </cell>
          <cell r="D100" t="str">
            <v>A-293, AIPL The Peaceful Homes</v>
          </cell>
          <cell r="E100" t="str">
            <v>Badshahpur</v>
          </cell>
          <cell r="F100" t="str">
            <v>Friday</v>
          </cell>
          <cell r="G100" t="str">
            <v>4 PM to 7PM</v>
          </cell>
          <cell r="H100">
            <v>1450</v>
          </cell>
          <cell r="I100">
            <v>362.5</v>
          </cell>
          <cell r="J100" t="str">
            <v>Bliss</v>
          </cell>
          <cell r="N100" t="str">
            <v>3  del of this cycle   -  0-cycles pmnt   Completed - Collect 0</v>
          </cell>
          <cell r="O100" t="str">
            <v>O Asiatic ( 15 Inch ) 3     Grass</v>
          </cell>
          <cell r="P100" t="str">
            <v>P n W Glad ( 14 Inch ) 16     Grass</v>
          </cell>
          <cell r="Q100" t="str">
            <v>P n Y Spray Daisy ( 14 Inch ) 5     FF Sachet + Grass</v>
          </cell>
          <cell r="R100" t="str">
            <v xml:space="preserve">P Eustoma ( 12 Inch ) 3    FF Sachet + Grass </v>
          </cell>
          <cell r="S100" t="str">
            <v>P n W Car ( 14 Inch ) 16     FF sachet + Grass</v>
          </cell>
          <cell r="T100" t="str">
            <v>W Asiatic ( 14 Inch ) 3     Grass</v>
          </cell>
        </row>
        <row r="101">
          <cell r="A101">
            <v>3368</v>
          </cell>
          <cell r="B101" t="str">
            <v>Sugandha Goyal</v>
          </cell>
          <cell r="C101">
            <v>9971681194</v>
          </cell>
          <cell r="D101" t="str">
            <v>T-15/3C, Central Park Resorts</v>
          </cell>
          <cell r="E101" t="str">
            <v>Sohna Road 2</v>
          </cell>
          <cell r="F101" t="str">
            <v>Monday</v>
          </cell>
          <cell r="G101" t="str">
            <v>9 AM - 12 PM</v>
          </cell>
          <cell r="H101">
            <v>2300</v>
          </cell>
          <cell r="I101">
            <v>287.5</v>
          </cell>
          <cell r="J101" t="str">
            <v>Felicity</v>
          </cell>
          <cell r="K101" t="str">
            <v>HDTNP (26/06)</v>
          </cell>
          <cell r="N101" t="str">
            <v>5  del of this cycle   -  0-cycles pmnt   Completed - Collect 0</v>
          </cell>
          <cell r="O101" t="str">
            <v>O Asiatic ( 15 Inch ) 2     Grass</v>
          </cell>
          <cell r="P101" t="str">
            <v>P Spray Daisy ( 14 Inch ) 3     FF Sachet + Grass</v>
          </cell>
          <cell r="Q101" t="str">
            <v>Mix Alstroemeria ( 12 Inch ) 11     FF Sachet + Grass</v>
          </cell>
          <cell r="R101" t="str">
            <v>P Asiatic ( 14 Inch ) 2     Grass</v>
          </cell>
          <cell r="S101" t="e">
            <v>#N/A</v>
          </cell>
          <cell r="T101" t="str">
            <v>Sunflower ( 12 Inch ) 3     FF Sachet + Grass</v>
          </cell>
        </row>
        <row r="102">
          <cell r="A102">
            <v>2519</v>
          </cell>
          <cell r="B102" t="str">
            <v>Radhika Marwah</v>
          </cell>
          <cell r="C102">
            <v>9972167341</v>
          </cell>
          <cell r="D102" t="str">
            <v>F-501, Mapsko Mountville, Sec 79</v>
          </cell>
          <cell r="E102" t="str">
            <v>Badshahpur</v>
          </cell>
          <cell r="F102" t="str">
            <v>Friday</v>
          </cell>
          <cell r="G102" t="str">
            <v>4 Pm to 7 PM</v>
          </cell>
          <cell r="H102">
            <v>1450</v>
          </cell>
          <cell r="I102">
            <v>362.5</v>
          </cell>
          <cell r="J102" t="str">
            <v>Bliss</v>
          </cell>
          <cell r="K102" t="str">
            <v>Hold till 2nd July (07/06)</v>
          </cell>
          <cell r="N102" t="str">
            <v>1  del of this cycle   -  1-cycles pmnt   Pending - Collect 1450</v>
          </cell>
          <cell r="O102" t="str">
            <v>P Asiatic ( 15 Inch ) 2 Mix Alstroemeria ( 12 Inch )  7   Grass</v>
          </cell>
          <cell r="P102" t="str">
            <v>Pur Eustom ( 14 Inch ) 2 P n W Glad ( 14 Inch ) 7   FF Sachet + Grass</v>
          </cell>
          <cell r="Q102" t="e">
            <v>#N/A</v>
          </cell>
          <cell r="R102" t="e">
            <v>#N/A</v>
          </cell>
          <cell r="S102" t="e">
            <v>#N/A</v>
          </cell>
          <cell r="T102" t="str">
            <v>Sunflower ( 12 Inch ) 2 Pur n P Car ( 14 Inch ) 7   FF Sachet + Grass</v>
          </cell>
        </row>
        <row r="103">
          <cell r="A103">
            <v>2806</v>
          </cell>
          <cell r="B103" t="str">
            <v>Anubhi</v>
          </cell>
          <cell r="C103">
            <v>8800423311</v>
          </cell>
          <cell r="D103" t="str">
            <v>T-10/6C, Central Park Resort</v>
          </cell>
          <cell r="E103" t="str">
            <v>Sohna Road 2</v>
          </cell>
          <cell r="F103" t="str">
            <v>Friday</v>
          </cell>
          <cell r="G103" t="str">
            <v>9 AM to 2 PM</v>
          </cell>
          <cell r="H103">
            <v>1450</v>
          </cell>
          <cell r="I103">
            <v>362.5</v>
          </cell>
          <cell r="J103" t="str">
            <v>Bliss</v>
          </cell>
          <cell r="K103" t="str">
            <v>1st del tom n then every Friday and Never Roses (19/07) Hold due to non payment (23/01) Start from Mar (12/02) HDTNP (13/03)</v>
          </cell>
          <cell r="L103" t="str">
            <v>Rose</v>
          </cell>
          <cell r="N103" t="str">
            <v>1  del of this cycle   -  1-cycles pmnt   Pending - Collect 1450</v>
          </cell>
          <cell r="O103" t="str">
            <v>O Asiatic ( 15 Inch ) 2     Grass</v>
          </cell>
          <cell r="P103" t="e">
            <v>#N/A</v>
          </cell>
          <cell r="Q103" t="e">
            <v>#N/A</v>
          </cell>
          <cell r="R103" t="e">
            <v>#N/A</v>
          </cell>
          <cell r="S103" t="e">
            <v>#N/A</v>
          </cell>
          <cell r="T103" t="str">
            <v>Pur n P Car ( 14 Inch ) 16     FF Sachet + Grass</v>
          </cell>
        </row>
        <row r="104">
          <cell r="A104">
            <v>2674</v>
          </cell>
          <cell r="B104" t="str">
            <v>Jaspreet Dhillon</v>
          </cell>
          <cell r="C104">
            <v>9971159399</v>
          </cell>
          <cell r="D104" t="str">
            <v>T-2/204, Uniworld Garden -1</v>
          </cell>
          <cell r="E104" t="str">
            <v>Sohna Road 1</v>
          </cell>
          <cell r="F104" t="str">
            <v>Friday</v>
          </cell>
          <cell r="G104" t="str">
            <v>9 AM - 12 PM</v>
          </cell>
          <cell r="H104">
            <v>999</v>
          </cell>
          <cell r="I104">
            <v>249.75</v>
          </cell>
          <cell r="J104" t="str">
            <v>Delight</v>
          </cell>
          <cell r="K104" t="str">
            <v>Send a message on Sunday to start // Start next cycle from Friday (19/09) Today Returned (26/09) No Sunflower (08/11) Hold today (28/11) Hold tom (11/12) Skip 1 week (16/12) Skip 1 week (11/01) Hold due to non payment (30/01 Hold due to non payment (06/02) Hold due to non payment (13/02) HDTNP (20/02) Skip 1 week (02/04) Skip 1 week (23/04) HDTNP (08/05) Skip 1 week (17/05)</v>
          </cell>
          <cell r="L104" t="str">
            <v>Sunflower</v>
          </cell>
          <cell r="N104" t="str">
            <v>4  del of this cycle   -  0-cycles pmnt   Completed - Collect 0</v>
          </cell>
          <cell r="O104" t="str">
            <v>P n W Glad ( 14 Inch ) 9     Grass</v>
          </cell>
          <cell r="P104" t="str">
            <v>P Asiatic ( 14 Inch ) 2     Grass</v>
          </cell>
          <cell r="Q104" t="str">
            <v>Mix Alstroemeria ( 12 Inch ) 9     FF Sachet + Grass</v>
          </cell>
          <cell r="R104" t="str">
            <v xml:space="preserve">P Spray Daisy ( 14 Inch ) 3    FF Sachet + Grass </v>
          </cell>
          <cell r="S104" t="str">
            <v>Pur Eustoma ( 12 Inch ) 9     FF aschet + Grass</v>
          </cell>
          <cell r="T104" t="str">
            <v>Pur n P Car ( 14 Inch ) 9     FF Sachet + Grass</v>
          </cell>
        </row>
        <row r="105">
          <cell r="A105">
            <v>139</v>
          </cell>
          <cell r="B105" t="str">
            <v>Mr. Pramod Narula 2</v>
          </cell>
          <cell r="C105">
            <v>9899048440</v>
          </cell>
          <cell r="D105" t="str">
            <v>Ww-57, Ground floor, Malibu Town, Sohna Road    Sohna Road Gurgaon  </v>
          </cell>
          <cell r="E105" t="str">
            <v>Sohna Road 1</v>
          </cell>
          <cell r="F105" t="str">
            <v>Friday</v>
          </cell>
          <cell r="G105" t="str">
            <v>9 AM - 12 PM</v>
          </cell>
          <cell r="H105">
            <v>4750</v>
          </cell>
          <cell r="I105">
            <v>1187.5</v>
          </cell>
          <cell r="J105" t="str">
            <v>Enchantment</v>
          </cell>
          <cell r="K105"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05" t="str">
            <v>lilies n Glad</v>
          </cell>
          <cell r="N105" t="str">
            <v>1  del of this cycle   -  1-cycles pmnt   Pending - Collect 4750</v>
          </cell>
          <cell r="O105" t="str">
            <v>Sunflower ( 14 Inch ) 6 R n W Car ( 14 Inch ) 18 Mix Alstroemeria ( 12 Inch ) 18 FF Sachet + Grass</v>
          </cell>
          <cell r="P105" t="str">
            <v>P n Y Spray Daisy ( 14 Inch ) 10 P n W Glad ( 14 Inch ) 18 P n W Car ( 14 Inch ) 18 Grass</v>
          </cell>
          <cell r="Q105" t="str">
            <v>W Asiatic ( 14 inch ) 6 Mix Alstroemeria ( 12 Inch ) 18 Pur n P Car ( 14 Inch ) 18 Grass</v>
          </cell>
          <cell r="R105" t="str">
            <v>Sunflower ( 12 Inch ) 6 P n W Glad ( 14 Inch ) 18 Rajni ( 14 Inch ) 18 Grass</v>
          </cell>
          <cell r="S105" t="str">
            <v>P n W Spray Daisy 8 P n W Car ( 14 Inch ) 18 Glad ( 14 Inch ) 18 Grass</v>
          </cell>
          <cell r="T105" t="str">
            <v>O Asiatic ( 14 Inch ) 6 Rajni ( 14 Inch ) 18 Pur n P Car ( 14 Inch ) 18 Grass</v>
          </cell>
        </row>
        <row r="106">
          <cell r="A106">
            <v>3391</v>
          </cell>
          <cell r="B106" t="str">
            <v>Prabudh Vaidya</v>
          </cell>
          <cell r="C106">
            <v>9013524554</v>
          </cell>
          <cell r="D106" t="str">
            <v>T-B/503, Shree Vardhman Mantra, Sec 67</v>
          </cell>
          <cell r="E106" t="str">
            <v>Badshahpur</v>
          </cell>
          <cell r="F106" t="str">
            <v>Friday</v>
          </cell>
          <cell r="G106" t="str">
            <v>9 AM - 12 PM</v>
          </cell>
          <cell r="H106">
            <v>1450</v>
          </cell>
          <cell r="I106">
            <v>362.5</v>
          </cell>
          <cell r="J106" t="str">
            <v>Bliss</v>
          </cell>
          <cell r="N106" t="str">
            <v>2  del of this cycle   -  0-cycles pmnt   Completed - Collect 0</v>
          </cell>
          <cell r="O106" t="e">
            <v>#N/A</v>
          </cell>
          <cell r="P106" t="e">
            <v>#N/A</v>
          </cell>
          <cell r="Q106" t="e">
            <v>#N/A</v>
          </cell>
          <cell r="R106" t="e">
            <v>#N/A</v>
          </cell>
          <cell r="S106" t="str">
            <v>Pur n P Car ( 14 Inch ) 16     FF sachet + Grass</v>
          </cell>
          <cell r="T106" t="str">
            <v>P Asiatic ( 14 Inch ) 3     Grass</v>
          </cell>
        </row>
        <row r="107">
          <cell r="A107">
            <v>2976</v>
          </cell>
          <cell r="B107" t="str">
            <v>Monika Dubey</v>
          </cell>
          <cell r="C107">
            <v>6350565083</v>
          </cell>
          <cell r="D107" t="str">
            <v>H-1101, Tower-H, Mapsko Mountville, Sec 79</v>
          </cell>
          <cell r="E107" t="str">
            <v>Badshahpur</v>
          </cell>
          <cell r="F107" t="str">
            <v>Friday</v>
          </cell>
          <cell r="G107" t="str">
            <v>4 Pm to 7 PM</v>
          </cell>
          <cell r="H107">
            <v>1450</v>
          </cell>
          <cell r="I107">
            <v>362.5</v>
          </cell>
          <cell r="J107" t="str">
            <v>Bliss</v>
          </cell>
          <cell r="K107" t="str">
            <v>2 Premium and 2 Seasonal // Yesterday returned (11/10) Skip 1 week (25/06)</v>
          </cell>
          <cell r="N107" t="str">
            <v>4  del of this cycle   -  0-cycles pmnt   Completed - Collect 0</v>
          </cell>
          <cell r="O107" t="e">
            <v>#N/A</v>
          </cell>
          <cell r="P107" t="str">
            <v>P n W Car ( 14 Inch ) 16     FF Sachet + Grass</v>
          </cell>
          <cell r="Q107" t="str">
            <v>Y Asiatic ( 14 Inch ) 3     Grass</v>
          </cell>
          <cell r="R107" t="str">
            <v xml:space="preserve">P n W Glad ( 14 Inch ) 16    Grass </v>
          </cell>
          <cell r="S107" t="e">
            <v>#N/A</v>
          </cell>
          <cell r="T107" t="str">
            <v>Sunflower ( 12 Inch ) 4     FF Sachet + Grass</v>
          </cell>
        </row>
        <row r="108">
          <cell r="A108" t="str">
            <v>M00008</v>
          </cell>
          <cell r="B108" t="str">
            <v>Pooja Tripathi</v>
          </cell>
          <cell r="C108">
            <v>8800700522</v>
          </cell>
          <cell r="D108" t="str">
            <v>21 st Floor Trehan Sec 71 One Good Earth</v>
          </cell>
          <cell r="E108" t="str">
            <v>Nirvana Country</v>
          </cell>
          <cell r="F108" t="str">
            <v>Thursday</v>
          </cell>
          <cell r="G108" t="str">
            <v>9 AM - 12 PM</v>
          </cell>
          <cell r="H108">
            <v>3650</v>
          </cell>
          <cell r="I108">
            <v>912.5</v>
          </cell>
          <cell r="J108" t="str">
            <v>Mixed Bunch</v>
          </cell>
          <cell r="K108" t="str">
            <v>6 Lotus and 100 Gm Mogra</v>
          </cell>
          <cell r="N108" t="str">
            <v>1  del of this cycle   -  1-cycles pmnt   Pending - Collect 3650</v>
          </cell>
          <cell r="O108" t="str">
            <v>Mix Oriental  4 Mix Alstroemeria ( 12 Inch )  20 Shd Pur n P Car 15 2 Gypsola</v>
          </cell>
          <cell r="P108" t="e">
            <v>#N/A</v>
          </cell>
          <cell r="Q108" t="str">
            <v>Mix Oriental + Mix Alstroemeria + Mix Car 4 + 15 + 15     2 Gypsola + FF Sachet</v>
          </cell>
          <cell r="R108" t="str">
            <v>Mix Oriental  4 P n W Glad ( 14 Inch ) 10 Rajni ( 14 Inch ) 10 Grass</v>
          </cell>
          <cell r="S108" t="e">
            <v>#N/A</v>
          </cell>
          <cell r="T108" t="str">
            <v xml:space="preserve">Rajni ( 14 Inch ) + Pur n P Car ( 14 Inch ) 12 + 12 Mix Oriental ( 15 Inch ) 4  Pls Collect Newspaper </v>
          </cell>
        </row>
        <row r="109">
          <cell r="A109" t="str">
            <v>B56343</v>
          </cell>
          <cell r="B109" t="str">
            <v>Ruchi mathure</v>
          </cell>
          <cell r="C109">
            <v>9871265555</v>
          </cell>
          <cell r="D109" t="str">
            <v>D-013, Westend height, DLF-5</v>
          </cell>
          <cell r="E109" t="str">
            <v>DLF Phase 5</v>
          </cell>
          <cell r="F109" t="str">
            <v>Friday</v>
          </cell>
          <cell r="G109" t="str">
            <v>By 10 AM</v>
          </cell>
          <cell r="H109">
            <v>1240</v>
          </cell>
          <cell r="I109">
            <v>1240</v>
          </cell>
          <cell r="J109" t="str">
            <v>Bouquet</v>
          </cell>
          <cell r="K109" t="str">
            <v>1) 4 Car and 4 Lilies    2) 4 Gerbera     3) 3 Rajni</v>
          </cell>
          <cell r="N109" t="str">
            <v>1  del of this cycle   -  1-cycles pmnt   Pending - Collect 1240</v>
          </cell>
          <cell r="O109" t="e">
            <v>#N/A</v>
          </cell>
          <cell r="P109" t="e">
            <v>#N/A</v>
          </cell>
          <cell r="Q109" t="e">
            <v>#N/A</v>
          </cell>
          <cell r="R109" t="e">
            <v>#N/A</v>
          </cell>
          <cell r="S109" t="e">
            <v>#N/A</v>
          </cell>
          <cell r="T109" t="str">
            <v>( P Car + P Asiatic ) + ( Y Gerbera ) + ( Rajni ) ( 4 + 4 ) + ( 4 ) + ( 3 )     Areca Palm + Grass</v>
          </cell>
        </row>
        <row r="110">
          <cell r="A110">
            <v>2775</v>
          </cell>
          <cell r="B110" t="str">
            <v>Sreeparna Ghosh</v>
          </cell>
          <cell r="C110">
            <v>9711590494</v>
          </cell>
          <cell r="D110" t="str">
            <v>H-701, Mapsko Mountville, Sec 79</v>
          </cell>
          <cell r="E110" t="str">
            <v>Badshahpur</v>
          </cell>
          <cell r="F110" t="str">
            <v>Friday</v>
          </cell>
          <cell r="G110" t="str">
            <v>4 PM to 7PM</v>
          </cell>
          <cell r="H110">
            <v>1950</v>
          </cell>
          <cell r="I110">
            <v>487.5</v>
          </cell>
          <cell r="J110" t="str">
            <v>Bliss</v>
          </cell>
          <cell r="K110" t="str">
            <v>Send 1 W Asiatic as replacement (30/08) Skip 1 week (06/09) Returned-send next week (03/10) Send replacement of Gerbera tom (02/12) Skip 1 week (20/12) Upgarde to Joy from next cycle and mixed (20/02) Upgrade to Joy and skip 1 week (05/03)</v>
          </cell>
          <cell r="M110" t="str">
            <v>Upgarde to Joy from next cycle and mixed (20/02)</v>
          </cell>
          <cell r="N110" t="str">
            <v>1  del of this cycle   -  1-cycles pmnt   Pending - Collect 1950</v>
          </cell>
          <cell r="O110" t="str">
            <v>O Asiatic ( 15 Inch ) 2 Spray Carnation 10   Grass</v>
          </cell>
          <cell r="P110" t="str">
            <v>Pur Eustom ( 14 Inch ) 2 P n W Glad ( 14 Inch ) 11   FF Sachet + Grass</v>
          </cell>
          <cell r="Q110" t="str">
            <v>Sunflower ( 12 Inch ) 3 Mix Alstroemeria ( 12 Inch ) 11   FF Sachet + Grass</v>
          </cell>
          <cell r="R110" t="str">
            <v>P Asiatic ( 14 Inch ) 4     Grass</v>
          </cell>
          <cell r="S110" t="str">
            <v>Y Spray Daisy ( 14 Inch ) 4 Glad ( 14 Inch ) 11   FF Sachet + Grass</v>
          </cell>
          <cell r="T110" t="str">
            <v>Eustoma 2 Pur n P Car ( 14 Inch ) 11   FF Sachet + Grass</v>
          </cell>
        </row>
        <row r="111">
          <cell r="A111">
            <v>2708</v>
          </cell>
          <cell r="B111" t="str">
            <v>Monica Bakshi</v>
          </cell>
          <cell r="C111">
            <v>9730543073</v>
          </cell>
          <cell r="D111" t="str">
            <v>K-1005, Palm Drive</v>
          </cell>
          <cell r="E111" t="str">
            <v>Badshahpur</v>
          </cell>
          <cell r="F111" t="str">
            <v>Friday</v>
          </cell>
          <cell r="G111" t="str">
            <v>9 AM - 12 PM</v>
          </cell>
          <cell r="H111">
            <v>999</v>
          </cell>
          <cell r="I111">
            <v>249.75</v>
          </cell>
          <cell r="J111" t="str">
            <v>Delight</v>
          </cell>
          <cell r="K111" t="str">
            <v>No Gerbera (02/12)</v>
          </cell>
          <cell r="L111" t="str">
            <v xml:space="preserve">GERBERA </v>
          </cell>
          <cell r="N111" t="str">
            <v>4  del of this cycle   -  0-cycles pmnt   Completed - Collect 0</v>
          </cell>
          <cell r="O111" t="str">
            <v>P n W Glad ( 14 Inch ) 9     Grass</v>
          </cell>
          <cell r="P111" t="str">
            <v>Y Spray Daisy ( 14 Inch ) 3     FF Sachet + Grass</v>
          </cell>
          <cell r="Q111" t="str">
            <v>Pur n P Car ( 14 Inch ) 9     FF Sachet + Grass</v>
          </cell>
          <cell r="R111" t="str">
            <v xml:space="preserve">Mix Alstroemeria ( 12 Inch ) 9    FF Sachet + Grass </v>
          </cell>
          <cell r="S111" t="str">
            <v>O Asiatic ( 14 Inch ) 2     Grass</v>
          </cell>
          <cell r="T111" t="str">
            <v>P n W Glad ( 14 Inch ) 9     Grass</v>
          </cell>
        </row>
        <row r="112">
          <cell r="A112">
            <v>2832</v>
          </cell>
          <cell r="B112" t="str">
            <v>Anshu Mittal Roy</v>
          </cell>
          <cell r="C112" t="str">
            <v xml:space="preserve"> 97172 00986</v>
          </cell>
          <cell r="D112" t="str">
            <v xml:space="preserve"> B203 Godrej 101, Sector 79
</v>
          </cell>
          <cell r="E112" t="str">
            <v>Badshahpur</v>
          </cell>
          <cell r="F112" t="str">
            <v>Friday</v>
          </cell>
          <cell r="G112" t="str">
            <v>4 Pm to 7 PM</v>
          </cell>
          <cell r="H112">
            <v>1450</v>
          </cell>
          <cell r="I112">
            <v>362.5</v>
          </cell>
          <cell r="J112" t="str">
            <v>Bliss</v>
          </cell>
          <cell r="K112" t="str">
            <v>15 % Discount (26/07) 3 Month with 10% discount (24/08) Skip 1 week (19/12) Skip 1 week (19/02) Skip 2 week (16/05) Today Returned (12/06) Hold today (19/06)</v>
          </cell>
          <cell r="N112" t="str">
            <v>4  del of this cycle   -  0-cycles pmnt   Completed - Collect 0</v>
          </cell>
          <cell r="O112" t="e">
            <v>#N/A</v>
          </cell>
          <cell r="P112" t="str">
            <v>Y Spray Daisy ( 14 Inch ) 3 P n W Car ( 14 Inch ) 7   FF Sachet + Grass</v>
          </cell>
          <cell r="Q112" t="str">
            <v>Pur Eustoma ( 12 Inch ) 2 P n W Glad ( 14 Inch ) 7   FF Sachet + Grass</v>
          </cell>
          <cell r="R112" t="str">
            <v xml:space="preserve">O Asiatic ( 14 Inch ) 2 Mix Alstroemeria (  12 Inch ) 7  Grass </v>
          </cell>
          <cell r="S112" t="str">
            <v>O Asiatic ( 14 Inch ) 2 Mix Alstroemeria ( 12 Inch ) 7   Grass</v>
          </cell>
          <cell r="T112" t="str">
            <v>Sunflower ( 12 Inch ) 2 Pur n P Car ( 14 Inch ) 7   FF Sachet + Grass</v>
          </cell>
        </row>
        <row r="113">
          <cell r="A113">
            <v>2798</v>
          </cell>
          <cell r="B113" t="str">
            <v>Priya Chaturvedi</v>
          </cell>
          <cell r="C113">
            <v>9999283603</v>
          </cell>
          <cell r="D113" t="str">
            <v>D-2003, Bestech Alturea, Sec 79</v>
          </cell>
          <cell r="E113" t="str">
            <v>Manesar</v>
          </cell>
          <cell r="F113" t="str">
            <v>Friday</v>
          </cell>
          <cell r="G113" t="str">
            <v>4 Pm to 7 PM</v>
          </cell>
          <cell r="H113">
            <v>1450</v>
          </cell>
          <cell r="I113">
            <v>362.5</v>
          </cell>
          <cell r="J113" t="str">
            <v>Bliss</v>
          </cell>
          <cell r="K113" t="str">
            <v>Today Returned (08/08) {ayment From Chinmananda Devgoswami (25/10) Four Plus 1 Pack (15/04) Skip 1 week (07/05)</v>
          </cell>
          <cell r="N113" t="str">
            <v>2  del of this cycle   -  0-cycles pmnt   Completed - Collect 0</v>
          </cell>
          <cell r="O113" t="e">
            <v>#N/A</v>
          </cell>
          <cell r="P113" t="str">
            <v>O Asiatic ( 14 Inch ) 3     Grass</v>
          </cell>
          <cell r="Q113" t="str">
            <v>P n W Glad ( 14 Inch ) 16     Grass</v>
          </cell>
          <cell r="R113" t="str">
            <v xml:space="preserve">Pur Eustom ( 12 Inch ) 3    FF Sachet + Grass </v>
          </cell>
          <cell r="S113" t="str">
            <v>Alstromeria 16     FF sachet + Grass</v>
          </cell>
          <cell r="T113" t="str">
            <v>Pur n P Car ( 14 Inch ) 16     FF Sachet + Grass</v>
          </cell>
        </row>
        <row r="114">
          <cell r="A114">
            <v>2918</v>
          </cell>
          <cell r="B114" t="str">
            <v>Tina</v>
          </cell>
          <cell r="C114">
            <v>9212408077</v>
          </cell>
          <cell r="D114" t="str">
            <v>J-1603, Palm Drive</v>
          </cell>
          <cell r="E114" t="str">
            <v>Badshahpur</v>
          </cell>
          <cell r="F114" t="str">
            <v>Friday</v>
          </cell>
          <cell r="G114" t="str">
            <v>10 AM to 2:30 PM</v>
          </cell>
          <cell r="H114">
            <v>999</v>
          </cell>
          <cell r="I114">
            <v>249.75</v>
          </cell>
          <cell r="J114" t="str">
            <v>Delight</v>
          </cell>
          <cell r="K114" t="str">
            <v>From Radhika Neeraj Rathod//Colect cash (17/03) Paytm from Gureena Singh (29/08) Send tom n send on Monday this week (19/03) HDTNP (26/06)</v>
          </cell>
          <cell r="N114" t="str">
            <v>4  del of this cycle   -   0-cycles pmnt   Completed - Collect 0</v>
          </cell>
          <cell r="O114" t="str">
            <v>P Asiatic ( 15 Inch ) 2 Collect 1375 Carry Receipt Book   Grass</v>
          </cell>
          <cell r="P114" t="str">
            <v>P n W Car ( 14 Inch ) 9     FF Sachet + Grass</v>
          </cell>
          <cell r="Q114" t="str">
            <v>Mix Alstroemeria ( 12 Inch ) 9     FF Sachet + Grass</v>
          </cell>
          <cell r="R114" t="str">
            <v xml:space="preserve">O Asiatic ( 14 Inch ) 2    Grass </v>
          </cell>
          <cell r="S114" t="e">
            <v>#N/A</v>
          </cell>
          <cell r="T114" t="str">
            <v>P n W Glad ( 14 Inch ) 9     Grass</v>
          </cell>
        </row>
        <row r="115">
          <cell r="A115">
            <v>1377</v>
          </cell>
          <cell r="B115" t="str">
            <v>Geetanjali Babbar</v>
          </cell>
          <cell r="C115">
            <v>9958988852</v>
          </cell>
          <cell r="D115" t="str">
            <v>N-206, Sispal Vihar</v>
          </cell>
          <cell r="E115" t="str">
            <v>Sohna Road 1</v>
          </cell>
          <cell r="F115" t="str">
            <v>Friday</v>
          </cell>
          <cell r="G115" t="str">
            <v>9:30 Am to 2 PM</v>
          </cell>
          <cell r="H115">
            <v>2300</v>
          </cell>
          <cell r="I115">
            <v>287.5</v>
          </cell>
          <cell r="J115" t="str">
            <v>Felicity</v>
          </cell>
          <cell r="K115"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v>
          </cell>
          <cell r="M115" t="str">
            <v>Skip 18th n 21st Mar 25</v>
          </cell>
          <cell r="N115" t="str">
            <v>2  del of this cycle   -  1-cycles pmnt   Pending - Collect 2300</v>
          </cell>
          <cell r="O115" t="str">
            <v>O Asiatic ( 15 Inch ) 2   Collect payment Collect payment Grass</v>
          </cell>
          <cell r="P115" t="str">
            <v>Rajni ( 14 Inch ) 11     Grass</v>
          </cell>
          <cell r="Q115" t="str">
            <v>Pur n P Car ( 14 Inch ) 11     FF Sachet + Grass</v>
          </cell>
          <cell r="R115" t="str">
            <v>P n W Glad ( 14 Inch ) 11     Grass</v>
          </cell>
          <cell r="S115" t="e">
            <v>#N/A</v>
          </cell>
          <cell r="T115" t="str">
            <v>P Asiatic ( 14 Inch ) 2     Grass</v>
          </cell>
        </row>
        <row r="116">
          <cell r="A116">
            <v>87</v>
          </cell>
          <cell r="B116" t="str">
            <v>Deepak Kohli</v>
          </cell>
          <cell r="C116">
            <v>9716199110</v>
          </cell>
          <cell r="D116" t="str">
            <v>539/C, 4th Floor, H Block, Palam Vihar</v>
          </cell>
          <cell r="E116" t="str">
            <v>Old Gurgaon</v>
          </cell>
          <cell r="F116" t="str">
            <v>Friday</v>
          </cell>
          <cell r="G116" t="str">
            <v>4 PM to 7PM</v>
          </cell>
          <cell r="H116">
            <v>1450</v>
          </cell>
          <cell r="I116">
            <v>362.5</v>
          </cell>
          <cell r="J116" t="str">
            <v>Bliss</v>
          </cell>
          <cell r="K116" t="str">
            <v>Send 1 bunch Nargis From Amit n Pooja// Wish you a//Sending on 20th instaed of 21st,bcoz of Holi(18/03) Send 1 pack of FF(14/08) Time slot changed to Evening(18/09( Holy Change(16/03) Send tom (06/02)</v>
          </cell>
          <cell r="N116" t="str">
            <v>1  del of this cycle   -  0-cycles pmnt   In Process - Collect 0</v>
          </cell>
          <cell r="O116" t="str">
            <v>O Asiatic ( 15 Inch ) 3     Grass</v>
          </cell>
          <cell r="P116" t="str">
            <v>Pur n P Eustoma ( 14 Inch ) 3     FF Sachet + Grass</v>
          </cell>
          <cell r="Q116" t="str">
            <v>P n Y Spray Daisy ( 14 Inch ) 5     FF Sachet + Grass</v>
          </cell>
          <cell r="R116" t="str">
            <v xml:space="preserve">Mix Car 16    Grass </v>
          </cell>
          <cell r="S116" t="str">
            <v>Asiatic 3     Grass</v>
          </cell>
          <cell r="T116" t="str">
            <v>P n W Glad ( 14 Inch ) 16     Grass</v>
          </cell>
        </row>
        <row r="117">
          <cell r="B117" t="str">
            <v xml:space="preserve">Veena Bijlani </v>
          </cell>
          <cell r="C117" t="str">
            <v>98210 98989‬</v>
          </cell>
          <cell r="D117" t="str">
            <v>1 banglow Sadhna Enclave,
Panchsheel Park,
New Delhi 110017</v>
          </cell>
          <cell r="H117">
            <v>4150</v>
          </cell>
          <cell r="J117" t="str">
            <v>Bouquet</v>
          </cell>
          <cell r="K117" t="str">
            <v>Good morning. Please send something like this to 
Veena Bijlani 
I Sadhna Enclave,
Panchsheel Park,
New Delhi 110017
Happy birthday and God. Bless you always 
Auntie. With love from the Singh Clan
‪+91 98210 98989‬
Send today immediately from dimpi singh</v>
          </cell>
          <cell r="T117" t="str">
            <v>Asiatic Lilies and Carnations 12+20 pretty pink box. 1   Massage</v>
          </cell>
        </row>
        <row r="118">
          <cell r="B118" t="str">
            <v xml:space="preserve">96505 89989‬ </v>
          </cell>
          <cell r="C118" t="str">
            <v xml:space="preserve">96505 89989‬ </v>
          </cell>
          <cell r="D118" t="str">
            <v>1702, M3M Latitude,</v>
          </cell>
          <cell r="G118" t="str">
            <v>before 12pm</v>
          </cell>
          <cell r="H118">
            <v>1370</v>
          </cell>
          <cell r="J118" t="str">
            <v>Bouquet</v>
          </cell>
          <cell r="K118" t="str">
            <v>Address - 1702, M3M Latitude, M3M Golfestate, sector 65
Send today from ‪+91 96505 89989‬ before 12pm..</v>
          </cell>
          <cell r="T118" t="str">
            <v xml:space="preserve">Rose+ Eustoma +Carnation 4+3+1 envelope 1   </v>
          </cell>
        </row>
        <row r="119">
          <cell r="B119" t="str">
            <v xml:space="preserve"> 70111 07486</v>
          </cell>
          <cell r="C119" t="str">
            <v xml:space="preserve"> 70111 07486</v>
          </cell>
          <cell r="D119" t="str">
            <v>I-401 
Bestech parkview spa next
Sec 67</v>
          </cell>
          <cell r="H119">
            <v>600</v>
          </cell>
          <cell r="J119" t="str">
            <v>Bouquet</v>
          </cell>
          <cell r="K119" t="str">
            <v>I-401 
Bestech parkview spa next
Sec 67
+91 70111 07486
Message-
Lets kick off your birthday weekend Palku
Lots of love - Jo
Pls send 15 Rajnigandha in walkin tissue wrap today from Neelam Ahuja</v>
          </cell>
          <cell r="T119" t="str">
            <v xml:space="preserve">Rajni 15 Tissue Wrap Message   </v>
          </cell>
        </row>
        <row r="120">
          <cell r="B120" t="str">
            <v>Alka Gupta</v>
          </cell>
          <cell r="C120">
            <v>9899000452</v>
          </cell>
          <cell r="D120" t="str">
            <v>C 401 Heritage One 
Sector 62</v>
          </cell>
          <cell r="G120" t="str">
            <v xml:space="preserve">between 4:30-5:30 </v>
          </cell>
          <cell r="H120">
            <v>700</v>
          </cell>
          <cell r="J120" t="str">
            <v>Bouquet</v>
          </cell>
          <cell r="K120" t="str">
            <v>Send today between 4:30-5:30 
2 yellow aaiatic and one white oriental in tissue wrap 
Bahut zyada ferns nahi lagane hain, bas thode se 
To
Alka Gupta
9899000452
C 401
Heritage One 
Sector 62
700 received</v>
          </cell>
          <cell r="T120" t="str">
            <v xml:space="preserve">Y Asiatic+ W Oriental 2+1 Tissue Wrap    </v>
          </cell>
        </row>
        <row r="121">
          <cell r="B121" t="str">
            <v>Renu cak story</v>
          </cell>
          <cell r="C121" t="str">
            <v>Renu cak story</v>
          </cell>
          <cell r="D121" t="str">
            <v>Renu cak story is sending someone at warehouse</v>
          </cell>
          <cell r="H121">
            <v>120</v>
          </cell>
          <cell r="J121" t="str">
            <v>Bouquet</v>
          </cell>
          <cell r="K121" t="str">
            <v>[3:33 PM, 7/3/2026] Bmf Office: Pls arrange 3 stems of these and one gypsola — Renu cak story is sending someone at warehouse
[3:33 PM, 7/3/2026] Bmf Office: Pls arrange 3 stems of these and one gypsola — Renu cak story is sending someone at warehouse
2 purple and one pink</v>
          </cell>
          <cell r="T121" t="str">
            <v xml:space="preserve"> purple and one pink 2+1     </v>
          </cell>
        </row>
        <row r="122">
          <cell r="B122">
            <v>9599697063</v>
          </cell>
          <cell r="C122">
            <v>9599697063</v>
          </cell>
          <cell r="D122" t="str">
            <v>M23B Adani samsara</v>
          </cell>
          <cell r="G122" t="str">
            <v>Before 8</v>
          </cell>
          <cell r="H122">
            <v>600</v>
          </cell>
          <cell r="J122" t="str">
            <v>Bouquet</v>
          </cell>
          <cell r="N122" t="str">
            <v>Collect 600</v>
          </cell>
          <cell r="T122" t="str">
            <v>Rajni 14 R rose  1   Greens</v>
          </cell>
        </row>
        <row r="123">
          <cell r="B123" t="str">
            <v>Gunjan Malhotra</v>
          </cell>
          <cell r="C123">
            <v>9971518253</v>
          </cell>
          <cell r="D123" t="str">
            <v>H. No. 298C, 1st Floor, Block G, Sushant Lok-2</v>
          </cell>
          <cell r="H123">
            <v>245</v>
          </cell>
          <cell r="J123" t="str">
            <v>Bouquet</v>
          </cell>
          <cell r="T123" t="str">
            <v xml:space="preserve">Rajni 7     </v>
          </cell>
        </row>
        <row r="124">
          <cell r="B124" t="str">
            <v>95401 54023‬</v>
          </cell>
          <cell r="C124" t="str">
            <v>95401 54023‬</v>
          </cell>
          <cell r="D124" t="str">
            <v>N-238, 2nd floor, N Block, Mayfield Garden, sector 51, Gurugram</v>
          </cell>
          <cell r="H124">
            <v>300</v>
          </cell>
          <cell r="J124" t="str">
            <v>Bouquet</v>
          </cell>
          <cell r="K124" t="str">
            <v>Send today 
2 sunflowers in tissue wrap to 
‪+91 95401 54023‬
N-238, 2nd floor, N Block, Mayfield Garden, sector 51, Gurugram
GURUGRAM, HARYANA 122018
Uber charges will be paid by customer 
300 received for flowers</v>
          </cell>
          <cell r="T124" t="str">
            <v xml:space="preserve">Sunflower ( 12 Inch ) 2     </v>
          </cell>
        </row>
      </sheetData>
      <sheetData sheetId="3"/>
      <sheetData sheetId="4"/>
      <sheetData sheetId="5"/>
      <sheetData sheetId="6"/>
      <sheetData sheetId="7"/>
      <sheetData sheetId="8"/>
      <sheetData sheetId="9">
        <row r="2">
          <cell r="A2">
            <v>2389</v>
          </cell>
          <cell r="B2" t="str">
            <v>Sreyoshi  Maitra</v>
          </cell>
          <cell r="C2">
            <v>9711760109</v>
          </cell>
          <cell r="D2" t="str">
            <v>T-1/1706, M3M Heights, Sec 65</v>
          </cell>
          <cell r="E2" t="str">
            <v>Badshahpur</v>
          </cell>
          <cell r="F2" t="str">
            <v>Friday</v>
          </cell>
          <cell r="G2" t="str">
            <v>9 AM - 12 PM</v>
          </cell>
          <cell r="H2">
            <v>1950</v>
          </cell>
          <cell r="I2">
            <v>487.5</v>
          </cell>
          <cell r="J2" t="str">
            <v>Joy</v>
          </cell>
          <cell r="K2" t="str">
            <v>No Spray Daisy and Rajni // Payment from Mrittika Maitra (12/03) Send replacement of orchds tom (11/05) Today Returned (04/07) No eustoma (17/08) Hold today (24/10) Pls Send sunflowers on 9th Jan (12/12) HDTNP (13/03) Sent one del today (16/03) No Orchids (30/04) Today Returned (29/05)</v>
          </cell>
          <cell r="L2" t="str">
            <v>Orchids n Rajnigandha</v>
          </cell>
          <cell r="M2" t="str">
            <v>Sunflower on 9th Jan (12/12)</v>
          </cell>
          <cell r="N2" t="str">
            <v>2  del of this cycle   -  0-cycles pmnt   Completed - Collect 0</v>
          </cell>
          <cell r="O2" t="str">
            <v>Pur n P Eustoma ( 14 Inch ) 4     FF Sachet + Grass</v>
          </cell>
          <cell r="P2" t="str">
            <v>P n Y Spray Daisy ( 14 Inch ) 7     FF Sachet + Grass</v>
          </cell>
          <cell r="Q2" t="str">
            <v>P n W Glad ( 14 Inch ) 22     Grass</v>
          </cell>
          <cell r="R2" t="str">
            <v>O Asiatic ( 14 Inch ) 4     Grass</v>
          </cell>
          <cell r="S2" t="str">
            <v>Pur n P Car ( 14 Inch ) 22     FF Sachet + Grass</v>
          </cell>
          <cell r="T2" t="str">
            <v>Mix Alstroemeria ( 12 Inch ) 22     FF Sachet + Grass</v>
          </cell>
        </row>
        <row r="3">
          <cell r="A3">
            <v>3400</v>
          </cell>
          <cell r="B3" t="str">
            <v>Nishtha</v>
          </cell>
          <cell r="C3">
            <v>8527634071</v>
          </cell>
          <cell r="D3" t="str">
            <v>580, Upper Ground Floor, Sec 30, Jharsa -- Adjacent Veerji Motor World</v>
          </cell>
          <cell r="E3" t="str">
            <v>South City 1</v>
          </cell>
          <cell r="F3" t="str">
            <v>Saturday</v>
          </cell>
          <cell r="G3" t="str">
            <v>9 AM to 2 PM</v>
          </cell>
          <cell r="H3">
            <v>1950</v>
          </cell>
          <cell r="I3">
            <v>487.5</v>
          </cell>
          <cell r="J3" t="str">
            <v>Joy</v>
          </cell>
          <cell r="N3" t="str">
            <v>1  del of this cycle   -  0-cycles pmnt   Completed - Collect 0</v>
          </cell>
          <cell r="O3" t="e">
            <v>#N/A</v>
          </cell>
          <cell r="P3" t="e">
            <v>#N/A</v>
          </cell>
          <cell r="Q3" t="e">
            <v>#N/A</v>
          </cell>
          <cell r="R3" t="e">
            <v>#N/A</v>
          </cell>
          <cell r="S3" t="e">
            <v>#N/A</v>
          </cell>
          <cell r="T3" t="str">
            <v>G n W Car ( 14 Inch ) 22     FF Sachet + Grass</v>
          </cell>
        </row>
        <row r="4">
          <cell r="A4">
            <v>2991</v>
          </cell>
          <cell r="B4" t="str">
            <v>Smriti Singh Bhatia</v>
          </cell>
          <cell r="C4">
            <v>9818648787</v>
          </cell>
          <cell r="D4" t="str">
            <v>T-3/4201, M3M Heights, 65th Avenue, Sec 65</v>
          </cell>
          <cell r="E4" t="str">
            <v>Badshahpur</v>
          </cell>
          <cell r="F4" t="str">
            <v>Friday</v>
          </cell>
          <cell r="G4" t="str">
            <v>9 AM - 12 PM</v>
          </cell>
          <cell r="H4">
            <v>1450</v>
          </cell>
          <cell r="I4">
            <v>362.5</v>
          </cell>
          <cell r="J4" t="str">
            <v>Bliss</v>
          </cell>
          <cell r="K4" t="str">
            <v>Hold next week // Skip 2 week (22/12) Day Change to Friday (28/03) Paytm From Ravish Bhatia (17/04) HDTNP 915/05) HDTNP (22/05) HDTNP (29/05) Hold n start from July (17/06)</v>
          </cell>
          <cell r="N4" t="str">
            <v>2  del of this cycle   -  1-cycles pmnt   Pending - Collect 1450</v>
          </cell>
          <cell r="O4" t="str">
            <v>P n W Car ( 14 Inch ) 16     FF Sachet + Grass</v>
          </cell>
          <cell r="P4" t="str">
            <v>P n W Glad ( 14 Inch ) 16     Grass</v>
          </cell>
          <cell r="Q4" t="e">
            <v>#N/A</v>
          </cell>
          <cell r="R4" t="e">
            <v>#N/A</v>
          </cell>
          <cell r="S4" t="str">
            <v>G Spray Daisy ( 14 Inch ) 5     Grass</v>
          </cell>
          <cell r="T4" t="str">
            <v>Y Asiatic ( 14 Inch ) 3     Grass</v>
          </cell>
        </row>
        <row r="5">
          <cell r="A5">
            <v>3077</v>
          </cell>
          <cell r="B5" t="str">
            <v>Shweta Katiyar</v>
          </cell>
          <cell r="C5">
            <v>9999435065</v>
          </cell>
          <cell r="D5" t="str">
            <v>G-122, DLF Primus, Sec 82 A</v>
          </cell>
          <cell r="E5" t="str">
            <v>Manesar</v>
          </cell>
          <cell r="F5" t="str">
            <v>Friday</v>
          </cell>
          <cell r="G5" t="str">
            <v>4 PM to 7 PM</v>
          </cell>
          <cell r="H5">
            <v>1950</v>
          </cell>
          <cell r="I5">
            <v>487.5</v>
          </cell>
          <cell r="J5" t="str">
            <v>Joy</v>
          </cell>
          <cell r="K5" t="str">
            <v>No Eustoma// Skip tom (31/12/25) Replacement of guldawari tom (16/01)</v>
          </cell>
          <cell r="L5" t="str">
            <v>Eustoma</v>
          </cell>
          <cell r="N5" t="str">
            <v>3  del of this cycle   -  0-cycles pmnt   Completed - Collect 0</v>
          </cell>
          <cell r="O5" t="str">
            <v>Pur Eustom ( 14 Inch ) 2 Mix Alstroemeria ( 12 Inch ) 11   FF Sachet + Grass</v>
          </cell>
          <cell r="P5" t="str">
            <v>P n Y Spray Daisy ( 14 Inch ) 4 P n W Glad ( 14 Inch ) 11   FF Sachet + Grass</v>
          </cell>
          <cell r="Q5" t="str">
            <v>Eustoma  2 Pur n P Car ( 14 Inch ) 11   FF sachet + Grass</v>
          </cell>
          <cell r="R5" t="str">
            <v>Sunflower ( 12 Inch ) 3 Alstomeria( 12 Inch ) 11   FF Sachet + Grass</v>
          </cell>
          <cell r="S5" t="str">
            <v>W Asiatic ( 14 Inch ) 2 P n W Glad ( 14 Inch ) 11   Grass</v>
          </cell>
          <cell r="T5" t="str">
            <v>P n Y Spray Daisy ( 14 Inch ) 4 Rajni ( 14 Inch ) 11   FF Sachet + Grass</v>
          </cell>
        </row>
        <row r="6">
          <cell r="A6">
            <v>3229</v>
          </cell>
          <cell r="B6" t="str">
            <v>Anukriti Tiwari</v>
          </cell>
          <cell r="C6">
            <v>9766249975</v>
          </cell>
          <cell r="D6" t="str">
            <v>H. No. 2134, 2nd Floor, E Block, Ansal Essencia, Sec 67</v>
          </cell>
          <cell r="E6" t="str">
            <v>Badshahpur</v>
          </cell>
          <cell r="F6" t="str">
            <v>Friday</v>
          </cell>
          <cell r="G6" t="str">
            <v>10 AM to 2:30 PM</v>
          </cell>
          <cell r="H6">
            <v>1450</v>
          </cell>
          <cell r="I6">
            <v>362.5</v>
          </cell>
          <cell r="J6" t="str">
            <v>Bliss</v>
          </cell>
          <cell r="K6" t="str">
            <v>Paytm From Sankalp Adhyapak (20/01) Returen today and sned on Monday (23/01)</v>
          </cell>
          <cell r="N6" t="str">
            <v>1  del of this cycle   -  1-cycles pmnt   Pending - Collect 1450</v>
          </cell>
          <cell r="O6" t="e">
            <v>#N/A</v>
          </cell>
          <cell r="P6" t="e">
            <v>#N/A</v>
          </cell>
          <cell r="Q6" t="e">
            <v>#N/A</v>
          </cell>
          <cell r="R6" t="e">
            <v>#N/A</v>
          </cell>
          <cell r="S6" t="e">
            <v>#N/A</v>
          </cell>
          <cell r="T6" t="str">
            <v>G n W Car ( 14 Inch ) 16     FF Sachet + Grass</v>
          </cell>
        </row>
        <row r="7">
          <cell r="A7">
            <v>2652</v>
          </cell>
          <cell r="B7" t="str">
            <v>Shilpi Samantray</v>
          </cell>
          <cell r="C7">
            <v>8527486150</v>
          </cell>
          <cell r="D7" t="str">
            <v>Q-294, DLF Ultima</v>
          </cell>
          <cell r="E7" t="str">
            <v>Manesar</v>
          </cell>
          <cell r="F7" t="str">
            <v>Friday</v>
          </cell>
          <cell r="G7" t="str">
            <v>4 Pm to 7 PM</v>
          </cell>
          <cell r="H7">
            <v>1450</v>
          </cell>
          <cell r="I7">
            <v>362.5</v>
          </cell>
          <cell r="J7" t="str">
            <v>Bliss</v>
          </cell>
          <cell r="K7" t="str">
            <v>Flower Food next (21/05) Do not count todays delivery (30/05) Skip 1 week (26/06) Skip 1 week (09/07) No asiatic Lilies (07/08) No glad now (25/09) Replacement tom (24/10) Skip 1 week (08/11) Skip 2 week (12/12) Skip 1 week (21/01) HDTNP (27/02) Skip 1 week (09/04) HDTNP (15/05) Next del on 5th JUne (18/05)</v>
          </cell>
          <cell r="L7" t="str">
            <v>lilies n Glad</v>
          </cell>
          <cell r="M7" t="str">
            <v>More Eustoams</v>
          </cell>
          <cell r="N7" t="str">
            <v>3  del of this cycle   -  0-cycles pmnt   Completed - Collect 0</v>
          </cell>
          <cell r="O7" t="str">
            <v>O Asiatic ( 14 Inch ) 2 P n W Glad ( 14 Inch ) 7   Grass</v>
          </cell>
          <cell r="P7" t="str">
            <v>Pur Eustoma ( 12 Inch ) 2 Mix Alstroemeria ( 12 Inch ) 7   FF Sachet + Grass</v>
          </cell>
          <cell r="Q7" t="str">
            <v xml:space="preserve">P Spray Daisy ( 14 Inch ) 3 Pur n P Car ( 14 Inch ) 7  FF Sachet + Grass </v>
          </cell>
          <cell r="R7" t="str">
            <v>P Asiatic ( 14 Inch ) 2 p Car ( 14 inch ) 7   FF sachet + Grass</v>
          </cell>
          <cell r="S7" t="str">
            <v>Sunflower ( 12 Inch ) 2 P n W Glad ( 14 Inch ) 7   FF Sachet + Grass</v>
          </cell>
          <cell r="T7" t="str">
            <v>P Spray Daisy ( 14 Inch ) 3 B Daisy 7   FF Sachet + Grass</v>
          </cell>
        </row>
        <row r="8">
          <cell r="A8" t="str">
            <v>G-00011</v>
          </cell>
          <cell r="B8" t="str">
            <v>Nainsee Garg</v>
          </cell>
          <cell r="C8">
            <v>9810561802</v>
          </cell>
          <cell r="D8" t="str">
            <v>A67 Rosewood City Sector 49 Gurgaon 122001</v>
          </cell>
          <cell r="E8" t="str">
            <v>Nirvana Country</v>
          </cell>
          <cell r="F8" t="str">
            <v>Friday</v>
          </cell>
          <cell r="G8" t="str">
            <v>9 AM to 2 PM</v>
          </cell>
          <cell r="H8">
            <v>2300</v>
          </cell>
          <cell r="I8">
            <v>293.75</v>
          </cell>
          <cell r="J8" t="str">
            <v>Felicity</v>
          </cell>
          <cell r="K8" t="str">
            <v>No Glad (15/-5) Skip tom n sned next del on Sunday (29/05) Skip 1 week (03/07) Skip 1 week (12/11) Send tom (01/04) Sent one del today (09/04) Skip 1 week (11/05) Skip this cdel n send on Sunday (12/06)</v>
          </cell>
          <cell r="L8" t="str">
            <v>Glad</v>
          </cell>
          <cell r="N8" t="str">
            <v>3  del of this cycle   -  0-cycles pmnt   Completed - Collect 0</v>
          </cell>
          <cell r="O8" t="str">
            <v>R n W Car ( 14 Inch ) 11     FF Sachet + Grass</v>
          </cell>
          <cell r="P8" t="e">
            <v>#N/A</v>
          </cell>
          <cell r="Q8" t="str">
            <v>P Asiatic ( 14 Inch ) 2     Grass</v>
          </cell>
          <cell r="R8" t="str">
            <v>Y Spray Daisy ( 14 Inch ) 3     FF sachet + Grass</v>
          </cell>
          <cell r="S8" t="str">
            <v>Sunflower ( 12 Inch ) 3     FF Sachet + Grass</v>
          </cell>
          <cell r="T8" t="str">
            <v>O Asiatic ( 14 Inch ) 2     Grass</v>
          </cell>
        </row>
        <row r="9">
          <cell r="A9">
            <v>2190</v>
          </cell>
          <cell r="B9" t="str">
            <v>Vismit Sharma</v>
          </cell>
          <cell r="C9">
            <v>9205393464</v>
          </cell>
          <cell r="D9" t="str">
            <v>R-164, DLF Ultima, Sec 81</v>
          </cell>
          <cell r="E9" t="str">
            <v>Manesar</v>
          </cell>
          <cell r="F9" t="str">
            <v>Friday</v>
          </cell>
          <cell r="G9" t="str">
            <v>4 Pm to 7 PM</v>
          </cell>
          <cell r="H9">
            <v>1950</v>
          </cell>
          <cell r="I9">
            <v>487.5</v>
          </cell>
          <cell r="J9" t="str">
            <v>Joy</v>
          </cell>
          <cell r="K9" t="str">
            <v>Skip 2 week (22/02) Skip 1 week (12/03) Skip 1 week (10/03) Skip 1 week (24/07) Skip 1 week (04/09) Skip 2 week (25/09) Hold n start from Jan (12/12)</v>
          </cell>
          <cell r="N9" t="str">
            <v>1  del of this cycle   -  1-cycles pmnt   Pending - Collect 1950</v>
          </cell>
          <cell r="O9" t="str">
            <v>P n Y Spray Daisy ( 14 Inch ) 7     FF Sachet + Grass</v>
          </cell>
          <cell r="P9" t="str">
            <v>Pur n P Car ( 14 Inch ) 22     FF Sachet + Grass</v>
          </cell>
          <cell r="Q9" t="str">
            <v>P Asiatic ( 14 Inch ) 4     Grass</v>
          </cell>
          <cell r="R9" t="str">
            <v>P n W Glad ( 14 Inch ) 22     Grass</v>
          </cell>
          <cell r="S9" t="str">
            <v>Sunflower ( 12 Inch ) 5     FF Sachet + Grass</v>
          </cell>
          <cell r="T9" t="str">
            <v>P n W Spray Daisy ( 14  Inch )  7     FF Sachet + Grass</v>
          </cell>
        </row>
        <row r="10">
          <cell r="A10">
            <v>2385</v>
          </cell>
          <cell r="B10" t="str">
            <v>Vasanta Poddar</v>
          </cell>
          <cell r="C10">
            <v>9899170709</v>
          </cell>
          <cell r="D10" t="str">
            <v>S-64, 2nd Floor, Uppal Southend</v>
          </cell>
          <cell r="E10" t="str">
            <v>Sohna Road 1</v>
          </cell>
          <cell r="F10" t="str">
            <v>Friday</v>
          </cell>
          <cell r="G10" t="str">
            <v>9 AM - 12 PM</v>
          </cell>
          <cell r="H10">
            <v>1950</v>
          </cell>
          <cell r="I10">
            <v>487.5</v>
          </cell>
          <cell r="J10" t="str">
            <v>Joy</v>
          </cell>
          <cell r="K10" t="str">
            <v xml:space="preserve"> Skip 1 week (11/03) Skip 2 week (29/05) Sent 1 Del today (21/08) Send tom (06/02) Skip 1 week (19/02)</v>
          </cell>
          <cell r="L10" t="str">
            <v>ORCHID</v>
          </cell>
          <cell r="N10" t="str">
            <v>4  del of this cycle   -  0-cycles pmnt   Completed - Collect 0</v>
          </cell>
          <cell r="O10" t="str">
            <v>W Asiatic ( 14 Inch ) 4     Grass</v>
          </cell>
          <cell r="P10" t="str">
            <v>P Asiatic ( 14 Inch ) 4     Grass</v>
          </cell>
          <cell r="Q10" t="str">
            <v>R n P Car ( 14 Inch ) 22     FF sachet + Grass</v>
          </cell>
          <cell r="R10" t="str">
            <v>P n Y Spray Daisy ( 14 Inch ) 7     FF Sachet + Grass</v>
          </cell>
          <cell r="S10" t="str">
            <v>P n W Glad ( 14 Inch ) 22     Grass</v>
          </cell>
          <cell r="T10" t="str">
            <v>Rajni ( 14 Inch ) 22     Grass</v>
          </cell>
        </row>
        <row r="11">
          <cell r="A11">
            <v>2927</v>
          </cell>
          <cell r="B11" t="str">
            <v>Anshita</v>
          </cell>
          <cell r="C11">
            <v>8085480356</v>
          </cell>
          <cell r="D11" t="str">
            <v>H. No. 3107, 2nd Flor, Ansal Versalia, Sec 67 A</v>
          </cell>
          <cell r="E11" t="str">
            <v>Badshahpur</v>
          </cell>
          <cell r="F11" t="str">
            <v>Friday</v>
          </cell>
          <cell r="G11" t="str">
            <v>9:30 Am to 2 PM</v>
          </cell>
          <cell r="H11">
            <v>1450</v>
          </cell>
          <cell r="I11">
            <v>362.5</v>
          </cell>
          <cell r="J11" t="str">
            <v>Bliss</v>
          </cell>
          <cell r="K11" t="str">
            <v>sent one del today (11/12) Skip 1 week (15/01) Skip today (20/02) Today returned (06/03) Skip 1 week (26/03) Hold for 2 week (22/04)</v>
          </cell>
          <cell r="N11" t="str">
            <v>4  del of this cycle   -  0-cycles pmnt   Completed - Collect 0</v>
          </cell>
          <cell r="O11" t="str">
            <v>P n W Car ( 14 Inch ) 9     FF Sachet + Grass</v>
          </cell>
          <cell r="P11" t="str">
            <v>Y Asiatic ( 14 Inch ) 2     Grass</v>
          </cell>
          <cell r="Q11" t="str">
            <v xml:space="preserve">P n W Glad ( 14 Inch ) 16  ensure collection  Pese Na  Mile To Call Karna  Grass </v>
          </cell>
          <cell r="R11" t="str">
            <v>Sunflower ( 12 Inch ) 4     FF sachet + Grass</v>
          </cell>
          <cell r="S11" t="str">
            <v>Pur n P Car ( 14 Inch ) 16     FF Sachet + Grass</v>
          </cell>
          <cell r="T11" t="str">
            <v>P n W Spray Daisy ( 14  Inch )  5     FF Sachet + Grass</v>
          </cell>
        </row>
        <row r="12">
          <cell r="A12">
            <v>2678</v>
          </cell>
          <cell r="B12" t="str">
            <v>Saachi Satyaarth</v>
          </cell>
          <cell r="C12">
            <v>9643712005</v>
          </cell>
          <cell r="D12" t="str">
            <v>H-1504, Microtek Greenburg, Sec 86</v>
          </cell>
          <cell r="E12" t="str">
            <v>Manesar</v>
          </cell>
          <cell r="F12" t="str">
            <v>Friday</v>
          </cell>
          <cell r="G12" t="str">
            <v>4 PM to 7 PM</v>
          </cell>
          <cell r="H12">
            <v>1450</v>
          </cell>
          <cell r="I12">
            <v>362.5</v>
          </cell>
          <cell r="J12" t="str">
            <v>Bliss</v>
          </cell>
          <cell r="K12" t="str">
            <v>Skip 1 week (04/06) Do not count last Del (28/03) 1 Sunflower Extra next (03/04) Skip 2 week (21/06)</v>
          </cell>
          <cell r="M12" t="str">
            <v>1 Sunflower Extra Next (03/04)</v>
          </cell>
          <cell r="N12" t="str">
            <v>4  del of this cycle   -  0-cycles pmnt   Completed - Collect 0</v>
          </cell>
          <cell r="O12" t="str">
            <v>P Eustoma ( 14 Inch ) 2 Mix Alstroemeria ( 12 Inch ) 7   FF Sachet + Grass</v>
          </cell>
          <cell r="P12" t="str">
            <v>P Spray Daisy ( 14 Inch ) 3 P n W Glad ( 14 Inch ) 7   FF Sachet + Grass</v>
          </cell>
          <cell r="Q12" t="str">
            <v xml:space="preserve">Sunflower ( 12 Inch ) 2 Pur n P Car ( 14 Inch ) 7  FF Sachet + Grass </v>
          </cell>
          <cell r="R12" t="str">
            <v>P Asiatic ( 14 Inch ) 2 Alstomeria( 12 Inch ) 7   Grass</v>
          </cell>
          <cell r="S12" t="str">
            <v>G Spray Daisy ( 14 Inch ) 3 P n W Glad ( 14 Inch ) 7   Grass</v>
          </cell>
          <cell r="T12" t="str">
            <v>Sunflower ( 12 Inch) 2 G n W Car ( 14 Inch ) 7   FF Sachet + Grass</v>
          </cell>
        </row>
        <row r="13">
          <cell r="A13">
            <v>2582</v>
          </cell>
          <cell r="B13" t="str">
            <v>Nidhi -- Emaar Palm</v>
          </cell>
          <cell r="C13">
            <v>9873404809</v>
          </cell>
          <cell r="D13" t="str">
            <v>T-57/101, Emaar emerakd Premier Floors, Sec 65</v>
          </cell>
          <cell r="E13" t="str">
            <v>Badshahpur</v>
          </cell>
          <cell r="F13" t="str">
            <v>Friday</v>
          </cell>
          <cell r="G13" t="str">
            <v>9:30 Am to 2 PM</v>
          </cell>
          <cell r="H13">
            <v>1450</v>
          </cell>
          <cell r="I13">
            <v>362.5</v>
          </cell>
          <cell r="J13" t="str">
            <v>Bliss</v>
          </cell>
          <cell r="K13" t="str">
            <v>From Nidhi Srivastava // No Del till 4th Oct (24/09) Hold due to non payment (26/12) Hold due to non payment (23/01) Skip 1 week (09/06)</v>
          </cell>
          <cell r="N13" t="str">
            <v>4  del of this cycle   -  0-cycles pmnt   Completed - Collect 0</v>
          </cell>
          <cell r="O13" t="str">
            <v>Y Spray Daisy ( 14 Inch ) 3     FF Sachet + Grass</v>
          </cell>
          <cell r="P13" t="e">
            <v>#N/A</v>
          </cell>
          <cell r="Q13" t="str">
            <v xml:space="preserve">R n P Car ( 14 Inch ) 16    FF Sachet + Grass </v>
          </cell>
          <cell r="R13" t="str">
            <v>P n W Glad ( 14 Inch ) 16     Grass</v>
          </cell>
          <cell r="S13" t="str">
            <v>G Spray Daisy ( 14 Inch ) 5     Grass</v>
          </cell>
          <cell r="T13" t="str">
            <v>Y Asiatic ( 14 Inch ) 3     Grass</v>
          </cell>
        </row>
        <row r="14">
          <cell r="A14">
            <v>139</v>
          </cell>
          <cell r="B14" t="str">
            <v>Mr. Pramod Narula 2</v>
          </cell>
          <cell r="C14">
            <v>9899048440</v>
          </cell>
          <cell r="D14" t="str">
            <v>Ww-57, Ground floor, Malibu Town, Sohna Road    Sohna Road Gurgaon  </v>
          </cell>
          <cell r="E14" t="str">
            <v>Sohna Road 1</v>
          </cell>
          <cell r="F14" t="str">
            <v>Friday</v>
          </cell>
          <cell r="G14" t="str">
            <v>9 AM - 12 PM</v>
          </cell>
          <cell r="H14">
            <v>4750</v>
          </cell>
          <cell r="I14">
            <v>1187.5</v>
          </cell>
          <cell r="J14" t="str">
            <v>Enchantment</v>
          </cell>
          <cell r="K14" t="str">
            <v>3 Stick extra in next del(31/08)Send this Tuesday n then Saturday(07/09)Send on 6th This week(05/11)  Today return-send next week(25/01) Send replacement of Daisy(01/02) Send always on Friday(17/03) Rs.240/- Received today against special pack(12/04) Long stick always(26/04) Flower food next(31/05) NO GERBERA(14/06) Send 1 stick extra next(16/08) 2 Stick extra next(23/08) Send extra flower(20/09) NO GERBERA N NO BOP(11/10) Collect Payment(29/02) Send replacement(11/08/20) Hold for 2 weeks and confirm before sending(19/09/20) Skip 1 more week(08/10/20) Sending Del tom due to Diwali(11/11) No Lily and Sunflower(04/07) Upgrade to 4000 and increase 6 more sticks(01/10) Send 2nd Del on 4th(27/10) Send 5th Del on 4th(29/10) Send remaining flowers(19/11) Hold today and skip 1 week(10/12) Skip 1 week(24/02)  Holy Change(16/03) Hold today--send on sunday (22/12) Hold today n send on Monday (20/12) Skip 1 week (02/01) Skip 1 week (11/03) Hold n start after 5th June (04/05) Send flowers on sunday (16/10) Skip 1 week (18/12) Send on Wednesday instead of Friday this week (22/12) No Lilies (07/05)</v>
          </cell>
          <cell r="L14" t="str">
            <v>lilies n Glad</v>
          </cell>
          <cell r="N14" t="str">
            <v>2  del of this cycle   -  0-cycles pmnt   Completed - Collect 0</v>
          </cell>
          <cell r="O14" t="str">
            <v>P n Y Spray Daisy ( 14 Inch ) 10 P n W Glad ( 14 Inch ) 18 P n W Car ( 14 Inch ) 18 Grass</v>
          </cell>
          <cell r="P14" t="str">
            <v>W Asiatic ( 14 inch ) 6 Mix Alstroemeria ( 12 Inch ) 18 Pur n P Car ( 14 Inch ) 18 Grass</v>
          </cell>
          <cell r="Q14" t="str">
            <v>Sunflower ( 12 Inch ) 6 P n W Glad ( 14 Inch ) 18 Rajni ( 14 Inch ) 18 Grass</v>
          </cell>
          <cell r="R14" t="str">
            <v>P n W Spray Daisy 8 P n W Car ( 14 Inch ) 18 Glad ( 14 Inch ) 18 Grass</v>
          </cell>
          <cell r="S14" t="str">
            <v>O Asiatic ( 14 Inch ) 6 Rajni ( 14 Inch ) 18 Pur n P Car ( 14 Inch ) 18 Grass</v>
          </cell>
          <cell r="T14" t="str">
            <v>Sunflower ( 12 Inch) 6 Mix Alstroemeria ( 12 Inch ) 18 Rajni ( 14 Inch ) 18 FF Sachet + Grass</v>
          </cell>
        </row>
        <row r="15">
          <cell r="A15">
            <v>2435</v>
          </cell>
          <cell r="B15" t="str">
            <v>Manisha Aswani</v>
          </cell>
          <cell r="C15">
            <v>7426027603</v>
          </cell>
          <cell r="D15" t="str">
            <v>4-I/302, Orris Aster Court. Sec 85</v>
          </cell>
          <cell r="E15" t="str">
            <v>Manesar</v>
          </cell>
          <cell r="F15" t="str">
            <v>Friday</v>
          </cell>
          <cell r="G15" t="str">
            <v>After 5:30 PM</v>
          </cell>
          <cell r="H15">
            <v>1450</v>
          </cell>
          <cell r="I15">
            <v>362.5</v>
          </cell>
          <cell r="J15" t="str">
            <v>Bliss</v>
          </cell>
          <cell r="K15" t="str">
            <v>Insta // Sent replacement today (05/04) Sent Replacement today (19/04) Do Not Count last Del (06/05) Hold she will confirm (14/05) Payment confussion(29/06) Skip 1 week (22/04) Today Hold and skip (15/05) HDTNP (29/05) HDTNP (03/07)</v>
          </cell>
          <cell r="M15" t="str">
            <v>Premium Flowers Extra next (16/08)</v>
          </cell>
          <cell r="N15" t="str">
            <v>3  del of this cycle   -  0-cycles pmnt   Completed - Collect 0</v>
          </cell>
          <cell r="O15" t="str">
            <v>O Asiatic ( 14 Inch ) 3     Grass</v>
          </cell>
          <cell r="P15" t="str">
            <v>P n W Glad ( 14 Inch ) 16     Grass</v>
          </cell>
          <cell r="Q15" t="str">
            <v xml:space="preserve">P Eustoma ( 12 Inch ) 3    FF Sachet + Grass </v>
          </cell>
          <cell r="R15" t="str">
            <v>Alstromeria 16     FF sachet + Grass</v>
          </cell>
          <cell r="S15" t="e">
            <v>#N/A</v>
          </cell>
          <cell r="T15" t="str">
            <v>G n W Car ( 14 Inch ) 16     FF Sachet + Grass</v>
          </cell>
        </row>
        <row r="16">
          <cell r="A16">
            <v>2801</v>
          </cell>
          <cell r="B16" t="str">
            <v>Noopur Gupta</v>
          </cell>
          <cell r="C16">
            <v>9810130319</v>
          </cell>
          <cell r="D16" t="str">
            <v>Topaz-186, GF, Emaar Emerald Hills</v>
          </cell>
          <cell r="E16" t="str">
            <v>Badshahpur</v>
          </cell>
          <cell r="F16" t="str">
            <v>Friday</v>
          </cell>
          <cell r="G16" t="str">
            <v>9:30 Am to 2 PM</v>
          </cell>
          <cell r="H16">
            <v>1600</v>
          </cell>
          <cell r="I16">
            <v>200</v>
          </cell>
          <cell r="J16" t="str">
            <v>Bloom</v>
          </cell>
          <cell r="K16" t="str">
            <v>Friday n Monday // Send replacement of Eustoma tom (08/09) No Orchids (23/01) Hold n start from July (27/05)</v>
          </cell>
          <cell r="L16" t="str">
            <v>Orchid</v>
          </cell>
          <cell r="M16" t="str">
            <v>Seasonal with 9 Del Only (02/04)</v>
          </cell>
          <cell r="N16" t="str">
            <v>3  del of this cycle   -  0-cycles pmnt   Completed - Collect 0</v>
          </cell>
          <cell r="O16" t="e">
            <v>#N/A</v>
          </cell>
          <cell r="P16" t="e">
            <v>#N/A</v>
          </cell>
          <cell r="Q16" t="e">
            <v>#N/A</v>
          </cell>
          <cell r="R16" t="e">
            <v>#N/A</v>
          </cell>
          <cell r="S16" t="str">
            <v>Pur n P Car ( 14 Inch ) 7     FF Sachet + Grass</v>
          </cell>
          <cell r="T16" t="str">
            <v>P n W Glad (14 Inch ) 7     Grass</v>
          </cell>
        </row>
        <row r="17">
          <cell r="A17">
            <v>3381</v>
          </cell>
          <cell r="B17" t="str">
            <v>Swati Gaur</v>
          </cell>
          <cell r="C17">
            <v>9769021701</v>
          </cell>
          <cell r="D17" t="str">
            <v>T-5/2617, Center court by County, Sec 88 A</v>
          </cell>
          <cell r="E17" t="str">
            <v>Manesar</v>
          </cell>
          <cell r="F17" t="str">
            <v>Friday</v>
          </cell>
          <cell r="G17" t="str">
            <v>4 Pm to 7 PM</v>
          </cell>
          <cell r="H17">
            <v>2750</v>
          </cell>
          <cell r="I17">
            <v>687.5</v>
          </cell>
          <cell r="J17" t="str">
            <v>Elation</v>
          </cell>
          <cell r="N17" t="str">
            <v>4  del of this cycle   -  0-cycles pmnt   Completed - Collect 0</v>
          </cell>
          <cell r="O17" t="e">
            <v>#N/A</v>
          </cell>
          <cell r="P17" t="e">
            <v>#N/A</v>
          </cell>
          <cell r="Q17" t="str">
            <v>R n P Car ( 14 Inch ) 32     FF sachet + Grass</v>
          </cell>
          <cell r="R17" t="str">
            <v>O Asiatic ( 14 Inch ) 6     2 Gypaols</v>
          </cell>
          <cell r="S17" t="str">
            <v>P n W Glad ( 14 Inch ) 32     Grass</v>
          </cell>
          <cell r="T17" t="str">
            <v>P n Y Spray Daisy ( 14 Inch ) 10     2 Gypsola</v>
          </cell>
        </row>
        <row r="18">
          <cell r="A18">
            <v>3309</v>
          </cell>
          <cell r="B18" t="str">
            <v>Tahzeeb Mohammad</v>
          </cell>
          <cell r="C18">
            <v>9986608474</v>
          </cell>
          <cell r="D18" t="str">
            <v>Natura Tower -1, N 2105, M3M Marina, Sec 68</v>
          </cell>
          <cell r="E18" t="str">
            <v>Badshahpur</v>
          </cell>
          <cell r="F18" t="str">
            <v>Friday</v>
          </cell>
          <cell r="G18" t="str">
            <v>9 AM - 12 PM</v>
          </cell>
          <cell r="H18">
            <v>2550</v>
          </cell>
          <cell r="I18">
            <v>318.75</v>
          </cell>
          <cell r="J18" t="str">
            <v>Bi weekly Customised</v>
          </cell>
          <cell r="K18" t="str">
            <v>Gerbera // Rajni // Sunflowers // Eustoma // Orchid // Skip Monday (15/05)</v>
          </cell>
          <cell r="N18" t="str">
            <v>2  del of this cycle   -  0-cycles pmnt   Completed - Collect 0</v>
          </cell>
          <cell r="O18" t="str">
            <v>G Orchid 4     Grass</v>
          </cell>
          <cell r="P18" t="str">
            <v>Rajni ( 14 Inch ) 11     Grass</v>
          </cell>
          <cell r="Q18" t="str">
            <v>Pur Eustom ( 12 Inch ) 3     FF Sachet + Grass</v>
          </cell>
          <cell r="R18" t="str">
            <v>Pur Eustoma ( 12 Inch ) 3     FF sachet + Grass</v>
          </cell>
          <cell r="S18" t="str">
            <v>Rajni ( 14 Inch ) 11     Grass</v>
          </cell>
          <cell r="T18" t="str">
            <v>P n Y Gerbera ( 12 Inch ) 11     FF Sachet + Grass</v>
          </cell>
        </row>
        <row r="19">
          <cell r="A19">
            <v>1377</v>
          </cell>
          <cell r="B19" t="str">
            <v>Geetanjali Babbar</v>
          </cell>
          <cell r="C19">
            <v>9958988852</v>
          </cell>
          <cell r="D19" t="str">
            <v>N-206, Sispal Vihar</v>
          </cell>
          <cell r="E19" t="str">
            <v>Sohna Road 1</v>
          </cell>
          <cell r="F19" t="str">
            <v>Friday</v>
          </cell>
          <cell r="G19" t="str">
            <v>9:30 Am to 2 PM</v>
          </cell>
          <cell r="H19">
            <v>2300</v>
          </cell>
          <cell r="I19">
            <v>287.5</v>
          </cell>
          <cell r="J19" t="str">
            <v>Felicity</v>
          </cell>
          <cell r="K19" t="str">
            <v>Tuesday and FRiday//Monday and Thursday//Send on Monday This week and send rajni too(03/04) Returned-send tom(11/04) Day Changed to Monday(11/04) Sent replacement of Gerbera today(20/04) She likes BOP+Rajni+Car Comb (20/04) Thursday and Monday Morning Slot(13/06) NO BOP(03/08) Hold today ansend after a week(20/11)  Holy Change(16/03) Skip 1 del(16/03) Skip 1 del AND ALWAYS SEND 10 STICKS(02/05) Skip 3rd Feb Del (28/01) Skip tom Delivery (06/04) Dont start from 16th June--start from 19th June (14/06) Skip Friday (13/09) Skip between 24th to 2nd Nov (24/10) Hold n start from Feb (13/01) Skip tom del (14/03) Do Not count last del (21/06) Skip comig Delivery(24/06) Sent a rewplacement today (23/10) Hold geetanjali babbar today (03/01) Skip 1 week (04/01) Skip 18th n 21st Mar (03/03) Skip Friday (09/04) Skip friday (26/06) Paytm From Merajul Alam (23/09) No Del From 09th to 13th (04/12) Skip 10th and 13th Feb (31/01) Skip 1 week (23/03) Replacement tom (21/04) HDTNP (29/05) Hold till 1st weel of July (20/06) paytm from sunil babbar (03/07)</v>
          </cell>
          <cell r="M19" t="str">
            <v>Skip 18th n 21st Mar 25</v>
          </cell>
          <cell r="N19" t="str">
            <v>4  del of this cycle   -  0-cycles pmnt   Completed - Collect 0</v>
          </cell>
          <cell r="O19" t="str">
            <v>Rajni ( 14 Inch ) 11     Grass</v>
          </cell>
          <cell r="P19" t="str">
            <v>Pur n P Car ( 14 Inch ) 11     FF Sachet + Grass</v>
          </cell>
          <cell r="Q19" t="str">
            <v>P n W Glad ( 14 Inch ) 11     Grass</v>
          </cell>
          <cell r="R19" t="e">
            <v>#N/A</v>
          </cell>
          <cell r="S19" t="str">
            <v>P Asiatic ( 14 Inch ) 2     Grass</v>
          </cell>
          <cell r="T19" t="str">
            <v>G n W Car ( 14 Inch ) 11     Grass</v>
          </cell>
        </row>
        <row r="20">
          <cell r="A20">
            <v>3389</v>
          </cell>
          <cell r="B20" t="str">
            <v>Ritika -- DLF Regal</v>
          </cell>
          <cell r="C20">
            <v>9975423958</v>
          </cell>
          <cell r="D20" t="str">
            <v>E-144, DLF Regal Garden, Sec 90</v>
          </cell>
          <cell r="E20" t="str">
            <v>Manesar</v>
          </cell>
          <cell r="F20" t="str">
            <v>Friday</v>
          </cell>
          <cell r="G20" t="str">
            <v>4 Pm to 7 PM</v>
          </cell>
          <cell r="H20">
            <v>1950</v>
          </cell>
          <cell r="I20">
            <v>487.5</v>
          </cell>
          <cell r="J20" t="str">
            <v>Joy</v>
          </cell>
          <cell r="K20" t="str">
            <v>From Ritika Hatanagdy</v>
          </cell>
          <cell r="N20" t="str">
            <v>3  del of this cycle   -  0-cycles pmnt   Completed - Collect 0</v>
          </cell>
          <cell r="O20" t="e">
            <v>#N/A</v>
          </cell>
          <cell r="P20" t="e">
            <v>#N/A</v>
          </cell>
          <cell r="Q20" t="e">
            <v>#N/A</v>
          </cell>
          <cell r="R20" t="str">
            <v>Alstromeria 22     FF Sachet + Grass</v>
          </cell>
          <cell r="S20" t="str">
            <v>O Asiatic ( 14 Inch ) 4     Grass</v>
          </cell>
          <cell r="T20" t="str">
            <v>G n W Car ( 14 Inch ) 22     FF Sachet + Grass</v>
          </cell>
        </row>
        <row r="21">
          <cell r="A21">
            <v>3081</v>
          </cell>
          <cell r="B21" t="str">
            <v xml:space="preserve">Nikhat </v>
          </cell>
          <cell r="C21" t="str">
            <v>90044 52898‬</v>
          </cell>
          <cell r="D21" t="str">
            <v>Tower B, flat 074, DLF regal gardens , sector 90</v>
          </cell>
          <cell r="E21" t="str">
            <v>Manesar</v>
          </cell>
          <cell r="F21" t="str">
            <v>Friday</v>
          </cell>
          <cell r="G21" t="str">
            <v>4 PM to 7 PM</v>
          </cell>
          <cell r="H21">
            <v>1450</v>
          </cell>
          <cell r="I21">
            <v>362.5</v>
          </cell>
          <cell r="J21" t="str">
            <v>Bliss</v>
          </cell>
          <cell r="K21" t="str">
            <v>Paytm From Puneet Pundora (06/03) Hold today (20/03)</v>
          </cell>
          <cell r="N21" t="str">
            <v>2  del of this cycle   -  1-cycles pmnt   Pending - Collect 1450</v>
          </cell>
          <cell r="O21" t="str">
            <v>Pur Eustom ( 14 Inch ) 2 P n W Glad ( 14 Inch ) 7   FF Sachet + Grass</v>
          </cell>
          <cell r="P21" t="str">
            <v>W Asiatic ( 14 inch ) 2 Pur n P Car ( 14 Inch ) 7   Grass</v>
          </cell>
          <cell r="Q21" t="str">
            <v xml:space="preserve">P Spray Daisy ( 14 Inch ) 3 Mix Alstroemeria (  12 Inch ) 7  FF Sachet + Grass </v>
          </cell>
          <cell r="R21" t="str">
            <v>Eustoma  2 P n W Glad ( 14 Inch ) 7   FF sachet + Grass</v>
          </cell>
          <cell r="S21" t="str">
            <v>Sunflower ( 12 Inch ) 2 Rajni ( 14 Inch ) 7   FF Sachet + Grass</v>
          </cell>
          <cell r="T21" t="str">
            <v>O Asiatic ( 14 Inch ) 2 G n W Car ( 14 Inch ) 7   Grass</v>
          </cell>
        </row>
        <row r="22">
          <cell r="A22">
            <v>1618</v>
          </cell>
          <cell r="B22" t="str">
            <v>Nidhi Sharma Malhotra</v>
          </cell>
          <cell r="C22" t="str">
            <v>8130207722//9999016333</v>
          </cell>
          <cell r="D22" t="str">
            <v>Topaz-36, First Floor, Emaar Emerald Hills, Sec 65</v>
          </cell>
          <cell r="E22" t="str">
            <v>Badshahpur</v>
          </cell>
          <cell r="F22" t="str">
            <v>Friday</v>
          </cell>
          <cell r="G22" t="str">
            <v>9 AM to 2 PM</v>
          </cell>
          <cell r="H22">
            <v>3000</v>
          </cell>
          <cell r="I22">
            <v>375</v>
          </cell>
          <cell r="J22" t="str">
            <v>Charm</v>
          </cell>
          <cell r="K22" t="str">
            <v>Friday n Monday//NO Glad(11/03)  Holy Change(16/03) Send next delivery on Monday (26/04) Heliconia Next (03/05) Now felicity (25/05) Today Returned (15/07) Paytm From sante (16/04) Date was updated from 13th july to 04th Aug -- deliveries missed-- now updated from Jule -- Still deliveries missed(05/07</v>
          </cell>
          <cell r="L22" t="str">
            <v>GLAD</v>
          </cell>
          <cell r="N22" t="str">
            <v>5  del of this cycle   -  0-cycles pmnt   Complimentary - Collect 0</v>
          </cell>
          <cell r="O22" t="str">
            <v>Pur Eustom ( 14 Inch ) 3     FF Sachet + Grass</v>
          </cell>
          <cell r="P22" t="str">
            <v>BOP ( 14 Inch ) 3     FF Sachet + Grass</v>
          </cell>
          <cell r="Q22" t="str">
            <v>P Asiatic ( 14 Inch ) 3     Grass</v>
          </cell>
          <cell r="R22" t="str">
            <v>G n Y Spray Daisy ( 14 Inch ) 4     FF sachet + Grass</v>
          </cell>
          <cell r="S22" t="str">
            <v>P Oriental ( 15 Inch ) 3     Grass</v>
          </cell>
          <cell r="T22" t="str">
            <v>G n W Car ( 14 Inch ) 15     FF Sachet + Grass</v>
          </cell>
        </row>
        <row r="23">
          <cell r="A23">
            <v>1411</v>
          </cell>
          <cell r="B23" t="str">
            <v>Aarti Malhotra</v>
          </cell>
          <cell r="C23">
            <v>9810002228</v>
          </cell>
          <cell r="D23" t="str">
            <v>T-10/1402, Orchid Petals</v>
          </cell>
          <cell r="E23" t="str">
            <v>Sohna Road 1</v>
          </cell>
          <cell r="F23" t="str">
            <v>Friday</v>
          </cell>
          <cell r="G23" t="str">
            <v>9 AM - 12 PM</v>
          </cell>
          <cell r="H23">
            <v>3000</v>
          </cell>
          <cell r="I23">
            <v>375</v>
          </cell>
          <cell r="J23" t="str">
            <v>Charm</v>
          </cell>
          <cell r="K23" t="str">
            <v>Friday and Tuesday//Thursday and Sunday//Like-- Spray daisy//Rajni and guldawari(28/05) Sunday and Thursday(20/06) Shift to Joy package after this(15/09) Skip 1 week(13/01)  Holy Change(16/03) Sent 1 replacement today(05/04) Hold n start from June(04/05) Hold and start after 20th June(06/06) Sent Replacement today(05/07) Do Not Count last Delivery(18/07) NO SPRAY DAISY(23/08) Skip coming Delivery (28/09)Today flowers returned-send on next del date (09/12) Start after 31st // Replace last flowers (28/01) Skip 1 week (02/06) No Del till 28th June (11/06) Skip this friday (06/03) Skip 1 week 911/03) Paytm from Vineet R K (26/10) Hold till 2nd July (31/05)</v>
          </cell>
          <cell r="N23" t="str">
            <v>2  del of this cycle   -  1-cycles pmnt   Pending - Collect 3000</v>
          </cell>
          <cell r="O23" t="e">
            <v>#N/A</v>
          </cell>
          <cell r="P23" t="e">
            <v>#N/A</v>
          </cell>
          <cell r="Q23" t="e">
            <v>#N/A</v>
          </cell>
          <cell r="R23" t="e">
            <v>#N/A</v>
          </cell>
          <cell r="S23" t="str">
            <v>Pur n P Car ( 14 Inch ) 15     FF Sachet + Grass</v>
          </cell>
          <cell r="T23" t="str">
            <v>Rajni ( 14 Inch ) 15     Grass</v>
          </cell>
        </row>
        <row r="24">
          <cell r="A24">
            <v>3099</v>
          </cell>
          <cell r="B24" t="str">
            <v>Manisha Mishra</v>
          </cell>
          <cell r="C24">
            <v>9910993142</v>
          </cell>
          <cell r="D24" t="str">
            <v>E-1202, maceo appartmnet, sector 91</v>
          </cell>
          <cell r="E24" t="str">
            <v>Dwarka Expressway</v>
          </cell>
          <cell r="F24" t="str">
            <v>Friday</v>
          </cell>
          <cell r="G24" t="str">
            <v>4 PM to 7 PM</v>
          </cell>
          <cell r="H24">
            <v>1950</v>
          </cell>
          <cell r="I24">
            <v>487.5</v>
          </cell>
          <cell r="J24" t="str">
            <v>Joy</v>
          </cell>
          <cell r="K24" t="str">
            <v>Paytm from Rohit Ahuja</v>
          </cell>
          <cell r="N24" t="str">
            <v>2  del of this cycle   -  1-cycles pmnt   Pending - Collect 1950</v>
          </cell>
          <cell r="O24" t="str">
            <v>Pur Eustom ( 14 Inch ) 2 P n W Glad ( 14 Inch ) 11   FF Sachet + Grass</v>
          </cell>
          <cell r="P24" t="str">
            <v>P n Y Spray Daisy ( 14 Inch ) 4 Mix Alstroemeria ( 12 Inch ) 11   FF Sachet + Grass</v>
          </cell>
          <cell r="Q24" t="str">
            <v>O Asiatic ( 14 Inch ) 2 Pur n P Car ( 14 Inch ) 11   Grass</v>
          </cell>
          <cell r="R24" t="str">
            <v>Asiatic 2 Alstromeria 11   FF Sachet + Grass</v>
          </cell>
          <cell r="S24" t="str">
            <v>Sunflower ( 12 Inch ) 3 P n W Glad ( 14 Inch ) 11   FF Sachet + Grass</v>
          </cell>
          <cell r="T24" t="str">
            <v>P n W Spray Daisy ( 14  Inch )  4 G n W Car ( 14 Inch ) 11   FF Sachet + Grass</v>
          </cell>
        </row>
        <row r="25">
          <cell r="A25">
            <v>3407</v>
          </cell>
          <cell r="B25" t="str">
            <v>Ridhii</v>
          </cell>
          <cell r="C25">
            <v>7906393304</v>
          </cell>
          <cell r="D25" t="str">
            <v>E-802, Shree Vardhman Green Court, Sec 90</v>
          </cell>
          <cell r="E25" t="str">
            <v>Manesar</v>
          </cell>
          <cell r="F25" t="str">
            <v>Friday</v>
          </cell>
          <cell r="G25" t="str">
            <v>4 Pm to 7 PM</v>
          </cell>
          <cell r="H25">
            <v>1450</v>
          </cell>
          <cell r="I25">
            <v>1450</v>
          </cell>
          <cell r="J25" t="str">
            <v>Bliss</v>
          </cell>
          <cell r="N25" t="str">
            <v>1  del of this cycle   -  0-cycles pmnt   Completed - Collect 0</v>
          </cell>
          <cell r="O25" t="e">
            <v>#N/A</v>
          </cell>
          <cell r="P25" t="e">
            <v>#N/A</v>
          </cell>
          <cell r="Q25" t="e">
            <v>#N/A</v>
          </cell>
          <cell r="R25" t="e">
            <v>#N/A</v>
          </cell>
          <cell r="S25" t="e">
            <v>#N/A</v>
          </cell>
          <cell r="T25" t="str">
            <v>G n W Car ( 14 Inch ) 16     FF Sachet + Grass</v>
          </cell>
        </row>
        <row r="26">
          <cell r="A26">
            <v>2055</v>
          </cell>
          <cell r="B26" t="str">
            <v>Gitika Agarwal</v>
          </cell>
          <cell r="C26">
            <v>9871628499</v>
          </cell>
          <cell r="D26" t="str">
            <v>D11/502, Ireo Victory Valley, Sec 67</v>
          </cell>
          <cell r="E26" t="str">
            <v>Badshahpur</v>
          </cell>
          <cell r="F26" t="str">
            <v>Friday</v>
          </cell>
          <cell r="G26" t="str">
            <v>9 AM - 12 PM</v>
          </cell>
          <cell r="H26">
            <v>1450</v>
          </cell>
          <cell r="I26">
            <v>362.5</v>
          </cell>
          <cell r="J26" t="str">
            <v>Bliss</v>
          </cell>
          <cell r="K26" t="str">
            <v>Send Replacement tom (06/04) Send replacement today (12/05). Post 4 PM this week only (23/04) Skip 2 weeks (02/06) Replacement tom (05/07) Sent replacement tiday (26/10) Sent replacement today (15/12) Skip 1 week (17/03) Sent replacement today (19/004) Skip 2 week (13/06) Skip 1 week (07/08) Replacement tom (07/12) now start from July (11/06) Returned today (03/07)</v>
          </cell>
          <cell r="N26" t="str">
            <v>3  del of this cycle   -  0-cycles pmnt   Completed - Collect 0</v>
          </cell>
          <cell r="O26" t="str">
            <v>O Asiatic ( 14 Inch ) 2 Mix Alstroemeria ( 12 Inch ) 7   Grass</v>
          </cell>
          <cell r="P26" t="e">
            <v>#N/A</v>
          </cell>
          <cell r="Q26" t="e">
            <v>#N/A</v>
          </cell>
          <cell r="R26" t="e">
            <v>#N/A</v>
          </cell>
          <cell r="S26" t="str">
            <v>Sunflower ( 12 Inch ) 2 Pur n P Car ( 14 Inch ) 7   FF Sachet + Grass</v>
          </cell>
          <cell r="T26" t="str">
            <v>P Spray Daisy ( 14 Inch ) 3 P n W Glad ( 14 Inch ) 7   FF Sachet + Grass</v>
          </cell>
        </row>
        <row r="27">
          <cell r="A27">
            <v>3394</v>
          </cell>
          <cell r="B27" t="str">
            <v>Rinshul Chandra</v>
          </cell>
          <cell r="C27">
            <v>7013060378</v>
          </cell>
          <cell r="D27" t="str">
            <v>T-2/203 B, 3rd Floor, M3M Golfestate East</v>
          </cell>
          <cell r="E27" t="str">
            <v>Badshahpur</v>
          </cell>
          <cell r="F27" t="str">
            <v>Friday</v>
          </cell>
          <cell r="G27" t="str">
            <v>9 AM to 2 PM</v>
          </cell>
          <cell r="H27">
            <v>2750</v>
          </cell>
          <cell r="I27">
            <v>687.5</v>
          </cell>
          <cell r="J27" t="str">
            <v>Bliss</v>
          </cell>
          <cell r="K27" t="str">
            <v>Send if only payment received in advance (28/06) Paytm from k Sai Ujjwal //</v>
          </cell>
          <cell r="N27" t="str">
            <v>2  del of this cycle   -  0-cycles pmnt   Completed - Collect 0</v>
          </cell>
          <cell r="O27" t="e">
            <v>#N/A</v>
          </cell>
          <cell r="P27" t="e">
            <v>#N/A</v>
          </cell>
          <cell r="Q27" t="e">
            <v>#N/A</v>
          </cell>
          <cell r="R27" t="e">
            <v>#N/A</v>
          </cell>
          <cell r="S27" t="str">
            <v>Pur n P Car ( 14 Inch ) 32     FF Sachet + Grass</v>
          </cell>
          <cell r="T27" t="str">
            <v>O Asiatic ( 14 Inch ) 6     2 Gypsola</v>
          </cell>
        </row>
        <row r="28">
          <cell r="A28">
            <v>2372</v>
          </cell>
          <cell r="B28" t="str">
            <v>Sumita Shahi</v>
          </cell>
          <cell r="C28">
            <v>9910955257</v>
          </cell>
          <cell r="D28" t="str">
            <v xml:space="preserve">T-A/501, Spaze I-tech Park, </v>
          </cell>
          <cell r="E28" t="str">
            <v>Sohna Road 1</v>
          </cell>
          <cell r="F28" t="str">
            <v>Friday</v>
          </cell>
          <cell r="G28" t="str">
            <v>9 AM - 12 PM</v>
          </cell>
          <cell r="H28">
            <v>1950</v>
          </cell>
          <cell r="I28">
            <v>487.5</v>
          </cell>
          <cell r="J28" t="str">
            <v>Joy</v>
          </cell>
          <cell r="K28" t="str">
            <v>Skip 1 week (04/01) Skip 1 week (25/06) Send tom (26/06) Tday returned (15/08) Hold tom (05/09) Today hold n skip 1 week (26/09) Skip tom (19/03) Upgrade to Joy and four plus 1 Pack (12/04) Hold today (01/05) Skip 1 week (23/06)</v>
          </cell>
          <cell r="N28" t="str">
            <v>2  del of this cycle   -  0-cycles pmnt   Completed - Collect 0</v>
          </cell>
          <cell r="O28" t="str">
            <v>Mix Alstroemeria ( 12 Inch ) 22     FF Sachet + Grass</v>
          </cell>
          <cell r="P28" t="str">
            <v>Pur n P Eustoma ( 14 Inch ) 4     FF Sachet + Grass</v>
          </cell>
          <cell r="Q28" t="str">
            <v>O Asiatic ( 14 Inch ) 4     Grass</v>
          </cell>
          <cell r="R28" t="e">
            <v>#N/A</v>
          </cell>
          <cell r="S28" t="str">
            <v>Pur n P Car ( 14 Inch ) 22     FF Sachet + Grass</v>
          </cell>
          <cell r="T28" t="str">
            <v>P n Y Spray Daisy ( 14 Inch ) 7     FF Sachet + Grass</v>
          </cell>
        </row>
        <row r="29">
          <cell r="A29">
            <v>3383</v>
          </cell>
          <cell r="B29" t="str">
            <v>Jaya Todi</v>
          </cell>
          <cell r="C29">
            <v>8084159730</v>
          </cell>
          <cell r="D29" t="str">
            <v>T-6/1001, M3M Heights, Sec 65</v>
          </cell>
          <cell r="E29" t="str">
            <v>Badshahpur</v>
          </cell>
          <cell r="F29" t="str">
            <v>Saturday</v>
          </cell>
          <cell r="G29" t="str">
            <v>4 PM to 7PM</v>
          </cell>
          <cell r="H29">
            <v>1450</v>
          </cell>
          <cell r="I29">
            <v>362.5</v>
          </cell>
          <cell r="J29" t="str">
            <v>Bliss</v>
          </cell>
          <cell r="N29" t="str">
            <v>4  del of this cycle   -  0-cycles pmnt   Completed - Collect 0</v>
          </cell>
          <cell r="O29" t="e">
            <v>#N/A</v>
          </cell>
          <cell r="P29" t="e">
            <v>#N/A</v>
          </cell>
          <cell r="Q29" t="str">
            <v xml:space="preserve">R n P Car ( 14 Inch ) 16    FF Sachet + Grass </v>
          </cell>
          <cell r="R29" t="str">
            <v>O Asiatic ( 14 Inch ) 3     Grass</v>
          </cell>
          <cell r="S29" t="str">
            <v>P n W Glad ( 14 Inch ) 16     Grass</v>
          </cell>
          <cell r="T29" t="str">
            <v>P n Y Spray Daisy ( 14 Inch ) 5     FF Sachet + Grass</v>
          </cell>
        </row>
        <row r="30">
          <cell r="A30">
            <v>3408</v>
          </cell>
          <cell r="B30" t="str">
            <v>Nikhita Basu</v>
          </cell>
          <cell r="C30">
            <v>9899591153</v>
          </cell>
          <cell r="D30" t="str">
            <v>4086, 01st Floor, Amara House, H Block, Ansal Essencia, Sector 67-A</v>
          </cell>
          <cell r="E30" t="str">
            <v>Badshahpur</v>
          </cell>
          <cell r="F30" t="str">
            <v>Friday</v>
          </cell>
          <cell r="G30" t="str">
            <v>4 Pm to 7 PM</v>
          </cell>
          <cell r="H30">
            <v>1450</v>
          </cell>
          <cell r="I30">
            <v>1450</v>
          </cell>
          <cell r="J30" t="str">
            <v>Bliss</v>
          </cell>
          <cell r="N30" t="str">
            <v>1  del of this cycle   -  0-cycles pmnt   Completed - Collect 0</v>
          </cell>
          <cell r="O30" t="e">
            <v>#N/A</v>
          </cell>
          <cell r="P30" t="e">
            <v>#N/A</v>
          </cell>
          <cell r="Q30" t="e">
            <v>#N/A</v>
          </cell>
          <cell r="R30" t="e">
            <v>#N/A</v>
          </cell>
          <cell r="S30" t="e">
            <v>#N/A</v>
          </cell>
          <cell r="T30" t="str">
            <v>G n W Car ( 14 Inch ) 16     FF Sachet + Grass</v>
          </cell>
        </row>
        <row r="31">
          <cell r="A31">
            <v>2985</v>
          </cell>
          <cell r="B31" t="str">
            <v>Leena -- Orchid Petals</v>
          </cell>
          <cell r="C31">
            <v>9810768350</v>
          </cell>
          <cell r="D31" t="str">
            <v>T-24/1103, Orchid Petals</v>
          </cell>
          <cell r="E31" t="str">
            <v>Sohna Road 1</v>
          </cell>
          <cell r="F31" t="str">
            <v>Friday</v>
          </cell>
          <cell r="G31" t="str">
            <v>9 AM - 12 PM</v>
          </cell>
          <cell r="H31">
            <v>1450</v>
          </cell>
          <cell r="I31">
            <v>362.5</v>
          </cell>
          <cell r="J31" t="str">
            <v>Bliss</v>
          </cell>
          <cell r="K31" t="str">
            <v>1st del tom and then every Friday // Upgrade to Bliss (08/01) Hold today (06/02) Skip Friday and send on Sunday this week (20/05)</v>
          </cell>
          <cell r="N31" t="str">
            <v>2  del of this cycle   -  0-cycles pmnt   Completed - Collect 0</v>
          </cell>
          <cell r="O31" t="str">
            <v>O Asiatic ( 14 Inch ) 3     Grass</v>
          </cell>
          <cell r="P31" t="str">
            <v>P n W Glad ( 14 Inch ) 16     Grass</v>
          </cell>
          <cell r="Q31" t="str">
            <v xml:space="preserve">Pur Eustom ( 12 Inch ) 3    FF Sachet + Grass </v>
          </cell>
          <cell r="R31" t="str">
            <v>P n Y Spray Daisy ( 14 Inch ) 5     FF sachet + Grass</v>
          </cell>
          <cell r="S31" t="str">
            <v>Pur n P Car ( 14 Inch ) 16     FF Sachet + Grass</v>
          </cell>
          <cell r="T31" t="str">
            <v>Rajni ( 14 Inch ) 16     Grass</v>
          </cell>
        </row>
        <row r="32">
          <cell r="A32">
            <v>172</v>
          </cell>
          <cell r="B32" t="str">
            <v>Rachna Rathee</v>
          </cell>
          <cell r="C32">
            <v>9811779661</v>
          </cell>
          <cell r="D32" t="str">
            <v xml:space="preserve">DX-106 flat no,Kendriya vihar Sector 56
</v>
          </cell>
          <cell r="G32" t="str">
            <v>Replacment</v>
          </cell>
          <cell r="H32" t="str">
            <v>Replacment</v>
          </cell>
          <cell r="I32" t="str">
            <v>Replacment</v>
          </cell>
          <cell r="J32" t="str">
            <v>Replacment</v>
          </cell>
          <cell r="K32" t="str">
            <v>Replacment</v>
          </cell>
          <cell r="L32" t="str">
            <v>Replacment</v>
          </cell>
          <cell r="M32" t="str">
            <v>Replacment</v>
          </cell>
          <cell r="N32" t="str">
            <v>Replacment</v>
          </cell>
          <cell r="O32" t="str">
            <v>Replacment</v>
          </cell>
          <cell r="P32" t="str">
            <v>Replacment</v>
          </cell>
          <cell r="Q32" t="str">
            <v>Replacment</v>
          </cell>
          <cell r="R32" t="str">
            <v>Replacment</v>
          </cell>
          <cell r="S32" t="str">
            <v>Replacment</v>
          </cell>
          <cell r="T32" t="str">
            <v>Sunflower ( 12 Inch ) 4     FF Sachet + Grass</v>
          </cell>
        </row>
        <row r="33">
          <cell r="A33">
            <v>3013</v>
          </cell>
          <cell r="B33" t="str">
            <v>Surabhi Sukriti</v>
          </cell>
          <cell r="C33">
            <v>8652750573</v>
          </cell>
          <cell r="D33" t="str">
            <v>D-804, Bestech Park Viw Spa Next, Sec 67</v>
          </cell>
          <cell r="E33" t="str">
            <v>Badshahpur</v>
          </cell>
          <cell r="F33" t="str">
            <v>Friday</v>
          </cell>
          <cell r="G33" t="str">
            <v>4 PM to 7 PM</v>
          </cell>
          <cell r="H33">
            <v>1450</v>
          </cell>
          <cell r="I33">
            <v>362.5</v>
          </cell>
          <cell r="J33" t="str">
            <v>Bliss</v>
          </cell>
          <cell r="K33" t="str">
            <v>Skip 1 week (01/10) Add changed (05/04) Today Hold (26/06)</v>
          </cell>
          <cell r="N33" t="str">
            <v>2  del of this cycle   -  0-cycles pmnt   Completed - Collect 0</v>
          </cell>
          <cell r="O33" t="str">
            <v>P Spray Daisy ( 14 Inch ) 3 P n W Glad ( 14 Inch ) 7   FF Sachet + Grass</v>
          </cell>
          <cell r="P33" t="str">
            <v>Pur Eustoma ( 12 Inch ) 2 Pur n P Car ( 14 Inch ) 7   FF Sachet + Grass</v>
          </cell>
          <cell r="Q33" t="str">
            <v xml:space="preserve">Sunflower ( 12 Inch ) 2 Mix Alstroemeria (  12 Inch ) 7  FF Sachet + Grass </v>
          </cell>
          <cell r="R33" t="str">
            <v>P Asiatic ( 14 Inch ) 2 Glad ( 14 Inch ) 7   Grass</v>
          </cell>
          <cell r="S33" t="str">
            <v>G Spray Daisy ( 14 Inch ) 3 P n W Car ( 14 Inch ) 7   FF Sachet + Grass</v>
          </cell>
          <cell r="T33" t="str">
            <v>Sunflower ( 12 Inch) 2 Rajni ( 14 Inch ) 7   FF Sachet + Grass</v>
          </cell>
        </row>
        <row r="34">
          <cell r="A34">
            <v>3047</v>
          </cell>
          <cell r="B34" t="str">
            <v>Meenal</v>
          </cell>
          <cell r="C34">
            <v>9811222881</v>
          </cell>
          <cell r="D34" t="str">
            <v>168, Deerwood</v>
          </cell>
          <cell r="E34" t="str">
            <v>Badshahpur</v>
          </cell>
          <cell r="F34" t="str">
            <v>Friday</v>
          </cell>
          <cell r="G34" t="str">
            <v>4 PM to 7PM</v>
          </cell>
          <cell r="H34">
            <v>1450</v>
          </cell>
          <cell r="I34">
            <v>362.5</v>
          </cell>
          <cell r="J34" t="str">
            <v>Bliss</v>
          </cell>
          <cell r="K34" t="str">
            <v>Skip Friday and sned on Monday (07/01) HDTNP (24/04) Skip 2 week (27/05) Today returned (19/06)</v>
          </cell>
          <cell r="N34" t="str">
            <v>2  del of this cycle   -  1-cycles pmnt   Pending - Collect 1450</v>
          </cell>
          <cell r="O34" t="e">
            <v>#N/A</v>
          </cell>
          <cell r="P34" t="str">
            <v>P Asiatic ( 14 Inch ) 2     Grass</v>
          </cell>
          <cell r="Q34" t="str">
            <v xml:space="preserve">Pur n P Car ( 14 Inch ) 9    FF Sachet + Grass </v>
          </cell>
          <cell r="R34" t="str">
            <v>P n W Glad ( 14 Inch ) 9     Grass</v>
          </cell>
          <cell r="S34" t="str">
            <v>Sunflower ( 12 Inch ) 4     FF Sachet + Grass</v>
          </cell>
          <cell r="T34" t="str">
            <v>Y Asiatic ( 14 Inch ) 3     FF Sachet + Grass</v>
          </cell>
        </row>
        <row r="35">
          <cell r="A35">
            <v>2323</v>
          </cell>
          <cell r="B35" t="str">
            <v>Chhavi Chugh</v>
          </cell>
          <cell r="C35">
            <v>9632045533</v>
          </cell>
          <cell r="D35" t="str">
            <v>FE-01-1B, M3M Golfestate, Sec 65</v>
          </cell>
          <cell r="E35" t="str">
            <v>Badshahpur</v>
          </cell>
          <cell r="F35" t="str">
            <v>Friday</v>
          </cell>
          <cell r="G35" t="str">
            <v>9 AM - 12 PM</v>
          </cell>
          <cell r="H35">
            <v>3950</v>
          </cell>
          <cell r="I35">
            <v>493.75</v>
          </cell>
          <cell r="J35" t="str">
            <v>Grace</v>
          </cell>
          <cell r="K35" t="str">
            <v>Send 1 Del Tom (17/10) Skip 1 week (14/11) Skip tom n send on Monday (23/10) Replacement of 1 sunflower tom (07/11) Skip n sned on Monday (16/02) Skip 10th and send on 12th Apr (008/04)</v>
          </cell>
          <cell r="N35" t="str">
            <v>2  del of this cycle   -  0-cycles pmnt   Completed - Collect 0</v>
          </cell>
          <cell r="O35" t="e">
            <v>#N/A</v>
          </cell>
          <cell r="P35" t="e">
            <v>#N/A</v>
          </cell>
          <cell r="Q35" t="e">
            <v>#N/A</v>
          </cell>
          <cell r="R35" t="e">
            <v>#N/A</v>
          </cell>
          <cell r="S35" t="e">
            <v>#N/A</v>
          </cell>
          <cell r="T35" t="str">
            <v>Mix Alstroemeria ( 12 Inch ) 20     FF Sachet + Grass</v>
          </cell>
        </row>
        <row r="36">
          <cell r="A36">
            <v>3050</v>
          </cell>
          <cell r="B36" t="str">
            <v>Unnati Jain</v>
          </cell>
          <cell r="C36">
            <v>8999727355</v>
          </cell>
          <cell r="D36" t="str">
            <v>T-16/1003, Orchid Petals</v>
          </cell>
          <cell r="E36" t="str">
            <v>Sohna Road 1</v>
          </cell>
          <cell r="F36" t="str">
            <v>Monday</v>
          </cell>
          <cell r="G36" t="str">
            <v>9 AM - 12 PM</v>
          </cell>
          <cell r="H36">
            <v>1600</v>
          </cell>
          <cell r="I36">
            <v>200</v>
          </cell>
          <cell r="J36" t="str">
            <v>Bloom</v>
          </cell>
          <cell r="K36" t="str">
            <v>Hold n start From 7th Nov (16/10) Skip 1 week (13/11) Today retirned and skip next week also (28/11) Check in Feb to restart (20/12) Skip 1 week (31/05) Hold n start from July (15/06)</v>
          </cell>
          <cell r="N36" t="str">
            <v>6  del of this cycle   -  0-cycles pmnt   Completed - Collect 0</v>
          </cell>
          <cell r="O36" t="e">
            <v>#N/A</v>
          </cell>
          <cell r="P36" t="str">
            <v>B Daisy ( 12 Inch ) 7     Grass</v>
          </cell>
          <cell r="Q36" t="e">
            <v>#N/A</v>
          </cell>
          <cell r="R36" t="e">
            <v>#N/A</v>
          </cell>
          <cell r="S36" t="str">
            <v>Pur n P Car ( 14 Inch ) 7     FF Sachet + Grass</v>
          </cell>
          <cell r="T36" t="str">
            <v>Sunflower ( 12 Inch) 2     FF Sachet + Grass</v>
          </cell>
        </row>
        <row r="37">
          <cell r="A37">
            <v>2123</v>
          </cell>
          <cell r="B37" t="str">
            <v>Meenu Singh</v>
          </cell>
          <cell r="C37">
            <v>9999982765</v>
          </cell>
          <cell r="D37" t="str">
            <v xml:space="preserve">FLAT NO 16 A, TOWER 2, FAIRWAY EAST, M3M GOLF ESTATE
</v>
          </cell>
          <cell r="E37" t="str">
            <v>Badshahpur</v>
          </cell>
          <cell r="F37" t="str">
            <v>Friday</v>
          </cell>
          <cell r="G37" t="str">
            <v>9 AM - 12 PM</v>
          </cell>
          <cell r="H37">
            <v>3750</v>
          </cell>
          <cell r="I37">
            <v>937.5</v>
          </cell>
          <cell r="J37" t="str">
            <v>Savor</v>
          </cell>
          <cell r="K37" t="str">
            <v>Mix of 1 Less Flower with more number of flowers (01/07)  NO RAJNI (03/09) Skip 3 Weeks (08/04) Skip 2 week (10/06) Returned today (13/09) Sent Replacement today (07.10) Hold today (20/12) Returned today n hold till 6th Jan (27/12) Hold due to non payment (10/10) Skip 2 weeks (14/10) Skip 1 week (13/11) Hold due to non payment (26/12) Hold due to non payment (09/01) Hold due to non payment (16/01) Hold due to non payment (23/01) Hold due to non payment (06/02) Hold due to non payment (13/02) Today Returned (03/07)</v>
          </cell>
          <cell r="M37" t="str">
            <v>Diff Flowers n Combination</v>
          </cell>
          <cell r="N37" t="str">
            <v>3  del of this cycle   -  0-cycles pmnt   Completed - Collect 0</v>
          </cell>
          <cell r="O37" t="str">
            <v>Sunflower ( 12 Inch ) 5 Mix Alstroemeria ( 12 Inch ) 20   2 Limonium + FF Sachet</v>
          </cell>
          <cell r="P37" t="str">
            <v>Pur n P Eustoma ( 14 Inch ) 4 Pur n P Car ( 14 Inch ) 16   2 Gypsola + FF Sachet</v>
          </cell>
          <cell r="Q37" t="str">
            <v>O Asiatic ( 14 Inch ) 4 P n W Glad ( 14 Inch ) 21   Grass</v>
          </cell>
          <cell r="R37" t="str">
            <v xml:space="preserve">G n Y Spray Daisy ( 14 Inch ) 5 Rajni ( 14 Inch ) 20   2 Limonium </v>
          </cell>
          <cell r="S37" t="str">
            <v>Baloon Flowers  4 Pur n P Car ( 14 Inch ) 20   FF Sachet + Grass</v>
          </cell>
          <cell r="T37" t="str">
            <v>Sunflower ( 12 Inch) 5 Mix Alstroemeria ( 12 Inch ) 20   2 Gypsola + FF Sachet</v>
          </cell>
        </row>
        <row r="38">
          <cell r="A38">
            <v>1477</v>
          </cell>
          <cell r="B38" t="str">
            <v>Priyanka Agarwal</v>
          </cell>
          <cell r="C38">
            <v>9810745341</v>
          </cell>
          <cell r="D38" t="str">
            <v>624-A, Fairway East, Sector 65</v>
          </cell>
          <cell r="E38" t="str">
            <v>Badshahpur</v>
          </cell>
          <cell r="F38" t="str">
            <v>Friday</v>
          </cell>
          <cell r="G38" t="str">
            <v>9 AM to 2 PM</v>
          </cell>
          <cell r="H38">
            <v>1600</v>
          </cell>
          <cell r="I38">
            <v>200</v>
          </cell>
          <cell r="J38" t="str">
            <v>Bloom</v>
          </cell>
          <cell r="K38" t="str">
            <v>Monday and Friday//Tuesday and Saturday//Change to 950 pack and sned in evebing slot of Saturday and Tuesday(09/09) NO GERBERA(15/11) Need to check foe the payment(11/12) Sent replacement today(10/04) No Del between 22nd to 29th Apr(13/04) Star after 29th Apr(22/04) Hold after this cycxle(02/08) Today Flowesr returned (24/04) Now send after 18th (13/05) Hold n start from July (22/05) No Flowers till 16th Nov (13/11) Hold today and 10 Days (19/02) Skop monday Del (22/03) Pls skip coming del (05/06) Return today send next week (23/05) Today Returned (15/08) Tiday Returned agains (18/08) Hold due to non payment (06/10) Hold due to non payment (10/10) Hold due to non payment (09/02) HDTNP (13/03) HDTNP (22/05) HDTNP (25/05)</v>
          </cell>
          <cell r="N38" t="str">
            <v>2  del of this cycle   -  1-cycles pmnt   Pending - Collect 1600</v>
          </cell>
          <cell r="O38" t="str">
            <v>Mix Alstroemeria ( 12 Inch ) 7     FF Sachet + Grass</v>
          </cell>
          <cell r="P38" t="str">
            <v>Pur n P Car ( 14 Inch ) 7     FF Sachet + Grass</v>
          </cell>
          <cell r="Q38" t="str">
            <v>P Spray Daisy ( 14 Inch ) 2     FF Sachet + Grass</v>
          </cell>
          <cell r="R38" t="str">
            <v>Rajni ( 14 Inch ) 7     Grass</v>
          </cell>
          <cell r="S38" t="str">
            <v>P n W Car ( 14 Inch ) 7     FF Sachet + Grass</v>
          </cell>
          <cell r="T38" t="str">
            <v>P n W Glad ( 14 Inch ) 7     Grass</v>
          </cell>
        </row>
        <row r="39">
          <cell r="A39">
            <v>1238</v>
          </cell>
          <cell r="B39" t="str">
            <v>Meenakshi Dua-- Evening Only</v>
          </cell>
          <cell r="C39">
            <v>9560900277</v>
          </cell>
          <cell r="D39" t="str">
            <v>T-9/803, Orchid Petals</v>
          </cell>
          <cell r="E39" t="str">
            <v>Sohna Road 1</v>
          </cell>
          <cell r="F39" t="str">
            <v>Friday</v>
          </cell>
          <cell r="G39" t="str">
            <v>4 PM to 7PM</v>
          </cell>
          <cell r="H39">
            <v>1950</v>
          </cell>
          <cell r="I39">
            <v>487.5</v>
          </cell>
          <cell r="J39" t="str">
            <v>Joy</v>
          </cell>
          <cell r="K39" t="str">
            <v>Friday and Tuesday// Rajni Next (14/11) Upgrade to Elations and No Heliconia and BOP // Send Rajni and Guldawari next (26/12)(26/12) No Charm (25/02) Sprya Daisy or Guldawari Tom (03/04) Send any from Guldawari/Rajnior Lily (06/04) No Flowers till 28th (17/11) Send from Orienta/ Daisy or Rajni tom (21/12) Send Replacement tom (01/03). skip tomorrow (25/04) Send replacement tom (04/07)</v>
          </cell>
          <cell r="L39" t="str">
            <v xml:space="preserve">HELICONIA n BOP n GERBERA </v>
          </cell>
          <cell r="M39" t="str">
            <v>No Yel/Wht/Red in Glad and Guldawari</v>
          </cell>
          <cell r="N39" t="str">
            <v>4  del of this cycle   -  0-cycles pmnt   Completed - Collect 0</v>
          </cell>
          <cell r="O39" t="str">
            <v>Pur n P Eustoma ( 14 Inch ) 4     FF Sachet + Grass</v>
          </cell>
          <cell r="P39" t="str">
            <v>P n Y Spray Daisy ( 14 Inch ) 7     FF Sachet + Grass</v>
          </cell>
          <cell r="Q39" t="str">
            <v>Mix Car 22     FF sachet + Grass</v>
          </cell>
          <cell r="R39" t="str">
            <v>O Asiatic ( 14 Inch ) 4     Grass</v>
          </cell>
          <cell r="S39" t="str">
            <v>Baloon Flower 4     Grass</v>
          </cell>
          <cell r="T39" t="str">
            <v>Mix Spray Daisy 7     Grass</v>
          </cell>
        </row>
        <row r="40">
          <cell r="A40">
            <v>3078</v>
          </cell>
          <cell r="B40" t="str">
            <v>Jayati Dhingra</v>
          </cell>
          <cell r="C40">
            <v>9953158378</v>
          </cell>
          <cell r="D40" t="str">
            <v>3001, 30th Floor, M3M Lattitude, Sec 65</v>
          </cell>
          <cell r="E40" t="str">
            <v>Badshahpur</v>
          </cell>
          <cell r="F40" t="str">
            <v>Friday</v>
          </cell>
          <cell r="G40" t="str">
            <v>9 AM - 12 PM</v>
          </cell>
          <cell r="H40">
            <v>1950</v>
          </cell>
          <cell r="I40">
            <v>487.5</v>
          </cell>
          <cell r="J40" t="str">
            <v>Joy</v>
          </cell>
          <cell r="K40" t="str">
            <v>No Rajni for some time being (31/10) Skip 1 week (17/12) Skip 1 week (21/01) Skip 1 week (12/02) Skip 1 week (23/02) Send tom (26/02) Replacement tom (16/05) Skip 1 week (21/05) Returned today (29/05)</v>
          </cell>
          <cell r="M40" t="str">
            <v>Check before sending (21/05)</v>
          </cell>
          <cell r="N40" t="str">
            <v>4  del of this cycle   -  0-cycles pmnt   Completed - Collect 0</v>
          </cell>
          <cell r="O40" t="str">
            <v>W Asiatic ( 14 Inch ) 2 P n W Glad ( 14 Inch ) 11   Grass</v>
          </cell>
          <cell r="P40" t="e">
            <v>#N/A</v>
          </cell>
          <cell r="Q40" t="e">
            <v>#N/A</v>
          </cell>
          <cell r="R40" t="str">
            <v>P Asiatic ( 14 Inch ) 2 Alstomeria( 12 Inch ) 11   Grass</v>
          </cell>
          <cell r="S40" t="str">
            <v>Sunflower ( 12 Inch ) 3 Pur n P Car ( 14 Inch ) 11   FF Sachet + Grass</v>
          </cell>
          <cell r="T40" t="str">
            <v>P n W Spray Daisy ( 14  Inch )  4 P n W Glad ( 14 Inch ) 11   FF Sachet + Grass</v>
          </cell>
        </row>
        <row r="41">
          <cell r="A41">
            <v>48</v>
          </cell>
          <cell r="B41" t="str">
            <v>Ms. Namrata Agarwal</v>
          </cell>
          <cell r="C41">
            <v>9873660272</v>
          </cell>
          <cell r="D41" t="str">
            <v>18/1101,Orchid Petals, Sohna Road</v>
          </cell>
          <cell r="E41" t="str">
            <v>Sohna Road 1</v>
          </cell>
          <cell r="F41" t="str">
            <v>Friday</v>
          </cell>
          <cell r="G41" t="str">
            <v>9 AM - 12 PM</v>
          </cell>
          <cell r="H41">
            <v>1950</v>
          </cell>
          <cell r="I41">
            <v>487.5</v>
          </cell>
          <cell r="J41" t="str">
            <v>Joy</v>
          </cell>
          <cell r="K41" t="str">
            <v>More Lilies n Orchids (20/05), NO ORCHID(12/10)  NO HELICONIA and send vase Next for 200(01/02) Send 1 vase for 200 tom(05/02)NO BOP(13/03) Paytm from Vipul Agarwal (09/06) Skip 3 weeks after current cycle (10/06) Paytm from Vipul Agarwal (14/07) Do not count last del (09/09) Skip 2 week (29/05) Today Returned (20/06) Hold due to non payment (16/01) Hold due to non payment (23/01) HDTNP (27/02) HDTNP (06/03) HDTNP (13/03) Skip 3 week (19/04)</v>
          </cell>
          <cell r="N41" t="str">
            <v>4  del of this cycle   -  0-cycles pmnt   Completed - Collect 0</v>
          </cell>
          <cell r="O41" t="str">
            <v>P n W Glad ( 14 Inch ) 22     Grass</v>
          </cell>
          <cell r="P41" t="str">
            <v>Mix Alstroemeria ( 12 Inch ) 22     FF Sachet + Grass</v>
          </cell>
          <cell r="Q41" t="str">
            <v>Sunflower ( 12 Inch ) 5     FF sachet + Grass</v>
          </cell>
          <cell r="R41" t="str">
            <v>Pur n P Car ( 14 Inch ) 22     FF Sachet + Grass</v>
          </cell>
          <cell r="S41" t="str">
            <v>G n Y Spray Daisy ( 14 Inch ) 7     Grass</v>
          </cell>
          <cell r="T41" t="str">
            <v>Y Asiatic ( 14 Inch ) 4     Grass</v>
          </cell>
        </row>
        <row r="42">
          <cell r="A42">
            <v>3338</v>
          </cell>
          <cell r="B42" t="str">
            <v>Richa Khullar</v>
          </cell>
          <cell r="C42">
            <v>9871797835</v>
          </cell>
          <cell r="D42" t="str">
            <v>A3/1101, Tulip Yellow</v>
          </cell>
          <cell r="E42" t="str">
            <v>Badshahpur</v>
          </cell>
          <cell r="F42" t="str">
            <v>Friday</v>
          </cell>
          <cell r="G42" t="str">
            <v>4 Pm to 7 PM</v>
          </cell>
          <cell r="H42">
            <v>1450</v>
          </cell>
          <cell r="I42">
            <v>362.5</v>
          </cell>
          <cell r="J42" t="str">
            <v>Bliss</v>
          </cell>
          <cell r="K42" t="str">
            <v>Love Alstroemeria  // Skip 1 week (16/06)</v>
          </cell>
          <cell r="N42" t="str">
            <v>3  del of this cycle   -  0-cycles pmnt   Completed - Collect 0</v>
          </cell>
          <cell r="O42" t="str">
            <v>O Asiatic ( 14 Inch ) 3     Grass</v>
          </cell>
          <cell r="P42" t="str">
            <v>P n W Spray Daisy ( 14 Inch ) 5     FF Sachet + Grass</v>
          </cell>
          <cell r="Q42" t="e">
            <v>#N/A</v>
          </cell>
          <cell r="R42" t="str">
            <v>P n W Glad ( 14 Inch ) 16     Grass</v>
          </cell>
          <cell r="S42" t="str">
            <v>Sunflower ( 12 Inch ) 4     FF Sachet + Grass</v>
          </cell>
          <cell r="T42" t="str">
            <v>G n W Car ( 14 Inch ) 16     FF Sachet + Grass</v>
          </cell>
        </row>
        <row r="43">
          <cell r="A43">
            <v>163</v>
          </cell>
          <cell r="B43" t="str">
            <v>Rasmeeta Nayak</v>
          </cell>
          <cell r="C43">
            <v>8800444342</v>
          </cell>
          <cell r="D43" t="str">
            <v>H-504, Park View City - 2, Sohna Road</v>
          </cell>
          <cell r="E43" t="str">
            <v>Sohna Road 1</v>
          </cell>
          <cell r="F43" t="str">
            <v>Friday</v>
          </cell>
          <cell r="G43" t="str">
            <v>9 AM - 12 PM</v>
          </cell>
          <cell r="H43">
            <v>1950</v>
          </cell>
          <cell r="I43">
            <v>487.5</v>
          </cell>
          <cell r="J43" t="str">
            <v>Joy</v>
          </cell>
          <cell r="K43" t="str">
            <v xml:space="preserve"> NO GLAD(12/04)  NO BOP(12/12)  NO HELICONIA(24/12)  Today returned-send tom(20/05) Return today and skip 1 week(09/09) Double Del tom with Lily and Rajnigandha (20/10) Today Returned -- send on 16th (14/07) Hold n start from 22nd Sep (08/08) Skip 2 week (16/03) Send 4th Del on Wednesday not on Friday (23/10) Today Returned (21/02) Skip n send on Monday (11/03) Skip 1 week (27/03) Skip 1 week (02/07) Hold n skip 2 weeks // hold she will confirm (19/12)</v>
          </cell>
          <cell r="N43" t="str">
            <v>1  del of this cycle   -  0-cycles pmnt   Completed - Collect 0</v>
          </cell>
          <cell r="O43" t="str">
            <v>W Asiatic ( 14 Inch ) 4     Grass</v>
          </cell>
          <cell r="P43" t="str">
            <v>Pur n P Car ( 14 Inch ) 22     FF Sachet + Grass</v>
          </cell>
          <cell r="Q43" t="str">
            <v>Sunflower ( 12 Inch ) 5     FF sachet + Grass</v>
          </cell>
          <cell r="R43" t="str">
            <v>Pur n P Eustoma ( 12 Inch ) 4     FF Sachet + Grass</v>
          </cell>
          <cell r="S43" t="str">
            <v>P n W Glad ( 14 Inch ) 22 1st Del Tom in Route 1st Del Tom in Route 1st Del Tom in Route  Grass</v>
          </cell>
          <cell r="T43" t="str">
            <v>O Asiatic ( 14 Inch ) 4     Grass</v>
          </cell>
        </row>
        <row r="44">
          <cell r="A44">
            <v>2427</v>
          </cell>
          <cell r="B44" t="str">
            <v>Amrita Jain</v>
          </cell>
          <cell r="C44">
            <v>9560706242</v>
          </cell>
          <cell r="D44" t="str">
            <v>Flat 72, Emilia C2, Gardenia Street</v>
          </cell>
          <cell r="E44" t="str">
            <v>Sohna Road 1</v>
          </cell>
          <cell r="F44" t="str">
            <v>Friday</v>
          </cell>
          <cell r="G44" t="str">
            <v>9 AM - 12 PM</v>
          </cell>
          <cell r="H44">
            <v>1450</v>
          </cell>
          <cell r="I44">
            <v>362.5</v>
          </cell>
          <cell r="J44" t="str">
            <v>Bliss</v>
          </cell>
          <cell r="K44" t="str">
            <v>Referred By Mohar Ray Dahiya // Replacement tom (23/03) No Rose n Orchid (14/04) Send replacement tom of Car (29/07) Payment from Amrita  Das Gupta (20/09) Today Returned (24/10) Do not count last fdel (29/10) Hold due to non payment (26/12) Skip due to non payment (01/01/26) Send one del tom (04/01) HDTNP (27/02)</v>
          </cell>
          <cell r="L44" t="str">
            <v>Rose n Orchid</v>
          </cell>
          <cell r="N44" t="str">
            <v>4  del of this cycle   -  0-cycles pmnt   Completed - Collect 0</v>
          </cell>
          <cell r="O44" t="str">
            <v>Y Spray Daisy ( 14 Inch ) 3 P n W Glad ( 14 Inch ) 7   FF Sachet + Grass</v>
          </cell>
          <cell r="P44" t="str">
            <v>P Asiatic ( 14 Inch ) 2 Mix Alstroemeria ( 12 Inch ) 7   Grass</v>
          </cell>
          <cell r="Q44" t="str">
            <v xml:space="preserve">Sunflower ( 12 Inch ) 2 Pur n P Car ( 14 Inch ) 7  FF Sachet + Grass </v>
          </cell>
          <cell r="R44" t="str">
            <v>P Eustoma ( 12 Inch ) 2 P n W Glad ( 14 Inch ) 7   FF sachet + Grass</v>
          </cell>
          <cell r="S44" t="str">
            <v>G Spray Daisy ( 14 Inch ) 3 Rajni ( 14 Inch ) 7   Grass</v>
          </cell>
          <cell r="T44" t="str">
            <v>O Asiatic ( 14 Inch ) 2 G n W Car ( 14 Inch ) 7   Grass</v>
          </cell>
        </row>
        <row r="45">
          <cell r="A45">
            <v>2583</v>
          </cell>
          <cell r="B45" t="str">
            <v>Bhumika Gupta</v>
          </cell>
          <cell r="C45">
            <v>9818096329</v>
          </cell>
          <cell r="D45" t="str">
            <v>H-37, 2nd Floor, Aaron Ville, Sec 48</v>
          </cell>
          <cell r="E45" t="str">
            <v>Sohna Road 1</v>
          </cell>
          <cell r="F45" t="str">
            <v>Friday</v>
          </cell>
          <cell r="G45" t="str">
            <v>9:30 Am to 2 PM</v>
          </cell>
          <cell r="H45">
            <v>1950</v>
          </cell>
          <cell r="I45">
            <v>487.5</v>
          </cell>
          <cell r="J45" t="str">
            <v>Joy</v>
          </cell>
          <cell r="K45" t="str">
            <v>No Rose n Glad n flowers in same color // Long Stems (20/04) Gpay from Tanmay Oberoi (15/06) Skip 3 Sunday (04/08) Skip 3 weeks (4/08) Day Change to Friday (27/09) Skip 1 week (15/01) Skip Friday (26/03) Returned today (01/05) Skip 1 week (20/06)</v>
          </cell>
          <cell r="L45" t="str">
            <v>Rose n Glad</v>
          </cell>
          <cell r="M45" t="str">
            <v>Long Stems</v>
          </cell>
          <cell r="N45" t="str">
            <v>2  del of this cycle   -  1-cycles pmnt   Pending - Collect 1950</v>
          </cell>
          <cell r="O45" t="str">
            <v>Pur Eustom ( 14 Inch ) 2 Mix Alstroemeria ( 12 Inch ) 11   FF Sachet + Grass</v>
          </cell>
          <cell r="P45" t="str">
            <v>Sunflower ( 12 Inch ) 3 Pur n P Car ( 14 Inch ) 11   FF Sachet + Grass</v>
          </cell>
          <cell r="Q45" t="str">
            <v>P Asiatic ( 14 Inch ) 2 P n W Glad ( 14 Inch ) 11   Grass</v>
          </cell>
          <cell r="R45" t="e">
            <v>#N/A</v>
          </cell>
          <cell r="S45" t="str">
            <v>Sunflower ( 12 Inch ) 3 Rajni ( 14 Inch ) 11   FF Sachet + Grass</v>
          </cell>
          <cell r="T45" t="str">
            <v>P n W Spray Daisy ( 14  Inch )  4 G n W Car ( 14 Inch ) 11   FF Sachet + Grass</v>
          </cell>
        </row>
        <row r="46">
          <cell r="A46">
            <v>3382</v>
          </cell>
          <cell r="B46" t="str">
            <v>Bhavna Jain</v>
          </cell>
          <cell r="C46">
            <v>8800691541</v>
          </cell>
          <cell r="D46" t="str">
            <v>D-15/301, Ireo Victory Valley, Sec 67</v>
          </cell>
          <cell r="E46" t="str">
            <v>Badshahpur</v>
          </cell>
          <cell r="F46" t="str">
            <v>Friday</v>
          </cell>
          <cell r="G46" t="str">
            <v>9:30 Am to 2 PM</v>
          </cell>
          <cell r="H46">
            <v>1450</v>
          </cell>
          <cell r="I46">
            <v>362.5</v>
          </cell>
          <cell r="J46" t="str">
            <v>Bliss</v>
          </cell>
          <cell r="N46" t="str">
            <v>4  del of this cycle   -  0-cycles pmnt   Completed - Collect 0</v>
          </cell>
          <cell r="O46" t="e">
            <v>#N/A</v>
          </cell>
          <cell r="P46" t="e">
            <v>#N/A</v>
          </cell>
          <cell r="Q46" t="str">
            <v xml:space="preserve">R n P Car ( 14 Inch ) 16    FF Sachet + Grass </v>
          </cell>
          <cell r="R46" t="str">
            <v>O Asiatic ( 14 Inch ) 3     Grass</v>
          </cell>
          <cell r="S46" t="str">
            <v>P n W Glad ( 14 Inch ) 16     Grass</v>
          </cell>
          <cell r="T46" t="str">
            <v>P n Y Spray Daisy ( 14 Inch ) 5     FF Sachet + Grass</v>
          </cell>
        </row>
        <row r="47">
          <cell r="A47">
            <v>3011</v>
          </cell>
          <cell r="B47" t="str">
            <v>Nandita Sharma</v>
          </cell>
          <cell r="C47">
            <v>9702930000</v>
          </cell>
          <cell r="D47" t="str">
            <v>Sovereign-2/102, Vatila City</v>
          </cell>
          <cell r="E47" t="str">
            <v>Sohna Road 1</v>
          </cell>
          <cell r="F47" t="str">
            <v>Friday</v>
          </cell>
          <cell r="G47" t="str">
            <v>9 AM to 2 PM</v>
          </cell>
          <cell r="H47">
            <v>1450</v>
          </cell>
          <cell r="I47">
            <v>362.5</v>
          </cell>
          <cell r="J47" t="str">
            <v>Bliss</v>
          </cell>
          <cell r="K47" t="str">
            <v>Hld till 8th Mar (22/02)</v>
          </cell>
          <cell r="N47" t="str">
            <v>1  del of this cycle   -  1-cycles pmnt   Pending - Collect 1450</v>
          </cell>
          <cell r="O47" t="str">
            <v>P Spray Daisy ( 14 Inch ) 3 P n W Glad ( 14 Inch ) 7   FF Sachet + Grass</v>
          </cell>
          <cell r="P47" t="str">
            <v>Pur Eustoma ( 12 Inch ) 2 Pur n P Car ( 14 Inch ) 7   FF Sachet + Grass</v>
          </cell>
          <cell r="Q47" t="str">
            <v xml:space="preserve">Sunflower ( 12 Inch ) 2 Mix Alstroemeria (  12 Inch ) 7  FF Sachet + Grass </v>
          </cell>
          <cell r="R47" t="str">
            <v>P Asiatic ( 14 Inch ) 2 Rajni ( 14 Inch ) 7   Grass</v>
          </cell>
          <cell r="S47" t="str">
            <v>G Spray Daisy ( 14 Inch ) 3 P n W Glad ( 14 Inch ) 7   FF Sachet + Grass</v>
          </cell>
          <cell r="T47" t="str">
            <v>Sunflower ( 12 Inch) 2 G n W Car ( 14 Inch ) 7   FF Sachet + Grass</v>
          </cell>
        </row>
        <row r="48">
          <cell r="A48">
            <v>2126</v>
          </cell>
          <cell r="B48" t="str">
            <v>Nidhi Sehgal</v>
          </cell>
          <cell r="C48">
            <v>9620110010</v>
          </cell>
          <cell r="D48" t="str">
            <v>D-23 Flat No 0002 Victory Valley Sec 67</v>
          </cell>
          <cell r="E48" t="str">
            <v>Badshahpur</v>
          </cell>
          <cell r="F48" t="str">
            <v>Friday</v>
          </cell>
          <cell r="G48" t="str">
            <v>9 AM - 12 PM</v>
          </cell>
          <cell r="H48">
            <v>2750</v>
          </cell>
          <cell r="I48">
            <v>687.5</v>
          </cell>
          <cell r="J48" t="str">
            <v>Elation</v>
          </cell>
          <cell r="K48" t="str">
            <v>Mixed Flowers // Always FF (15/05) Hold till 15th June (19/05) FF with all Flowers (12/06)</v>
          </cell>
          <cell r="M48" t="str">
            <v>Mixed Flowers and always FF</v>
          </cell>
          <cell r="N48" t="str">
            <v>2  del of this cycle   -  0-cycles pmnt   Completed - Collect 0</v>
          </cell>
          <cell r="O48" t="e">
            <v>#N/A</v>
          </cell>
          <cell r="P48" t="str">
            <v>O Asiatic 3 Pur n P Car ( 14 Inch ) 16   2 Limonium + FF Sachet</v>
          </cell>
          <cell r="Q48" t="str">
            <v>P Eustoma ( 12 Inch ) 4 P n W Glad ( 14 Inch ) 16  FF sachet + Grass FF sachet + Grass</v>
          </cell>
          <cell r="R48" t="str">
            <v>P n Y Spray Daisy ( 14 Inch ) 5 Mix Carnation  ( 12 Inch ) 15   FF Sachet + Grass</v>
          </cell>
          <cell r="S48" t="str">
            <v>Sunflower ( 12 Inch ) 4 Rajni ( 14 Inch ) 16   FF Sachet + Grass</v>
          </cell>
          <cell r="T48" t="str">
            <v>O Asiatic ( 14 Inch ) 3 Mix Alstroemeria ( 12 Inch ) 16   FF Sachet + Grass</v>
          </cell>
        </row>
        <row r="49">
          <cell r="A49">
            <v>2018</v>
          </cell>
          <cell r="B49" t="str">
            <v>Lakshmi Shankaran</v>
          </cell>
          <cell r="C49">
            <v>9818054747</v>
          </cell>
          <cell r="D49" t="str">
            <v>C2/202,  Sovereign Vatika City</v>
          </cell>
          <cell r="E49" t="str">
            <v>Sohna Road 1</v>
          </cell>
          <cell r="F49" t="str">
            <v>Friday</v>
          </cell>
          <cell r="G49" t="str">
            <v>9 AM - 12 PM</v>
          </cell>
          <cell r="H49">
            <v>1450</v>
          </cell>
          <cell r="I49">
            <v>362.5</v>
          </cell>
          <cell r="J49" t="str">
            <v>Bliss</v>
          </cell>
          <cell r="K49" t="str">
            <v>Friday n Monday//Skip 1 week n send 1 Flower foo with next del (11/01) Skip 1 week and send 1 Flowers food box next (21/01) Send 1 FF Tom (05/02) Red n Yel Gerbera Tom (06/04) Sent a replacement today (08/04) same bliss package (27/04) Send change tom (01/06) Send replacement today due to Glad (17/07) No Bliss (27/07) Skip 1 week (29/11) Skip 1 week (23/03) Hold - start from 7th June (16/05) do not count last del (01/11) Today received 900 extra (05/12) Skip 1 week (09/01) Skip 1 week (21/01) Skip tom (22/05) Skip 2 weeks after 8th June (04/06) Today returned (27/06) Skip 1 week (05/11) Skip tom (15/01) Skip 1 week (13/95) Skip 1 week (28/05) Skip 1 week (16/06)</v>
          </cell>
          <cell r="L49" t="str">
            <v>GERBERA n GLAD</v>
          </cell>
          <cell r="N49" t="str">
            <v>1  del of this cycle   -  1-cycles pmnt   Pending - Collect 2250</v>
          </cell>
          <cell r="O49" t="str">
            <v>Mix Alstroemeria ( 12 Inch ) 16     FF Sachet + Grass</v>
          </cell>
          <cell r="P49" t="str">
            <v>W Asiatic ( 14 inch ) 3     Grass</v>
          </cell>
          <cell r="Q49" t="e">
            <v>#N/A</v>
          </cell>
          <cell r="R49" t="str">
            <v>Pur n P Car ( 14 Inch ) 16     FF sachet + Grass</v>
          </cell>
          <cell r="S49" t="str">
            <v>Sunflower ( 12 Inch ) 4     FF Sachet + Grass</v>
          </cell>
          <cell r="T49" t="str">
            <v>P n W Spray Daisy ( 14  Inch )  5     FF Sachet + Grass</v>
          </cell>
        </row>
        <row r="50">
          <cell r="A50">
            <v>2089</v>
          </cell>
          <cell r="B50" t="str">
            <v>Arshdeep Kaur</v>
          </cell>
          <cell r="C50">
            <v>8369995614</v>
          </cell>
          <cell r="D50" t="str">
            <v>B-3103, Ireo Victory Valley, Sec 67</v>
          </cell>
          <cell r="E50" t="str">
            <v>Badshahpur</v>
          </cell>
          <cell r="F50" t="str">
            <v>Friday</v>
          </cell>
          <cell r="G50" t="str">
            <v>9 AM - 12 PM</v>
          </cell>
          <cell r="H50">
            <v>1450</v>
          </cell>
          <cell r="I50">
            <v>362.5</v>
          </cell>
          <cell r="J50" t="str">
            <v>Bliss</v>
          </cell>
          <cell r="K50" t="str">
            <v>NO Rose (06/04) Send replacement tom (04/06) Skip next Friday delivery (23/09) Skip 1 week (28/09) Skip 1 week (27/10) Paytm From Karandeep Harjit Singh (26/01) Skip 1 week (28/03) Skip 1 week (18/04) Skip tom (07/05)  Skip 2 week (06/06)</v>
          </cell>
          <cell r="L50" t="str">
            <v>ROSE</v>
          </cell>
          <cell r="N50" t="str">
            <v>1  del of this cycle   -  1-cycles pmnt   Pending - Collect 1450</v>
          </cell>
          <cell r="O50" t="str">
            <v>P n W Glad ( 14 Inch ) 16     Grass</v>
          </cell>
          <cell r="P50" t="e">
            <v>#N/A</v>
          </cell>
          <cell r="Q50" t="e">
            <v>#N/A</v>
          </cell>
          <cell r="R50" t="str">
            <v>Mix Alstroemeria 16     FF sachet + Grass</v>
          </cell>
          <cell r="S50" t="str">
            <v>Pur n P Car ( 14 Inch ) 16     FF Sachet + Grass</v>
          </cell>
          <cell r="T50" t="str">
            <v>Y Asiatic ( 14 Inch ) 3     Grass</v>
          </cell>
        </row>
        <row r="51">
          <cell r="A51">
            <v>2066</v>
          </cell>
          <cell r="B51" t="str">
            <v>Shilpi Tibrewal</v>
          </cell>
          <cell r="C51">
            <v>9999103067</v>
          </cell>
          <cell r="D51" t="str">
            <v>Tower-A/3803, Ireo Victory Valley, Sec 67</v>
          </cell>
          <cell r="E51" t="str">
            <v>Badshahpur</v>
          </cell>
          <cell r="F51" t="str">
            <v>Friday</v>
          </cell>
          <cell r="G51" t="str">
            <v>4 Pm to 7 PM</v>
          </cell>
          <cell r="H51">
            <v>1450</v>
          </cell>
          <cell r="I51">
            <v>362.5</v>
          </cell>
          <cell r="J51" t="str">
            <v>Bliss</v>
          </cell>
          <cell r="K51" t="str">
            <v>Either Rose or Car// Normal Flowers (04/05) Sent replacement today (26/08) Return yesterday (17/08) Today returned (25/07)</v>
          </cell>
          <cell r="N51" t="str">
            <v>1  del of this cycle   -  0-cycles pmnt   CompletedNO COLLECTION-we have extra money - Collect -50</v>
          </cell>
          <cell r="O51" t="str">
            <v>Pur Eustom ( 14 Inch ) 3     FF Sachet + Grass</v>
          </cell>
          <cell r="P51" t="str">
            <v>P n Y Spray Daisy ( 14 Inch ) 5     FF Sachet + Grass</v>
          </cell>
          <cell r="Q51" t="str">
            <v xml:space="preserve">P n W Glad ( 14 Inch ) 16    Grass </v>
          </cell>
          <cell r="R51" t="str">
            <v>O Asiatic ( 14 Inch ) 3     Grass</v>
          </cell>
          <cell r="S51" t="str">
            <v>Pur n P Car ( 14 Inch ) 16     FF Sachet + Grass</v>
          </cell>
          <cell r="T51" t="str">
            <v>Rajni ( 14 Inch ) 16     Grass</v>
          </cell>
        </row>
        <row r="52">
          <cell r="A52">
            <v>3139</v>
          </cell>
          <cell r="B52" t="str">
            <v>Ishita Chopra</v>
          </cell>
          <cell r="C52">
            <v>9810247803</v>
          </cell>
          <cell r="D52" t="str">
            <v>B-69, Ground Floor, Soutthend Floor, Sec 49</v>
          </cell>
          <cell r="E52" t="str">
            <v>Sohna Road 1</v>
          </cell>
          <cell r="F52" t="str">
            <v>Friday</v>
          </cell>
          <cell r="G52" t="str">
            <v>4 Pm to 7 PM</v>
          </cell>
          <cell r="H52">
            <v>1450</v>
          </cell>
          <cell r="I52">
            <v>362.5</v>
          </cell>
          <cell r="J52" t="str">
            <v>Bliss</v>
          </cell>
          <cell r="K52" t="str">
            <v>No Red Rose // Today returned due to timing missunderstaning (21/11) No Roses (06/01)</v>
          </cell>
          <cell r="L52" t="str">
            <v>Roses</v>
          </cell>
          <cell r="N52" t="str">
            <v>3  del of this cycle   -  0-cycles pmnt   Completed - Collect 0</v>
          </cell>
          <cell r="O52" t="str">
            <v>O Asiatic ( 14 Inch ) 3     Grass</v>
          </cell>
          <cell r="P52" t="str">
            <v>P n W Glad ( 14 Inch ) 16     Grass</v>
          </cell>
          <cell r="Q52" t="str">
            <v xml:space="preserve">Pur Eustom ( 12 Inch ) 3    FF Sachet + Grass </v>
          </cell>
          <cell r="R52" t="str">
            <v>P n Y Spray Daisy ( 14 Inch ) 5     FF sachet + Grass</v>
          </cell>
          <cell r="S52" t="str">
            <v>Pur n P Car ( 14 Inch ) 16     FF Sachet + Grass</v>
          </cell>
          <cell r="T52" t="str">
            <v>Rajni ( 14 Inch ) 16     Grass</v>
          </cell>
        </row>
        <row r="53">
          <cell r="A53">
            <v>1996</v>
          </cell>
          <cell r="B53" t="str">
            <v>Ankita Sethi</v>
          </cell>
          <cell r="C53">
            <v>9899660037</v>
          </cell>
          <cell r="D53" t="str">
            <v>C1/202, Vatika City, Sec 49</v>
          </cell>
          <cell r="E53" t="str">
            <v>Sohna Road 1</v>
          </cell>
          <cell r="F53" t="str">
            <v>Friday</v>
          </cell>
          <cell r="G53" t="str">
            <v>9 AM - 12 PM</v>
          </cell>
          <cell r="H53">
            <v>1450</v>
          </cell>
          <cell r="I53">
            <v>362.5</v>
          </cell>
          <cell r="J53" t="str">
            <v>Bliss</v>
          </cell>
          <cell r="K53" t="str">
            <v>NO GLAD (22/12) Upgrade to Joy (19/01) NO HELICONIA ALSO (20/01) Hold today-send tom (03/02) Skip today (31/03) Send replacement tom (09/04) Sent replacement today and sent 1 replacement today (04/06) Skip today (09/06) Sent replacement today (26/-06) Skip 1 week (29/06) Skip 1 week (11/08) 1 Flower food next (04/11) Flower food next (24/11) Skip 1 week (22/12) Skip 1 week (04/01) Skip 1 week (09/05) Skip Tom (16/05) Add changed (24/05) Return today (31/05) Skip 1 week (16/01) Skip tom (06/02)  Hold today (18/04) Skip 1 week (02/07) Skip 1 week (11/09) Today returned as guldwari sent which was not restricted (21/11) Hold due to non payment (26/12) HDTNP ((24/04) Send one del Tom (26/04)</v>
          </cell>
          <cell r="L53" t="str">
            <v>GLAD n HELICONIA</v>
          </cell>
          <cell r="N53" t="str">
            <v>2  del of this cycle   -  1-cycles pmnt   Pending - Collect 1450</v>
          </cell>
          <cell r="O53" t="str">
            <v>P n Y Spray Daisy ( 14 Inch ) 5     FF Sachet + Grass</v>
          </cell>
          <cell r="P53" t="str">
            <v>Sunflower ( 12 Inch ) 4     FF Sachet + Grass</v>
          </cell>
          <cell r="Q53" t="str">
            <v xml:space="preserve">Pur Eustom ( 12 Inch ) 3    FF Sachet + Grass </v>
          </cell>
          <cell r="R53" t="str">
            <v>P n W Car ( 14 Inch ) 16     FF sachet + Grass</v>
          </cell>
          <cell r="S53" t="str">
            <v>O Asiatic ( 14 Inch ) 3     Grass</v>
          </cell>
          <cell r="T53" t="str">
            <v>Rajni ( 14 Inch ) 16     Grass</v>
          </cell>
        </row>
        <row r="54">
          <cell r="A54">
            <v>467</v>
          </cell>
          <cell r="B54" t="str">
            <v>Mamta Wassan -- From Dilip Puri</v>
          </cell>
          <cell r="C54">
            <v>9867722349</v>
          </cell>
          <cell r="D54" t="str">
            <v>1/9, Hamelia Street, Vatika City</v>
          </cell>
          <cell r="E54" t="str">
            <v>Sohna Road 1</v>
          </cell>
          <cell r="F54" t="str">
            <v>Friday</v>
          </cell>
          <cell r="G54" t="str">
            <v>4 Pm to 7 PM</v>
          </cell>
          <cell r="H54">
            <v>1450</v>
          </cell>
          <cell r="I54">
            <v>362.5</v>
          </cell>
          <cell r="J54" t="str">
            <v>Bliss</v>
          </cell>
          <cell r="K54" t="str">
            <v>Changed to Friday//Next P Asiatic(26/10)Skip 1 week(22/11) Skip 1 week(22/12) Hold n skip this week(11/01) NO RED ROSE(18/01) Skip 1 week(14/03) Return-send again tomorrow(29/03) NO MIXED FLOWERS (06/04) Send Replacement and NO ORCHIDS TILL IT GET HEALTHY(28/04) AVOID CAR(09/05) Hold again-start after 15th and inform before sending(05/07) SEND ONLY ASIATIC TILL OTHER FOWERS ARE IN BEST SHAPE OTHRE THAN ROSE/ORCHID N CAR(15/10) Skip next 2 weeks(18/11) Skip 1 week(05/12)  Hold n start from 1st week of Apr// Inform before sending(20/03) Skip 1 week(24/12) Skip 1 week(29/01) Skip 1 week(08/02) Skip 1 week(12/02) Skip 1 week(27/03) Skip 2 weeks(23/04) Skip 1 week(12/09) Holy Change(16/03) Skip 2 weeks and check before sending(03/07) Skip 1 week (05/01) Sent replacement today (30/04) Skip 1 week (28/05) Skip 1 week (29/11) Skip 3 weeks (13/05) Skip 1 week (12/07) skip 2 week (16/11) Skip 1 week (01/12) Skip 1 week (8/01) Skip 1 week (23/02) Skip 1 week (24/03) Skip 1 week n semd on Monday (13/08) Skip 1 week (04/09) Skip 1 week (04/10) Skip 1 wek (15/10) From Dilip Puri -- send only 2 weeks (12/11) Send on sunday this week and skip 24th Feb (18/03) Start from 1st June (19/05) Send tom evebing (29/05) Skip 1 week (09/06)</v>
          </cell>
          <cell r="N54" t="str">
            <v>2  del of this cycle   -  0-cycles pmnt   Completed - Collect 0</v>
          </cell>
          <cell r="O54" t="str">
            <v>Mix Alstroemeria ( 12 Inch ) 16     FF Sachet + Grass</v>
          </cell>
          <cell r="P54" t="e">
            <v>#N/A</v>
          </cell>
          <cell r="Q54" t="str">
            <v xml:space="preserve">O Asiatic ( 14 Inch ) 3    Grass </v>
          </cell>
          <cell r="R54" t="str">
            <v>P n W Glad ( 14 Inch ) 16     Grass</v>
          </cell>
          <cell r="S54" t="str">
            <v>Pur n P Car ( 14 Inch ) 16     FF Sachet + Grass</v>
          </cell>
          <cell r="T54" t="str">
            <v>Rajni ( 14 Inch ) 16     Grass</v>
          </cell>
        </row>
        <row r="55">
          <cell r="A55">
            <v>1571</v>
          </cell>
          <cell r="B55" t="str">
            <v>Mohar Ray Dahiya</v>
          </cell>
          <cell r="C55">
            <v>9910019898</v>
          </cell>
          <cell r="D55" t="str">
            <v>Sovereign-3/201, Vatika City</v>
          </cell>
          <cell r="E55" t="str">
            <v>Sohna Road 1</v>
          </cell>
          <cell r="F55" t="str">
            <v>Friday</v>
          </cell>
          <cell r="G55" t="str">
            <v>9 AM to 2 PM</v>
          </cell>
          <cell r="H55">
            <v>1600</v>
          </cell>
          <cell r="I55">
            <v>200</v>
          </cell>
          <cell r="J55" t="str">
            <v>Bloom</v>
          </cell>
          <cell r="K55" t="str">
            <v>Friday and Monday(29/06)Chamged to Friday//NO Tape Usage(10/12) Rajni and Car next -- No Red Car(14/01)  Glad and Rose-- Pref both Red(11/02) Spray Daisy and Guldawari this week(24/02) Send Mix of BOP and anthurium(28/02) Mix of Orchid and Lily next(10/03)   NO BOP AND ANTHURIUM(18/04)NO BOP/ANTHURIUM/HELICONIA AND ORIENTAL(01/06) Spray Daisy Next(10/07) Mix Glad Next(30/08) Lilies if they are good else  any other flower in Red/Orange or Yellow (19/10) Yellow Glad Next (27/11) No Joy Package and sned Rose and Guldawari Tom (15/12) Send mix of Red n W Car anmd Guldawari tom (22/12) Pls send on sunday this week instead of friday (08/01) Guldawari and Orchids Next (16/01) NO RAJNI til they become better(04/08) Send replacement today(23/09) Aster in Subscription (19/10) Glad Next (08/11) No Delivery between (5th Jan to 16th Jan (28/12) NO BOP n GERBERA (23/02) Hold till 23rd Jan (30/12) Rs. 725 added against referal credit of Amrita Jain Subscription (08/03) Do not count last del (19/04) Friday missed (16/06) Skip this friday (25/06) Hold from 5th to 12th (04/01)</v>
          </cell>
          <cell r="L55" t="str">
            <v>BOP n GERBERA</v>
          </cell>
          <cell r="N55" t="str">
            <v>5  del of this cycle   -  0-cycles pmnt   Completed - Collect 0</v>
          </cell>
          <cell r="O55" t="str">
            <v>R n W Car ( 14 Inch ) 7     FF Sachet + Grass</v>
          </cell>
          <cell r="P55" t="str">
            <v>Rajni ( 14 Inch ) 7     Grass</v>
          </cell>
          <cell r="Q55" t="str">
            <v>P n W Glad ( 14 Inch ) 7     Grass</v>
          </cell>
          <cell r="R55" t="str">
            <v>P n W Car ( 14 Inch ) 7     FF sachet + Grass</v>
          </cell>
          <cell r="S55" t="str">
            <v>Rajni ( 14 Inch ) 7     Grass</v>
          </cell>
          <cell r="T55" t="str">
            <v>P n W Glad ( 14 Inch ) 7     Grass</v>
          </cell>
        </row>
        <row r="56">
          <cell r="A56">
            <v>1914</v>
          </cell>
          <cell r="B56" t="str">
            <v>Neelam Ahuja</v>
          </cell>
          <cell r="C56">
            <v>7011107486</v>
          </cell>
          <cell r="D56" t="str">
            <v>4002, M3m Latitude, Sec 65</v>
          </cell>
          <cell r="E56" t="str">
            <v>Badshahpur</v>
          </cell>
          <cell r="F56" t="str">
            <v>Friday</v>
          </cell>
          <cell r="G56" t="str">
            <v>9 AM - 12 PM</v>
          </cell>
          <cell r="H56">
            <v>3000</v>
          </cell>
          <cell r="I56">
            <v>375</v>
          </cell>
          <cell r="J56" t="str">
            <v>Charm</v>
          </cell>
          <cell r="K56" t="str">
            <v>Friday and Monday// Lilies/BOP/Rajni/Spray Daisy(19/04) Paytm from Joe Ahuja// Paytm from Jyoti Gandhi// Skip 1 week(14/08) Not avaible tili 3rd Oct (26/09) Gpay From Joe Ahuja (18/10) Loves BOP (04/11) Heliconia or Anthurium next (22/12) Gpay from Pradeep Chib (03/02) Skip 1 week (02/03) Skip 1 week (23/03) No Spray Daisy (15/05) No gerbera/Sptray Daisy and Car for few Deliveries (26/05) Hold till 11th July (02/07) Being birthday--send some best flowers (31/07) BOP Next (13/09) Asiatic Next (24/10) SEnd anthurium also (13/04) No Statice (21/04) Hold n start from 13th May (02/05) Hold till 6th july (30/06) Skip tom (28/07) Send 1 Del Tom (03/08) Skip Friday Del (03/09) Today Hold (15/11) Skip friday Del (10/12) Skip Monday Del (24/01) Skip this monday (16/02) Skip Friday (26/02) Skip Friday (11/03) Referal credit of Vishal Dhawan added (24/03) Hold today (12/05) Paytm From Jyoti Gandhi (18/06) Skip monday (02/08) Skip 1 week a913/12) Skip 1 week and no del till next friday  (31/12) Skip tom (22/01) Hold today (09/02) Skip 1 week (18/02) Today Returned (06/03) Skip tom (22/03) Skip tom (23/04) Hold Monday (03/05) Skip Monday (10/05) Skip 1 week (21/06) Skip Only mOnday--send on friday (28/06)</v>
          </cell>
          <cell r="L56" t="str">
            <v>Spray Daisy n GERBERA n Statice</v>
          </cell>
          <cell r="N56" t="str">
            <v>4  del of this cycle   -  0-cycles pmnt   Completed - Collect 0</v>
          </cell>
          <cell r="O56" t="str">
            <v>P n W Car ( 14 Inch ) 15     FF Sachet + Grass</v>
          </cell>
          <cell r="P56" t="str">
            <v>Mix Alstroemeria ( 12 Inch ) 15     FF Sachet + Grass</v>
          </cell>
          <cell r="Q56" t="str">
            <v>Rajni ( 14 Inch ) 15     Grass</v>
          </cell>
          <cell r="R56" t="e">
            <v>#N/A</v>
          </cell>
          <cell r="S56" t="str">
            <v>W Asiatic ( 14 Inch ) 3     Grass</v>
          </cell>
          <cell r="T56" t="str">
            <v>G n W Car ( 14 Inch ) 15     FF Sachet + Grass</v>
          </cell>
        </row>
        <row r="57">
          <cell r="A57">
            <v>833</v>
          </cell>
          <cell r="B57" t="str">
            <v>Parul Mahajan</v>
          </cell>
          <cell r="C57">
            <v>9560889949</v>
          </cell>
          <cell r="D57" t="str">
            <v>T-5/1002, Vipul Greens,Sec 48</v>
          </cell>
          <cell r="E57" t="str">
            <v>Sohna Road 2</v>
          </cell>
          <cell r="F57" t="str">
            <v>Friday</v>
          </cell>
          <cell r="G57" t="str">
            <v>9 AM - 12 PM</v>
          </cell>
          <cell r="H57">
            <v>3500</v>
          </cell>
          <cell r="I57">
            <v>875</v>
          </cell>
          <cell r="J57" t="str">
            <v>Customized</v>
          </cell>
          <cell r="K57" t="str">
            <v>Tuesday and saturday//Sunday and Thursday//Paytm From Parul Kaistha(23/04) Hold n send now from 2nd July(01/06) Start from tomorrow(28/06) FF sold n received 80 today(27/07) Skip 1 week(16/08) Send FF Next(07/09) FF Tom(13/09) Hold today n skip next week(26/10) Hold n start after 15th jan(20/12) START AND SWITCH TO SATURDAY ONCE LOCKDOWN IS OVER(27/08/20) Day Changed to Sunday(26/11) Upgrade to 1250 pack and send remaining flower of last del(08/02) Senmd Pending Flowers(15/02) Change to Charm Package(03/04) Flower Food Next(16/04) Today Missed-send flower food next(18/04) Received paytm of 250 today(23/04) Sunday and Thursday(20/06) Skip n start from 13th(08/09) Upgrade to Grace(02/10) Send Sunday del tom with Orchids(15/10) NOW Savor(17/11) Payment from Fun times with rhea, send remaining flowers in next del(17/11) Hold n start after 16th Jan(16/12)  Holy Change(16/03) Skip 1 week(14/04) Skip 1 week(27/07) Hold today (10/11) Skip 1 week n wait for new Add (05/02) Hold till 26th June (22/05) Skip 1 week (14/08) Skip 2 week (02/10) Skip 1 week (22/11) Skip 1 week (21/01) Hold till she confirm (25/05) Hold till 26th (16/10) Paytm from Parul Kayastha (20/03)</v>
          </cell>
          <cell r="N57" t="str">
            <v>3  del of this cycle   -  0-cycles pmnt   Completed - Collect 0</v>
          </cell>
          <cell r="O57" t="str">
            <v>P n Y Spray Daisy ( 14 Inch ) 5 Mix Alstroemeria ( 12 Inch ) 18   2 Limonium + FF Sachet</v>
          </cell>
          <cell r="P57" t="e">
            <v>#N/A</v>
          </cell>
          <cell r="Q57" t="e">
            <v>#N/A</v>
          </cell>
          <cell r="R57" t="str">
            <v>O Asiatic ( 14 Inch ) 4 Pur n p Car ( 14 inch ) 18   2 Gypsola</v>
          </cell>
          <cell r="S57" t="str">
            <v xml:space="preserve">Baloon Flowers  5 Rajni ( 14 Inch ) 18   2 Limonium </v>
          </cell>
          <cell r="T57" t="str">
            <v>Sunflower ( 12 Inch) 5 P n W Glad ( 14 Inch ) 20   2 Gypsola + FF Sachet</v>
          </cell>
        </row>
        <row r="58">
          <cell r="A58">
            <v>815</v>
          </cell>
          <cell r="B58" t="str">
            <v>Surath Singh</v>
          </cell>
          <cell r="C58">
            <v>9717166559</v>
          </cell>
          <cell r="D58" t="str">
            <v>B-2205, Ireo Victory Valley,Sec-67</v>
          </cell>
          <cell r="E58" t="str">
            <v>Badshahpur</v>
          </cell>
          <cell r="F58" t="str">
            <v>Friday</v>
          </cell>
          <cell r="G58" t="str">
            <v>9 AM - 12 PM</v>
          </cell>
          <cell r="H58">
            <v>2750</v>
          </cell>
          <cell r="I58">
            <v>687.5</v>
          </cell>
          <cell r="J58" t="str">
            <v>Elation</v>
          </cell>
          <cell r="K58" t="str">
            <v xml:space="preserve"> NO GERBERA n CAR(11/10)  NO GULDAWARI(23/02)  Holy Change(16/03) Return-send next week(24/06) Returnedas payment was not done (28/04) Paytm From Franky Arora // Hold today as paymenht not paid (14/07) Hold due to non payment (21/07) Hold due to non payment (01/12) Today returned (21/06) Hold (20/06) Return today (27/03) Paytm From Collectosh (29/05)</v>
          </cell>
          <cell r="N58" t="str">
            <v>1  del of this cycle   -  1-cycles pmnt   Pending - Collect 2750</v>
          </cell>
          <cell r="O58" t="str">
            <v xml:space="preserve">P Asiatic ( 14 Inch ) 6     2 Gypsola </v>
          </cell>
          <cell r="P58" t="str">
            <v>P n W Glad ( 14 Inch ) 32     2 Limonium</v>
          </cell>
          <cell r="Q58" t="str">
            <v>P n Pur Eustoma ( 12 Inch ) 6     FF sachet + Grass</v>
          </cell>
          <cell r="R58" t="str">
            <v>P n W Car ( 14 Inch ) 32     2 Gypsola + FF Sachet</v>
          </cell>
          <cell r="S58" t="str">
            <v>Sunflower ( 12 Inch ) 7     FF Sachet + Grass</v>
          </cell>
          <cell r="T58" t="str">
            <v>Rajni ( 14 Inch ) 32     2 Limonium</v>
          </cell>
        </row>
        <row r="59">
          <cell r="A59">
            <v>207</v>
          </cell>
          <cell r="B59" t="str">
            <v>Ms. Monaliza</v>
          </cell>
          <cell r="C59">
            <v>9958305888</v>
          </cell>
          <cell r="D59" t="str">
            <v>C-4/703, Sovereign, Vatika City</v>
          </cell>
          <cell r="E59" t="str">
            <v>Sohna Road 1</v>
          </cell>
          <cell r="F59" t="str">
            <v>Friday</v>
          </cell>
          <cell r="G59" t="str">
            <v>4 Pm to 7 PM</v>
          </cell>
          <cell r="H59">
            <v>1450</v>
          </cell>
          <cell r="I59">
            <v>362.5</v>
          </cell>
          <cell r="J59" t="str">
            <v>Bliss</v>
          </cell>
          <cell r="K59" t="str">
            <v>Never send Rajni, Gerbera and Daisy(17/06)Rtrnd today send tomorrow(22/07)Day chenged to Monday(23/07)Don’t send between 22nd to 30th(07/10) Returnde-send next week(25/02) Preferred Flowers-- Rose + Orchid+Oriental + Heliconia(30/11) Sent 1 del today(15/10) Sent replacement today and never colorefull roses(15/02)  Holy Change(16/03) Skip 2 weeks (26/09) Skip 1 week (24/11) Send 1  Del tom (26/11) Senty replacement today (22/05) Return-send next week (30/06) No Sunflowers (03/03) Skip 1 week (21/03) Hold she is changing house (06/05) Hold today due to non payment (02/10) Hold due to non payment (09/10) Hold due to non payment (26/12) Hold due to non payment (23/01) Hold due to non payment (30/01) From Rohit Ramani (17/02) Skip tom (28/05) Return today (03/07)</v>
          </cell>
          <cell r="L59" t="str">
            <v>Sunflower</v>
          </cell>
          <cell r="N59" t="str">
            <v>2  del of this cycle   -  1-cycles pmnt   Pending - Collect 1450</v>
          </cell>
          <cell r="O59" t="str">
            <v>P Asiatic ( 14 Inch ) 3     Grass</v>
          </cell>
          <cell r="P59" t="str">
            <v>P n W Glad ( 14 Inch ) 16     Grass</v>
          </cell>
          <cell r="Q59" t="str">
            <v xml:space="preserve">R n P Car ( 14 Inch ) 16    FF Sachet + Grass </v>
          </cell>
          <cell r="R59" t="str">
            <v>Pur Eustoma ( 12 Inch ) 3     FF sachet + Grass</v>
          </cell>
          <cell r="S59" t="str">
            <v>O Asiatic ( 14 Inch ) 3     Grass</v>
          </cell>
          <cell r="T59" t="str">
            <v>Rajni ( 14 Inch ) 16     Grass</v>
          </cell>
        </row>
        <row r="60">
          <cell r="A60">
            <v>3119</v>
          </cell>
          <cell r="B60" t="str">
            <v>Rachna Prasad</v>
          </cell>
          <cell r="C60">
            <v>9811106435</v>
          </cell>
          <cell r="D60" t="str">
            <v>N-3/202, Paras Irene Appartments, Sec 70 A</v>
          </cell>
          <cell r="E60" t="str">
            <v>Badshahpur</v>
          </cell>
          <cell r="F60" t="str">
            <v>Friday</v>
          </cell>
          <cell r="G60" t="str">
            <v>4 Pm to 7 PM</v>
          </cell>
          <cell r="H60">
            <v>1450</v>
          </cell>
          <cell r="I60">
            <v>362.5</v>
          </cell>
          <cell r="J60" t="str">
            <v>Bliss</v>
          </cell>
          <cell r="K60" t="str">
            <v>1000 cash and 450 via paytm (01/11) This week send on Sunday (09/02) Paytm From Outside Edge (28/02) Replacement tom (09/03)</v>
          </cell>
          <cell r="M60" t="str">
            <v>No Flowers on 13th -send on 15th Feb (09/02)</v>
          </cell>
          <cell r="N60" t="str">
            <v>1  del of this cycle   -  1-cycles pmnt   Pending - Collect 1450</v>
          </cell>
          <cell r="O60" t="str">
            <v>Y Spray Daisy ( 14 Inch ) 3 P n W Glad ( 14 Inch ) 7   FF Sachet + Grass</v>
          </cell>
          <cell r="P60" t="str">
            <v>Sunflower ( 12 Inch ) 2 Pur n P Car ( 14 Inch ) 7   FF Sachet + Grass</v>
          </cell>
          <cell r="Q60" t="str">
            <v xml:space="preserve">Pur Eustom ( 12 Inch ) 2 Mix Alstroemeria (  12 Inch ) 7  FF Sachet + Grass </v>
          </cell>
          <cell r="R60" t="str">
            <v>P Asiatic ( 14 Inch ) 2 Glad ( 14 Inch ) 7   Grass</v>
          </cell>
          <cell r="S60" t="str">
            <v>Sunflower ( 12 Inch ) 2 P n W Car ( 14 Inch ) 7   FF Sachet + Grass</v>
          </cell>
          <cell r="T60" t="str">
            <v>P Spray Daisy ( 14 Inch ) 3 Rajni ( 14 Inch ) 7   FF Sachet + Grass</v>
          </cell>
        </row>
        <row r="61">
          <cell r="A61">
            <v>2858</v>
          </cell>
          <cell r="B61" t="str">
            <v>Devika Tandon</v>
          </cell>
          <cell r="C61">
            <v>8527991304</v>
          </cell>
          <cell r="D61" t="str">
            <v>A-293, AIPL The Peaceful Homes</v>
          </cell>
          <cell r="E61" t="str">
            <v>Badshahpur</v>
          </cell>
          <cell r="F61" t="str">
            <v>Friday</v>
          </cell>
          <cell r="G61" t="str">
            <v>4 PM to 7PM</v>
          </cell>
          <cell r="H61">
            <v>1450</v>
          </cell>
          <cell r="I61">
            <v>362.5</v>
          </cell>
          <cell r="J61" t="str">
            <v>Bliss</v>
          </cell>
          <cell r="N61" t="str">
            <v>4  del of this cycle   -  0-cycles pmnt   Completed - Collect 0</v>
          </cell>
          <cell r="O61" t="str">
            <v>P n W Glad ( 14 Inch ) 16     Grass</v>
          </cell>
          <cell r="P61" t="str">
            <v>P n Y Spray Daisy ( 14 Inch ) 5     FF Sachet + Grass</v>
          </cell>
          <cell r="Q61" t="str">
            <v xml:space="preserve">P Eustoma ( 12 Inch ) 3    FF Sachet + Grass </v>
          </cell>
          <cell r="R61" t="str">
            <v>P n W Car ( 14 Inch ) 16     FF sachet + Grass</v>
          </cell>
          <cell r="S61" t="str">
            <v>W Asiatic ( 14 Inch ) 3     Grass</v>
          </cell>
          <cell r="T61" t="str">
            <v>Mix Spray Daisy 5     Grass</v>
          </cell>
        </row>
        <row r="62">
          <cell r="A62">
            <v>3357</v>
          </cell>
          <cell r="B62" t="str">
            <v>Yamini Sharma</v>
          </cell>
          <cell r="C62">
            <v>9958582708</v>
          </cell>
          <cell r="D62" t="str">
            <v>Solace 253, AIPL Peaceful Homes, Sec 70 A</v>
          </cell>
          <cell r="E62" t="str">
            <v>Manesar</v>
          </cell>
          <cell r="F62" t="str">
            <v>Friday</v>
          </cell>
          <cell r="G62" t="str">
            <v>4 Pm to 7 PM</v>
          </cell>
          <cell r="H62">
            <v>1450</v>
          </cell>
          <cell r="I62">
            <v>362.5</v>
          </cell>
          <cell r="J62" t="str">
            <v>Bliss</v>
          </cell>
          <cell r="K62" t="str">
            <v>Skip 1 week (28/05) Today returned (19/06) HDTNP (03/07)</v>
          </cell>
          <cell r="N62" t="str">
            <v>3  del of this cycle   -  1-cycles pmnt   Pending - Collect 1450</v>
          </cell>
          <cell r="O62" t="str">
            <v>O Asiatic ( 14 Inch ) 3     Grass</v>
          </cell>
          <cell r="P62" t="str">
            <v>Mix Alstroemeria ( 12 Inch ) 16     FF Sachet + Grass</v>
          </cell>
          <cell r="Q62" t="str">
            <v xml:space="preserve">P Eustoma ( 12 Inch ) 3    FF Sachet + Grass </v>
          </cell>
          <cell r="R62" t="str">
            <v>Pur n P Car ( 14 Inch ) 16     FF sachet + Grass</v>
          </cell>
          <cell r="S62" t="e">
            <v>#N/A</v>
          </cell>
          <cell r="T62" t="str">
            <v>Rajni ( 14 Inch ) 16     Grass</v>
          </cell>
        </row>
        <row r="63">
          <cell r="A63">
            <v>3185</v>
          </cell>
          <cell r="B63" t="str">
            <v>Kamla Anand</v>
          </cell>
          <cell r="C63">
            <v>9711216660</v>
          </cell>
          <cell r="D63" t="str">
            <v>83  Jasminium 1,Vatika city 
Sec 49</v>
          </cell>
          <cell r="E63" t="str">
            <v>Sohna Road 1</v>
          </cell>
          <cell r="F63" t="str">
            <v>Friday</v>
          </cell>
          <cell r="G63" t="str">
            <v>9 AM - 12 PM</v>
          </cell>
          <cell r="H63">
            <v>1450</v>
          </cell>
          <cell r="I63">
            <v>362.5</v>
          </cell>
          <cell r="J63" t="str">
            <v>Bliss</v>
          </cell>
          <cell r="K63" t="str">
            <v>Skip tom (09/04)</v>
          </cell>
          <cell r="N63" t="str">
            <v>1  del of this cycle   -  0-cycles pmnt   Completed - Collect 0</v>
          </cell>
          <cell r="O63" t="str">
            <v>P Spray Daisy ( 14 Inch ) 3     FF Sachet + Grass</v>
          </cell>
          <cell r="P63" t="str">
            <v>P n W Glad ( 14 Inch ) 9     Grass</v>
          </cell>
          <cell r="Q63" t="str">
            <v xml:space="preserve">O Asiatic ( 14 Inch ) 2    Grass </v>
          </cell>
          <cell r="R63" t="str">
            <v>Rajni ( 14 Inch ) 9     Grass</v>
          </cell>
          <cell r="S63" t="str">
            <v>Pur n P Car ( 14 Inch ) 9     FF Sachet + Grass</v>
          </cell>
          <cell r="T63" t="str">
            <v>Mix Alstroemeria ( 12 Inch ) 16     FF Sachet + Grass</v>
          </cell>
        </row>
        <row r="64">
          <cell r="A64">
            <v>2803</v>
          </cell>
          <cell r="B64" t="str">
            <v>Priyanka Dey</v>
          </cell>
          <cell r="C64">
            <v>9007706833</v>
          </cell>
          <cell r="D64" t="str">
            <v>D/1003, 10th Floor, Emaar Palm Heights, Sec 77</v>
          </cell>
          <cell r="E64" t="str">
            <v>Badshahpur</v>
          </cell>
          <cell r="F64" t="str">
            <v>Friday</v>
          </cell>
          <cell r="G64" t="str">
            <v>After 5 PM</v>
          </cell>
          <cell r="H64">
            <v>1450</v>
          </cell>
          <cell r="I64">
            <v>362.5</v>
          </cell>
          <cell r="J64" t="str">
            <v>Delight</v>
          </cell>
          <cell r="K64" t="str">
            <v>Lily Next (28/07) Returned and hold (15/08) Four plus 1 Pack // Today returned (16/05)</v>
          </cell>
          <cell r="N64" t="str">
            <v>3  del of this cycle   -  0-cycles pmnt   Completed - Collect 0</v>
          </cell>
          <cell r="O64" t="str">
            <v>P n W Glad ( 14 Inch ) 16     Grass</v>
          </cell>
          <cell r="P64" t="str">
            <v>Y Asiatic ( 14 Inch ) 3     Grass</v>
          </cell>
          <cell r="Q64" t="str">
            <v xml:space="preserve">Pur Eustom ( 12 Inch ) 3    FF Sachet + Grass </v>
          </cell>
          <cell r="R64" t="str">
            <v>Alstromeria 16     FF sachet + Grass</v>
          </cell>
          <cell r="S64" t="str">
            <v>Pur n P Car ( 14 Inch ) 16     FF Sachet + Grass</v>
          </cell>
          <cell r="T64" t="str">
            <v>Sunflower ( 12 Inch) 4     FF Sachet + Grass</v>
          </cell>
        </row>
        <row r="65">
          <cell r="A65">
            <v>1268</v>
          </cell>
          <cell r="B65" t="str">
            <v>Shweta Malhotra</v>
          </cell>
          <cell r="C65">
            <v>9810290780</v>
          </cell>
          <cell r="D65" t="str">
            <v>B-001, Park View Spa Next, Sec 67</v>
          </cell>
          <cell r="E65" t="str">
            <v>Badshahpur</v>
          </cell>
          <cell r="F65" t="str">
            <v>Friday</v>
          </cell>
          <cell r="G65" t="str">
            <v>9 AM to 2 PM</v>
          </cell>
          <cell r="H65">
            <v>1950</v>
          </cell>
          <cell r="I65">
            <v>487.5</v>
          </cell>
          <cell r="J65" t="str">
            <v>Joy</v>
          </cell>
          <cell r="K65" t="str">
            <v>Friday n MOnday//Thursday and Sunday//Oriental//Rajni//BOP//Pink car(13/01) For Next 3 Del-- Rajni//Orchid//Oriental(14/02) This Cycle-- Asiatic//Rajni//P Oriental//P car(07/03) Asiatic Lily Twice and Rest Gerbera and Orchids(10/04) Flower Food Next(17/04) Received Rs.250/-(18/04) lilie sfor next 2 del pls(03/09) Change to Joy Now(18/09) Next Car or Lilies-- NO GULDAWARI(31/10) Oriental Or Spray Daisy next(21/12) NO Rose-- Send Tom(09/01)  Holy Change(16/03) Send a replacement tom(15/04) Replacement tom(08/05) Either single or double color only -- NO Multicolor(30/10) No GULDAWARI n GERBERA (05/01) SEnt a replacement (12/04) Sent replacement today (13/05) Sent replacement today (26/06) No Anthurium (17/05) In Pooja's Account // Send Replacement tom (05/07) Send Replacement tom (09/08) Send replacement tom (22/11) Send Replacement tom (11/04) No But HDTNP (12/06)ton Daisy (02/05)</v>
          </cell>
          <cell r="L65" t="str">
            <v>ANTHURIUM n GULDAWARI n Button Daisy</v>
          </cell>
          <cell r="N65" t="str">
            <v>3  del of this cycle   -  0-cycles pmnt   Completed - Collect 0</v>
          </cell>
          <cell r="O65" t="str">
            <v>Mix Alstroemeria ( 12 Inch ) 22     FF Sachet + Grass</v>
          </cell>
          <cell r="P65" t="e">
            <v>#N/A</v>
          </cell>
          <cell r="Q65" t="str">
            <v>O Asiatic ( 14 Inch ) 4     Grass</v>
          </cell>
          <cell r="R65" t="str">
            <v>Pur n P Car ( 14 Inch ) 22     FF Sachet + Grass</v>
          </cell>
          <cell r="S65" t="str">
            <v>Sunflower ( 12 Inch ) 5     FF Sachet + Grass</v>
          </cell>
          <cell r="T65" t="str">
            <v>Rajni ( 14 Inch ) 22     Grass</v>
          </cell>
        </row>
        <row r="66">
          <cell r="A66">
            <v>1630</v>
          </cell>
          <cell r="B66" t="str">
            <v>Nikhil Ranganathan-- Evening Only</v>
          </cell>
          <cell r="C66">
            <v>9910184448</v>
          </cell>
          <cell r="D66" t="str">
            <v>24/7, Primrose Vatika</v>
          </cell>
          <cell r="E66" t="str">
            <v>Sohna Road 1</v>
          </cell>
          <cell r="F66" t="str">
            <v>Friday</v>
          </cell>
          <cell r="G66" t="str">
            <v>4 Pm to 7 PM</v>
          </cell>
          <cell r="H66">
            <v>1450</v>
          </cell>
          <cell r="I66">
            <v>362.5</v>
          </cell>
          <cell r="J66" t="str">
            <v>Bliss</v>
          </cell>
          <cell r="K66" t="str">
            <v>Friday n Monday// Holy Change(16/03) Orchids this week(05/06) Do Not Count last Delivery(13/08) Skip 1 week (16/10) Skip 1 week (22/12) Received one more payment of 2900 today (07/01) Hold n start from 31st Mar (12/03) Monday n Friday // Send Flower food next (24/06) Skip tom Del (12/10) Skip Friday Delivery (17/10) Change to Bliss (13/12) Skip 2 week (09/01) Skip 1 week (22/02) Skip 8th Del (01/03) In Pooja's Account (01/07) Skip 1 week (09/7) Skip 1 week (14/08) Skip 1 week (27.10) Skip 2 weeks (04/06) Skip 1 week (22/01) Skip 1 week (25/03) Send vase tom (27/04)</v>
          </cell>
          <cell r="N66" t="str">
            <v>4  del of this cycle   -  0-cycles pmnt   Completed - Collect 0</v>
          </cell>
          <cell r="O66" t="str">
            <v>P n W Glad ( 14 Inch ) 16     Grass</v>
          </cell>
          <cell r="P66" t="str">
            <v>P n Y Spray Daisy ( 14 Inch ) 5     FF Sachet + Grass</v>
          </cell>
          <cell r="Q66" t="str">
            <v xml:space="preserve">R n P Car ( 14 Inch ) 16    FF Sachet + Grass </v>
          </cell>
          <cell r="R66" t="str">
            <v>Pur Eustoma ( 12 Inch ) 3     FF sachet + Grass</v>
          </cell>
          <cell r="S66" t="str">
            <v>Sunflower ( 12 Inch ) 4     FF Sachet + Grass</v>
          </cell>
          <cell r="T66" t="str">
            <v>W Asiatic ( 14 Inch ) 3     Grass</v>
          </cell>
        </row>
        <row r="67">
          <cell r="A67">
            <v>152</v>
          </cell>
          <cell r="B67" t="str">
            <v xml:space="preserve">
Manisha Kahai
</v>
          </cell>
          <cell r="C67">
            <v>9810013410</v>
          </cell>
          <cell r="D67" t="str">
            <v xml:space="preserve">Flat number 41, Jasminium 1, Vatika City, Sector 49 (Sohna Road)    Sec 49 Gurgaon  122001 
</v>
          </cell>
          <cell r="E67" t="str">
            <v>Sohna Road 1</v>
          </cell>
          <cell r="F67" t="str">
            <v>Friday</v>
          </cell>
          <cell r="G67" t="str">
            <v>9 AM - 12 PM</v>
          </cell>
          <cell r="H67">
            <v>1450</v>
          </cell>
          <cell r="I67">
            <v>362.5</v>
          </cell>
          <cell r="J67" t="str">
            <v>Bliss</v>
          </cell>
          <cell r="K67" t="str">
            <v>Day changed to Sat (25/02)Return-send tomorrow(03/11)Hold and start from 11th may(06/04) FF Sold today(03/08) FF Sold today n payment recvd(07/09) Holy Change(16/03) FF Next(20/03) Paytm from Manisha Singh (09/06) 250 returned via paytm (03/.11) Today Returned (18/07)</v>
          </cell>
          <cell r="N67" t="str">
            <v>1  del of this cycle   -  1-cycles pmnt   Pending - Collect 1450</v>
          </cell>
          <cell r="O67" t="str">
            <v>P n W Glad ( 14 Inch ) 16     Grass</v>
          </cell>
          <cell r="P67" t="str">
            <v>Sunflower ( 12 Inch ) 4     FF Sachet + Grass</v>
          </cell>
          <cell r="Q67" t="str">
            <v xml:space="preserve">Pur Eustom ( 12 Inch ) 3    FF Sachet + Grass </v>
          </cell>
          <cell r="R67" t="str">
            <v>O Asiatic ( 14 Inch ) 3     Grass</v>
          </cell>
          <cell r="S67" t="str">
            <v>Pur n P Car ( 14 Inch ) 16     FF Sachet + Grass</v>
          </cell>
          <cell r="T67" t="str">
            <v>Rajni ( 14 Inch ) 16     Grass</v>
          </cell>
        </row>
        <row r="68">
          <cell r="A68">
            <v>1899</v>
          </cell>
          <cell r="B68" t="str">
            <v>Hardik Shah</v>
          </cell>
          <cell r="C68">
            <v>9811227080</v>
          </cell>
          <cell r="D68" t="str">
            <v>T-5/1402, Vipul Green</v>
          </cell>
          <cell r="E68" t="str">
            <v>Sohna Road 2</v>
          </cell>
          <cell r="F68" t="str">
            <v>Friday</v>
          </cell>
          <cell r="G68" t="str">
            <v>9 AM - 12 PM</v>
          </cell>
          <cell r="H68">
            <v>4850</v>
          </cell>
          <cell r="I68">
            <v>606.25</v>
          </cell>
          <cell r="J68" t="str">
            <v>Poise</v>
          </cell>
          <cell r="K68" t="str">
            <v>Friday n Sunday (02/04) Shift to Poise after this cycle(22/05) No Poies(28/05) Skip 1 week(13/08) Today Returned(21/08) Today Returned again(26/08) Skip 2 week (18/06) Skip only next delivery (29/07) Hold today n skip 1 week (19/01) Skip 1 week (15/08) Hold for 4 weeks (27/01) Returned today (14/11) Today returned (01/05)</v>
          </cell>
          <cell r="N68" t="str">
            <v>4  del of this cycle   -  1-cycles pmnt   Pending - Collect 4850</v>
          </cell>
          <cell r="O68" t="str">
            <v>P n Y Spray Daisy ( 14 Inch ) 9     FF Sachet + Grass</v>
          </cell>
          <cell r="P68" t="str">
            <v>Y Asiatic ( 14 Inch ) 6     Grass</v>
          </cell>
          <cell r="Q68" t="e">
            <v>#N/A</v>
          </cell>
          <cell r="R68" t="e">
            <v>#N/A</v>
          </cell>
          <cell r="S68" t="str">
            <v>P n W Glad ( 14 Inch ) 26     Grass</v>
          </cell>
          <cell r="T68" t="str">
            <v>Rajni ( 14 Inch ) 26     Grass</v>
          </cell>
        </row>
        <row r="69">
          <cell r="A69" t="str">
            <v>M0006</v>
          </cell>
          <cell r="B69" t="str">
            <v>Divya Sabharwal</v>
          </cell>
          <cell r="C69">
            <v>9560068750</v>
          </cell>
          <cell r="D69" t="str">
            <v>Tower 15, flat 1401, Vipul Greens , Sohna Road</v>
          </cell>
          <cell r="E69" t="str">
            <v>Sohna Road 2</v>
          </cell>
          <cell r="F69" t="str">
            <v>Friday</v>
          </cell>
          <cell r="G69" t="str">
            <v>9 AM - 12 PM</v>
          </cell>
          <cell r="H69">
            <v>3950</v>
          </cell>
          <cell r="I69">
            <v>493.75</v>
          </cell>
          <cell r="J69" t="str">
            <v>Grace</v>
          </cell>
          <cell r="K69" t="str">
            <v>Friday n Monday//NO GERBERA-Send replacement tomorrow(14/10)NO ORCHIDS(08/03)) NO ROSE(25/01) ) NO GLAD (20/02)  Pls send out of Asiatic//Oriental//bop//Anthurium//Spray Daisy//Gladioli//Guldawari(13/03)NO ANTHURIUMS)(16/06) Skip 1 week (21/05) Skip 1 week (16/06) Hold today (01/09) Send replacement tom (09/09) Skip 1 week (05/10) Skip 1 week (25/10) Skip 2 week (18/03) Statie next (13/05) Friday n MOnday (01/08) NO Car (30/08) Skip 1 week (19/01) Skip tom (02/02) Hold today  and send rajni on sunday instead of Monday (10/02) Skip friday del (11/03) Skip 1 week (19/03) No Orchids also (26/04) Skip 1 week (05/10) Hold till 9th Nov (24/10) Hold tom (23/11) Hold tom (27/11) Skip friday (02/12) Close bi weekly and start joy Pack (04/12) Skip 1 week (31/01) Skip 1 week (01/02) Return today (20/02) Skip 2 week (010/03)</v>
          </cell>
          <cell r="L69" t="str">
            <v>CAR n Orchid</v>
          </cell>
          <cell r="N69" t="str">
            <v>3  del of this cycle   -  0-cycles pmnt   Completed - Collect 0</v>
          </cell>
          <cell r="O69" t="e">
            <v>#N/A</v>
          </cell>
          <cell r="P69" t="e">
            <v>#N/A</v>
          </cell>
          <cell r="Q69" t="e">
            <v>#N/A</v>
          </cell>
          <cell r="R69" t="e">
            <v>#N/A</v>
          </cell>
          <cell r="S69" t="str">
            <v>P Asiatic ( 14 Inch ) 4     Grass</v>
          </cell>
          <cell r="T69" t="str">
            <v>Rajni ( 14 Inch ) 20     Grass</v>
          </cell>
        </row>
        <row r="70">
          <cell r="A70">
            <v>1389</v>
          </cell>
          <cell r="B70" t="str">
            <v>Revathi-- After 5 PM</v>
          </cell>
          <cell r="C70">
            <v>9811998878</v>
          </cell>
          <cell r="D70" t="str">
            <v>A-1201, The Emaar Palm Drive</v>
          </cell>
          <cell r="E70" t="str">
            <v>Badshahpur</v>
          </cell>
          <cell r="F70" t="str">
            <v>Friday</v>
          </cell>
          <cell r="G70" t="str">
            <v>4 PM to 7PM</v>
          </cell>
          <cell r="H70">
            <v>3850</v>
          </cell>
          <cell r="I70">
            <v>481.25</v>
          </cell>
          <cell r="J70" t="str">
            <v>Grace</v>
          </cell>
          <cell r="K70" t="str">
            <v>Friday and Tuesday// NO RAJNIGANDHA NOW ONLY LILIES//CAR AND GLAD(26/07)  NO WONLY LILIES, HELICONIA AND CAR IN YELLOW OR ORANGE ONLY(11/09)  ONLY  LILIES/GLADIOLI AND HELICONIA ONLY IN YELL AND ORANGE COLOR-- NOCARNATION(01/10) Rajni or Bop next(18/10) Send 1 FF Next(29/06) LILY n GLAD ARE PREFERRED(29/06) Now From Rose//Car//Glad//Guldawari//Asiatic//Oriental(03/08) Skip this friday(09/08) No Upgrade (17/10) Skip 1 week (114/11) Skip 1 week after tom Delivery (09/03) No Del on Froday-- sned on Tuesda (29/03) Glad Next (01/05) Hold n start after 8th June (12/05) Bop n Heliconia Next (10/02) Skip tom Del (28/03) Flower food next (14/05) Hold till 8th (29/05) No Gerbera and Orchid (28/07) One Payment received today (01/10) Skip Friday Del (27/11) Skip friday (25/12) Return not at home (20/06) Today Returned (20/06) Received one payment of 3250 today (21/07)</v>
          </cell>
          <cell r="L70" t="str">
            <v>Gerbera n ORCHID</v>
          </cell>
          <cell r="N70" t="str">
            <v>4  del of this cycle   -  0-cycles pmnt   Completed - Collect 0</v>
          </cell>
          <cell r="O70" t="str">
            <v>Pur n P Eustoma ( 14 Inch ) 4     FF Sachet + Grass</v>
          </cell>
          <cell r="P70" t="str">
            <v>Rajni ( 14 Inch ) 20     Grass</v>
          </cell>
          <cell r="Q70" t="str">
            <v>P Asiatic ( 14 Inch ) 4     Grass</v>
          </cell>
          <cell r="R70" t="str">
            <v>P n W Glad ( 14 Inch ) 20     Grass</v>
          </cell>
          <cell r="S70" t="str">
            <v>Sunflower ( 12 Inch ) 5     FF Sachet + Grass</v>
          </cell>
          <cell r="T70" t="str">
            <v>Eustoma 4     Grass</v>
          </cell>
        </row>
        <row r="71">
          <cell r="A71">
            <v>3062</v>
          </cell>
          <cell r="B71" t="str">
            <v>Shilpa Ravikumar</v>
          </cell>
          <cell r="C71">
            <v>9400305164</v>
          </cell>
          <cell r="D71" t="str">
            <v>A-902, Palm Premier, Emaar Palm Hills, OPP Hyatt Regency, Sec 77</v>
          </cell>
          <cell r="E71" t="str">
            <v>Manesar</v>
          </cell>
          <cell r="F71" t="str">
            <v>Friday</v>
          </cell>
          <cell r="G71" t="str">
            <v>4 Pm to 7 PM</v>
          </cell>
          <cell r="H71">
            <v>1450</v>
          </cell>
          <cell r="I71">
            <v>362.5</v>
          </cell>
          <cell r="J71" t="str">
            <v>Bliss</v>
          </cell>
          <cell r="K71" t="str">
            <v>Hold till 7th Jan (25/01) Hold till 17th June (01/06)</v>
          </cell>
          <cell r="N71" t="str">
            <v>1  del of this cycle   -  0-cycles pmnt   Completed - Collect 0</v>
          </cell>
          <cell r="O71" t="e">
            <v>#N/A</v>
          </cell>
          <cell r="P71" t="str">
            <v>Mix Carnation  16     FF Sachet + Grass</v>
          </cell>
          <cell r="Q71" t="str">
            <v xml:space="preserve">Pur Eustom ( 12 Inch ) 3    FF Sachet + Grass </v>
          </cell>
          <cell r="R71" t="str">
            <v>P n W Glad ( 14 Inch ) 16     Grass</v>
          </cell>
          <cell r="S71" t="str">
            <v>Sunflower ( 12 Inch ) 4     FF Sachet + Grass</v>
          </cell>
          <cell r="T71" t="str">
            <v>Rajni ( 14 Inch ) 16     Grass</v>
          </cell>
        </row>
        <row r="72">
          <cell r="A72">
            <v>1015</v>
          </cell>
          <cell r="B72" t="str">
            <v>Nishant Mishra</v>
          </cell>
          <cell r="C72">
            <v>7892623529</v>
          </cell>
          <cell r="D72" t="str">
            <v xml:space="preserve">41/5  PrimRose Vatika City </v>
          </cell>
          <cell r="E72" t="str">
            <v>Sohna Road 1</v>
          </cell>
          <cell r="F72" t="str">
            <v>Friday</v>
          </cell>
          <cell r="G72" t="str">
            <v>9 AM to 2 PM</v>
          </cell>
          <cell r="H72">
            <v>1450</v>
          </cell>
          <cell r="I72">
            <v>362.5</v>
          </cell>
          <cell r="J72" t="str">
            <v>Bliss</v>
          </cell>
          <cell r="K72" t="str">
            <v>Friday n Monday//NO Car(12/02)NO RAJNI AT ALL(27/11)  Skip This del n start from 30th May(25/05) NO Rajni n Anbthurium (08/01) Yell Lily next (07/09) Skip 1 week (24/01) Paytm from Pragati Pandey (28/01) Send replacement tom (16/05)</v>
          </cell>
          <cell r="L72" t="str">
            <v>RAJNI n ANTHURIUM</v>
          </cell>
          <cell r="N72" t="str">
            <v>1  del of this cycle   -  1-cycles pmnt   Pending - Collect 1450</v>
          </cell>
          <cell r="O72" t="e">
            <v>#N/A</v>
          </cell>
          <cell r="P72" t="e">
            <v>#N/A</v>
          </cell>
          <cell r="Q72" t="e">
            <v>#N/A</v>
          </cell>
          <cell r="R72" t="e">
            <v>#N/A</v>
          </cell>
          <cell r="S72" t="e">
            <v>#N/A</v>
          </cell>
          <cell r="T72" t="str">
            <v>G n W Car ( 14 Inch ) 16     FF Sachet + Grass</v>
          </cell>
        </row>
        <row r="73">
          <cell r="A73">
            <v>3369</v>
          </cell>
          <cell r="B73" t="str">
            <v>Renu Kothari</v>
          </cell>
          <cell r="C73">
            <v>9987323757</v>
          </cell>
          <cell r="D73" t="str">
            <v>4101, M3M Latitude, Sec 65</v>
          </cell>
          <cell r="E73" t="str">
            <v>Badshahpur</v>
          </cell>
          <cell r="F73" t="str">
            <v>Friday</v>
          </cell>
          <cell r="G73" t="str">
            <v>9 AM - 12 PM</v>
          </cell>
          <cell r="H73">
            <v>1450</v>
          </cell>
          <cell r="I73">
            <v>362.5</v>
          </cell>
          <cell r="J73" t="str">
            <v>Bliss</v>
          </cell>
          <cell r="N73" t="str">
            <v>1  del of this cycle   -  1-cycles pmnt   Pending - Collect 1450</v>
          </cell>
          <cell r="O73" t="str">
            <v>P n W Glad ( 14 Inch ) 16     Grass</v>
          </cell>
          <cell r="P73" t="str">
            <v>P n Y Spray Daisy ( 14 Inch ) 5     FF Sachet + Grass</v>
          </cell>
          <cell r="Q73" t="e">
            <v>#N/A</v>
          </cell>
          <cell r="R73" t="e">
            <v>#N/A</v>
          </cell>
          <cell r="S73" t="e">
            <v>#N/A</v>
          </cell>
          <cell r="T73" t="str">
            <v>G n W Car ( 14 Inch ) 16     FF Sachet + Grass</v>
          </cell>
        </row>
        <row r="74">
          <cell r="A74" t="str">
            <v>B56393</v>
          </cell>
          <cell r="B74" t="str">
            <v>Sangeeta Sharma</v>
          </cell>
          <cell r="C74">
            <v>9845660589</v>
          </cell>
          <cell r="D74" t="str">
            <v>T-7/1702, M3M Merlin, Sec 67</v>
          </cell>
          <cell r="E74" t="str">
            <v>Badshahpur</v>
          </cell>
          <cell r="F74" t="str">
            <v>Saturday</v>
          </cell>
          <cell r="G74" t="str">
            <v>By 10 AM</v>
          </cell>
          <cell r="H74">
            <v>2500</v>
          </cell>
          <cell r="I74">
            <v>2500</v>
          </cell>
          <cell r="J74" t="str">
            <v>Bouquet</v>
          </cell>
          <cell r="K74" t="str">
            <v>40 Red n P Rose in Full Tissue Wrap</v>
          </cell>
          <cell r="N74" t="str">
            <v>1  del of this cycle   -  1-cycles pmnt   Pending - Collect 2500</v>
          </cell>
          <cell r="O74" t="e">
            <v>#N/A</v>
          </cell>
          <cell r="P74" t="e">
            <v>#N/A</v>
          </cell>
          <cell r="Q74" t="e">
            <v>#N/A</v>
          </cell>
          <cell r="R74" t="e">
            <v>#N/A</v>
          </cell>
          <cell r="S74" t="e">
            <v>#N/A</v>
          </cell>
          <cell r="T74" t="str">
            <v xml:space="preserve">R Rose 40 Full Tissue Wrap    </v>
          </cell>
        </row>
        <row r="75">
          <cell r="A75">
            <v>1970</v>
          </cell>
          <cell r="B75" t="str">
            <v>Neera Dutta</v>
          </cell>
          <cell r="C75">
            <v>9811325497</v>
          </cell>
          <cell r="D75" t="str">
            <v>T-01/402m Vipul Greens</v>
          </cell>
          <cell r="E75" t="str">
            <v>Sohna Road 2</v>
          </cell>
          <cell r="F75" t="str">
            <v>Friday</v>
          </cell>
          <cell r="G75" t="str">
            <v>9 AM - 12 PM</v>
          </cell>
          <cell r="H75">
            <v>1450</v>
          </cell>
          <cell r="I75">
            <v>362.5</v>
          </cell>
          <cell r="J75" t="str">
            <v>Bliss</v>
          </cell>
          <cell r="K75" t="str">
            <v>Skip 7th Oct(01/10) Skip 1 week (25/10) Skip 6th Jan Delivery (29/12) skip 17th n 24th ns sewnd on 28th (03/02) Hold 1 month (08/04) Skip 1 week (28/05) Skip this week and send on Tuesday (08/07) Skip 1 week (15/11) Return today (22/03) Sent replacement today (07/07) Skip 1 week (21/09) Skip 8th Niv (01/11) Skip 2 week (11/01) Return-send after 10th Feb (31/01) Requested for sunday del (11/03) Today returned-send tom (16/03) Skip 1 week (19/08)</v>
          </cell>
          <cell r="N75" t="str">
            <v>2  del of this cycle   -  0-cycles pmnt   Completed - Collect 0</v>
          </cell>
          <cell r="O75" t="e">
            <v>#N/A</v>
          </cell>
          <cell r="P75" t="e">
            <v>#N/A</v>
          </cell>
          <cell r="Q75" t="e">
            <v>#N/A</v>
          </cell>
          <cell r="R75" t="e">
            <v>#N/A</v>
          </cell>
          <cell r="S75" t="str">
            <v>Pur n P Car ( 14 Inch ) 16     FF Sachet + Grass</v>
          </cell>
          <cell r="T75" t="str">
            <v>O Asiatic ( 14 Inch ) 3     Grass</v>
          </cell>
        </row>
        <row r="76">
          <cell r="A76">
            <v>3076</v>
          </cell>
          <cell r="B76" t="str">
            <v>Aishwarya -- Acacia</v>
          </cell>
          <cell r="C76">
            <v>8454952029</v>
          </cell>
          <cell r="D76" t="str">
            <v>11/2, Acacia, Vatika City</v>
          </cell>
          <cell r="E76" t="str">
            <v>Sohna Road 1</v>
          </cell>
          <cell r="F76" t="str">
            <v>Friday</v>
          </cell>
          <cell r="G76" t="str">
            <v>9 AM - 12 PM</v>
          </cell>
          <cell r="H76">
            <v>2750</v>
          </cell>
          <cell r="I76">
            <v>687.5</v>
          </cell>
          <cell r="J76" t="str">
            <v>Elation</v>
          </cell>
          <cell r="K76" t="str">
            <v>Upgrade to elation (06/11) Hold due to non payment (18/12) hold due to non payment (16/01) Skip 2 week (24/06)</v>
          </cell>
          <cell r="N76" t="str">
            <v>4  del of this cycle   -  0-cycles pmnt   Completed - Collect 0</v>
          </cell>
          <cell r="O76" t="str">
            <v>Pur Eustom ( 14 Inch ) 3 Mix Alstroemeria ( 12 Inch ) 16   2 Gypsola + FF Sachet</v>
          </cell>
          <cell r="P76" t="str">
            <v>Y Asiatic ( 14 Inch ) 3 P n W Glad ( 14 Inch ) 16   2 Limonium</v>
          </cell>
          <cell r="Q76" t="str">
            <v>Sunflower ( 12 Inch ) 4 Pur n P Car ( 14 Inch ) 16   FF sachet + Grass</v>
          </cell>
          <cell r="R76" t="str">
            <v>P n Y Spray Daisy ( 14 Inch ) 5 P n W Glad ( 14 Inch ) 15   2 Gypsola + FF Sachet</v>
          </cell>
          <cell r="S76" t="e">
            <v>#N/A</v>
          </cell>
          <cell r="T76" t="str">
            <v xml:space="preserve">O Asiatic ( 14 Inch ) 3 Rajni ( 14 Inch ) 16   2 Limonium </v>
          </cell>
        </row>
        <row r="77">
          <cell r="A77">
            <v>36</v>
          </cell>
          <cell r="B77" t="str">
            <v>Ms. Anubha T Agarwal</v>
          </cell>
          <cell r="C77">
            <v>9818690761</v>
          </cell>
          <cell r="D77" t="str">
            <v>D-902, Park View City-1, Sohna Road</v>
          </cell>
          <cell r="E77" t="str">
            <v>Sohna Road 2</v>
          </cell>
          <cell r="F77" t="str">
            <v>Friday</v>
          </cell>
          <cell r="G77" t="str">
            <v>4 Pm to 7 PM</v>
          </cell>
          <cell r="H77">
            <v>1450</v>
          </cell>
          <cell r="I77">
            <v>362.5</v>
          </cell>
          <cell r="J77" t="str">
            <v>Bliss</v>
          </cell>
          <cell r="K77" t="str">
            <v>No Rajni (22/05)Skip coming week del(13/08)Pls skip this week n send next week(03/09)Pls shift time slot to evevning(18/09)Pls shift to morning(10/10) Paytm from manoj Agarwal(13/02) Skip 1 week(03/04) Send 1 stick extra in next Del(19/06) Say Change to Monday(21/08) Upgrade to 650 (01/12) Skiped 1 week due to HOLI(29/03) Flower Food Next(16/04) Upgrade to Bliss and send remaining flowers in 2nd Del(14/09) Skip 1 wek(14/10) skip 1 week(01/01)  Holy Change(16/03) Skip this week n send on sunday(10/08) Send Replacement tom (19/11) Send on monday this week (10/08)  Hold today (26/01) Today Returned (05/04) Today returned (16/08) Send replacement tom (15/09) Yesterday Returned (15/02) Return today (25/04) Skip 1 week (29/05) Skip 1 week (28/07) Skip tom n send on sunday (18/09) Skip 1 week (04/12)</v>
          </cell>
          <cell r="N77" t="str">
            <v>2  del of this cycle   -  1-cycles pmnt   Pending - Collect 1450</v>
          </cell>
          <cell r="O77" t="str">
            <v>Sunflower ( 12 Inch ) 2     FF Sachet + Grass</v>
          </cell>
          <cell r="P77" t="str">
            <v>P n W Glad ( 14 Inch ) 9     Grass</v>
          </cell>
          <cell r="Q77" t="str">
            <v xml:space="preserve">Mix Alstroemeria ( 12 Inch ) 9    FF Sachet + Grass </v>
          </cell>
          <cell r="R77" t="str">
            <v>P n W Car ( 14 Inch ) 9     FF aschet + Grass</v>
          </cell>
          <cell r="S77" t="str">
            <v>P Asiatic ( 14 Inch ) 3     Grass</v>
          </cell>
          <cell r="T77" t="str">
            <v>Rajni ( 14 Inch ) 16     Grass</v>
          </cell>
        </row>
        <row r="78">
          <cell r="A78">
            <v>3337</v>
          </cell>
          <cell r="B78" t="str">
            <v>Shweta Bajpai</v>
          </cell>
          <cell r="C78">
            <v>9205184535</v>
          </cell>
          <cell r="D78" t="str">
            <v>288, Tatvam Villa</v>
          </cell>
          <cell r="E78" t="str">
            <v>Sohna Road 2</v>
          </cell>
          <cell r="F78" t="str">
            <v>Friday</v>
          </cell>
          <cell r="G78" t="str">
            <v>4 Pm to 7 PM</v>
          </cell>
          <cell r="H78">
            <v>1450</v>
          </cell>
          <cell r="I78">
            <v>1450</v>
          </cell>
          <cell r="J78" t="str">
            <v>Bliss</v>
          </cell>
          <cell r="K78" t="str">
            <v>Hold tOday (12/06) Today Returned (19/06)</v>
          </cell>
          <cell r="N78" t="str">
            <v>2  del of this cycle   -  0-cycles pmnt   Completed - Collect 0</v>
          </cell>
          <cell r="O78" t="str">
            <v>P n Y Spray Daisy ( 14 Inch ) 5     FF Sachet + Grass</v>
          </cell>
          <cell r="P78" t="str">
            <v>Mix Alstroemeria ( 12 Inch ) 16     FF Sachet + Grass</v>
          </cell>
          <cell r="Q78" t="str">
            <v xml:space="preserve">Pur Eustom ( 12 Inch ) 3    FF Sachet + Grass </v>
          </cell>
          <cell r="R78" t="str">
            <v>O Asiatic ( 14 Inch ) 3     Grass</v>
          </cell>
          <cell r="S78" t="str">
            <v>P n W Glad ( 14 Inch ) 16     Grass</v>
          </cell>
          <cell r="T78" t="str">
            <v>Mix Spray Daisy 5     FF Sachet + Grass</v>
          </cell>
        </row>
        <row r="79">
          <cell r="A79">
            <v>2519</v>
          </cell>
          <cell r="B79" t="str">
            <v>Radhika Marwah</v>
          </cell>
          <cell r="C79">
            <v>9972167341</v>
          </cell>
          <cell r="D79" t="str">
            <v>F-501, Mapsko Mountville, Sec 79</v>
          </cell>
          <cell r="E79" t="str">
            <v>Badshahpur</v>
          </cell>
          <cell r="F79" t="str">
            <v>Friday</v>
          </cell>
          <cell r="G79" t="str">
            <v>4 Pm to 7 PM</v>
          </cell>
          <cell r="H79">
            <v>1450</v>
          </cell>
          <cell r="I79">
            <v>362.5</v>
          </cell>
          <cell r="J79" t="str">
            <v>Bliss</v>
          </cell>
          <cell r="K79" t="str">
            <v>Hold till 2nd July (07/06)</v>
          </cell>
          <cell r="N79" t="str">
            <v>2  del of this cycle   -  1-cycles pmnt   Pending - Collect 1450</v>
          </cell>
          <cell r="O79" t="str">
            <v>Pur Eustom ( 14 Inch ) 2 P n W Glad ( 14 Inch ) 7   FF Sachet + Grass</v>
          </cell>
          <cell r="P79" t="e">
            <v>#N/A</v>
          </cell>
          <cell r="Q79" t="e">
            <v>#N/A</v>
          </cell>
          <cell r="R79" t="e">
            <v>#N/A</v>
          </cell>
          <cell r="S79" t="str">
            <v>Sunflower ( 12 Inch ) 2 Pur n P Car ( 14 Inch ) 7   FF Sachet + Grass</v>
          </cell>
          <cell r="T79" t="str">
            <v>O Asiatic ( 14 Inch ) 2 Rajni ( 14 Inch ) 7   Grass</v>
          </cell>
        </row>
        <row r="80">
          <cell r="A80">
            <v>3178</v>
          </cell>
          <cell r="B80" t="str">
            <v>Disha Gopal</v>
          </cell>
          <cell r="C80">
            <v>8588003677</v>
          </cell>
          <cell r="D80" t="str">
            <v>T-10/4A, Central Park Resorts, Sec 48</v>
          </cell>
          <cell r="E80" t="str">
            <v>Sohna Road 2</v>
          </cell>
          <cell r="F80" t="str">
            <v>Friday</v>
          </cell>
          <cell r="G80" t="str">
            <v>4 PM to 7 PM</v>
          </cell>
          <cell r="H80">
            <v>1950</v>
          </cell>
          <cell r="I80">
            <v>487.5</v>
          </cell>
          <cell r="J80" t="str">
            <v>Joy</v>
          </cell>
          <cell r="K80" t="str">
            <v>Micxed Flowers // Hold till 8th Jan (24/12)</v>
          </cell>
          <cell r="M80" t="str">
            <v>Mixed Flowers</v>
          </cell>
          <cell r="N80" t="str">
            <v>4  del of this cycle   -  0-cycles pmnt   Completed - Collect 0</v>
          </cell>
          <cell r="O80" t="str">
            <v>P Eustoma ( 14 Inch ) 2 Mix Alstroemeria ( 12 Inch ) 11   FF Sachet + Grass</v>
          </cell>
          <cell r="P80" t="str">
            <v>Sunflower ( 12 Inch ) 3 P n W Car ( 14 Inch ) 11   FF Sachet + Grass</v>
          </cell>
          <cell r="Q80" t="str">
            <v>P Asiatic ( 14 Inch ) 2 P n W Glad ( 14 Inch ) 11   Grass</v>
          </cell>
          <cell r="R80" t="str">
            <v>P n Y Spray Daisy ( 14 Inch ) 4 Pink And White Car 11   FF Sachet + Grass</v>
          </cell>
          <cell r="S80" t="str">
            <v>Sunflower ( 12 Inch ) 3 Rajni ( 14 Inch ) 11   FF Sachet + Grass</v>
          </cell>
          <cell r="T80" t="str">
            <v>O Asiatic ( 14 Inch ) 2 B Daisy 11   Grass</v>
          </cell>
        </row>
        <row r="81">
          <cell r="A81">
            <v>3307</v>
          </cell>
          <cell r="B81" t="str">
            <v>Amit Jindal</v>
          </cell>
          <cell r="C81">
            <v>8860400001</v>
          </cell>
          <cell r="D81" t="str">
            <v>T-5/1401, Vipul Greens</v>
          </cell>
          <cell r="E81" t="str">
            <v>Sohna Road 2</v>
          </cell>
          <cell r="F81" t="str">
            <v>Friday</v>
          </cell>
          <cell r="G81" t="str">
            <v>9:30 AM to 2 PM</v>
          </cell>
          <cell r="H81">
            <v>2626</v>
          </cell>
          <cell r="I81">
            <v>656.5</v>
          </cell>
          <cell r="J81" t="str">
            <v>Customized</v>
          </cell>
          <cell r="K81" t="str">
            <v>3 Oriental every week // Today Hold n returned (12/06)</v>
          </cell>
          <cell r="N81" t="str">
            <v>1  del of this cycle   -  0-cycles pmnt   Completed - Collect 0</v>
          </cell>
          <cell r="O81" t="str">
            <v>P Oriental ( 16 Inch ) 3     1 Limonium</v>
          </cell>
          <cell r="P81" t="str">
            <v>W Oriental ( 15 Inch ) 3     1 Gypsola</v>
          </cell>
          <cell r="Q81" t="str">
            <v>P Oriental ( 15 Inch ) 3     1 Limonium</v>
          </cell>
          <cell r="R81" t="str">
            <v>W Oriental 3     1 gypaols</v>
          </cell>
          <cell r="S81" t="str">
            <v>P Oriental ( 15 Inch ) 3     1 Limonium</v>
          </cell>
          <cell r="T81" t="str">
            <v>W Oriental  3     1 Gypsola</v>
          </cell>
        </row>
        <row r="82">
          <cell r="A82">
            <v>330</v>
          </cell>
          <cell r="B82" t="str">
            <v>Anamika Singh</v>
          </cell>
          <cell r="C82">
            <v>9818455330</v>
          </cell>
          <cell r="D82" t="str">
            <v xml:space="preserve">788 C  Sector 15 part II  Sec 15 Gurgaon  122001 </v>
          </cell>
          <cell r="E82" t="str">
            <v>Old Gurgaon</v>
          </cell>
          <cell r="F82" t="str">
            <v>Friday</v>
          </cell>
          <cell r="G82" t="str">
            <v>4 PM to 7PM</v>
          </cell>
          <cell r="H82">
            <v>1450</v>
          </cell>
          <cell r="I82">
            <v>362.5</v>
          </cell>
          <cell r="J82" t="str">
            <v>Bliss</v>
          </cell>
          <cell r="K82" t="str">
            <v>Day changed to Saturday(15/09)Hold again send tomorrow(09/12) Upgrade to 650 Plan and ASIATIC n ORCHID ALTERNATIVELY(02/05) send on friday- this week only , send lilies this week(07/08/19) Car next(28/09) Send Lilies/Orchids/Chrysanthemum/Rose(13/12)Upgrade to Bliss and Day changed to Thursday evening// DONT ASK FOR PAYMENT SHE WILL ALWAYS PAYTM(13/12) Paytm from Parveen Gupta(16/01)  Holy Change(16/03) Received 1000 via paytm-- Parveen Gupta(28/05) Pls send tom (06/02) HDTNP (13/03) HDTNP (12/06) Skip 2 week (21/06)</v>
          </cell>
          <cell r="N82" t="str">
            <v>4  del of this cycle   -  0-cycles pmnt   Completed - Collect 0</v>
          </cell>
          <cell r="O82" t="str">
            <v>Mix Alstroemeria ( 12 Inch ) 16     FF Sachet + Grass</v>
          </cell>
          <cell r="P82" t="e">
            <v>#N/A</v>
          </cell>
          <cell r="Q82" t="str">
            <v xml:space="preserve">Mix Car 16    Grass </v>
          </cell>
          <cell r="R82" t="e">
            <v>#N/A</v>
          </cell>
          <cell r="S82" t="e">
            <v>#N/A</v>
          </cell>
          <cell r="T82" t="str">
            <v>O Asiatic ( 14 Inch ) 3     Grass</v>
          </cell>
        </row>
        <row r="83">
          <cell r="A83">
            <v>2224</v>
          </cell>
          <cell r="B83" t="str">
            <v>Samta Mehra</v>
          </cell>
          <cell r="C83">
            <v>9811137290</v>
          </cell>
          <cell r="D83" t="str">
            <v>D-1401, Park View City-1, Sohna Road</v>
          </cell>
          <cell r="E83" t="str">
            <v>Sohna Road 2</v>
          </cell>
          <cell r="F83" t="str">
            <v>Friday</v>
          </cell>
          <cell r="G83" t="str">
            <v>9 AM - 12 PM</v>
          </cell>
          <cell r="H83">
            <v>3750</v>
          </cell>
          <cell r="I83">
            <v>937.5</v>
          </cell>
          <cell r="J83" t="str">
            <v>Savor</v>
          </cell>
          <cell r="K83" t="str">
            <v>Mixed Flowers// Upgrade to Elation (30/03) Skip 3 weeks (13/06) Skip 2 weeks (21/12) Upgrade ti savor (23/02) Skip 1 week (16/04) Skip 1 week (20/06) Hold today (12/09) Skip 1 week (02/10) Skip 1 week (29/12) Skip 1 week (28/03) Skip 1 week (18/06)</v>
          </cell>
          <cell r="N83" t="str">
            <v>1  del of this cycle   -  0-cycles pmnt   Completed - Collect 0</v>
          </cell>
          <cell r="O83" t="str">
            <v>Sunflower ( 12 Inch ) 5 Mix Alstroemeria ( 12 Inch ) 20   2 Limonium + FF Sachet</v>
          </cell>
          <cell r="P83" t="str">
            <v>P n Y Spray Daisy ( 14 Inch ) 5 P n W Glad ( 14 Inch ) 21   2 Gypsola + FF Sachet</v>
          </cell>
          <cell r="Q83" t="e">
            <v>#N/A</v>
          </cell>
          <cell r="R83" t="str">
            <v xml:space="preserve">P Asiatic 4 Pur Eustoma ( 12 Inch ) 21   2 Limonium </v>
          </cell>
          <cell r="S83" t="str">
            <v>Baloon Flowers  5 Pur n P Car ( 14 Inch ) 20   2 Limonium + FF Sachet</v>
          </cell>
          <cell r="T83" t="str">
            <v>Sunflower ( 12 Inch) 5 Mix Alstroemeria ( 12 Inch ) 20   2 Gypsola + FF Sachet</v>
          </cell>
        </row>
        <row r="84">
          <cell r="A84">
            <v>953</v>
          </cell>
          <cell r="B84" t="str">
            <v>Nidhi Bansal</v>
          </cell>
          <cell r="C84">
            <v>9818647402</v>
          </cell>
          <cell r="D84" t="str">
            <v>03, Tatvam Villa's,Sector 48</v>
          </cell>
          <cell r="E84" t="str">
            <v>Sohna Road 2</v>
          </cell>
          <cell r="F84" t="str">
            <v>Friday</v>
          </cell>
          <cell r="G84" t="str">
            <v>9 AM - 12 PM</v>
          </cell>
          <cell r="H84">
            <v>2750</v>
          </cell>
          <cell r="I84">
            <v>687.5</v>
          </cell>
          <cell r="J84" t="str">
            <v>Elation</v>
          </cell>
          <cell r="K84" t="str">
            <v>Send Mix of Rajni and Spray Daisy next and send on Friday this week(10/02) Send Dahelia and rajni Next(19/02) Asiatic n Rajni next(26/02) Mix of rajni and daisy(19/03) Always send Lily and Some other flower(02/10) Lily and Rose next(12/11) Rajni this week(03/12) Rajni this week(08/12) Rajni next(07/01) Hold n start from April and Check before sending(28/02) Return-Send next week(17/06) Repeat flowers(10/08) Rajni next 15/12) Add changed (07/07) Send Replacement tom (05/07) Long stems (30/10) 2700 CASH AND 50 PAYTM (08/05)</v>
          </cell>
          <cell r="M84" t="str">
            <v>Long Stems (30/10)</v>
          </cell>
          <cell r="N84" t="str">
            <v>3  del of this cycle   -  0-cycles pmnt   Completed - Collect 0</v>
          </cell>
          <cell r="O84" t="str">
            <v>P n Y Spray Daisy ( 14 Inch ) 5 Mix Alstroemeria ( 12 Inch ) 16   2 Gypsola + FF Sachet</v>
          </cell>
          <cell r="P84" t="str">
            <v>Sunflower ( 12 Inch ) 4 Pur n P Car ( 14 Inch ) 16   2 Limonium + FF sachet</v>
          </cell>
          <cell r="Q84" t="str">
            <v>P Eustoma ( 12 Inch ) 4 P n W Glad ( 14 Inch ) 16   FF sachet + Grass</v>
          </cell>
          <cell r="R84" t="str">
            <v>P Asiatic ( 14 Inch ) 3 Alstomeria( 12 Inch ) 15   2 Gypaols</v>
          </cell>
          <cell r="S84" t="str">
            <v>Sunflower ( 12 Inch ) 4 Rajni ( 14 Inch ) 16   FF Sachet + Grass</v>
          </cell>
          <cell r="T84" t="str">
            <v>P n Y Spray Daisy ( 14 Inch ) 5 G n W Car ( 14 Inch ) 16   2 Gypsola + FF Sachet</v>
          </cell>
        </row>
        <row r="85">
          <cell r="A85" t="str">
            <v>B56401</v>
          </cell>
          <cell r="B85" t="str">
            <v xml:space="preserve">Anjali Vipul </v>
          </cell>
          <cell r="C85" t="str">
            <v>98999 20275</v>
          </cell>
          <cell r="D85" t="str">
            <v>Tower 7 Flat 1102, Vipul Greens Sohna road Gurgaon sector 48</v>
          </cell>
          <cell r="E85" t="str">
            <v>Sohna Road 2</v>
          </cell>
          <cell r="F85" t="str">
            <v>Friday</v>
          </cell>
          <cell r="G85" t="str">
            <v>By 10 AM</v>
          </cell>
          <cell r="H85">
            <v>600</v>
          </cell>
          <cell r="I85">
            <v>600</v>
          </cell>
          <cell r="J85" t="str">
            <v>Bouquet</v>
          </cell>
          <cell r="K85" t="str">
            <v>4 Sunflower or 3 Yel Asiatic</v>
          </cell>
          <cell r="N85" t="str">
            <v>1  del of this cycle   -  1-cycles pmnt   Pending - Collect 600</v>
          </cell>
          <cell r="O85" t="e">
            <v>#N/A</v>
          </cell>
          <cell r="P85" t="e">
            <v>#N/A</v>
          </cell>
          <cell r="Q85" t="e">
            <v>#N/A</v>
          </cell>
          <cell r="R85" t="e">
            <v>#N/A</v>
          </cell>
          <cell r="S85" t="e">
            <v>#N/A</v>
          </cell>
          <cell r="T85" t="str">
            <v>Sunflower ( 12 Inch) 4     Areca Palm + Grass + FF Sachet</v>
          </cell>
        </row>
        <row r="86">
          <cell r="A86">
            <v>3388</v>
          </cell>
          <cell r="B86" t="str">
            <v>Malvika Anand</v>
          </cell>
          <cell r="C86">
            <v>9811822238</v>
          </cell>
          <cell r="D86" t="str">
            <v>A1, Cloud 9 Cottages, Vill Dhumaspur, Sec 67 A</v>
          </cell>
          <cell r="E86" t="str">
            <v>Badshahpur</v>
          </cell>
          <cell r="F86" t="str">
            <v>Friday</v>
          </cell>
          <cell r="G86" t="str">
            <v>9 AM - 12 PM</v>
          </cell>
          <cell r="H86">
            <v>1950</v>
          </cell>
          <cell r="I86">
            <v>487.5</v>
          </cell>
          <cell r="J86" t="str">
            <v>Joy</v>
          </cell>
          <cell r="N86" t="str">
            <v>3  del of this cycle   -  0-cycles pmnt   Completed - Collect 0</v>
          </cell>
          <cell r="O86" t="e">
            <v>#N/A</v>
          </cell>
          <cell r="P86" t="e">
            <v>#N/A</v>
          </cell>
          <cell r="Q86" t="e">
            <v>#N/A</v>
          </cell>
          <cell r="R86" t="str">
            <v>Pur n P Car ( 14 Inch ) 22     FF Sachet + Grass</v>
          </cell>
          <cell r="S86" t="str">
            <v>O Asiatic ( 14 Inch ) 4     Grass</v>
          </cell>
          <cell r="T86" t="str">
            <v>P n W Glad ( 14 Inch ) 22     Grass</v>
          </cell>
        </row>
        <row r="87">
          <cell r="A87">
            <v>2978</v>
          </cell>
          <cell r="B87" t="str">
            <v>Divyesh Gandhi -- Surbhi Ourania</v>
          </cell>
          <cell r="C87">
            <v>9050551471</v>
          </cell>
          <cell r="D87" t="str">
            <v>Plot 795 A, Flat 104, Sec 17 A, Behind Deffence Colony</v>
          </cell>
          <cell r="E87" t="str">
            <v>Old Gurgaon</v>
          </cell>
          <cell r="F87" t="str">
            <v>Friday</v>
          </cell>
          <cell r="G87" t="str">
            <v>4 Pm to 7 PM</v>
          </cell>
          <cell r="H87">
            <v>999</v>
          </cell>
          <cell r="I87">
            <v>249.75</v>
          </cell>
          <cell r="J87" t="str">
            <v>Delight</v>
          </cell>
          <cell r="K87" t="str">
            <v>Change to Sunday (01/10) Today Returned (19/10) Day Changed to Sunday (06/11) Skip 1 week (01/12)</v>
          </cell>
          <cell r="N87" t="str">
            <v>2  del of this cycle   -  0-cycles pmnt   CompletedNO COLLECTION-we have extra money - Collect -1</v>
          </cell>
          <cell r="O87" t="e">
            <v>#N/A</v>
          </cell>
          <cell r="P87" t="e">
            <v>#N/A</v>
          </cell>
          <cell r="Q87" t="e">
            <v>#N/A</v>
          </cell>
          <cell r="R87" t="e">
            <v>#N/A</v>
          </cell>
          <cell r="S87" t="e">
            <v>#N/A</v>
          </cell>
          <cell r="T87" t="str">
            <v>G n W Car ( 14 Inch ) 9     FF Sachet + Grass</v>
          </cell>
        </row>
        <row r="88">
          <cell r="A88">
            <v>3334</v>
          </cell>
          <cell r="B88" t="str">
            <v>Sachi Poudiyal</v>
          </cell>
          <cell r="C88">
            <v>8420453178</v>
          </cell>
          <cell r="D88" t="str">
            <v>H. No. 901, Ground Floor, Sec 17 B, Next to St PBN School</v>
          </cell>
          <cell r="E88" t="str">
            <v>Old Gurgaon</v>
          </cell>
          <cell r="F88" t="str">
            <v>Friday</v>
          </cell>
          <cell r="G88" t="str">
            <v>4 PM to 7 PM</v>
          </cell>
          <cell r="H88">
            <v>1450</v>
          </cell>
          <cell r="I88">
            <v>362.5</v>
          </cell>
          <cell r="J88" t="str">
            <v>Bliss</v>
          </cell>
          <cell r="N88" t="str">
            <v>4  del of this cycle   -  0-cycles pmnt   Completed - Collect 0</v>
          </cell>
          <cell r="O88" t="str">
            <v>P n W Glad ( 14 Inch ) 16     Grass</v>
          </cell>
          <cell r="P88" t="str">
            <v>Pur n P Car ( 14 Inch ) 16     FF Sachet + Grass</v>
          </cell>
          <cell r="Q88" t="str">
            <v xml:space="preserve">P n W Spray Daisy ( 14 Inch ) 5    FF Sachet + Grass </v>
          </cell>
          <cell r="R88" t="str">
            <v>Pur Eustoma ( 12 Inch ) 3     FF sachet + Grass</v>
          </cell>
          <cell r="S88" t="str">
            <v>Sunflower ( 12 Inch ) 4     FF Sachet + Grass</v>
          </cell>
          <cell r="T88" t="str">
            <v>Eustoma 3     Grass</v>
          </cell>
        </row>
        <row r="89">
          <cell r="A89">
            <v>2083</v>
          </cell>
          <cell r="B89" t="str">
            <v>Neeraj Rathore</v>
          </cell>
          <cell r="C89">
            <v>9810570666</v>
          </cell>
          <cell r="D89" t="str">
            <v>A-1302, PalM Drive, Sec 66</v>
          </cell>
          <cell r="E89" t="str">
            <v>Badshahpur</v>
          </cell>
          <cell r="F89" t="str">
            <v>Friday</v>
          </cell>
          <cell r="G89" t="str">
            <v>9 AM - 12 PM</v>
          </cell>
          <cell r="H89">
            <v>2300</v>
          </cell>
          <cell r="I89">
            <v>287.5</v>
          </cell>
          <cell r="J89" t="str">
            <v>Felicity</v>
          </cell>
          <cell r="K89" t="str">
            <v>Friday n Monday// No Gerbera *25/09) Payment from Dharmesh I Rathod (11/12) Rose next (29/12) No Orchid also (23/02) No Glad (31/03) No BOP (26/07) BMF Vase Sent (23/08) Rs. 500 added as referal credit against subscription of Radhika (08/03) Skip 3 Deliveries (21/09) hold today n skip 1 week (06/10) Upgrade to Elation and day Friday (29/10) One Kind Flowers (30/01) Skip 2 week (05/02) Holdn send on monday (24/04) Skip 2 weeks (07/05) Returned today (22/05)</v>
          </cell>
          <cell r="L89" t="str">
            <v>GERBERA  n BOP</v>
          </cell>
          <cell r="M89" t="str">
            <v>One Kind (30/01)  Rajni next (18/02)</v>
          </cell>
          <cell r="N89" t="str">
            <v>6  del of this cycle   -  1-cycles pmnt   Pending - Collect 2300</v>
          </cell>
          <cell r="O89" t="str">
            <v xml:space="preserve">P Asiatic ( 14 Inch ) 6     2 Gypsola </v>
          </cell>
          <cell r="P89" t="str">
            <v>P n W Glad ( 14 Inch ) 32     2 Limonium</v>
          </cell>
          <cell r="Q89" t="e">
            <v>#N/A</v>
          </cell>
          <cell r="R89" t="str">
            <v>P n Y Spray Daisy ( 14 Inch ) 4     FF sachet + Grass</v>
          </cell>
          <cell r="S89" t="str">
            <v>P n W Glad ( 14 Inch ) 11     Grass</v>
          </cell>
          <cell r="T89" t="str">
            <v>O Asiatic ( 14 Inch ) 2     Grass</v>
          </cell>
        </row>
        <row r="90">
          <cell r="A90">
            <v>2394</v>
          </cell>
          <cell r="B90" t="str">
            <v>Sachi Poudiyal</v>
          </cell>
          <cell r="C90">
            <v>8420453178</v>
          </cell>
          <cell r="D90" t="str">
            <v>H. No. 901, Ground Floor, Sec 17 B, Next to St PBN School</v>
          </cell>
          <cell r="E90" t="str">
            <v>Old Gurgaon</v>
          </cell>
          <cell r="F90" t="str">
            <v>Friday</v>
          </cell>
          <cell r="G90" t="str">
            <v>4 PM to 7 PM</v>
          </cell>
          <cell r="H90">
            <v>1450</v>
          </cell>
          <cell r="I90">
            <v>362.5</v>
          </cell>
          <cell r="J90" t="str">
            <v>Bliss</v>
          </cell>
          <cell r="K90" t="str">
            <v>12 Del Payment done today (18/03) Hold n start from Aug(12/06) One Payment Received today (09/11)</v>
          </cell>
          <cell r="N90" t="str">
            <v>1  del of this cycle   -  0-cycles pmnt   Completed - Collect 0</v>
          </cell>
          <cell r="O90" t="str">
            <v>P n W Glad ( 14 Inch ) 16     Grass</v>
          </cell>
          <cell r="P90" t="str">
            <v>Sunflower ( 12 Inch ) 4     FF Sachet + Grass</v>
          </cell>
          <cell r="Q90" t="str">
            <v xml:space="preserve">Pur Eustom ( 12 Inch ) 3    FF Sachet + Grass </v>
          </cell>
          <cell r="R90" t="str">
            <v>P n W Car ( 14 Inch ) 16     FF sachet + Grass</v>
          </cell>
          <cell r="S90" t="str">
            <v>G Spray Daisy ( 14 Inch ) 5     Grass</v>
          </cell>
          <cell r="T90" t="str">
            <v>Y Asiatic ( 14 Inch ) 3     Grass</v>
          </cell>
        </row>
        <row r="91">
          <cell r="A91">
            <v>1624</v>
          </cell>
          <cell r="B91" t="str">
            <v>Smriti Maggon</v>
          </cell>
          <cell r="C91">
            <v>9811081666</v>
          </cell>
          <cell r="D91" t="str">
            <v>B-901, Emaar Palm Drive, Sec 66</v>
          </cell>
          <cell r="E91" t="str">
            <v>Badshahpur</v>
          </cell>
          <cell r="F91" t="str">
            <v>Friday</v>
          </cell>
          <cell r="G91" t="str">
            <v>9 AM - 12 PM</v>
          </cell>
          <cell r="H91">
            <v>1450</v>
          </cell>
          <cell r="I91">
            <v>362.5</v>
          </cell>
          <cell r="J91" t="str">
            <v>Bliss</v>
          </cell>
          <cell r="K91" t="str">
            <v>Rose//Car//Rajni//BOP(08/02) Holy Change(16/03) 8 Rajnigandha Next (12/10) Hold due to non payment (03/10) Hold due to non payment (16/01) Hold due to non payment (23/01)</v>
          </cell>
          <cell r="N91" t="str">
            <v>2  del of this cycle   -  1-cycles pmnt   Pending - Collect 1450</v>
          </cell>
          <cell r="O91" t="str">
            <v>P n Y Spray Daisy ( 14 Inch ) 5     FF Sachet + Grass</v>
          </cell>
          <cell r="P91" t="e">
            <v>#N/A</v>
          </cell>
          <cell r="Q91" t="str">
            <v xml:space="preserve">P n W Glad ( 14 Inch ) 16    Grass </v>
          </cell>
          <cell r="R91" t="str">
            <v>Pur n P Car ( 14 Inch ) 16     FF sachet + Grass</v>
          </cell>
          <cell r="S91" t="str">
            <v>Sunflower ( 12 Inch ) 4     FF Sachet + Grass</v>
          </cell>
          <cell r="T91" t="str">
            <v>O Asiatic ( 14 Inch ) 3     Grass</v>
          </cell>
        </row>
        <row r="92">
          <cell r="A92">
            <v>113</v>
          </cell>
          <cell r="B92" t="str">
            <v>Subhadra Chatterjee</v>
          </cell>
          <cell r="C92">
            <v>8826368500</v>
          </cell>
          <cell r="D92" t="str">
            <v>Tower -E, Flat 10B, Central Park Resort</v>
          </cell>
          <cell r="E92" t="str">
            <v>Sohna Road 2</v>
          </cell>
          <cell r="F92" t="str">
            <v>Friday</v>
          </cell>
          <cell r="G92" t="str">
            <v>9 AM - 12 PM</v>
          </cell>
          <cell r="H92">
            <v>1950</v>
          </cell>
          <cell r="I92">
            <v>487.5</v>
          </cell>
          <cell r="J92" t="str">
            <v>Joy</v>
          </cell>
          <cell r="K92" t="str">
            <v>Friday n Monday//NO GLAD EVER(12/11)  Rajni and Orchid Half Half next(13/12)  Send Orchid and Rajni OR Rose/Lilies/Rajni Next(24/12) PLEASE SEND ORCHID/LILIES/RAJNI/ROSE this cycle(26/12)  Pls send Rose/Rajni and Lilies in coming cycle too(19/01)Gpay from Saunak Ghosh(23/12) Now Asiatic and Rose and no orange asiatic and only pink, yellow and whitte rose only OR White, Pink or blue orchids(14/01) Asiatic and Orchids Next(16/02) P n Y Asiatic Next(23/02) Asiatic n Rajni next(13/03) Send this cycle on monday only(25/03) Orchid n Rajni now(28/03) Spray Daisy and Rajni(11/04) Hold Till 30th June(15/06) Hold till 17th Aug(08/08) Orchid with Lily or Car(19/08) Car/Rose/Gerbera/Anthurium/Orchid/Guldawari and rajni(30/08)  After tom no del till 26th (17/10) NO RED ROSE(14/11) Hold till 10th Jan (29/12) Skip 1 week (02/02) Skip1 week (16/03) Hold today n send on sunday (19/05) Hold till 10th Oct (04/10) Hold till 15th Jan (20/12) Hold till 1st April (06/03) Hold till 20th June (20/05) Hold till 16th Oct (07/10) Return today n hold (03/01) Skip from 20th to 30th Matr (11/03) Hold till 7th JUly (19/06) Hold due to non payment (10/10) Hold n start from 26th (14/10) Hold due to non payment (26/12) No Red Rose (30/12) Hold till 16th Jan (08/01) HDTNP (13/03) Hold till 4th Apr (25/03) Hold till 12th JUne (04/06)</v>
          </cell>
          <cell r="L92" t="str">
            <v>GULDAWARI n ROSE</v>
          </cell>
          <cell r="N92" t="str">
            <v>4  del of this cycle   -  0-cycles pmnt   Completed - Collect 0</v>
          </cell>
          <cell r="O92" t="e">
            <v>#N/A</v>
          </cell>
          <cell r="P92" t="e">
            <v>#N/A</v>
          </cell>
          <cell r="Q92" t="str">
            <v>B Orchid  7     FF sachet + Grass</v>
          </cell>
          <cell r="R92" t="str">
            <v>O Asiatic ( 14 Inch ) 4     Grass</v>
          </cell>
          <cell r="S92" t="str">
            <v>Baloon Flowers  5     FF Sachet + Grass</v>
          </cell>
          <cell r="T92" t="str">
            <v>B Orchid  7     FF Sachet + Grass</v>
          </cell>
        </row>
        <row r="93">
          <cell r="A93">
            <v>3404</v>
          </cell>
          <cell r="B93" t="str">
            <v>Reina Legal</v>
          </cell>
          <cell r="C93">
            <v>8708387392</v>
          </cell>
          <cell r="D93" t="str">
            <v>!st Floor, Aihp Palms, 242 &amp; 243 Udyog Vihar Phase 5</v>
          </cell>
          <cell r="E93" t="str">
            <v>Old Gurgaon</v>
          </cell>
          <cell r="F93" t="str">
            <v>Friday</v>
          </cell>
          <cell r="G93" t="str">
            <v>4 Pm to 7 PM</v>
          </cell>
          <cell r="H93">
            <v>1450</v>
          </cell>
          <cell r="I93">
            <v>362.5</v>
          </cell>
          <cell r="J93" t="str">
            <v>Bliss</v>
          </cell>
          <cell r="K93" t="str">
            <v>1st Del today and then evevry Friday Eve (06/07)</v>
          </cell>
          <cell r="N93" t="str">
            <v>2  del of this cycle   -  0-cycles pmnt   Completed - Collect 0</v>
          </cell>
          <cell r="O93" t="e">
            <v>#N/A</v>
          </cell>
          <cell r="P93" t="e">
            <v>#N/A</v>
          </cell>
          <cell r="Q93" t="e">
            <v>#N/A</v>
          </cell>
          <cell r="R93" t="e">
            <v>#N/A</v>
          </cell>
          <cell r="S93" t="e">
            <v>#N/A</v>
          </cell>
          <cell r="T93" t="str">
            <v>P n Y Spray Daisy ( 14 Inch ) 5     FF Sachet + Grass</v>
          </cell>
        </row>
        <row r="94">
          <cell r="A94">
            <v>588</v>
          </cell>
          <cell r="B94" t="str">
            <v>Akiksha Mohan</v>
          </cell>
          <cell r="C94">
            <v>9810145564</v>
          </cell>
          <cell r="D94" t="str">
            <v>D-601, Emaar Plam Drive</v>
          </cell>
          <cell r="E94" t="str">
            <v>Badshahpur</v>
          </cell>
          <cell r="F94" t="str">
            <v>Friday</v>
          </cell>
          <cell r="G94" t="str">
            <v>9 AM - 12 PM</v>
          </cell>
          <cell r="H94">
            <v>1600</v>
          </cell>
          <cell r="I94">
            <v>200</v>
          </cell>
          <cell r="J94" t="str">
            <v>Bloom</v>
          </cell>
          <cell r="K94" t="str">
            <v>Friday n Monday //Return-send next week(10/11) Send Replacement(04/03) change address Tower D Flat No 601 Plam Drive (30/3) Return-send next week(06/04) NOW SEND ONLY GLAD(08/05 Hold n start from 1st week0f Aug(08/07)) Gerbera Next(31/08) Return-send next week(30/11) Return-send after Monday(07/03) Send Next week(08/03) Send Change next(30/10) Today returned-send next week(06/11)  Holy Change(16/03) Return today and Skip 2 Weeks(15/04) REturn-:Payment Not paid(29/04) Today Returned(03/06) Skip 1 week(15/06) Return-send next wek(24/06) Skip 1 Week(21/07) Today returned(05/08) Rajni and Asiatic altrenatively(12/08) Today returnedas payment is pending (16/12) Today return again diue to non payment (23/12) No Guldawari (28/02) Paytm From Neelu mohan (28/02) Hold as payment not received (22/10) No sent as payment not recived (26/10) Hold due to non payment (29/10) One payment in Pooja account on 18th and 1 today at BMF account (03/11) Hold due to non payment(01/12) Hold today due to non payment (01/03) Hold as payment not received (31/03) Skip next del (29/09) Hold due to non payment (09/01) Hold due to non payment (12/01) Hold due to non payment (16/01) Hold due to non payment (03/10) Hold due to non payment (05/10) Hold due to non payment (10/10) Skip 1 week (31/10) Hoold ue to non payment (18/12) Hold due to non payment (26/12) Hold tom due to non payment (28/12) Hold due to non payment (19/01) Hold due to non payment (22/01) Today hold (06/03) HDTNP (25/05)</v>
          </cell>
          <cell r="L94" t="str">
            <v>GULDAWARI</v>
          </cell>
          <cell r="N94" t="str">
            <v>8  del of this cycle   -  0-cycles pmnt   Completed - Collect 0</v>
          </cell>
          <cell r="O94" t="str">
            <v>Sunflower ( 14 Inch ) 2     FF Sachet + Grass</v>
          </cell>
          <cell r="P94" t="str">
            <v>Mix Alstroemeria ( 12 Inch ) 7     FF Sachet + Grass</v>
          </cell>
          <cell r="Q94" t="str">
            <v>P n W Glad ( 14 Inch ) 7     Grass</v>
          </cell>
          <cell r="R94" t="str">
            <v>Sunflower ( 12 Inch ) 2     FF sachet + Grass</v>
          </cell>
          <cell r="S94" t="str">
            <v>Rajni ( 14 Inch ) 7     Grass</v>
          </cell>
          <cell r="T94" t="str">
            <v>P n W Glad ( 14 Inch ) 7     Grass</v>
          </cell>
        </row>
        <row r="95">
          <cell r="A95">
            <v>3405</v>
          </cell>
          <cell r="B95" t="str">
            <v>Supriya Pahwa</v>
          </cell>
          <cell r="C95">
            <v>9811665304</v>
          </cell>
          <cell r="D95" t="str">
            <v>N6/004, Paras Irene, Sec 70 A</v>
          </cell>
          <cell r="E95" t="str">
            <v>Badshahpur</v>
          </cell>
          <cell r="F95" t="str">
            <v>Friday</v>
          </cell>
          <cell r="G95" t="str">
            <v>9 AM - 12 PM</v>
          </cell>
          <cell r="H95">
            <v>1450</v>
          </cell>
          <cell r="I95">
            <v>362.5</v>
          </cell>
          <cell r="J95" t="str">
            <v>Bliss</v>
          </cell>
          <cell r="K95" t="str">
            <v xml:space="preserve">Paytm From Abhinav Mehra </v>
          </cell>
          <cell r="N95" t="str">
            <v>2  del of this cycle   -  0-cycles pmnt   Completed - Collect 0</v>
          </cell>
          <cell r="O95" t="e">
            <v>#N/A</v>
          </cell>
          <cell r="P95" t="e">
            <v>#N/A</v>
          </cell>
          <cell r="Q95" t="e">
            <v>#N/A</v>
          </cell>
          <cell r="R95" t="e">
            <v>#N/A</v>
          </cell>
          <cell r="S95" t="e">
            <v>#N/A</v>
          </cell>
          <cell r="T95" t="str">
            <v>O Asiatic ( 14 Inch ) 3     Grass</v>
          </cell>
        </row>
        <row r="96">
          <cell r="A96">
            <v>628</v>
          </cell>
          <cell r="B96" t="str">
            <v>Parul Hazel</v>
          </cell>
          <cell r="C96">
            <v>9873675242</v>
          </cell>
          <cell r="D96" t="str">
            <v>E-1202, Palm Drive</v>
          </cell>
          <cell r="E96" t="str">
            <v>Badshahpur</v>
          </cell>
          <cell r="F96" t="str">
            <v>Friday</v>
          </cell>
          <cell r="G96" t="str">
            <v>9 AM - 12 PM</v>
          </cell>
          <cell r="H96">
            <v>1450</v>
          </cell>
          <cell r="I96">
            <v>362.5</v>
          </cell>
          <cell r="J96" t="str">
            <v>Bliss</v>
          </cell>
          <cell r="K96" t="str">
            <v>Send vase replacement tomorrow(27/10) Skip 1 week(27/12) Return-send next week(27/01)Skip 1 week(07/02) Rose next time(26/02) 1 stick extra next week(09/03) Skip 1 week(20/03) Send 1 stick extra in next del(18/05) Today hold n skip 1 week(25/05) Skip 2 week(14/06) Inform Before Sending(01/07) Send 2 pack of FF tom(19/07) Today hold-send tom(21/10) return-send on Thursday(26/10) Rajni Next(21/12) Hold -send on Monday(28/12) Skip 1 week(09/03) Rajni Next(28/01) Rajni tom(28/02) Pls send Mix of Spray daisy + Rajni and send tom only this week(04/03) Skiped 1 week due to HOLI(29/03) Skip 1 week(17/08) Rajni/Rose next(12/10) Send rajni Tom(30/10) Skip 1 week(19/12) Skip 1 week(12/03) Sewnt a replacement today(17/04) Skip 1 we Hold today (29/03)ek(01/06) Skip 2 Weeks(23/06) Skip 1 week(28/07) Skip 1 week (22/12) Skip 2 weeks (01/01/23) Skip 1 week (13/04) Send on sunday this week (14/04) Send 1 delivery tom (19/06)] Skip 1 week (28/09) Skip 1 week (10/04) Send Replacement tom (10/01) Skip 1 week (20/01) Skip friday n send on monday this week (26/06) Send thsi week flowers on monday (14/08) Skip 1 week (16/12) skip tom and send on 28th (17/03) Hold today and check next week before sending (22/05)</v>
          </cell>
          <cell r="N96" t="str">
            <v>4  del of this cycle   -  0-cycles pmnt   Completed - Collect 0</v>
          </cell>
          <cell r="O96" t="str">
            <v>P n W Glad ( 14 Inch ) 16     Grass</v>
          </cell>
          <cell r="P96" t="str">
            <v>P n Y Spray Daisy ( 14 Inch ) 5     FF Sachet + Grass</v>
          </cell>
          <cell r="Q96" t="str">
            <v xml:space="preserve">R n P Car ( 14 Inch ) 16    FF Sachet + Grass </v>
          </cell>
          <cell r="R96" t="str">
            <v>Pur Eustoma ( 12 Inch ) 3     FF sachet + Grass</v>
          </cell>
          <cell r="S96" t="str">
            <v>Sunflower ( 12 Inch ) 4     FF Sachet + Grass</v>
          </cell>
          <cell r="T96" t="str">
            <v>O Asiatic ( 14 Inch ) 3     Grass</v>
          </cell>
        </row>
        <row r="97">
          <cell r="A97">
            <v>1467</v>
          </cell>
          <cell r="B97" t="str">
            <v>Priyanka Chaturvedi</v>
          </cell>
          <cell r="C97">
            <v>7838930274</v>
          </cell>
          <cell r="D97" t="str">
            <v xml:space="preserve">Flat No. A-303, The Peaceful Homes, Sec 70-A
</v>
          </cell>
          <cell r="E97" t="str">
            <v>Badshahpur</v>
          </cell>
          <cell r="F97" t="str">
            <v>Friday</v>
          </cell>
          <cell r="G97" t="str">
            <v>9 AM - 12 PM</v>
          </cell>
          <cell r="H97">
            <v>1600</v>
          </cell>
          <cell r="I97">
            <v>200</v>
          </cell>
          <cell r="J97" t="str">
            <v>Bloom</v>
          </cell>
          <cell r="K97" t="str">
            <v>Friday and Sunday//Saturday evening slot and Sunday morning Slot(06/08) Send 100 Gm Mogra also(03/09) Received cash of 100 today(04/09) Skip coming week(20/09) Skip 1 week(15/10) Skip tom n send on comong fridayu this week(29/01) W Car next(26/02)  Holy Change(16/03) Return today(15/04) Hold n start from July (01/05) Skip 13th Delivery (10/01) NO ROSE (29/01) Sent replacement today (05/02) Send bothe deliveries together on sunday (12/05) Skip 1 week (25/05) Send both deliveries on Sunday only (01/06) Double Delivery only on Sunday (10/06) Paytm From Gaurav Chaturvedi (26/03) Hold til next saturday (20/06) Skip this sunday (11/10) No Spray Daisy (22/11) Today REturned (12/01) Skip 2nd week (03/04) No Del between 7th to 14th (05/04) Skip this sunday (18/06) Skip tom (04/10) Skip 1 week (10/12) Today Returned (04/01)</v>
          </cell>
          <cell r="L97" t="str">
            <v>ROSE n SPRAY DAISY</v>
          </cell>
          <cell r="N97" t="str">
            <v>6  del of this cycle   -  0-cycles pmnt   Completed - Collect 0</v>
          </cell>
          <cell r="O97" t="e">
            <v>#N/A</v>
          </cell>
          <cell r="P97" t="str">
            <v>Glad ( 12 Inch ) 7     Grass</v>
          </cell>
          <cell r="Q97" t="str">
            <v>P n W Glad ( 14 Inch ) 11     Grass</v>
          </cell>
          <cell r="R97" t="str">
            <v>P n W Car  ( 14 Inch ) 7     FF sachet + Grass</v>
          </cell>
          <cell r="S97" t="str">
            <v>Rajni ( 14 Inch ) 7     Grass</v>
          </cell>
          <cell r="T97" t="str">
            <v>P n W Glad ( 14 Inch ) 7     Grass</v>
          </cell>
        </row>
        <row r="98">
          <cell r="A98">
            <v>3368</v>
          </cell>
          <cell r="B98" t="str">
            <v>Sugandha Goyal</v>
          </cell>
          <cell r="C98">
            <v>9971681194</v>
          </cell>
          <cell r="D98" t="str">
            <v>T-15/3C, Central Park Resorts</v>
          </cell>
          <cell r="E98" t="str">
            <v>Sohna Road 2</v>
          </cell>
          <cell r="F98" t="str">
            <v>Monday</v>
          </cell>
          <cell r="G98" t="str">
            <v>9 AM - 12 PM</v>
          </cell>
          <cell r="H98">
            <v>2300</v>
          </cell>
          <cell r="I98">
            <v>287.5</v>
          </cell>
          <cell r="J98" t="str">
            <v>Felicity</v>
          </cell>
          <cell r="K98" t="str">
            <v>HDTNP (26/06)</v>
          </cell>
          <cell r="N98" t="str">
            <v>7  del of this cycle   -  0-cycles pmnt   Completed - Collect 0</v>
          </cell>
          <cell r="O98" t="str">
            <v>P Spray Daisy ( 14 Inch ) 3     FF Sachet + Grass</v>
          </cell>
          <cell r="P98" t="str">
            <v>Mix Alstroemeria ( 12 Inch ) 11     FF Sachet + Grass</v>
          </cell>
          <cell r="Q98" t="str">
            <v>P Asiatic ( 14 Inch ) 2     Grass</v>
          </cell>
          <cell r="R98" t="e">
            <v>#N/A</v>
          </cell>
          <cell r="S98" t="str">
            <v>Sunflower ( 12 Inch ) 3     FF Sachet + Grass</v>
          </cell>
          <cell r="T98" t="str">
            <v>P n W Glad ( 14 Inch ) 11     Grass</v>
          </cell>
        </row>
        <row r="99">
          <cell r="A99">
            <v>196</v>
          </cell>
          <cell r="B99" t="str">
            <v>Nipun Jain</v>
          </cell>
          <cell r="C99">
            <v>9999113554</v>
          </cell>
          <cell r="D99" t="str">
            <v>Villa-9, Tattvam Villa</v>
          </cell>
          <cell r="E99" t="str">
            <v>Sohna Road 2</v>
          </cell>
          <cell r="F99" t="str">
            <v>Friday</v>
          </cell>
          <cell r="G99" t="str">
            <v>9 AM - 12 PM</v>
          </cell>
          <cell r="H99">
            <v>3960</v>
          </cell>
          <cell r="I99">
            <v>990</v>
          </cell>
          <cell r="J99" t="str">
            <v>Customized</v>
          </cell>
          <cell r="K99" t="str">
            <v>Only Lilies(11/06)Next time 1 stick extra(08/09)Hold for 3 weeks(13/11) NO Rose(21/12) Skip 2 week(15/11) 1 Stick Extra next week (21/12) 1 Stick extra next(28/12) Hold today as payment not received(13/11) Send on Tuesday this week instead of Sunday(17/11) Received 1 more transfer of 2050 today(16/01)  Holy Change(16/03) Not sent on 8th and 15th(15/04) Add changed(29/04) Skip 2 weeks (22/12) Skip 2 weeks (20/01) 3rd Delivery put on hold as payment was not received(03/03) Today again put in hold (10/03) Add Changed-- skip n send on sunday next week (29/03) Hold due to non payment (07/04) 8 Lilies in each Delivery (05/10)  No Grens (11/10) Single color always (26/11) Skip 3 weeks (24/12) Return tiday send tom (23/06) Sent one del Today (24/08) 16 Lilies now in 2 color (27/09) Today returned - not at home (28/11) No Delivery from 24th Dec to 5th Jan (19/12) No Flowers on 15th and 22nd (03/06)</v>
          </cell>
          <cell r="N99" t="str">
            <v>2  del of this cycle   -  1-cycles pmnt   Pending - Collect 3960</v>
          </cell>
          <cell r="O99" t="str">
            <v>P Asiatic ( 14 Inch ) 8     2 Limonium</v>
          </cell>
          <cell r="P99" t="str">
            <v>W Asiatic ( 14 inch ) 8     2 Gypsola</v>
          </cell>
          <cell r="Q99" t="e">
            <v>#N/A</v>
          </cell>
          <cell r="R99" t="e">
            <v>#N/A</v>
          </cell>
          <cell r="S99" t="str">
            <v>O Asiatic ( 14 Inch ) 8     2 Limonium</v>
          </cell>
          <cell r="T99" t="str">
            <v xml:space="preserve">Y Asiatic ( 14 Inch ) 8     2 Gypsola </v>
          </cell>
        </row>
        <row r="100">
          <cell r="A100">
            <v>2918</v>
          </cell>
          <cell r="B100" t="str">
            <v>Tina</v>
          </cell>
          <cell r="C100">
            <v>9212408077</v>
          </cell>
          <cell r="D100" t="str">
            <v>J-1603, Palm Drive</v>
          </cell>
          <cell r="E100" t="str">
            <v>Badshahpur</v>
          </cell>
          <cell r="F100" t="str">
            <v>Friday</v>
          </cell>
          <cell r="G100" t="str">
            <v>10 AM to 2:30 PM</v>
          </cell>
          <cell r="H100">
            <v>999</v>
          </cell>
          <cell r="I100">
            <v>249.75</v>
          </cell>
          <cell r="J100" t="str">
            <v>Delight</v>
          </cell>
          <cell r="K100" t="str">
            <v>From Radhika Neeraj Rathod//Colect cash (17/03) Paytm from Gureena Singh (29/08) Send tom n send on Monday this week (19/03) HDTNP (26/06) Do Not count last Del (04/0&amp;0</v>
          </cell>
          <cell r="N100" t="str">
            <v>4  del of this cycle   -  0-cycles pmnt   CompletedNO COLLECTION-we have extra money - Collect -1</v>
          </cell>
          <cell r="O100" t="str">
            <v>P n W Car ( 14 Inch ) 9     FF Sachet + Grass</v>
          </cell>
          <cell r="P100" t="str">
            <v>Mix Alstroemeria ( 12 Inch ) 9     FF Sachet + Grass</v>
          </cell>
          <cell r="Q100" t="str">
            <v xml:space="preserve">O Asiatic ( 14 Inch ) 2    Grass </v>
          </cell>
          <cell r="R100" t="e">
            <v>#N/A</v>
          </cell>
          <cell r="S100" t="str">
            <v>P n W Glad ( 14 Inch ) 9     Grass</v>
          </cell>
          <cell r="T100" t="str">
            <v>G n W Car ( 14 Inch ) 9     FF Sachet + Grass</v>
          </cell>
        </row>
        <row r="101">
          <cell r="A101">
            <v>3290</v>
          </cell>
          <cell r="B101" t="str">
            <v>Ambika Anand</v>
          </cell>
          <cell r="C101">
            <v>8789906098</v>
          </cell>
          <cell r="D101" t="str">
            <v>T-A2/401, Tulip Orange, Sec 70</v>
          </cell>
          <cell r="E101" t="str">
            <v>Badshahpur</v>
          </cell>
          <cell r="F101" t="str">
            <v>Friday</v>
          </cell>
          <cell r="G101" t="str">
            <v>9 AM - 12 PM</v>
          </cell>
          <cell r="H101">
            <v>1450</v>
          </cell>
          <cell r="I101">
            <v>362.5</v>
          </cell>
          <cell r="J101" t="str">
            <v>Bliss</v>
          </cell>
          <cell r="K101" t="str">
            <v>HDTNP (26/06) HDTNP (03/07)</v>
          </cell>
          <cell r="N101" t="str">
            <v>3  del of this cycle   -  1-cycles pmnt   Pending - Collect 1450</v>
          </cell>
          <cell r="O101" t="str">
            <v>P n Y Spray Daisy ( 14 Inch ) 5     FF Sachet + Grass</v>
          </cell>
          <cell r="P101" t="str">
            <v>P n W Glad ( 14 Inch ) 16     Grass</v>
          </cell>
          <cell r="Q101" t="str">
            <v xml:space="preserve">O Asiatic ( 14 Inch ) 3    Grass </v>
          </cell>
          <cell r="R101" t="e">
            <v>#N/A</v>
          </cell>
          <cell r="S101" t="e">
            <v>#N/A</v>
          </cell>
          <cell r="T101" t="str">
            <v>G n W Car ( 14 Inch ) 16     FF Sachet + Grass</v>
          </cell>
        </row>
        <row r="102">
          <cell r="A102">
            <v>2806</v>
          </cell>
          <cell r="B102" t="str">
            <v>Anubhi</v>
          </cell>
          <cell r="C102">
            <v>8800423311</v>
          </cell>
          <cell r="D102" t="str">
            <v>T-10/6C, Central Park Resort</v>
          </cell>
          <cell r="E102" t="str">
            <v>Sohna Road 2</v>
          </cell>
          <cell r="F102" t="str">
            <v>Friday</v>
          </cell>
          <cell r="G102" t="str">
            <v>9 AM to 2 PM</v>
          </cell>
          <cell r="H102">
            <v>1450</v>
          </cell>
          <cell r="I102">
            <v>362.5</v>
          </cell>
          <cell r="J102" t="str">
            <v>Bliss</v>
          </cell>
          <cell r="K102" t="str">
            <v>1st del tom n then every Friday and Never Roses (19/07) Hold due to non payment (23/01) Start from Mar (12/02) HDTNP (13/03)</v>
          </cell>
          <cell r="L102" t="str">
            <v>Rose</v>
          </cell>
          <cell r="N102" t="str">
            <v>2  del of this cycle   -  1-cycles pmnt   Pending - Collect 1450</v>
          </cell>
          <cell r="O102" t="e">
            <v>#N/A</v>
          </cell>
          <cell r="P102" t="e">
            <v>#N/A</v>
          </cell>
          <cell r="Q102" t="e">
            <v>#N/A</v>
          </cell>
          <cell r="R102" t="e">
            <v>#N/A</v>
          </cell>
          <cell r="S102" t="str">
            <v>Pur n P Car ( 14 Inch ) 16     FF Sachet + Grass</v>
          </cell>
          <cell r="T102" t="str">
            <v>Y Asiatic ( 14 Inch ) 3     Grass</v>
          </cell>
        </row>
        <row r="103">
          <cell r="A103">
            <v>781</v>
          </cell>
          <cell r="B103" t="str">
            <v>Maj. Gen. KN Singh</v>
          </cell>
          <cell r="C103">
            <v>9971391417</v>
          </cell>
          <cell r="D103" t="str">
            <v>GH 4/5C Gurgaon One Apartments- Sectr 22</v>
          </cell>
          <cell r="E103" t="str">
            <v>Old Gurgaon</v>
          </cell>
          <cell r="F103" t="str">
            <v>Friday</v>
          </cell>
          <cell r="G103" t="str">
            <v>4 PM to 7PM</v>
          </cell>
          <cell r="H103">
            <v>1450</v>
          </cell>
          <cell r="I103">
            <v>362.5</v>
          </cell>
          <cell r="J103" t="str">
            <v>Bliss</v>
          </cell>
          <cell r="K103" t="str">
            <v>Tuesday and friday// NO ORCHIDS(02/09) Skip 1 week(04/08) Skip 1 week(22/09) Skip 1 week (15/12) Today hold (13/01) Skip 2 weeks (23/01) Skip 1 week (30/03) Skip 1 week (13/04) Shift to Bliss (27/04) Send replacement tom (13/05) Skip 1 week (24/05) Skip 1 week (25/07) Skip 1 week (10/08) Skip 2 week (08/01) Skip 17th and send on 19th (15/05) Skip 2 week (09/01) Skip 1 week (11/03) skip 2 week (04/12) Send tom (06/02) hOLD TODAY (08/05)</v>
          </cell>
          <cell r="N103" t="str">
            <v>2  del of this cycle   -  0-cycles pmnt   Completed - Collect 0</v>
          </cell>
          <cell r="O103" t="str">
            <v>P Asiatic ( 14 Inch ) 3     Grass</v>
          </cell>
          <cell r="P103" t="str">
            <v>P n Y Spray Daisy ( 14 Inch ) 5     FF Sachet + Grass</v>
          </cell>
          <cell r="Q103" t="str">
            <v xml:space="preserve">R n P Car ( 14 Inch ) 16    FF Sachet + Grass </v>
          </cell>
          <cell r="R103" t="str">
            <v>Mix Alstroemeria 16     Grass</v>
          </cell>
          <cell r="S103" t="str">
            <v>Sunflower ( 12 Inch ) 4     FF Sachet + Grass</v>
          </cell>
          <cell r="T103" t="str">
            <v>Mix Spray Daisy 5     Grass</v>
          </cell>
        </row>
        <row r="104">
          <cell r="A104" t="str">
            <v>G-00065</v>
          </cell>
          <cell r="B104" t="str">
            <v>Shilpa Tambi</v>
          </cell>
          <cell r="C104">
            <v>9993806367</v>
          </cell>
          <cell r="D104" t="str">
            <v>A4/1603, Yulip Yellow, Sec 69</v>
          </cell>
          <cell r="E104" t="str">
            <v>Badshahpur</v>
          </cell>
          <cell r="F104" t="str">
            <v>Friday</v>
          </cell>
          <cell r="G104" t="str">
            <v>9 AM - 12 PM</v>
          </cell>
          <cell r="H104">
            <v>1450</v>
          </cell>
          <cell r="I104">
            <v>362.5</v>
          </cell>
          <cell r="J104" t="str">
            <v>Bliss</v>
          </cell>
          <cell r="K104" t="str">
            <v>Gift From 9993806367 // Change day to Friday (08/07)</v>
          </cell>
          <cell r="N104" t="str">
            <v>3  del of this cycle   -  0-cycles pmnt   Completed - Collect 0</v>
          </cell>
          <cell r="O104" t="e">
            <v>#N/A</v>
          </cell>
          <cell r="P104" t="e">
            <v>#N/A</v>
          </cell>
          <cell r="Q104" t="e">
            <v>#N/A</v>
          </cell>
          <cell r="R104" t="e">
            <v>#N/A</v>
          </cell>
          <cell r="S104" t="e">
            <v>#N/A</v>
          </cell>
          <cell r="T104" t="str">
            <v>Rajni ( 14 Inch ) 16     Grass</v>
          </cell>
        </row>
        <row r="105">
          <cell r="A105">
            <v>2708</v>
          </cell>
          <cell r="B105" t="str">
            <v>Monica Bakshi</v>
          </cell>
          <cell r="C105">
            <v>9730543073</v>
          </cell>
          <cell r="D105" t="str">
            <v>K-1005, Palm Drive</v>
          </cell>
          <cell r="E105" t="str">
            <v>Badshahpur</v>
          </cell>
          <cell r="F105" t="str">
            <v>Friday</v>
          </cell>
          <cell r="G105" t="str">
            <v>9 AM - 12 PM</v>
          </cell>
          <cell r="H105">
            <v>1450</v>
          </cell>
          <cell r="I105">
            <v>362.5</v>
          </cell>
          <cell r="J105" t="str">
            <v>Bliss</v>
          </cell>
          <cell r="K105" t="str">
            <v>No Gerbera (02/12)</v>
          </cell>
          <cell r="L105" t="str">
            <v xml:space="preserve">GERBERA </v>
          </cell>
          <cell r="N105" t="str">
            <v>1  del of this cycle   -  1-cycles pmnt   Pending - Collect 999</v>
          </cell>
          <cell r="O105" t="str">
            <v>Y Spray Daisy ( 14 Inch ) 3     FF Sachet + Grass</v>
          </cell>
          <cell r="P105" t="str">
            <v>Pur n P Car ( 14 Inch ) 9     FF Sachet + Grass</v>
          </cell>
          <cell r="Q105" t="str">
            <v xml:space="preserve">Mix Alstroemeria ( 12 Inch ) 9    FF Sachet + Grass </v>
          </cell>
          <cell r="R105" t="str">
            <v>O Asiatic ( 14 Inch ) 2     Grass</v>
          </cell>
          <cell r="S105" t="str">
            <v>P n W Glad ( 14 Inch ) 9     Grass</v>
          </cell>
          <cell r="T105" t="str">
            <v>Rajni ( 14 Inch ) 16     Grass</v>
          </cell>
        </row>
        <row r="106">
          <cell r="A106">
            <v>2700</v>
          </cell>
          <cell r="B106" t="str">
            <v>Rachit Bansal</v>
          </cell>
          <cell r="C106">
            <v>8828352292</v>
          </cell>
          <cell r="D106" t="str">
            <v>T-K/1501, Emaar Palm Drive</v>
          </cell>
          <cell r="E106" t="str">
            <v>Badshahpur</v>
          </cell>
          <cell r="F106" t="str">
            <v>Friday</v>
          </cell>
          <cell r="G106" t="str">
            <v>10 AM to 2:30 PM</v>
          </cell>
          <cell r="H106">
            <v>1450</v>
          </cell>
          <cell r="I106">
            <v>362.5</v>
          </cell>
          <cell r="J106" t="str">
            <v>Bliss</v>
          </cell>
          <cell r="K106" t="str">
            <v>Skip 3 weeks from 25th (16/07) Skip  a week (11/09) Skip 1 week (02/10) Today hold n send on Sunday (10/10) Skip 1 week (08/01) Todau Hold (16/01) Skip 1 week (12/02) Skip 1 week (19/03) Skip 1 week (15/04)</v>
          </cell>
          <cell r="N106" t="str">
            <v>1  del of this cycle   -  1-cycles pmnt   Pending - Collect 1400</v>
          </cell>
          <cell r="O106" t="str">
            <v>P n W Glad ( 14 Inch ) 16     Grass</v>
          </cell>
          <cell r="P106" t="str">
            <v>P n Y Spray Daisy ( 14 Inch ) 5     FF Sachet + Grass</v>
          </cell>
          <cell r="Q106" t="e">
            <v>#N/A</v>
          </cell>
          <cell r="R106" t="e">
            <v>#N/A</v>
          </cell>
          <cell r="S106" t="e">
            <v>#N/A</v>
          </cell>
          <cell r="T106" t="str">
            <v>G n W Car ( 14 Inch ) 16     FF Sachet + Grass</v>
          </cell>
        </row>
        <row r="107">
          <cell r="A107">
            <v>2404</v>
          </cell>
          <cell r="B107" t="str">
            <v>Amitt Nenwani</v>
          </cell>
          <cell r="C107">
            <v>9810444444</v>
          </cell>
          <cell r="D107" t="str">
            <v>Villa 21, Z Block, Tatvam Villas</v>
          </cell>
          <cell r="E107" t="str">
            <v>Sohna Road 2</v>
          </cell>
          <cell r="F107" t="str">
            <v>Friday</v>
          </cell>
          <cell r="G107" t="str">
            <v>9 AM - 12 PM</v>
          </cell>
          <cell r="H107">
            <v>6350</v>
          </cell>
          <cell r="I107">
            <v>793.75</v>
          </cell>
          <cell r="J107" t="str">
            <v>Elegance</v>
          </cell>
          <cell r="K107" t="str">
            <v>Friday n Monday//Mixed // Skip 1 week (17/04) Skip this week (12/11) Skip this week and send on 03rd Jan (29/12) Skip tom (15/03) Skip 1 week (26/03)</v>
          </cell>
          <cell r="M107" t="str">
            <v>Mixed Flowers// Change to enchantement from next cycle (12/1)</v>
          </cell>
          <cell r="N107" t="str">
            <v>6  del of this cycle   -  0-cycles pmnt   In Process - Collect 0</v>
          </cell>
          <cell r="O107" t="str">
            <v>W Asiatic ( 14 Inch ) 3 G Orchid  4 Rajni ( 14 Inch ) 12 Grass</v>
          </cell>
          <cell r="P107" t="str">
            <v>Y Asiatic ( 14 Inch ) 4 BOP ( 15 Inch ) 3 Pur n P Car ( 14 Inch ) 12 3 Areca palm + 3 Gypsola</v>
          </cell>
          <cell r="Q107" t="str">
            <v>O Asiatic ( 14 Inch ) 3 B Orchid  4 P n W Glad ( 14 Inch ) 12 Grass</v>
          </cell>
          <cell r="R107" t="str">
            <v>P Asiatic ( 14 Inch ) 3 Pur Eustoma ( 12 Inch ) 3 Rajni ( 14 Inch ) 12 3 Areca Palm + 3 Gypsola</v>
          </cell>
          <cell r="S107" t="str">
            <v>W Asiatic ( 14 Inch ) 3 Baloon Flower  4 R n W Car ( 14 Inch ) 12 3 Areca Palm + 3 Limonium</v>
          </cell>
          <cell r="T107" t="str">
            <v>O Asiatic ( 14 Inch ) 3 BOP ( 15 Inch ) 3 G n W Car  ( 14 Inch ) 12 FF Sachet + Grass</v>
          </cell>
        </row>
        <row r="108">
          <cell r="A108">
            <v>1162</v>
          </cell>
          <cell r="B108" t="str">
            <v>Smriti Saxena</v>
          </cell>
          <cell r="C108">
            <v>9811090968</v>
          </cell>
          <cell r="D108" t="str">
            <v>T-6/1201, M3M Merlin, Sec 67</v>
          </cell>
          <cell r="E108" t="str">
            <v>Badshahpur</v>
          </cell>
          <cell r="F108" t="str">
            <v>Friday</v>
          </cell>
          <cell r="G108" t="str">
            <v>9 AM - 12 PM</v>
          </cell>
          <cell r="H108">
            <v>1450</v>
          </cell>
          <cell r="I108">
            <v>362.5</v>
          </cell>
          <cell r="J108" t="str">
            <v>Bliss</v>
          </cell>
          <cell r="K108" t="str">
            <v>Friday n Monday//NO GLAD(18/12) Skip 1 week(24/01) Skip 2 weeks(22/3) NO Rajni(05/06) Skip 1 week and confirm before sending(14/01) Send 2 sticks extra(24/01) 1 stick extra necxt(29/01)  Holy Change(16/03) Change to Bloom(20/05) No Flowers till 17th Aug(08/08) Skip 1 week (05/03) Hold n start afyer 1st June (11/05) Today Returned 923/06) Skip 2 weeks (15/07) Today returned (18/08) Hold due to non payment (16/02) Today Returned (08/03) Return today (20/12) Sent replacement tooday (18/04) Returned today (05/09) Hold due to non payment (17/10) Hold due to non payment (16/01) No Rajni (20/02) HDTNP (24/04) HDTNP (12/06) HDTNP (26/06) HDTNP (03/07)</v>
          </cell>
          <cell r="L108" t="str">
            <v>Rajni</v>
          </cell>
          <cell r="N108" t="str">
            <v>3  del of this cycle   -  0-cycles pmnt   Completed - Collect 0</v>
          </cell>
          <cell r="O108" t="str">
            <v>Sunflower ( 12 Inch ) 4     FF Sachet + Grass</v>
          </cell>
          <cell r="P108" t="e">
            <v>#N/A</v>
          </cell>
          <cell r="Q108" t="str">
            <v xml:space="preserve">P n W Glad ( 14 Inch ) 16    Grass </v>
          </cell>
          <cell r="R108" t="e">
            <v>#N/A</v>
          </cell>
          <cell r="S108" t="e">
            <v>#N/A</v>
          </cell>
          <cell r="T108" t="str">
            <v>G n W Car ( 14 Inch ) 16     FF Sachet + Grass</v>
          </cell>
        </row>
        <row r="109">
          <cell r="A109">
            <v>359</v>
          </cell>
          <cell r="B109" t="str">
            <v>Sudipta Karnik</v>
          </cell>
          <cell r="C109">
            <v>9810266546</v>
          </cell>
          <cell r="D109" t="str">
            <v>Tower 4, Flat 6A, Bellevue, Central Park,Sector-48    Sec 48 Gurgoan  122001</v>
          </cell>
          <cell r="E109" t="str">
            <v>Sohna Road 2</v>
          </cell>
          <cell r="F109" t="str">
            <v>Friday</v>
          </cell>
          <cell r="G109" t="str">
            <v>9 AM - 12 PM</v>
          </cell>
          <cell r="H109">
            <v>1950</v>
          </cell>
          <cell r="I109">
            <v>487.5</v>
          </cell>
          <cell r="J109" t="str">
            <v>Joy</v>
          </cell>
          <cell r="K109" t="str">
            <v>Pls send diff flowers in both package(24/07)Pls send only white color flowers other that Rajni till Nov-18(19/10)NO ROSE(20/12) FLOWER FOOD(10/04) Rs.80/- received against Special Pack(13/04) Send 1 pack of spaecial pack(18/05)  ONLY ASIATIC TILL NEXT INSTR(07/06) Return-send tom(29/06) Sent 2 del today with 40 Car(16/09) Return-send tom(30/11) Change day to Friday(22/02) Hold today-sent next week(10/07/20) Today hold-send tom(04/09/20) Gerbera Next(23/09/20) Sending del Tom due to Diwali(11/11) Skip 1 week(09/07) Skip 1 week(15/09) NO HELICONIA(24/12) Holy Change(16/03) Send replacement tom (03/06)</v>
          </cell>
          <cell r="N109" t="str">
            <v>2  del of this cycle   -  1-cycles pmnt   Pending - Collect 1950</v>
          </cell>
          <cell r="O109" t="str">
            <v>O Asiatic ( 14 Inch ) 4     Grass</v>
          </cell>
          <cell r="P109" t="str">
            <v>Sunflower ( 12 Inch ) 5     FF Sachet + Grass</v>
          </cell>
          <cell r="Q109" t="str">
            <v>R n P Car ( 14 Inch ) 22     FF sachet + Grass</v>
          </cell>
          <cell r="R109" t="str">
            <v>Mix Alstroemeria 20     FF Sachet + Grass</v>
          </cell>
          <cell r="S109" t="str">
            <v>Baloon Flowers  5     Grass</v>
          </cell>
          <cell r="T109" t="str">
            <v>Y Asiatic ( 14 Inch ) 4     Grass</v>
          </cell>
        </row>
        <row r="110">
          <cell r="A110">
            <v>2311</v>
          </cell>
          <cell r="B110" t="str">
            <v>Ranjeeta Sanghvi</v>
          </cell>
          <cell r="C110">
            <v>9986593206</v>
          </cell>
          <cell r="D110" t="str">
            <v>T-3/TH-B, Bellevue. Central Park 2</v>
          </cell>
          <cell r="E110" t="str">
            <v>Sohna Road 2</v>
          </cell>
          <cell r="F110" t="str">
            <v>Friday</v>
          </cell>
          <cell r="G110" t="str">
            <v>9 AM - 12 PM</v>
          </cell>
          <cell r="H110">
            <v>1450</v>
          </cell>
          <cell r="I110">
            <v>362.5</v>
          </cell>
          <cell r="J110" t="str">
            <v>Bliss</v>
          </cell>
          <cell r="N110" t="str">
            <v>4  del of this cycle   -  0-cycles pmnt   Completed - Collect 0</v>
          </cell>
          <cell r="O110" t="str">
            <v>P n W Glad ( 14 Inch ) 9     Grass</v>
          </cell>
          <cell r="P110" t="str">
            <v>Pur n P Car ( 14 Inch ) 9     FF Sachet + Grass</v>
          </cell>
          <cell r="Q110" t="str">
            <v xml:space="preserve">O Asiatic ( 14 Inch ) 3    Grass </v>
          </cell>
          <cell r="R110" t="str">
            <v>Pur Eustoma ( 12 Inch ) 3     FF sachet + Grass</v>
          </cell>
          <cell r="S110" t="str">
            <v>Sunflower ( 12 Inch ) 4     FF Sachet + Grass</v>
          </cell>
          <cell r="T110" t="str">
            <v>P n W Glad ( 14 Inch ) 16     Grass</v>
          </cell>
        </row>
        <row r="111">
          <cell r="A111">
            <v>2976</v>
          </cell>
          <cell r="B111" t="str">
            <v>Monika Dubey</v>
          </cell>
          <cell r="C111">
            <v>6350565083</v>
          </cell>
          <cell r="D111" t="str">
            <v>H-1101, Tower-H, Mapsko Mountville, Sec 79</v>
          </cell>
          <cell r="E111" t="str">
            <v>Badshahpur</v>
          </cell>
          <cell r="F111" t="str">
            <v>Friday</v>
          </cell>
          <cell r="G111" t="str">
            <v>4 Pm to 7 PM</v>
          </cell>
          <cell r="H111">
            <v>1450</v>
          </cell>
          <cell r="I111">
            <v>362.5</v>
          </cell>
          <cell r="J111" t="str">
            <v>Bliss</v>
          </cell>
          <cell r="K111" t="str">
            <v>2 Premium and 2 Seasonal // Yesterday returned (11/10) Skip 1 week (25/06) Today Returned (03/07)</v>
          </cell>
          <cell r="N111" t="str">
            <v>4  del of this cycle   -  0-cycles pmnt   Completed - Collect 0</v>
          </cell>
          <cell r="O111" t="str">
            <v>P n W Car ( 14 Inch ) 16     FF Sachet + Grass</v>
          </cell>
          <cell r="P111" t="str">
            <v>Y Asiatic ( 14 Inch ) 3     Grass</v>
          </cell>
          <cell r="Q111" t="str">
            <v xml:space="preserve">P n W Glad ( 14 Inch ) 16    Grass </v>
          </cell>
          <cell r="R111" t="e">
            <v>#N/A</v>
          </cell>
          <cell r="S111" t="str">
            <v>Sunflower ( 12 Inch ) 4     FF Sachet + Grass</v>
          </cell>
          <cell r="T111" t="str">
            <v>G n W Car ( 14 Inch ) 16     FF Sachet + Grass</v>
          </cell>
        </row>
        <row r="112">
          <cell r="A112">
            <v>2712</v>
          </cell>
          <cell r="B112" t="str">
            <v>Ankita Aeron</v>
          </cell>
          <cell r="C112">
            <v>8860253167</v>
          </cell>
          <cell r="D112" t="str">
            <v>D-701, Shree Vardhman Victoria, Sec 70</v>
          </cell>
          <cell r="E112" t="str">
            <v>Badshahpur</v>
          </cell>
          <cell r="F112" t="str">
            <v>Friday</v>
          </cell>
          <cell r="G112" t="str">
            <v>9:30 Am to 2 PM</v>
          </cell>
          <cell r="H112">
            <v>1450</v>
          </cell>
          <cell r="I112">
            <v>362.5</v>
          </cell>
          <cell r="J112" t="str">
            <v>Bliss</v>
          </cell>
          <cell r="K112" t="str">
            <v>Car Next (27/06) Do not send on 8th and 15th Aug (31/07) Skip 1 week (18/09) Skip 2 week (15/10) Skip 1 week (09/06)</v>
          </cell>
          <cell r="M112" t="str">
            <v>Car Next (27/06)</v>
          </cell>
          <cell r="N112" t="str">
            <v>3  del of this cycle   -  0-cycles pmnt   Completed - Collect 0</v>
          </cell>
          <cell r="O112" t="str">
            <v>Sunflower ( 12 Inch ) 2 Mix Alstroemeria ( 12 Inch ) 7   FF Sachet + Grass</v>
          </cell>
          <cell r="P112" t="e">
            <v>#N/A</v>
          </cell>
          <cell r="Q112" t="str">
            <v xml:space="preserve">P Spray Daisy ( 14 Inch ) 3 Pur n P Car ( 14 Inch ) 7  FF Sachet + Grass </v>
          </cell>
          <cell r="R112" t="str">
            <v>P Asiatic ( 14 Inch ) 2 P n W Glad ( 14 Inch ) 7   Grass</v>
          </cell>
          <cell r="S112" t="str">
            <v>Sunflower ( 12 Inch ) 2 Rajni ( 14 Inch ) 7   FF Sachet + Grass</v>
          </cell>
          <cell r="T112" t="str">
            <v>P Spray Daisy ( 14 Inch ) 3 G n W Car ( 14 Inch ) 7   FF Sachet + Grass</v>
          </cell>
        </row>
        <row r="113">
          <cell r="A113">
            <v>2259</v>
          </cell>
          <cell r="B113" t="str">
            <v>Shivani Kapoor</v>
          </cell>
          <cell r="C113">
            <v>9818659010</v>
          </cell>
          <cell r="D113" t="str">
            <v>94, Tattvam Villa</v>
          </cell>
          <cell r="E113" t="str">
            <v>Sohna Road 2</v>
          </cell>
          <cell r="F113" t="str">
            <v>Monday</v>
          </cell>
          <cell r="G113" t="str">
            <v>9 AM - 12 PM</v>
          </cell>
          <cell r="H113">
            <v>3950</v>
          </cell>
          <cell r="I113">
            <v>493.75</v>
          </cell>
          <cell r="J113" t="str">
            <v>Grace</v>
          </cell>
          <cell r="K113" t="str">
            <v>Monday n Friday// Payment from Sanjeev K (05/05) Skip 1 week (26/07) Skip 1 week (04/11) Skip this Friday (26/12) Skip 1 week (01/01/25) Skip tom (02/02) No delivery on Monday (01/03) Skip 14th n send on 17th (11/03) Now start from 7th July (24/06)</v>
          </cell>
          <cell r="M113" t="str">
            <v>No White</v>
          </cell>
          <cell r="N113" t="str">
            <v>5  del of this cycle   -  1-cycles pmnt   Pending - Collect 3950</v>
          </cell>
          <cell r="O113" t="str">
            <v>Pur n P Eustoma ( 14 Inch ) 4     FF Sachet + Grass</v>
          </cell>
          <cell r="P113" t="str">
            <v>Pur n P Car ( 14 Inch ) 20     FF Sachet + Grass</v>
          </cell>
          <cell r="Q113" t="str">
            <v>P n W Glad ( 14 Inch ) 20     Grass</v>
          </cell>
          <cell r="R113" t="str">
            <v>G n Y Spray Daisy ( 14 Inch ) 6     FF sachet + Grass</v>
          </cell>
          <cell r="S113" t="str">
            <v>Baloon Flowers  5     FF Sachet + Grass</v>
          </cell>
          <cell r="T113" t="str">
            <v>Mix Glad 20     FF Sachet + Grass</v>
          </cell>
        </row>
        <row r="114">
          <cell r="A114">
            <v>2454</v>
          </cell>
          <cell r="B114" t="str">
            <v>Vipin</v>
          </cell>
          <cell r="C114" t="str">
            <v>9555977401 // 9654829329</v>
          </cell>
          <cell r="D114" t="str">
            <v>Villa / VB-5, Tata Primanti, Sec 72</v>
          </cell>
          <cell r="E114" t="str">
            <v>Badshahpur</v>
          </cell>
          <cell r="F114" t="str">
            <v>Friday</v>
          </cell>
          <cell r="G114" t="str">
            <v>9 AM - 12 PM</v>
          </cell>
          <cell r="H114">
            <v>1950</v>
          </cell>
          <cell r="I114">
            <v>487.5</v>
          </cell>
          <cell r="J114" t="str">
            <v>Joy</v>
          </cell>
          <cell r="K114" t="str">
            <v>Send in evening slot tom (11/03) Paytm From Hina Kapoor (06/04) Send replacement Tom (17/05) Send replacement of W Eustoma (17/05) Paytm from Tarun Kumar (15/95) Replacement tom (16/05) Paytm From Vimpin Kapooria (28/06)</v>
          </cell>
          <cell r="N114" t="str">
            <v>3  del of this cycle   -  0-cycles pmnt   Completed - Collect 0</v>
          </cell>
          <cell r="O114" t="str">
            <v>P n Y Spray Daisy ( 14 Inch ) 4 Mix Alstroemeria ( 12 Inch ) 11   FF Sachet + Grass</v>
          </cell>
          <cell r="P114" t="str">
            <v>Sunflower ( 12 Inch ) 3 P n W Glad ( 14 Inch ) 11   FF Sachet + Grass</v>
          </cell>
          <cell r="Q114" t="str">
            <v>P Eustoma ( 12 Inch ) 2 Pur n P Car ( 14 Inch ) 11   FF sachet + Grass</v>
          </cell>
          <cell r="R114" t="str">
            <v>P Asiatic ( 14 Inch ) 2 Glad ( 14 Inch ) 11   Grass</v>
          </cell>
          <cell r="S114" t="str">
            <v>Sunflower ( 12 Inch ) 3 Rajni ( 14 Inch ) 11   FF Sachet + Grass</v>
          </cell>
          <cell r="T114" t="str">
            <v>P n W Spray Daisy ( 14  Inch )  4 Mix Alstroemeria ( 12 Inch ) 11   FF Sachet + Grass</v>
          </cell>
        </row>
        <row r="115">
          <cell r="A115" t="str">
            <v>B56402</v>
          </cell>
          <cell r="B115" t="str">
            <v>Alok divatia -- After 10 AM</v>
          </cell>
          <cell r="C115">
            <v>9819355743</v>
          </cell>
          <cell r="D115" t="str">
            <v>BLC 263, 26th Floor, Tower C, The Belaire</v>
          </cell>
          <cell r="E115" t="str">
            <v>Golf Course Road</v>
          </cell>
          <cell r="F115" t="str">
            <v>Thursday</v>
          </cell>
          <cell r="G115" t="str">
            <v>By 10:30 AM</v>
          </cell>
          <cell r="H115">
            <v>9800</v>
          </cell>
          <cell r="I115">
            <v>9800</v>
          </cell>
          <cell r="J115" t="str">
            <v>Bouquet</v>
          </cell>
          <cell r="N115" t="str">
            <v>1  del of this cycle   -  0-cycles pmnt   Completed - Collect 0</v>
          </cell>
          <cell r="O115" t="e">
            <v>#N/A</v>
          </cell>
          <cell r="P115" t="e">
            <v>#N/A</v>
          </cell>
          <cell r="Q115" t="e">
            <v>#N/A</v>
          </cell>
          <cell r="R115" t="e">
            <v>#N/A</v>
          </cell>
          <cell r="S115" t="e">
            <v>#N/A</v>
          </cell>
          <cell r="T115" t="str">
            <v xml:space="preserve">R Anthurium + Mix Oriental + Y Orchid + R n P Car + BOP + Yel Button Daisy + G Button Daisy + G Amaranthus 5 + 5 + 20 + 30 + 3 + 5 + 5 + 10 Pls Make in Wine Glass with Money Plant Palm    </v>
          </cell>
        </row>
        <row r="116">
          <cell r="A116">
            <v>43</v>
          </cell>
          <cell r="B116" t="str">
            <v>Ms. Arpita Bhargava</v>
          </cell>
          <cell r="C116">
            <v>9953515520</v>
          </cell>
          <cell r="D116" t="str">
            <v>T-4/1701,Tata Primanty,Sector-72</v>
          </cell>
          <cell r="E116" t="str">
            <v>Sohna Road 2</v>
          </cell>
          <cell r="F116" t="str">
            <v>Friday</v>
          </cell>
          <cell r="G116" t="str">
            <v>9 AM - 12 PM</v>
          </cell>
          <cell r="H116">
            <v>1450</v>
          </cell>
          <cell r="I116">
            <v>362.5</v>
          </cell>
          <cell r="J116" t="str">
            <v>Bliss</v>
          </cell>
          <cell r="K116" t="str">
            <v xml:space="preserve"> NO ROSES(28/12) Prefer Glad and Daisy(11/01)  NO ORCHIDS(31/05)  MORE CHRYSANTHEMUM , GLADIOLI NO ROSE AND ORCHIDS(26/12) Return-send Tom(17/01) NO ORCHIDS OR LILIES, ONLY 15 STICKS(31/07/20)  NO GUldawari now in this season--sent replacement today(12/03)   Holy Change(16/03) Flower F Next(13/05) NO RAJNI N GERBERA(21/07) Skip 1 week (29/10) Send 1 stem extra next (23/12) NO GERBERA n ROSE (14/01) REturn today (10/03) Returnb-send next week (30/06) Today return-send next week (07/07) Skip 2 weeks (27/12) Skip 1 week (26/03) Skip 1 week (25/09) Hold send next week (03/10) Returned today (07/11) Today hold (21/11) Today returned (28/11) Skip 2 week (18/12) Replacement tom (17/04)</v>
          </cell>
          <cell r="L116" t="str">
            <v>GERBERA n ROSE</v>
          </cell>
          <cell r="N116" t="str">
            <v>2  del of this cycle   -  0-cycles pmnt   Completed - Collect 0</v>
          </cell>
          <cell r="O116" t="str">
            <v>P n W Car ( 14 Inch ) 9     FF Sachet + Grass</v>
          </cell>
          <cell r="P116" t="str">
            <v>Mix Alstroemeria ( 12 Inch ) 9     FF Sachet + Grass</v>
          </cell>
          <cell r="Q116" t="str">
            <v xml:space="preserve">P n W Glad ( 14 Inch ) 9    Grass </v>
          </cell>
          <cell r="R116" t="str">
            <v>Y Spray Daisy ( 14 Inch ) 3     FF aschet + Grass</v>
          </cell>
          <cell r="S116" t="str">
            <v>Pur n P Car ( 14 Inch ) 16     FF Sachet + Grass</v>
          </cell>
          <cell r="T116" t="str">
            <v>O Asiatic ( 14 Inch ) 3     Grass</v>
          </cell>
        </row>
        <row r="117">
          <cell r="A117">
            <v>2775</v>
          </cell>
          <cell r="B117" t="str">
            <v>Sreeparna Ghosh</v>
          </cell>
          <cell r="C117">
            <v>9711590494</v>
          </cell>
          <cell r="D117" t="str">
            <v>H-701, Mapsko Mountville, Sec 79</v>
          </cell>
          <cell r="E117" t="str">
            <v>Badshahpur</v>
          </cell>
          <cell r="F117" t="str">
            <v>Friday</v>
          </cell>
          <cell r="G117" t="str">
            <v>4 PM to 7PM</v>
          </cell>
          <cell r="H117">
            <v>1950</v>
          </cell>
          <cell r="I117">
            <v>487.5</v>
          </cell>
          <cell r="J117" t="str">
            <v>Bliss</v>
          </cell>
          <cell r="K117" t="str">
            <v>Send 1 W Asiatic as replacement (30/08) Skip 1 week (06/09) Returned-send next week (03/10) Send replacement of Gerbera tom (02/12) Skip 1 week (20/12) Upgarde to Joy from next cycle and mixed (20/02) Upgrade to Joy and skip 1 week (05/03)</v>
          </cell>
          <cell r="M117" t="str">
            <v>Upgarde to Joy from next cycle and mixed (20/02)</v>
          </cell>
          <cell r="N117" t="str">
            <v>2  del of this cycle   -  0-cycles pmnt   Completed - Collect 0</v>
          </cell>
          <cell r="O117" t="str">
            <v>Pur Eustom ( 14 Inch ) 2 P n W Glad ( 14 Inch ) 11   FF Sachet + Grass</v>
          </cell>
          <cell r="P117" t="str">
            <v>Sunflower ( 12 Inch ) 3 Mix Alstroemeria ( 12 Inch ) 11   FF Sachet + Grass</v>
          </cell>
          <cell r="Q117" t="str">
            <v>P Asiatic ( 14 Inch ) 4     Grass</v>
          </cell>
          <cell r="R117" t="str">
            <v>Y Spray Daisy ( 14 Inch ) 4 Glad ( 14 Inch ) 11   FF Sachet + Grass</v>
          </cell>
          <cell r="S117" t="str">
            <v>Eustoma 2 Pur n P Car ( 14 Inch ) 11   FF Sachet + Grass</v>
          </cell>
          <cell r="T117" t="str">
            <v>W Asiatic ( 14 Inch ) 2 B Daisy 11   Grass</v>
          </cell>
        </row>
        <row r="118">
          <cell r="A118">
            <v>2832</v>
          </cell>
          <cell r="B118" t="str">
            <v>Anshu Mittal Roy</v>
          </cell>
          <cell r="C118" t="str">
            <v xml:space="preserve"> 97172 00986</v>
          </cell>
          <cell r="D118" t="str">
            <v xml:space="preserve"> B203 Godrej 101, Sector 79
</v>
          </cell>
          <cell r="E118" t="str">
            <v>Badshahpur</v>
          </cell>
          <cell r="F118" t="str">
            <v>Friday</v>
          </cell>
          <cell r="G118" t="str">
            <v>4 Pm to 7 PM</v>
          </cell>
          <cell r="H118">
            <v>1450</v>
          </cell>
          <cell r="I118">
            <v>362.5</v>
          </cell>
          <cell r="J118" t="str">
            <v>Bliss</v>
          </cell>
          <cell r="K118" t="str">
            <v>15 % Discount (26/07) 3 Month with 10% discount (24/08) Skip 1 week (19/12) Skip 1 week (19/02) Skip 2 week (16/05) Today Returned (12/06) Hold today (19/06)</v>
          </cell>
          <cell r="N118" t="str">
            <v>1  del of this cycle   -  0-cycles pmnt   Completed - Collect 0</v>
          </cell>
          <cell r="O118" t="str">
            <v>Y Spray Daisy ( 14 Inch ) 3 P n W Car ( 14 Inch ) 7   FF Sachet + Grass</v>
          </cell>
          <cell r="P118" t="str">
            <v>Pur Eustoma ( 12 Inch ) 2 P n W Glad ( 14 Inch ) 7   FF Sachet + Grass</v>
          </cell>
          <cell r="Q118" t="str">
            <v xml:space="preserve">O Asiatic ( 14 Inch ) 2 Mix Alstroemeria (  12 Inch ) 7  Grass </v>
          </cell>
          <cell r="R118" t="str">
            <v>O Asiatic ( 14 Inch ) 2 Mix Alstroemeria ( 12 Inch ) 7   Grass</v>
          </cell>
          <cell r="S118" t="str">
            <v>Sunflower ( 12 Inch ) 2 Pur n P Car ( 14 Inch ) 7   FF Sachet + Grass</v>
          </cell>
          <cell r="T118" t="str">
            <v>P Spray Daisy ( 14 Inch ) 3 Rajni ( 14 Inch ) 7   FF Sachet + Grass</v>
          </cell>
        </row>
        <row r="119">
          <cell r="A119">
            <v>2798</v>
          </cell>
          <cell r="B119" t="str">
            <v>Priya Chaturvedi</v>
          </cell>
          <cell r="C119">
            <v>9999283603</v>
          </cell>
          <cell r="D119" t="str">
            <v>D-2003, Bestech Alturea, Sec 79</v>
          </cell>
          <cell r="E119" t="str">
            <v>Manesar</v>
          </cell>
          <cell r="F119" t="str">
            <v>Friday</v>
          </cell>
          <cell r="G119" t="str">
            <v>4 Pm to 7 PM</v>
          </cell>
          <cell r="H119">
            <v>1450</v>
          </cell>
          <cell r="I119">
            <v>362.5</v>
          </cell>
          <cell r="J119" t="str">
            <v>Bliss</v>
          </cell>
          <cell r="K119" t="str">
            <v>Today Returned (08/08) {ayment From Chinmananda Devgoswami (25/10) Four Plus 1 Pack (15/04) Skip 1 week (07/05)</v>
          </cell>
          <cell r="N119" t="str">
            <v>3  del of this cycle   -  0-cycles pmnt   Completed - Collect 0</v>
          </cell>
          <cell r="O119" t="str">
            <v>O Asiatic ( 14 Inch ) 3     Grass</v>
          </cell>
          <cell r="P119" t="str">
            <v>P n W Glad ( 14 Inch ) 16     Grass</v>
          </cell>
          <cell r="Q119" t="str">
            <v xml:space="preserve">Pur Eustom ( 12 Inch ) 3    FF Sachet + Grass </v>
          </cell>
          <cell r="R119" t="str">
            <v>Alstromeria 16     FF sachet + Grass</v>
          </cell>
          <cell r="S119" t="str">
            <v>Pur n P Car ( 14 Inch ) 16     FF Sachet + Grass</v>
          </cell>
          <cell r="T119" t="str">
            <v>Sunflower ( 12 Inch) 4     FF Sachet + Grass</v>
          </cell>
        </row>
        <row r="120">
          <cell r="A120">
            <v>3354</v>
          </cell>
          <cell r="B120" t="str">
            <v>Radha Bhatnagar</v>
          </cell>
          <cell r="C120">
            <v>9971944440</v>
          </cell>
          <cell r="D120" t="str">
            <v>D-35, 2nd Floor, Vipul World</v>
          </cell>
          <cell r="E120" t="str">
            <v>Sohna Road 2</v>
          </cell>
          <cell r="F120" t="str">
            <v>Friday</v>
          </cell>
          <cell r="G120" t="str">
            <v>9 AM - 12 PM</v>
          </cell>
          <cell r="H120">
            <v>1450</v>
          </cell>
          <cell r="I120">
            <v>362.5</v>
          </cell>
          <cell r="J120" t="str">
            <v>Bliss</v>
          </cell>
          <cell r="N120" t="str">
            <v>2  del of this cycle   -  0-cycles pmnt   Completed - Collect 0</v>
          </cell>
          <cell r="O120" t="str">
            <v>Mix Alstroemeria ( 12 Inch ) 16     FF Sachet + Grass</v>
          </cell>
          <cell r="P120" t="str">
            <v>R n W Car ( 14 Inch ) 16     FF Sachet + Grass</v>
          </cell>
          <cell r="Q120" t="str">
            <v xml:space="preserve">Pur Eustom ( 12 Inch ) 3    FF Sachet + Grass </v>
          </cell>
          <cell r="R120" t="str">
            <v>P n W Glad ( 14 Inch ) 16     Grass</v>
          </cell>
          <cell r="S120" t="str">
            <v>Sunflower ( 12 Inch ) 4     FF Sachet + Grass</v>
          </cell>
          <cell r="T120" t="str">
            <v>Rajni ( 14 Inch ) 16     Grass</v>
          </cell>
        </row>
        <row r="121">
          <cell r="A121">
            <v>2713</v>
          </cell>
          <cell r="B121" t="str">
            <v>Priyanka Dahiya</v>
          </cell>
          <cell r="C121">
            <v>9818543931</v>
          </cell>
          <cell r="D121" t="str">
            <v>D-804, Ambience Creacions, Rao Gajraj Singh Marg, Sec 22</v>
          </cell>
          <cell r="E121" t="str">
            <v>Old Gurgaon</v>
          </cell>
          <cell r="F121" t="str">
            <v>Friday</v>
          </cell>
          <cell r="G121" t="str">
            <v>4 Pm to 7 PM</v>
          </cell>
          <cell r="H121">
            <v>1450</v>
          </cell>
          <cell r="I121">
            <v>362.5</v>
          </cell>
          <cell r="J121" t="str">
            <v>Bliss</v>
          </cell>
          <cell r="K121" t="str">
            <v>Today Hold and next week too (06/06) Only seasonals (18/07) Paytm From Rahul Chandra (01/11) Pls Send tom (06/02) Skip 2 week (31/05) Send replacement tom and No Sunflowers (04/07)</v>
          </cell>
          <cell r="L121" t="str">
            <v>Sunflower</v>
          </cell>
          <cell r="M121" t="str">
            <v>Seasonals Only</v>
          </cell>
          <cell r="N121" t="str">
            <v>4  del of this cycle   -  0-cycles pmnt   CompletedNO COLLECTION-we have extra money - Collect -1</v>
          </cell>
          <cell r="O121" t="e">
            <v>#N/A</v>
          </cell>
          <cell r="P121" t="e">
            <v>#N/A</v>
          </cell>
          <cell r="Q121" t="str">
            <v xml:space="preserve">P Asiatic ( 14 Inch ) 3  ensure collection  Pese Na  Mile To Call Karna  Grass </v>
          </cell>
          <cell r="R121" t="str">
            <v>P n W Glad ( 14 Inch ) 16     Grass</v>
          </cell>
          <cell r="S121" t="str">
            <v>Sunflower ( 12 Inch ) 4     FF Sachet + Grass</v>
          </cell>
          <cell r="T121" t="str">
            <v>G n W Car ( 14 Inch ) 16     FF Sachet + Grass</v>
          </cell>
        </row>
        <row r="122">
          <cell r="A122">
            <v>1433</v>
          </cell>
          <cell r="B122" t="str">
            <v>Navritu Kaushal Rai-- After 5:30 PM</v>
          </cell>
          <cell r="C122">
            <v>9818603355</v>
          </cell>
          <cell r="D122" t="str">
            <v>H. No. 3403, 1st Floor, Sec 23</v>
          </cell>
          <cell r="E122" t="str">
            <v>Old Gurgaon</v>
          </cell>
          <cell r="F122" t="str">
            <v>Friday</v>
          </cell>
          <cell r="G122" t="str">
            <v>4 PM to 7PM</v>
          </cell>
          <cell r="H122">
            <v>1450</v>
          </cell>
          <cell r="I122">
            <v>362.5</v>
          </cell>
          <cell r="J122" t="str">
            <v>Bliss</v>
          </cell>
          <cell r="K122" t="str">
            <v>Friday and Monday//Monday and Thursday// NO WHITE FLOWERS OTHER THAN RAJNI(10/04) BOP//Glad ( No White)// Orchid//Spray Daisy//Carnations//Rajni-- No white flower other than Rajni(26/07) This cycle-- BOP/Spray Daisy/Car/Glad/Rose(29/08) Hold today (28/10) NO ROSE-- NO WHITE COLOR(03/12) NO ROSE n GERBERA ---- And send 3 stems extra in next delivery (30/12) Now Delight (15/02) Do Not count last Del (17/04) Send tom ()6/02) Send Replacement tom (18/04)</v>
          </cell>
          <cell r="L122" t="str">
            <v>Lily</v>
          </cell>
          <cell r="M122" t="str">
            <v>No White</v>
          </cell>
          <cell r="N122" t="str">
            <v>2  del of this cycle   -  0-cycles pmnt   Completed - Collect 0</v>
          </cell>
          <cell r="O122" t="str">
            <v>P Spray Daisy ( 14 Inch ) 3     FF Sachet + Grass</v>
          </cell>
          <cell r="P122" t="str">
            <v>Pur n P Car ( 14 Inch ) 9     FF Sachet + Grass</v>
          </cell>
          <cell r="Q122" t="str">
            <v xml:space="preserve">Mix Alstroemeria ( 12 Inch ) 9    FF Sachet + Grass </v>
          </cell>
          <cell r="R122" t="str">
            <v>Pur Eustoma ( 12 Inch ) 2     FF aschet + Grass</v>
          </cell>
          <cell r="S122" t="str">
            <v>P n W Glad ( 14 Inch ) 16     Grass</v>
          </cell>
          <cell r="T122" t="str">
            <v>Sunflower ( 12 Inch) 4     FF Sachet + Grass</v>
          </cell>
        </row>
        <row r="123">
          <cell r="A123">
            <v>3397</v>
          </cell>
          <cell r="B123" t="str">
            <v>Sunita Dogra</v>
          </cell>
          <cell r="C123">
            <v>9810520716</v>
          </cell>
          <cell r="D123" t="str">
            <v>K-1431, K Block, Palam Vihar</v>
          </cell>
          <cell r="E123" t="str">
            <v>Old Gurgaon</v>
          </cell>
          <cell r="F123" t="str">
            <v>Friday</v>
          </cell>
          <cell r="G123" t="str">
            <v>4 PM to 7PM</v>
          </cell>
          <cell r="H123">
            <v>1450</v>
          </cell>
          <cell r="I123">
            <v>362.5</v>
          </cell>
          <cell r="J123" t="str">
            <v>Bliss</v>
          </cell>
          <cell r="K123" t="str">
            <v>Today Returned (03/07)</v>
          </cell>
          <cell r="N123" t="str">
            <v>2  del of this cycle   -  0-cycles pmnt   Completed - Collect 0</v>
          </cell>
          <cell r="O123" t="e">
            <v>#N/A</v>
          </cell>
          <cell r="P123" t="e">
            <v>#N/A</v>
          </cell>
          <cell r="Q123" t="e">
            <v>#N/A</v>
          </cell>
          <cell r="R123" t="e">
            <v>#N/A</v>
          </cell>
          <cell r="S123" t="str">
            <v>Pur n P Car ( 14 Inch ) 16     FF Sachet + Grass</v>
          </cell>
          <cell r="T123" t="str">
            <v>Sunflower ( 12 Inch) 4     FF Sachet + Grass</v>
          </cell>
        </row>
        <row r="124">
          <cell r="A124">
            <v>3391</v>
          </cell>
          <cell r="B124" t="str">
            <v>Prabudh Vaidya</v>
          </cell>
          <cell r="C124">
            <v>9013524554</v>
          </cell>
          <cell r="D124" t="str">
            <v>T-B/503, Shree Vardhman Mantra, Sec 67</v>
          </cell>
          <cell r="E124" t="str">
            <v>Badshahpur</v>
          </cell>
          <cell r="F124" t="str">
            <v>Friday</v>
          </cell>
          <cell r="G124" t="str">
            <v>9 AM - 12 PM</v>
          </cell>
          <cell r="H124">
            <v>1450</v>
          </cell>
          <cell r="I124">
            <v>362.5</v>
          </cell>
          <cell r="J124" t="str">
            <v>Bliss</v>
          </cell>
          <cell r="N124" t="str">
            <v>3  del of this cycle   -  0-cycles pmnt   Completed - Collect 0</v>
          </cell>
          <cell r="O124" t="e">
            <v>#N/A</v>
          </cell>
          <cell r="P124" t="e">
            <v>#N/A</v>
          </cell>
          <cell r="Q124" t="e">
            <v>#N/A</v>
          </cell>
          <cell r="R124" t="str">
            <v>Pur n P Car ( 14 Inch ) 16     FF sachet + Grass</v>
          </cell>
          <cell r="S124" t="str">
            <v>P Asiatic ( 14 Inch ) 3     Grass</v>
          </cell>
          <cell r="T124" t="str">
            <v>P n W Glad ( 14 Inch ) 16     Grass</v>
          </cell>
        </row>
        <row r="125">
          <cell r="A125">
            <v>9</v>
          </cell>
          <cell r="B125" t="str">
            <v>Ms. Reema Bose Suri-- Before 10 AM</v>
          </cell>
          <cell r="C125">
            <v>9818199482</v>
          </cell>
          <cell r="D125" t="str">
            <v>B-64, Spaze privi, Sec-72, Sohna Road</v>
          </cell>
          <cell r="E125" t="str">
            <v>Badshahpur</v>
          </cell>
          <cell r="F125" t="str">
            <v>Friday</v>
          </cell>
          <cell r="G125" t="str">
            <v>9 AM - 12 PM</v>
          </cell>
          <cell r="H125">
            <v>999</v>
          </cell>
          <cell r="I125">
            <v>249.75</v>
          </cell>
          <cell r="J125" t="str">
            <v>Delight</v>
          </cell>
          <cell r="K125" t="str">
            <v>Friday and Monday//Need Before 10 am (19/05)  NO BOP(07/02) NO BOP(20/07) Skip 1 week(09/08) Hold Now (16/10) Skip 1 week (07/12) Skip 1 Week (29/12) Skip 1 week (26/01) Skip 1 week (21/03) Sent replacement today (22/04) Return-send on Sunday (28/04) Sent replacement today(03/05) 1 Stem extra in next delivery (19/05) Skip this week Delivery (24/05)  No BOP (04/07) Skip tom n start from friday (23/07) Skip tom (06/08) Dont count last delivery (07/09) Skip Monday Del (01/10) Skip 1 more week (16/10) Send Replacement tomorrow (31/10) Skip 1 week (07/11) Skip Tom (10/12) Skip Friday Del (12/12) 1150 added of bouquet and 250 deducted aswe had 250 extra (17/12) Today returned (26/12) Skip 1 week (28/12) Skip 1 week (05/01) Skip tom (15/02) Return -send tom (22/03) Skip 1 week (11/04) Skip Tom (23/05) Skip 2 weeks (09/06) Skip tom n send on sunday (31/10) Skip 1 week (28/11) Skip 1 week (11/12) Skip 1 week (05/01) Skip 1 week (26/01) Skip thsi week n send on sunday before 11 AM (11/03) Skip tom (22/05) Skip 1 week and confirm before sending next week (19/06) 25th July del skipped (02/08) Skip tom (07/08) Skip tom (14/08) Hold today (29/08) Skip 1 week (13/11) Skip tom (11/12) Hold n start from Jan (19/12) Skip tom (23/01) Skip tom (13/02) Hol dn till 9th July (12/06)</v>
          </cell>
          <cell r="L125" t="str">
            <v>BOP</v>
          </cell>
          <cell r="M125" t="str">
            <v>Confirm before sending (19/06)</v>
          </cell>
          <cell r="N125" t="str">
            <v>3  del of this cycle   -  0-cycles pmnt   Completed - Collect 0</v>
          </cell>
          <cell r="O125" t="str">
            <v>P n W Glad ( 14 Inch ) 9     Grass</v>
          </cell>
          <cell r="P125" t="str">
            <v>Sunflower ( 12 Inch ) 2     FF Sachet + Grass</v>
          </cell>
          <cell r="Q125" t="e">
            <v>#N/A</v>
          </cell>
          <cell r="R125" t="e">
            <v>#N/A</v>
          </cell>
          <cell r="S125" t="e">
            <v>#N/A</v>
          </cell>
          <cell r="T125" t="str">
            <v>G n W Car ( 14 Inch ) 9     FF Sachet + Grass</v>
          </cell>
        </row>
        <row r="126">
          <cell r="A126">
            <v>87</v>
          </cell>
          <cell r="B126" t="str">
            <v>Deepak Kohli</v>
          </cell>
          <cell r="C126">
            <v>9716199110</v>
          </cell>
          <cell r="D126" t="str">
            <v>539/C, 4th Floor, H Block, Palam Vihar</v>
          </cell>
          <cell r="E126" t="str">
            <v>Old Gurgaon</v>
          </cell>
          <cell r="F126" t="str">
            <v>Friday</v>
          </cell>
          <cell r="G126" t="str">
            <v>4 PM to 7PM</v>
          </cell>
          <cell r="H126">
            <v>1450</v>
          </cell>
          <cell r="I126">
            <v>362.5</v>
          </cell>
          <cell r="J126" t="str">
            <v>Bliss</v>
          </cell>
          <cell r="K126" t="str">
            <v>Send 1 bunch Nargis From Amit n Pooja// Wish you a//Sending on 20th instaed of 21st,bcoz of Holi(18/03) Send 1 pack of FF(14/08) Time slot changed to Evening(18/09( Holy Change(16/03) Send tom (06/02)</v>
          </cell>
          <cell r="N126" t="str">
            <v>2  del of this cycle   -  0-cycles pmnt   In Process - Collect 0</v>
          </cell>
          <cell r="O126" t="str">
            <v>Pur n P Eustoma ( 14 Inch ) 3     FF Sachet + Grass</v>
          </cell>
          <cell r="P126" t="str">
            <v>P n Y Spray Daisy ( 14 Inch ) 5     FF Sachet + Grass</v>
          </cell>
          <cell r="Q126" t="str">
            <v xml:space="preserve">Mix Car 16    Grass </v>
          </cell>
          <cell r="R126" t="str">
            <v>Asiatic 3     Grass</v>
          </cell>
          <cell r="S126" t="str">
            <v>P n W Glad ( 14 Inch ) 16     Grass</v>
          </cell>
          <cell r="T126" t="str">
            <v>Rajni ( 14 Inch ) 16     Grass</v>
          </cell>
        </row>
        <row r="127">
          <cell r="A127">
            <v>3398</v>
          </cell>
          <cell r="B127" t="str">
            <v>Noreen Tung</v>
          </cell>
          <cell r="C127">
            <v>9811799912</v>
          </cell>
          <cell r="D127" t="str">
            <v>C-1002, GPL Eden Heighrs, Sec 70</v>
          </cell>
          <cell r="E127" t="str">
            <v>Badshahpur</v>
          </cell>
          <cell r="F127" t="str">
            <v>Friday</v>
          </cell>
          <cell r="G127" t="str">
            <v>9 AM - 12 PM</v>
          </cell>
          <cell r="H127">
            <v>1450</v>
          </cell>
          <cell r="I127">
            <v>362.5</v>
          </cell>
          <cell r="J127" t="str">
            <v>Bliss</v>
          </cell>
          <cell r="K127" t="str">
            <v>No Gerbera ( 03/07)</v>
          </cell>
          <cell r="L127" t="str">
            <v>Gerbera</v>
          </cell>
          <cell r="N127" t="str">
            <v>1  del of this cycle   -  0-cycles pmnt   Completed - Collect 0</v>
          </cell>
          <cell r="O127" t="e">
            <v>#N/A</v>
          </cell>
          <cell r="P127" t="e">
            <v>#N/A</v>
          </cell>
          <cell r="Q127" t="e">
            <v>#N/A</v>
          </cell>
          <cell r="R127" t="e">
            <v>#N/A</v>
          </cell>
          <cell r="S127" t="e">
            <v>#N/A</v>
          </cell>
          <cell r="T127" t="str">
            <v>G n W Car ( 14 Inch ) 16     FF Sachet + Grass</v>
          </cell>
        </row>
        <row r="128">
          <cell r="B128" t="str">
            <v>Meenakshi Verma</v>
          </cell>
          <cell r="C128">
            <v>9810044544</v>
          </cell>
          <cell r="D128" t="str">
            <v>D-24, The Belaire Dlf golf course Road Phase 5</v>
          </cell>
          <cell r="H128">
            <v>1525</v>
          </cell>
          <cell r="J128" t="str">
            <v>Bouquet</v>
          </cell>
          <cell r="T128" t="str">
            <v xml:space="preserve">Asiatic+Rajni  Jute Wrap Message   </v>
          </cell>
        </row>
        <row r="129">
          <cell r="B129" t="str">
            <v>99993 35544‬</v>
          </cell>
          <cell r="C129" t="str">
            <v>99993 35544‬</v>
          </cell>
          <cell r="D129" t="str">
            <v>House No 48 Pine  Drive  Malibu Toen 
Sector 47 Southcity2
Sohna Road Ggn</v>
          </cell>
          <cell r="H129">
            <v>1500</v>
          </cell>
          <cell r="J129" t="str">
            <v>Bouquet</v>
          </cell>
          <cell r="K129" t="str">
            <v>From 
‪+91 99993 35544‬
1500 received 
before 2 today
To
House No 48 Pine  Drive  Malibu Toen 
Sector 47 Southcity2
Sohna Road Ggn
India
Message : 
Two little miracles, twice the love. Heartfelt congratulations to the proud parents , blessed grandparents and whole family. May your precious twins fill your lives with endless joy, love, 
Love 
Sootas</v>
          </cell>
          <cell r="T129" t="str">
            <v xml:space="preserve">Mix Colur Baby Breath 12 packing koren sheet mein aise Message   </v>
          </cell>
        </row>
        <row r="130">
          <cell r="B130" t="str">
            <v xml:space="preserve"> Dhriti </v>
          </cell>
          <cell r="C130" t="str">
            <v xml:space="preserve"> 85270 88805</v>
          </cell>
          <cell r="D130" t="str">
            <v>T 24 A Windsor court</v>
          </cell>
          <cell r="H130">
            <v>600</v>
          </cell>
          <cell r="J130" t="str">
            <v>Bouquet</v>
          </cell>
          <cell r="K130" t="str">
            <v>Send today to Dhriti 
+91 85270 88805
T 24 A Windsor court
6 blue daisies , 8 Rajnigandha and 6 pink carnations, greens, areca palm
collect 860</v>
          </cell>
          <cell r="N130" t="str">
            <v>No Collection</v>
          </cell>
          <cell r="T130" t="str">
            <v xml:space="preserve">B Daisy+ Rajni+ P Car 6+8+6 Grass+arica    </v>
          </cell>
        </row>
        <row r="131">
          <cell r="A131">
            <v>3312</v>
          </cell>
          <cell r="B131" t="str">
            <v>Pallabi Dey</v>
          </cell>
          <cell r="C131">
            <v>9953755297</v>
          </cell>
          <cell r="D131" t="str">
            <v>T-2/403, Uniworld Gardens 1</v>
          </cell>
          <cell r="E131" t="str">
            <v>Sohna Road 1</v>
          </cell>
          <cell r="F131" t="str">
            <v>Monday</v>
          </cell>
          <cell r="G131" t="str">
            <v>4 Pm to 7 PM</v>
          </cell>
          <cell r="H131">
            <v>1950</v>
          </cell>
          <cell r="I131">
            <v>487.5</v>
          </cell>
          <cell r="J131" t="str">
            <v>Joy</v>
          </cell>
          <cell r="N131" t="str">
            <v>1  del of this cycle   -  1-cycles pmnt   Pending - Collect 1950</v>
          </cell>
          <cell r="O131" t="str">
            <v>P n Y Spray Daisy ( 14 Inch ) 7     FF Sachet + Grass</v>
          </cell>
          <cell r="P131" t="str">
            <v>W Asiatic ( 14 inch ) 4     Grass</v>
          </cell>
          <cell r="Q131" t="str">
            <v>R n P Car ( 14 Inch ) 22     FF sachet + Grass</v>
          </cell>
          <cell r="R131" t="str">
            <v>Pur n P Eustoma ( 12 Inch ) 4     FF Sachet + Grass</v>
          </cell>
          <cell r="S131" t="str">
            <v>P n W Glad ( 14 Inch ) 22     Grass</v>
          </cell>
          <cell r="T131" t="str">
            <v>P n Y Spray Daisy ( 14 Inch ) 7     FF Sachet + Grass</v>
          </cell>
        </row>
        <row r="132">
          <cell r="B132" t="str">
            <v xml:space="preserve">Neetu sharma </v>
          </cell>
          <cell r="C132" t="str">
            <v>99300 32211‬</v>
          </cell>
          <cell r="D132" t="str">
            <v xml:space="preserve">Tower 3 flat no 1702
Tata primanti sector 72 </v>
          </cell>
          <cell r="H132">
            <v>1325</v>
          </cell>
          <cell r="J132" t="str">
            <v>Bouquet</v>
          </cell>
          <cell r="K132" t="str">
            <v>Today from 
‪+91 99300 32211‬
To 
Neetu sharma 
Tower 3 flat no 1702
Tata primanti sector 72 
Message:
Happy Annu Neetu and Vinay
From 
Preeti</v>
          </cell>
          <cell r="T132" t="str">
            <v xml:space="preserve">Car+ Orchid  Fish Bowl Arrangment Message   </v>
          </cell>
        </row>
        <row r="133">
          <cell r="B133">
            <v>9971105361</v>
          </cell>
          <cell r="C133">
            <v>9971105361</v>
          </cell>
          <cell r="D133" t="str">
            <v>A-16, 2nd Floor, Ashok Estate, Anant Raj Estate, Sec 63 A</v>
          </cell>
          <cell r="G133" t="str">
            <v>Before 5.30 Pm</v>
          </cell>
          <cell r="H133">
            <v>3220</v>
          </cell>
          <cell r="J133" t="str">
            <v>Bouquet</v>
          </cell>
          <cell r="T133" t="str">
            <v xml:space="preserve">P Rose+P Car 35 Basket    </v>
          </cell>
        </row>
        <row r="134">
          <cell r="A134" t="str">
            <v>B56121</v>
          </cell>
          <cell r="B134" t="str">
            <v> 95996 97063‬</v>
          </cell>
          <cell r="C134" t="str">
            <v> 95996 97063‬</v>
          </cell>
          <cell r="D134" t="str">
            <v>M23 B, Adani Samsara 
Sector 60 , Gurgaon
Opp ireo skyon</v>
          </cell>
          <cell r="G134" t="str">
            <v xml:space="preserve">Only Payment </v>
          </cell>
          <cell r="H134" t="str">
            <v xml:space="preserve">Only Payment </v>
          </cell>
          <cell r="I134" t="str">
            <v xml:space="preserve">Only Payment </v>
          </cell>
          <cell r="J134" t="str">
            <v xml:space="preserve">Only Payment </v>
          </cell>
          <cell r="K134" t="str">
            <v xml:space="preserve">Only Payment </v>
          </cell>
          <cell r="L134" t="str">
            <v xml:space="preserve">Only Payment </v>
          </cell>
          <cell r="M134" t="str">
            <v xml:space="preserve">Only Payment </v>
          </cell>
          <cell r="N134" t="str">
            <v xml:space="preserve">Only Payment </v>
          </cell>
          <cell r="O134" t="str">
            <v xml:space="preserve">Only Payment </v>
          </cell>
          <cell r="P134" t="str">
            <v xml:space="preserve">Only Payment </v>
          </cell>
          <cell r="Q134" t="str">
            <v xml:space="preserve">Only Payment </v>
          </cell>
          <cell r="R134" t="str">
            <v xml:space="preserve">Only Payment </v>
          </cell>
          <cell r="S134" t="str">
            <v xml:space="preserve">Only Payment </v>
          </cell>
          <cell r="T134" t="str">
            <v xml:space="preserve">Only Payment  Only Payment  Only Payment  Only Payment  Only Payment  Only Payment  </v>
          </cell>
        </row>
        <row r="135">
          <cell r="B135" t="str">
            <v>Anjum</v>
          </cell>
          <cell r="C135">
            <v>9871031918</v>
          </cell>
          <cell r="D135" t="str">
            <v>C-804, Mahindra Luminare, Sec 59</v>
          </cell>
          <cell r="G135" t="str">
            <v>Before 5.30 Pm</v>
          </cell>
          <cell r="H135">
            <v>600</v>
          </cell>
          <cell r="J135" t="str">
            <v>Bouquet</v>
          </cell>
          <cell r="K135" t="str">
            <v>Send today before 5:30 to Anjum
2 orchids 
10 long stem Rajnigandha 
collect 600</v>
          </cell>
          <cell r="N135" t="str">
            <v>Pls Collect 600</v>
          </cell>
          <cell r="T135" t="str">
            <v xml:space="preserve">Rajni+ Orchid 10+2     </v>
          </cell>
        </row>
        <row r="136">
          <cell r="A136">
            <v>2389</v>
          </cell>
          <cell r="B136" t="str">
            <v>Sreyoshi  Maitra</v>
          </cell>
          <cell r="C136">
            <v>9711760109</v>
          </cell>
          <cell r="D136" t="str">
            <v>T-1/1706, M3M Heights, Sec 65</v>
          </cell>
          <cell r="H136" t="str">
            <v>Replacment</v>
          </cell>
          <cell r="I136" t="str">
            <v>Replacment</v>
          </cell>
          <cell r="J136" t="str">
            <v>Replacment</v>
          </cell>
          <cell r="K136" t="str">
            <v>Sreyosi
Take back alstroemeria and send some other flowers
Today only pls</v>
          </cell>
          <cell r="N136" t="str">
            <v xml:space="preserve">Take back alstroemeria </v>
          </cell>
          <cell r="P136" t="str">
            <v xml:space="preserve"> </v>
          </cell>
          <cell r="T136" t="str">
            <v>P n Y Spray Daisy 7     FF Sachet + Grass</v>
          </cell>
        </row>
        <row r="137">
          <cell r="B137" t="str">
            <v>Gunjan Malhotra</v>
          </cell>
          <cell r="C137">
            <v>9971518253</v>
          </cell>
          <cell r="D137" t="str">
            <v>H. No. 298C, 1st Floor, Block G, Sushant Lok-2</v>
          </cell>
          <cell r="H137">
            <v>280</v>
          </cell>
          <cell r="J137" t="str">
            <v>Bouquet</v>
          </cell>
          <cell r="T137" t="str">
            <v xml:space="preserve">Rajni 7 Greens    </v>
          </cell>
        </row>
        <row r="138">
          <cell r="B138" t="str">
            <v>72228 88125</v>
          </cell>
          <cell r="C138" t="str">
            <v>72228 88125</v>
          </cell>
          <cell r="D138" t="str">
            <v>Is coming in 5 mnts, pls make a bouquet</v>
          </cell>
          <cell r="H138">
            <v>2500</v>
          </cell>
          <cell r="J138" t="str">
            <v>Bouquet</v>
          </cell>
          <cell r="T138" t="str">
            <v xml:space="preserve">6 opne white oriental lily, 5 blue daisy and 10 pink n white carnations in full brown wrap      </v>
          </cell>
        </row>
      </sheetData>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5C94D-3FBA-4C0D-82C1-3F984A016631}">
  <dimension ref="A1:R60"/>
  <sheetViews>
    <sheetView workbookViewId="0">
      <pane xSplit="1" ySplit="1" topLeftCell="B25" activePane="bottomRight" state="frozen"/>
      <selection pane="topRight" activeCell="B1" sqref="B1"/>
      <selection pane="bottomLeft" activeCell="A2" sqref="A2"/>
      <selection pane="bottomRight" activeCell="M28" sqref="M28"/>
    </sheetView>
  </sheetViews>
  <sheetFormatPr defaultRowHeight="14" x14ac:dyDescent="0.3"/>
  <sheetData>
    <row r="1" spans="1:18" ht="41.95" x14ac:dyDescent="0.3">
      <c r="A1" s="36"/>
      <c r="B1" s="36" t="s">
        <v>50</v>
      </c>
      <c r="C1" s="37" t="s">
        <v>552</v>
      </c>
      <c r="D1" s="37" t="s">
        <v>553</v>
      </c>
      <c r="E1" s="37" t="s">
        <v>157</v>
      </c>
      <c r="F1" s="37" t="s">
        <v>554</v>
      </c>
      <c r="G1" s="37" t="s">
        <v>269</v>
      </c>
      <c r="H1" s="37" t="s">
        <v>211</v>
      </c>
      <c r="I1" s="37" t="s">
        <v>555</v>
      </c>
      <c r="J1" s="37" t="s">
        <v>29</v>
      </c>
      <c r="K1" s="37" t="s">
        <v>556</v>
      </c>
      <c r="L1" s="38" t="s">
        <v>557</v>
      </c>
      <c r="M1" s="38" t="s">
        <v>558</v>
      </c>
      <c r="N1" s="38" t="s">
        <v>196</v>
      </c>
      <c r="O1" s="39"/>
      <c r="P1" s="40" t="s">
        <v>559</v>
      </c>
      <c r="Q1" s="40" t="s">
        <v>560</v>
      </c>
      <c r="R1" s="39"/>
    </row>
    <row r="2" spans="1:18" x14ac:dyDescent="0.3">
      <c r="A2" s="41">
        <v>999</v>
      </c>
      <c r="B2" s="42"/>
      <c r="C2" s="42"/>
      <c r="D2" s="42"/>
      <c r="E2" s="42">
        <v>2</v>
      </c>
      <c r="F2" s="42"/>
      <c r="G2" s="42"/>
      <c r="H2" s="42"/>
      <c r="I2" s="42"/>
      <c r="J2" s="42"/>
      <c r="K2" s="42"/>
      <c r="L2" s="42"/>
      <c r="M2" s="42"/>
      <c r="N2" s="42"/>
      <c r="O2" s="43">
        <f t="shared" ref="O2:O7" si="0">SUM(B2:N2)</f>
        <v>2</v>
      </c>
      <c r="P2" s="43">
        <f>(O2*A2)/4</f>
        <v>499.5</v>
      </c>
      <c r="Q2" s="43"/>
      <c r="R2" s="43"/>
    </row>
    <row r="3" spans="1:18" x14ac:dyDescent="0.3">
      <c r="A3" s="41">
        <v>1450</v>
      </c>
      <c r="B3" s="42">
        <v>1.5</v>
      </c>
      <c r="C3" s="42">
        <v>12</v>
      </c>
      <c r="D3" s="42">
        <v>15.5</v>
      </c>
      <c r="E3" s="42">
        <v>2.5</v>
      </c>
      <c r="F3" s="42"/>
      <c r="G3" s="42">
        <v>4.5</v>
      </c>
      <c r="H3" s="42"/>
      <c r="I3" s="42">
        <v>6</v>
      </c>
      <c r="J3" s="44"/>
      <c r="K3" s="44">
        <v>21</v>
      </c>
      <c r="L3" s="42"/>
      <c r="M3" s="42"/>
      <c r="N3" s="42"/>
      <c r="O3" s="43">
        <f t="shared" si="0"/>
        <v>63</v>
      </c>
      <c r="P3" s="43">
        <f>(O3*A3)/4</f>
        <v>22837.5</v>
      </c>
      <c r="Q3" s="43"/>
      <c r="R3" s="43"/>
    </row>
    <row r="4" spans="1:18" x14ac:dyDescent="0.3">
      <c r="A4" s="41">
        <v>1950</v>
      </c>
      <c r="B4" s="42"/>
      <c r="C4" s="42">
        <v>3</v>
      </c>
      <c r="D4" s="42">
        <v>4</v>
      </c>
      <c r="E4" s="42"/>
      <c r="F4" s="42"/>
      <c r="G4" s="42">
        <v>3</v>
      </c>
      <c r="H4" s="42"/>
      <c r="I4" s="42">
        <v>4</v>
      </c>
      <c r="J4" s="42"/>
      <c r="K4" s="42">
        <v>5</v>
      </c>
      <c r="L4" s="42"/>
      <c r="M4" s="42"/>
      <c r="N4" s="42">
        <v>1</v>
      </c>
      <c r="O4" s="43">
        <f t="shared" si="0"/>
        <v>20</v>
      </c>
      <c r="P4" s="43">
        <f>(O4*A4)/4</f>
        <v>9750</v>
      </c>
      <c r="Q4" s="43"/>
      <c r="R4" s="43"/>
    </row>
    <row r="5" spans="1:18" x14ac:dyDescent="0.3">
      <c r="A5" s="41">
        <v>2750</v>
      </c>
      <c r="B5" s="42"/>
      <c r="C5" s="42">
        <v>0.5</v>
      </c>
      <c r="D5" s="42">
        <v>1</v>
      </c>
      <c r="E5" s="42"/>
      <c r="F5" s="42"/>
      <c r="G5" s="42">
        <v>1.5</v>
      </c>
      <c r="H5" s="42"/>
      <c r="I5" s="45">
        <v>1.5</v>
      </c>
      <c r="J5" s="45"/>
      <c r="K5" s="45">
        <v>2</v>
      </c>
      <c r="L5" s="45"/>
      <c r="M5" s="42"/>
      <c r="N5" s="42">
        <v>0.5</v>
      </c>
      <c r="O5" s="43">
        <f t="shared" si="0"/>
        <v>7</v>
      </c>
      <c r="P5" s="43">
        <f>(O5*A5)/4</f>
        <v>4812.5</v>
      </c>
      <c r="Q5" s="43"/>
      <c r="R5" s="43"/>
    </row>
    <row r="6" spans="1:18" x14ac:dyDescent="0.3">
      <c r="A6" s="41">
        <v>4750</v>
      </c>
      <c r="B6" s="42"/>
      <c r="C6" s="42">
        <v>0.5</v>
      </c>
      <c r="D6" s="42"/>
      <c r="E6" s="42"/>
      <c r="F6" s="42"/>
      <c r="G6" s="42">
        <v>0.25</v>
      </c>
      <c r="H6" s="42"/>
      <c r="I6" s="42">
        <v>0.25</v>
      </c>
      <c r="J6" s="42"/>
      <c r="K6" s="42"/>
      <c r="L6" s="42"/>
      <c r="M6" s="42"/>
      <c r="N6" s="42"/>
      <c r="O6" s="43">
        <f t="shared" si="0"/>
        <v>1</v>
      </c>
      <c r="P6" s="43">
        <f>(O6*A6)/4</f>
        <v>1187.5</v>
      </c>
      <c r="Q6" s="43"/>
      <c r="R6" s="43"/>
    </row>
    <row r="7" spans="1:18" x14ac:dyDescent="0.3">
      <c r="A7" s="36" t="s">
        <v>561</v>
      </c>
      <c r="B7" s="46">
        <f t="shared" ref="B7:N7" si="1">SUM(B2:B6)</f>
        <v>1.5</v>
      </c>
      <c r="C7" s="46">
        <f t="shared" si="1"/>
        <v>16</v>
      </c>
      <c r="D7" s="46">
        <f t="shared" si="1"/>
        <v>20.5</v>
      </c>
      <c r="E7" s="46">
        <f t="shared" si="1"/>
        <v>4.5</v>
      </c>
      <c r="F7" s="46">
        <f t="shared" si="1"/>
        <v>0</v>
      </c>
      <c r="G7" s="46">
        <f t="shared" si="1"/>
        <v>9.25</v>
      </c>
      <c r="H7" s="46">
        <f t="shared" si="1"/>
        <v>0</v>
      </c>
      <c r="I7" s="46">
        <f t="shared" si="1"/>
        <v>11.75</v>
      </c>
      <c r="J7" s="46">
        <f t="shared" si="1"/>
        <v>0</v>
      </c>
      <c r="K7" s="46">
        <f t="shared" si="1"/>
        <v>28</v>
      </c>
      <c r="L7" s="46">
        <f t="shared" si="1"/>
        <v>0</v>
      </c>
      <c r="M7" s="46">
        <f t="shared" si="1"/>
        <v>0</v>
      </c>
      <c r="N7" s="46">
        <f t="shared" si="1"/>
        <v>1.5</v>
      </c>
      <c r="O7" s="43">
        <f t="shared" si="0"/>
        <v>93</v>
      </c>
      <c r="P7" s="47">
        <f>SUM(P2:P6)</f>
        <v>39087</v>
      </c>
      <c r="Q7" s="47">
        <f>P7</f>
        <v>39087</v>
      </c>
      <c r="R7" s="43"/>
    </row>
    <row r="8" spans="1:18" ht="27.95" x14ac:dyDescent="0.3">
      <c r="A8" s="41" t="s">
        <v>562</v>
      </c>
      <c r="B8" s="42">
        <v>22</v>
      </c>
      <c r="C8" s="42">
        <v>10</v>
      </c>
      <c r="D8" s="42">
        <v>10</v>
      </c>
      <c r="E8" s="42">
        <v>5</v>
      </c>
      <c r="F8" s="42">
        <v>10</v>
      </c>
      <c r="G8" s="42">
        <v>20</v>
      </c>
      <c r="H8" s="42">
        <v>20</v>
      </c>
      <c r="I8" s="42">
        <v>20</v>
      </c>
      <c r="J8" s="42">
        <v>10</v>
      </c>
      <c r="K8" s="42">
        <v>10</v>
      </c>
      <c r="L8" s="42">
        <v>10</v>
      </c>
      <c r="M8" s="42">
        <v>1</v>
      </c>
      <c r="N8" s="42">
        <v>10</v>
      </c>
      <c r="O8" s="43"/>
      <c r="P8" s="43"/>
      <c r="Q8" s="43"/>
      <c r="R8" s="43"/>
    </row>
    <row r="9" spans="1:18" ht="27.95" x14ac:dyDescent="0.3">
      <c r="A9" s="36" t="s">
        <v>563</v>
      </c>
      <c r="B9" s="38">
        <v>170</v>
      </c>
      <c r="C9" s="38">
        <v>350</v>
      </c>
      <c r="D9" s="38">
        <v>140</v>
      </c>
      <c r="E9" s="38">
        <v>150</v>
      </c>
      <c r="F9" s="38">
        <v>240</v>
      </c>
      <c r="G9" s="38">
        <v>300</v>
      </c>
      <c r="H9" s="38">
        <v>375</v>
      </c>
      <c r="I9" s="38">
        <v>200</v>
      </c>
      <c r="J9" s="38">
        <v>425</v>
      </c>
      <c r="K9" s="38">
        <v>625</v>
      </c>
      <c r="L9" s="38">
        <v>1600</v>
      </c>
      <c r="M9" s="38">
        <v>100</v>
      </c>
      <c r="N9" s="38">
        <v>850</v>
      </c>
      <c r="O9" s="43"/>
      <c r="P9" s="43"/>
      <c r="Q9" s="43"/>
      <c r="R9" s="43"/>
    </row>
    <row r="10" spans="1:18" x14ac:dyDescent="0.3">
      <c r="A10" s="41">
        <v>999</v>
      </c>
      <c r="B10" s="42">
        <f>B2*9</f>
        <v>0</v>
      </c>
      <c r="C10" s="42">
        <f>C2*3</f>
        <v>0</v>
      </c>
      <c r="D10" s="42">
        <f>D2*9</f>
        <v>0</v>
      </c>
      <c r="E10" s="42">
        <f>E2*2</f>
        <v>4</v>
      </c>
      <c r="F10" s="42">
        <f>F2*9</f>
        <v>0</v>
      </c>
      <c r="G10" s="42">
        <f>G2*9</f>
        <v>0</v>
      </c>
      <c r="H10" s="42">
        <f>H2*9</f>
        <v>0</v>
      </c>
      <c r="I10" s="42">
        <f>I2*9</f>
        <v>0</v>
      </c>
      <c r="J10" s="44">
        <f>J2*3</f>
        <v>0</v>
      </c>
      <c r="K10" s="44">
        <f>K2*2</f>
        <v>0</v>
      </c>
      <c r="L10" s="44">
        <f>L3*0</f>
        <v>0</v>
      </c>
      <c r="M10" s="42">
        <f>M2*2</f>
        <v>0</v>
      </c>
      <c r="N10" s="42">
        <f>N2*2</f>
        <v>0</v>
      </c>
      <c r="O10" s="43">
        <f t="shared" ref="O10:O21" si="2">B10*($B$9/$B$8)+C10*($C$9/$C$8)+D10*($D$9/$D$8)+E10*($E$9/$E$8)+F10*($F$9/$F$8)+G10*($G$9/$G$8)+H10*($H$9/$H$8)+I10*($I$9/$I$8)+J10*($J$9/$J$8)+K10*($K$9/$K$8)+L10*($L$9/$L$8)+M10*($M$9/$M$8)+N10*($N$9/$N$8)</f>
        <v>120</v>
      </c>
      <c r="P10" s="43">
        <f>O2*(A2/4)</f>
        <v>499.5</v>
      </c>
      <c r="Q10" s="43"/>
      <c r="R10" s="43">
        <f>P10-O10</f>
        <v>379.5</v>
      </c>
    </row>
    <row r="11" spans="1:18" x14ac:dyDescent="0.3">
      <c r="A11" s="41">
        <v>1250</v>
      </c>
      <c r="B11" s="42">
        <f>B3*16</f>
        <v>24</v>
      </c>
      <c r="C11" s="42">
        <f>C3*6</f>
        <v>72</v>
      </c>
      <c r="D11" s="42">
        <f>D3*16</f>
        <v>248</v>
      </c>
      <c r="E11" s="42">
        <f>E3*4</f>
        <v>10</v>
      </c>
      <c r="F11" s="44">
        <f>F3*16</f>
        <v>0</v>
      </c>
      <c r="G11" s="44">
        <f>G3*16</f>
        <v>72</v>
      </c>
      <c r="H11" s="44">
        <f>H3*16</f>
        <v>0</v>
      </c>
      <c r="I11" s="44">
        <f>I3*16</f>
        <v>96</v>
      </c>
      <c r="J11" s="44">
        <f>J3*6</f>
        <v>0</v>
      </c>
      <c r="K11" s="42">
        <f>K3*3.25</f>
        <v>68.25</v>
      </c>
      <c r="L11" s="42">
        <f>L3*2</f>
        <v>0</v>
      </c>
      <c r="M11" s="42">
        <f>M3*4</f>
        <v>0</v>
      </c>
      <c r="N11" s="42">
        <f>N3*3.5</f>
        <v>0</v>
      </c>
      <c r="O11" s="43">
        <f t="shared" si="2"/>
        <v>12783.079545454546</v>
      </c>
      <c r="P11" s="43">
        <f>O3*(A3/4)</f>
        <v>22837.5</v>
      </c>
      <c r="Q11" s="43"/>
      <c r="R11" s="43">
        <f>P11-O11</f>
        <v>10054.420454545454</v>
      </c>
    </row>
    <row r="12" spans="1:18" x14ac:dyDescent="0.3">
      <c r="A12" s="41">
        <v>1700</v>
      </c>
      <c r="B12" s="42">
        <f>B4*22</f>
        <v>0</v>
      </c>
      <c r="C12" s="42">
        <f>C4*8</f>
        <v>24</v>
      </c>
      <c r="D12" s="42">
        <f>D4*22</f>
        <v>88</v>
      </c>
      <c r="E12" s="42">
        <f>E4*6</f>
        <v>0</v>
      </c>
      <c r="F12" s="44">
        <f>F4*22</f>
        <v>0</v>
      </c>
      <c r="G12" s="44">
        <f>G4*22</f>
        <v>66</v>
      </c>
      <c r="H12" s="44">
        <f>H4*22</f>
        <v>0</v>
      </c>
      <c r="I12" s="44">
        <f>I4*22</f>
        <v>88</v>
      </c>
      <c r="J12" s="44">
        <f>J4*8</f>
        <v>0</v>
      </c>
      <c r="K12" s="42">
        <f>K4*4</f>
        <v>20</v>
      </c>
      <c r="L12" s="42">
        <f>L4*3</f>
        <v>0</v>
      </c>
      <c r="M12" s="42">
        <f>M4*4</f>
        <v>0</v>
      </c>
      <c r="N12" s="42">
        <f>N4*5</f>
        <v>5</v>
      </c>
      <c r="O12" s="43">
        <f t="shared" si="2"/>
        <v>5617</v>
      </c>
      <c r="P12" s="43">
        <f>O4*(A4/4)</f>
        <v>9750</v>
      </c>
      <c r="Q12" s="43"/>
      <c r="R12" s="43">
        <f>P12-O12</f>
        <v>4133</v>
      </c>
    </row>
    <row r="13" spans="1:18" x14ac:dyDescent="0.3">
      <c r="A13" s="41">
        <v>2450</v>
      </c>
      <c r="B13" s="42">
        <f>B5*32</f>
        <v>0</v>
      </c>
      <c r="C13" s="42">
        <f>C5*10</f>
        <v>5</v>
      </c>
      <c r="D13" s="42">
        <f>D5*32</f>
        <v>32</v>
      </c>
      <c r="E13" s="42">
        <f>E5*8</f>
        <v>0</v>
      </c>
      <c r="F13" s="42">
        <f>F5*32</f>
        <v>0</v>
      </c>
      <c r="G13" s="42">
        <f>G5*32</f>
        <v>48</v>
      </c>
      <c r="H13" s="42">
        <f>H5*32</f>
        <v>0</v>
      </c>
      <c r="I13" s="44">
        <f>I5*32</f>
        <v>48</v>
      </c>
      <c r="J13" s="48">
        <f>J5*10</f>
        <v>0</v>
      </c>
      <c r="K13" s="42">
        <f>K5*8</f>
        <v>16</v>
      </c>
      <c r="L13" s="42">
        <f>L5*4</f>
        <v>0</v>
      </c>
      <c r="M13" s="42">
        <f>M5*6</f>
        <v>0</v>
      </c>
      <c r="N13" s="42">
        <f>N5*8</f>
        <v>4</v>
      </c>
      <c r="O13" s="43">
        <f t="shared" si="2"/>
        <v>3163</v>
      </c>
      <c r="P13" s="43">
        <f>O5*(A5/4)</f>
        <v>4812.5</v>
      </c>
      <c r="Q13" s="43"/>
      <c r="R13" s="43">
        <f>P13-O13</f>
        <v>1649.5</v>
      </c>
    </row>
    <row r="14" spans="1:18" x14ac:dyDescent="0.3">
      <c r="A14" s="41">
        <v>4400</v>
      </c>
      <c r="B14" s="42">
        <f>B6*60</f>
        <v>0</v>
      </c>
      <c r="C14" s="42">
        <f>C6*20</f>
        <v>10</v>
      </c>
      <c r="D14" s="42">
        <f t="shared" ref="D14:I14" si="3">D6*60</f>
        <v>0</v>
      </c>
      <c r="E14" s="42">
        <f>E6*14</f>
        <v>0</v>
      </c>
      <c r="F14" s="44">
        <f>F6*60</f>
        <v>0</v>
      </c>
      <c r="G14" s="44">
        <f t="shared" si="3"/>
        <v>15</v>
      </c>
      <c r="H14" s="44">
        <f t="shared" si="3"/>
        <v>0</v>
      </c>
      <c r="I14" s="44">
        <f t="shared" si="3"/>
        <v>15</v>
      </c>
      <c r="J14" s="44">
        <f>J6*22</f>
        <v>0</v>
      </c>
      <c r="K14" s="42">
        <f>K6*12</f>
        <v>0</v>
      </c>
      <c r="L14" s="42">
        <f>L6*8</f>
        <v>0</v>
      </c>
      <c r="M14" s="42">
        <f>M6*12</f>
        <v>0</v>
      </c>
      <c r="N14" s="42">
        <f>N6*12</f>
        <v>0</v>
      </c>
      <c r="O14" s="43">
        <f t="shared" si="2"/>
        <v>725</v>
      </c>
      <c r="P14" s="43">
        <f>O6*(A6/4)</f>
        <v>1187.5</v>
      </c>
      <c r="Q14" s="43"/>
      <c r="R14" s="43">
        <f>P14-O14</f>
        <v>462.5</v>
      </c>
    </row>
    <row r="15" spans="1:18" x14ac:dyDescent="0.3">
      <c r="A15" s="49" t="s">
        <v>433</v>
      </c>
      <c r="B15" s="50"/>
      <c r="C15" s="50">
        <v>4</v>
      </c>
      <c r="D15" s="50"/>
      <c r="E15" s="50"/>
      <c r="F15" s="50"/>
      <c r="G15" s="50"/>
      <c r="H15" s="50"/>
      <c r="I15" s="50">
        <v>10</v>
      </c>
      <c r="J15" s="50"/>
      <c r="K15" s="50">
        <v>10</v>
      </c>
      <c r="L15" s="50"/>
      <c r="M15" s="50"/>
      <c r="N15" s="42"/>
      <c r="O15" s="43">
        <f t="shared" si="2"/>
        <v>865</v>
      </c>
      <c r="P15" s="43"/>
      <c r="Q15" s="43">
        <v>2700</v>
      </c>
      <c r="R15" s="43">
        <f>SUM(R10:R14)</f>
        <v>16678.920454545456</v>
      </c>
    </row>
    <row r="16" spans="1:18" ht="27.95" x14ac:dyDescent="0.3">
      <c r="A16" s="51" t="s">
        <v>564</v>
      </c>
      <c r="B16" s="50">
        <v>20</v>
      </c>
      <c r="C16" s="50">
        <v>26</v>
      </c>
      <c r="D16" s="50">
        <v>22</v>
      </c>
      <c r="E16" s="50">
        <v>2</v>
      </c>
      <c r="F16" s="50"/>
      <c r="G16" s="50">
        <v>55</v>
      </c>
      <c r="H16" s="50"/>
      <c r="I16" s="50">
        <v>25</v>
      </c>
      <c r="J16" s="50"/>
      <c r="K16" s="50">
        <v>7</v>
      </c>
      <c r="L16" s="50"/>
      <c r="M16" s="50">
        <v>3</v>
      </c>
      <c r="N16" s="50">
        <v>3</v>
      </c>
      <c r="O16" s="43">
        <f t="shared" si="2"/>
        <v>3500.0454545454545</v>
      </c>
      <c r="P16" s="43"/>
      <c r="Q16" s="43">
        <v>7000</v>
      </c>
      <c r="R16" s="43"/>
    </row>
    <row r="17" spans="1:18" ht="15.6" x14ac:dyDescent="0.3">
      <c r="A17" s="52" t="s">
        <v>565</v>
      </c>
      <c r="B17" s="53"/>
      <c r="C17" s="53"/>
      <c r="D17" s="53"/>
      <c r="E17" s="53"/>
      <c r="F17" s="53"/>
      <c r="G17" s="53"/>
      <c r="H17" s="53"/>
      <c r="I17" s="53"/>
      <c r="J17" s="53"/>
      <c r="K17" s="53"/>
      <c r="L17" s="53"/>
      <c r="M17" s="53"/>
      <c r="N17" s="53"/>
      <c r="O17" s="43">
        <f t="shared" si="2"/>
        <v>0</v>
      </c>
      <c r="P17" s="43"/>
      <c r="Q17" s="54"/>
      <c r="R17" s="43"/>
    </row>
    <row r="18" spans="1:18" ht="31.2" x14ac:dyDescent="0.3">
      <c r="A18" s="52" t="s">
        <v>437</v>
      </c>
      <c r="B18" s="53"/>
      <c r="C18" s="53">
        <v>40</v>
      </c>
      <c r="D18" s="53"/>
      <c r="E18" s="53"/>
      <c r="F18" s="53"/>
      <c r="G18" s="53"/>
      <c r="H18" s="53"/>
      <c r="I18" s="53">
        <v>120</v>
      </c>
      <c r="J18" s="53">
        <v>40</v>
      </c>
      <c r="K18" s="53"/>
      <c r="L18" s="53">
        <v>20</v>
      </c>
      <c r="M18" s="53">
        <v>25</v>
      </c>
      <c r="N18" s="53">
        <v>20</v>
      </c>
      <c r="O18" s="43">
        <f t="shared" si="2"/>
        <v>11700</v>
      </c>
      <c r="P18" s="43"/>
      <c r="Q18" s="54">
        <v>30000</v>
      </c>
      <c r="R18" s="43"/>
    </row>
    <row r="19" spans="1:18" ht="46.75" x14ac:dyDescent="0.3">
      <c r="A19" s="55" t="s">
        <v>566</v>
      </c>
      <c r="B19" s="53"/>
      <c r="C19" s="53">
        <v>10</v>
      </c>
      <c r="D19" s="53">
        <v>18</v>
      </c>
      <c r="E19" s="53"/>
      <c r="F19" s="53"/>
      <c r="G19" s="53">
        <v>42</v>
      </c>
      <c r="H19" s="53"/>
      <c r="I19" s="53"/>
      <c r="J19" s="53"/>
      <c r="K19" s="53">
        <v>12</v>
      </c>
      <c r="L19" s="53">
        <v>3</v>
      </c>
      <c r="M19" s="53"/>
      <c r="N19" s="53"/>
      <c r="O19" s="43">
        <f t="shared" si="2"/>
        <v>2462</v>
      </c>
      <c r="P19" s="43"/>
      <c r="Q19" s="54">
        <v>4000</v>
      </c>
      <c r="R19" s="43"/>
    </row>
    <row r="20" spans="1:18" ht="27.95" x14ac:dyDescent="0.3">
      <c r="A20" s="56" t="s">
        <v>567</v>
      </c>
      <c r="B20" s="57">
        <v>40</v>
      </c>
      <c r="C20" s="57">
        <v>20</v>
      </c>
      <c r="D20" s="57"/>
      <c r="E20" s="57"/>
      <c r="F20" s="57"/>
      <c r="G20" s="57"/>
      <c r="H20" s="57">
        <v>30</v>
      </c>
      <c r="I20" s="57">
        <v>120</v>
      </c>
      <c r="J20" s="57"/>
      <c r="K20" s="57">
        <v>15</v>
      </c>
      <c r="L20" s="57">
        <v>10</v>
      </c>
      <c r="M20" s="57"/>
      <c r="N20" s="57"/>
      <c r="O20" s="43">
        <f t="shared" si="2"/>
        <v>5309.090909090909</v>
      </c>
      <c r="P20" s="43"/>
      <c r="Q20" s="43"/>
      <c r="R20" s="43"/>
    </row>
    <row r="21" spans="1:18" x14ac:dyDescent="0.3">
      <c r="A21" s="58" t="s">
        <v>565</v>
      </c>
      <c r="B21" s="57"/>
      <c r="C21" s="57"/>
      <c r="D21" s="57"/>
      <c r="E21" s="57"/>
      <c r="F21" s="57"/>
      <c r="G21" s="57"/>
      <c r="H21" s="57"/>
      <c r="I21" s="57"/>
      <c r="J21" s="57"/>
      <c r="K21" s="57"/>
      <c r="L21" s="57"/>
      <c r="M21" s="57"/>
      <c r="N21" s="57"/>
      <c r="O21" s="43">
        <f t="shared" si="2"/>
        <v>0</v>
      </c>
      <c r="P21" s="43"/>
      <c r="Q21" s="43"/>
      <c r="R21" s="43"/>
    </row>
    <row r="22" spans="1:18" x14ac:dyDescent="0.3">
      <c r="A22" s="41" t="s">
        <v>561</v>
      </c>
      <c r="B22" s="42">
        <f>SUM(B10:B21)</f>
        <v>84</v>
      </c>
      <c r="C22" s="42">
        <f t="shared" ref="C22:N22" si="4">SUM(C10:C21)</f>
        <v>211</v>
      </c>
      <c r="D22" s="42">
        <f t="shared" si="4"/>
        <v>408</v>
      </c>
      <c r="E22" s="42">
        <f t="shared" si="4"/>
        <v>16</v>
      </c>
      <c r="F22" s="42">
        <f t="shared" si="4"/>
        <v>0</v>
      </c>
      <c r="G22" s="42">
        <f t="shared" si="4"/>
        <v>298</v>
      </c>
      <c r="H22" s="42">
        <f t="shared" si="4"/>
        <v>30</v>
      </c>
      <c r="I22" s="42">
        <f t="shared" si="4"/>
        <v>522</v>
      </c>
      <c r="J22" s="42">
        <f t="shared" si="4"/>
        <v>40</v>
      </c>
      <c r="K22" s="42">
        <f t="shared" si="4"/>
        <v>148.25</v>
      </c>
      <c r="L22" s="42">
        <f t="shared" si="4"/>
        <v>33</v>
      </c>
      <c r="M22" s="42">
        <f t="shared" si="4"/>
        <v>28</v>
      </c>
      <c r="N22" s="42">
        <f t="shared" si="4"/>
        <v>32</v>
      </c>
      <c r="O22" s="43"/>
      <c r="P22" s="43"/>
      <c r="Q22" s="43"/>
      <c r="R22" s="43"/>
    </row>
    <row r="23" spans="1:18" ht="27.95" x14ac:dyDescent="0.3">
      <c r="A23" s="41" t="s">
        <v>568</v>
      </c>
      <c r="B23" s="42"/>
      <c r="C23" s="42">
        <v>15</v>
      </c>
      <c r="D23" s="42"/>
      <c r="E23" s="42"/>
      <c r="F23" s="42"/>
      <c r="G23" s="42"/>
      <c r="H23" s="42">
        <v>20</v>
      </c>
      <c r="I23" s="42"/>
      <c r="J23" s="42"/>
      <c r="K23" s="42">
        <v>10</v>
      </c>
      <c r="L23" s="42"/>
      <c r="M23" s="42"/>
      <c r="N23" s="42"/>
      <c r="O23" s="43">
        <f>B23*($B$9/$B$8)+C23*($C$9/$C$8)+D23*($D$9/$D$8)+E23*($E$9/$E$8)+F23*($F$9/$F$8)+G23*($G$9/$G$8)+H23*($H$9/$H$8)+I23*($I$9/$I$8)+J23*($J$9/$J$8)+K23*($K$9/$K$8)+L23*($L$9/$L$8)+M23*($M$9/$M$8)+N23*($N$9/$N$8)</f>
        <v>1525</v>
      </c>
      <c r="P23" s="43"/>
      <c r="Q23" s="43"/>
      <c r="R23" s="43"/>
    </row>
    <row r="24" spans="1:18" x14ac:dyDescent="0.3">
      <c r="A24" s="36" t="s">
        <v>569</v>
      </c>
      <c r="B24" s="59">
        <f t="shared" ref="B24:N24" si="5">B22-B23</f>
        <v>84</v>
      </c>
      <c r="C24" s="59">
        <f t="shared" si="5"/>
        <v>196</v>
      </c>
      <c r="D24" s="59">
        <f t="shared" si="5"/>
        <v>408</v>
      </c>
      <c r="E24" s="59">
        <f t="shared" si="5"/>
        <v>16</v>
      </c>
      <c r="F24" s="59">
        <f t="shared" si="5"/>
        <v>0</v>
      </c>
      <c r="G24" s="59">
        <f t="shared" si="5"/>
        <v>298</v>
      </c>
      <c r="H24" s="59">
        <f t="shared" si="5"/>
        <v>10</v>
      </c>
      <c r="I24" s="59">
        <f t="shared" si="5"/>
        <v>522</v>
      </c>
      <c r="J24" s="59">
        <f t="shared" si="5"/>
        <v>40</v>
      </c>
      <c r="K24" s="59">
        <f t="shared" si="5"/>
        <v>138.25</v>
      </c>
      <c r="L24" s="59">
        <f t="shared" si="5"/>
        <v>33</v>
      </c>
      <c r="M24" s="59">
        <f>M22-M23</f>
        <v>28</v>
      </c>
      <c r="N24" s="59">
        <f t="shared" si="5"/>
        <v>32</v>
      </c>
      <c r="O24" s="39"/>
      <c r="P24" s="39"/>
      <c r="Q24" s="39"/>
      <c r="R24" s="39"/>
    </row>
    <row r="25" spans="1:18" x14ac:dyDescent="0.3">
      <c r="A25" s="41" t="s">
        <v>570</v>
      </c>
      <c r="B25" s="60">
        <v>0.1</v>
      </c>
      <c r="C25" s="60">
        <v>0.1</v>
      </c>
      <c r="D25" s="60">
        <v>0.1</v>
      </c>
      <c r="E25" s="60">
        <v>0.1</v>
      </c>
      <c r="F25" s="60">
        <v>0.15</v>
      </c>
      <c r="G25" s="60">
        <v>0.1</v>
      </c>
      <c r="H25" s="60">
        <v>0.1</v>
      </c>
      <c r="I25" s="60">
        <v>0.1</v>
      </c>
      <c r="J25" s="60">
        <v>0.15</v>
      </c>
      <c r="K25" s="60">
        <v>0.1</v>
      </c>
      <c r="L25" s="60">
        <v>0.05</v>
      </c>
      <c r="M25" s="60">
        <v>0.1</v>
      </c>
      <c r="N25" s="60">
        <v>0.1</v>
      </c>
      <c r="O25" s="39"/>
      <c r="P25" s="39"/>
      <c r="Q25" s="39"/>
      <c r="R25" s="39"/>
    </row>
    <row r="26" spans="1:18" ht="41.95" x14ac:dyDescent="0.3">
      <c r="A26" s="41" t="s">
        <v>571</v>
      </c>
      <c r="B26" s="61">
        <f t="shared" ref="B26:N26" si="6">B24+(B24*10%)</f>
        <v>92.4</v>
      </c>
      <c r="C26" s="61">
        <f t="shared" si="6"/>
        <v>215.6</v>
      </c>
      <c r="D26" s="61">
        <f t="shared" si="6"/>
        <v>448.8</v>
      </c>
      <c r="E26" s="61">
        <f>E24+(E24*30%)</f>
        <v>20.8</v>
      </c>
      <c r="F26" s="61">
        <f t="shared" si="6"/>
        <v>0</v>
      </c>
      <c r="G26" s="61">
        <f t="shared" si="6"/>
        <v>327.8</v>
      </c>
      <c r="H26" s="61">
        <f t="shared" si="6"/>
        <v>11</v>
      </c>
      <c r="I26" s="61">
        <f t="shared" si="6"/>
        <v>574.20000000000005</v>
      </c>
      <c r="J26" s="61">
        <f>J24+(J24*15%)</f>
        <v>46</v>
      </c>
      <c r="K26" s="61">
        <f t="shared" si="6"/>
        <v>152.07499999999999</v>
      </c>
      <c r="L26" s="61">
        <f t="shared" si="6"/>
        <v>36.299999999999997</v>
      </c>
      <c r="M26" s="61">
        <f t="shared" si="6"/>
        <v>30.8</v>
      </c>
      <c r="N26" s="61">
        <f t="shared" si="6"/>
        <v>35.200000000000003</v>
      </c>
      <c r="O26" s="39"/>
      <c r="P26" s="39"/>
      <c r="Q26" s="39"/>
      <c r="R26" s="39"/>
    </row>
    <row r="27" spans="1:18" ht="27.95" x14ac:dyDescent="0.3">
      <c r="A27" s="41" t="s">
        <v>572</v>
      </c>
      <c r="B27" s="62">
        <f t="shared" ref="B27:N27" si="7">B26/B8</f>
        <v>4.2</v>
      </c>
      <c r="C27" s="62">
        <f t="shared" si="7"/>
        <v>21.56</v>
      </c>
      <c r="D27" s="62">
        <f t="shared" si="7"/>
        <v>44.88</v>
      </c>
      <c r="E27" s="62">
        <f t="shared" si="7"/>
        <v>4.16</v>
      </c>
      <c r="F27" s="62">
        <f t="shared" si="7"/>
        <v>0</v>
      </c>
      <c r="G27" s="62">
        <f t="shared" si="7"/>
        <v>16.39</v>
      </c>
      <c r="H27" s="62">
        <f t="shared" si="7"/>
        <v>0.55000000000000004</v>
      </c>
      <c r="I27" s="62">
        <f t="shared" si="7"/>
        <v>28.71</v>
      </c>
      <c r="J27" s="62">
        <f t="shared" si="7"/>
        <v>4.5999999999999996</v>
      </c>
      <c r="K27" s="62">
        <f t="shared" si="7"/>
        <v>15.2075</v>
      </c>
      <c r="L27" s="62">
        <f t="shared" si="7"/>
        <v>3.63</v>
      </c>
      <c r="M27" s="62">
        <f t="shared" si="7"/>
        <v>30.8</v>
      </c>
      <c r="N27" s="62">
        <f t="shared" si="7"/>
        <v>3.5200000000000005</v>
      </c>
      <c r="O27" s="39"/>
      <c r="P27" s="39"/>
      <c r="Q27" s="39"/>
      <c r="R27" s="39"/>
    </row>
    <row r="28" spans="1:18" x14ac:dyDescent="0.3">
      <c r="A28" s="36" t="s">
        <v>573</v>
      </c>
      <c r="B28" s="38">
        <v>3</v>
      </c>
      <c r="C28" s="38">
        <v>22</v>
      </c>
      <c r="D28" s="38">
        <v>45</v>
      </c>
      <c r="E28" s="38">
        <v>5</v>
      </c>
      <c r="F28" s="38"/>
      <c r="G28" s="38">
        <v>17</v>
      </c>
      <c r="H28" s="38">
        <v>1</v>
      </c>
      <c r="I28" s="38">
        <v>32</v>
      </c>
      <c r="J28" s="38">
        <v>4</v>
      </c>
      <c r="K28" s="38">
        <v>15</v>
      </c>
      <c r="L28" s="38">
        <v>4</v>
      </c>
      <c r="M28" s="38">
        <v>24</v>
      </c>
      <c r="N28" s="38">
        <v>4</v>
      </c>
      <c r="O28" s="39"/>
      <c r="P28" s="39"/>
      <c r="Q28" s="39"/>
      <c r="R28" s="39"/>
    </row>
    <row r="29" spans="1:18" x14ac:dyDescent="0.3">
      <c r="A29" s="63"/>
      <c r="B29" s="64"/>
      <c r="C29" s="64"/>
      <c r="D29" s="64"/>
      <c r="E29" s="64"/>
      <c r="F29" s="64"/>
      <c r="G29" s="64"/>
      <c r="H29" s="64"/>
      <c r="I29" s="64">
        <v>1</v>
      </c>
      <c r="J29" s="64"/>
      <c r="K29" s="64"/>
      <c r="L29" s="64"/>
      <c r="M29" s="42"/>
      <c r="N29" s="38"/>
      <c r="O29" s="39"/>
      <c r="P29" s="39"/>
      <c r="Q29" s="39"/>
      <c r="R29" s="39"/>
    </row>
    <row r="30" spans="1:18" x14ac:dyDescent="0.3">
      <c r="A30" s="65"/>
      <c r="B30" s="66"/>
      <c r="C30" s="66">
        <v>9</v>
      </c>
      <c r="D30" s="66"/>
      <c r="E30" s="66"/>
      <c r="F30" s="66"/>
      <c r="G30" s="66">
        <v>9</v>
      </c>
      <c r="H30" s="66"/>
      <c r="I30" s="66">
        <v>7</v>
      </c>
      <c r="J30" s="66">
        <v>2</v>
      </c>
      <c r="K30" s="66"/>
      <c r="L30" s="66">
        <v>2</v>
      </c>
      <c r="M30" s="42">
        <v>8</v>
      </c>
      <c r="N30" s="42">
        <v>1</v>
      </c>
      <c r="O30" s="39"/>
      <c r="P30" s="39"/>
      <c r="Q30" s="39"/>
      <c r="R30" s="39"/>
    </row>
    <row r="31" spans="1:18" x14ac:dyDescent="0.3">
      <c r="A31" s="36"/>
      <c r="B31" s="42"/>
      <c r="C31" s="67">
        <v>4</v>
      </c>
      <c r="D31" s="42"/>
      <c r="E31" s="42"/>
      <c r="F31" s="42"/>
      <c r="G31" s="42"/>
      <c r="H31" s="42">
        <v>1</v>
      </c>
      <c r="I31" s="42">
        <v>14</v>
      </c>
      <c r="J31" s="42">
        <v>1</v>
      </c>
      <c r="K31" s="42">
        <v>8</v>
      </c>
      <c r="L31" s="42">
        <v>2</v>
      </c>
      <c r="M31" s="42">
        <v>7</v>
      </c>
      <c r="N31" s="42">
        <v>2</v>
      </c>
      <c r="O31" s="39"/>
      <c r="P31" s="39"/>
      <c r="Q31" s="39"/>
      <c r="R31" s="39"/>
    </row>
    <row r="32" spans="1:18" x14ac:dyDescent="0.3">
      <c r="A32" s="58"/>
      <c r="B32" s="68"/>
      <c r="C32" s="68">
        <v>4</v>
      </c>
      <c r="D32" s="68"/>
      <c r="E32" s="68"/>
      <c r="F32" s="68"/>
      <c r="G32" s="68">
        <v>8</v>
      </c>
      <c r="H32" s="68"/>
      <c r="I32" s="68">
        <v>1</v>
      </c>
      <c r="J32" s="68"/>
      <c r="K32" s="68"/>
      <c r="L32" s="68"/>
      <c r="M32" s="42"/>
      <c r="N32" s="42"/>
      <c r="O32" s="39"/>
      <c r="P32" s="39"/>
      <c r="Q32" s="39"/>
      <c r="R32" s="39"/>
    </row>
    <row r="33" spans="1:18" x14ac:dyDescent="0.3">
      <c r="A33" s="69"/>
      <c r="B33" s="70"/>
      <c r="C33" s="70"/>
      <c r="D33" s="70"/>
      <c r="E33" s="70"/>
      <c r="F33" s="70"/>
      <c r="G33" s="70"/>
      <c r="H33" s="70"/>
      <c r="I33" s="70"/>
      <c r="J33" s="70"/>
      <c r="K33" s="70">
        <v>7</v>
      </c>
      <c r="L33" s="70"/>
      <c r="M33" s="42">
        <v>6</v>
      </c>
      <c r="N33" s="42"/>
      <c r="O33" s="39"/>
      <c r="P33" s="39"/>
      <c r="Q33" s="39"/>
      <c r="R33" s="39"/>
    </row>
    <row r="34" spans="1:18" x14ac:dyDescent="0.3">
      <c r="A34" s="71"/>
      <c r="B34" s="72"/>
      <c r="C34" s="72">
        <v>1</v>
      </c>
      <c r="D34" s="72"/>
      <c r="E34" s="72"/>
      <c r="F34" s="72"/>
      <c r="G34" s="72"/>
      <c r="H34" s="72"/>
      <c r="I34" s="72">
        <v>2</v>
      </c>
      <c r="J34" s="72"/>
      <c r="K34" s="72"/>
      <c r="L34" s="72"/>
      <c r="M34" s="42"/>
      <c r="N34" s="42"/>
      <c r="O34" s="39"/>
      <c r="P34" s="39"/>
      <c r="Q34" s="39"/>
      <c r="R34" s="39"/>
    </row>
    <row r="35" spans="1:18" x14ac:dyDescent="0.3">
      <c r="A35" s="73"/>
      <c r="B35" s="74"/>
      <c r="C35" s="74">
        <v>2</v>
      </c>
      <c r="D35" s="74"/>
      <c r="E35" s="74"/>
      <c r="F35" s="74"/>
      <c r="G35" s="74"/>
      <c r="H35" s="74"/>
      <c r="I35" s="74">
        <v>7</v>
      </c>
      <c r="J35" s="74">
        <v>1</v>
      </c>
      <c r="K35" s="74"/>
      <c r="L35" s="74"/>
      <c r="M35" s="42"/>
      <c r="N35" s="42">
        <v>1</v>
      </c>
      <c r="O35" s="39"/>
      <c r="P35" s="39"/>
      <c r="Q35" s="39"/>
      <c r="R35" s="39"/>
    </row>
    <row r="36" spans="1:18" x14ac:dyDescent="0.3">
      <c r="A36" s="36"/>
      <c r="B36" s="42"/>
      <c r="C36" s="42"/>
      <c r="D36" s="42"/>
      <c r="E36" s="42"/>
      <c r="F36" s="42"/>
      <c r="G36" s="42"/>
      <c r="H36" s="42"/>
      <c r="I36" s="42"/>
      <c r="J36" s="42"/>
      <c r="K36" s="42"/>
      <c r="L36" s="38"/>
      <c r="M36" s="38"/>
      <c r="N36" s="42"/>
      <c r="O36" s="39"/>
      <c r="P36" s="39"/>
      <c r="Q36" s="39"/>
      <c r="R36" s="39"/>
    </row>
    <row r="37" spans="1:18" ht="15.6" x14ac:dyDescent="0.3">
      <c r="A37" s="75"/>
      <c r="B37" s="76"/>
      <c r="C37" s="76"/>
      <c r="D37" s="76"/>
      <c r="E37" s="76"/>
      <c r="F37" s="76"/>
      <c r="G37" s="76"/>
      <c r="H37" s="76"/>
      <c r="I37" s="76"/>
      <c r="J37" s="76"/>
      <c r="K37" s="76"/>
      <c r="L37" s="76"/>
      <c r="M37" s="76"/>
      <c r="N37" s="76"/>
      <c r="O37" s="39"/>
      <c r="P37" s="39"/>
      <c r="Q37" s="39"/>
      <c r="R37" s="39"/>
    </row>
    <row r="38" spans="1:18" x14ac:dyDescent="0.3">
      <c r="A38" s="38" t="s">
        <v>574</v>
      </c>
      <c r="B38" s="45">
        <f t="shared" ref="B38:N38" si="8">B28*B9</f>
        <v>510</v>
      </c>
      <c r="C38" s="45">
        <f t="shared" si="8"/>
        <v>7700</v>
      </c>
      <c r="D38" s="45">
        <f t="shared" si="8"/>
        <v>6300</v>
      </c>
      <c r="E38" s="45">
        <f t="shared" si="8"/>
        <v>750</v>
      </c>
      <c r="F38" s="45">
        <f t="shared" si="8"/>
        <v>0</v>
      </c>
      <c r="G38" s="45">
        <f t="shared" si="8"/>
        <v>5100</v>
      </c>
      <c r="H38" s="45">
        <f t="shared" si="8"/>
        <v>375</v>
      </c>
      <c r="I38" s="45">
        <f t="shared" si="8"/>
        <v>6400</v>
      </c>
      <c r="J38" s="45">
        <f t="shared" si="8"/>
        <v>1700</v>
      </c>
      <c r="K38" s="45">
        <f t="shared" si="8"/>
        <v>9375</v>
      </c>
      <c r="L38" s="45">
        <f t="shared" si="8"/>
        <v>6400</v>
      </c>
      <c r="M38" s="45">
        <f t="shared" si="8"/>
        <v>2400</v>
      </c>
      <c r="N38" s="45">
        <f t="shared" si="8"/>
        <v>3400</v>
      </c>
      <c r="O38" s="39">
        <f>B38+C38+D38+E38+F38+G38+H38+I38+J38+K38+L38+M38+N38+Q60+ 2000</f>
        <v>57920</v>
      </c>
      <c r="P38" s="77"/>
      <c r="Q38" s="43">
        <f>SUM(Q7:Q23)</f>
        <v>82787</v>
      </c>
      <c r="R38" s="39"/>
    </row>
    <row r="39" spans="1:18" x14ac:dyDescent="0.3">
      <c r="A39" s="39"/>
      <c r="B39" s="39"/>
      <c r="C39" s="39"/>
      <c r="D39" s="39"/>
      <c r="E39" s="39"/>
      <c r="F39" s="39"/>
      <c r="G39" s="39"/>
      <c r="H39" s="39"/>
      <c r="I39" s="39"/>
      <c r="J39" s="39"/>
      <c r="K39" s="39"/>
      <c r="L39" s="39"/>
      <c r="M39" s="39"/>
      <c r="N39" s="39"/>
      <c r="O39" s="39"/>
      <c r="P39" s="78" t="s">
        <v>575</v>
      </c>
      <c r="Q39" s="78" t="s">
        <v>576</v>
      </c>
      <c r="R39" s="39"/>
    </row>
    <row r="40" spans="1:18" x14ac:dyDescent="0.3">
      <c r="A40" s="39"/>
      <c r="B40" s="39"/>
      <c r="C40" s="39"/>
      <c r="D40" s="39"/>
      <c r="E40" s="39"/>
      <c r="F40" s="39"/>
      <c r="G40" s="39"/>
      <c r="H40" s="39"/>
      <c r="I40" s="39"/>
      <c r="J40" s="39"/>
      <c r="K40" s="39"/>
      <c r="L40" s="39"/>
      <c r="M40" s="39"/>
      <c r="N40" s="39" t="s">
        <v>577</v>
      </c>
      <c r="O40" s="39">
        <f t="shared" ref="O40:O59" si="9">Q40*P40</f>
        <v>1000</v>
      </c>
      <c r="P40" s="39">
        <v>5</v>
      </c>
      <c r="Q40" s="39">
        <v>200</v>
      </c>
      <c r="R40" s="39"/>
    </row>
    <row r="41" spans="1:18" x14ac:dyDescent="0.3">
      <c r="A41" s="39"/>
      <c r="B41" s="39"/>
      <c r="C41" s="39"/>
      <c r="D41" s="39"/>
      <c r="E41" s="39"/>
      <c r="F41" s="39"/>
      <c r="G41" s="39"/>
      <c r="H41" s="39"/>
      <c r="I41" s="39"/>
      <c r="J41" s="39"/>
      <c r="K41" s="39"/>
      <c r="L41" s="39"/>
      <c r="M41" s="39"/>
      <c r="N41" s="39" t="s">
        <v>578</v>
      </c>
      <c r="O41" s="39">
        <f t="shared" si="9"/>
        <v>300</v>
      </c>
      <c r="P41" s="39">
        <v>3</v>
      </c>
      <c r="Q41" s="39">
        <v>100</v>
      </c>
      <c r="R41" s="39"/>
    </row>
    <row r="42" spans="1:18" x14ac:dyDescent="0.3">
      <c r="A42" s="39"/>
      <c r="B42" s="39"/>
      <c r="C42" s="39"/>
      <c r="D42" s="39"/>
      <c r="E42" s="39"/>
      <c r="F42" s="39"/>
      <c r="G42" s="39"/>
      <c r="H42" s="39"/>
      <c r="I42" s="39"/>
      <c r="J42" s="39"/>
      <c r="K42" s="39"/>
      <c r="L42" s="39"/>
      <c r="M42" s="39"/>
      <c r="N42" s="39" t="s">
        <v>579</v>
      </c>
      <c r="O42" s="39">
        <f t="shared" si="9"/>
        <v>0</v>
      </c>
      <c r="P42" s="39">
        <v>0</v>
      </c>
      <c r="Q42" s="39">
        <v>100</v>
      </c>
      <c r="R42" s="39"/>
    </row>
    <row r="43" spans="1:18" x14ac:dyDescent="0.3">
      <c r="A43" s="39"/>
      <c r="B43" s="39"/>
      <c r="C43" s="39"/>
      <c r="D43" s="39"/>
      <c r="E43" s="39"/>
      <c r="F43" s="39"/>
      <c r="G43" s="39"/>
      <c r="H43" s="39"/>
      <c r="I43" s="39"/>
      <c r="J43" s="39"/>
      <c r="K43" s="39"/>
      <c r="L43" s="39"/>
      <c r="M43" s="39"/>
      <c r="N43" s="39" t="s">
        <v>580</v>
      </c>
      <c r="O43" s="39">
        <f t="shared" si="9"/>
        <v>2000</v>
      </c>
      <c r="P43" s="39">
        <v>100</v>
      </c>
      <c r="Q43" s="39">
        <v>20</v>
      </c>
      <c r="R43" s="39"/>
    </row>
    <row r="44" spans="1:18" ht="27.95" x14ac:dyDescent="0.3">
      <c r="A44" s="39"/>
      <c r="B44" s="39"/>
      <c r="C44" s="39"/>
      <c r="D44" s="39"/>
      <c r="E44" s="39"/>
      <c r="F44" s="79"/>
      <c r="G44" s="39"/>
      <c r="H44" s="39"/>
      <c r="I44" s="39"/>
      <c r="J44" s="39"/>
      <c r="K44" s="39"/>
      <c r="L44" s="39"/>
      <c r="M44" s="39"/>
      <c r="N44" s="39" t="s">
        <v>581</v>
      </c>
      <c r="O44" s="39">
        <f t="shared" si="9"/>
        <v>320</v>
      </c>
      <c r="P44" s="39">
        <v>4</v>
      </c>
      <c r="Q44" s="39">
        <v>80</v>
      </c>
      <c r="R44" s="39"/>
    </row>
    <row r="45" spans="1:18" x14ac:dyDescent="0.3">
      <c r="A45" s="39"/>
      <c r="B45" s="39"/>
      <c r="C45" s="39"/>
      <c r="D45" s="39"/>
      <c r="E45" s="39"/>
      <c r="F45" s="39"/>
      <c r="G45" s="39"/>
      <c r="H45" s="39"/>
      <c r="I45" s="39"/>
      <c r="J45" s="39"/>
      <c r="K45" s="39"/>
      <c r="L45" s="39"/>
      <c r="M45" s="39"/>
      <c r="N45" s="39" t="s">
        <v>582</v>
      </c>
      <c r="O45" s="39">
        <f t="shared" si="9"/>
        <v>0</v>
      </c>
      <c r="P45" s="39">
        <v>0</v>
      </c>
      <c r="Q45" s="39">
        <v>300</v>
      </c>
      <c r="R45" s="39"/>
    </row>
    <row r="46" spans="1:18" ht="27.95" x14ac:dyDescent="0.3">
      <c r="A46" s="39"/>
      <c r="B46" s="39"/>
      <c r="C46" s="39"/>
      <c r="D46" s="39"/>
      <c r="E46" s="39"/>
      <c r="F46" s="39"/>
      <c r="G46" s="39"/>
      <c r="H46" s="39"/>
      <c r="I46" s="39"/>
      <c r="J46" s="39"/>
      <c r="K46" s="39"/>
      <c r="L46" s="39"/>
      <c r="M46" s="39"/>
      <c r="N46" s="39" t="s">
        <v>583</v>
      </c>
      <c r="O46" s="39">
        <f t="shared" si="9"/>
        <v>0</v>
      </c>
      <c r="P46" s="39">
        <v>0</v>
      </c>
      <c r="Q46" s="39">
        <v>250</v>
      </c>
      <c r="R46" s="39"/>
    </row>
    <row r="47" spans="1:18" x14ac:dyDescent="0.3">
      <c r="A47" s="39"/>
      <c r="B47" s="39"/>
      <c r="C47" s="39"/>
      <c r="D47" s="39"/>
      <c r="E47" s="39"/>
      <c r="F47" s="39"/>
      <c r="G47" s="39"/>
      <c r="H47" s="39"/>
      <c r="I47" s="39"/>
      <c r="J47" s="39"/>
      <c r="K47" s="39"/>
      <c r="L47" s="39"/>
      <c r="M47" s="39"/>
      <c r="N47" s="39" t="s">
        <v>584</v>
      </c>
      <c r="O47" s="39">
        <f t="shared" si="9"/>
        <v>300</v>
      </c>
      <c r="P47" s="39">
        <v>3</v>
      </c>
      <c r="Q47" s="39">
        <v>100</v>
      </c>
      <c r="R47" s="39"/>
    </row>
    <row r="48" spans="1:18" ht="27.95" x14ac:dyDescent="0.3">
      <c r="A48" s="39"/>
      <c r="B48" s="39"/>
      <c r="C48" s="39"/>
      <c r="D48" s="39"/>
      <c r="E48" s="39"/>
      <c r="F48" s="39"/>
      <c r="G48" s="39"/>
      <c r="H48" s="39"/>
      <c r="I48" s="39"/>
      <c r="J48" s="39"/>
      <c r="K48" s="39"/>
      <c r="L48" s="39"/>
      <c r="M48" s="39"/>
      <c r="N48" s="39" t="s">
        <v>585</v>
      </c>
      <c r="O48" s="39">
        <f t="shared" si="9"/>
        <v>600</v>
      </c>
      <c r="P48" s="39">
        <v>2</v>
      </c>
      <c r="Q48" s="39">
        <v>300</v>
      </c>
      <c r="R48" s="39"/>
    </row>
    <row r="49" spans="1:18" x14ac:dyDescent="0.3">
      <c r="A49" s="39"/>
      <c r="B49" s="39"/>
      <c r="C49" s="39"/>
      <c r="D49" s="39"/>
      <c r="E49" s="39"/>
      <c r="F49" s="39"/>
      <c r="G49" s="39"/>
      <c r="H49" s="39"/>
      <c r="I49" s="39"/>
      <c r="J49" s="39"/>
      <c r="K49" s="39"/>
      <c r="L49" s="39"/>
      <c r="M49" s="39"/>
      <c r="N49" s="39" t="s">
        <v>586</v>
      </c>
      <c r="O49" s="39">
        <f t="shared" si="9"/>
        <v>0</v>
      </c>
      <c r="P49" s="39">
        <v>0</v>
      </c>
      <c r="Q49" s="39">
        <v>700</v>
      </c>
      <c r="R49" s="39"/>
    </row>
    <row r="50" spans="1:18" x14ac:dyDescent="0.3">
      <c r="A50" s="39"/>
      <c r="B50" s="39"/>
      <c r="C50" s="39"/>
      <c r="D50" s="39"/>
      <c r="E50" s="39"/>
      <c r="F50" s="39"/>
      <c r="G50" s="39"/>
      <c r="H50" s="39"/>
      <c r="I50" s="39"/>
      <c r="J50" s="39"/>
      <c r="K50" s="39"/>
      <c r="L50" s="39"/>
      <c r="M50" s="39"/>
      <c r="N50" s="39" t="s">
        <v>587</v>
      </c>
      <c r="O50" s="39">
        <f t="shared" si="9"/>
        <v>1500</v>
      </c>
      <c r="P50" s="39">
        <v>5</v>
      </c>
      <c r="Q50" s="39">
        <v>300</v>
      </c>
      <c r="R50" s="39"/>
    </row>
    <row r="51" spans="1:18" x14ac:dyDescent="0.3">
      <c r="A51" s="39"/>
      <c r="B51" s="39"/>
      <c r="C51" s="39"/>
      <c r="D51" s="39"/>
      <c r="E51" s="39"/>
      <c r="F51" s="39"/>
      <c r="G51" s="39"/>
      <c r="H51" s="39"/>
      <c r="I51" s="39"/>
      <c r="J51" s="39"/>
      <c r="K51" s="39"/>
      <c r="L51" s="39"/>
      <c r="M51" s="39"/>
      <c r="N51" s="39" t="s">
        <v>554</v>
      </c>
      <c r="O51" s="39">
        <f t="shared" si="9"/>
        <v>900</v>
      </c>
      <c r="P51" s="39">
        <v>5</v>
      </c>
      <c r="Q51" s="39">
        <v>180</v>
      </c>
      <c r="R51" s="39"/>
    </row>
    <row r="52" spans="1:18" ht="27.95" x14ac:dyDescent="0.3">
      <c r="A52" s="39"/>
      <c r="B52" s="39"/>
      <c r="C52" s="39"/>
      <c r="D52" s="39"/>
      <c r="E52" s="39"/>
      <c r="F52" s="39"/>
      <c r="G52" s="39"/>
      <c r="H52" s="39"/>
      <c r="I52" s="39"/>
      <c r="J52" s="39"/>
      <c r="K52" s="39"/>
      <c r="L52" s="39"/>
      <c r="M52" s="39"/>
      <c r="N52" s="39" t="s">
        <v>588</v>
      </c>
      <c r="O52" s="39">
        <f t="shared" si="9"/>
        <v>200</v>
      </c>
      <c r="P52" s="39">
        <v>2</v>
      </c>
      <c r="Q52" s="39">
        <v>100</v>
      </c>
      <c r="R52" s="39"/>
    </row>
    <row r="53" spans="1:18" ht="27.95" x14ac:dyDescent="0.3">
      <c r="A53" s="39"/>
      <c r="B53" s="39"/>
      <c r="C53" s="39"/>
      <c r="D53" s="39"/>
      <c r="E53" s="39"/>
      <c r="F53" s="39"/>
      <c r="G53" s="39"/>
      <c r="H53" s="39"/>
      <c r="I53" s="39"/>
      <c r="J53" s="39"/>
      <c r="K53" s="39"/>
      <c r="L53" s="39"/>
      <c r="M53" s="39"/>
      <c r="N53" s="39" t="s">
        <v>589</v>
      </c>
      <c r="O53" s="39">
        <f t="shared" si="9"/>
        <v>80</v>
      </c>
      <c r="P53" s="39">
        <v>1</v>
      </c>
      <c r="Q53" s="39">
        <v>80</v>
      </c>
      <c r="R53" s="39"/>
    </row>
    <row r="54" spans="1:18" ht="41.95" x14ac:dyDescent="0.3">
      <c r="A54" s="39"/>
      <c r="B54" s="39"/>
      <c r="C54" s="39"/>
      <c r="D54" s="39"/>
      <c r="E54" s="39"/>
      <c r="F54" s="39"/>
      <c r="G54" s="39"/>
      <c r="H54" s="39"/>
      <c r="I54" s="39"/>
      <c r="J54" s="39"/>
      <c r="K54" s="39"/>
      <c r="L54" s="39"/>
      <c r="M54" s="39"/>
      <c r="N54" s="39" t="s">
        <v>590</v>
      </c>
      <c r="O54" s="39">
        <f t="shared" si="9"/>
        <v>0</v>
      </c>
      <c r="P54" s="39">
        <v>0</v>
      </c>
      <c r="Q54" s="39">
        <v>450</v>
      </c>
      <c r="R54" s="39"/>
    </row>
    <row r="55" spans="1:18" ht="41.95" x14ac:dyDescent="0.3">
      <c r="A55" s="39"/>
      <c r="B55" s="39"/>
      <c r="C55" s="39"/>
      <c r="D55" s="39"/>
      <c r="E55" s="39"/>
      <c r="F55" s="39"/>
      <c r="G55" s="39"/>
      <c r="H55" s="39"/>
      <c r="I55" s="39"/>
      <c r="J55" s="39"/>
      <c r="K55" s="39"/>
      <c r="L55" s="39"/>
      <c r="M55" s="39"/>
      <c r="N55" s="39" t="s">
        <v>591</v>
      </c>
      <c r="O55" s="39">
        <f t="shared" si="9"/>
        <v>0</v>
      </c>
      <c r="P55" s="39">
        <v>0</v>
      </c>
      <c r="Q55" s="39">
        <v>550</v>
      </c>
      <c r="R55" s="39"/>
    </row>
    <row r="56" spans="1:18" ht="27.95" x14ac:dyDescent="0.3">
      <c r="A56" s="39"/>
      <c r="B56" s="39"/>
      <c r="C56" s="39"/>
      <c r="D56" s="39"/>
      <c r="E56" s="39"/>
      <c r="F56" s="39"/>
      <c r="G56" s="39"/>
      <c r="H56" s="39"/>
      <c r="I56" s="39"/>
      <c r="J56" s="39"/>
      <c r="K56" s="39"/>
      <c r="L56" s="39"/>
      <c r="M56" s="39"/>
      <c r="N56" s="39" t="s">
        <v>592</v>
      </c>
      <c r="O56" s="39">
        <f t="shared" si="9"/>
        <v>0</v>
      </c>
      <c r="P56" s="39">
        <v>0</v>
      </c>
      <c r="Q56" s="39">
        <v>200</v>
      </c>
      <c r="R56" s="39"/>
    </row>
    <row r="57" spans="1:18" ht="27.95" x14ac:dyDescent="0.3">
      <c r="A57" s="39"/>
      <c r="B57" s="39"/>
      <c r="C57" s="39"/>
      <c r="D57" s="39"/>
      <c r="E57" s="39"/>
      <c r="F57" s="39"/>
      <c r="G57" s="39"/>
      <c r="H57" s="39"/>
      <c r="I57" s="39"/>
      <c r="J57" s="39"/>
      <c r="K57" s="39"/>
      <c r="L57" s="39"/>
      <c r="M57" s="39"/>
      <c r="N57" s="39" t="s">
        <v>593</v>
      </c>
      <c r="O57" s="39">
        <f t="shared" si="9"/>
        <v>0</v>
      </c>
      <c r="P57" s="39">
        <v>0</v>
      </c>
      <c r="Q57" s="39">
        <v>600</v>
      </c>
      <c r="R57" s="39"/>
    </row>
    <row r="58" spans="1:18" x14ac:dyDescent="0.3">
      <c r="A58" s="39"/>
      <c r="B58" s="39"/>
      <c r="C58" s="39"/>
      <c r="D58" s="39"/>
      <c r="E58" s="39"/>
      <c r="F58" s="39"/>
      <c r="G58" s="39"/>
      <c r="H58" s="39"/>
      <c r="I58" s="39"/>
      <c r="J58" s="39"/>
      <c r="K58" s="39"/>
      <c r="L58" s="39"/>
      <c r="M58" s="39"/>
      <c r="N58" s="39" t="s">
        <v>594</v>
      </c>
      <c r="O58" s="39">
        <f t="shared" si="9"/>
        <v>0</v>
      </c>
      <c r="P58" s="39">
        <v>0</v>
      </c>
      <c r="Q58" s="39">
        <v>300</v>
      </c>
      <c r="R58" s="39"/>
    </row>
    <row r="59" spans="1:18" ht="27.95" x14ac:dyDescent="0.3">
      <c r="A59" s="39"/>
      <c r="B59" s="39"/>
      <c r="C59" s="39"/>
      <c r="D59" s="39"/>
      <c r="E59" s="39"/>
      <c r="F59" s="39"/>
      <c r="G59" s="39"/>
      <c r="H59" s="80">
        <f>(1038*25)/30</f>
        <v>865</v>
      </c>
      <c r="I59" s="39"/>
      <c r="J59" s="39"/>
      <c r="K59" s="39"/>
      <c r="L59" s="39"/>
      <c r="M59" s="39"/>
      <c r="N59" s="39" t="s">
        <v>595</v>
      </c>
      <c r="O59" s="39">
        <f t="shared" si="9"/>
        <v>0</v>
      </c>
      <c r="P59" s="39">
        <v>0</v>
      </c>
      <c r="Q59" s="39">
        <v>600</v>
      </c>
      <c r="R59" s="39"/>
    </row>
    <row r="60" spans="1:18" x14ac:dyDescent="0.3">
      <c r="Q60">
        <f>SUM(Q40:Q59)</f>
        <v>5510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B6699-1631-482D-822B-2030D70C83D8}">
  <dimension ref="A1:AD130"/>
  <sheetViews>
    <sheetView tabSelected="1" zoomScale="60" zoomScaleNormal="60" workbookViewId="0">
      <selection activeCell="U2" sqref="U2"/>
    </sheetView>
  </sheetViews>
  <sheetFormatPr defaultRowHeight="14" x14ac:dyDescent="0.3"/>
  <cols>
    <col min="1" max="1" width="7.296875" customWidth="1"/>
    <col min="3" max="7" width="8.796875" hidden="1" customWidth="1"/>
    <col min="8" max="8" width="7.296875" customWidth="1"/>
    <col min="9" max="9" width="8.796875" hidden="1" customWidth="1"/>
    <col min="10" max="10" width="7.796875" customWidth="1"/>
    <col min="11" max="11" width="144.19921875" hidden="1" customWidth="1"/>
  </cols>
  <sheetData>
    <row r="1" spans="1:30" ht="112.3" customHeight="1" x14ac:dyDescent="0.3">
      <c r="A1" s="1" t="s">
        <v>0</v>
      </c>
      <c r="B1" s="2" t="s">
        <v>1</v>
      </c>
      <c r="C1" s="3" t="s">
        <v>2</v>
      </c>
      <c r="D1" s="4" t="s">
        <v>3</v>
      </c>
      <c r="E1" s="4" t="s">
        <v>4</v>
      </c>
      <c r="F1" s="4" t="s">
        <v>5</v>
      </c>
      <c r="G1" s="4" t="s">
        <v>6</v>
      </c>
      <c r="H1" s="5" t="s">
        <v>7</v>
      </c>
      <c r="I1" s="5" t="s">
        <v>8</v>
      </c>
      <c r="J1" s="2" t="s">
        <v>9</v>
      </c>
      <c r="K1" s="4" t="s">
        <v>10</v>
      </c>
      <c r="L1" s="6" t="s">
        <v>11</v>
      </c>
      <c r="M1" s="6" t="s">
        <v>12</v>
      </c>
      <c r="N1" s="7" t="s">
        <v>13</v>
      </c>
      <c r="O1" s="35" t="s">
        <v>502</v>
      </c>
      <c r="P1" s="35" t="s">
        <v>503</v>
      </c>
      <c r="Q1" s="35" t="s">
        <v>504</v>
      </c>
      <c r="R1" s="35" t="s">
        <v>505</v>
      </c>
      <c r="S1" s="35" t="s">
        <v>506</v>
      </c>
      <c r="T1" s="35" t="s">
        <v>507</v>
      </c>
      <c r="U1" s="35" t="s">
        <v>508</v>
      </c>
      <c r="V1" s="35" t="s">
        <v>509</v>
      </c>
      <c r="W1" s="35" t="s">
        <v>510</v>
      </c>
      <c r="X1" s="35" t="s">
        <v>511</v>
      </c>
      <c r="Y1" s="35" t="s">
        <v>510</v>
      </c>
      <c r="Z1" s="35" t="s">
        <v>512</v>
      </c>
      <c r="AA1" s="35" t="s">
        <v>513</v>
      </c>
      <c r="AB1" s="35" t="s">
        <v>514</v>
      </c>
      <c r="AC1" s="35" t="s">
        <v>515</v>
      </c>
      <c r="AD1" s="35" t="s">
        <v>516</v>
      </c>
    </row>
    <row r="2" spans="1:30" ht="112.3" customHeight="1" x14ac:dyDescent="0.3">
      <c r="A2" s="1">
        <v>1015</v>
      </c>
      <c r="B2" s="8" t="s">
        <v>14</v>
      </c>
      <c r="C2" s="1">
        <v>7892623529</v>
      </c>
      <c r="D2" s="9" t="s">
        <v>15</v>
      </c>
      <c r="E2" s="10" t="s">
        <v>16</v>
      </c>
      <c r="F2" s="10" t="s">
        <v>17</v>
      </c>
      <c r="G2" s="11" t="s">
        <v>18</v>
      </c>
      <c r="H2" s="12">
        <v>1450</v>
      </c>
      <c r="I2" s="12">
        <v>362.5</v>
      </c>
      <c r="J2" s="10" t="s">
        <v>19</v>
      </c>
      <c r="K2" s="10" t="s">
        <v>20</v>
      </c>
      <c r="L2" s="10" t="s">
        <v>21</v>
      </c>
      <c r="M2" s="12"/>
      <c r="N2" s="13" t="s">
        <v>22</v>
      </c>
      <c r="O2" s="34" t="e">
        <f>VLOOKUP(A2,'[1]12-06-26'!$A$2:$T$115,20,0)</f>
        <v>#N/A</v>
      </c>
      <c r="P2" s="34" t="e">
        <f>VLOOKUP(A2,'[1]19-06-26'!$A$2:$T$113,20,0)</f>
        <v>#N/A</v>
      </c>
      <c r="Q2" s="34" t="e">
        <f>VLOOKUP(A2,'[1]26-06-26'!$A$2:$T$121,20,0)</f>
        <v>#N/A</v>
      </c>
      <c r="R2" s="34" t="e">
        <f>VLOOKUP(A2,'[2]03-07-26'!$A$2:$T$124,20,0)</f>
        <v>#N/A</v>
      </c>
      <c r="S2" s="34" t="str">
        <f>VLOOKUP(A2,'[2]10-07-26'!$A$2:$T$138,20,0)</f>
        <v>G n W Car ( 14 Inch ) 16     FF Sachet + Grass</v>
      </c>
      <c r="T2" s="34" t="s">
        <v>531</v>
      </c>
      <c r="U2" s="34">
        <v>4</v>
      </c>
      <c r="V2" s="34"/>
      <c r="W2" s="34"/>
      <c r="X2" s="34"/>
      <c r="Y2" s="34"/>
      <c r="Z2" s="34" t="s">
        <v>539</v>
      </c>
      <c r="AA2" s="34"/>
      <c r="AB2" s="34"/>
      <c r="AC2" s="34"/>
      <c r="AD2" s="34"/>
    </row>
    <row r="3" spans="1:30" ht="112.3" customHeight="1" x14ac:dyDescent="0.3">
      <c r="A3" s="1">
        <v>2801</v>
      </c>
      <c r="B3" s="14" t="s">
        <v>23</v>
      </c>
      <c r="C3" s="1">
        <v>9810130319</v>
      </c>
      <c r="D3" s="1" t="s">
        <v>24</v>
      </c>
      <c r="E3" s="10" t="s">
        <v>25</v>
      </c>
      <c r="F3" s="10" t="s">
        <v>17</v>
      </c>
      <c r="G3" s="10" t="s">
        <v>26</v>
      </c>
      <c r="H3" s="12">
        <v>1600</v>
      </c>
      <c r="I3" s="12">
        <v>200</v>
      </c>
      <c r="J3" s="10" t="s">
        <v>27</v>
      </c>
      <c r="K3" s="10" t="s">
        <v>28</v>
      </c>
      <c r="L3" s="10" t="s">
        <v>29</v>
      </c>
      <c r="M3" s="10" t="s">
        <v>30</v>
      </c>
      <c r="N3" s="13" t="s">
        <v>517</v>
      </c>
      <c r="O3" s="34" t="e">
        <f>VLOOKUP(A3,'[1]12-06-26'!$A$2:$T$115,20,0)</f>
        <v>#N/A</v>
      </c>
      <c r="P3" s="34" t="e">
        <f>VLOOKUP(A3,'[1]19-06-26'!$A$2:$T$113,20,0)</f>
        <v>#N/A</v>
      </c>
      <c r="Q3" s="34" t="e">
        <f>VLOOKUP(A3,'[1]26-06-26'!$A$2:$T$121,20,0)</f>
        <v>#N/A</v>
      </c>
      <c r="R3" s="34" t="str">
        <f>VLOOKUP(A3,'[2]03-07-26'!$A$2:$T$124,20,0)</f>
        <v>Pur n P Car ( 14 Inch ) 7     FF Sachet + Grass</v>
      </c>
      <c r="S3" s="34" t="str">
        <f>VLOOKUP(A3,'[2]10-07-26'!$A$2:$T$138,20,0)</f>
        <v>P n W Glad (14 Inch ) 7     Grass</v>
      </c>
      <c r="T3" s="34" t="s">
        <v>525</v>
      </c>
      <c r="U3" s="34">
        <v>2</v>
      </c>
      <c r="V3" s="34"/>
      <c r="W3" s="34"/>
      <c r="X3" s="34"/>
      <c r="Y3" s="34"/>
      <c r="Z3" s="34" t="s">
        <v>539</v>
      </c>
      <c r="AA3" s="34"/>
      <c r="AB3" s="34"/>
      <c r="AC3" s="34"/>
      <c r="AD3" s="34"/>
    </row>
    <row r="4" spans="1:30" ht="112.3" customHeight="1" x14ac:dyDescent="0.3">
      <c r="A4" s="1">
        <v>2055</v>
      </c>
      <c r="B4" s="14" t="s">
        <v>32</v>
      </c>
      <c r="C4" s="12">
        <v>9871628499</v>
      </c>
      <c r="D4" s="10" t="s">
        <v>33</v>
      </c>
      <c r="E4" s="10" t="s">
        <v>25</v>
      </c>
      <c r="F4" s="10" t="s">
        <v>17</v>
      </c>
      <c r="G4" s="11" t="s">
        <v>34</v>
      </c>
      <c r="H4" s="12">
        <v>1450</v>
      </c>
      <c r="I4" s="12">
        <v>362.5</v>
      </c>
      <c r="J4" s="10" t="s">
        <v>19</v>
      </c>
      <c r="K4" s="10" t="s">
        <v>35</v>
      </c>
      <c r="L4" s="12"/>
      <c r="M4" s="12"/>
      <c r="N4" s="13" t="s">
        <v>36</v>
      </c>
      <c r="O4" s="34" t="e">
        <f>VLOOKUP(A4,'[1]12-06-26'!$A$2:$T$115,20,0)</f>
        <v>#N/A</v>
      </c>
      <c r="P4" s="34" t="e">
        <f>VLOOKUP(A4,'[1]19-06-26'!$A$2:$T$113,20,0)</f>
        <v>#N/A</v>
      </c>
      <c r="Q4" s="34" t="e">
        <f>VLOOKUP(A4,'[1]26-06-26'!$A$2:$T$121,20,0)</f>
        <v>#N/A</v>
      </c>
      <c r="R4" s="34" t="str">
        <f>VLOOKUP(A4,'[2]03-07-26'!$A$2:$T$124,20,0)</f>
        <v>Sunflower ( 12 Inch ) 2 Pur n P Car ( 14 Inch ) 7   FF Sachet + Grass</v>
      </c>
      <c r="S4" s="34" t="str">
        <f>VLOOKUP(A4,'[2]10-07-26'!$A$2:$T$138,20,0)</f>
        <v>P Spray Daisy ( 14 Inch ) 3 P n W Glad ( 14 Inch ) 7   FF Sachet + Grass</v>
      </c>
      <c r="T4" s="34" t="s">
        <v>533</v>
      </c>
      <c r="U4" s="34">
        <v>2</v>
      </c>
      <c r="V4" s="34" t="s">
        <v>536</v>
      </c>
      <c r="W4" s="34">
        <v>7</v>
      </c>
      <c r="X4" s="34"/>
      <c r="Y4" s="34"/>
      <c r="Z4" s="34" t="s">
        <v>538</v>
      </c>
      <c r="AA4" s="34"/>
      <c r="AB4" s="34"/>
      <c r="AC4" s="34"/>
      <c r="AD4" s="34"/>
    </row>
    <row r="5" spans="1:30" ht="112.3" customHeight="1" x14ac:dyDescent="0.3">
      <c r="A5" s="1">
        <v>3050</v>
      </c>
      <c r="B5" s="15" t="s">
        <v>37</v>
      </c>
      <c r="C5" s="12">
        <v>8999727355</v>
      </c>
      <c r="D5" s="10" t="s">
        <v>38</v>
      </c>
      <c r="E5" s="10" t="s">
        <v>16</v>
      </c>
      <c r="F5" s="10" t="s">
        <v>39</v>
      </c>
      <c r="G5" s="11" t="s">
        <v>34</v>
      </c>
      <c r="H5" s="12">
        <v>1600</v>
      </c>
      <c r="I5" s="12">
        <v>200</v>
      </c>
      <c r="J5" s="10" t="s">
        <v>27</v>
      </c>
      <c r="K5" s="10" t="s">
        <v>40</v>
      </c>
      <c r="L5" s="12"/>
      <c r="M5" s="12"/>
      <c r="N5" s="13" t="s">
        <v>518</v>
      </c>
      <c r="O5" s="34" t="str">
        <f>VLOOKUP(A5,'[1]12-06-26'!$A$2:$T$115,20,0)</f>
        <v>B Daisy ( 12 Inch ) 7     Grass</v>
      </c>
      <c r="P5" s="34" t="e">
        <f>VLOOKUP(A5,'[1]19-06-26'!$A$2:$T$113,20,0)</f>
        <v>#N/A</v>
      </c>
      <c r="Q5" s="34" t="e">
        <f>VLOOKUP(A5,'[1]26-06-26'!$A$2:$T$121,20,0)</f>
        <v>#N/A</v>
      </c>
      <c r="R5" s="34" t="str">
        <f>VLOOKUP(A5,'[2]03-07-26'!$A$2:$T$124,20,0)</f>
        <v>Pur n P Car ( 14 Inch ) 7     FF Sachet + Grass</v>
      </c>
      <c r="S5" s="34" t="str">
        <f>VLOOKUP(A5,'[2]10-07-26'!$A$2:$T$138,20,0)</f>
        <v>Sunflower ( 12 Inch) 2     FF Sachet + Grass</v>
      </c>
      <c r="T5" s="34" t="s">
        <v>526</v>
      </c>
      <c r="U5" s="34">
        <v>7</v>
      </c>
      <c r="V5" s="34"/>
      <c r="W5" s="34"/>
      <c r="X5" s="34"/>
      <c r="Y5" s="34"/>
      <c r="Z5" s="34" t="s">
        <v>538</v>
      </c>
      <c r="AA5" s="34"/>
      <c r="AB5" s="34"/>
      <c r="AC5" s="34"/>
      <c r="AD5" s="34"/>
    </row>
    <row r="6" spans="1:30" ht="112.3" customHeight="1" x14ac:dyDescent="0.3">
      <c r="A6" s="1">
        <v>196</v>
      </c>
      <c r="B6" s="14" t="s">
        <v>41</v>
      </c>
      <c r="C6" s="12">
        <v>9999113554</v>
      </c>
      <c r="D6" s="10" t="s">
        <v>42</v>
      </c>
      <c r="E6" s="10" t="s">
        <v>43</v>
      </c>
      <c r="F6" s="9" t="s">
        <v>17</v>
      </c>
      <c r="G6" s="11" t="s">
        <v>34</v>
      </c>
      <c r="H6" s="12">
        <v>3960</v>
      </c>
      <c r="I6" s="12">
        <v>990</v>
      </c>
      <c r="J6" s="12" t="s">
        <v>44</v>
      </c>
      <c r="K6" s="9" t="s">
        <v>45</v>
      </c>
      <c r="L6" s="10"/>
      <c r="M6" s="10"/>
      <c r="N6" s="13" t="s">
        <v>31</v>
      </c>
      <c r="O6" s="34" t="str">
        <f>VLOOKUP(A6,'[1]12-06-26'!$A$2:$T$115,20,0)</f>
        <v>W Asiatic ( 14 inch ) 8     2 Gypsola</v>
      </c>
      <c r="P6" s="34" t="e">
        <f>VLOOKUP(A6,'[1]19-06-26'!$A$2:$T$113,20,0)</f>
        <v>#N/A</v>
      </c>
      <c r="Q6" s="34" t="e">
        <f>VLOOKUP(A6,'[1]26-06-26'!$A$2:$T$121,20,0)</f>
        <v>#N/A</v>
      </c>
      <c r="R6" s="34" t="str">
        <f>VLOOKUP(A6,'[2]03-07-26'!$A$2:$T$124,20,0)</f>
        <v>O Asiatic ( 14 Inch ) 8     2 Limonium</v>
      </c>
      <c r="S6" s="34" t="str">
        <f>VLOOKUP(A6,'[2]10-07-26'!$A$2:$T$138,20,0)</f>
        <v xml:space="preserve">Y Asiatic ( 14 Inch ) 8     2 Gypsola </v>
      </c>
      <c r="T6" s="34" t="s">
        <v>533</v>
      </c>
      <c r="U6" s="34">
        <v>8</v>
      </c>
      <c r="V6" s="34"/>
      <c r="W6" s="34"/>
      <c r="X6" s="34"/>
      <c r="Y6" s="34"/>
      <c r="Z6" s="34" t="s">
        <v>538</v>
      </c>
      <c r="AA6" s="34"/>
      <c r="AB6" s="34"/>
      <c r="AC6" s="34"/>
      <c r="AD6" s="34"/>
    </row>
    <row r="7" spans="1:30" ht="112.3" customHeight="1" x14ac:dyDescent="0.3">
      <c r="A7" s="1">
        <v>1162</v>
      </c>
      <c r="B7" s="15" t="s">
        <v>47</v>
      </c>
      <c r="C7" s="1">
        <v>9811090968</v>
      </c>
      <c r="D7" s="9" t="s">
        <v>48</v>
      </c>
      <c r="E7" s="10" t="s">
        <v>25</v>
      </c>
      <c r="F7" s="10" t="s">
        <v>17</v>
      </c>
      <c r="G7" s="11" t="s">
        <v>34</v>
      </c>
      <c r="H7" s="12">
        <v>1450</v>
      </c>
      <c r="I7" s="12">
        <v>362.5</v>
      </c>
      <c r="J7" s="10" t="s">
        <v>19</v>
      </c>
      <c r="K7" s="10" t="s">
        <v>49</v>
      </c>
      <c r="L7" s="10" t="s">
        <v>50</v>
      </c>
      <c r="M7" s="12"/>
      <c r="N7" s="13" t="s">
        <v>36</v>
      </c>
      <c r="O7" s="34" t="e">
        <f>VLOOKUP(A7,'[1]12-06-26'!$A$2:$T$115,20,0)</f>
        <v>#N/A</v>
      </c>
      <c r="P7" s="34" t="str">
        <f>VLOOKUP(A7,'[1]19-06-26'!$A$2:$T$113,20,0)</f>
        <v xml:space="preserve">P n W Glad ( 14 Inch ) 16    Grass </v>
      </c>
      <c r="Q7" s="34" t="e">
        <f>VLOOKUP(A7,'[1]26-06-26'!$A$2:$T$121,20,0)</f>
        <v>#N/A</v>
      </c>
      <c r="R7" s="34" t="e">
        <f>VLOOKUP(A7,'[2]03-07-26'!$A$2:$T$124,20,0)</f>
        <v>#N/A</v>
      </c>
      <c r="S7" s="34" t="str">
        <f>VLOOKUP(A7,'[2]10-07-26'!$A$2:$T$138,20,0)</f>
        <v>G n W Car ( 14 Inch ) 16     FF Sachet + Grass</v>
      </c>
      <c r="T7" s="34" t="s">
        <v>608</v>
      </c>
      <c r="U7" s="34">
        <v>3</v>
      </c>
      <c r="V7" s="34"/>
      <c r="W7" s="34"/>
      <c r="X7" s="34"/>
      <c r="Y7" s="34"/>
      <c r="Z7" s="34" t="s">
        <v>538</v>
      </c>
      <c r="AA7" s="34"/>
      <c r="AB7" s="34"/>
      <c r="AC7" s="34"/>
      <c r="AD7" s="34"/>
    </row>
    <row r="8" spans="1:30" ht="112.3" customHeight="1" x14ac:dyDescent="0.3">
      <c r="A8" s="1">
        <v>2519</v>
      </c>
      <c r="B8" s="14" t="s">
        <v>51</v>
      </c>
      <c r="C8" s="14">
        <v>9972167341</v>
      </c>
      <c r="D8" s="10" t="s">
        <v>52</v>
      </c>
      <c r="E8" s="10" t="s">
        <v>25</v>
      </c>
      <c r="F8" s="10" t="s">
        <v>17</v>
      </c>
      <c r="G8" s="17" t="s">
        <v>53</v>
      </c>
      <c r="H8" s="12">
        <v>1450</v>
      </c>
      <c r="I8" s="12">
        <v>362.5</v>
      </c>
      <c r="J8" s="10" t="s">
        <v>19</v>
      </c>
      <c r="K8" s="10" t="s">
        <v>54</v>
      </c>
      <c r="L8" s="12"/>
      <c r="M8" s="12"/>
      <c r="N8" s="13" t="s">
        <v>31</v>
      </c>
      <c r="O8" s="34" t="e">
        <f>VLOOKUP(A8,'[1]12-06-26'!$A$2:$T$115,20,0)</f>
        <v>#N/A</v>
      </c>
      <c r="P8" s="34" t="e">
        <f>VLOOKUP(A8,'[1]19-06-26'!$A$2:$T$113,20,0)</f>
        <v>#N/A</v>
      </c>
      <c r="Q8" s="34" t="e">
        <f>VLOOKUP(A8,'[1]26-06-26'!$A$2:$T$121,20,0)</f>
        <v>#N/A</v>
      </c>
      <c r="R8" s="34" t="str">
        <f>VLOOKUP(A8,'[2]03-07-26'!$A$2:$T$124,20,0)</f>
        <v>Sunflower ( 12 Inch ) 2 Pur n P Car ( 14 Inch ) 7   FF Sachet + Grass</v>
      </c>
      <c r="S8" s="34" t="str">
        <f>VLOOKUP(A8,'[2]10-07-26'!$A$2:$T$138,20,0)</f>
        <v>O Asiatic ( 14 Inch ) 2 Rajni ( 14 Inch ) 7   Grass</v>
      </c>
      <c r="T8" s="34" t="s">
        <v>529</v>
      </c>
      <c r="U8" s="34">
        <v>3</v>
      </c>
      <c r="V8" s="34" t="s">
        <v>526</v>
      </c>
      <c r="W8" s="34">
        <v>7</v>
      </c>
      <c r="X8" s="34"/>
      <c r="Y8" s="34"/>
      <c r="Z8" s="34" t="s">
        <v>539</v>
      </c>
      <c r="AA8" s="34"/>
      <c r="AB8" s="34"/>
      <c r="AC8" s="34"/>
      <c r="AD8" s="34"/>
    </row>
    <row r="9" spans="1:30" ht="112.3" customHeight="1" x14ac:dyDescent="0.3">
      <c r="A9" s="1">
        <v>3120</v>
      </c>
      <c r="B9" s="14" t="s">
        <v>55</v>
      </c>
      <c r="C9" s="12">
        <v>9953670482</v>
      </c>
      <c r="D9" s="10" t="s">
        <v>56</v>
      </c>
      <c r="E9" s="10" t="s">
        <v>25</v>
      </c>
      <c r="F9" s="10" t="s">
        <v>17</v>
      </c>
      <c r="G9" s="10" t="s">
        <v>18</v>
      </c>
      <c r="H9" s="12">
        <v>2750</v>
      </c>
      <c r="I9" s="12">
        <v>687.5</v>
      </c>
      <c r="J9" s="10" t="s">
        <v>57</v>
      </c>
      <c r="K9" s="10" t="s">
        <v>58</v>
      </c>
      <c r="L9" s="10" t="s">
        <v>59</v>
      </c>
      <c r="M9" s="12"/>
      <c r="N9" s="13" t="s">
        <v>22</v>
      </c>
      <c r="O9" s="34" t="e">
        <f>VLOOKUP(A9,'[1]12-06-26'!$A$2:$T$115,20,0)</f>
        <v>#N/A</v>
      </c>
      <c r="P9" s="34" t="e">
        <f>VLOOKUP(A9,'[1]19-06-26'!$A$2:$T$113,20,0)</f>
        <v>#N/A</v>
      </c>
      <c r="Q9" s="34" t="e">
        <f>VLOOKUP(A9,'[1]26-06-26'!$A$2:$T$121,20,0)</f>
        <v>#N/A</v>
      </c>
      <c r="R9" s="34" t="str">
        <f>VLOOKUP(A9,'[2]03-07-26'!$A$2:$T$124,20,0)</f>
        <v>Sunflower ( 12 Inch ) 4 Pur n P Car ( 14 Inch ) 16   FF Sachet + Grass</v>
      </c>
      <c r="S9" s="34" t="e">
        <f>VLOOKUP(A9,'[2]10-07-26'!$A$2:$T$138,20,0)</f>
        <v>#N/A</v>
      </c>
      <c r="T9" s="34" t="s">
        <v>608</v>
      </c>
      <c r="U9" s="34">
        <v>3</v>
      </c>
      <c r="V9" s="34" t="s">
        <v>546</v>
      </c>
      <c r="W9" s="34">
        <v>16</v>
      </c>
      <c r="X9" s="34"/>
      <c r="Y9" s="34"/>
      <c r="Z9" s="34" t="s">
        <v>548</v>
      </c>
      <c r="AA9" s="34"/>
      <c r="AB9" s="34"/>
      <c r="AC9" s="34"/>
      <c r="AD9" s="34"/>
    </row>
    <row r="10" spans="1:30" ht="112.3" customHeight="1" x14ac:dyDescent="0.3">
      <c r="A10" s="1">
        <v>2978</v>
      </c>
      <c r="B10" s="14" t="s">
        <v>60</v>
      </c>
      <c r="C10" s="12">
        <v>9050551471</v>
      </c>
      <c r="D10" s="10" t="s">
        <v>61</v>
      </c>
      <c r="E10" s="10" t="s">
        <v>62</v>
      </c>
      <c r="F10" s="10" t="s">
        <v>17</v>
      </c>
      <c r="G10" s="18" t="s">
        <v>53</v>
      </c>
      <c r="H10" s="12">
        <v>999</v>
      </c>
      <c r="I10" s="12">
        <v>249.75</v>
      </c>
      <c r="J10" s="9" t="s">
        <v>46</v>
      </c>
      <c r="K10" s="10" t="s">
        <v>63</v>
      </c>
      <c r="L10" s="12"/>
      <c r="M10" s="12"/>
      <c r="N10" s="13" t="s">
        <v>64</v>
      </c>
      <c r="O10" s="34" t="e">
        <f>VLOOKUP(A10,'[1]12-06-26'!$A$2:$T$115,20,0)</f>
        <v>#N/A</v>
      </c>
      <c r="P10" s="34" t="e">
        <f>VLOOKUP(A10,'[1]19-06-26'!$A$2:$T$113,20,0)</f>
        <v>#N/A</v>
      </c>
      <c r="Q10" s="34" t="e">
        <f>VLOOKUP(A10,'[1]26-06-26'!$A$2:$T$121,20,0)</f>
        <v>#N/A</v>
      </c>
      <c r="R10" s="34" t="e">
        <f>VLOOKUP(A10,'[2]03-07-26'!$A$2:$T$124,20,0)</f>
        <v>#N/A</v>
      </c>
      <c r="S10" s="34" t="str">
        <f>VLOOKUP(A10,'[2]10-07-26'!$A$2:$T$138,20,0)</f>
        <v>G n W Car ( 14 Inch ) 9     FF Sachet + Grass</v>
      </c>
      <c r="T10" s="34" t="s">
        <v>531</v>
      </c>
      <c r="U10" s="34">
        <v>2</v>
      </c>
      <c r="V10" s="34"/>
      <c r="W10" s="34"/>
      <c r="X10" s="34"/>
      <c r="Y10" s="34"/>
      <c r="Z10" s="34" t="s">
        <v>539</v>
      </c>
      <c r="AA10" s="34"/>
      <c r="AB10" s="34"/>
      <c r="AC10" s="34"/>
      <c r="AD10" s="34"/>
    </row>
    <row r="11" spans="1:30" ht="112.3" customHeight="1" x14ac:dyDescent="0.3">
      <c r="A11" s="1">
        <v>3290</v>
      </c>
      <c r="B11" s="14" t="s">
        <v>65</v>
      </c>
      <c r="C11" s="12">
        <v>8789906098</v>
      </c>
      <c r="D11" s="10" t="s">
        <v>66</v>
      </c>
      <c r="E11" s="10" t="s">
        <v>25</v>
      </c>
      <c r="F11" s="10" t="s">
        <v>17</v>
      </c>
      <c r="G11" s="11" t="s">
        <v>34</v>
      </c>
      <c r="H11" s="12">
        <v>1450</v>
      </c>
      <c r="I11" s="12">
        <v>362.5</v>
      </c>
      <c r="J11" s="10" t="s">
        <v>19</v>
      </c>
      <c r="K11" s="10" t="s">
        <v>67</v>
      </c>
      <c r="L11" s="12"/>
      <c r="M11" s="12"/>
      <c r="N11" s="13" t="s">
        <v>36</v>
      </c>
      <c r="O11" s="34" t="str">
        <f>VLOOKUP(A11,'[1]12-06-26'!$A$2:$T$115,20,0)</f>
        <v>P n W Glad ( 14 Inch ) 16     Grass</v>
      </c>
      <c r="P11" s="34" t="str">
        <f>VLOOKUP(A11,'[1]19-06-26'!$A$2:$T$113,20,0)</f>
        <v xml:space="preserve">O Asiatic ( 14 Inch ) 3    Grass </v>
      </c>
      <c r="Q11" s="34" t="e">
        <f>VLOOKUP(A11,'[1]26-06-26'!$A$2:$T$121,20,0)</f>
        <v>#N/A</v>
      </c>
      <c r="R11" s="34" t="e">
        <f>VLOOKUP(A11,'[2]03-07-26'!$A$2:$T$124,20,0)</f>
        <v>#N/A</v>
      </c>
      <c r="S11" s="34" t="str">
        <f>VLOOKUP(A11,'[2]10-07-26'!$A$2:$T$138,20,0)</f>
        <v>G n W Car ( 14 Inch ) 16     FF Sachet + Grass</v>
      </c>
      <c r="T11" s="34" t="s">
        <v>543</v>
      </c>
      <c r="U11" s="34">
        <v>5</v>
      </c>
      <c r="V11" s="34"/>
      <c r="W11" s="34"/>
      <c r="X11" s="34"/>
      <c r="Y11" s="34"/>
      <c r="Z11" s="34" t="s">
        <v>539</v>
      </c>
      <c r="AA11" s="34"/>
      <c r="AB11" s="34"/>
      <c r="AC11" s="34"/>
      <c r="AD11" s="34"/>
    </row>
    <row r="12" spans="1:30" ht="112.3" customHeight="1" x14ac:dyDescent="0.3">
      <c r="A12" s="1">
        <v>1899</v>
      </c>
      <c r="B12" s="14" t="s">
        <v>68</v>
      </c>
      <c r="C12" s="12">
        <v>9811227080</v>
      </c>
      <c r="D12" s="10" t="s">
        <v>69</v>
      </c>
      <c r="E12" s="10" t="s">
        <v>43</v>
      </c>
      <c r="F12" s="10" t="s">
        <v>17</v>
      </c>
      <c r="G12" s="11" t="s">
        <v>34</v>
      </c>
      <c r="H12" s="10">
        <v>4850</v>
      </c>
      <c r="I12" s="12">
        <v>606.25</v>
      </c>
      <c r="J12" s="19" t="s">
        <v>70</v>
      </c>
      <c r="K12" s="10" t="s">
        <v>71</v>
      </c>
      <c r="L12" s="12"/>
      <c r="M12" s="12"/>
      <c r="N12" s="13" t="s">
        <v>519</v>
      </c>
      <c r="O12" s="34" t="str">
        <f>VLOOKUP(A12,'[1]12-06-26'!$A$2:$T$115,20,0)</f>
        <v>Y Asiatic ( 14 Inch ) 6     Grass</v>
      </c>
      <c r="P12" s="34" t="e">
        <f>VLOOKUP(A12,'[1]19-06-26'!$A$2:$T$113,20,0)</f>
        <v>#N/A</v>
      </c>
      <c r="Q12" s="34" t="e">
        <f>VLOOKUP(A12,'[1]26-06-26'!$A$2:$T$121,20,0)</f>
        <v>#N/A</v>
      </c>
      <c r="R12" s="34" t="str">
        <f>VLOOKUP(A12,'[2]03-07-26'!$A$2:$T$124,20,0)</f>
        <v>P n W Glad ( 14 Inch ) 26     Grass</v>
      </c>
      <c r="S12" s="34" t="str">
        <f>VLOOKUP(A12,'[2]10-07-26'!$A$2:$T$138,20,0)</f>
        <v>Rajni ( 14 Inch ) 26     Grass</v>
      </c>
      <c r="T12" s="34" t="s">
        <v>527</v>
      </c>
      <c r="U12" s="34">
        <v>9</v>
      </c>
      <c r="V12" s="34"/>
      <c r="W12" s="34"/>
      <c r="X12" s="34"/>
      <c r="Y12" s="34"/>
      <c r="Z12" s="34" t="s">
        <v>539</v>
      </c>
      <c r="AA12" s="34"/>
      <c r="AB12" s="34"/>
      <c r="AC12" s="34"/>
      <c r="AD12" s="34"/>
    </row>
    <row r="13" spans="1:30" ht="112.3" customHeight="1" x14ac:dyDescent="0.3">
      <c r="A13" s="1">
        <v>3357</v>
      </c>
      <c r="B13" s="14" t="s">
        <v>72</v>
      </c>
      <c r="C13" s="12">
        <v>9958582708</v>
      </c>
      <c r="D13" s="10" t="s">
        <v>73</v>
      </c>
      <c r="E13" s="10" t="s">
        <v>74</v>
      </c>
      <c r="F13" s="10" t="s">
        <v>17</v>
      </c>
      <c r="G13" s="17" t="s">
        <v>53</v>
      </c>
      <c r="H13" s="12">
        <v>1450</v>
      </c>
      <c r="I13" s="12">
        <v>362.5</v>
      </c>
      <c r="J13" s="9" t="s">
        <v>19</v>
      </c>
      <c r="K13" s="10" t="s">
        <v>75</v>
      </c>
      <c r="L13" s="12"/>
      <c r="M13" s="12"/>
      <c r="N13" s="13" t="s">
        <v>76</v>
      </c>
      <c r="O13" s="34" t="str">
        <f>VLOOKUP(A13,'[1]12-06-26'!$A$2:$T$115,20,0)</f>
        <v>Mix Alstroemeria ( 12 Inch ) 16     FF Sachet + Grass</v>
      </c>
      <c r="P13" s="34" t="str">
        <f>VLOOKUP(A13,'[1]19-06-26'!$A$2:$T$113,20,0)</f>
        <v xml:space="preserve">P Eustoma ( 12 Inch ) 3    FF Sachet + Grass </v>
      </c>
      <c r="Q13" s="34" t="str">
        <f>VLOOKUP(A13,'[1]26-06-26'!$A$2:$T$121,20,0)</f>
        <v>Pur n P Car ( 14 Inch ) 16     FF sachet + Grass</v>
      </c>
      <c r="R13" s="34" t="e">
        <f>VLOOKUP(A13,'[2]03-07-26'!$A$2:$T$124,20,0)</f>
        <v>#N/A</v>
      </c>
      <c r="S13" s="34" t="str">
        <f>VLOOKUP(A13,'[2]10-07-26'!$A$2:$T$138,20,0)</f>
        <v>Rajni ( 14 Inch ) 16     Grass</v>
      </c>
      <c r="T13" s="34" t="s">
        <v>608</v>
      </c>
      <c r="U13" s="34">
        <v>3</v>
      </c>
      <c r="V13" s="34"/>
      <c r="W13" s="34"/>
      <c r="X13" s="34"/>
      <c r="Y13" s="34"/>
      <c r="Z13" s="34" t="s">
        <v>538</v>
      </c>
      <c r="AA13" s="34"/>
      <c r="AB13" s="34"/>
      <c r="AC13" s="34"/>
      <c r="AD13" s="34"/>
    </row>
    <row r="14" spans="1:30" ht="112.3" customHeight="1" x14ac:dyDescent="0.3">
      <c r="A14" s="1">
        <v>3338</v>
      </c>
      <c r="B14" s="20" t="s">
        <v>77</v>
      </c>
      <c r="C14" s="12">
        <v>9871797835</v>
      </c>
      <c r="D14" s="10" t="s">
        <v>78</v>
      </c>
      <c r="E14" s="10" t="s">
        <v>25</v>
      </c>
      <c r="F14" s="10" t="s">
        <v>17</v>
      </c>
      <c r="G14" s="17" t="s">
        <v>53</v>
      </c>
      <c r="H14" s="12">
        <v>1450</v>
      </c>
      <c r="I14" s="12">
        <v>362.5</v>
      </c>
      <c r="J14" s="9" t="s">
        <v>19</v>
      </c>
      <c r="K14" s="10" t="s">
        <v>79</v>
      </c>
      <c r="L14" s="12"/>
      <c r="M14" s="12"/>
      <c r="N14" s="13" t="s">
        <v>36</v>
      </c>
      <c r="O14" s="34" t="str">
        <f>VLOOKUP(A14,'[1]12-06-26'!$A$2:$T$115,20,0)</f>
        <v>P n W Spray Daisy ( 14 Inch ) 5     FF Sachet + Grass</v>
      </c>
      <c r="P14" s="34" t="e">
        <f>VLOOKUP(A14,'[1]19-06-26'!$A$2:$T$113,20,0)</f>
        <v>#N/A</v>
      </c>
      <c r="Q14" s="34" t="str">
        <f>VLOOKUP(A14,'[1]26-06-26'!$A$2:$T$121,20,0)</f>
        <v>P n W Glad ( 14 Inch ) 16     Grass</v>
      </c>
      <c r="R14" s="34" t="str">
        <f>VLOOKUP(A14,'[2]03-07-26'!$A$2:$T$124,20,0)</f>
        <v>Sunflower ( 12 Inch ) 4     FF Sachet + Grass</v>
      </c>
      <c r="S14" s="34" t="str">
        <f>VLOOKUP(A14,'[2]10-07-26'!$A$2:$T$138,20,0)</f>
        <v>G n W Car ( 14 Inch ) 16     FF Sachet + Grass</v>
      </c>
      <c r="T14" s="34" t="s">
        <v>608</v>
      </c>
      <c r="U14" s="34">
        <v>3</v>
      </c>
      <c r="V14" s="34"/>
      <c r="W14" s="34"/>
      <c r="X14" s="34"/>
      <c r="Y14" s="34"/>
      <c r="Z14" s="34" t="s">
        <v>538</v>
      </c>
      <c r="AA14" s="34"/>
      <c r="AB14" s="34"/>
      <c r="AC14" s="34"/>
      <c r="AD14" s="34"/>
    </row>
    <row r="15" spans="1:30" ht="112.3" customHeight="1" x14ac:dyDescent="0.3">
      <c r="A15" s="9">
        <v>894</v>
      </c>
      <c r="B15" s="21" t="s">
        <v>80</v>
      </c>
      <c r="C15" s="22" t="s">
        <v>81</v>
      </c>
      <c r="D15" s="22" t="s">
        <v>82</v>
      </c>
      <c r="E15" s="9" t="s">
        <v>83</v>
      </c>
      <c r="F15" s="9" t="s">
        <v>84</v>
      </c>
      <c r="G15" s="11" t="s">
        <v>34</v>
      </c>
      <c r="H15" s="12">
        <v>3000</v>
      </c>
      <c r="I15" s="12">
        <v>375</v>
      </c>
      <c r="J15" s="10" t="s">
        <v>85</v>
      </c>
      <c r="K15" s="9" t="s">
        <v>86</v>
      </c>
      <c r="L15" s="10" t="s">
        <v>87</v>
      </c>
      <c r="M15" s="12"/>
      <c r="N15" s="13" t="s">
        <v>520</v>
      </c>
      <c r="O15" s="34" t="e">
        <f>VLOOKUP(A15,'[1]12-06-26'!$A$2:$T$115,20,0)</f>
        <v>#N/A</v>
      </c>
      <c r="P15" s="34" t="e">
        <f>VLOOKUP(A15,'[1]19-06-26'!$A$2:$T$113,20,0)</f>
        <v>#N/A</v>
      </c>
      <c r="Q15" s="34" t="e">
        <f>VLOOKUP(A15,'[1]26-06-26'!$A$2:$T$121,20,0)</f>
        <v>#N/A</v>
      </c>
      <c r="R15" s="34" t="e">
        <f>VLOOKUP(A15,'[2]03-07-26'!$A$2:$T$124,20,0)</f>
        <v>#N/A</v>
      </c>
      <c r="S15" s="34" t="e">
        <f>VLOOKUP(A15,'[2]10-07-26'!$A$2:$T$138,20,0)</f>
        <v>#N/A</v>
      </c>
      <c r="T15" s="34" t="s">
        <v>528</v>
      </c>
      <c r="U15" s="34">
        <v>15</v>
      </c>
      <c r="V15" s="34"/>
      <c r="W15" s="34"/>
      <c r="X15" s="34"/>
      <c r="Y15" s="34"/>
      <c r="Z15" s="34" t="s">
        <v>539</v>
      </c>
      <c r="AA15" s="34"/>
      <c r="AB15" s="34"/>
      <c r="AC15" s="34"/>
      <c r="AD15" s="34"/>
    </row>
    <row r="16" spans="1:30" ht="112.3" customHeight="1" x14ac:dyDescent="0.3">
      <c r="A16" s="1">
        <v>2991</v>
      </c>
      <c r="B16" s="14" t="s">
        <v>88</v>
      </c>
      <c r="C16" s="12">
        <v>9818648787</v>
      </c>
      <c r="D16" s="10" t="s">
        <v>89</v>
      </c>
      <c r="E16" s="10" t="s">
        <v>25</v>
      </c>
      <c r="F16" s="10" t="s">
        <v>17</v>
      </c>
      <c r="G16" s="11" t="s">
        <v>34</v>
      </c>
      <c r="H16" s="12">
        <v>1450</v>
      </c>
      <c r="I16" s="12">
        <v>362.5</v>
      </c>
      <c r="J16" s="10" t="s">
        <v>19</v>
      </c>
      <c r="K16" s="10" t="s">
        <v>90</v>
      </c>
      <c r="L16" s="12"/>
      <c r="M16" s="12"/>
      <c r="N16" s="13" t="s">
        <v>91</v>
      </c>
      <c r="O16" s="34" t="str">
        <f>VLOOKUP(A16,'[1]12-06-26'!$A$2:$T$115,20,0)</f>
        <v>P n W Glad ( 14 Inch ) 16     Grass</v>
      </c>
      <c r="P16" s="34" t="e">
        <f>VLOOKUP(A16,'[1]19-06-26'!$A$2:$T$113,20,0)</f>
        <v>#N/A</v>
      </c>
      <c r="Q16" s="34" t="e">
        <f>VLOOKUP(A16,'[1]26-06-26'!$A$2:$T$121,20,0)</f>
        <v>#N/A</v>
      </c>
      <c r="R16" s="34" t="str">
        <f>VLOOKUP(A16,'[2]03-07-26'!$A$2:$T$124,20,0)</f>
        <v>G Spray Daisy ( 14 Inch ) 5     Grass</v>
      </c>
      <c r="S16" s="34" t="str">
        <f>VLOOKUP(A16,'[2]10-07-26'!$A$2:$T$138,20,0)</f>
        <v>Y Asiatic ( 14 Inch ) 3     Grass</v>
      </c>
      <c r="T16" s="34" t="s">
        <v>542</v>
      </c>
      <c r="U16" s="34">
        <v>16</v>
      </c>
      <c r="V16" s="34"/>
      <c r="W16" s="34"/>
      <c r="X16" s="34"/>
      <c r="Y16" s="34"/>
      <c r="Z16" s="34" t="s">
        <v>539</v>
      </c>
      <c r="AA16" s="34"/>
      <c r="AB16" s="34"/>
      <c r="AC16" s="34"/>
      <c r="AD16" s="34"/>
    </row>
    <row r="17" spans="1:30" ht="112.3" customHeight="1" x14ac:dyDescent="0.3">
      <c r="A17" s="1">
        <v>1377</v>
      </c>
      <c r="B17" s="14" t="s">
        <v>92</v>
      </c>
      <c r="C17" s="12">
        <v>9958988852</v>
      </c>
      <c r="D17" s="10" t="s">
        <v>93</v>
      </c>
      <c r="E17" s="10" t="s">
        <v>16</v>
      </c>
      <c r="F17" s="12" t="s">
        <v>17</v>
      </c>
      <c r="G17" s="12" t="s">
        <v>26</v>
      </c>
      <c r="H17" s="12">
        <v>2300</v>
      </c>
      <c r="I17" s="12">
        <v>287.5</v>
      </c>
      <c r="J17" s="10" t="s">
        <v>94</v>
      </c>
      <c r="K17" s="10" t="s">
        <v>95</v>
      </c>
      <c r="L17" s="12"/>
      <c r="M17" s="10" t="s">
        <v>96</v>
      </c>
      <c r="N17" s="13" t="s">
        <v>521</v>
      </c>
      <c r="O17" s="34" t="str">
        <f>VLOOKUP(A17,'[1]12-06-26'!$A$2:$T$115,20,0)</f>
        <v>Pur n P Car ( 14 Inch ) 11     FF Sachet + Grass</v>
      </c>
      <c r="P17" s="34" t="str">
        <f>VLOOKUP(A17,'[1]19-06-26'!$A$2:$T$113,20,0)</f>
        <v>P n W Glad ( 14 Inch ) 11     Grass</v>
      </c>
      <c r="Q17" s="34" t="e">
        <f>VLOOKUP(A17,'[1]26-06-26'!$A$2:$T$121,20,0)</f>
        <v>#N/A</v>
      </c>
      <c r="R17" s="34" t="str">
        <f>VLOOKUP(A17,'[2]03-07-26'!$A$2:$T$124,20,0)</f>
        <v>P Asiatic ( 14 Inch ) 2     Grass</v>
      </c>
      <c r="S17" s="34" t="str">
        <f>VLOOKUP(A17,'[2]10-07-26'!$A$2:$T$138,20,0)</f>
        <v>G n W Car ( 14 Inch ) 11     Grass</v>
      </c>
      <c r="T17" s="34" t="s">
        <v>529</v>
      </c>
      <c r="U17" s="34">
        <v>3</v>
      </c>
      <c r="V17" s="34"/>
      <c r="W17" s="34"/>
      <c r="X17" s="34"/>
      <c r="Y17" s="34"/>
      <c r="Z17" s="34" t="s">
        <v>539</v>
      </c>
      <c r="AA17" s="34"/>
      <c r="AB17" s="34"/>
      <c r="AC17" s="34"/>
      <c r="AD17" s="34"/>
    </row>
    <row r="18" spans="1:30" ht="112.3" customHeight="1" x14ac:dyDescent="0.3">
      <c r="A18" s="1">
        <v>2435</v>
      </c>
      <c r="B18" s="14" t="s">
        <v>97</v>
      </c>
      <c r="C18" s="12">
        <v>7426027603</v>
      </c>
      <c r="D18" s="10" t="s">
        <v>98</v>
      </c>
      <c r="E18" s="10" t="s">
        <v>74</v>
      </c>
      <c r="F18" s="10" t="s">
        <v>17</v>
      </c>
      <c r="G18" s="10" t="s">
        <v>99</v>
      </c>
      <c r="H18" s="12">
        <v>1450</v>
      </c>
      <c r="I18" s="12">
        <v>362.5</v>
      </c>
      <c r="J18" s="10" t="s">
        <v>19</v>
      </c>
      <c r="K18" s="10" t="s">
        <v>100</v>
      </c>
      <c r="L18" s="12"/>
      <c r="M18" s="10" t="s">
        <v>101</v>
      </c>
      <c r="N18" s="13" t="s">
        <v>36</v>
      </c>
      <c r="O18" s="34" t="str">
        <f>VLOOKUP(A18,'[1]12-06-26'!$A$2:$T$115,20,0)</f>
        <v>P n W Glad ( 14 Inch ) 16     Grass</v>
      </c>
      <c r="P18" s="34" t="str">
        <f>VLOOKUP(A18,'[1]19-06-26'!$A$2:$T$113,20,0)</f>
        <v xml:space="preserve">P Eustoma ( 12 Inch ) 3    FF Sachet + Grass </v>
      </c>
      <c r="Q18" s="34" t="str">
        <f>VLOOKUP(A18,'[1]26-06-26'!$A$2:$T$121,20,0)</f>
        <v>Alstromeria 16     FF sachet + Grass</v>
      </c>
      <c r="R18" s="34" t="e">
        <f>VLOOKUP(A18,'[2]03-07-26'!$A$2:$T$124,20,0)</f>
        <v>#N/A</v>
      </c>
      <c r="S18" s="34" t="str">
        <f>VLOOKUP(A18,'[2]10-07-26'!$A$2:$T$138,20,0)</f>
        <v>G n W Car ( 14 Inch ) 16     FF Sachet + Grass</v>
      </c>
      <c r="T18" s="34" t="s">
        <v>608</v>
      </c>
      <c r="U18" s="34">
        <v>3</v>
      </c>
      <c r="V18" s="34"/>
      <c r="W18" s="34"/>
      <c r="X18" s="34"/>
      <c r="Y18" s="34"/>
      <c r="Z18" s="34" t="s">
        <v>538</v>
      </c>
      <c r="AA18" s="34"/>
      <c r="AB18" s="34"/>
      <c r="AC18" s="34"/>
      <c r="AD18" s="34"/>
    </row>
    <row r="19" spans="1:30" ht="112.3" customHeight="1" x14ac:dyDescent="0.3">
      <c r="A19" s="1">
        <v>2123</v>
      </c>
      <c r="B19" s="20" t="s">
        <v>102</v>
      </c>
      <c r="C19" s="14">
        <v>9999982765</v>
      </c>
      <c r="D19" s="14" t="s">
        <v>103</v>
      </c>
      <c r="E19" s="10" t="s">
        <v>25</v>
      </c>
      <c r="F19" s="10" t="s">
        <v>17</v>
      </c>
      <c r="G19" s="11" t="s">
        <v>34</v>
      </c>
      <c r="H19" s="10">
        <v>3750</v>
      </c>
      <c r="I19" s="12">
        <v>937.5</v>
      </c>
      <c r="J19" s="23" t="s">
        <v>104</v>
      </c>
      <c r="K19" s="10" t="s">
        <v>105</v>
      </c>
      <c r="L19" s="10"/>
      <c r="M19" s="10" t="s">
        <v>106</v>
      </c>
      <c r="N19" s="13" t="s">
        <v>36</v>
      </c>
      <c r="O19" s="34" t="str">
        <f>VLOOKUP(A19,'[1]12-06-26'!$A$2:$T$115,20,0)</f>
        <v>Pur n P Eustoma ( 14 Inch ) 4 Pur n P Car ( 14 Inch ) 16   2 Gypsola + FF Sachet</v>
      </c>
      <c r="P19" s="34" t="str">
        <f>VLOOKUP(A19,'[1]19-06-26'!$A$2:$T$113,20,0)</f>
        <v>O Asiatic ( 14 Inch ) 4 P n W Glad ( 14 Inch ) 21   Grass</v>
      </c>
      <c r="Q19" s="34" t="str">
        <f>VLOOKUP(A19,'[1]26-06-26'!$A$2:$T$121,20,0)</f>
        <v xml:space="preserve">G n Y Spray Daisy ( 14 Inch ) 5 Rajni ( 14 Inch ) 20   2 Limonium </v>
      </c>
      <c r="R19" s="34" t="str">
        <f>VLOOKUP(A19,'[2]03-07-26'!$A$2:$T$124,20,0)</f>
        <v>Baloon Flowers  4 Pur n P Car ( 14 Inch ) 20   FF Sachet + Grass</v>
      </c>
      <c r="S19" s="34" t="str">
        <f>VLOOKUP(A19,'[2]10-07-26'!$A$2:$T$138,20,0)</f>
        <v>Sunflower ( 12 Inch) 5 Mix Alstroemeria ( 12 Inch ) 20   2 Gypsola + FF Sachet</v>
      </c>
      <c r="T19" s="34" t="s">
        <v>533</v>
      </c>
      <c r="U19" s="34">
        <v>4</v>
      </c>
      <c r="V19" s="34" t="s">
        <v>526</v>
      </c>
      <c r="W19" s="34">
        <v>21</v>
      </c>
      <c r="X19" s="34"/>
      <c r="Y19" s="34"/>
      <c r="Z19" s="34" t="s">
        <v>538</v>
      </c>
      <c r="AA19" s="34"/>
      <c r="AB19" s="34"/>
      <c r="AC19" s="34"/>
      <c r="AD19" s="34"/>
    </row>
    <row r="20" spans="1:30" ht="112.3" customHeight="1" x14ac:dyDescent="0.3">
      <c r="A20" s="1">
        <v>1914</v>
      </c>
      <c r="B20" s="14" t="s">
        <v>107</v>
      </c>
      <c r="C20" s="12">
        <v>7011107486</v>
      </c>
      <c r="D20" s="10" t="s">
        <v>108</v>
      </c>
      <c r="E20" s="10" t="s">
        <v>25</v>
      </c>
      <c r="F20" s="10" t="s">
        <v>17</v>
      </c>
      <c r="G20" s="11" t="s">
        <v>34</v>
      </c>
      <c r="H20" s="12">
        <v>3000</v>
      </c>
      <c r="I20" s="12">
        <v>375</v>
      </c>
      <c r="J20" s="10" t="s">
        <v>85</v>
      </c>
      <c r="K20" s="10" t="s">
        <v>109</v>
      </c>
      <c r="L20" s="10" t="s">
        <v>110</v>
      </c>
      <c r="M20" s="12"/>
      <c r="N20" s="13" t="s">
        <v>521</v>
      </c>
      <c r="O20" s="34" t="str">
        <f>VLOOKUP(A20,'[1]12-06-26'!$A$2:$T$115,20,0)</f>
        <v>Mix Alstroemeria ( 12 Inch ) 15     FF Sachet + Grass</v>
      </c>
      <c r="P20" s="34" t="str">
        <f>VLOOKUP(A20,'[1]19-06-26'!$A$2:$T$113,20,0)</f>
        <v>Rajni ( 14 Inch ) 15     Grass</v>
      </c>
      <c r="Q20" s="34" t="e">
        <f>VLOOKUP(A20,'[1]26-06-26'!$A$2:$T$121,20,0)</f>
        <v>#N/A</v>
      </c>
      <c r="R20" s="34" t="str">
        <f>VLOOKUP(A20,'[2]03-07-26'!$A$2:$T$124,20,0)</f>
        <v>W Asiatic ( 14 Inch ) 3     Grass</v>
      </c>
      <c r="S20" s="34" t="str">
        <f>VLOOKUP(A20,'[2]10-07-26'!$A$2:$T$138,20,0)</f>
        <v>G n W Car ( 14 Inch ) 15     FF Sachet + Grass</v>
      </c>
      <c r="T20" s="34" t="s">
        <v>530</v>
      </c>
      <c r="U20" s="34">
        <v>3</v>
      </c>
      <c r="V20" s="34"/>
      <c r="W20" s="34"/>
      <c r="X20" s="34"/>
      <c r="Y20" s="34"/>
      <c r="Z20" s="34" t="s">
        <v>539</v>
      </c>
      <c r="AA20" s="34"/>
      <c r="AB20" s="34"/>
      <c r="AC20" s="34"/>
      <c r="AD20" s="34"/>
    </row>
    <row r="21" spans="1:30" ht="112.3" customHeight="1" x14ac:dyDescent="0.3">
      <c r="A21" s="1">
        <v>2083</v>
      </c>
      <c r="B21" s="20" t="s">
        <v>111</v>
      </c>
      <c r="C21" s="12">
        <v>9810570666</v>
      </c>
      <c r="D21" s="10" t="s">
        <v>112</v>
      </c>
      <c r="E21" s="10" t="s">
        <v>25</v>
      </c>
      <c r="F21" s="10" t="s">
        <v>17</v>
      </c>
      <c r="G21" s="11" t="s">
        <v>34</v>
      </c>
      <c r="H21" s="12">
        <v>2300</v>
      </c>
      <c r="I21" s="12">
        <v>287.5</v>
      </c>
      <c r="J21" s="10" t="s">
        <v>94</v>
      </c>
      <c r="K21" s="10" t="s">
        <v>113</v>
      </c>
      <c r="L21" s="10" t="s">
        <v>114</v>
      </c>
      <c r="M21" s="10" t="s">
        <v>115</v>
      </c>
      <c r="N21" s="13" t="s">
        <v>518</v>
      </c>
      <c r="O21" s="34" t="str">
        <f>VLOOKUP(A21,'[1]12-06-26'!$A$2:$T$115,20,0)</f>
        <v>P n W Glad ( 14 Inch ) 32     2 Limonium</v>
      </c>
      <c r="P21" s="34" t="e">
        <f>VLOOKUP(A21,'[1]19-06-26'!$A$2:$T$113,20,0)</f>
        <v>#N/A</v>
      </c>
      <c r="Q21" s="34" t="str">
        <f>VLOOKUP(A21,'[1]26-06-26'!$A$2:$T$121,20,0)</f>
        <v>P n Y Spray Daisy ( 14 Inch ) 4     FF sachet + Grass</v>
      </c>
      <c r="R21" s="34" t="str">
        <f>VLOOKUP(A21,'[2]03-07-26'!$A$2:$T$124,20,0)</f>
        <v>P n W Glad ( 14 Inch ) 11     Grass</v>
      </c>
      <c r="S21" s="34" t="str">
        <f>VLOOKUP(A21,'[2]10-07-26'!$A$2:$T$138,20,0)</f>
        <v>O Asiatic ( 14 Inch ) 2     Grass</v>
      </c>
      <c r="T21" s="34" t="s">
        <v>529</v>
      </c>
      <c r="U21" s="34">
        <v>3</v>
      </c>
      <c r="V21" s="34"/>
      <c r="W21" s="34"/>
      <c r="X21" s="34"/>
      <c r="Y21" s="34"/>
      <c r="Z21" s="34" t="s">
        <v>539</v>
      </c>
      <c r="AA21" s="34"/>
      <c r="AB21" s="34"/>
      <c r="AC21" s="34"/>
      <c r="AD21" s="34"/>
    </row>
    <row r="22" spans="1:30" ht="112.3" customHeight="1" x14ac:dyDescent="0.3">
      <c r="A22" s="1">
        <v>2583</v>
      </c>
      <c r="B22" s="14" t="s">
        <v>116</v>
      </c>
      <c r="C22" s="12">
        <v>9818096329</v>
      </c>
      <c r="D22" s="10" t="s">
        <v>117</v>
      </c>
      <c r="E22" s="10" t="s">
        <v>16</v>
      </c>
      <c r="F22" s="10" t="s">
        <v>17</v>
      </c>
      <c r="G22" s="10" t="s">
        <v>26</v>
      </c>
      <c r="H22" s="12">
        <v>1950</v>
      </c>
      <c r="I22" s="12">
        <v>487.5</v>
      </c>
      <c r="J22" s="10" t="s">
        <v>118</v>
      </c>
      <c r="K22" s="10" t="s">
        <v>119</v>
      </c>
      <c r="L22" s="10" t="s">
        <v>120</v>
      </c>
      <c r="M22" s="10" t="s">
        <v>121</v>
      </c>
      <c r="N22" s="13" t="s">
        <v>31</v>
      </c>
      <c r="O22" s="34" t="str">
        <f>VLOOKUP(A22,'[1]12-06-26'!$A$2:$T$115,20,0)</f>
        <v>Sunflower ( 12 Inch ) 3 Pur n P Car ( 14 Inch ) 11   FF Sachet + Grass</v>
      </c>
      <c r="P22" s="34" t="str">
        <f>VLOOKUP(A22,'[1]19-06-26'!$A$2:$T$113,20,0)</f>
        <v>P Asiatic ( 14 Inch ) 2 P n W Glad ( 14 Inch ) 11   Grass</v>
      </c>
      <c r="Q22" s="34" t="e">
        <f>VLOOKUP(A22,'[1]26-06-26'!$A$2:$T$121,20,0)</f>
        <v>#N/A</v>
      </c>
      <c r="R22" s="34" t="str">
        <f>VLOOKUP(A22,'[2]03-07-26'!$A$2:$T$124,20,0)</f>
        <v>Sunflower ( 12 Inch ) 3 Rajni ( 14 Inch ) 11   FF Sachet + Grass</v>
      </c>
      <c r="S22" s="34" t="str">
        <f>VLOOKUP(A22,'[2]10-07-26'!$A$2:$T$138,20,0)</f>
        <v>P n W Spray Daisy ( 14  Inch )  4 G n W Car ( 14 Inch ) 11   FF Sachet + Grass</v>
      </c>
      <c r="T22" s="34" t="s">
        <v>533</v>
      </c>
      <c r="U22" s="34">
        <v>2</v>
      </c>
      <c r="V22" s="34" t="s">
        <v>536</v>
      </c>
      <c r="W22" s="34">
        <v>11</v>
      </c>
      <c r="X22" s="34"/>
      <c r="Y22" s="34"/>
      <c r="Z22" s="34" t="s">
        <v>538</v>
      </c>
      <c r="AA22" s="34"/>
      <c r="AB22" s="34"/>
      <c r="AC22" s="34"/>
      <c r="AD22" s="34"/>
    </row>
    <row r="23" spans="1:30" ht="112.3" customHeight="1" x14ac:dyDescent="0.3">
      <c r="A23" s="1">
        <v>1467</v>
      </c>
      <c r="B23" s="14" t="s">
        <v>122</v>
      </c>
      <c r="C23" s="12">
        <v>7838930274</v>
      </c>
      <c r="D23" s="10" t="s">
        <v>123</v>
      </c>
      <c r="E23" s="10" t="s">
        <v>25</v>
      </c>
      <c r="F23" s="10" t="s">
        <v>17</v>
      </c>
      <c r="G23" s="11" t="s">
        <v>34</v>
      </c>
      <c r="H23" s="12">
        <v>1600</v>
      </c>
      <c r="I23" s="12">
        <v>200</v>
      </c>
      <c r="J23" s="10" t="s">
        <v>27</v>
      </c>
      <c r="K23" s="10" t="s">
        <v>124</v>
      </c>
      <c r="L23" s="10" t="s">
        <v>125</v>
      </c>
      <c r="M23" s="12"/>
      <c r="N23" s="13" t="s">
        <v>518</v>
      </c>
      <c r="O23" s="34" t="str">
        <f>VLOOKUP(A23,'[1]12-06-26'!$A$2:$T$115,20,0)</f>
        <v>Glad ( 12 Inch ) 7     Grass</v>
      </c>
      <c r="P23" s="34" t="str">
        <f>VLOOKUP(A23,'[1]19-06-26'!$A$2:$T$113,20,0)</f>
        <v>P n W Glad ( 14 Inch ) 11     Grass</v>
      </c>
      <c r="Q23" s="34" t="str">
        <f>VLOOKUP(A23,'[1]26-06-26'!$A$2:$T$121,20,0)</f>
        <v>P n W Car  ( 14 Inch ) 7     FF sachet + Grass</v>
      </c>
      <c r="R23" s="34" t="str">
        <f>VLOOKUP(A23,'[2]03-07-26'!$A$2:$T$124,20,0)</f>
        <v>Rajni ( 14 Inch ) 7     Grass</v>
      </c>
      <c r="S23" s="34" t="str">
        <f>VLOOKUP(A23,'[2]10-07-26'!$A$2:$T$138,20,0)</f>
        <v>P n W Glad ( 14 Inch ) 7     Grass</v>
      </c>
      <c r="T23" s="34" t="s">
        <v>536</v>
      </c>
      <c r="U23" s="34">
        <v>7</v>
      </c>
      <c r="V23" s="34"/>
      <c r="W23" s="34"/>
      <c r="X23" s="34"/>
      <c r="Y23" s="34"/>
      <c r="Z23" s="34" t="s">
        <v>539</v>
      </c>
      <c r="AA23" s="34"/>
      <c r="AB23" s="34"/>
      <c r="AC23" s="34"/>
      <c r="AD23" s="34"/>
    </row>
    <row r="24" spans="1:30" ht="166.05" customHeight="1" x14ac:dyDescent="0.3">
      <c r="A24" s="1">
        <v>2404</v>
      </c>
      <c r="B24" s="14" t="s">
        <v>126</v>
      </c>
      <c r="C24" s="12">
        <v>9810444444</v>
      </c>
      <c r="D24" s="10" t="s">
        <v>127</v>
      </c>
      <c r="E24" s="10" t="s">
        <v>43</v>
      </c>
      <c r="F24" s="9" t="s">
        <v>17</v>
      </c>
      <c r="G24" s="11" t="s">
        <v>34</v>
      </c>
      <c r="H24" s="12">
        <v>6350</v>
      </c>
      <c r="I24" s="12">
        <v>793.75</v>
      </c>
      <c r="J24" s="10" t="s">
        <v>128</v>
      </c>
      <c r="K24" s="10" t="s">
        <v>129</v>
      </c>
      <c r="L24" s="10"/>
      <c r="M24" s="10" t="s">
        <v>130</v>
      </c>
      <c r="N24" s="13" t="s">
        <v>522</v>
      </c>
      <c r="O24" s="34" t="str">
        <f>VLOOKUP(A24,'[1]12-06-26'!$A$2:$T$115,20,0)</f>
        <v>Y Asiatic ( 14 Inch ) 4 BOP ( 15 Inch ) 3 Pur n P Car ( 14 Inch ) 12 3 Areca palm + 3 Gypsola</v>
      </c>
      <c r="P24" s="34" t="str">
        <f>VLOOKUP(A24,'[1]19-06-26'!$A$2:$T$113,20,0)</f>
        <v>O Asiatic ( 14 Inch ) 3 B Orchid  4 P n W Glad ( 14 Inch ) 12 Grass</v>
      </c>
      <c r="Q24" s="34" t="str">
        <f>VLOOKUP(A24,'[1]26-06-26'!$A$2:$T$121,20,0)</f>
        <v>P Asiatic ( 14 Inch ) 3 Pur Eustoma ( 12 Inch ) 3 Rajni ( 14 Inch ) 12 3 Areca Palm + 3 Gypsola</v>
      </c>
      <c r="R24" s="34" t="str">
        <f>VLOOKUP(A24,'[2]03-07-26'!$A$2:$T$124,20,0)</f>
        <v>W Asiatic ( 14 Inch ) 3 Baloon Flower  4 R n W Car ( 14 Inch ) 12 3 Areca Palm + 3 Limonium</v>
      </c>
      <c r="S24" s="34" t="str">
        <f>VLOOKUP(A24,'[2]10-07-26'!$A$2:$T$138,20,0)</f>
        <v>O Asiatic ( 14 Inch ) 3 BOP ( 15 Inch ) 3 G n W Car  ( 14 Inch ) 12 FF Sachet + Grass</v>
      </c>
      <c r="T24" s="34" t="s">
        <v>533</v>
      </c>
      <c r="U24" s="34">
        <v>3</v>
      </c>
      <c r="V24" s="34" t="s">
        <v>532</v>
      </c>
      <c r="W24" s="34">
        <v>5</v>
      </c>
      <c r="X24" s="34" t="s">
        <v>526</v>
      </c>
      <c r="Y24" s="34">
        <v>12</v>
      </c>
      <c r="Z24" s="34" t="s">
        <v>540</v>
      </c>
      <c r="AA24" s="34"/>
      <c r="AB24" s="34"/>
      <c r="AC24" s="34"/>
      <c r="AD24" s="34"/>
    </row>
    <row r="25" spans="1:30" ht="112.3" customHeight="1" x14ac:dyDescent="0.3">
      <c r="A25" s="9" t="s">
        <v>131</v>
      </c>
      <c r="B25" s="14" t="s">
        <v>132</v>
      </c>
      <c r="C25" s="12">
        <v>9993806367</v>
      </c>
      <c r="D25" s="10" t="s">
        <v>133</v>
      </c>
      <c r="E25" s="10" t="s">
        <v>25</v>
      </c>
      <c r="F25" s="10" t="s">
        <v>17</v>
      </c>
      <c r="G25" s="11" t="s">
        <v>34</v>
      </c>
      <c r="H25" s="12">
        <v>1450</v>
      </c>
      <c r="I25" s="12">
        <v>362.5</v>
      </c>
      <c r="J25" s="9" t="s">
        <v>19</v>
      </c>
      <c r="K25" s="10" t="s">
        <v>134</v>
      </c>
      <c r="L25" s="12"/>
      <c r="M25" s="12"/>
      <c r="N25" s="13" t="s">
        <v>36</v>
      </c>
      <c r="O25" s="34" t="e">
        <f>VLOOKUP(A25,'[1]12-06-26'!$A$2:$T$115,20,0)</f>
        <v>#N/A</v>
      </c>
      <c r="P25" s="34" t="e">
        <f>VLOOKUP(A25,'[1]19-06-26'!$A$2:$T$113,20,0)</f>
        <v>#N/A</v>
      </c>
      <c r="Q25" s="34" t="e">
        <f>VLOOKUP(A25,'[1]26-06-26'!$A$2:$T$121,20,0)</f>
        <v>#N/A</v>
      </c>
      <c r="R25" s="34" t="e">
        <f>VLOOKUP(A25,'[2]03-07-26'!$A$2:$T$124,20,0)</f>
        <v>#N/A</v>
      </c>
      <c r="S25" s="34" t="str">
        <f>VLOOKUP(A25,'[2]10-07-26'!$A$2:$T$138,20,0)</f>
        <v>Rajni ( 14 Inch ) 16     Grass</v>
      </c>
      <c r="T25" s="34" t="s">
        <v>608</v>
      </c>
      <c r="U25" s="34">
        <v>3</v>
      </c>
      <c r="V25" s="34"/>
      <c r="W25" s="34"/>
      <c r="X25" s="34"/>
      <c r="Y25" s="34"/>
      <c r="Z25" s="34" t="s">
        <v>538</v>
      </c>
      <c r="AA25" s="34"/>
      <c r="AB25" s="34"/>
      <c r="AC25" s="34"/>
      <c r="AD25" s="34"/>
    </row>
    <row r="26" spans="1:30" ht="112.3" customHeight="1" x14ac:dyDescent="0.3">
      <c r="A26" s="1">
        <v>2372</v>
      </c>
      <c r="B26" s="14" t="s">
        <v>135</v>
      </c>
      <c r="C26" s="12">
        <v>9910955257</v>
      </c>
      <c r="D26" s="10" t="s">
        <v>136</v>
      </c>
      <c r="E26" s="10" t="s">
        <v>16</v>
      </c>
      <c r="F26" s="10" t="s">
        <v>17</v>
      </c>
      <c r="G26" s="11" t="s">
        <v>34</v>
      </c>
      <c r="H26" s="12">
        <v>1950</v>
      </c>
      <c r="I26" s="12">
        <v>487.5</v>
      </c>
      <c r="J26" s="9" t="s">
        <v>118</v>
      </c>
      <c r="K26" s="10" t="s">
        <v>137</v>
      </c>
      <c r="L26" s="12"/>
      <c r="M26" s="12"/>
      <c r="N26" s="13" t="s">
        <v>31</v>
      </c>
      <c r="O26" s="34" t="str">
        <f>VLOOKUP(A26,'[1]12-06-26'!$A$2:$T$115,20,0)</f>
        <v>Pur n P Eustoma ( 14 Inch ) 4     FF Sachet + Grass</v>
      </c>
      <c r="P26" s="34" t="str">
        <f>VLOOKUP(A26,'[1]19-06-26'!$A$2:$T$113,20,0)</f>
        <v>O Asiatic ( 14 Inch ) 4     Grass</v>
      </c>
      <c r="Q26" s="34" t="e">
        <f>VLOOKUP(A26,'[1]26-06-26'!$A$2:$T$121,20,0)</f>
        <v>#N/A</v>
      </c>
      <c r="R26" s="34" t="str">
        <f>VLOOKUP(A26,'[2]03-07-26'!$A$2:$T$124,20,0)</f>
        <v>Pur n P Car ( 14 Inch ) 22     FF Sachet + Grass</v>
      </c>
      <c r="S26" s="34" t="str">
        <f>VLOOKUP(A26,'[2]10-07-26'!$A$2:$T$138,20,0)</f>
        <v>P n Y Spray Daisy ( 14 Inch ) 7     FF Sachet + Grass</v>
      </c>
      <c r="T26" s="34" t="s">
        <v>526</v>
      </c>
      <c r="U26" s="34">
        <v>22</v>
      </c>
      <c r="V26" s="34"/>
      <c r="W26" s="34"/>
      <c r="X26" s="34"/>
      <c r="Y26" s="34"/>
      <c r="Z26" s="34" t="s">
        <v>538</v>
      </c>
      <c r="AA26" s="34"/>
      <c r="AB26" s="34"/>
      <c r="AC26" s="34"/>
      <c r="AD26" s="34"/>
    </row>
    <row r="27" spans="1:30" ht="112.3" customHeight="1" x14ac:dyDescent="0.3">
      <c r="A27" s="1">
        <v>3076</v>
      </c>
      <c r="B27" s="24" t="s">
        <v>138</v>
      </c>
      <c r="C27" s="12">
        <v>8454952029</v>
      </c>
      <c r="D27" s="10" t="s">
        <v>139</v>
      </c>
      <c r="E27" s="10" t="s">
        <v>16</v>
      </c>
      <c r="F27" s="10" t="s">
        <v>17</v>
      </c>
      <c r="G27" s="11" t="s">
        <v>34</v>
      </c>
      <c r="H27" s="12">
        <v>2750</v>
      </c>
      <c r="I27" s="12">
        <v>687.5</v>
      </c>
      <c r="J27" s="10" t="s">
        <v>57</v>
      </c>
      <c r="K27" s="10" t="s">
        <v>140</v>
      </c>
      <c r="L27" s="12"/>
      <c r="M27" s="12"/>
      <c r="N27" s="13" t="s">
        <v>141</v>
      </c>
      <c r="O27" s="34" t="str">
        <f>VLOOKUP(A27,'[1]12-06-26'!$A$2:$T$115,20,0)</f>
        <v>Y Asiatic ( 14 Inch ) 3 P n W Glad ( 14 Inch ) 16   2 Limonium</v>
      </c>
      <c r="P27" s="34" t="str">
        <f>VLOOKUP(A27,'[1]19-06-26'!$A$2:$T$113,20,0)</f>
        <v>Sunflower ( 12 Inch ) 4 Pur n P Car ( 14 Inch ) 16   FF sachet + Grass</v>
      </c>
      <c r="Q27" s="34" t="str">
        <f>VLOOKUP(A27,'[1]26-06-26'!$A$2:$T$121,20,0)</f>
        <v>P n Y Spray Daisy ( 14 Inch ) 5 P n W Glad ( 14 Inch ) 15   2 Gypsola + FF Sachet</v>
      </c>
      <c r="R27" s="34" t="e">
        <f>VLOOKUP(A27,'[2]03-07-26'!$A$2:$T$124,20,0)</f>
        <v>#N/A</v>
      </c>
      <c r="S27" s="34" t="str">
        <f>VLOOKUP(A27,'[2]10-07-26'!$A$2:$T$138,20,0)</f>
        <v xml:space="preserve">O Asiatic ( 14 Inch ) 3 Rajni ( 14 Inch ) 16   2 Limonium </v>
      </c>
      <c r="T27" s="34" t="s">
        <v>544</v>
      </c>
      <c r="U27" s="34">
        <v>3</v>
      </c>
      <c r="V27" s="34" t="s">
        <v>542</v>
      </c>
      <c r="W27" s="34">
        <v>16</v>
      </c>
      <c r="X27" s="34"/>
      <c r="Y27" s="34"/>
      <c r="Z27" s="34" t="s">
        <v>548</v>
      </c>
      <c r="AA27" s="34"/>
      <c r="AB27" s="34"/>
      <c r="AC27" s="34"/>
      <c r="AD27" s="34"/>
    </row>
    <row r="28" spans="1:30" ht="112.3" customHeight="1" x14ac:dyDescent="0.3">
      <c r="A28" s="1">
        <v>2712</v>
      </c>
      <c r="B28" s="14" t="s">
        <v>142</v>
      </c>
      <c r="C28" s="12">
        <v>8860253167</v>
      </c>
      <c r="D28" s="10" t="s">
        <v>143</v>
      </c>
      <c r="E28" s="10" t="s">
        <v>25</v>
      </c>
      <c r="F28" s="10" t="s">
        <v>17</v>
      </c>
      <c r="G28" s="10" t="s">
        <v>26</v>
      </c>
      <c r="H28" s="12">
        <v>1450</v>
      </c>
      <c r="I28" s="12">
        <v>362.5</v>
      </c>
      <c r="J28" s="10" t="s">
        <v>19</v>
      </c>
      <c r="K28" s="10" t="s">
        <v>144</v>
      </c>
      <c r="L28" s="12"/>
      <c r="M28" s="10" t="s">
        <v>145</v>
      </c>
      <c r="N28" s="13" t="s">
        <v>36</v>
      </c>
      <c r="O28" s="34" t="e">
        <f>VLOOKUP(A28,'[1]12-06-26'!$A$2:$T$115,20,0)</f>
        <v>#N/A</v>
      </c>
      <c r="P28" s="34" t="str">
        <f>VLOOKUP(A28,'[1]19-06-26'!$A$2:$T$113,20,0)</f>
        <v xml:space="preserve">P Spray Daisy ( 14 Inch ) 3 Pur n P Car ( 14 Inch ) 7  FF Sachet + Grass </v>
      </c>
      <c r="Q28" s="34" t="str">
        <f>VLOOKUP(A28,'[1]26-06-26'!$A$2:$T$121,20,0)</f>
        <v>P Asiatic ( 14 Inch ) 2 P n W Glad ( 14 Inch ) 7   Grass</v>
      </c>
      <c r="R28" s="34" t="str">
        <f>VLOOKUP(A28,'[2]03-07-26'!$A$2:$T$124,20,0)</f>
        <v>Sunflower ( 12 Inch ) 2 Rajni ( 14 Inch ) 7   FF Sachet + Grass</v>
      </c>
      <c r="S28" s="34" t="str">
        <f>VLOOKUP(A28,'[2]10-07-26'!$A$2:$T$138,20,0)</f>
        <v>P Spray Daisy ( 14 Inch ) 3 G n W Car ( 14 Inch ) 7   FF Sachet + Grass</v>
      </c>
      <c r="T28" s="34" t="s">
        <v>533</v>
      </c>
      <c r="U28" s="34">
        <v>2</v>
      </c>
      <c r="V28" s="34" t="s">
        <v>536</v>
      </c>
      <c r="W28" s="34">
        <v>7</v>
      </c>
      <c r="X28" s="34"/>
      <c r="Y28" s="34"/>
      <c r="Z28" s="34" t="s">
        <v>538</v>
      </c>
      <c r="AA28" s="34"/>
      <c r="AB28" s="34"/>
      <c r="AC28" s="34"/>
      <c r="AD28" s="34"/>
    </row>
    <row r="29" spans="1:30" ht="112.3" customHeight="1" x14ac:dyDescent="0.3">
      <c r="A29" s="1">
        <v>3139</v>
      </c>
      <c r="B29" s="14" t="s">
        <v>146</v>
      </c>
      <c r="C29" s="12">
        <v>9810247803</v>
      </c>
      <c r="D29" s="10" t="s">
        <v>147</v>
      </c>
      <c r="E29" s="10" t="s">
        <v>16</v>
      </c>
      <c r="F29" s="10" t="s">
        <v>17</v>
      </c>
      <c r="G29" s="17" t="s">
        <v>53</v>
      </c>
      <c r="H29" s="12">
        <v>1450</v>
      </c>
      <c r="I29" s="12">
        <v>362.5</v>
      </c>
      <c r="J29" s="9" t="s">
        <v>19</v>
      </c>
      <c r="K29" s="10" t="s">
        <v>148</v>
      </c>
      <c r="L29" s="10" t="s">
        <v>149</v>
      </c>
      <c r="M29" s="12"/>
      <c r="N29" s="13" t="s">
        <v>36</v>
      </c>
      <c r="O29" s="34" t="str">
        <f>VLOOKUP(A29,'[1]12-06-26'!$A$2:$T$115,20,0)</f>
        <v>P n W Glad ( 14 Inch ) 16     Grass</v>
      </c>
      <c r="P29" s="34" t="str">
        <f>VLOOKUP(A29,'[1]19-06-26'!$A$2:$T$113,20,0)</f>
        <v xml:space="preserve">Pur Eustom ( 12 Inch ) 3    FF Sachet + Grass </v>
      </c>
      <c r="Q29" s="34" t="str">
        <f>VLOOKUP(A29,'[1]26-06-26'!$A$2:$T$121,20,0)</f>
        <v>P n Y Spray Daisy ( 14 Inch ) 5     FF sachet + Grass</v>
      </c>
      <c r="R29" s="34" t="str">
        <f>VLOOKUP(A29,'[2]03-07-26'!$A$2:$T$124,20,0)</f>
        <v>Pur n P Car ( 14 Inch ) 16     FF Sachet + Grass</v>
      </c>
      <c r="S29" s="34" t="str">
        <f>VLOOKUP(A29,'[2]10-07-26'!$A$2:$T$138,20,0)</f>
        <v>Rajni ( 14 Inch ) 16     Grass</v>
      </c>
      <c r="T29" s="34" t="s">
        <v>608</v>
      </c>
      <c r="U29" s="34">
        <v>3</v>
      </c>
      <c r="V29" s="34"/>
      <c r="W29" s="34"/>
      <c r="X29" s="34"/>
      <c r="Y29" s="34"/>
      <c r="Z29" s="34" t="s">
        <v>538</v>
      </c>
      <c r="AA29" s="34"/>
      <c r="AB29" s="34"/>
      <c r="AC29" s="34"/>
      <c r="AD29" s="34"/>
    </row>
    <row r="30" spans="1:30" ht="112.3" customHeight="1" x14ac:dyDescent="0.3">
      <c r="A30" s="1">
        <v>1571</v>
      </c>
      <c r="B30" s="14" t="s">
        <v>150</v>
      </c>
      <c r="C30" s="12">
        <v>9910019898</v>
      </c>
      <c r="D30" s="10" t="s">
        <v>151</v>
      </c>
      <c r="E30" s="10" t="s">
        <v>16</v>
      </c>
      <c r="F30" s="10" t="s">
        <v>17</v>
      </c>
      <c r="G30" s="10" t="s">
        <v>18</v>
      </c>
      <c r="H30" s="12">
        <v>1600</v>
      </c>
      <c r="I30" s="12">
        <v>200</v>
      </c>
      <c r="J30" s="10" t="s">
        <v>27</v>
      </c>
      <c r="K30" s="10" t="s">
        <v>152</v>
      </c>
      <c r="L30" s="10" t="s">
        <v>153</v>
      </c>
      <c r="M30" s="12"/>
      <c r="N30" s="13" t="s">
        <v>520</v>
      </c>
      <c r="O30" s="34" t="str">
        <f>VLOOKUP(A30,'[1]12-06-26'!$A$2:$T$115,20,0)</f>
        <v>Rajni ( 14 Inch ) 7     Grass</v>
      </c>
      <c r="P30" s="34" t="str">
        <f>VLOOKUP(A30,'[1]19-06-26'!$A$2:$T$113,20,0)</f>
        <v>P n W Glad ( 14 Inch ) 7     Grass</v>
      </c>
      <c r="Q30" s="34" t="str">
        <f>VLOOKUP(A30,'[1]26-06-26'!$A$2:$T$121,20,0)</f>
        <v>P n W Car ( 14 Inch ) 7     FF sachet + Grass</v>
      </c>
      <c r="R30" s="34" t="str">
        <f>VLOOKUP(A30,'[2]03-07-26'!$A$2:$T$124,20,0)</f>
        <v>Rajni ( 14 Inch ) 7     Grass</v>
      </c>
      <c r="S30" s="34" t="str">
        <f>VLOOKUP(A30,'[2]10-07-26'!$A$2:$T$138,20,0)</f>
        <v>P n W Glad ( 14 Inch ) 7     Grass</v>
      </c>
      <c r="T30" s="34" t="s">
        <v>531</v>
      </c>
      <c r="U30" s="34">
        <v>2</v>
      </c>
      <c r="V30" s="34"/>
      <c r="W30" s="34"/>
      <c r="X30" s="34"/>
      <c r="Y30" s="34"/>
      <c r="Z30" s="34" t="s">
        <v>539</v>
      </c>
      <c r="AA30" s="34"/>
      <c r="AB30" s="34"/>
      <c r="AC30" s="34"/>
      <c r="AD30" s="34"/>
    </row>
    <row r="31" spans="1:30" ht="112.3" customHeight="1" x14ac:dyDescent="0.3">
      <c r="A31" s="9">
        <v>207</v>
      </c>
      <c r="B31" s="14" t="s">
        <v>154</v>
      </c>
      <c r="C31" s="9">
        <v>9958305888</v>
      </c>
      <c r="D31" s="9" t="s">
        <v>155</v>
      </c>
      <c r="E31" s="9" t="s">
        <v>16</v>
      </c>
      <c r="F31" s="10" t="s">
        <v>17</v>
      </c>
      <c r="G31" s="18" t="s">
        <v>53</v>
      </c>
      <c r="H31" s="12">
        <v>1450</v>
      </c>
      <c r="I31" s="12">
        <v>362.5</v>
      </c>
      <c r="J31" s="10" t="s">
        <v>19</v>
      </c>
      <c r="K31" s="9" t="s">
        <v>156</v>
      </c>
      <c r="L31" s="10" t="s">
        <v>157</v>
      </c>
      <c r="M31" s="12"/>
      <c r="N31" s="13" t="s">
        <v>31</v>
      </c>
      <c r="O31" s="34" t="str">
        <f>VLOOKUP(A31,'[1]12-06-26'!$A$2:$T$115,20,0)</f>
        <v>P n W Glad ( 14 Inch ) 16     Grass</v>
      </c>
      <c r="P31" s="34" t="str">
        <f>VLOOKUP(A31,'[1]19-06-26'!$A$2:$T$113,20,0)</f>
        <v xml:space="preserve">R n P Car ( 14 Inch ) 16    FF Sachet + Grass </v>
      </c>
      <c r="Q31" s="34" t="str">
        <f>VLOOKUP(A31,'[1]26-06-26'!$A$2:$T$121,20,0)</f>
        <v>Pur Eustoma ( 12 Inch ) 3     FF sachet + Grass</v>
      </c>
      <c r="R31" s="34" t="str">
        <f>VLOOKUP(A31,'[2]03-07-26'!$A$2:$T$124,20,0)</f>
        <v>O Asiatic ( 14 Inch ) 3     Grass</v>
      </c>
      <c r="S31" s="34" t="str">
        <f>VLOOKUP(A31,'[2]10-07-26'!$A$2:$T$138,20,0)</f>
        <v>Rajni ( 14 Inch ) 16     Grass</v>
      </c>
      <c r="T31" s="34" t="s">
        <v>543</v>
      </c>
      <c r="U31" s="34">
        <v>5</v>
      </c>
      <c r="V31" s="34"/>
      <c r="W31" s="34"/>
      <c r="X31" s="34"/>
      <c r="Y31" s="34"/>
      <c r="Z31" s="34" t="s">
        <v>539</v>
      </c>
      <c r="AA31" s="34"/>
      <c r="AB31" s="34"/>
      <c r="AC31" s="34"/>
      <c r="AD31" s="34"/>
    </row>
    <row r="32" spans="1:30" ht="112.3" customHeight="1" x14ac:dyDescent="0.3">
      <c r="A32" s="1">
        <v>953</v>
      </c>
      <c r="B32" s="14" t="s">
        <v>158</v>
      </c>
      <c r="C32" s="1">
        <v>9818647402</v>
      </c>
      <c r="D32" s="9" t="s">
        <v>159</v>
      </c>
      <c r="E32" s="10" t="s">
        <v>43</v>
      </c>
      <c r="F32" s="9" t="s">
        <v>17</v>
      </c>
      <c r="G32" s="11" t="s">
        <v>34</v>
      </c>
      <c r="H32" s="12">
        <v>2750</v>
      </c>
      <c r="I32" s="12">
        <v>687.5</v>
      </c>
      <c r="J32" s="10" t="s">
        <v>57</v>
      </c>
      <c r="K32" s="10" t="s">
        <v>160</v>
      </c>
      <c r="L32" s="10"/>
      <c r="M32" s="10" t="s">
        <v>161</v>
      </c>
      <c r="N32" s="13" t="s">
        <v>36</v>
      </c>
      <c r="O32" s="34" t="str">
        <f>VLOOKUP(A32,'[1]12-06-26'!$A$2:$T$115,20,0)</f>
        <v>Sunflower ( 12 Inch ) 4 Pur n P Car ( 14 Inch ) 16   2 Limonium + FF sachet</v>
      </c>
      <c r="P32" s="34" t="str">
        <f>VLOOKUP(A32,'[1]19-06-26'!$A$2:$T$113,20,0)</f>
        <v>P Eustoma ( 12 Inch ) 4 P n W Glad ( 14 Inch ) 16   FF sachet + Grass</v>
      </c>
      <c r="Q32" s="34" t="str">
        <f>VLOOKUP(A32,'[1]26-06-26'!$A$2:$T$121,20,0)</f>
        <v>P Asiatic ( 14 Inch ) 3 Alstomeria( 12 Inch ) 15   2 Gypaols</v>
      </c>
      <c r="R32" s="34" t="str">
        <f>VLOOKUP(A32,'[2]03-07-26'!$A$2:$T$124,20,0)</f>
        <v>Sunflower ( 12 Inch ) 4 Rajni ( 14 Inch ) 16   FF Sachet + Grass</v>
      </c>
      <c r="S32" s="34" t="str">
        <f>VLOOKUP(A32,'[2]10-07-26'!$A$2:$T$138,20,0)</f>
        <v>P n Y Spray Daisy ( 14 Inch ) 5 G n W Car ( 14 Inch ) 16   2 Gypsola + FF Sachet</v>
      </c>
      <c r="T32" s="34" t="s">
        <v>533</v>
      </c>
      <c r="U32" s="34">
        <v>3</v>
      </c>
      <c r="V32" s="34" t="s">
        <v>526</v>
      </c>
      <c r="W32" s="34">
        <v>16</v>
      </c>
      <c r="X32" s="34"/>
      <c r="Y32" s="34"/>
      <c r="Z32" s="34" t="s">
        <v>548</v>
      </c>
      <c r="AA32" s="34"/>
      <c r="AB32" s="34"/>
      <c r="AC32" s="34"/>
      <c r="AD32" s="34"/>
    </row>
    <row r="33" spans="1:30" ht="112.3" customHeight="1" x14ac:dyDescent="0.3">
      <c r="A33" s="1">
        <v>1618</v>
      </c>
      <c r="B33" s="14" t="s">
        <v>162</v>
      </c>
      <c r="C33" s="12" t="s">
        <v>163</v>
      </c>
      <c r="D33" s="10" t="s">
        <v>164</v>
      </c>
      <c r="E33" s="10" t="s">
        <v>25</v>
      </c>
      <c r="F33" s="10" t="s">
        <v>17</v>
      </c>
      <c r="G33" s="10" t="s">
        <v>18</v>
      </c>
      <c r="H33" s="12">
        <v>3000</v>
      </c>
      <c r="I33" s="12">
        <v>375</v>
      </c>
      <c r="J33" s="10" t="s">
        <v>85</v>
      </c>
      <c r="K33" s="10" t="s">
        <v>165</v>
      </c>
      <c r="L33" s="10" t="s">
        <v>166</v>
      </c>
      <c r="M33" s="12"/>
      <c r="N33" s="13" t="s">
        <v>523</v>
      </c>
      <c r="O33" s="34" t="str">
        <f>VLOOKUP(A33,'[1]12-06-26'!$A$2:$T$115,20,0)</f>
        <v>BOP ( 14 Inch ) 3     FF Sachet + Grass</v>
      </c>
      <c r="P33" s="34" t="str">
        <f>VLOOKUP(A33,'[1]19-06-26'!$A$2:$T$113,20,0)</f>
        <v>P Asiatic ( 14 Inch ) 3     Grass</v>
      </c>
      <c r="Q33" s="34" t="str">
        <f>VLOOKUP(A33,'[1]26-06-26'!$A$2:$T$121,20,0)</f>
        <v>G n Y Spray Daisy ( 14 Inch ) 4     FF sachet + Grass</v>
      </c>
      <c r="R33" s="34" t="str">
        <f>VLOOKUP(A33,'[2]03-07-26'!$A$2:$T$124,20,0)</f>
        <v>P Oriental ( 15 Inch ) 3     Grass</v>
      </c>
      <c r="S33" s="34" t="str">
        <f>VLOOKUP(A33,'[2]10-07-26'!$A$2:$T$138,20,0)</f>
        <v>G n W Car ( 14 Inch ) 15     FF Sachet + Grass</v>
      </c>
      <c r="T33" s="34" t="s">
        <v>532</v>
      </c>
      <c r="U33" s="34">
        <v>10</v>
      </c>
      <c r="V33" s="34"/>
      <c r="W33" s="34"/>
      <c r="X33" s="34"/>
      <c r="Y33" s="34"/>
      <c r="Z33" s="34" t="s">
        <v>539</v>
      </c>
      <c r="AA33" s="34"/>
      <c r="AB33" s="34"/>
      <c r="AC33" s="34"/>
      <c r="AD33" s="34"/>
    </row>
    <row r="34" spans="1:30" ht="112.3" customHeight="1" x14ac:dyDescent="0.3">
      <c r="A34" s="1">
        <v>833</v>
      </c>
      <c r="B34" s="14" t="s">
        <v>167</v>
      </c>
      <c r="C34" s="1">
        <v>9560889949</v>
      </c>
      <c r="D34" s="9" t="s">
        <v>168</v>
      </c>
      <c r="E34" s="10" t="s">
        <v>43</v>
      </c>
      <c r="F34" s="9" t="s">
        <v>17</v>
      </c>
      <c r="G34" s="11" t="s">
        <v>34</v>
      </c>
      <c r="H34" s="12">
        <v>3500</v>
      </c>
      <c r="I34" s="12">
        <v>875</v>
      </c>
      <c r="J34" s="12" t="s">
        <v>44</v>
      </c>
      <c r="K34" s="9" t="s">
        <v>169</v>
      </c>
      <c r="L34" s="12"/>
      <c r="M34" s="12"/>
      <c r="N34" s="13" t="s">
        <v>36</v>
      </c>
      <c r="O34" s="34" t="e">
        <f>VLOOKUP(A34,'[1]12-06-26'!$A$2:$T$115,20,0)</f>
        <v>#N/A</v>
      </c>
      <c r="P34" s="34" t="e">
        <f>VLOOKUP(A34,'[1]19-06-26'!$A$2:$T$113,20,0)</f>
        <v>#N/A</v>
      </c>
      <c r="Q34" s="34" t="str">
        <f>VLOOKUP(A34,'[1]26-06-26'!$A$2:$T$121,20,0)</f>
        <v>O Asiatic ( 14 Inch ) 4 Pur n p Car ( 14 inch ) 18   2 Gypsola</v>
      </c>
      <c r="R34" s="34" t="str">
        <f>VLOOKUP(A34,'[2]03-07-26'!$A$2:$T$124,20,0)</f>
        <v xml:space="preserve">Baloon Flowers  5 Rajni ( 14 Inch ) 18   2 Limonium </v>
      </c>
      <c r="S34" s="34" t="str">
        <f>VLOOKUP(A34,'[2]10-07-26'!$A$2:$T$138,20,0)</f>
        <v>Sunflower ( 12 Inch) 5 P n W Glad ( 14 Inch ) 20   2 Gypsola + FF Sachet</v>
      </c>
      <c r="T34" s="34" t="s">
        <v>527</v>
      </c>
      <c r="U34" s="34">
        <v>5</v>
      </c>
      <c r="V34" s="34" t="s">
        <v>536</v>
      </c>
      <c r="W34" s="34">
        <v>18</v>
      </c>
      <c r="X34" s="34"/>
      <c r="Y34" s="34"/>
      <c r="Z34" s="34" t="s">
        <v>539</v>
      </c>
      <c r="AA34" s="34"/>
      <c r="AB34" s="34"/>
      <c r="AC34" s="34"/>
      <c r="AD34" s="34"/>
    </row>
    <row r="35" spans="1:30" ht="112.3" customHeight="1" x14ac:dyDescent="0.3">
      <c r="A35" s="1">
        <v>3391</v>
      </c>
      <c r="B35" s="14" t="s">
        <v>170</v>
      </c>
      <c r="C35" s="12">
        <v>9013524554</v>
      </c>
      <c r="D35" s="10" t="s">
        <v>171</v>
      </c>
      <c r="E35" s="10" t="s">
        <v>25</v>
      </c>
      <c r="F35" s="10" t="s">
        <v>17</v>
      </c>
      <c r="G35" s="11" t="s">
        <v>34</v>
      </c>
      <c r="H35" s="12">
        <v>1450</v>
      </c>
      <c r="I35" s="12">
        <v>362.5</v>
      </c>
      <c r="J35" s="10" t="s">
        <v>19</v>
      </c>
      <c r="K35" s="12"/>
      <c r="L35" s="12"/>
      <c r="M35" s="12"/>
      <c r="N35" s="13" t="s">
        <v>36</v>
      </c>
      <c r="O35" s="34" t="e">
        <f>VLOOKUP(A35,'[1]12-06-26'!$A$2:$T$115,20,0)</f>
        <v>#N/A</v>
      </c>
      <c r="P35" s="34" t="e">
        <f>VLOOKUP(A35,'[1]19-06-26'!$A$2:$T$113,20,0)</f>
        <v>#N/A</v>
      </c>
      <c r="Q35" s="34" t="str">
        <f>VLOOKUP(A35,'[1]26-06-26'!$A$2:$T$121,20,0)</f>
        <v>Pur n P Car ( 14 Inch ) 16     FF sachet + Grass</v>
      </c>
      <c r="R35" s="34" t="str">
        <f>VLOOKUP(A35,'[2]03-07-26'!$A$2:$T$124,20,0)</f>
        <v>P Asiatic ( 14 Inch ) 3     Grass</v>
      </c>
      <c r="S35" s="34" t="str">
        <f>VLOOKUP(A35,'[2]10-07-26'!$A$2:$T$138,20,0)</f>
        <v>P n W Glad ( 14 Inch ) 16     Grass</v>
      </c>
      <c r="T35" s="34" t="s">
        <v>543</v>
      </c>
      <c r="U35" s="34">
        <v>5</v>
      </c>
      <c r="V35" s="34"/>
      <c r="W35" s="34"/>
      <c r="X35" s="34"/>
      <c r="Y35" s="34"/>
      <c r="Z35" s="34" t="s">
        <v>539</v>
      </c>
      <c r="AA35" s="34"/>
      <c r="AB35" s="34"/>
      <c r="AC35" s="34"/>
      <c r="AD35" s="34"/>
    </row>
    <row r="36" spans="1:30" ht="112.3" customHeight="1" x14ac:dyDescent="0.3">
      <c r="A36" s="1">
        <v>2798</v>
      </c>
      <c r="B36" s="14" t="s">
        <v>172</v>
      </c>
      <c r="C36" s="12">
        <v>9999283603</v>
      </c>
      <c r="D36" s="10" t="s">
        <v>173</v>
      </c>
      <c r="E36" s="10" t="s">
        <v>74</v>
      </c>
      <c r="F36" s="10" t="s">
        <v>17</v>
      </c>
      <c r="G36" s="18" t="s">
        <v>53</v>
      </c>
      <c r="H36" s="12">
        <v>1450</v>
      </c>
      <c r="I36" s="12">
        <v>362.5</v>
      </c>
      <c r="J36" s="9" t="s">
        <v>19</v>
      </c>
      <c r="K36" s="10" t="s">
        <v>174</v>
      </c>
      <c r="L36" s="12"/>
      <c r="M36" s="12"/>
      <c r="N36" s="13" t="s">
        <v>36</v>
      </c>
      <c r="O36" s="34" t="str">
        <f>VLOOKUP(A36,'[1]12-06-26'!$A$2:$T$115,20,0)</f>
        <v>P n W Glad ( 14 Inch ) 16     Grass</v>
      </c>
      <c r="P36" s="34" t="str">
        <f>VLOOKUP(A36,'[1]19-06-26'!$A$2:$T$113,20,0)</f>
        <v xml:space="preserve">Pur Eustom ( 12 Inch ) 3    FF Sachet + Grass </v>
      </c>
      <c r="Q36" s="34" t="str">
        <f>VLOOKUP(A36,'[1]26-06-26'!$A$2:$T$121,20,0)</f>
        <v>Alstromeria 16     FF sachet + Grass</v>
      </c>
      <c r="R36" s="34" t="str">
        <f>VLOOKUP(A36,'[2]03-07-26'!$A$2:$T$124,20,0)</f>
        <v>Pur n P Car ( 14 Inch ) 16     FF Sachet + Grass</v>
      </c>
      <c r="S36" s="34" t="str">
        <f>VLOOKUP(A36,'[2]10-07-26'!$A$2:$T$138,20,0)</f>
        <v>Sunflower ( 12 Inch) 4     FF Sachet + Grass</v>
      </c>
      <c r="T36" s="34" t="s">
        <v>533</v>
      </c>
      <c r="U36" s="34">
        <v>3</v>
      </c>
      <c r="V36" s="34"/>
      <c r="W36" s="34"/>
      <c r="X36" s="34"/>
      <c r="Y36" s="34"/>
      <c r="Z36" s="34" t="s">
        <v>538</v>
      </c>
      <c r="AA36" s="34"/>
      <c r="AB36" s="34"/>
      <c r="AC36" s="34"/>
      <c r="AD36" s="34"/>
    </row>
    <row r="37" spans="1:30" ht="112.3" customHeight="1" x14ac:dyDescent="0.3">
      <c r="A37" s="1">
        <v>2803</v>
      </c>
      <c r="B37" s="14" t="s">
        <v>175</v>
      </c>
      <c r="C37" s="12">
        <v>9007706833</v>
      </c>
      <c r="D37" s="10" t="s">
        <v>176</v>
      </c>
      <c r="E37" s="10" t="s">
        <v>25</v>
      </c>
      <c r="F37" s="10" t="s">
        <v>17</v>
      </c>
      <c r="G37" s="10" t="s">
        <v>177</v>
      </c>
      <c r="H37" s="12">
        <v>1450</v>
      </c>
      <c r="I37" s="12">
        <v>362.5</v>
      </c>
      <c r="J37" s="9" t="s">
        <v>19</v>
      </c>
      <c r="K37" s="10" t="s">
        <v>178</v>
      </c>
      <c r="L37" s="12"/>
      <c r="M37" s="10"/>
      <c r="N37" s="13" t="s">
        <v>36</v>
      </c>
      <c r="O37" s="34" t="str">
        <f>VLOOKUP(A37,'[1]12-06-26'!$A$2:$T$115,20,0)</f>
        <v>Y Asiatic ( 14 Inch ) 3     Grass</v>
      </c>
      <c r="P37" s="34" t="str">
        <f>VLOOKUP(A37,'[1]19-06-26'!$A$2:$T$113,20,0)</f>
        <v xml:space="preserve">Pur Eustom ( 12 Inch ) 3    FF Sachet + Grass </v>
      </c>
      <c r="Q37" s="34" t="str">
        <f>VLOOKUP(A37,'[1]26-06-26'!$A$2:$T$121,20,0)</f>
        <v>Alstromeria 16     FF sachet + Grass</v>
      </c>
      <c r="R37" s="34" t="str">
        <f>VLOOKUP(A37,'[2]03-07-26'!$A$2:$T$124,20,0)</f>
        <v>Pur n P Car ( 14 Inch ) 16     FF Sachet + Grass</v>
      </c>
      <c r="S37" s="34" t="str">
        <f>VLOOKUP(A37,'[2]10-07-26'!$A$2:$T$138,20,0)</f>
        <v>Sunflower ( 12 Inch) 4     FF Sachet + Grass</v>
      </c>
      <c r="T37" s="34" t="s">
        <v>527</v>
      </c>
      <c r="U37" s="34">
        <v>5</v>
      </c>
      <c r="V37" s="34"/>
      <c r="W37" s="34"/>
      <c r="X37" s="34"/>
      <c r="Y37" s="34"/>
      <c r="Z37" s="34" t="s">
        <v>539</v>
      </c>
      <c r="AA37" s="34"/>
      <c r="AB37" s="34"/>
      <c r="AC37" s="34"/>
      <c r="AD37" s="34"/>
    </row>
    <row r="38" spans="1:30" ht="112.3" customHeight="1" x14ac:dyDescent="0.3">
      <c r="A38" s="1">
        <v>3389</v>
      </c>
      <c r="B38" s="14" t="s">
        <v>179</v>
      </c>
      <c r="C38" s="12">
        <v>9975423958</v>
      </c>
      <c r="D38" s="10" t="s">
        <v>180</v>
      </c>
      <c r="E38" s="10" t="s">
        <v>74</v>
      </c>
      <c r="F38" s="10" t="s">
        <v>17</v>
      </c>
      <c r="G38" s="17" t="s">
        <v>53</v>
      </c>
      <c r="H38" s="12">
        <v>1950</v>
      </c>
      <c r="I38" s="12">
        <v>487.5</v>
      </c>
      <c r="J38" s="10" t="s">
        <v>118</v>
      </c>
      <c r="K38" s="10" t="s">
        <v>181</v>
      </c>
      <c r="L38" s="12"/>
      <c r="M38" s="12"/>
      <c r="N38" s="13" t="s">
        <v>36</v>
      </c>
      <c r="O38" s="34" t="e">
        <f>VLOOKUP(A38,'[1]12-06-26'!$A$2:$T$115,20,0)</f>
        <v>#N/A</v>
      </c>
      <c r="P38" s="34" t="e">
        <f>VLOOKUP(A38,'[1]19-06-26'!$A$2:$T$113,20,0)</f>
        <v>#N/A</v>
      </c>
      <c r="Q38" s="34" t="str">
        <f>VLOOKUP(A38,'[1]26-06-26'!$A$2:$T$121,20,0)</f>
        <v>Alstromeria 22     FF Sachet + Grass</v>
      </c>
      <c r="R38" s="34" t="str">
        <f>VLOOKUP(A38,'[2]03-07-26'!$A$2:$T$124,20,0)</f>
        <v>O Asiatic ( 14 Inch ) 4     Grass</v>
      </c>
      <c r="S38" s="34" t="str">
        <f>VLOOKUP(A38,'[2]10-07-26'!$A$2:$T$138,20,0)</f>
        <v>G n W Car ( 14 Inch ) 22     FF Sachet + Grass</v>
      </c>
      <c r="T38" s="34" t="s">
        <v>543</v>
      </c>
      <c r="U38" s="34">
        <v>7</v>
      </c>
      <c r="V38" s="34"/>
      <c r="W38" s="34"/>
      <c r="X38" s="34"/>
      <c r="Y38" s="34"/>
      <c r="Z38" s="34" t="s">
        <v>539</v>
      </c>
      <c r="AA38" s="34"/>
      <c r="AB38" s="34"/>
      <c r="AC38" s="34"/>
      <c r="AD38" s="34"/>
    </row>
    <row r="39" spans="1:30" ht="112.3" customHeight="1" x14ac:dyDescent="0.3">
      <c r="A39" s="1">
        <v>2652</v>
      </c>
      <c r="B39" s="24" t="s">
        <v>182</v>
      </c>
      <c r="C39" s="12">
        <v>8527486150</v>
      </c>
      <c r="D39" s="10" t="s">
        <v>183</v>
      </c>
      <c r="E39" s="10" t="s">
        <v>74</v>
      </c>
      <c r="F39" s="10" t="s">
        <v>17</v>
      </c>
      <c r="G39" s="18" t="s">
        <v>53</v>
      </c>
      <c r="H39" s="12">
        <v>1450</v>
      </c>
      <c r="I39" s="12">
        <v>362.5</v>
      </c>
      <c r="J39" s="10" t="s">
        <v>19</v>
      </c>
      <c r="K39" s="10" t="s">
        <v>184</v>
      </c>
      <c r="L39" s="10" t="s">
        <v>185</v>
      </c>
      <c r="M39" s="10" t="s">
        <v>186</v>
      </c>
      <c r="N39" s="13" t="s">
        <v>36</v>
      </c>
      <c r="O39" s="34" t="str">
        <f>VLOOKUP(A39,'[1]12-06-26'!$A$2:$T$115,20,0)</f>
        <v>Pur Eustoma ( 12 Inch ) 2 Mix Alstroemeria ( 12 Inch ) 7   FF Sachet + Grass</v>
      </c>
      <c r="P39" s="34" t="str">
        <f>VLOOKUP(A39,'[1]19-06-26'!$A$2:$T$113,20,0)</f>
        <v xml:space="preserve">P Spray Daisy ( 14 Inch ) 3 Pur n P Car ( 14 Inch ) 7  FF Sachet + Grass </v>
      </c>
      <c r="Q39" s="34" t="str">
        <f>VLOOKUP(A39,'[1]26-06-26'!$A$2:$T$121,20,0)</f>
        <v>P Asiatic ( 14 Inch ) 2 p Car ( 14 inch ) 7   FF sachet + Grass</v>
      </c>
      <c r="R39" s="34" t="str">
        <f>VLOOKUP(A39,'[2]03-07-26'!$A$2:$T$124,20,0)</f>
        <v>Sunflower ( 12 Inch ) 2 P n W Glad ( 14 Inch ) 7   FF Sachet + Grass</v>
      </c>
      <c r="S39" s="34" t="str">
        <f>VLOOKUP(A39,'[2]10-07-26'!$A$2:$T$138,20,0)</f>
        <v>P Spray Daisy ( 14 Inch ) 3 B Daisy 7   FF Sachet + Grass</v>
      </c>
      <c r="T39" s="34" t="s">
        <v>533</v>
      </c>
      <c r="U39" s="34">
        <v>2</v>
      </c>
      <c r="V39" s="34" t="s">
        <v>536</v>
      </c>
      <c r="W39" s="34">
        <v>7</v>
      </c>
      <c r="X39" s="34"/>
      <c r="Y39" s="34"/>
      <c r="Z39" s="34" t="s">
        <v>538</v>
      </c>
      <c r="AA39" s="34"/>
      <c r="AB39" s="34"/>
      <c r="AC39" s="34"/>
      <c r="AD39" s="34"/>
    </row>
    <row r="40" spans="1:30" ht="112.3" customHeight="1" x14ac:dyDescent="0.3">
      <c r="A40" s="1">
        <v>2259</v>
      </c>
      <c r="B40" s="14" t="s">
        <v>187</v>
      </c>
      <c r="C40" s="12">
        <v>9818659010</v>
      </c>
      <c r="D40" s="10" t="s">
        <v>188</v>
      </c>
      <c r="E40" s="10" t="s">
        <v>43</v>
      </c>
      <c r="F40" s="10" t="s">
        <v>39</v>
      </c>
      <c r="G40" s="11" t="s">
        <v>34</v>
      </c>
      <c r="H40" s="12">
        <v>3950</v>
      </c>
      <c r="I40" s="12">
        <v>493.75</v>
      </c>
      <c r="J40" s="23" t="s">
        <v>189</v>
      </c>
      <c r="K40" s="10" t="s">
        <v>190</v>
      </c>
      <c r="L40" s="10"/>
      <c r="M40" s="10" t="s">
        <v>191</v>
      </c>
      <c r="N40" s="13" t="s">
        <v>520</v>
      </c>
      <c r="O40" s="34" t="str">
        <f>VLOOKUP(A40,'[1]12-06-26'!$A$2:$T$115,20,0)</f>
        <v>Pur n P Car ( 14 Inch ) 20     FF Sachet + Grass</v>
      </c>
      <c r="P40" s="34" t="str">
        <f>VLOOKUP(A40,'[1]19-06-26'!$A$2:$T$113,20,0)</f>
        <v>P n W Glad ( 14 Inch ) 20     Grass</v>
      </c>
      <c r="Q40" s="34" t="str">
        <f>VLOOKUP(A40,'[1]26-06-26'!$A$2:$T$121,20,0)</f>
        <v>G n Y Spray Daisy ( 14 Inch ) 6     FF sachet + Grass</v>
      </c>
      <c r="R40" s="34" t="str">
        <f>VLOOKUP(A40,'[2]03-07-26'!$A$2:$T$124,20,0)</f>
        <v>Baloon Flowers  5     FF Sachet + Grass</v>
      </c>
      <c r="S40" s="34" t="str">
        <f>VLOOKUP(A40,'[2]10-07-26'!$A$2:$T$138,20,0)</f>
        <v>Mix Glad 20     FF Sachet + Grass</v>
      </c>
      <c r="T40" s="34" t="s">
        <v>527</v>
      </c>
      <c r="U40" s="34">
        <v>6</v>
      </c>
      <c r="V40" s="34"/>
      <c r="W40" s="34"/>
      <c r="X40" s="34"/>
      <c r="Y40" s="34"/>
      <c r="Z40" s="34" t="s">
        <v>539</v>
      </c>
      <c r="AA40" s="34"/>
      <c r="AB40" s="34"/>
      <c r="AC40" s="34"/>
      <c r="AD40" s="34"/>
    </row>
    <row r="41" spans="1:30" ht="112.3" customHeight="1" x14ac:dyDescent="0.3">
      <c r="A41" s="1">
        <v>3077</v>
      </c>
      <c r="B41" s="14" t="s">
        <v>192</v>
      </c>
      <c r="C41" s="12">
        <v>9999435065</v>
      </c>
      <c r="D41" s="10" t="s">
        <v>193</v>
      </c>
      <c r="E41" s="10" t="s">
        <v>74</v>
      </c>
      <c r="F41" s="10" t="s">
        <v>17</v>
      </c>
      <c r="G41" s="25" t="s">
        <v>194</v>
      </c>
      <c r="H41" s="12">
        <v>1950</v>
      </c>
      <c r="I41" s="12">
        <v>487.5</v>
      </c>
      <c r="J41" s="26" t="s">
        <v>118</v>
      </c>
      <c r="K41" s="10" t="s">
        <v>195</v>
      </c>
      <c r="L41" s="10" t="s">
        <v>196</v>
      </c>
      <c r="M41" s="12"/>
      <c r="N41" s="13" t="s">
        <v>36</v>
      </c>
      <c r="O41" s="34" t="str">
        <f>VLOOKUP(A41,'[1]12-06-26'!$A$2:$T$115,20,0)</f>
        <v>P n Y Spray Daisy ( 14 Inch ) 4 P n W Glad ( 14 Inch ) 11   FF Sachet + Grass</v>
      </c>
      <c r="P41" s="34" t="str">
        <f>VLOOKUP(A41,'[1]19-06-26'!$A$2:$T$113,20,0)</f>
        <v>Eustoma  2 Pur n P Car ( 14 Inch ) 11   FF sachet + Grass</v>
      </c>
      <c r="Q41" s="34" t="str">
        <f>VLOOKUP(A41,'[1]26-06-26'!$A$2:$T$121,20,0)</f>
        <v>Sunflower ( 12 Inch ) 3 Alstomeria( 12 Inch ) 11   FF Sachet + Grass</v>
      </c>
      <c r="R41" s="34" t="str">
        <f>VLOOKUP(A41,'[2]03-07-26'!$A$2:$T$124,20,0)</f>
        <v>W Asiatic ( 14 Inch ) 2 P n W Glad ( 14 Inch ) 11   Grass</v>
      </c>
      <c r="S41" s="34" t="str">
        <f>VLOOKUP(A41,'[2]10-07-26'!$A$2:$T$138,20,0)</f>
        <v>P n Y Spray Daisy ( 14 Inch ) 4 Rajni ( 14 Inch ) 11   FF Sachet + Grass</v>
      </c>
      <c r="T41" s="34" t="s">
        <v>544</v>
      </c>
      <c r="U41" s="34">
        <v>2</v>
      </c>
      <c r="V41" s="34" t="s">
        <v>542</v>
      </c>
      <c r="W41" s="34">
        <v>11</v>
      </c>
      <c r="X41" s="34"/>
      <c r="Y41" s="34"/>
      <c r="Z41" s="34" t="s">
        <v>539</v>
      </c>
      <c r="AA41" s="34"/>
      <c r="AB41" s="34"/>
      <c r="AC41" s="34"/>
      <c r="AD41" s="34"/>
    </row>
    <row r="42" spans="1:30" ht="112.3" customHeight="1" x14ac:dyDescent="0.3">
      <c r="A42" s="1">
        <v>1268</v>
      </c>
      <c r="B42" s="20" t="s">
        <v>197</v>
      </c>
      <c r="C42" s="12">
        <v>9810290780</v>
      </c>
      <c r="D42" s="10" t="s">
        <v>198</v>
      </c>
      <c r="E42" s="10" t="s">
        <v>25</v>
      </c>
      <c r="F42" s="10" t="s">
        <v>17</v>
      </c>
      <c r="G42" s="10" t="s">
        <v>18</v>
      </c>
      <c r="H42" s="12">
        <v>1950</v>
      </c>
      <c r="I42" s="12">
        <v>487.5</v>
      </c>
      <c r="J42" s="10" t="s">
        <v>118</v>
      </c>
      <c r="K42" s="10" t="s">
        <v>199</v>
      </c>
      <c r="L42" s="10" t="s">
        <v>200</v>
      </c>
      <c r="M42" s="12"/>
      <c r="N42" s="13" t="s">
        <v>36</v>
      </c>
      <c r="O42" s="34" t="e">
        <f>VLOOKUP(A42,'[1]12-06-26'!$A$2:$T$115,20,0)</f>
        <v>#N/A</v>
      </c>
      <c r="P42" s="34" t="str">
        <f>VLOOKUP(A42,'[1]19-06-26'!$A$2:$T$113,20,0)</f>
        <v>O Asiatic ( 14 Inch ) 4     Grass</v>
      </c>
      <c r="Q42" s="34" t="str">
        <f>VLOOKUP(A42,'[1]26-06-26'!$A$2:$T$121,20,0)</f>
        <v>Pur n P Car ( 14 Inch ) 22     FF Sachet + Grass</v>
      </c>
      <c r="R42" s="34" t="str">
        <f>VLOOKUP(A42,'[2]03-07-26'!$A$2:$T$124,20,0)</f>
        <v>Sunflower ( 12 Inch ) 5     FF Sachet + Grass</v>
      </c>
      <c r="S42" s="34" t="str">
        <f>VLOOKUP(A42,'[2]10-07-26'!$A$2:$T$138,20,0)</f>
        <v>Rajni ( 14 Inch ) 22     Grass</v>
      </c>
      <c r="T42" s="34" t="s">
        <v>543</v>
      </c>
      <c r="U42" s="34">
        <v>7</v>
      </c>
      <c r="V42" s="34"/>
      <c r="W42" s="34"/>
      <c r="X42" s="34"/>
      <c r="Y42" s="34"/>
      <c r="Z42" s="34" t="s">
        <v>539</v>
      </c>
      <c r="AA42" s="34"/>
      <c r="AB42" s="34"/>
      <c r="AC42" s="34"/>
      <c r="AD42" s="34"/>
    </row>
    <row r="43" spans="1:30" ht="112.3" customHeight="1" x14ac:dyDescent="0.3">
      <c r="A43" s="1">
        <v>3013</v>
      </c>
      <c r="B43" s="14" t="s">
        <v>201</v>
      </c>
      <c r="C43" s="12">
        <v>8652750573</v>
      </c>
      <c r="D43" s="10" t="s">
        <v>202</v>
      </c>
      <c r="E43" s="10" t="s">
        <v>25</v>
      </c>
      <c r="F43" s="10" t="s">
        <v>17</v>
      </c>
      <c r="G43" s="18" t="s">
        <v>194</v>
      </c>
      <c r="H43" s="12">
        <v>1450</v>
      </c>
      <c r="I43" s="12">
        <v>362.5</v>
      </c>
      <c r="J43" s="10" t="s">
        <v>19</v>
      </c>
      <c r="K43" s="10" t="s">
        <v>203</v>
      </c>
      <c r="L43" s="12"/>
      <c r="M43" s="12"/>
      <c r="N43" s="13" t="s">
        <v>31</v>
      </c>
      <c r="O43" s="34" t="str">
        <f>VLOOKUP(A43,'[1]12-06-26'!$A$2:$T$115,20,0)</f>
        <v>Pur Eustoma ( 12 Inch ) 2 Pur n P Car ( 14 Inch ) 7   FF Sachet + Grass</v>
      </c>
      <c r="P43" s="34" t="str">
        <f>VLOOKUP(A43,'[1]19-06-26'!$A$2:$T$113,20,0)</f>
        <v xml:space="preserve">Sunflower ( 12 Inch ) 2 Mix Alstroemeria (  12 Inch ) 7  FF Sachet + Grass </v>
      </c>
      <c r="Q43" s="34" t="str">
        <f>VLOOKUP(A43,'[1]26-06-26'!$A$2:$T$121,20,0)</f>
        <v>P Asiatic ( 14 Inch ) 2 Glad ( 14 Inch ) 7   Grass</v>
      </c>
      <c r="R43" s="34" t="str">
        <f>VLOOKUP(A43,'[2]03-07-26'!$A$2:$T$124,20,0)</f>
        <v>G Spray Daisy ( 14 Inch ) 3 P n W Car ( 14 Inch ) 7   FF Sachet + Grass</v>
      </c>
      <c r="S43" s="34" t="str">
        <f>VLOOKUP(A43,'[2]10-07-26'!$A$2:$T$138,20,0)</f>
        <v>Sunflower ( 12 Inch) 2 Rajni ( 14 Inch ) 7   FF Sachet + Grass</v>
      </c>
      <c r="T43" s="34" t="s">
        <v>533</v>
      </c>
      <c r="U43" s="34">
        <v>2</v>
      </c>
      <c r="V43" s="34" t="s">
        <v>536</v>
      </c>
      <c r="W43" s="34">
        <v>7</v>
      </c>
      <c r="X43" s="34"/>
      <c r="Y43" s="34"/>
      <c r="Z43" s="34" t="s">
        <v>538</v>
      </c>
      <c r="AA43" s="34"/>
      <c r="AB43" s="34"/>
      <c r="AC43" s="34"/>
      <c r="AD43" s="34"/>
    </row>
    <row r="44" spans="1:30" ht="112.3" customHeight="1" x14ac:dyDescent="0.3">
      <c r="A44" s="1">
        <v>2454</v>
      </c>
      <c r="B44" s="14" t="s">
        <v>204</v>
      </c>
      <c r="C44" s="10" t="s">
        <v>205</v>
      </c>
      <c r="D44" s="10" t="s">
        <v>206</v>
      </c>
      <c r="E44" s="10" t="s">
        <v>25</v>
      </c>
      <c r="F44" s="10" t="s">
        <v>17</v>
      </c>
      <c r="G44" s="11" t="s">
        <v>34</v>
      </c>
      <c r="H44" s="12">
        <v>1950</v>
      </c>
      <c r="I44" s="12">
        <v>487.5</v>
      </c>
      <c r="J44" s="10" t="s">
        <v>118</v>
      </c>
      <c r="K44" s="10" t="s">
        <v>207</v>
      </c>
      <c r="L44" s="12"/>
      <c r="M44" s="12"/>
      <c r="N44" s="13" t="s">
        <v>36</v>
      </c>
      <c r="O44" s="34" t="str">
        <f>VLOOKUP(A44,'[1]12-06-26'!$A$2:$T$115,20,0)</f>
        <v>Sunflower ( 12 Inch ) 3 P n W Glad ( 14 Inch ) 11   FF Sachet + Grass</v>
      </c>
      <c r="P44" s="34" t="str">
        <f>VLOOKUP(A44,'[1]19-06-26'!$A$2:$T$113,20,0)</f>
        <v>P Eustoma ( 12 Inch ) 2 Pur n P Car ( 14 Inch ) 11   FF sachet + Grass</v>
      </c>
      <c r="Q44" s="34" t="str">
        <f>VLOOKUP(A44,'[1]26-06-26'!$A$2:$T$121,20,0)</f>
        <v>P Asiatic ( 14 Inch ) 2 Glad ( 14 Inch ) 11   Grass</v>
      </c>
      <c r="R44" s="34" t="str">
        <f>VLOOKUP(A44,'[2]03-07-26'!$A$2:$T$124,20,0)</f>
        <v>Sunflower ( 12 Inch ) 3 Rajni ( 14 Inch ) 11   FF Sachet + Grass</v>
      </c>
      <c r="S44" s="34" t="str">
        <f>VLOOKUP(A44,'[2]10-07-26'!$A$2:$T$138,20,0)</f>
        <v>P n W Spray Daisy ( 14  Inch )  4 Mix Alstroemeria ( 12 Inch ) 11   FF Sachet + Grass</v>
      </c>
      <c r="T44" s="34" t="s">
        <v>608</v>
      </c>
      <c r="U44" s="34">
        <v>2</v>
      </c>
      <c r="V44" s="34" t="s">
        <v>542</v>
      </c>
      <c r="W44" s="34">
        <v>11</v>
      </c>
      <c r="X44" s="34"/>
      <c r="Y44" s="34"/>
      <c r="Z44" s="34" t="s">
        <v>538</v>
      </c>
      <c r="AA44" s="34"/>
      <c r="AB44" s="34"/>
      <c r="AC44" s="34"/>
      <c r="AD44" s="34"/>
    </row>
    <row r="45" spans="1:30" ht="112.3" customHeight="1" x14ac:dyDescent="0.3">
      <c r="A45" s="1">
        <v>2806</v>
      </c>
      <c r="B45" s="24" t="s">
        <v>208</v>
      </c>
      <c r="C45" s="27">
        <v>8800423311</v>
      </c>
      <c r="D45" s="10" t="s">
        <v>209</v>
      </c>
      <c r="E45" s="10" t="s">
        <v>43</v>
      </c>
      <c r="F45" s="10" t="s">
        <v>17</v>
      </c>
      <c r="G45" s="10" t="s">
        <v>18</v>
      </c>
      <c r="H45" s="12">
        <v>1450</v>
      </c>
      <c r="I45" s="12">
        <v>362.5</v>
      </c>
      <c r="J45" s="9" t="s">
        <v>19</v>
      </c>
      <c r="K45" s="10" t="s">
        <v>210</v>
      </c>
      <c r="L45" s="10" t="s">
        <v>211</v>
      </c>
      <c r="M45" s="12"/>
      <c r="N45" s="13" t="s">
        <v>91</v>
      </c>
      <c r="O45" s="34" t="e">
        <f>VLOOKUP(A45,'[1]12-06-26'!$A$2:$T$115,20,0)</f>
        <v>#N/A</v>
      </c>
      <c r="P45" s="34" t="e">
        <f>VLOOKUP(A45,'[1]19-06-26'!$A$2:$T$113,20,0)</f>
        <v>#N/A</v>
      </c>
      <c r="Q45" s="34" t="e">
        <f>VLOOKUP(A45,'[1]26-06-26'!$A$2:$T$121,20,0)</f>
        <v>#N/A</v>
      </c>
      <c r="R45" s="34" t="str">
        <f>VLOOKUP(A45,'[2]03-07-26'!$A$2:$T$124,20,0)</f>
        <v>Pur n P Car ( 14 Inch ) 16     FF Sachet + Grass</v>
      </c>
      <c r="S45" s="34" t="str">
        <f>VLOOKUP(A45,'[2]10-07-26'!$A$2:$T$138,20,0)</f>
        <v>Y Asiatic ( 14 Inch ) 3     Grass</v>
      </c>
      <c r="T45" s="34" t="s">
        <v>526</v>
      </c>
      <c r="U45" s="34">
        <v>16</v>
      </c>
      <c r="V45" s="34"/>
      <c r="W45" s="34"/>
      <c r="X45" s="34"/>
      <c r="Y45" s="34"/>
      <c r="Z45" s="34" t="s">
        <v>538</v>
      </c>
      <c r="AA45" s="34"/>
      <c r="AB45" s="34"/>
      <c r="AC45" s="34"/>
      <c r="AD45" s="34"/>
    </row>
    <row r="46" spans="1:30" ht="112.3" customHeight="1" x14ac:dyDescent="0.3">
      <c r="A46" s="1">
        <v>1433</v>
      </c>
      <c r="B46" s="14" t="s">
        <v>212</v>
      </c>
      <c r="C46" s="27">
        <v>9818603355</v>
      </c>
      <c r="D46" s="10" t="s">
        <v>213</v>
      </c>
      <c r="E46" s="10" t="s">
        <v>62</v>
      </c>
      <c r="F46" s="10" t="s">
        <v>17</v>
      </c>
      <c r="G46" s="18" t="s">
        <v>214</v>
      </c>
      <c r="H46" s="12">
        <v>1450</v>
      </c>
      <c r="I46" s="12">
        <v>362.5</v>
      </c>
      <c r="J46" s="9" t="s">
        <v>19</v>
      </c>
      <c r="K46" s="10" t="s">
        <v>215</v>
      </c>
      <c r="L46" s="10" t="s">
        <v>216</v>
      </c>
      <c r="M46" s="10" t="s">
        <v>191</v>
      </c>
      <c r="N46" s="13" t="s">
        <v>31</v>
      </c>
      <c r="O46" s="34" t="str">
        <f>VLOOKUP(A46,'[1]12-06-26'!$A$2:$T$115,20,0)</f>
        <v>Pur n P Car ( 14 Inch ) 9     FF Sachet + Grass</v>
      </c>
      <c r="P46" s="34" t="str">
        <f>VLOOKUP(A46,'[1]19-06-26'!$A$2:$T$113,20,0)</f>
        <v xml:space="preserve">Mix Alstroemeria ( 12 Inch ) 9    FF Sachet + Grass </v>
      </c>
      <c r="Q46" s="34" t="str">
        <f>VLOOKUP(A46,'[1]26-06-26'!$A$2:$T$121,20,0)</f>
        <v>Pur Eustoma ( 12 Inch ) 2     FF aschet + Grass</v>
      </c>
      <c r="R46" s="34" t="str">
        <f>VLOOKUP(A46,'[2]03-07-26'!$A$2:$T$124,20,0)</f>
        <v>P n W Glad ( 14 Inch ) 16     Grass</v>
      </c>
      <c r="S46" s="34" t="str">
        <f>VLOOKUP(A46,'[2]10-07-26'!$A$2:$T$138,20,0)</f>
        <v>Sunflower ( 12 Inch) 4     FF Sachet + Grass</v>
      </c>
      <c r="T46" s="34" t="s">
        <v>542</v>
      </c>
      <c r="U46" s="34">
        <v>16</v>
      </c>
      <c r="V46" s="34"/>
      <c r="W46" s="34"/>
      <c r="X46" s="34"/>
      <c r="Y46" s="34"/>
      <c r="Z46" s="34" t="s">
        <v>539</v>
      </c>
      <c r="AA46" s="34"/>
      <c r="AB46" s="34"/>
      <c r="AC46" s="34"/>
      <c r="AD46" s="34"/>
    </row>
    <row r="47" spans="1:30" ht="112.3" customHeight="1" x14ac:dyDescent="0.3">
      <c r="A47" s="1">
        <v>3354</v>
      </c>
      <c r="B47" s="14" t="s">
        <v>217</v>
      </c>
      <c r="C47" s="12">
        <v>9971944440</v>
      </c>
      <c r="D47" s="10" t="s">
        <v>218</v>
      </c>
      <c r="E47" s="10" t="s">
        <v>43</v>
      </c>
      <c r="F47" s="10" t="s">
        <v>17</v>
      </c>
      <c r="G47" s="11" t="s">
        <v>34</v>
      </c>
      <c r="H47" s="12">
        <v>1450</v>
      </c>
      <c r="I47" s="12">
        <v>362.5</v>
      </c>
      <c r="J47" s="10" t="s">
        <v>19</v>
      </c>
      <c r="K47" s="12"/>
      <c r="L47" s="12"/>
      <c r="M47" s="12"/>
      <c r="N47" s="13" t="s">
        <v>31</v>
      </c>
      <c r="O47" s="34" t="str">
        <f>VLOOKUP(A47,'[1]12-06-26'!$A$2:$T$115,20,0)</f>
        <v>R n W Car ( 14 Inch ) 16     FF Sachet + Grass</v>
      </c>
      <c r="P47" s="34" t="str">
        <f>VLOOKUP(A47,'[1]19-06-26'!$A$2:$T$113,20,0)</f>
        <v xml:space="preserve">Pur Eustom ( 12 Inch ) 3    FF Sachet + Grass </v>
      </c>
      <c r="Q47" s="34" t="str">
        <f>VLOOKUP(A47,'[1]26-06-26'!$A$2:$T$121,20,0)</f>
        <v>P n W Glad ( 14 Inch ) 16     Grass</v>
      </c>
      <c r="R47" s="34" t="str">
        <f>VLOOKUP(A47,'[2]03-07-26'!$A$2:$T$124,20,0)</f>
        <v>Sunflower ( 12 Inch ) 4     FF Sachet + Grass</v>
      </c>
      <c r="S47" s="34" t="str">
        <f>VLOOKUP(A47,'[2]10-07-26'!$A$2:$T$138,20,0)</f>
        <v>Rajni ( 14 Inch ) 16     Grass</v>
      </c>
      <c r="T47" s="34" t="s">
        <v>608</v>
      </c>
      <c r="U47" s="34">
        <v>3</v>
      </c>
      <c r="V47" s="34"/>
      <c r="W47" s="34"/>
      <c r="X47" s="34"/>
      <c r="Y47" s="34"/>
      <c r="Z47" s="34" t="s">
        <v>538</v>
      </c>
      <c r="AA47" s="34"/>
      <c r="AB47" s="34"/>
      <c r="AC47" s="34"/>
      <c r="AD47" s="34"/>
    </row>
    <row r="48" spans="1:30" ht="112.3" customHeight="1" x14ac:dyDescent="0.3">
      <c r="A48" s="1">
        <v>1389</v>
      </c>
      <c r="B48" s="28" t="s">
        <v>219</v>
      </c>
      <c r="C48" s="12">
        <v>9811998878</v>
      </c>
      <c r="D48" s="10" t="s">
        <v>220</v>
      </c>
      <c r="E48" s="10" t="s">
        <v>25</v>
      </c>
      <c r="F48" s="10" t="s">
        <v>17</v>
      </c>
      <c r="G48" s="17" t="s">
        <v>214</v>
      </c>
      <c r="H48" s="12">
        <v>3850</v>
      </c>
      <c r="I48" s="12">
        <v>481.25</v>
      </c>
      <c r="J48" s="23" t="s">
        <v>189</v>
      </c>
      <c r="K48" s="10" t="s">
        <v>221</v>
      </c>
      <c r="L48" s="10" t="s">
        <v>222</v>
      </c>
      <c r="M48" s="12"/>
      <c r="N48" s="13" t="s">
        <v>521</v>
      </c>
      <c r="O48" s="34" t="str">
        <f>VLOOKUP(A48,'[1]12-06-26'!$A$2:$T$115,20,0)</f>
        <v>Rajni ( 14 Inch ) 20     Grass</v>
      </c>
      <c r="P48" s="34" t="str">
        <f>VLOOKUP(A48,'[1]19-06-26'!$A$2:$T$113,20,0)</f>
        <v>P Asiatic ( 14 Inch ) 4     Grass</v>
      </c>
      <c r="Q48" s="34" t="str">
        <f>VLOOKUP(A48,'[1]26-06-26'!$A$2:$T$121,20,0)</f>
        <v>P n W Glad ( 14 Inch ) 20     Grass</v>
      </c>
      <c r="R48" s="34" t="str">
        <f>VLOOKUP(A48,'[2]03-07-26'!$A$2:$T$124,20,0)</f>
        <v>Sunflower ( 12 Inch ) 5     FF Sachet + Grass</v>
      </c>
      <c r="S48" s="34" t="str">
        <f>VLOOKUP(A48,'[2]10-07-26'!$A$2:$T$138,20,0)</f>
        <v>Eustoma 4     Grass</v>
      </c>
      <c r="T48" s="34" t="s">
        <v>536</v>
      </c>
      <c r="U48" s="34">
        <v>15</v>
      </c>
      <c r="V48" s="34"/>
      <c r="W48" s="34"/>
      <c r="X48" s="34"/>
      <c r="Y48" s="34"/>
      <c r="Z48" s="34" t="s">
        <v>539</v>
      </c>
      <c r="AA48" s="34"/>
      <c r="AB48" s="34"/>
      <c r="AC48" s="34"/>
      <c r="AD48" s="34"/>
    </row>
    <row r="49" spans="1:30" ht="112.3" customHeight="1" x14ac:dyDescent="0.3">
      <c r="A49" s="1">
        <v>3394</v>
      </c>
      <c r="B49" s="14" t="s">
        <v>223</v>
      </c>
      <c r="C49" s="12">
        <v>7013060378</v>
      </c>
      <c r="D49" s="10" t="s">
        <v>224</v>
      </c>
      <c r="E49" s="10" t="s">
        <v>25</v>
      </c>
      <c r="F49" s="10" t="s">
        <v>17</v>
      </c>
      <c r="G49" s="10" t="s">
        <v>18</v>
      </c>
      <c r="H49" s="12">
        <v>2750</v>
      </c>
      <c r="I49" s="12">
        <v>687.5</v>
      </c>
      <c r="J49" s="9" t="s">
        <v>19</v>
      </c>
      <c r="K49" s="10" t="s">
        <v>225</v>
      </c>
      <c r="L49" s="12"/>
      <c r="M49" s="12"/>
      <c r="N49" s="13" t="s">
        <v>31</v>
      </c>
      <c r="O49" s="34" t="e">
        <f>VLOOKUP(A49,'[1]12-06-26'!$A$2:$T$115,20,0)</f>
        <v>#N/A</v>
      </c>
      <c r="P49" s="34" t="e">
        <f>VLOOKUP(A49,'[1]19-06-26'!$A$2:$T$113,20,0)</f>
        <v>#N/A</v>
      </c>
      <c r="Q49" s="34" t="e">
        <f>VLOOKUP(A49,'[1]26-06-26'!$A$2:$T$121,20,0)</f>
        <v>#N/A</v>
      </c>
      <c r="R49" s="34" t="str">
        <f>VLOOKUP(A49,'[2]03-07-26'!$A$2:$T$124,20,0)</f>
        <v>Pur n P Car ( 14 Inch ) 32     FF Sachet + Grass</v>
      </c>
      <c r="S49" s="34" t="str">
        <f>VLOOKUP(A49,'[2]10-07-26'!$A$2:$T$138,20,0)</f>
        <v>O Asiatic ( 14 Inch ) 6     2 Gypsola</v>
      </c>
      <c r="T49" s="34" t="s">
        <v>546</v>
      </c>
      <c r="U49" s="34">
        <v>32</v>
      </c>
      <c r="V49" s="34"/>
      <c r="W49" s="34"/>
      <c r="X49" s="34"/>
      <c r="Y49" s="34"/>
      <c r="Z49" s="34" t="s">
        <v>547</v>
      </c>
      <c r="AA49" s="34"/>
      <c r="AB49" s="34"/>
      <c r="AC49" s="34"/>
      <c r="AD49" s="34"/>
    </row>
    <row r="50" spans="1:30" ht="112.3" customHeight="1" x14ac:dyDescent="0.3">
      <c r="A50" s="1">
        <v>1974</v>
      </c>
      <c r="B50" s="14" t="s">
        <v>226</v>
      </c>
      <c r="C50" s="12">
        <v>9810239177</v>
      </c>
      <c r="D50" s="10" t="s">
        <v>227</v>
      </c>
      <c r="E50" s="10" t="s">
        <v>43</v>
      </c>
      <c r="F50" s="10" t="s">
        <v>17</v>
      </c>
      <c r="G50" s="11" t="s">
        <v>34</v>
      </c>
      <c r="H50" s="12">
        <v>2750</v>
      </c>
      <c r="I50" s="12">
        <v>687.5</v>
      </c>
      <c r="J50" s="10" t="s">
        <v>57</v>
      </c>
      <c r="K50" s="10" t="s">
        <v>228</v>
      </c>
      <c r="L50" s="12"/>
      <c r="M50" s="12"/>
      <c r="N50" s="13" t="s">
        <v>141</v>
      </c>
      <c r="O50" s="34" t="str">
        <f>VLOOKUP(A50,'[1]12-06-26'!$A$2:$T$115,20,0)</f>
        <v>Pur n P Car ( 14 Inch ) 32     2 Limonium + FF sachet</v>
      </c>
      <c r="P50" s="34" t="str">
        <f>VLOOKUP(A50,'[1]19-06-26'!$A$2:$T$113,20,0)</f>
        <v>P n Pur Eustoma ( 12 Inch ) 6     FF sachet + Grass</v>
      </c>
      <c r="Q50" s="34" t="str">
        <f>VLOOKUP(A50,'[1]26-06-26'!$A$2:$T$121,20,0)</f>
        <v>O Asiatic ( 14 Inch ) 6     2 Gypaols</v>
      </c>
      <c r="R50" s="34" t="e">
        <f>VLOOKUP(A50,'[2]03-07-26'!$A$2:$T$124,20,0)</f>
        <v>#N/A</v>
      </c>
      <c r="S50" s="34" t="e">
        <f>VLOOKUP(A50,'[2]10-07-26'!$A$2:$T$138,20,0)</f>
        <v>#N/A</v>
      </c>
      <c r="T50" s="34" t="s">
        <v>542</v>
      </c>
      <c r="U50" s="34">
        <v>32</v>
      </c>
      <c r="V50" s="34"/>
      <c r="W50" s="34"/>
      <c r="X50" s="34"/>
      <c r="Y50" s="34"/>
      <c r="Z50" s="34" t="s">
        <v>548</v>
      </c>
      <c r="AA50" s="34"/>
      <c r="AB50" s="34"/>
      <c r="AC50" s="34"/>
      <c r="AD50" s="34"/>
    </row>
    <row r="51" spans="1:30" ht="112.3" customHeight="1" x14ac:dyDescent="0.3">
      <c r="A51" s="9" t="s">
        <v>229</v>
      </c>
      <c r="B51" s="14" t="s">
        <v>230</v>
      </c>
      <c r="C51" s="1">
        <v>9560068750</v>
      </c>
      <c r="D51" s="1" t="s">
        <v>231</v>
      </c>
      <c r="E51" s="10" t="s">
        <v>43</v>
      </c>
      <c r="F51" s="9" t="s">
        <v>17</v>
      </c>
      <c r="G51" s="11" t="s">
        <v>34</v>
      </c>
      <c r="H51" s="12">
        <v>3950</v>
      </c>
      <c r="I51" s="12">
        <v>493.75</v>
      </c>
      <c r="J51" s="10" t="s">
        <v>189</v>
      </c>
      <c r="K51" s="9" t="s">
        <v>232</v>
      </c>
      <c r="L51" s="10" t="s">
        <v>233</v>
      </c>
      <c r="M51" s="12"/>
      <c r="N51" s="13" t="s">
        <v>517</v>
      </c>
      <c r="O51" s="34" t="e">
        <f>VLOOKUP(A51,'[1]12-06-26'!$A$2:$T$115,20,0)</f>
        <v>#N/A</v>
      </c>
      <c r="P51" s="34" t="e">
        <f>VLOOKUP(A51,'[1]19-06-26'!$A$2:$T$113,20,0)</f>
        <v>#N/A</v>
      </c>
      <c r="Q51" s="34" t="e">
        <f>VLOOKUP(A51,'[1]26-06-26'!$A$2:$T$121,20,0)</f>
        <v>#N/A</v>
      </c>
      <c r="R51" s="34" t="str">
        <f>VLOOKUP(A51,'[2]03-07-26'!$A$2:$T$124,20,0)</f>
        <v>P Asiatic ( 14 Inch ) 4     Grass</v>
      </c>
      <c r="S51" s="34" t="str">
        <f>VLOOKUP(A51,'[2]10-07-26'!$A$2:$T$138,20,0)</f>
        <v>Rajni ( 14 Inch ) 20     Grass</v>
      </c>
      <c r="T51" s="34" t="s">
        <v>533</v>
      </c>
      <c r="U51" s="34">
        <v>4</v>
      </c>
      <c r="V51" s="34"/>
      <c r="W51" s="34"/>
      <c r="X51" s="34"/>
      <c r="Y51" s="34"/>
      <c r="Z51" s="34" t="s">
        <v>538</v>
      </c>
      <c r="AA51" s="34"/>
      <c r="AB51" s="34"/>
      <c r="AC51" s="34"/>
      <c r="AD51" s="34"/>
    </row>
    <row r="52" spans="1:30" ht="112.3" customHeight="1" x14ac:dyDescent="0.3">
      <c r="A52" s="1">
        <v>1996</v>
      </c>
      <c r="B52" s="24" t="s">
        <v>234</v>
      </c>
      <c r="C52" s="12">
        <v>9899660037</v>
      </c>
      <c r="D52" s="10" t="s">
        <v>235</v>
      </c>
      <c r="E52" s="10" t="s">
        <v>16</v>
      </c>
      <c r="F52" s="10" t="s">
        <v>17</v>
      </c>
      <c r="G52" s="11" t="s">
        <v>34</v>
      </c>
      <c r="H52" s="12">
        <v>1450</v>
      </c>
      <c r="I52" s="12">
        <v>362.5</v>
      </c>
      <c r="J52" s="10" t="s">
        <v>19</v>
      </c>
      <c r="K52" s="10" t="s">
        <v>236</v>
      </c>
      <c r="L52" s="10" t="s">
        <v>237</v>
      </c>
      <c r="M52" s="12"/>
      <c r="N52" s="13" t="s">
        <v>31</v>
      </c>
      <c r="O52" s="34" t="str">
        <f>VLOOKUP(A52,'[1]12-06-26'!$A$2:$T$115,20,0)</f>
        <v>Sunflower ( 12 Inch ) 4     FF Sachet + Grass</v>
      </c>
      <c r="P52" s="34" t="str">
        <f>VLOOKUP(A52,'[1]19-06-26'!$A$2:$T$113,20,0)</f>
        <v xml:space="preserve">Pur Eustom ( 12 Inch ) 3    FF Sachet + Grass </v>
      </c>
      <c r="Q52" s="34" t="str">
        <f>VLOOKUP(A52,'[1]26-06-26'!$A$2:$T$121,20,0)</f>
        <v>P n W Car ( 14 Inch ) 16     FF sachet + Grass</v>
      </c>
      <c r="R52" s="34" t="str">
        <f>VLOOKUP(A52,'[2]03-07-26'!$A$2:$T$124,20,0)</f>
        <v>O Asiatic ( 14 Inch ) 3     Grass</v>
      </c>
      <c r="S52" s="34" t="str">
        <f>VLOOKUP(A52,'[2]10-07-26'!$A$2:$T$138,20,0)</f>
        <v>Rajni ( 14 Inch ) 16     Grass</v>
      </c>
      <c r="T52" s="34" t="s">
        <v>543</v>
      </c>
      <c r="U52" s="34">
        <v>5</v>
      </c>
      <c r="V52" s="34"/>
      <c r="W52" s="34"/>
      <c r="X52" s="34"/>
      <c r="Y52" s="34"/>
      <c r="Z52" s="34" t="s">
        <v>539</v>
      </c>
      <c r="AA52" s="34"/>
      <c r="AB52" s="34"/>
      <c r="AC52" s="34"/>
      <c r="AD52" s="34"/>
    </row>
    <row r="53" spans="1:30" ht="112.3" customHeight="1" x14ac:dyDescent="0.3">
      <c r="A53" s="1">
        <v>87</v>
      </c>
      <c r="B53" s="14" t="s">
        <v>238</v>
      </c>
      <c r="C53" s="1">
        <v>9716199110</v>
      </c>
      <c r="D53" s="1" t="s">
        <v>239</v>
      </c>
      <c r="E53" s="9" t="s">
        <v>62</v>
      </c>
      <c r="F53" s="9" t="s">
        <v>17</v>
      </c>
      <c r="G53" s="18" t="s">
        <v>214</v>
      </c>
      <c r="H53" s="12">
        <v>1450</v>
      </c>
      <c r="I53" s="12">
        <v>362.5</v>
      </c>
      <c r="J53" s="10" t="s">
        <v>19</v>
      </c>
      <c r="K53" s="9" t="s">
        <v>240</v>
      </c>
      <c r="L53" s="12"/>
      <c r="M53" s="12"/>
      <c r="N53" s="13" t="s">
        <v>241</v>
      </c>
      <c r="O53" s="34" t="str">
        <f>VLOOKUP(A53,'[1]12-06-26'!$A$2:$T$115,20,0)</f>
        <v>P n Y Spray Daisy ( 14 Inch ) 5     FF Sachet + Grass</v>
      </c>
      <c r="P53" s="34" t="str">
        <f>VLOOKUP(A53,'[1]19-06-26'!$A$2:$T$113,20,0)</f>
        <v xml:space="preserve">Mix Car 16    Grass </v>
      </c>
      <c r="Q53" s="34" t="str">
        <f>VLOOKUP(A53,'[1]26-06-26'!$A$2:$T$121,20,0)</f>
        <v>Asiatic 3     Grass</v>
      </c>
      <c r="R53" s="34" t="str">
        <f>VLOOKUP(A53,'[2]03-07-26'!$A$2:$T$124,20,0)</f>
        <v>P n W Glad ( 14 Inch ) 16     Grass</v>
      </c>
      <c r="S53" s="34" t="str">
        <f>VLOOKUP(A53,'[2]10-07-26'!$A$2:$T$138,20,0)</f>
        <v>Rajni ( 14 Inch ) 16     Grass</v>
      </c>
      <c r="T53" s="34" t="s">
        <v>542</v>
      </c>
      <c r="U53" s="34">
        <v>16</v>
      </c>
      <c r="V53" s="34"/>
      <c r="W53" s="34"/>
      <c r="X53" s="34"/>
      <c r="Y53" s="34"/>
      <c r="Z53" s="34" t="s">
        <v>539</v>
      </c>
      <c r="AA53" s="34"/>
      <c r="AB53" s="34"/>
      <c r="AC53" s="34"/>
      <c r="AD53" s="34"/>
    </row>
    <row r="54" spans="1:30" ht="112.3" customHeight="1" x14ac:dyDescent="0.3">
      <c r="A54" s="1">
        <v>781</v>
      </c>
      <c r="B54" s="14" t="s">
        <v>242</v>
      </c>
      <c r="C54" s="1">
        <v>9971391417</v>
      </c>
      <c r="D54" s="1" t="s">
        <v>243</v>
      </c>
      <c r="E54" s="9" t="s">
        <v>62</v>
      </c>
      <c r="F54" s="9" t="s">
        <v>17</v>
      </c>
      <c r="G54" s="18" t="s">
        <v>214</v>
      </c>
      <c r="H54" s="12">
        <v>1450</v>
      </c>
      <c r="I54" s="12">
        <v>362.5</v>
      </c>
      <c r="J54" s="10" t="s">
        <v>19</v>
      </c>
      <c r="K54" s="9" t="s">
        <v>244</v>
      </c>
      <c r="L54" s="12"/>
      <c r="M54" s="12"/>
      <c r="N54" s="13" t="s">
        <v>31</v>
      </c>
      <c r="O54" s="34" t="str">
        <f>VLOOKUP(A54,'[1]12-06-26'!$A$2:$T$115,20,0)</f>
        <v>P n Y Spray Daisy ( 14 Inch ) 5     FF Sachet + Grass</v>
      </c>
      <c r="P54" s="34" t="str">
        <f>VLOOKUP(A54,'[1]19-06-26'!$A$2:$T$113,20,0)</f>
        <v xml:space="preserve">R n P Car ( 14 Inch ) 16    FF Sachet + Grass </v>
      </c>
      <c r="Q54" s="34" t="str">
        <f>VLOOKUP(A54,'[1]26-06-26'!$A$2:$T$121,20,0)</f>
        <v>Mix Alstroemeria 16     Grass</v>
      </c>
      <c r="R54" s="34" t="str">
        <f>VLOOKUP(A54,'[2]03-07-26'!$A$2:$T$124,20,0)</f>
        <v>Sunflower ( 12 Inch ) 4     FF Sachet + Grass</v>
      </c>
      <c r="S54" s="34" t="str">
        <f>VLOOKUP(A54,'[2]10-07-26'!$A$2:$T$138,20,0)</f>
        <v>Mix Spray Daisy 5     Grass</v>
      </c>
      <c r="T54" s="34" t="s">
        <v>533</v>
      </c>
      <c r="U54" s="34">
        <v>3</v>
      </c>
      <c r="V54" s="34"/>
      <c r="W54" s="34"/>
      <c r="X54" s="34"/>
      <c r="Y54" s="34"/>
      <c r="Z54" s="34" t="s">
        <v>538</v>
      </c>
      <c r="AA54" s="34"/>
      <c r="AB54" s="34"/>
      <c r="AC54" s="34"/>
      <c r="AD54" s="34"/>
    </row>
    <row r="55" spans="1:30" ht="112.3" customHeight="1" x14ac:dyDescent="0.3">
      <c r="A55" s="1">
        <v>3099</v>
      </c>
      <c r="B55" s="29" t="s">
        <v>245</v>
      </c>
      <c r="C55" s="12">
        <v>9910993142</v>
      </c>
      <c r="D55" s="10" t="s">
        <v>246</v>
      </c>
      <c r="E55" s="10" t="s">
        <v>247</v>
      </c>
      <c r="F55" s="10" t="s">
        <v>17</v>
      </c>
      <c r="G55" s="17" t="s">
        <v>194</v>
      </c>
      <c r="H55" s="12">
        <v>1950</v>
      </c>
      <c r="I55" s="12">
        <v>487.5</v>
      </c>
      <c r="J55" s="10" t="s">
        <v>118</v>
      </c>
      <c r="K55" s="10" t="s">
        <v>248</v>
      </c>
      <c r="L55" s="12"/>
      <c r="M55" s="12"/>
      <c r="N55" s="13" t="s">
        <v>249</v>
      </c>
      <c r="O55" s="34" t="str">
        <f>VLOOKUP(A55,'[1]12-06-26'!$A$2:$T$115,20,0)</f>
        <v>P n Y Spray Daisy ( 14 Inch ) 4 Mix Alstroemeria ( 12 Inch ) 11   FF Sachet + Grass</v>
      </c>
      <c r="P55" s="34" t="str">
        <f>VLOOKUP(A55,'[1]19-06-26'!$A$2:$T$113,20,0)</f>
        <v>O Asiatic ( 14 Inch ) 2 Pur n P Car ( 14 Inch ) 11   Grass</v>
      </c>
      <c r="Q55" s="34" t="str">
        <f>VLOOKUP(A55,'[1]26-06-26'!$A$2:$T$121,20,0)</f>
        <v>Asiatic 2 Alstromeria 11   FF Sachet + Grass</v>
      </c>
      <c r="R55" s="34" t="str">
        <f>VLOOKUP(A55,'[2]03-07-26'!$A$2:$T$124,20,0)</f>
        <v>Sunflower ( 12 Inch ) 3 P n W Glad ( 14 Inch ) 11   FF Sachet + Grass</v>
      </c>
      <c r="S55" s="34" t="str">
        <f>VLOOKUP(A55,'[2]10-07-26'!$A$2:$T$138,20,0)</f>
        <v>P n W Spray Daisy ( 14  Inch )  4 G n W Car ( 14 Inch ) 11   FF Sachet + Grass</v>
      </c>
      <c r="T55" s="34" t="s">
        <v>533</v>
      </c>
      <c r="U55" s="34">
        <v>2</v>
      </c>
      <c r="V55" s="34" t="s">
        <v>536</v>
      </c>
      <c r="W55" s="34">
        <v>11</v>
      </c>
      <c r="X55" s="34"/>
      <c r="Y55" s="34"/>
      <c r="Z55" s="34" t="s">
        <v>538</v>
      </c>
      <c r="AA55" s="34"/>
      <c r="AB55" s="34"/>
      <c r="AC55" s="34"/>
      <c r="AD55" s="34"/>
    </row>
    <row r="56" spans="1:30" ht="112.3" customHeight="1" x14ac:dyDescent="0.3">
      <c r="A56" s="1">
        <v>3047</v>
      </c>
      <c r="B56" s="14" t="s">
        <v>250</v>
      </c>
      <c r="C56" s="27">
        <v>9811222881</v>
      </c>
      <c r="D56" s="10" t="s">
        <v>251</v>
      </c>
      <c r="E56" s="10" t="s">
        <v>25</v>
      </c>
      <c r="F56" s="10" t="s">
        <v>17</v>
      </c>
      <c r="G56" s="18" t="s">
        <v>214</v>
      </c>
      <c r="H56" s="12">
        <v>1450</v>
      </c>
      <c r="I56" s="12">
        <v>362.5</v>
      </c>
      <c r="J56" s="9" t="s">
        <v>19</v>
      </c>
      <c r="K56" s="10" t="s">
        <v>252</v>
      </c>
      <c r="L56" s="12"/>
      <c r="M56" s="12"/>
      <c r="N56" s="13" t="s">
        <v>31</v>
      </c>
      <c r="O56" s="34" t="str">
        <f>VLOOKUP(A56,'[1]12-06-26'!$A$2:$T$115,20,0)</f>
        <v>P Asiatic ( 14 Inch ) 2     Grass</v>
      </c>
      <c r="P56" s="34" t="str">
        <f>VLOOKUP(A56,'[1]19-06-26'!$A$2:$T$113,20,0)</f>
        <v xml:space="preserve">Pur n P Car ( 14 Inch ) 9    FF Sachet + Grass </v>
      </c>
      <c r="Q56" s="34" t="str">
        <f>VLOOKUP(A56,'[1]26-06-26'!$A$2:$T$121,20,0)</f>
        <v>P n W Glad ( 14 Inch ) 9     Grass</v>
      </c>
      <c r="R56" s="34" t="str">
        <f>VLOOKUP(A56,'[2]03-07-26'!$A$2:$T$124,20,0)</f>
        <v>Sunflower ( 12 Inch ) 4     FF Sachet + Grass</v>
      </c>
      <c r="S56" s="34" t="str">
        <f>VLOOKUP(A56,'[2]10-07-26'!$A$2:$T$138,20,0)</f>
        <v>Y Asiatic ( 14 Inch ) 3     FF Sachet + Grass</v>
      </c>
      <c r="T56" s="34" t="s">
        <v>527</v>
      </c>
      <c r="U56" s="34">
        <v>5</v>
      </c>
      <c r="V56" s="34"/>
      <c r="W56" s="34"/>
      <c r="X56" s="34"/>
      <c r="Y56" s="34"/>
      <c r="Z56" s="34" t="s">
        <v>539</v>
      </c>
      <c r="AA56" s="34"/>
      <c r="AB56" s="34"/>
      <c r="AC56" s="34"/>
      <c r="AD56" s="34"/>
    </row>
    <row r="57" spans="1:30" ht="112.3" customHeight="1" x14ac:dyDescent="0.3">
      <c r="A57" s="1">
        <v>139</v>
      </c>
      <c r="B57" s="14" t="s">
        <v>253</v>
      </c>
      <c r="C57" s="1">
        <v>9899048440</v>
      </c>
      <c r="D57" s="1" t="s">
        <v>254</v>
      </c>
      <c r="E57" s="10" t="s">
        <v>16</v>
      </c>
      <c r="F57" s="9" t="s">
        <v>17</v>
      </c>
      <c r="G57" s="11" t="s">
        <v>34</v>
      </c>
      <c r="H57" s="12">
        <v>4750</v>
      </c>
      <c r="I57" s="12">
        <v>1187.5</v>
      </c>
      <c r="J57" s="10" t="s">
        <v>255</v>
      </c>
      <c r="K57" s="9" t="s">
        <v>256</v>
      </c>
      <c r="L57" s="10" t="s">
        <v>185</v>
      </c>
      <c r="M57" s="12"/>
      <c r="N57" s="13" t="s">
        <v>31</v>
      </c>
      <c r="O57" s="34" t="str">
        <f>VLOOKUP(A57,'[1]12-06-26'!$A$2:$T$115,20,0)</f>
        <v>W Asiatic ( 14 inch ) 6 Mix Alstroemeria ( 12 Inch ) 18 Pur n P Car ( 14 Inch ) 18 Grass</v>
      </c>
      <c r="P57" s="34" t="str">
        <f>VLOOKUP(A57,'[1]19-06-26'!$A$2:$T$113,20,0)</f>
        <v>Sunflower ( 12 Inch ) 6 P n W Glad ( 14 Inch ) 18 Rajni ( 14 Inch ) 18 Grass</v>
      </c>
      <c r="Q57" s="34" t="str">
        <f>VLOOKUP(A57,'[1]26-06-26'!$A$2:$T$121,20,0)</f>
        <v>P n W Spray Daisy 8 P n W Car ( 14 Inch ) 18 Glad ( 14 Inch ) 18 Grass</v>
      </c>
      <c r="R57" s="34" t="str">
        <f>VLOOKUP(A57,'[2]03-07-26'!$A$2:$T$124,20,0)</f>
        <v>O Asiatic ( 14 Inch ) 6 Rajni ( 14 Inch ) 18 Pur n P Car ( 14 Inch ) 18 Grass</v>
      </c>
      <c r="S57" s="34" t="str">
        <f>VLOOKUP(A57,'[2]10-07-26'!$A$2:$T$138,20,0)</f>
        <v>Sunflower ( 12 Inch) 6 Mix Alstroemeria ( 12 Inch ) 18 Rajni ( 14 Inch ) 18 FF Sachet + Grass</v>
      </c>
      <c r="T57" s="34" t="s">
        <v>543</v>
      </c>
      <c r="U57" s="34">
        <v>8</v>
      </c>
      <c r="V57" s="34" t="s">
        <v>542</v>
      </c>
      <c r="W57" s="34">
        <v>18</v>
      </c>
      <c r="X57" s="34" t="s">
        <v>546</v>
      </c>
      <c r="Y57" s="34">
        <v>18</v>
      </c>
      <c r="Z57" s="34" t="s">
        <v>539</v>
      </c>
      <c r="AA57" s="34"/>
      <c r="AB57" s="34"/>
      <c r="AC57" s="34"/>
      <c r="AD57" s="34"/>
    </row>
    <row r="58" spans="1:30" ht="112.3" customHeight="1" x14ac:dyDescent="0.3">
      <c r="A58" s="1">
        <v>36</v>
      </c>
      <c r="B58" s="14" t="s">
        <v>257</v>
      </c>
      <c r="C58" s="16">
        <v>9818690761</v>
      </c>
      <c r="D58" s="9" t="s">
        <v>258</v>
      </c>
      <c r="E58" s="10" t="s">
        <v>43</v>
      </c>
      <c r="F58" s="9" t="s">
        <v>17</v>
      </c>
      <c r="G58" s="18" t="s">
        <v>53</v>
      </c>
      <c r="H58" s="12">
        <v>1450</v>
      </c>
      <c r="I58" s="12">
        <v>362.5</v>
      </c>
      <c r="J58" s="9" t="s">
        <v>19</v>
      </c>
      <c r="K58" s="9" t="s">
        <v>259</v>
      </c>
      <c r="L58" s="12"/>
      <c r="M58" s="12"/>
      <c r="N58" s="13" t="s">
        <v>91</v>
      </c>
      <c r="O58" s="34" t="str">
        <f>VLOOKUP(A58,'[1]12-06-26'!$A$2:$T$115,20,0)</f>
        <v>P n W Glad ( 14 Inch ) 9     Grass</v>
      </c>
      <c r="P58" s="34" t="str">
        <f>VLOOKUP(A58,'[1]19-06-26'!$A$2:$T$113,20,0)</f>
        <v xml:space="preserve">Mix Alstroemeria ( 12 Inch ) 9    FF Sachet + Grass </v>
      </c>
      <c r="Q58" s="34" t="str">
        <f>VLOOKUP(A58,'[1]26-06-26'!$A$2:$T$121,20,0)</f>
        <v>P n W Car ( 14 Inch ) 9     FF aschet + Grass</v>
      </c>
      <c r="R58" s="34" t="str">
        <f>VLOOKUP(A58,'[2]03-07-26'!$A$2:$T$124,20,0)</f>
        <v>P Asiatic ( 14 Inch ) 3     Grass</v>
      </c>
      <c r="S58" s="34" t="str">
        <f>VLOOKUP(A58,'[2]10-07-26'!$A$2:$T$138,20,0)</f>
        <v>Rajni ( 14 Inch ) 16     Grass</v>
      </c>
      <c r="T58" s="34" t="s">
        <v>543</v>
      </c>
      <c r="U58" s="34">
        <v>5</v>
      </c>
      <c r="V58" s="34"/>
      <c r="W58" s="34"/>
      <c r="X58" s="34"/>
      <c r="Y58" s="34"/>
      <c r="Z58" s="34" t="s">
        <v>539</v>
      </c>
      <c r="AA58" s="34"/>
      <c r="AB58" s="34"/>
      <c r="AC58" s="34"/>
      <c r="AD58" s="34"/>
    </row>
    <row r="59" spans="1:30" ht="112.3" customHeight="1" x14ac:dyDescent="0.3">
      <c r="A59" s="1">
        <v>43</v>
      </c>
      <c r="B59" s="14" t="s">
        <v>260</v>
      </c>
      <c r="C59" s="16">
        <v>9953515520</v>
      </c>
      <c r="D59" s="9" t="s">
        <v>261</v>
      </c>
      <c r="E59" s="10" t="s">
        <v>43</v>
      </c>
      <c r="F59" s="9" t="s">
        <v>17</v>
      </c>
      <c r="G59" s="11" t="s">
        <v>34</v>
      </c>
      <c r="H59" s="12">
        <v>1450</v>
      </c>
      <c r="I59" s="12">
        <v>362.5</v>
      </c>
      <c r="J59" s="9" t="s">
        <v>19</v>
      </c>
      <c r="K59" s="9" t="s">
        <v>262</v>
      </c>
      <c r="L59" s="10" t="s">
        <v>263</v>
      </c>
      <c r="M59" s="12"/>
      <c r="N59" s="13" t="s">
        <v>31</v>
      </c>
      <c r="O59" s="34" t="str">
        <f>VLOOKUP(A59,'[1]12-06-26'!$A$2:$T$115,20,0)</f>
        <v>Mix Alstroemeria ( 12 Inch ) 9     FF Sachet + Grass</v>
      </c>
      <c r="P59" s="34" t="str">
        <f>VLOOKUP(A59,'[1]19-06-26'!$A$2:$T$113,20,0)</f>
        <v xml:space="preserve">P n W Glad ( 14 Inch ) 9    Grass </v>
      </c>
      <c r="Q59" s="34" t="str">
        <f>VLOOKUP(A59,'[1]26-06-26'!$A$2:$T$121,20,0)</f>
        <v>Y Spray Daisy ( 14 Inch ) 3     FF aschet + Grass</v>
      </c>
      <c r="R59" s="34" t="str">
        <f>VLOOKUP(A59,'[2]03-07-26'!$A$2:$T$124,20,0)</f>
        <v>Pur n P Car ( 14 Inch ) 16     FF Sachet + Grass</v>
      </c>
      <c r="S59" s="34" t="str">
        <f>VLOOKUP(A59,'[2]10-07-26'!$A$2:$T$138,20,0)</f>
        <v>O Asiatic ( 14 Inch ) 3     Grass</v>
      </c>
      <c r="T59" s="34" t="s">
        <v>536</v>
      </c>
      <c r="U59" s="34">
        <v>16</v>
      </c>
      <c r="V59" s="34"/>
      <c r="W59" s="34"/>
      <c r="X59" s="34"/>
      <c r="Y59" s="34"/>
      <c r="Z59" s="34" t="s">
        <v>539</v>
      </c>
      <c r="AA59" s="34"/>
      <c r="AB59" s="34"/>
      <c r="AC59" s="34"/>
      <c r="AD59" s="34"/>
    </row>
    <row r="60" spans="1:30" ht="112.3" customHeight="1" x14ac:dyDescent="0.3">
      <c r="A60" s="9" t="s">
        <v>264</v>
      </c>
      <c r="B60" s="14" t="s">
        <v>265</v>
      </c>
      <c r="C60" s="12">
        <v>9810561802</v>
      </c>
      <c r="D60" s="10" t="s">
        <v>266</v>
      </c>
      <c r="E60" s="10" t="s">
        <v>267</v>
      </c>
      <c r="F60" s="10" t="s">
        <v>17</v>
      </c>
      <c r="G60" s="10" t="s">
        <v>18</v>
      </c>
      <c r="H60" s="12">
        <v>2300</v>
      </c>
      <c r="I60" s="12">
        <v>293.75</v>
      </c>
      <c r="J60" s="10" t="s">
        <v>94</v>
      </c>
      <c r="K60" s="10" t="s">
        <v>268</v>
      </c>
      <c r="L60" s="10" t="s">
        <v>269</v>
      </c>
      <c r="M60" s="12"/>
      <c r="N60" s="13" t="s">
        <v>517</v>
      </c>
      <c r="O60" s="34" t="e">
        <f>VLOOKUP(A60,'[1]12-06-26'!$A$2:$T$115,20,0)</f>
        <v>#N/A</v>
      </c>
      <c r="P60" s="34" t="str">
        <f>VLOOKUP(A60,'[1]19-06-26'!$A$2:$T$113,20,0)</f>
        <v>P Asiatic ( 14 Inch ) 2     Grass</v>
      </c>
      <c r="Q60" s="34" t="str">
        <f>VLOOKUP(A60,'[1]26-06-26'!$A$2:$T$121,20,0)</f>
        <v>Y Spray Daisy ( 14 Inch ) 3     FF sachet + Grass</v>
      </c>
      <c r="R60" s="34" t="str">
        <f>VLOOKUP(A60,'[2]03-07-26'!$A$2:$T$124,20,0)</f>
        <v>Sunflower ( 12 Inch ) 3     FF Sachet + Grass</v>
      </c>
      <c r="S60" s="34" t="str">
        <f>VLOOKUP(A60,'[2]10-07-26'!$A$2:$T$138,20,0)</f>
        <v>O Asiatic ( 14 Inch ) 2     Grass</v>
      </c>
      <c r="T60" s="34" t="s">
        <v>529</v>
      </c>
      <c r="U60" s="34">
        <v>3</v>
      </c>
      <c r="V60" s="34"/>
      <c r="W60" s="34"/>
      <c r="X60" s="34"/>
      <c r="Y60" s="34"/>
      <c r="Z60" s="34" t="s">
        <v>539</v>
      </c>
      <c r="AA60" s="34"/>
      <c r="AB60" s="34"/>
      <c r="AC60" s="34"/>
      <c r="AD60" s="34"/>
    </row>
    <row r="61" spans="1:30" ht="112.3" customHeight="1" x14ac:dyDescent="0.3">
      <c r="A61" s="1">
        <v>1970</v>
      </c>
      <c r="B61" s="14" t="s">
        <v>270</v>
      </c>
      <c r="C61" s="12">
        <v>9811325497</v>
      </c>
      <c r="D61" s="10" t="s">
        <v>271</v>
      </c>
      <c r="E61" s="10" t="s">
        <v>43</v>
      </c>
      <c r="F61" s="10" t="s">
        <v>17</v>
      </c>
      <c r="G61" s="11" t="s">
        <v>34</v>
      </c>
      <c r="H61" s="12">
        <v>1450</v>
      </c>
      <c r="I61" s="12">
        <v>362.5</v>
      </c>
      <c r="J61" s="9" t="s">
        <v>19</v>
      </c>
      <c r="K61" s="10" t="s">
        <v>272</v>
      </c>
      <c r="L61" s="12"/>
      <c r="M61" s="12"/>
      <c r="N61" s="13" t="s">
        <v>31</v>
      </c>
      <c r="O61" s="34" t="e">
        <f>VLOOKUP(A61,'[1]12-06-26'!$A$2:$T$115,20,0)</f>
        <v>#N/A</v>
      </c>
      <c r="P61" s="34" t="e">
        <f>VLOOKUP(A61,'[1]19-06-26'!$A$2:$T$113,20,0)</f>
        <v>#N/A</v>
      </c>
      <c r="Q61" s="34" t="e">
        <f>VLOOKUP(A61,'[1]26-06-26'!$A$2:$T$121,20,0)</f>
        <v>#N/A</v>
      </c>
      <c r="R61" s="34" t="str">
        <f>VLOOKUP(A61,'[2]03-07-26'!$A$2:$T$124,20,0)</f>
        <v>Pur n P Car ( 14 Inch ) 16     FF Sachet + Grass</v>
      </c>
      <c r="S61" s="34" t="str">
        <f>VLOOKUP(A61,'[2]10-07-26'!$A$2:$T$138,20,0)</f>
        <v>O Asiatic ( 14 Inch ) 3     Grass</v>
      </c>
      <c r="T61" s="34" t="s">
        <v>536</v>
      </c>
      <c r="U61" s="34">
        <v>16</v>
      </c>
      <c r="V61" s="34"/>
      <c r="W61" s="34"/>
      <c r="X61" s="34"/>
      <c r="Y61" s="34"/>
      <c r="Z61" s="34" t="s">
        <v>539</v>
      </c>
      <c r="AA61" s="34"/>
      <c r="AB61" s="34"/>
      <c r="AC61" s="34"/>
      <c r="AD61" s="34"/>
    </row>
    <row r="62" spans="1:30" ht="124.7" customHeight="1" x14ac:dyDescent="0.3">
      <c r="A62" s="1">
        <v>2126</v>
      </c>
      <c r="B62" s="14" t="s">
        <v>273</v>
      </c>
      <c r="C62" s="12">
        <v>9620110010</v>
      </c>
      <c r="D62" s="10" t="s">
        <v>274</v>
      </c>
      <c r="E62" s="10" t="s">
        <v>25</v>
      </c>
      <c r="F62" s="10" t="s">
        <v>17</v>
      </c>
      <c r="G62" s="11" t="s">
        <v>34</v>
      </c>
      <c r="H62" s="12">
        <v>2750</v>
      </c>
      <c r="I62" s="12">
        <v>687.5</v>
      </c>
      <c r="J62" s="10" t="s">
        <v>57</v>
      </c>
      <c r="K62" s="10" t="s">
        <v>275</v>
      </c>
      <c r="L62" s="12"/>
      <c r="M62" s="10" t="s">
        <v>276</v>
      </c>
      <c r="N62" s="13" t="s">
        <v>31</v>
      </c>
      <c r="O62" s="34" t="str">
        <f>VLOOKUP(A62,'[1]12-06-26'!$A$2:$T$115,20,0)</f>
        <v>O Asiatic 3 Pur n P Car ( 14 Inch ) 16   2 Limonium + FF Sachet</v>
      </c>
      <c r="P62" s="34" t="str">
        <f>VLOOKUP(A62,'[1]19-06-26'!$A$2:$T$113,20,0)</f>
        <v>P Eustoma ( 12 Inch ) 4 P n W Glad ( 14 Inch ) 16  FF sachet + Grass FF sachet + Grass</v>
      </c>
      <c r="Q62" s="34" t="str">
        <f>VLOOKUP(A62,'[1]26-06-26'!$A$2:$T$121,20,0)</f>
        <v>P n Y Spray Daisy ( 14 Inch ) 5 Mix Carnation  ( 12 Inch ) 15   FF Sachet + Grass</v>
      </c>
      <c r="R62" s="34" t="str">
        <f>VLOOKUP(A62,'[2]03-07-26'!$A$2:$T$124,20,0)</f>
        <v>Sunflower ( 12 Inch ) 4 Rajni ( 14 Inch ) 16   FF Sachet + Grass</v>
      </c>
      <c r="S62" s="34" t="str">
        <f>VLOOKUP(A62,'[2]10-07-26'!$A$2:$T$138,20,0)</f>
        <v>O Asiatic ( 14 Inch ) 3 Mix Alstroemeria ( 12 Inch ) 16   FF Sachet + Grass</v>
      </c>
      <c r="T62" s="34" t="s">
        <v>527</v>
      </c>
      <c r="U62" s="34">
        <v>5</v>
      </c>
      <c r="V62" s="34" t="s">
        <v>546</v>
      </c>
      <c r="W62" s="34">
        <v>16</v>
      </c>
      <c r="X62" s="34"/>
      <c r="Y62" s="34"/>
      <c r="Z62" s="34" t="s">
        <v>548</v>
      </c>
      <c r="AA62" s="34"/>
      <c r="AB62" s="34"/>
      <c r="AC62" s="34"/>
      <c r="AD62" s="34"/>
    </row>
    <row r="63" spans="1:30" ht="112.3" customHeight="1" x14ac:dyDescent="0.3">
      <c r="A63" s="1">
        <v>3081</v>
      </c>
      <c r="B63" s="14" t="s">
        <v>277</v>
      </c>
      <c r="C63" s="12" t="s">
        <v>278</v>
      </c>
      <c r="D63" s="10" t="s">
        <v>279</v>
      </c>
      <c r="E63" s="10" t="s">
        <v>74</v>
      </c>
      <c r="F63" s="10" t="s">
        <v>17</v>
      </c>
      <c r="G63" s="18" t="s">
        <v>194</v>
      </c>
      <c r="H63" s="10">
        <v>1450</v>
      </c>
      <c r="I63" s="12">
        <v>362.5</v>
      </c>
      <c r="J63" s="10" t="s">
        <v>19</v>
      </c>
      <c r="K63" s="10" t="s">
        <v>280</v>
      </c>
      <c r="L63" s="12"/>
      <c r="M63" s="12"/>
      <c r="N63" s="13" t="s">
        <v>31</v>
      </c>
      <c r="O63" s="34" t="str">
        <f>VLOOKUP(A63,'[1]12-06-26'!$A$2:$T$115,20,0)</f>
        <v>W Asiatic ( 14 inch ) 2 Pur n P Car ( 14 Inch ) 7   Grass</v>
      </c>
      <c r="P63" s="34" t="str">
        <f>VLOOKUP(A63,'[1]19-06-26'!$A$2:$T$113,20,0)</f>
        <v xml:space="preserve">P Spray Daisy ( 14 Inch ) 3 Mix Alstroemeria (  12 Inch ) 7  FF Sachet + Grass </v>
      </c>
      <c r="Q63" s="34" t="str">
        <f>VLOOKUP(A63,'[1]26-06-26'!$A$2:$T$121,20,0)</f>
        <v>Eustoma  2 P n W Glad ( 14 Inch ) 7   FF sachet + Grass</v>
      </c>
      <c r="R63" s="34" t="str">
        <f>VLOOKUP(A63,'[2]03-07-26'!$A$2:$T$124,20,0)</f>
        <v>Sunflower ( 12 Inch ) 2 Rajni ( 14 Inch ) 7   FF Sachet + Grass</v>
      </c>
      <c r="S63" s="34" t="str">
        <f>VLOOKUP(A63,'[2]10-07-26'!$A$2:$T$138,20,0)</f>
        <v>O Asiatic ( 14 Inch ) 2 G n W Car ( 14 Inch ) 7   Grass</v>
      </c>
      <c r="T63" s="34" t="s">
        <v>529</v>
      </c>
      <c r="U63" s="34">
        <v>3</v>
      </c>
      <c r="V63" s="34" t="s">
        <v>536</v>
      </c>
      <c r="W63" s="34">
        <v>7</v>
      </c>
      <c r="X63" s="34"/>
      <c r="Y63" s="34"/>
      <c r="Z63" s="34" t="s">
        <v>539</v>
      </c>
      <c r="AA63" s="34"/>
      <c r="AB63" s="34"/>
      <c r="AC63" s="34"/>
      <c r="AD63" s="34"/>
    </row>
    <row r="64" spans="1:30" ht="112.3" customHeight="1" x14ac:dyDescent="0.3">
      <c r="A64" s="1">
        <v>3337</v>
      </c>
      <c r="B64" s="14" t="s">
        <v>281</v>
      </c>
      <c r="C64" s="12">
        <v>9205184535</v>
      </c>
      <c r="D64" s="10" t="s">
        <v>282</v>
      </c>
      <c r="E64" s="10" t="s">
        <v>43</v>
      </c>
      <c r="F64" s="10" t="s">
        <v>17</v>
      </c>
      <c r="G64" s="17" t="s">
        <v>53</v>
      </c>
      <c r="H64" s="12">
        <v>1450</v>
      </c>
      <c r="I64" s="12">
        <v>1450</v>
      </c>
      <c r="J64" s="9" t="s">
        <v>19</v>
      </c>
      <c r="K64" s="10" t="s">
        <v>283</v>
      </c>
      <c r="L64" s="12"/>
      <c r="M64" s="12"/>
      <c r="N64" s="13" t="s">
        <v>31</v>
      </c>
      <c r="O64" s="34" t="str">
        <f>VLOOKUP(A64,'[1]12-06-26'!$A$2:$T$115,20,0)</f>
        <v>Mix Alstroemeria ( 12 Inch ) 16     FF Sachet + Grass</v>
      </c>
      <c r="P64" s="34" t="str">
        <f>VLOOKUP(A64,'[1]19-06-26'!$A$2:$T$113,20,0)</f>
        <v xml:space="preserve">Pur Eustom ( 12 Inch ) 3    FF Sachet + Grass </v>
      </c>
      <c r="Q64" s="34" t="str">
        <f>VLOOKUP(A64,'[1]26-06-26'!$A$2:$T$121,20,0)</f>
        <v>O Asiatic ( 14 Inch ) 3     Grass</v>
      </c>
      <c r="R64" s="34" t="str">
        <f>VLOOKUP(A64,'[2]03-07-26'!$A$2:$T$124,20,0)</f>
        <v>P n W Glad ( 14 Inch ) 16     Grass</v>
      </c>
      <c r="S64" s="34" t="str">
        <f>VLOOKUP(A64,'[2]10-07-26'!$A$2:$T$138,20,0)</f>
        <v>Mix Spray Daisy 5     FF Sachet + Grass</v>
      </c>
      <c r="T64" s="34" t="s">
        <v>542</v>
      </c>
      <c r="U64" s="34">
        <v>16</v>
      </c>
      <c r="V64" s="34"/>
      <c r="W64" s="34"/>
      <c r="X64" s="34"/>
      <c r="Y64" s="34"/>
      <c r="Z64" s="34" t="s">
        <v>539</v>
      </c>
      <c r="AA64" s="34"/>
      <c r="AB64" s="34"/>
      <c r="AC64" s="34"/>
      <c r="AD64" s="34"/>
    </row>
    <row r="65" spans="1:30" ht="112.3" customHeight="1" x14ac:dyDescent="0.3">
      <c r="A65" s="1">
        <v>1624</v>
      </c>
      <c r="B65" s="15" t="s">
        <v>284</v>
      </c>
      <c r="C65" s="12">
        <v>9811081666</v>
      </c>
      <c r="D65" s="10" t="s">
        <v>285</v>
      </c>
      <c r="E65" s="10" t="s">
        <v>25</v>
      </c>
      <c r="F65" s="10" t="s">
        <v>17</v>
      </c>
      <c r="G65" s="11" t="s">
        <v>34</v>
      </c>
      <c r="H65" s="12">
        <v>1450</v>
      </c>
      <c r="I65" s="12">
        <v>362.5</v>
      </c>
      <c r="J65" s="10" t="s">
        <v>19</v>
      </c>
      <c r="K65" s="10" t="s">
        <v>286</v>
      </c>
      <c r="L65" s="12"/>
      <c r="M65" s="12"/>
      <c r="N65" s="13" t="s">
        <v>91</v>
      </c>
      <c r="O65" s="34" t="e">
        <f>VLOOKUP(A65,'[1]12-06-26'!$A$2:$T$115,20,0)</f>
        <v>#N/A</v>
      </c>
      <c r="P65" s="34" t="str">
        <f>VLOOKUP(A65,'[1]19-06-26'!$A$2:$T$113,20,0)</f>
        <v xml:space="preserve">P n W Glad ( 14 Inch ) 16    Grass </v>
      </c>
      <c r="Q65" s="34" t="str">
        <f>VLOOKUP(A65,'[1]26-06-26'!$A$2:$T$121,20,0)</f>
        <v>Pur n P Car ( 14 Inch ) 16     FF sachet + Grass</v>
      </c>
      <c r="R65" s="34" t="str">
        <f>VLOOKUP(A65,'[2]03-07-26'!$A$2:$T$124,20,0)</f>
        <v>Sunflower ( 12 Inch ) 4     FF Sachet + Grass</v>
      </c>
      <c r="S65" s="34" t="str">
        <f>VLOOKUP(A65,'[2]10-07-26'!$A$2:$T$138,20,0)</f>
        <v>O Asiatic ( 14 Inch ) 3     Grass</v>
      </c>
      <c r="T65" s="34" t="s">
        <v>536</v>
      </c>
      <c r="U65" s="34">
        <v>16</v>
      </c>
      <c r="V65" s="34"/>
      <c r="W65" s="34"/>
      <c r="X65" s="34"/>
      <c r="Y65" s="34"/>
      <c r="Z65" s="34" t="s">
        <v>539</v>
      </c>
      <c r="AA65" s="34"/>
      <c r="AB65" s="34"/>
      <c r="AC65" s="34"/>
      <c r="AD65" s="34"/>
    </row>
    <row r="66" spans="1:30" ht="112.3" customHeight="1" x14ac:dyDescent="0.3">
      <c r="A66" s="1">
        <v>2448</v>
      </c>
      <c r="B66" s="20" t="s">
        <v>287</v>
      </c>
      <c r="C66" s="27">
        <v>8510051543</v>
      </c>
      <c r="D66" s="10" t="s">
        <v>288</v>
      </c>
      <c r="E66" s="10" t="s">
        <v>74</v>
      </c>
      <c r="F66" s="10" t="s">
        <v>17</v>
      </c>
      <c r="G66" s="10" t="s">
        <v>26</v>
      </c>
      <c r="H66" s="12">
        <v>1450</v>
      </c>
      <c r="I66" s="12">
        <v>362.5</v>
      </c>
      <c r="J66" s="9" t="s">
        <v>19</v>
      </c>
      <c r="K66" s="10" t="s">
        <v>289</v>
      </c>
      <c r="L66" s="12"/>
      <c r="M66" s="12" t="s">
        <v>290</v>
      </c>
      <c r="N66" s="13" t="s">
        <v>291</v>
      </c>
      <c r="O66" s="34" t="e">
        <f>VLOOKUP(A66,'[1]12-06-26'!$A$2:$T$115,20,0)</f>
        <v>#N/A</v>
      </c>
      <c r="P66" s="34" t="str">
        <f>VLOOKUP(A66,'[1]19-06-26'!$A$2:$T$113,20,0)</f>
        <v xml:space="preserve">P n W Glad ( 14 Inch ) 9    Grass </v>
      </c>
      <c r="Q66" s="34" t="str">
        <f>VLOOKUP(A66,'[1]26-06-26'!$A$2:$T$121,20,0)</f>
        <v>P Asiatic ( 14 Inch ) 2     Grass</v>
      </c>
      <c r="R66" s="34" t="str">
        <f>VLOOKUP(A66,'[2]03-07-26'!$A$2:$T$124,20,0)</f>
        <v>Pur n P Car ( 14 Inch ) 16     FF Sachet + Grass</v>
      </c>
      <c r="S66" s="34" t="e">
        <f>VLOOKUP(A66,'[2]10-07-26'!$A$2:$T$138,20,0)</f>
        <v>#N/A</v>
      </c>
      <c r="T66" s="34" t="s">
        <v>536</v>
      </c>
      <c r="U66" s="34">
        <v>16</v>
      </c>
      <c r="V66" s="34"/>
      <c r="W66" s="34"/>
      <c r="X66" s="34"/>
      <c r="Y66" s="34"/>
      <c r="Z66" s="34" t="s">
        <v>539</v>
      </c>
      <c r="AA66" s="34"/>
      <c r="AB66" s="34"/>
      <c r="AC66" s="34"/>
      <c r="AD66" s="34"/>
    </row>
    <row r="67" spans="1:30" ht="112.3" customHeight="1" x14ac:dyDescent="0.3">
      <c r="A67" s="1">
        <v>2775</v>
      </c>
      <c r="B67" s="14" t="s">
        <v>292</v>
      </c>
      <c r="C67" s="12">
        <v>9711590494</v>
      </c>
      <c r="D67" s="10" t="s">
        <v>293</v>
      </c>
      <c r="E67" s="10" t="s">
        <v>25</v>
      </c>
      <c r="F67" s="10" t="s">
        <v>17</v>
      </c>
      <c r="G67" s="18" t="s">
        <v>214</v>
      </c>
      <c r="H67" s="12">
        <v>1950</v>
      </c>
      <c r="I67" s="12">
        <v>487.5</v>
      </c>
      <c r="J67" s="10" t="s">
        <v>19</v>
      </c>
      <c r="K67" s="10" t="s">
        <v>294</v>
      </c>
      <c r="L67" s="12"/>
      <c r="M67" s="12" t="s">
        <v>295</v>
      </c>
      <c r="N67" s="13" t="s">
        <v>31</v>
      </c>
      <c r="O67" s="34" t="str">
        <f>VLOOKUP(A67,'[1]12-06-26'!$A$2:$T$115,20,0)</f>
        <v>Sunflower ( 12 Inch ) 3 Mix Alstroemeria ( 12 Inch ) 11   FF Sachet + Grass</v>
      </c>
      <c r="P67" s="34" t="str">
        <f>VLOOKUP(A67,'[1]19-06-26'!$A$2:$T$113,20,0)</f>
        <v>P Asiatic ( 14 Inch ) 4     Grass</v>
      </c>
      <c r="Q67" s="34" t="str">
        <f>VLOOKUP(A67,'[1]26-06-26'!$A$2:$T$121,20,0)</f>
        <v>Y Spray Daisy ( 14 Inch ) 4 Glad ( 14 Inch ) 11   FF Sachet + Grass</v>
      </c>
      <c r="R67" s="34" t="str">
        <f>VLOOKUP(A67,'[2]03-07-26'!$A$2:$T$124,20,0)</f>
        <v>Eustoma 2 Pur n P Car ( 14 Inch ) 11   FF Sachet + Grass</v>
      </c>
      <c r="S67" s="34" t="str">
        <f>VLOOKUP(A67,'[2]10-07-26'!$A$2:$T$138,20,0)</f>
        <v>W Asiatic ( 14 Inch ) 2 B Daisy 11   Grass</v>
      </c>
      <c r="T67" s="34" t="s">
        <v>543</v>
      </c>
      <c r="U67" s="34">
        <v>4</v>
      </c>
      <c r="V67" s="34" t="s">
        <v>536</v>
      </c>
      <c r="W67" s="34">
        <v>11</v>
      </c>
      <c r="X67" s="34"/>
      <c r="Y67" s="34"/>
      <c r="Z67" s="34" t="s">
        <v>539</v>
      </c>
      <c r="AA67" s="34"/>
      <c r="AB67" s="34"/>
      <c r="AC67" s="34"/>
      <c r="AD67" s="34"/>
    </row>
    <row r="68" spans="1:30" ht="112.3" customHeight="1" x14ac:dyDescent="0.3">
      <c r="A68" s="1">
        <v>2389</v>
      </c>
      <c r="B68" s="24" t="s">
        <v>296</v>
      </c>
      <c r="C68" s="1">
        <v>9711760109</v>
      </c>
      <c r="D68" s="1" t="s">
        <v>297</v>
      </c>
      <c r="E68" s="10" t="s">
        <v>25</v>
      </c>
      <c r="F68" s="10" t="s">
        <v>17</v>
      </c>
      <c r="G68" s="11" t="s">
        <v>34</v>
      </c>
      <c r="H68" s="12">
        <v>1950</v>
      </c>
      <c r="I68" s="12">
        <v>487.5</v>
      </c>
      <c r="J68" s="10" t="s">
        <v>118</v>
      </c>
      <c r="K68" s="10" t="s">
        <v>298</v>
      </c>
      <c r="L68" s="10" t="s">
        <v>299</v>
      </c>
      <c r="M68" s="10" t="s">
        <v>300</v>
      </c>
      <c r="N68" s="13" t="s">
        <v>31</v>
      </c>
      <c r="O68" s="34" t="str">
        <f>VLOOKUP(A68,'[1]12-06-26'!$A$2:$T$115,20,0)</f>
        <v>P n Y Spray Daisy ( 14 Inch ) 7     FF Sachet + Grass</v>
      </c>
      <c r="P68" s="34" t="str">
        <f>VLOOKUP(A68,'[1]19-06-26'!$A$2:$T$113,20,0)</f>
        <v>P n W Glad ( 14 Inch ) 22     Grass</v>
      </c>
      <c r="Q68" s="34" t="str">
        <f>VLOOKUP(A68,'[1]26-06-26'!$A$2:$T$121,20,0)</f>
        <v>O Asiatic ( 14 Inch ) 4     Grass</v>
      </c>
      <c r="R68" s="34" t="str">
        <f>VLOOKUP(A68,'[2]03-07-26'!$A$2:$T$124,20,0)</f>
        <v>Pur n P Car ( 14 Inch ) 22     FF Sachet + Grass</v>
      </c>
      <c r="S68" s="34" t="str">
        <f>VLOOKUP(A68,'[2]10-07-26'!$A$2:$T$138,20,0)</f>
        <v>Mix Alstroemeria ( 12 Inch ) 22     FF Sachet + Grass</v>
      </c>
      <c r="T68" s="34" t="s">
        <v>527</v>
      </c>
      <c r="U68" s="34">
        <v>7</v>
      </c>
      <c r="V68" s="34"/>
      <c r="W68" s="34"/>
      <c r="X68" s="34"/>
      <c r="Y68" s="34"/>
      <c r="Z68" s="34" t="s">
        <v>539</v>
      </c>
      <c r="AA68" s="34"/>
      <c r="AB68" s="34"/>
      <c r="AC68" s="34"/>
      <c r="AD68" s="34"/>
    </row>
    <row r="69" spans="1:30" ht="112.3" customHeight="1" x14ac:dyDescent="0.3">
      <c r="A69" s="1">
        <v>359</v>
      </c>
      <c r="B69" s="14" t="s">
        <v>301</v>
      </c>
      <c r="C69" s="1">
        <v>9810266546</v>
      </c>
      <c r="D69" s="9" t="s">
        <v>302</v>
      </c>
      <c r="E69" s="10" t="s">
        <v>43</v>
      </c>
      <c r="F69" s="9" t="s">
        <v>17</v>
      </c>
      <c r="G69" s="11" t="s">
        <v>34</v>
      </c>
      <c r="H69" s="12">
        <v>1950</v>
      </c>
      <c r="I69" s="12">
        <v>487.5</v>
      </c>
      <c r="J69" s="10" t="s">
        <v>118</v>
      </c>
      <c r="K69" s="9" t="s">
        <v>303</v>
      </c>
      <c r="L69" s="12"/>
      <c r="M69" s="12"/>
      <c r="N69" s="13" t="s">
        <v>31</v>
      </c>
      <c r="O69" s="34" t="str">
        <f>VLOOKUP(A69,'[1]12-06-26'!$A$2:$T$115,20,0)</f>
        <v>Sunflower ( 12 Inch ) 5     FF Sachet + Grass</v>
      </c>
      <c r="P69" s="34" t="str">
        <f>VLOOKUP(A69,'[1]19-06-26'!$A$2:$T$113,20,0)</f>
        <v>R n P Car ( 14 Inch ) 22     FF sachet + Grass</v>
      </c>
      <c r="Q69" s="34" t="str">
        <f>VLOOKUP(A69,'[1]26-06-26'!$A$2:$T$121,20,0)</f>
        <v>Mix Alstroemeria 20     FF Sachet + Grass</v>
      </c>
      <c r="R69" s="34" t="str">
        <f>VLOOKUP(A69,'[2]03-07-26'!$A$2:$T$124,20,0)</f>
        <v>Baloon Flowers  5     Grass</v>
      </c>
      <c r="S69" s="34" t="str">
        <f>VLOOKUP(A69,'[2]10-07-26'!$A$2:$T$138,20,0)</f>
        <v>Y Asiatic ( 14 Inch ) 4     Grass</v>
      </c>
      <c r="T69" s="34" t="s">
        <v>545</v>
      </c>
      <c r="U69" s="34">
        <v>22</v>
      </c>
      <c r="V69" s="34"/>
      <c r="W69" s="34"/>
      <c r="X69" s="34"/>
      <c r="Y69" s="34"/>
      <c r="Z69" s="34" t="s">
        <v>538</v>
      </c>
      <c r="AA69" s="34"/>
      <c r="AB69" s="34"/>
      <c r="AC69" s="34"/>
      <c r="AD69" s="34"/>
    </row>
    <row r="70" spans="1:30" ht="112.3" customHeight="1" x14ac:dyDescent="0.3">
      <c r="A70" s="1">
        <v>3397</v>
      </c>
      <c r="B70" s="14" t="s">
        <v>304</v>
      </c>
      <c r="C70" s="12">
        <v>9810520716</v>
      </c>
      <c r="D70" s="10" t="s">
        <v>305</v>
      </c>
      <c r="E70" s="10" t="s">
        <v>62</v>
      </c>
      <c r="F70" s="10" t="s">
        <v>17</v>
      </c>
      <c r="G70" s="18" t="s">
        <v>214</v>
      </c>
      <c r="H70" s="12">
        <v>1450</v>
      </c>
      <c r="I70" s="12">
        <v>362.5</v>
      </c>
      <c r="J70" s="9" t="s">
        <v>19</v>
      </c>
      <c r="K70" s="10" t="s">
        <v>306</v>
      </c>
      <c r="L70" s="12"/>
      <c r="M70" s="12"/>
      <c r="N70" s="13" t="s">
        <v>31</v>
      </c>
      <c r="O70" s="34" t="e">
        <f>VLOOKUP(A70,'[1]12-06-26'!$A$2:$T$115,20,0)</f>
        <v>#N/A</v>
      </c>
      <c r="P70" s="34" t="e">
        <f>VLOOKUP(A70,'[1]19-06-26'!$A$2:$T$113,20,0)</f>
        <v>#N/A</v>
      </c>
      <c r="Q70" s="34" t="e">
        <f>VLOOKUP(A70,'[1]26-06-26'!$A$2:$T$121,20,0)</f>
        <v>#N/A</v>
      </c>
      <c r="R70" s="34" t="str">
        <f>VLOOKUP(A70,'[2]03-07-26'!$A$2:$T$124,20,0)</f>
        <v>Pur n P Car ( 14 Inch ) 16     FF Sachet + Grass</v>
      </c>
      <c r="S70" s="34" t="str">
        <f>VLOOKUP(A70,'[2]10-07-26'!$A$2:$T$138,20,0)</f>
        <v>Sunflower ( 12 Inch) 4     FF Sachet + Grass</v>
      </c>
      <c r="T70" s="34" t="s">
        <v>536</v>
      </c>
      <c r="U70" s="34">
        <v>16</v>
      </c>
      <c r="V70" s="34"/>
      <c r="W70" s="34"/>
      <c r="X70" s="34"/>
      <c r="Y70" s="34"/>
      <c r="Z70" s="34" t="s">
        <v>539</v>
      </c>
      <c r="AA70" s="34"/>
      <c r="AB70" s="34"/>
      <c r="AC70" s="34"/>
      <c r="AD70" s="34"/>
    </row>
    <row r="71" spans="1:30" ht="112.3" customHeight="1" x14ac:dyDescent="0.3">
      <c r="A71" s="1">
        <v>2323</v>
      </c>
      <c r="B71" s="14" t="s">
        <v>307</v>
      </c>
      <c r="C71" s="12">
        <v>9632045533</v>
      </c>
      <c r="D71" s="10" t="s">
        <v>308</v>
      </c>
      <c r="E71" s="10" t="s">
        <v>25</v>
      </c>
      <c r="F71" s="10" t="s">
        <v>17</v>
      </c>
      <c r="G71" s="11" t="s">
        <v>34</v>
      </c>
      <c r="H71" s="10">
        <v>3950</v>
      </c>
      <c r="I71" s="12">
        <v>493.75</v>
      </c>
      <c r="J71" s="10" t="s">
        <v>189</v>
      </c>
      <c r="K71" s="10" t="s">
        <v>309</v>
      </c>
      <c r="L71" s="12"/>
      <c r="M71" s="12"/>
      <c r="N71" s="13" t="s">
        <v>36</v>
      </c>
      <c r="O71" s="34" t="e">
        <f>VLOOKUP(A71,'[1]12-06-26'!$A$2:$T$115,20,0)</f>
        <v>#N/A</v>
      </c>
      <c r="P71" s="34" t="e">
        <f>VLOOKUP(A71,'[1]19-06-26'!$A$2:$T$113,20,0)</f>
        <v>#N/A</v>
      </c>
      <c r="Q71" s="34" t="e">
        <f>VLOOKUP(A71,'[1]26-06-26'!$A$2:$T$121,20,0)</f>
        <v>#N/A</v>
      </c>
      <c r="R71" s="34" t="e">
        <f>VLOOKUP(A71,'[2]03-07-26'!$A$2:$T$124,20,0)</f>
        <v>#N/A</v>
      </c>
      <c r="S71" s="34" t="str">
        <f>VLOOKUP(A71,'[2]10-07-26'!$A$2:$T$138,20,0)</f>
        <v>Mix Alstroemeria ( 12 Inch ) 20     FF Sachet + Grass</v>
      </c>
      <c r="T71" s="34" t="s">
        <v>526</v>
      </c>
      <c r="U71" s="34">
        <v>20</v>
      </c>
      <c r="V71" s="34"/>
      <c r="W71" s="34"/>
      <c r="X71" s="34"/>
      <c r="Y71" s="34"/>
      <c r="Z71" s="34" t="s">
        <v>538</v>
      </c>
      <c r="AA71" s="34"/>
      <c r="AB71" s="34"/>
      <c r="AC71" s="34"/>
      <c r="AD71" s="34"/>
    </row>
    <row r="72" spans="1:30" ht="112.3" customHeight="1" x14ac:dyDescent="0.3">
      <c r="A72" s="1">
        <v>3398</v>
      </c>
      <c r="B72" s="14" t="s">
        <v>310</v>
      </c>
      <c r="C72" s="12">
        <v>9811799912</v>
      </c>
      <c r="D72" s="10" t="s">
        <v>311</v>
      </c>
      <c r="E72" s="10" t="s">
        <v>25</v>
      </c>
      <c r="F72" s="10" t="s">
        <v>17</v>
      </c>
      <c r="G72" s="11" t="s">
        <v>34</v>
      </c>
      <c r="H72" s="12">
        <v>1450</v>
      </c>
      <c r="I72" s="12">
        <v>362.5</v>
      </c>
      <c r="J72" s="10" t="s">
        <v>19</v>
      </c>
      <c r="K72" s="10" t="s">
        <v>312</v>
      </c>
      <c r="L72" s="10" t="s">
        <v>313</v>
      </c>
      <c r="M72" s="12"/>
      <c r="N72" s="13" t="s">
        <v>22</v>
      </c>
      <c r="O72" s="34" t="e">
        <f>VLOOKUP(A72,'[1]12-06-26'!$A$2:$T$115,20,0)</f>
        <v>#N/A</v>
      </c>
      <c r="P72" s="34" t="e">
        <f>VLOOKUP(A72,'[1]19-06-26'!$A$2:$T$113,20,0)</f>
        <v>#N/A</v>
      </c>
      <c r="Q72" s="34" t="e">
        <f>VLOOKUP(A72,'[1]26-06-26'!$A$2:$T$121,20,0)</f>
        <v>#N/A</v>
      </c>
      <c r="R72" s="34" t="e">
        <f>VLOOKUP(A72,'[2]03-07-26'!$A$2:$T$124,20,0)</f>
        <v>#N/A</v>
      </c>
      <c r="S72" s="34" t="str">
        <f>VLOOKUP(A72,'[2]10-07-26'!$A$2:$T$138,20,0)</f>
        <v>G n W Car ( 14 Inch ) 16     FF Sachet + Grass</v>
      </c>
      <c r="T72" s="34" t="s">
        <v>608</v>
      </c>
      <c r="U72" s="34">
        <v>3</v>
      </c>
      <c r="V72" s="34"/>
      <c r="W72" s="34"/>
      <c r="X72" s="34"/>
      <c r="Y72" s="34"/>
      <c r="Z72" s="34" t="s">
        <v>538</v>
      </c>
      <c r="AA72" s="34"/>
      <c r="AB72" s="34"/>
      <c r="AC72" s="34"/>
      <c r="AD72" s="34"/>
    </row>
    <row r="73" spans="1:30" ht="112.3" customHeight="1" x14ac:dyDescent="0.3">
      <c r="A73" s="1">
        <v>3369</v>
      </c>
      <c r="B73" s="14" t="s">
        <v>314</v>
      </c>
      <c r="C73" s="12">
        <v>9987323757</v>
      </c>
      <c r="D73" s="10" t="s">
        <v>315</v>
      </c>
      <c r="E73" s="10" t="s">
        <v>25</v>
      </c>
      <c r="F73" s="10" t="s">
        <v>17</v>
      </c>
      <c r="G73" s="11" t="s">
        <v>34</v>
      </c>
      <c r="H73" s="12">
        <v>1450</v>
      </c>
      <c r="I73" s="12">
        <v>362.5</v>
      </c>
      <c r="J73" s="10" t="s">
        <v>19</v>
      </c>
      <c r="K73" s="12"/>
      <c r="L73" s="12"/>
      <c r="M73" s="12"/>
      <c r="N73" s="13" t="s">
        <v>291</v>
      </c>
      <c r="O73" s="34" t="str">
        <f>VLOOKUP(A73,'[1]12-06-26'!$A$2:$T$115,20,0)</f>
        <v>P n Y Spray Daisy ( 14 Inch ) 5     FF Sachet + Grass</v>
      </c>
      <c r="P73" s="34" t="e">
        <f>VLOOKUP(A73,'[1]19-06-26'!$A$2:$T$113,20,0)</f>
        <v>#N/A</v>
      </c>
      <c r="Q73" s="34" t="e">
        <f>VLOOKUP(A73,'[1]26-06-26'!$A$2:$T$121,20,0)</f>
        <v>#N/A</v>
      </c>
      <c r="R73" s="34" t="e">
        <f>VLOOKUP(A73,'[2]03-07-26'!$A$2:$T$124,20,0)</f>
        <v>#N/A</v>
      </c>
      <c r="S73" s="34" t="str">
        <f>VLOOKUP(A73,'[2]10-07-26'!$A$2:$T$138,20,0)</f>
        <v>G n W Car ( 14 Inch ) 16     FF Sachet + Grass</v>
      </c>
      <c r="T73" s="34" t="s">
        <v>608</v>
      </c>
      <c r="U73" s="34">
        <v>3</v>
      </c>
      <c r="V73" s="34"/>
      <c r="W73" s="34"/>
      <c r="X73" s="34"/>
      <c r="Y73" s="34"/>
      <c r="Z73" s="34" t="s">
        <v>538</v>
      </c>
      <c r="AA73" s="34"/>
      <c r="AB73" s="34"/>
      <c r="AC73" s="34"/>
      <c r="AD73" s="34"/>
    </row>
    <row r="74" spans="1:30" ht="112.3" customHeight="1" x14ac:dyDescent="0.3">
      <c r="A74" s="1">
        <v>3400</v>
      </c>
      <c r="B74" s="14" t="s">
        <v>316</v>
      </c>
      <c r="C74" s="12">
        <v>8527634071</v>
      </c>
      <c r="D74" s="10" t="s">
        <v>317</v>
      </c>
      <c r="E74" s="10" t="s">
        <v>318</v>
      </c>
      <c r="F74" s="10" t="s">
        <v>319</v>
      </c>
      <c r="G74" s="10" t="s">
        <v>18</v>
      </c>
      <c r="H74" s="12">
        <v>1950</v>
      </c>
      <c r="I74" s="12">
        <v>487.5</v>
      </c>
      <c r="J74" s="10" t="s">
        <v>118</v>
      </c>
      <c r="K74" s="12"/>
      <c r="L74" s="12"/>
      <c r="M74" s="12"/>
      <c r="N74" s="13" t="s">
        <v>22</v>
      </c>
      <c r="O74" s="34" t="e">
        <f>VLOOKUP(A74,'[1]12-06-26'!$A$2:$T$115,20,0)</f>
        <v>#N/A</v>
      </c>
      <c r="P74" s="34" t="e">
        <f>VLOOKUP(A74,'[1]19-06-26'!$A$2:$T$113,20,0)</f>
        <v>#N/A</v>
      </c>
      <c r="Q74" s="34" t="e">
        <f>VLOOKUP(A74,'[1]26-06-26'!$A$2:$T$121,20,0)</f>
        <v>#N/A</v>
      </c>
      <c r="R74" s="34" t="e">
        <f>VLOOKUP(A74,'[2]03-07-26'!$A$2:$T$124,20,0)</f>
        <v>#N/A</v>
      </c>
      <c r="S74" s="34" t="str">
        <f>VLOOKUP(A74,'[2]10-07-26'!$A$2:$T$138,20,0)</f>
        <v>G n W Car ( 14 Inch ) 22     FF Sachet + Grass</v>
      </c>
      <c r="T74" s="34" t="s">
        <v>608</v>
      </c>
      <c r="U74" s="34">
        <v>4</v>
      </c>
      <c r="V74" s="34"/>
      <c r="W74" s="34"/>
      <c r="X74" s="34"/>
      <c r="Y74" s="34"/>
      <c r="Z74" s="34" t="s">
        <v>538</v>
      </c>
      <c r="AA74" s="34"/>
      <c r="AB74" s="34"/>
      <c r="AC74" s="34"/>
      <c r="AD74" s="34"/>
    </row>
    <row r="75" spans="1:30" ht="112.3" customHeight="1" x14ac:dyDescent="0.3">
      <c r="A75" s="1">
        <v>2224</v>
      </c>
      <c r="B75" s="14" t="s">
        <v>320</v>
      </c>
      <c r="C75" s="12">
        <v>9811137290</v>
      </c>
      <c r="D75" s="10" t="s">
        <v>321</v>
      </c>
      <c r="E75" s="10" t="s">
        <v>43</v>
      </c>
      <c r="F75" s="10" t="s">
        <v>17</v>
      </c>
      <c r="G75" s="11" t="s">
        <v>34</v>
      </c>
      <c r="H75" s="12">
        <v>3750</v>
      </c>
      <c r="I75" s="12">
        <v>937.5</v>
      </c>
      <c r="J75" s="10" t="s">
        <v>104</v>
      </c>
      <c r="K75" s="10" t="s">
        <v>322</v>
      </c>
      <c r="L75" s="10" t="s">
        <v>323</v>
      </c>
      <c r="M75" s="10" t="s">
        <v>324</v>
      </c>
      <c r="N75" s="13" t="s">
        <v>22</v>
      </c>
      <c r="O75" s="34" t="str">
        <f>VLOOKUP(A75,'[1]12-06-26'!$A$2:$T$115,20,0)</f>
        <v>P n Y Spray Daisy ( 14 Inch ) 5 P n W Glad ( 14 Inch ) 21   2 Gypsola + FF Sachet</v>
      </c>
      <c r="P75" s="34" t="e">
        <f>VLOOKUP(A75,'[1]19-06-26'!$A$2:$T$113,20,0)</f>
        <v>#N/A</v>
      </c>
      <c r="Q75" s="34" t="str">
        <f>VLOOKUP(A75,'[1]26-06-26'!$A$2:$T$121,20,0)</f>
        <v xml:space="preserve">P Asiatic 4 Pur Eustoma ( 12 Inch ) 21   2 Limonium </v>
      </c>
      <c r="R75" s="34" t="str">
        <f>VLOOKUP(A75,'[2]03-07-26'!$A$2:$T$124,20,0)</f>
        <v>Baloon Flowers  5 Pur n P Car ( 14 Inch ) 20   2 Limonium + FF Sachet</v>
      </c>
      <c r="S75" s="34" t="str">
        <f>VLOOKUP(A75,'[2]10-07-26'!$A$2:$T$138,20,0)</f>
        <v>Sunflower ( 12 Inch) 5 Mix Alstroemeria ( 12 Inch ) 20   2 Gypsola + FF Sachet</v>
      </c>
      <c r="T75" s="34" t="s">
        <v>527</v>
      </c>
      <c r="U75" s="34">
        <v>5</v>
      </c>
      <c r="V75" s="34" t="s">
        <v>546</v>
      </c>
      <c r="W75" s="34">
        <v>21</v>
      </c>
      <c r="X75" s="34"/>
      <c r="Y75" s="34"/>
      <c r="AA75" s="34"/>
      <c r="AB75" s="34"/>
      <c r="AC75" s="34"/>
      <c r="AD75" s="34"/>
    </row>
    <row r="76" spans="1:30" ht="112.3" customHeight="1" x14ac:dyDescent="0.3">
      <c r="A76" s="1">
        <v>3052</v>
      </c>
      <c r="B76" s="20" t="s">
        <v>325</v>
      </c>
      <c r="C76" s="12">
        <v>9990327545</v>
      </c>
      <c r="D76" s="10" t="s">
        <v>326</v>
      </c>
      <c r="E76" s="10" t="s">
        <v>16</v>
      </c>
      <c r="F76" s="10" t="s">
        <v>17</v>
      </c>
      <c r="G76" s="10" t="s">
        <v>18</v>
      </c>
      <c r="H76" s="12">
        <v>1450</v>
      </c>
      <c r="I76" s="12">
        <v>362.5</v>
      </c>
      <c r="J76" s="10" t="s">
        <v>19</v>
      </c>
      <c r="K76" s="10" t="s">
        <v>327</v>
      </c>
      <c r="L76" s="12"/>
      <c r="M76" s="12"/>
      <c r="N76" s="13" t="s">
        <v>31</v>
      </c>
      <c r="O76" s="34" t="e">
        <f>VLOOKUP(A76,'[1]12-06-26'!$A$2:$T$115,20,0)</f>
        <v>#N/A</v>
      </c>
      <c r="P76" s="34" t="e">
        <f>VLOOKUP(A76,'[1]19-06-26'!$A$2:$T$113,20,0)</f>
        <v>#N/A</v>
      </c>
      <c r="Q76" s="34" t="e">
        <f>VLOOKUP(A76,'[1]26-06-26'!$A$2:$T$121,20,0)</f>
        <v>#N/A</v>
      </c>
      <c r="R76" s="34" t="e">
        <f>VLOOKUP(A76,'[2]03-07-26'!$A$2:$T$124,20,0)</f>
        <v>#N/A</v>
      </c>
      <c r="S76" s="34" t="e">
        <f>VLOOKUP(A76,'[2]10-07-26'!$A$2:$T$138,20,0)</f>
        <v>#N/A</v>
      </c>
      <c r="T76" s="34" t="s">
        <v>526</v>
      </c>
      <c r="U76" s="34">
        <v>16</v>
      </c>
      <c r="V76" s="34"/>
      <c r="W76" s="34"/>
      <c r="X76" s="34"/>
      <c r="Y76" s="34"/>
      <c r="Z76" s="34" t="s">
        <v>538</v>
      </c>
      <c r="AA76" s="34"/>
      <c r="AB76" s="34"/>
      <c r="AC76" s="34"/>
      <c r="AD76" s="34"/>
    </row>
    <row r="77" spans="1:30" ht="112.3" customHeight="1" x14ac:dyDescent="0.3">
      <c r="A77" s="1">
        <v>1477</v>
      </c>
      <c r="B77" s="20" t="s">
        <v>328</v>
      </c>
      <c r="C77" s="12">
        <v>9810745341</v>
      </c>
      <c r="D77" s="10" t="s">
        <v>329</v>
      </c>
      <c r="E77" s="10" t="s">
        <v>25</v>
      </c>
      <c r="F77" s="10" t="s">
        <v>17</v>
      </c>
      <c r="G77" s="11" t="s">
        <v>18</v>
      </c>
      <c r="H77" s="12">
        <v>1600</v>
      </c>
      <c r="I77" s="12">
        <v>200</v>
      </c>
      <c r="J77" s="10" t="s">
        <v>27</v>
      </c>
      <c r="K77" s="10" t="s">
        <v>330</v>
      </c>
      <c r="L77" s="12"/>
      <c r="M77" s="12"/>
      <c r="N77" s="13" t="s">
        <v>524</v>
      </c>
      <c r="O77" s="34" t="str">
        <f>VLOOKUP(A77,'[1]12-06-26'!$A$2:$T$115,20,0)</f>
        <v>Pur n P Car ( 14 Inch ) 7     FF Sachet + Grass</v>
      </c>
      <c r="P77" s="34" t="str">
        <f>VLOOKUP(A77,'[1]19-06-26'!$A$2:$T$113,20,0)</f>
        <v>P Spray Daisy ( 14 Inch ) 2     FF Sachet + Grass</v>
      </c>
      <c r="Q77" s="34" t="str">
        <f>VLOOKUP(A77,'[1]26-06-26'!$A$2:$T$121,20,0)</f>
        <v>Rajni ( 14 Inch ) 7     Grass</v>
      </c>
      <c r="R77" s="34" t="str">
        <f>VLOOKUP(A77,'[2]03-07-26'!$A$2:$T$124,20,0)</f>
        <v>P n W Car ( 14 Inch ) 7     FF Sachet + Grass</v>
      </c>
      <c r="S77" s="34" t="str">
        <f>VLOOKUP(A77,'[2]10-07-26'!$A$2:$T$138,20,0)</f>
        <v>P n W Glad ( 14 Inch ) 7     Grass</v>
      </c>
      <c r="T77" s="34" t="s">
        <v>534</v>
      </c>
      <c r="U77" s="34">
        <v>7</v>
      </c>
      <c r="V77" s="34"/>
      <c r="W77" s="34"/>
      <c r="X77" s="34"/>
      <c r="Y77" s="34"/>
      <c r="Z77" s="34" t="s">
        <v>538</v>
      </c>
      <c r="AA77" s="34"/>
      <c r="AB77" s="34"/>
      <c r="AC77" s="34"/>
      <c r="AD77" s="34"/>
    </row>
    <row r="78" spans="1:30" ht="112.3" customHeight="1" x14ac:dyDescent="0.3">
      <c r="A78" s="1">
        <v>3309</v>
      </c>
      <c r="B78" s="14" t="s">
        <v>332</v>
      </c>
      <c r="C78" s="12">
        <v>9986608474</v>
      </c>
      <c r="D78" s="10" t="s">
        <v>333</v>
      </c>
      <c r="E78" s="10" t="s">
        <v>25</v>
      </c>
      <c r="F78" s="10" t="s">
        <v>17</v>
      </c>
      <c r="G78" s="11" t="s">
        <v>34</v>
      </c>
      <c r="H78" s="12">
        <v>2550</v>
      </c>
      <c r="I78" s="12">
        <v>318.75</v>
      </c>
      <c r="J78" s="10" t="s">
        <v>334</v>
      </c>
      <c r="K78" s="10" t="s">
        <v>335</v>
      </c>
      <c r="L78" s="12"/>
      <c r="M78" s="12"/>
      <c r="N78" s="13" t="s">
        <v>36</v>
      </c>
      <c r="O78" s="34" t="str">
        <f>VLOOKUP(A78,'[1]12-06-26'!$A$2:$T$115,20,0)</f>
        <v>Rajni ( 14 Inch ) 11     Grass</v>
      </c>
      <c r="P78" s="34" t="str">
        <f>VLOOKUP(A78,'[1]19-06-26'!$A$2:$T$113,20,0)</f>
        <v>Pur Eustom ( 12 Inch ) 3     FF Sachet + Grass</v>
      </c>
      <c r="Q78" s="34" t="str">
        <f>VLOOKUP(A78,'[1]26-06-26'!$A$2:$T$121,20,0)</f>
        <v>Pur Eustoma ( 12 Inch ) 3     FF sachet + Grass</v>
      </c>
      <c r="R78" s="34" t="str">
        <f>VLOOKUP(A78,'[2]03-07-26'!$A$2:$T$124,20,0)</f>
        <v>Rajni ( 14 Inch ) 11     Grass</v>
      </c>
      <c r="S78" s="34" t="str">
        <f>VLOOKUP(A78,'[2]10-07-26'!$A$2:$T$138,20,0)</f>
        <v>P n Y Gerbera ( 12 Inch ) 11     FF Sachet + Grass</v>
      </c>
      <c r="T78" s="34" t="s">
        <v>537</v>
      </c>
      <c r="U78" s="34">
        <v>3</v>
      </c>
      <c r="V78" s="34"/>
      <c r="W78" s="34"/>
      <c r="X78" s="34"/>
      <c r="Y78" s="34"/>
      <c r="Z78" s="34" t="s">
        <v>539</v>
      </c>
      <c r="AA78" s="34"/>
      <c r="AB78" s="34"/>
      <c r="AC78" s="34"/>
      <c r="AD78" s="34"/>
    </row>
    <row r="79" spans="1:30" ht="112.3" customHeight="1" x14ac:dyDescent="0.3">
      <c r="A79" s="1">
        <v>1411</v>
      </c>
      <c r="B79" s="14" t="s">
        <v>336</v>
      </c>
      <c r="C79" s="12">
        <v>9810002228</v>
      </c>
      <c r="D79" s="10" t="s">
        <v>337</v>
      </c>
      <c r="E79" s="10" t="s">
        <v>16</v>
      </c>
      <c r="F79" s="10" t="s">
        <v>17</v>
      </c>
      <c r="G79" s="11" t="s">
        <v>34</v>
      </c>
      <c r="H79" s="12">
        <v>3000</v>
      </c>
      <c r="I79" s="12">
        <v>375</v>
      </c>
      <c r="J79" s="9" t="s">
        <v>85</v>
      </c>
      <c r="K79" s="10" t="s">
        <v>338</v>
      </c>
      <c r="L79" s="12"/>
      <c r="M79" s="12"/>
      <c r="N79" s="13" t="s">
        <v>36</v>
      </c>
      <c r="O79" s="34" t="e">
        <f>VLOOKUP(A79,'[1]12-06-26'!$A$2:$T$115,20,0)</f>
        <v>#N/A</v>
      </c>
      <c r="P79" s="34" t="e">
        <f>VLOOKUP(A79,'[1]19-06-26'!$A$2:$T$113,20,0)</f>
        <v>#N/A</v>
      </c>
      <c r="Q79" s="34" t="e">
        <f>VLOOKUP(A79,'[1]26-06-26'!$A$2:$T$121,20,0)</f>
        <v>#N/A</v>
      </c>
      <c r="R79" s="34" t="str">
        <f>VLOOKUP(A79,'[2]03-07-26'!$A$2:$T$124,20,0)</f>
        <v>Pur n P Car ( 14 Inch ) 15     FF Sachet + Grass</v>
      </c>
      <c r="S79" s="34" t="str">
        <f>VLOOKUP(A79,'[2]10-07-26'!$A$2:$T$138,20,0)</f>
        <v>Rajni ( 14 Inch ) 15     Grass</v>
      </c>
      <c r="T79" s="34" t="s">
        <v>526</v>
      </c>
      <c r="U79" s="34">
        <v>15</v>
      </c>
      <c r="V79" s="34"/>
      <c r="W79" s="34"/>
      <c r="X79" s="34"/>
      <c r="Y79" s="34"/>
      <c r="Z79" s="34" t="s">
        <v>538</v>
      </c>
      <c r="AA79" s="34"/>
      <c r="AB79" s="34"/>
      <c r="AC79" s="34"/>
      <c r="AD79" s="34"/>
    </row>
    <row r="80" spans="1:30" ht="112.3" customHeight="1" x14ac:dyDescent="0.3">
      <c r="A80" s="1">
        <v>1147</v>
      </c>
      <c r="B80" s="14" t="s">
        <v>339</v>
      </c>
      <c r="C80" s="1">
        <v>9811157690</v>
      </c>
      <c r="D80" s="10" t="s">
        <v>340</v>
      </c>
      <c r="E80" s="10" t="s">
        <v>16</v>
      </c>
      <c r="F80" s="10" t="s">
        <v>341</v>
      </c>
      <c r="G80" s="10" t="s">
        <v>18</v>
      </c>
      <c r="H80" s="12">
        <v>1600</v>
      </c>
      <c r="I80" s="12">
        <v>200</v>
      </c>
      <c r="J80" s="10" t="s">
        <v>27</v>
      </c>
      <c r="K80" s="10" t="s">
        <v>342</v>
      </c>
      <c r="L80" s="10" t="s">
        <v>343</v>
      </c>
      <c r="M80" s="12"/>
      <c r="N80" s="13" t="s">
        <v>22</v>
      </c>
      <c r="O80" s="34" t="str">
        <f>VLOOKUP(A80,'[1]12-06-26'!$A$2:$T$115,20,0)</f>
        <v>Pink White Car ( 12 Inch ) 7     Grass</v>
      </c>
      <c r="P80" s="34" t="str">
        <f>VLOOKUP(A80,'[1]19-06-26'!$A$2:$T$113,20,0)</f>
        <v>Rajni ( 14 Inch ) 7     Grass</v>
      </c>
      <c r="Q80" s="34" t="str">
        <f>VLOOKUP(A80,'[1]26-06-26'!$A$2:$T$121,20,0)</f>
        <v>P Spray Daisy ( 14 Inch ) 2     FF sachet + Grass</v>
      </c>
      <c r="R80" s="34" t="str">
        <f>VLOOKUP(A80,'[2]03-07-26'!$A$2:$T$124,20,0)</f>
        <v>Pur n P Car ( 14 Inch ) 7     FF Sachet + Grass</v>
      </c>
      <c r="S80" s="34" t="e">
        <f>VLOOKUP(A80,'[2]10-07-26'!$A$2:$T$138,20,0)</f>
        <v>#N/A</v>
      </c>
      <c r="T80" s="34" t="s">
        <v>596</v>
      </c>
      <c r="U80" s="34">
        <v>7</v>
      </c>
      <c r="V80" s="34"/>
      <c r="W80" s="34"/>
      <c r="X80" s="34"/>
      <c r="Y80" s="34"/>
      <c r="Z80" s="34" t="s">
        <v>539</v>
      </c>
      <c r="AA80" s="34"/>
      <c r="AB80" s="34"/>
      <c r="AC80" s="34"/>
      <c r="AD80" s="34"/>
    </row>
    <row r="81" spans="1:30" ht="112.3" customHeight="1" x14ac:dyDescent="0.3">
      <c r="A81" s="1">
        <v>3405</v>
      </c>
      <c r="B81" s="14" t="s">
        <v>344</v>
      </c>
      <c r="C81" s="12">
        <v>9811665304</v>
      </c>
      <c r="D81" s="10" t="s">
        <v>345</v>
      </c>
      <c r="E81" s="10" t="s">
        <v>25</v>
      </c>
      <c r="F81" s="10" t="s">
        <v>17</v>
      </c>
      <c r="G81" s="11" t="s">
        <v>34</v>
      </c>
      <c r="H81" s="12">
        <v>1450</v>
      </c>
      <c r="I81" s="12">
        <v>362.5</v>
      </c>
      <c r="J81" s="10" t="s">
        <v>19</v>
      </c>
      <c r="K81" s="10" t="s">
        <v>346</v>
      </c>
      <c r="L81" s="12"/>
      <c r="M81" s="12"/>
      <c r="N81" s="13" t="s">
        <v>31</v>
      </c>
      <c r="O81" s="34" t="e">
        <f>VLOOKUP(A81,'[1]12-06-26'!$A$2:$T$115,20,0)</f>
        <v>#N/A</v>
      </c>
      <c r="P81" s="34" t="e">
        <f>VLOOKUP(A81,'[1]19-06-26'!$A$2:$T$113,20,0)</f>
        <v>#N/A</v>
      </c>
      <c r="Q81" s="34" t="e">
        <f>VLOOKUP(A81,'[1]26-06-26'!$A$2:$T$121,20,0)</f>
        <v>#N/A</v>
      </c>
      <c r="R81" s="34" t="e">
        <f>VLOOKUP(A81,'[2]03-07-26'!$A$2:$T$124,20,0)</f>
        <v>#N/A</v>
      </c>
      <c r="S81" s="34" t="str">
        <f>VLOOKUP(A81,'[2]10-07-26'!$A$2:$T$138,20,0)</f>
        <v>O Asiatic ( 14 Inch ) 3     Grass</v>
      </c>
      <c r="T81" s="34" t="s">
        <v>542</v>
      </c>
      <c r="U81" s="34">
        <v>16</v>
      </c>
      <c r="V81" s="34"/>
      <c r="W81" s="34"/>
      <c r="X81" s="34"/>
      <c r="Y81" s="34"/>
      <c r="Z81" s="34" t="s">
        <v>539</v>
      </c>
      <c r="AA81" s="34"/>
      <c r="AB81" s="34"/>
      <c r="AC81" s="34"/>
      <c r="AD81" s="34"/>
    </row>
    <row r="82" spans="1:30" ht="112.3" customHeight="1" x14ac:dyDescent="0.3">
      <c r="A82" s="9">
        <v>2700</v>
      </c>
      <c r="B82" s="14" t="s">
        <v>347</v>
      </c>
      <c r="C82" s="12">
        <v>8828352292</v>
      </c>
      <c r="D82" s="10" t="s">
        <v>348</v>
      </c>
      <c r="E82" s="10" t="s">
        <v>25</v>
      </c>
      <c r="F82" s="10" t="s">
        <v>17</v>
      </c>
      <c r="G82" s="10" t="s">
        <v>349</v>
      </c>
      <c r="H82" s="12">
        <v>1450</v>
      </c>
      <c r="I82" s="12">
        <v>362.5</v>
      </c>
      <c r="J82" s="10" t="s">
        <v>19</v>
      </c>
      <c r="K82" s="10" t="s">
        <v>350</v>
      </c>
      <c r="L82" s="12"/>
      <c r="M82" s="12"/>
      <c r="N82" s="13" t="s">
        <v>351</v>
      </c>
      <c r="O82" s="34" t="str">
        <f>VLOOKUP(A82,'[1]12-06-26'!$A$2:$T$115,20,0)</f>
        <v>P n Y Spray Daisy ( 14 Inch ) 5     FF Sachet + Grass</v>
      </c>
      <c r="P82" s="34" t="e">
        <f>VLOOKUP(A82,'[1]19-06-26'!$A$2:$T$113,20,0)</f>
        <v>#N/A</v>
      </c>
      <c r="Q82" s="34" t="e">
        <f>VLOOKUP(A82,'[1]26-06-26'!$A$2:$T$121,20,0)</f>
        <v>#N/A</v>
      </c>
      <c r="R82" s="34" t="e">
        <f>VLOOKUP(A82,'[2]03-07-26'!$A$2:$T$124,20,0)</f>
        <v>#N/A</v>
      </c>
      <c r="S82" s="34" t="str">
        <f>VLOOKUP(A82,'[2]10-07-26'!$A$2:$T$138,20,0)</f>
        <v>G n W Car ( 14 Inch ) 16     FF Sachet + Grass</v>
      </c>
      <c r="T82" s="34" t="s">
        <v>533</v>
      </c>
      <c r="U82" s="34">
        <v>3</v>
      </c>
      <c r="V82" s="34"/>
      <c r="W82" s="34"/>
      <c r="X82" s="34"/>
      <c r="Y82" s="34"/>
      <c r="Z82" s="34" t="s">
        <v>538</v>
      </c>
      <c r="AA82" s="34"/>
      <c r="AB82" s="34"/>
      <c r="AC82" s="34"/>
      <c r="AD82" s="34"/>
    </row>
    <row r="83" spans="1:30" ht="112.3" customHeight="1" x14ac:dyDescent="0.3">
      <c r="A83" s="9">
        <v>152</v>
      </c>
      <c r="B83" s="14" t="s">
        <v>352</v>
      </c>
      <c r="C83" s="9">
        <v>9810013410</v>
      </c>
      <c r="D83" s="9" t="s">
        <v>353</v>
      </c>
      <c r="E83" s="10" t="s">
        <v>16</v>
      </c>
      <c r="F83" s="9" t="s">
        <v>17</v>
      </c>
      <c r="G83" s="11" t="s">
        <v>34</v>
      </c>
      <c r="H83" s="12">
        <v>1450</v>
      </c>
      <c r="I83" s="12">
        <v>362.5</v>
      </c>
      <c r="J83" s="10" t="s">
        <v>19</v>
      </c>
      <c r="K83" s="9" t="s">
        <v>354</v>
      </c>
      <c r="L83" s="12"/>
      <c r="M83" s="12"/>
      <c r="N83" s="13" t="s">
        <v>22</v>
      </c>
      <c r="O83" s="34" t="str">
        <f>VLOOKUP(A83,'[1]12-06-26'!$A$2:$T$115,20,0)</f>
        <v>Sunflower ( 12 Inch ) 4     FF Sachet + Grass</v>
      </c>
      <c r="P83" s="34" t="str">
        <f>VLOOKUP(A83,'[1]19-06-26'!$A$2:$T$113,20,0)</f>
        <v xml:space="preserve">Pur Eustom ( 12 Inch ) 3    FF Sachet + Grass </v>
      </c>
      <c r="Q83" s="34" t="str">
        <f>VLOOKUP(A83,'[1]26-06-26'!$A$2:$T$121,20,0)</f>
        <v>O Asiatic ( 14 Inch ) 3     Grass</v>
      </c>
      <c r="R83" s="34" t="str">
        <f>VLOOKUP(A83,'[2]03-07-26'!$A$2:$T$124,20,0)</f>
        <v>Pur n P Car ( 14 Inch ) 16     FF Sachet + Grass</v>
      </c>
      <c r="S83" s="34" t="str">
        <f>VLOOKUP(A83,'[2]10-07-26'!$A$2:$T$138,20,0)</f>
        <v>Rajni ( 14 Inch ) 16     Grass</v>
      </c>
      <c r="T83" s="34" t="s">
        <v>543</v>
      </c>
      <c r="U83" s="34">
        <v>5</v>
      </c>
      <c r="V83" s="34"/>
      <c r="W83" s="34"/>
      <c r="X83" s="34"/>
      <c r="Y83" s="34"/>
      <c r="Z83" s="34" t="s">
        <v>539</v>
      </c>
      <c r="AA83" s="34"/>
      <c r="AB83" s="34"/>
      <c r="AC83" s="34"/>
      <c r="AD83" s="34"/>
    </row>
    <row r="84" spans="1:30" ht="112.3" customHeight="1" x14ac:dyDescent="0.3">
      <c r="A84" s="1">
        <v>3307</v>
      </c>
      <c r="B84" s="14" t="s">
        <v>355</v>
      </c>
      <c r="C84" s="12">
        <v>8860400001</v>
      </c>
      <c r="D84" s="10" t="s">
        <v>356</v>
      </c>
      <c r="E84" s="10" t="s">
        <v>43</v>
      </c>
      <c r="F84" s="10" t="s">
        <v>17</v>
      </c>
      <c r="G84" s="12" t="s">
        <v>357</v>
      </c>
      <c r="H84" s="12">
        <v>2626</v>
      </c>
      <c r="I84" s="12">
        <v>656.5</v>
      </c>
      <c r="J84" s="12" t="s">
        <v>44</v>
      </c>
      <c r="K84" s="10" t="s">
        <v>358</v>
      </c>
      <c r="L84" s="12"/>
      <c r="M84" s="12"/>
      <c r="N84" s="13" t="s">
        <v>22</v>
      </c>
      <c r="O84" s="34" t="str">
        <f>VLOOKUP(A84,'[1]12-06-26'!$A$2:$T$115,20,0)</f>
        <v>W Oriental ( 15 Inch ) 3     1 Gypsola</v>
      </c>
      <c r="P84" s="34" t="str">
        <f>VLOOKUP(A84,'[1]19-06-26'!$A$2:$T$113,20,0)</f>
        <v>P Oriental ( 15 Inch ) 3     1 Limonium</v>
      </c>
      <c r="Q84" s="34" t="str">
        <f>VLOOKUP(A84,'[1]26-06-26'!$A$2:$T$121,20,0)</f>
        <v>W Oriental 3     1 gypaols</v>
      </c>
      <c r="R84" s="34" t="str">
        <f>VLOOKUP(A84,'[2]03-07-26'!$A$2:$T$124,20,0)</f>
        <v>P Oriental ( 15 Inch ) 3     1 Limonium</v>
      </c>
      <c r="S84" s="34" t="str">
        <f>VLOOKUP(A84,'[2]10-07-26'!$A$2:$T$138,20,0)</f>
        <v>W Oriental  3     1 Gypsola</v>
      </c>
      <c r="T84" s="34" t="s">
        <v>535</v>
      </c>
      <c r="U84" s="34">
        <v>3</v>
      </c>
      <c r="V84" s="34"/>
      <c r="W84" s="34"/>
      <c r="X84" s="34"/>
      <c r="Y84" s="34"/>
      <c r="Z84" s="34" t="s">
        <v>549</v>
      </c>
      <c r="AA84" s="34"/>
      <c r="AB84" s="34"/>
      <c r="AC84" s="34"/>
      <c r="AD84" s="34"/>
    </row>
    <row r="85" spans="1:30" ht="112.3" customHeight="1" x14ac:dyDescent="0.3">
      <c r="A85" s="1">
        <v>2832</v>
      </c>
      <c r="B85" s="14" t="s">
        <v>359</v>
      </c>
      <c r="C85" s="1" t="s">
        <v>360</v>
      </c>
      <c r="D85" s="1" t="s">
        <v>361</v>
      </c>
      <c r="E85" s="10" t="s">
        <v>25</v>
      </c>
      <c r="F85" s="10" t="s">
        <v>17</v>
      </c>
      <c r="G85" s="17" t="s">
        <v>53</v>
      </c>
      <c r="H85" s="12">
        <v>1450</v>
      </c>
      <c r="I85" s="12">
        <v>362.5</v>
      </c>
      <c r="J85" s="10" t="s">
        <v>19</v>
      </c>
      <c r="K85" s="10" t="s">
        <v>362</v>
      </c>
      <c r="L85" s="12"/>
      <c r="M85" s="12"/>
      <c r="N85" s="13" t="s">
        <v>22</v>
      </c>
      <c r="O85" s="34" t="str">
        <f>VLOOKUP(A85,'[1]12-06-26'!$A$2:$T$115,20,0)</f>
        <v>Pur Eustoma ( 12 Inch ) 2 P n W Glad ( 14 Inch ) 7   FF Sachet + Grass</v>
      </c>
      <c r="P85" s="34" t="str">
        <f>VLOOKUP(A85,'[1]19-06-26'!$A$2:$T$113,20,0)</f>
        <v xml:space="preserve">O Asiatic ( 14 Inch ) 2 Mix Alstroemeria (  12 Inch ) 7  Grass </v>
      </c>
      <c r="Q85" s="34" t="str">
        <f>VLOOKUP(A85,'[1]26-06-26'!$A$2:$T$121,20,0)</f>
        <v>O Asiatic ( 14 Inch ) 2 Mix Alstroemeria ( 12 Inch ) 7   Grass</v>
      </c>
      <c r="R85" s="34" t="str">
        <f>VLOOKUP(A85,'[2]03-07-26'!$A$2:$T$124,20,0)</f>
        <v>Sunflower ( 12 Inch ) 2 Pur n P Car ( 14 Inch ) 7   FF Sachet + Grass</v>
      </c>
      <c r="S85" s="34" t="str">
        <f>VLOOKUP(A85,'[2]10-07-26'!$A$2:$T$138,20,0)</f>
        <v>P Spray Daisy ( 14 Inch ) 3 Rajni ( 14 Inch ) 7   FF Sachet + Grass</v>
      </c>
      <c r="T85" s="34" t="s">
        <v>533</v>
      </c>
      <c r="U85" s="34">
        <v>2</v>
      </c>
      <c r="V85" s="34" t="s">
        <v>536</v>
      </c>
      <c r="W85" s="34">
        <v>7</v>
      </c>
      <c r="X85" s="34"/>
      <c r="Y85" s="34"/>
      <c r="Z85" s="34" t="s">
        <v>538</v>
      </c>
      <c r="AA85" s="34"/>
      <c r="AB85" s="34"/>
      <c r="AC85" s="34"/>
      <c r="AD85" s="34"/>
    </row>
    <row r="86" spans="1:30" ht="112.3" customHeight="1" x14ac:dyDescent="0.3">
      <c r="A86" s="1">
        <v>3229</v>
      </c>
      <c r="B86" s="14" t="s">
        <v>363</v>
      </c>
      <c r="C86" s="12">
        <v>9766249975</v>
      </c>
      <c r="D86" s="10" t="s">
        <v>364</v>
      </c>
      <c r="E86" s="10" t="s">
        <v>25</v>
      </c>
      <c r="F86" s="10" t="s">
        <v>17</v>
      </c>
      <c r="G86" s="10" t="s">
        <v>349</v>
      </c>
      <c r="H86" s="12">
        <v>1450</v>
      </c>
      <c r="I86" s="12">
        <v>362.5</v>
      </c>
      <c r="J86" s="10" t="s">
        <v>19</v>
      </c>
      <c r="K86" s="10" t="s">
        <v>365</v>
      </c>
      <c r="L86" s="12"/>
      <c r="M86" s="12"/>
      <c r="N86" s="13" t="s">
        <v>22</v>
      </c>
      <c r="O86" s="34" t="e">
        <f>VLOOKUP(A86,'[1]12-06-26'!$A$2:$T$115,20,0)</f>
        <v>#N/A</v>
      </c>
      <c r="P86" s="34" t="e">
        <f>VLOOKUP(A86,'[1]19-06-26'!$A$2:$T$113,20,0)</f>
        <v>#N/A</v>
      </c>
      <c r="Q86" s="34" t="e">
        <f>VLOOKUP(A86,'[1]26-06-26'!$A$2:$T$121,20,0)</f>
        <v>#N/A</v>
      </c>
      <c r="R86" s="34" t="e">
        <f>VLOOKUP(A86,'[2]03-07-26'!$A$2:$T$124,20,0)</f>
        <v>#N/A</v>
      </c>
      <c r="S86" s="34" t="str">
        <f>VLOOKUP(A86,'[2]10-07-26'!$A$2:$T$138,20,0)</f>
        <v>G n W Car ( 14 Inch ) 16     FF Sachet + Grass</v>
      </c>
      <c r="T86" s="34" t="s">
        <v>608</v>
      </c>
      <c r="U86" s="34">
        <v>3</v>
      </c>
      <c r="V86" s="34"/>
      <c r="W86" s="34"/>
      <c r="X86" s="34"/>
      <c r="Y86" s="34"/>
      <c r="Z86" s="34" t="s">
        <v>538</v>
      </c>
      <c r="AA86" s="34"/>
      <c r="AB86" s="34"/>
      <c r="AC86" s="34"/>
      <c r="AD86" s="34"/>
    </row>
    <row r="87" spans="1:30" ht="112.3" customHeight="1" x14ac:dyDescent="0.3">
      <c r="A87" s="1">
        <v>2089</v>
      </c>
      <c r="B87" s="14" t="s">
        <v>366</v>
      </c>
      <c r="C87" s="12">
        <v>8369995614</v>
      </c>
      <c r="D87" s="10" t="s">
        <v>367</v>
      </c>
      <c r="E87" s="10" t="s">
        <v>25</v>
      </c>
      <c r="F87" s="10" t="s">
        <v>17</v>
      </c>
      <c r="G87" s="11" t="s">
        <v>34</v>
      </c>
      <c r="H87" s="12">
        <v>1450</v>
      </c>
      <c r="I87" s="12">
        <v>362.5</v>
      </c>
      <c r="J87" s="10" t="s">
        <v>19</v>
      </c>
      <c r="K87" s="10" t="s">
        <v>368</v>
      </c>
      <c r="L87" s="10" t="s">
        <v>369</v>
      </c>
      <c r="M87" s="12"/>
      <c r="N87" s="13" t="s">
        <v>291</v>
      </c>
      <c r="O87" s="34" t="e">
        <f>VLOOKUP(A87,'[1]12-06-26'!$A$2:$T$115,20,0)</f>
        <v>#N/A</v>
      </c>
      <c r="P87" s="34" t="e">
        <f>VLOOKUP(A87,'[1]19-06-26'!$A$2:$T$113,20,0)</f>
        <v>#N/A</v>
      </c>
      <c r="Q87" s="34" t="str">
        <f>VLOOKUP(A87,'[1]26-06-26'!$A$2:$T$121,20,0)</f>
        <v>Mix Alstroemeria 16     FF sachet + Grass</v>
      </c>
      <c r="R87" s="34" t="str">
        <f>VLOOKUP(A87,'[2]03-07-26'!$A$2:$T$124,20,0)</f>
        <v>Pur n P Car ( 14 Inch ) 16     FF Sachet + Grass</v>
      </c>
      <c r="S87" s="34" t="str">
        <f>VLOOKUP(A87,'[2]10-07-26'!$A$2:$T$138,20,0)</f>
        <v>Y Asiatic ( 14 Inch ) 3     Grass</v>
      </c>
      <c r="T87" s="34" t="s">
        <v>526</v>
      </c>
      <c r="U87" s="34">
        <v>16</v>
      </c>
      <c r="V87" s="34"/>
      <c r="W87" s="34"/>
      <c r="X87" s="34"/>
      <c r="Y87" s="34"/>
      <c r="Z87" s="34" t="s">
        <v>538</v>
      </c>
      <c r="AA87" s="34"/>
      <c r="AB87" s="34"/>
      <c r="AC87" s="34"/>
      <c r="AD87" s="34"/>
    </row>
    <row r="88" spans="1:30" ht="112.3" customHeight="1" x14ac:dyDescent="0.3">
      <c r="A88" s="1">
        <v>3185</v>
      </c>
      <c r="B88" s="14" t="s">
        <v>370</v>
      </c>
      <c r="C88" s="27">
        <v>9711216660</v>
      </c>
      <c r="D88" s="10" t="s">
        <v>371</v>
      </c>
      <c r="E88" s="10" t="s">
        <v>16</v>
      </c>
      <c r="F88" s="10" t="s">
        <v>17</v>
      </c>
      <c r="G88" s="11" t="s">
        <v>34</v>
      </c>
      <c r="H88" s="12">
        <v>1450</v>
      </c>
      <c r="I88" s="12">
        <v>362.5</v>
      </c>
      <c r="J88" s="9" t="s">
        <v>19</v>
      </c>
      <c r="K88" s="10" t="s">
        <v>372</v>
      </c>
      <c r="L88" s="12"/>
      <c r="M88" s="12"/>
      <c r="N88" s="13" t="s">
        <v>22</v>
      </c>
      <c r="O88" s="34" t="str">
        <f>VLOOKUP(A88,'[1]12-06-26'!$A$2:$T$115,20,0)</f>
        <v>P n W Glad ( 14 Inch ) 9     Grass</v>
      </c>
      <c r="P88" s="34" t="str">
        <f>VLOOKUP(A88,'[1]19-06-26'!$A$2:$T$113,20,0)</f>
        <v xml:space="preserve">O Asiatic ( 14 Inch ) 2    Grass </v>
      </c>
      <c r="Q88" s="34" t="str">
        <f>VLOOKUP(A88,'[1]26-06-26'!$A$2:$T$121,20,0)</f>
        <v>Rajni ( 14 Inch ) 9     Grass</v>
      </c>
      <c r="R88" s="34" t="str">
        <f>VLOOKUP(A88,'[2]03-07-26'!$A$2:$T$124,20,0)</f>
        <v>Pur n P Car ( 14 Inch ) 9     FF Sachet + Grass</v>
      </c>
      <c r="S88" s="34" t="str">
        <f>VLOOKUP(A88,'[2]10-07-26'!$A$2:$T$138,20,0)</f>
        <v>Mix Alstroemeria ( 12 Inch ) 16     FF Sachet + Grass</v>
      </c>
      <c r="T88" s="34" t="s">
        <v>527</v>
      </c>
      <c r="U88" s="34">
        <v>5</v>
      </c>
      <c r="V88" s="34"/>
      <c r="W88" s="34"/>
      <c r="X88" s="34"/>
      <c r="Y88" s="34"/>
      <c r="Z88" s="34" t="s">
        <v>539</v>
      </c>
      <c r="AA88" s="34"/>
      <c r="AB88" s="34"/>
      <c r="AC88" s="34"/>
      <c r="AD88" s="34"/>
    </row>
    <row r="89" spans="1:30" ht="112.3" customHeight="1" x14ac:dyDescent="0.3">
      <c r="A89" s="1">
        <v>2018</v>
      </c>
      <c r="B89" s="14" t="s">
        <v>373</v>
      </c>
      <c r="C89" s="12">
        <v>9818054747</v>
      </c>
      <c r="D89" s="10" t="s">
        <v>374</v>
      </c>
      <c r="E89" s="10" t="s">
        <v>16</v>
      </c>
      <c r="F89" s="10" t="s">
        <v>17</v>
      </c>
      <c r="G89" s="11" t="s">
        <v>34</v>
      </c>
      <c r="H89" s="12">
        <v>1450</v>
      </c>
      <c r="I89" s="12">
        <v>362.5</v>
      </c>
      <c r="J89" s="10" t="s">
        <v>19</v>
      </c>
      <c r="K89" s="10" t="s">
        <v>375</v>
      </c>
      <c r="L89" s="10" t="s">
        <v>376</v>
      </c>
      <c r="M89" s="12"/>
      <c r="N89" s="13" t="s">
        <v>22</v>
      </c>
      <c r="O89" s="34" t="str">
        <f>VLOOKUP(A89,'[1]12-06-26'!$A$2:$T$115,20,0)</f>
        <v>W Asiatic ( 14 inch ) 3     Grass</v>
      </c>
      <c r="P89" s="34" t="e">
        <f>VLOOKUP(A89,'[1]19-06-26'!$A$2:$T$113,20,0)</f>
        <v>#N/A</v>
      </c>
      <c r="Q89" s="34" t="str">
        <f>VLOOKUP(A89,'[1]26-06-26'!$A$2:$T$121,20,0)</f>
        <v>Pur n P Car ( 14 Inch ) 16     FF sachet + Grass</v>
      </c>
      <c r="R89" s="34" t="str">
        <f>VLOOKUP(A89,'[2]03-07-26'!$A$2:$T$124,20,0)</f>
        <v>Sunflower ( 12 Inch ) 4     FF Sachet + Grass</v>
      </c>
      <c r="S89" s="34" t="str">
        <f>VLOOKUP(A89,'[2]10-07-26'!$A$2:$T$138,20,0)</f>
        <v>P n W Spray Daisy ( 14  Inch )  5     FF Sachet + Grass</v>
      </c>
      <c r="T89" s="34" t="s">
        <v>536</v>
      </c>
      <c r="U89" s="34">
        <v>16</v>
      </c>
      <c r="V89" s="34"/>
      <c r="W89" s="34"/>
      <c r="X89" s="34"/>
      <c r="Y89" s="34"/>
      <c r="Z89" s="34" t="s">
        <v>539</v>
      </c>
      <c r="AA89" s="34"/>
      <c r="AB89" s="34"/>
      <c r="AC89" s="34"/>
      <c r="AD89" s="34"/>
    </row>
    <row r="90" spans="1:30" ht="112.3" customHeight="1" x14ac:dyDescent="0.3">
      <c r="A90" s="1">
        <v>296</v>
      </c>
      <c r="B90" s="14" t="s">
        <v>377</v>
      </c>
      <c r="C90" s="1">
        <v>9999364696</v>
      </c>
      <c r="D90" s="9" t="s">
        <v>378</v>
      </c>
      <c r="E90" s="10" t="s">
        <v>16</v>
      </c>
      <c r="F90" s="9" t="s">
        <v>17</v>
      </c>
      <c r="G90" s="11" t="s">
        <v>34</v>
      </c>
      <c r="H90" s="12">
        <v>1450</v>
      </c>
      <c r="I90" s="12">
        <v>362.5</v>
      </c>
      <c r="J90" s="10" t="s">
        <v>19</v>
      </c>
      <c r="K90" s="9" t="s">
        <v>379</v>
      </c>
      <c r="L90" s="10" t="s">
        <v>380</v>
      </c>
      <c r="M90" s="10" t="s">
        <v>381</v>
      </c>
      <c r="N90" s="13" t="s">
        <v>382</v>
      </c>
      <c r="O90" s="34" t="str">
        <f>VLOOKUP(A90,'[1]12-06-26'!$A$2:$T$115,20,0)</f>
        <v>Pur n P Car ( 14 Inch ) 16     FF Sachet + Grass</v>
      </c>
      <c r="P90" s="34" t="str">
        <f>VLOOKUP(A90,'[1]19-06-26'!$A$2:$T$113,20,0)</f>
        <v xml:space="preserve">O Asiatic ( 14 Inch ) 3    Grass </v>
      </c>
      <c r="Q90" s="34" t="str">
        <f>VLOOKUP(A90,'[1]26-06-26'!$A$2:$T$121,20,0)</f>
        <v xml:space="preserve">Mix Spray Daisy 5     </v>
      </c>
      <c r="R90" s="34" t="str">
        <f>VLOOKUP(A90,'[2]03-07-26'!$A$2:$T$124,20,0)</f>
        <v>Rajni ( 14 Inch ) 16     Grass</v>
      </c>
      <c r="S90" s="34" t="e">
        <f>VLOOKUP(A90,'[2]10-07-26'!$A$2:$T$138,20,0)</f>
        <v>#N/A</v>
      </c>
      <c r="T90" s="34" t="s">
        <v>543</v>
      </c>
      <c r="U90" s="34">
        <v>5</v>
      </c>
      <c r="V90" s="34"/>
      <c r="W90" s="34"/>
      <c r="X90" s="34"/>
      <c r="Y90" s="34"/>
      <c r="Z90" s="34" t="s">
        <v>539</v>
      </c>
      <c r="AA90" s="34"/>
      <c r="AB90" s="34"/>
      <c r="AC90" s="34"/>
      <c r="AD90" s="34"/>
    </row>
    <row r="91" spans="1:30" ht="112.3" customHeight="1" x14ac:dyDescent="0.3">
      <c r="A91" s="1">
        <v>3011</v>
      </c>
      <c r="B91" s="14" t="s">
        <v>383</v>
      </c>
      <c r="C91" s="12">
        <v>9702930000</v>
      </c>
      <c r="D91" s="10" t="s">
        <v>384</v>
      </c>
      <c r="E91" s="10" t="s">
        <v>16</v>
      </c>
      <c r="F91" s="10" t="s">
        <v>17</v>
      </c>
      <c r="G91" s="11" t="s">
        <v>18</v>
      </c>
      <c r="H91" s="12">
        <v>1450</v>
      </c>
      <c r="I91" s="12">
        <v>362.5</v>
      </c>
      <c r="J91" s="10" t="s">
        <v>19</v>
      </c>
      <c r="K91" s="10" t="s">
        <v>385</v>
      </c>
      <c r="L91" s="12"/>
      <c r="M91" s="12"/>
      <c r="N91" s="13" t="s">
        <v>22</v>
      </c>
      <c r="O91" s="34" t="str">
        <f>VLOOKUP(A91,'[1]12-06-26'!$A$2:$T$115,20,0)</f>
        <v>Pur Eustoma ( 12 Inch ) 2 Pur n P Car ( 14 Inch ) 7   FF Sachet + Grass</v>
      </c>
      <c r="P91" s="34" t="str">
        <f>VLOOKUP(A91,'[1]19-06-26'!$A$2:$T$113,20,0)</f>
        <v xml:space="preserve">Sunflower ( 12 Inch ) 2 Mix Alstroemeria (  12 Inch ) 7  FF Sachet + Grass </v>
      </c>
      <c r="Q91" s="34" t="str">
        <f>VLOOKUP(A91,'[1]26-06-26'!$A$2:$T$121,20,0)</f>
        <v>P Asiatic ( 14 Inch ) 2 Rajni ( 14 Inch ) 7   Grass</v>
      </c>
      <c r="R91" s="34" t="str">
        <f>VLOOKUP(A91,'[2]03-07-26'!$A$2:$T$124,20,0)</f>
        <v>G Spray Daisy ( 14 Inch ) 3 P n W Glad ( 14 Inch ) 7   FF Sachet + Grass</v>
      </c>
      <c r="S91" s="34" t="str">
        <f>VLOOKUP(A91,'[2]10-07-26'!$A$2:$T$138,20,0)</f>
        <v>Sunflower ( 12 Inch) 2 G n W Car ( 14 Inch ) 7   FF Sachet + Grass</v>
      </c>
      <c r="T91" s="34" t="s">
        <v>533</v>
      </c>
      <c r="U91" s="34">
        <v>2</v>
      </c>
      <c r="V91" s="34" t="s">
        <v>536</v>
      </c>
      <c r="W91" s="34">
        <v>7</v>
      </c>
      <c r="X91" s="34"/>
      <c r="Y91" s="34"/>
      <c r="Z91" s="34" t="s">
        <v>538</v>
      </c>
      <c r="AA91" s="34"/>
      <c r="AB91" s="34"/>
      <c r="AC91" s="34"/>
      <c r="AD91" s="34"/>
    </row>
    <row r="92" spans="1:30" ht="112.3" customHeight="1" x14ac:dyDescent="0.3">
      <c r="A92" s="1">
        <v>3408</v>
      </c>
      <c r="B92" s="14" t="s">
        <v>386</v>
      </c>
      <c r="C92" s="12">
        <v>9899591153</v>
      </c>
      <c r="D92" s="10" t="s">
        <v>387</v>
      </c>
      <c r="E92" s="10" t="s">
        <v>25</v>
      </c>
      <c r="F92" s="10" t="s">
        <v>17</v>
      </c>
      <c r="G92" s="18" t="s">
        <v>53</v>
      </c>
      <c r="H92" s="12">
        <v>1450</v>
      </c>
      <c r="I92" s="12">
        <v>1450</v>
      </c>
      <c r="J92" s="10" t="s">
        <v>19</v>
      </c>
      <c r="K92" s="12"/>
      <c r="L92" s="12"/>
      <c r="M92" s="12"/>
      <c r="N92" s="13" t="s">
        <v>22</v>
      </c>
      <c r="O92" s="34" t="e">
        <f>VLOOKUP(A92,'[1]12-06-26'!$A$2:$T$115,20,0)</f>
        <v>#N/A</v>
      </c>
      <c r="P92" s="34" t="e">
        <f>VLOOKUP(A92,'[1]19-06-26'!$A$2:$T$113,20,0)</f>
        <v>#N/A</v>
      </c>
      <c r="Q92" s="34" t="e">
        <f>VLOOKUP(A92,'[1]26-06-26'!$A$2:$T$121,20,0)</f>
        <v>#N/A</v>
      </c>
      <c r="R92" s="34" t="e">
        <f>VLOOKUP(A92,'[2]03-07-26'!$A$2:$T$124,20,0)</f>
        <v>#N/A</v>
      </c>
      <c r="S92" s="34" t="str">
        <f>VLOOKUP(A92,'[2]10-07-26'!$A$2:$T$138,20,0)</f>
        <v>G n W Car ( 14 Inch ) 16     FF Sachet + Grass</v>
      </c>
      <c r="T92" s="34" t="s">
        <v>608</v>
      </c>
      <c r="U92" s="34">
        <v>3</v>
      </c>
      <c r="V92" s="34"/>
      <c r="W92" s="34"/>
      <c r="X92" s="34"/>
      <c r="Y92" s="34"/>
      <c r="Z92" s="34" t="s">
        <v>538</v>
      </c>
      <c r="AA92" s="34"/>
      <c r="AB92" s="34"/>
      <c r="AC92" s="34"/>
      <c r="AD92" s="34"/>
    </row>
    <row r="93" spans="1:30" ht="112.3" customHeight="1" x14ac:dyDescent="0.3">
      <c r="A93" s="1">
        <v>3312</v>
      </c>
      <c r="B93" s="14" t="s">
        <v>388</v>
      </c>
      <c r="C93" s="12">
        <v>9953755297</v>
      </c>
      <c r="D93" s="10" t="s">
        <v>389</v>
      </c>
      <c r="E93" s="10" t="s">
        <v>16</v>
      </c>
      <c r="F93" s="10" t="s">
        <v>39</v>
      </c>
      <c r="G93" s="18" t="s">
        <v>53</v>
      </c>
      <c r="H93" s="12">
        <v>1950</v>
      </c>
      <c r="I93" s="12">
        <v>487.5</v>
      </c>
      <c r="J93" s="10" t="s">
        <v>118</v>
      </c>
      <c r="K93" s="12"/>
      <c r="L93" s="12"/>
      <c r="M93" s="12"/>
      <c r="N93" s="13" t="s">
        <v>22</v>
      </c>
      <c r="O93" s="34" t="str">
        <f>VLOOKUP(A93,'[1]12-06-26'!$A$2:$T$115,20,0)</f>
        <v>W Asiatic ( 14 inch ) 4     Grass</v>
      </c>
      <c r="P93" s="34" t="str">
        <f>VLOOKUP(A93,'[1]19-06-26'!$A$2:$T$113,20,0)</f>
        <v>R n P Car ( 14 Inch ) 22     FF sachet + Grass</v>
      </c>
      <c r="Q93" s="34" t="str">
        <f>VLOOKUP(A93,'[1]26-06-26'!$A$2:$T$121,20,0)</f>
        <v>Pur n P Eustoma ( 12 Inch ) 4     FF Sachet + Grass</v>
      </c>
      <c r="R93" s="34" t="str">
        <f>VLOOKUP(A93,'[2]03-07-26'!$A$2:$T$124,20,0)</f>
        <v>P n W Glad ( 14 Inch ) 22     Grass</v>
      </c>
      <c r="S93" s="34" t="str">
        <f>VLOOKUP(A93,'[2]10-07-26'!$A$2:$T$138,20,0)</f>
        <v>P n Y Spray Daisy ( 14 Inch ) 7     FF Sachet + Grass</v>
      </c>
      <c r="T93" s="34" t="s">
        <v>608</v>
      </c>
      <c r="U93" s="34">
        <v>4</v>
      </c>
      <c r="V93" s="34"/>
      <c r="W93" s="34"/>
      <c r="X93" s="34"/>
      <c r="Y93" s="34"/>
      <c r="Z93" s="34" t="s">
        <v>538</v>
      </c>
      <c r="AA93" s="34"/>
      <c r="AB93" s="34"/>
      <c r="AC93" s="34"/>
      <c r="AD93" s="34"/>
    </row>
    <row r="94" spans="1:30" ht="112.3" customHeight="1" x14ac:dyDescent="0.3">
      <c r="A94" s="1">
        <v>3119</v>
      </c>
      <c r="B94" s="14" t="s">
        <v>390</v>
      </c>
      <c r="C94" s="12">
        <v>9811106435</v>
      </c>
      <c r="D94" s="10" t="s">
        <v>391</v>
      </c>
      <c r="E94" s="10" t="s">
        <v>25</v>
      </c>
      <c r="F94" s="10" t="s">
        <v>17</v>
      </c>
      <c r="G94" s="17" t="s">
        <v>53</v>
      </c>
      <c r="H94" s="12">
        <v>1450</v>
      </c>
      <c r="I94" s="12">
        <v>362.5</v>
      </c>
      <c r="J94" s="10" t="s">
        <v>19</v>
      </c>
      <c r="K94" s="10" t="s">
        <v>392</v>
      </c>
      <c r="L94" s="12"/>
      <c r="M94" s="10" t="s">
        <v>393</v>
      </c>
      <c r="N94" s="13" t="s">
        <v>291</v>
      </c>
      <c r="O94" s="34" t="str">
        <f>VLOOKUP(A94,'[1]12-06-26'!$A$2:$T$115,20,0)</f>
        <v>Sunflower ( 12 Inch ) 2 Pur n P Car ( 14 Inch ) 7   FF Sachet + Grass</v>
      </c>
      <c r="P94" s="34" t="str">
        <f>VLOOKUP(A94,'[1]19-06-26'!$A$2:$T$113,20,0)</f>
        <v xml:space="preserve">Pur Eustom ( 12 Inch ) 2 Mix Alstroemeria (  12 Inch ) 7  FF Sachet + Grass </v>
      </c>
      <c r="Q94" s="34" t="str">
        <f>VLOOKUP(A94,'[1]26-06-26'!$A$2:$T$121,20,0)</f>
        <v>P Asiatic ( 14 Inch ) 2 Glad ( 14 Inch ) 7   Grass</v>
      </c>
      <c r="R94" s="34" t="str">
        <f>VLOOKUP(A94,'[2]03-07-26'!$A$2:$T$124,20,0)</f>
        <v>Sunflower ( 12 Inch ) 2 P n W Car ( 14 Inch ) 7   FF Sachet + Grass</v>
      </c>
      <c r="S94" s="34" t="str">
        <f>VLOOKUP(A94,'[2]10-07-26'!$A$2:$T$138,20,0)</f>
        <v>P Spray Daisy ( 14 Inch ) 3 Rajni ( 14 Inch ) 7   FF Sachet + Grass</v>
      </c>
      <c r="T94" s="34" t="s">
        <v>533</v>
      </c>
      <c r="U94" s="34">
        <v>2</v>
      </c>
      <c r="V94" s="34" t="s">
        <v>536</v>
      </c>
      <c r="W94" s="34">
        <v>7</v>
      </c>
      <c r="X94" s="34"/>
      <c r="Y94" s="34"/>
      <c r="Z94" s="34" t="s">
        <v>538</v>
      </c>
      <c r="AA94" s="34"/>
      <c r="AB94" s="34"/>
      <c r="AC94" s="34"/>
      <c r="AD94" s="34"/>
    </row>
    <row r="95" spans="1:30" ht="112.3" customHeight="1" x14ac:dyDescent="0.3">
      <c r="A95" s="9">
        <v>163</v>
      </c>
      <c r="B95" s="14" t="s">
        <v>394</v>
      </c>
      <c r="C95" s="1">
        <v>8800444342</v>
      </c>
      <c r="D95" s="9" t="s">
        <v>395</v>
      </c>
      <c r="E95" s="10" t="s">
        <v>16</v>
      </c>
      <c r="F95" s="9" t="s">
        <v>17</v>
      </c>
      <c r="G95" s="11" t="s">
        <v>34</v>
      </c>
      <c r="H95" s="12">
        <v>1950</v>
      </c>
      <c r="I95" s="12">
        <v>487.5</v>
      </c>
      <c r="J95" s="10" t="s">
        <v>118</v>
      </c>
      <c r="K95" s="9" t="s">
        <v>396</v>
      </c>
      <c r="L95" s="12"/>
      <c r="M95" s="12"/>
      <c r="N95" s="13" t="s">
        <v>22</v>
      </c>
      <c r="O95" s="34" t="str">
        <f>VLOOKUP(A95,'[1]12-06-26'!$A$2:$T$115,20,0)</f>
        <v>Pur n P Car ( 14 Inch ) 22     FF Sachet + Grass</v>
      </c>
      <c r="P95" s="34" t="str">
        <f>VLOOKUP(A95,'[1]19-06-26'!$A$2:$T$113,20,0)</f>
        <v>Sunflower ( 12 Inch ) 5     FF sachet + Grass</v>
      </c>
      <c r="Q95" s="34" t="str">
        <f>VLOOKUP(A95,'[1]26-06-26'!$A$2:$T$121,20,0)</f>
        <v>Pur n P Eustoma ( 12 Inch ) 4     FF Sachet + Grass</v>
      </c>
      <c r="R95" s="34" t="str">
        <f>VLOOKUP(A95,'[2]03-07-26'!$A$2:$T$124,20,0)</f>
        <v>P n W Glad ( 14 Inch ) 22 1st Del Tom in Route 1st Del Tom in Route 1st Del Tom in Route  Grass</v>
      </c>
      <c r="S95" s="34" t="str">
        <f>VLOOKUP(A95,'[2]10-07-26'!$A$2:$T$138,20,0)</f>
        <v>O Asiatic ( 14 Inch ) 4     Grass</v>
      </c>
      <c r="T95" s="34" t="s">
        <v>542</v>
      </c>
      <c r="U95" s="34">
        <v>22</v>
      </c>
      <c r="V95" s="34"/>
      <c r="W95" s="34"/>
      <c r="X95" s="34"/>
      <c r="Y95" s="34"/>
      <c r="Z95" s="34" t="s">
        <v>539</v>
      </c>
      <c r="AA95" s="34"/>
      <c r="AB95" s="34"/>
      <c r="AC95" s="34"/>
      <c r="AD95" s="34"/>
    </row>
    <row r="96" spans="1:30" ht="112.3" customHeight="1" x14ac:dyDescent="0.3">
      <c r="A96" s="1">
        <v>2394</v>
      </c>
      <c r="B96" s="14" t="s">
        <v>397</v>
      </c>
      <c r="C96" s="12">
        <v>8420453178</v>
      </c>
      <c r="D96" s="10" t="s">
        <v>398</v>
      </c>
      <c r="E96" s="10" t="s">
        <v>62</v>
      </c>
      <c r="F96" s="10" t="s">
        <v>17</v>
      </c>
      <c r="G96" s="17" t="s">
        <v>194</v>
      </c>
      <c r="H96" s="12">
        <v>1450</v>
      </c>
      <c r="I96" s="12">
        <v>362.5</v>
      </c>
      <c r="J96" s="9" t="s">
        <v>19</v>
      </c>
      <c r="K96" s="10" t="s">
        <v>399</v>
      </c>
      <c r="L96" s="12"/>
      <c r="M96" s="12"/>
      <c r="N96" s="13" t="s">
        <v>22</v>
      </c>
      <c r="O96" s="34" t="str">
        <f>VLOOKUP(A96,'[1]12-06-26'!$A$2:$T$115,20,0)</f>
        <v>Sunflower ( 12 Inch ) 4     FF Sachet + Grass</v>
      </c>
      <c r="P96" s="34" t="str">
        <f>VLOOKUP(A96,'[1]19-06-26'!$A$2:$T$113,20,0)</f>
        <v xml:space="preserve">Pur Eustom ( 12 Inch ) 3    FF Sachet + Grass </v>
      </c>
      <c r="Q96" s="34" t="str">
        <f>VLOOKUP(A96,'[1]26-06-26'!$A$2:$T$121,20,0)</f>
        <v>P n W Car ( 14 Inch ) 16     FF sachet + Grass</v>
      </c>
      <c r="R96" s="34" t="str">
        <f>VLOOKUP(A96,'[2]03-07-26'!$A$2:$T$124,20,0)</f>
        <v>G Spray Daisy ( 14 Inch ) 5     Grass</v>
      </c>
      <c r="S96" s="34" t="str">
        <f>VLOOKUP(A96,'[2]10-07-26'!$A$2:$T$138,20,0)</f>
        <v>Y Asiatic ( 14 Inch ) 3     Grass</v>
      </c>
      <c r="T96" s="34" t="s">
        <v>526</v>
      </c>
      <c r="U96" s="34">
        <v>16</v>
      </c>
      <c r="V96" s="34"/>
      <c r="W96" s="34"/>
      <c r="X96" s="34"/>
      <c r="Y96" s="34"/>
      <c r="Z96" s="34" t="s">
        <v>538</v>
      </c>
      <c r="AA96" s="34"/>
      <c r="AB96" s="34"/>
      <c r="AC96" s="34"/>
      <c r="AD96" s="34"/>
    </row>
    <row r="97" spans="1:30" ht="112.3" customHeight="1" x14ac:dyDescent="0.3">
      <c r="A97" s="1">
        <v>3062</v>
      </c>
      <c r="B97" s="14" t="s">
        <v>400</v>
      </c>
      <c r="C97" s="12">
        <v>9400305164</v>
      </c>
      <c r="D97" s="10" t="s">
        <v>401</v>
      </c>
      <c r="E97" s="10" t="s">
        <v>74</v>
      </c>
      <c r="F97" s="10" t="s">
        <v>17</v>
      </c>
      <c r="G97" s="17" t="s">
        <v>53</v>
      </c>
      <c r="H97" s="12">
        <v>1450</v>
      </c>
      <c r="I97" s="12">
        <v>362.5</v>
      </c>
      <c r="J97" s="9" t="s">
        <v>19</v>
      </c>
      <c r="K97" s="10" t="s">
        <v>402</v>
      </c>
      <c r="L97" s="12"/>
      <c r="M97" s="12"/>
      <c r="N97" s="13" t="s">
        <v>22</v>
      </c>
      <c r="O97" s="34" t="str">
        <f>VLOOKUP(A97,'[1]12-06-26'!$A$2:$T$115,20,0)</f>
        <v>Mix Carnation  16     FF Sachet + Grass</v>
      </c>
      <c r="P97" s="34" t="str">
        <f>VLOOKUP(A97,'[1]19-06-26'!$A$2:$T$113,20,0)</f>
        <v xml:space="preserve">Pur Eustom ( 12 Inch ) 3    FF Sachet + Grass </v>
      </c>
      <c r="Q97" s="34" t="str">
        <f>VLOOKUP(A97,'[1]26-06-26'!$A$2:$T$121,20,0)</f>
        <v>P n W Glad ( 14 Inch ) 16     Grass</v>
      </c>
      <c r="R97" s="34" t="str">
        <f>VLOOKUP(A97,'[2]03-07-26'!$A$2:$T$124,20,0)</f>
        <v>Sunflower ( 12 Inch ) 4     FF Sachet + Grass</v>
      </c>
      <c r="S97" s="34" t="str">
        <f>VLOOKUP(A97,'[2]10-07-26'!$A$2:$T$138,20,0)</f>
        <v>Rajni ( 14 Inch ) 16     Grass</v>
      </c>
      <c r="T97" s="34" t="s">
        <v>608</v>
      </c>
      <c r="U97" s="34">
        <v>3</v>
      </c>
      <c r="V97" s="34"/>
      <c r="W97" s="34"/>
      <c r="X97" s="34"/>
      <c r="Y97" s="34"/>
      <c r="Z97" s="34" t="s">
        <v>538</v>
      </c>
      <c r="AA97" s="34"/>
      <c r="AB97" s="34"/>
      <c r="AC97" s="34"/>
      <c r="AD97" s="34"/>
    </row>
    <row r="98" spans="1:30" ht="112.3" customHeight="1" x14ac:dyDescent="0.3">
      <c r="A98" s="1">
        <v>2066</v>
      </c>
      <c r="B98" s="14" t="s">
        <v>403</v>
      </c>
      <c r="C98" s="12">
        <v>9999103067</v>
      </c>
      <c r="D98" s="10" t="s">
        <v>404</v>
      </c>
      <c r="E98" s="10" t="s">
        <v>25</v>
      </c>
      <c r="F98" s="10" t="s">
        <v>17</v>
      </c>
      <c r="G98" s="11" t="s">
        <v>53</v>
      </c>
      <c r="H98" s="12">
        <v>1450</v>
      </c>
      <c r="I98" s="12">
        <v>362.5</v>
      </c>
      <c r="J98" s="10" t="s">
        <v>19</v>
      </c>
      <c r="K98" s="10" t="s">
        <v>405</v>
      </c>
      <c r="L98" s="12"/>
      <c r="M98" s="12"/>
      <c r="N98" s="13" t="s">
        <v>406</v>
      </c>
      <c r="O98" s="34" t="str">
        <f>VLOOKUP(A98,'[1]12-06-26'!$A$2:$T$115,20,0)</f>
        <v>P n Y Spray Daisy ( 14 Inch ) 5     FF Sachet + Grass</v>
      </c>
      <c r="P98" s="34" t="str">
        <f>VLOOKUP(A98,'[1]19-06-26'!$A$2:$T$113,20,0)</f>
        <v xml:space="preserve">P n W Glad ( 14 Inch ) 16    Grass </v>
      </c>
      <c r="Q98" s="34" t="str">
        <f>VLOOKUP(A98,'[1]26-06-26'!$A$2:$T$121,20,0)</f>
        <v>O Asiatic ( 14 Inch ) 3     Grass</v>
      </c>
      <c r="R98" s="34" t="str">
        <f>VLOOKUP(A98,'[2]03-07-26'!$A$2:$T$124,20,0)</f>
        <v>Pur n P Car ( 14 Inch ) 16     FF Sachet + Grass</v>
      </c>
      <c r="S98" s="34" t="str">
        <f>VLOOKUP(A98,'[2]10-07-26'!$A$2:$T$138,20,0)</f>
        <v>Rajni ( 14 Inch ) 16     Grass</v>
      </c>
      <c r="T98" s="34" t="s">
        <v>531</v>
      </c>
      <c r="U98" s="34">
        <v>4</v>
      </c>
      <c r="V98" s="34"/>
      <c r="W98" s="34"/>
      <c r="X98" s="34"/>
      <c r="Y98" s="34"/>
      <c r="Z98" s="34" t="s">
        <v>539</v>
      </c>
      <c r="AA98" s="34"/>
      <c r="AB98" s="34"/>
      <c r="AC98" s="34"/>
      <c r="AD98" s="34"/>
    </row>
    <row r="99" spans="1:30" ht="112.3" customHeight="1" x14ac:dyDescent="0.3">
      <c r="A99" s="1">
        <v>815</v>
      </c>
      <c r="B99" s="14" t="s">
        <v>407</v>
      </c>
      <c r="C99" s="12">
        <v>9717166559</v>
      </c>
      <c r="D99" s="10" t="s">
        <v>408</v>
      </c>
      <c r="E99" s="10" t="s">
        <v>25</v>
      </c>
      <c r="F99" s="10" t="s">
        <v>17</v>
      </c>
      <c r="G99" s="11" t="s">
        <v>34</v>
      </c>
      <c r="H99" s="12">
        <v>2750</v>
      </c>
      <c r="I99" s="12">
        <v>687.5</v>
      </c>
      <c r="J99" s="10" t="s">
        <v>57</v>
      </c>
      <c r="K99" s="9" t="s">
        <v>409</v>
      </c>
      <c r="L99" s="10"/>
      <c r="M99" s="12"/>
      <c r="N99" s="13" t="s">
        <v>410</v>
      </c>
      <c r="O99" s="34" t="str">
        <f>VLOOKUP(A99,'[1]12-06-26'!$A$2:$T$115,20,0)</f>
        <v>P n W Glad ( 14 Inch ) 32     2 Limonium</v>
      </c>
      <c r="P99" s="34" t="str">
        <f>VLOOKUP(A99,'[1]19-06-26'!$A$2:$T$113,20,0)</f>
        <v>P n Pur Eustoma ( 12 Inch ) 6     FF sachet + Grass</v>
      </c>
      <c r="Q99" s="34" t="str">
        <f>VLOOKUP(A99,'[1]26-06-26'!$A$2:$T$121,20,0)</f>
        <v>P n W Car ( 14 Inch ) 32     2 Gypsola + FF Sachet</v>
      </c>
      <c r="R99" s="34" t="str">
        <f>VLOOKUP(A99,'[2]03-07-26'!$A$2:$T$124,20,0)</f>
        <v>Sunflower ( 12 Inch ) 7     FF Sachet + Grass</v>
      </c>
      <c r="S99" s="34" t="str">
        <f>VLOOKUP(A99,'[2]10-07-26'!$A$2:$T$138,20,0)</f>
        <v>Rajni ( 14 Inch ) 32     2 Limonium</v>
      </c>
      <c r="T99" s="34" t="s">
        <v>608</v>
      </c>
      <c r="U99" s="34">
        <v>6</v>
      </c>
      <c r="V99" s="34"/>
      <c r="W99" s="34"/>
      <c r="X99" s="34"/>
      <c r="Y99" s="34"/>
      <c r="Z99" s="34" t="s">
        <v>548</v>
      </c>
      <c r="AA99" s="34"/>
      <c r="AB99" s="34"/>
      <c r="AC99" s="34"/>
      <c r="AD99" s="34"/>
    </row>
    <row r="100" spans="1:30" ht="112.3" customHeight="1" x14ac:dyDescent="0.3">
      <c r="A100" s="9">
        <v>2190</v>
      </c>
      <c r="B100" s="14" t="s">
        <v>411</v>
      </c>
      <c r="C100" s="14">
        <v>9205393464</v>
      </c>
      <c r="D100" s="10" t="s">
        <v>412</v>
      </c>
      <c r="E100" s="10" t="s">
        <v>74</v>
      </c>
      <c r="F100" s="10" t="s">
        <v>17</v>
      </c>
      <c r="G100" s="18" t="s">
        <v>53</v>
      </c>
      <c r="H100" s="12">
        <v>1950</v>
      </c>
      <c r="I100" s="12">
        <v>487.5</v>
      </c>
      <c r="J100" s="10" t="s">
        <v>118</v>
      </c>
      <c r="K100" s="10" t="s">
        <v>413</v>
      </c>
      <c r="L100" s="12"/>
      <c r="M100" s="12"/>
      <c r="N100" s="13" t="s">
        <v>414</v>
      </c>
      <c r="O100" s="34" t="str">
        <f>VLOOKUP(A100,'[1]12-06-26'!$A$2:$T$115,20,0)</f>
        <v>Pur n P Car ( 14 Inch ) 22     FF Sachet + Grass</v>
      </c>
      <c r="P100" s="34" t="str">
        <f>VLOOKUP(A100,'[1]19-06-26'!$A$2:$T$113,20,0)</f>
        <v>P Asiatic ( 14 Inch ) 4     Grass</v>
      </c>
      <c r="Q100" s="34" t="str">
        <f>VLOOKUP(A100,'[1]26-06-26'!$A$2:$T$121,20,0)</f>
        <v>P n W Glad ( 14 Inch ) 22     Grass</v>
      </c>
      <c r="R100" s="34" t="str">
        <f>VLOOKUP(A100,'[2]03-07-26'!$A$2:$T$124,20,0)</f>
        <v>Sunflower ( 12 Inch ) 5     FF Sachet + Grass</v>
      </c>
      <c r="S100" s="34" t="str">
        <f>VLOOKUP(A100,'[2]10-07-26'!$A$2:$T$138,20,0)</f>
        <v>P n W Spray Daisy ( 14  Inch )  7     FF Sachet + Grass</v>
      </c>
      <c r="T100" s="34" t="s">
        <v>542</v>
      </c>
      <c r="U100" s="34">
        <v>22</v>
      </c>
      <c r="V100" s="34"/>
      <c r="W100" s="34"/>
      <c r="X100" s="34"/>
      <c r="Y100" s="34"/>
      <c r="Z100" s="34" t="s">
        <v>539</v>
      </c>
      <c r="AA100" s="34"/>
      <c r="AB100" s="34"/>
      <c r="AC100" s="34"/>
      <c r="AD100" s="34"/>
    </row>
    <row r="101" spans="1:30" ht="112.3" customHeight="1" x14ac:dyDescent="0.3">
      <c r="A101" s="1">
        <v>3188</v>
      </c>
      <c r="B101" s="14" t="s">
        <v>415</v>
      </c>
      <c r="C101" s="27">
        <v>9599927793</v>
      </c>
      <c r="D101" s="10" t="s">
        <v>416</v>
      </c>
      <c r="E101" s="10" t="s">
        <v>25</v>
      </c>
      <c r="F101" s="10" t="s">
        <v>17</v>
      </c>
      <c r="G101" s="17" t="s">
        <v>53</v>
      </c>
      <c r="H101" s="12">
        <v>1450</v>
      </c>
      <c r="I101" s="12">
        <v>362.5</v>
      </c>
      <c r="J101" s="9" t="s">
        <v>19</v>
      </c>
      <c r="K101" s="10" t="s">
        <v>417</v>
      </c>
      <c r="L101" s="12"/>
      <c r="M101" s="12"/>
      <c r="N101" s="13" t="s">
        <v>291</v>
      </c>
      <c r="O101" s="34" t="e">
        <f>VLOOKUP(A101,'[1]12-06-26'!$A$2:$T$115,20,0)</f>
        <v>#N/A</v>
      </c>
      <c r="P101" s="34" t="e">
        <f>VLOOKUP(A101,'[1]19-06-26'!$A$2:$T$113,20,0)</f>
        <v>#N/A</v>
      </c>
      <c r="Q101" s="34" t="e">
        <f>VLOOKUP(A101,'[1]26-06-26'!$A$2:$T$121,20,0)</f>
        <v>#N/A</v>
      </c>
      <c r="R101" s="34" t="e">
        <f>VLOOKUP(A101,'[2]03-07-26'!$A$2:$T$124,20,0)</f>
        <v>#N/A</v>
      </c>
      <c r="S101" s="34" t="e">
        <f>VLOOKUP(A101,'[2]10-07-26'!$A$2:$T$138,20,0)</f>
        <v>#N/A</v>
      </c>
      <c r="T101" s="34" t="s">
        <v>608</v>
      </c>
      <c r="U101" s="34">
        <v>3</v>
      </c>
      <c r="V101" s="34"/>
      <c r="W101" s="34"/>
      <c r="X101" s="34"/>
      <c r="Y101" s="34"/>
      <c r="Z101" s="34" t="s">
        <v>538</v>
      </c>
      <c r="AA101" s="34"/>
      <c r="AB101" s="34"/>
      <c r="AC101" s="34"/>
      <c r="AD101" s="34"/>
    </row>
    <row r="102" spans="1:30" ht="112.3" customHeight="1" x14ac:dyDescent="0.3">
      <c r="A102" s="1">
        <v>3078</v>
      </c>
      <c r="B102" s="14" t="s">
        <v>418</v>
      </c>
      <c r="C102" s="1">
        <v>9953158378</v>
      </c>
      <c r="D102" s="9" t="s">
        <v>419</v>
      </c>
      <c r="E102" s="10" t="s">
        <v>25</v>
      </c>
      <c r="F102" s="10" t="s">
        <v>17</v>
      </c>
      <c r="G102" s="11" t="s">
        <v>34</v>
      </c>
      <c r="H102" s="12">
        <v>1950</v>
      </c>
      <c r="I102" s="12">
        <v>487.5</v>
      </c>
      <c r="J102" s="10" t="s">
        <v>118</v>
      </c>
      <c r="K102" s="10" t="s">
        <v>420</v>
      </c>
      <c r="L102" s="12"/>
      <c r="M102" s="10" t="s">
        <v>421</v>
      </c>
      <c r="N102" s="13" t="s">
        <v>141</v>
      </c>
      <c r="O102" s="34" t="e">
        <f>VLOOKUP(A102,'[1]12-06-26'!$A$2:$T$115,20,0)</f>
        <v>#N/A</v>
      </c>
      <c r="P102" s="34" t="e">
        <f>VLOOKUP(A102,'[1]19-06-26'!$A$2:$T$113,20,0)</f>
        <v>#N/A</v>
      </c>
      <c r="Q102" s="34" t="str">
        <f>VLOOKUP(A102,'[1]26-06-26'!$A$2:$T$121,20,0)</f>
        <v>P Asiatic ( 14 Inch ) 2 Alstomeria( 12 Inch ) 11   Grass</v>
      </c>
      <c r="R102" s="34" t="str">
        <f>VLOOKUP(A102,'[2]03-07-26'!$A$2:$T$124,20,0)</f>
        <v>Sunflower ( 12 Inch ) 3 Pur n P Car ( 14 Inch ) 11   FF Sachet + Grass</v>
      </c>
      <c r="S102" s="34" t="str">
        <f>VLOOKUP(A102,'[2]10-07-26'!$A$2:$T$138,20,0)</f>
        <v>P n W Spray Daisy ( 14  Inch )  4 P n W Glad ( 14 Inch ) 11   FF Sachet + Grass</v>
      </c>
      <c r="T102" s="34" t="s">
        <v>608</v>
      </c>
      <c r="U102" s="34">
        <v>2</v>
      </c>
      <c r="V102" s="34" t="s">
        <v>536</v>
      </c>
      <c r="W102" s="34">
        <v>11</v>
      </c>
      <c r="X102" s="34"/>
      <c r="Y102" s="34"/>
      <c r="Z102" s="34" t="s">
        <v>538</v>
      </c>
      <c r="AA102" s="34"/>
      <c r="AB102" s="34"/>
      <c r="AC102" s="34"/>
      <c r="AD102" s="34"/>
    </row>
    <row r="103" spans="1:30" ht="112.3" customHeight="1" x14ac:dyDescent="0.3">
      <c r="A103" s="1">
        <v>588</v>
      </c>
      <c r="B103" s="20" t="s">
        <v>422</v>
      </c>
      <c r="C103" s="1">
        <v>9810145564</v>
      </c>
      <c r="D103" s="9" t="s">
        <v>423</v>
      </c>
      <c r="E103" s="1" t="s">
        <v>25</v>
      </c>
      <c r="F103" s="10" t="s">
        <v>17</v>
      </c>
      <c r="G103" s="11" t="s">
        <v>34</v>
      </c>
      <c r="H103" s="12">
        <v>1600</v>
      </c>
      <c r="I103" s="12">
        <v>200</v>
      </c>
      <c r="J103" s="10" t="s">
        <v>27</v>
      </c>
      <c r="K103" s="9" t="s">
        <v>424</v>
      </c>
      <c r="L103" s="10" t="s">
        <v>425</v>
      </c>
      <c r="M103" s="12"/>
      <c r="N103" s="13" t="s">
        <v>331</v>
      </c>
      <c r="O103" s="34" t="str">
        <f>VLOOKUP(A103,'[1]12-06-26'!$A$2:$T$115,20,0)</f>
        <v>Mix Alstroemeria ( 12 Inch ) 7     FF Sachet + Grass</v>
      </c>
      <c r="P103" s="34" t="str">
        <f>VLOOKUP(A103,'[1]19-06-26'!$A$2:$T$113,20,0)</f>
        <v>P n W Glad ( 14 Inch ) 7     Grass</v>
      </c>
      <c r="Q103" s="34" t="str">
        <f>VLOOKUP(A103,'[1]26-06-26'!$A$2:$T$121,20,0)</f>
        <v>Sunflower ( 12 Inch ) 2     FF sachet + Grass</v>
      </c>
      <c r="R103" s="34" t="str">
        <f>VLOOKUP(A103,'[2]03-07-26'!$A$2:$T$124,20,0)</f>
        <v>Rajni ( 14 Inch ) 7     Grass</v>
      </c>
      <c r="S103" s="34" t="str">
        <f>VLOOKUP(A103,'[2]10-07-26'!$A$2:$T$138,20,0)</f>
        <v>P n W Glad ( 14 Inch ) 7     Grass</v>
      </c>
      <c r="T103" s="34" t="s">
        <v>542</v>
      </c>
      <c r="U103" s="34">
        <v>7</v>
      </c>
      <c r="V103" s="34"/>
      <c r="W103" s="34"/>
      <c r="X103" s="34"/>
      <c r="Y103" s="34"/>
      <c r="Z103" s="34" t="s">
        <v>539</v>
      </c>
      <c r="AA103" s="34"/>
      <c r="AB103" s="34"/>
      <c r="AC103" s="34"/>
      <c r="AD103" s="34"/>
    </row>
    <row r="104" spans="1:30" ht="112.3" customHeight="1" x14ac:dyDescent="0.3">
      <c r="A104" s="1">
        <v>2678</v>
      </c>
      <c r="B104" s="14" t="s">
        <v>426</v>
      </c>
      <c r="C104" s="12">
        <v>9643712005</v>
      </c>
      <c r="D104" s="10" t="s">
        <v>427</v>
      </c>
      <c r="E104" s="10" t="s">
        <v>74</v>
      </c>
      <c r="F104" s="10" t="s">
        <v>17</v>
      </c>
      <c r="G104" s="17" t="s">
        <v>194</v>
      </c>
      <c r="H104" s="12">
        <v>1450</v>
      </c>
      <c r="I104" s="12">
        <v>362.5</v>
      </c>
      <c r="J104" s="10" t="s">
        <v>19</v>
      </c>
      <c r="K104" s="10" t="s">
        <v>428</v>
      </c>
      <c r="L104" s="12"/>
      <c r="M104" s="10" t="s">
        <v>429</v>
      </c>
      <c r="N104" s="13" t="s">
        <v>141</v>
      </c>
      <c r="O104" s="34" t="str">
        <f>VLOOKUP(A104,'[1]12-06-26'!$A$2:$T$115,20,0)</f>
        <v>P Spray Daisy ( 14 Inch ) 3 P n W Glad ( 14 Inch ) 7   FF Sachet + Grass</v>
      </c>
      <c r="P104" s="34" t="str">
        <f>VLOOKUP(A104,'[1]19-06-26'!$A$2:$T$113,20,0)</f>
        <v xml:space="preserve">Sunflower ( 12 Inch ) 2 Pur n P Car ( 14 Inch ) 7  FF Sachet + Grass </v>
      </c>
      <c r="Q104" s="34" t="str">
        <f>VLOOKUP(A104,'[1]26-06-26'!$A$2:$T$121,20,0)</f>
        <v>P Asiatic ( 14 Inch ) 2 Alstomeria( 12 Inch ) 7   Grass</v>
      </c>
      <c r="R104" s="34" t="str">
        <f>VLOOKUP(A104,'[2]03-07-26'!$A$2:$T$124,20,0)</f>
        <v>G Spray Daisy ( 14 Inch ) 3 P n W Glad ( 14 Inch ) 7   Grass</v>
      </c>
      <c r="S104" s="34" t="str">
        <f>VLOOKUP(A104,'[2]10-07-26'!$A$2:$T$138,20,0)</f>
        <v>Sunflower ( 12 Inch) 2 G n W Car ( 14 Inch ) 7   FF Sachet + Grass</v>
      </c>
      <c r="T104" s="34" t="s">
        <v>608</v>
      </c>
      <c r="U104" s="34">
        <v>2</v>
      </c>
      <c r="V104" s="34" t="s">
        <v>534</v>
      </c>
      <c r="W104" s="34">
        <v>7</v>
      </c>
      <c r="X104" s="34"/>
      <c r="Y104" s="34"/>
      <c r="Z104" s="34" t="s">
        <v>538</v>
      </c>
      <c r="AA104" s="34"/>
      <c r="AB104" s="34"/>
      <c r="AC104" s="34"/>
      <c r="AD104" s="34"/>
    </row>
    <row r="105" spans="1:30" ht="112.3" customHeight="1" x14ac:dyDescent="0.3">
      <c r="A105" s="1">
        <v>3409</v>
      </c>
      <c r="B105" s="14" t="s">
        <v>430</v>
      </c>
      <c r="C105" s="12">
        <v>9899535768</v>
      </c>
      <c r="D105" s="10" t="s">
        <v>431</v>
      </c>
      <c r="E105" s="10" t="s">
        <v>25</v>
      </c>
      <c r="F105" s="10" t="s">
        <v>17</v>
      </c>
      <c r="G105" s="17" t="s">
        <v>194</v>
      </c>
      <c r="H105" s="12">
        <v>1450</v>
      </c>
      <c r="I105" s="12">
        <v>362.5</v>
      </c>
      <c r="J105" s="10" t="s">
        <v>19</v>
      </c>
      <c r="K105" s="12"/>
      <c r="L105" s="12"/>
      <c r="M105" s="12"/>
      <c r="N105" s="13" t="s">
        <v>382</v>
      </c>
      <c r="O105" s="34" t="e">
        <f>VLOOKUP(A105,'[1]12-06-26'!$A$2:$T$115,20,0)</f>
        <v>#N/A</v>
      </c>
      <c r="P105" s="34" t="e">
        <f>VLOOKUP(A105,'[1]19-06-26'!$A$2:$T$113,20,0)</f>
        <v>#N/A</v>
      </c>
      <c r="Q105" s="34" t="e">
        <f>VLOOKUP(A105,'[1]26-06-26'!$A$2:$T$121,20,0)</f>
        <v>#N/A</v>
      </c>
      <c r="R105" s="34" t="e">
        <f>VLOOKUP(A105,'[2]03-07-26'!$A$2:$T$124,20,0)</f>
        <v>#N/A</v>
      </c>
      <c r="S105" s="34" t="e">
        <f>VLOOKUP(A105,'[2]10-07-26'!$A$2:$T$138,20,0)</f>
        <v>#N/A</v>
      </c>
      <c r="T105" s="34" t="s">
        <v>542</v>
      </c>
      <c r="U105" s="34">
        <v>16</v>
      </c>
      <c r="V105" s="34"/>
      <c r="W105" s="34"/>
      <c r="X105" s="34"/>
      <c r="Y105" s="34"/>
      <c r="Z105" s="34" t="s">
        <v>539</v>
      </c>
      <c r="AA105" s="34"/>
      <c r="AB105" s="34"/>
      <c r="AC105" s="34"/>
      <c r="AD105" s="34"/>
    </row>
    <row r="106" spans="1:30" ht="112.3" customHeight="1" x14ac:dyDescent="0.3">
      <c r="A106" s="9" t="s">
        <v>432</v>
      </c>
      <c r="B106" s="14" t="s">
        <v>116</v>
      </c>
      <c r="C106" s="12">
        <v>9818096329</v>
      </c>
      <c r="D106" s="10" t="s">
        <v>117</v>
      </c>
      <c r="E106" s="10" t="s">
        <v>16</v>
      </c>
      <c r="F106" s="10" t="s">
        <v>17</v>
      </c>
      <c r="G106" s="10" t="s">
        <v>26</v>
      </c>
      <c r="H106" s="12">
        <v>2000</v>
      </c>
      <c r="I106" s="12">
        <v>2000</v>
      </c>
      <c r="J106" s="10" t="s">
        <v>433</v>
      </c>
      <c r="K106" s="10" t="s">
        <v>434</v>
      </c>
      <c r="L106" s="12"/>
      <c r="M106" s="12"/>
      <c r="N106" s="13" t="s">
        <v>435</v>
      </c>
      <c r="O106" s="34" t="e">
        <f>VLOOKUP(A106,'[1]12-06-26'!$A$2:$T$115,20,0)</f>
        <v>#N/A</v>
      </c>
      <c r="P106" s="34" t="e">
        <f>VLOOKUP(A106,'[1]19-06-26'!$A$2:$T$113,20,0)</f>
        <v>#N/A</v>
      </c>
      <c r="Q106" s="34" t="e">
        <f>VLOOKUP(A106,'[1]26-06-26'!$A$2:$T$121,20,0)</f>
        <v>#N/A</v>
      </c>
      <c r="R106" s="34" t="e">
        <f>VLOOKUP(A106,'[2]03-07-26'!$A$2:$T$124,20,0)</f>
        <v>#N/A</v>
      </c>
      <c r="S106" s="34" t="e">
        <f>VLOOKUP(A106,'[2]10-07-26'!$A$2:$T$138,20,0)</f>
        <v>#N/A</v>
      </c>
      <c r="T106" s="34" t="s">
        <v>533</v>
      </c>
      <c r="U106" s="34">
        <v>10</v>
      </c>
      <c r="V106" s="34"/>
      <c r="W106" s="34"/>
      <c r="X106" s="34"/>
      <c r="Y106" s="34"/>
      <c r="Z106" s="34" t="s">
        <v>541</v>
      </c>
      <c r="AA106" s="34"/>
      <c r="AB106" s="34"/>
      <c r="AC106" s="34"/>
      <c r="AD106" s="34"/>
    </row>
    <row r="107" spans="1:30" ht="277.8" customHeight="1" x14ac:dyDescent="0.3">
      <c r="A107" s="9" t="s">
        <v>436</v>
      </c>
      <c r="B107" s="14" t="s">
        <v>437</v>
      </c>
      <c r="C107" s="30" t="s">
        <v>438</v>
      </c>
      <c r="D107" s="31" t="s">
        <v>439</v>
      </c>
      <c r="E107" s="10" t="s">
        <v>16</v>
      </c>
      <c r="F107" s="10" t="s">
        <v>17</v>
      </c>
      <c r="G107" s="10" t="s">
        <v>440</v>
      </c>
      <c r="H107" s="12">
        <v>30000</v>
      </c>
      <c r="I107" s="12">
        <v>30000</v>
      </c>
      <c r="J107" s="10" t="s">
        <v>441</v>
      </c>
      <c r="K107" s="12"/>
      <c r="L107" s="12"/>
      <c r="M107" s="12"/>
      <c r="N107" s="13" t="s">
        <v>442</v>
      </c>
      <c r="O107" s="34" t="e">
        <f>VLOOKUP(A107,'[1]12-06-26'!$A$2:$T$115,20,0)</f>
        <v>#N/A</v>
      </c>
      <c r="P107" s="34" t="e">
        <f>VLOOKUP(A107,'[1]19-06-26'!$A$2:$T$113,20,0)</f>
        <v>#N/A</v>
      </c>
      <c r="Q107" s="34" t="e">
        <f>VLOOKUP(A107,'[1]26-06-26'!$A$2:$T$121,20,0)</f>
        <v>#N/A</v>
      </c>
      <c r="R107" s="34" t="e">
        <f>VLOOKUP(A107,'[2]03-07-26'!$A$2:$T$124,20,0)</f>
        <v>#N/A</v>
      </c>
      <c r="S107" s="34" t="e">
        <f>VLOOKUP(A107,'[2]10-07-26'!$A$2:$T$138,20,0)</f>
        <v>#N/A</v>
      </c>
      <c r="T107" s="34" t="s">
        <v>606</v>
      </c>
      <c r="U107" s="34" t="s">
        <v>607</v>
      </c>
      <c r="V107" s="34" t="s">
        <v>609</v>
      </c>
      <c r="W107" s="34" t="s">
        <v>610</v>
      </c>
      <c r="X107" s="34" t="s">
        <v>550</v>
      </c>
      <c r="Y107" s="34"/>
      <c r="Z107" s="34"/>
      <c r="AA107" s="34"/>
      <c r="AB107" s="34"/>
      <c r="AC107" s="34"/>
      <c r="AD107" s="34"/>
    </row>
    <row r="108" spans="1:30" ht="112.3" customHeight="1" x14ac:dyDescent="0.3">
      <c r="A108" s="9" t="s">
        <v>443</v>
      </c>
      <c r="B108" s="14" t="s">
        <v>444</v>
      </c>
      <c r="C108" s="12">
        <v>9650468891</v>
      </c>
      <c r="D108" s="10" t="s">
        <v>445</v>
      </c>
      <c r="E108" s="10" t="s">
        <v>446</v>
      </c>
      <c r="F108" s="10" t="s">
        <v>17</v>
      </c>
      <c r="G108" s="10" t="s">
        <v>447</v>
      </c>
      <c r="H108" s="12">
        <v>28000</v>
      </c>
      <c r="I108" s="12">
        <v>7000</v>
      </c>
      <c r="J108" s="10" t="s">
        <v>448</v>
      </c>
      <c r="K108" s="12"/>
      <c r="L108" s="12"/>
      <c r="M108" s="12"/>
      <c r="N108" s="13" t="s">
        <v>442</v>
      </c>
      <c r="O108" s="34" t="e">
        <f>VLOOKUP(A108,'[1]12-06-26'!$A$2:$T$115,20,0)</f>
        <v>#N/A</v>
      </c>
      <c r="P108" s="34" t="e">
        <f>VLOOKUP(A108,'[1]19-06-26'!$A$2:$T$113,20,0)</f>
        <v>#N/A</v>
      </c>
      <c r="Q108" s="34" t="e">
        <f>VLOOKUP(A108,'[1]26-06-26'!$A$2:$T$121,20,0)</f>
        <v>#N/A</v>
      </c>
      <c r="R108" s="34" t="e">
        <f>VLOOKUP(A108,'[2]03-07-26'!$A$2:$T$124,20,0)</f>
        <v>#N/A</v>
      </c>
      <c r="S108" s="34" t="e">
        <f>VLOOKUP(A108,'[2]10-07-26'!$A$2:$T$138,20,0)</f>
        <v>#N/A</v>
      </c>
      <c r="T108" s="34" t="s">
        <v>551</v>
      </c>
      <c r="U108" s="34">
        <v>5</v>
      </c>
      <c r="V108" s="34"/>
      <c r="W108" s="34"/>
      <c r="X108" s="34"/>
      <c r="Y108" s="34"/>
      <c r="Z108" s="34"/>
      <c r="AA108" s="34"/>
      <c r="AB108" s="34"/>
      <c r="AC108" s="34"/>
      <c r="AD108" s="34"/>
    </row>
    <row r="109" spans="1:30" ht="112.3" customHeight="1" x14ac:dyDescent="0.3">
      <c r="A109" s="1">
        <v>2427</v>
      </c>
      <c r="B109" s="24" t="s">
        <v>449</v>
      </c>
      <c r="C109" s="12">
        <v>9560706242</v>
      </c>
      <c r="D109" s="10" t="s">
        <v>450</v>
      </c>
      <c r="E109" s="10" t="s">
        <v>16</v>
      </c>
      <c r="F109" s="10" t="s">
        <v>17</v>
      </c>
      <c r="G109" s="11" t="s">
        <v>34</v>
      </c>
      <c r="H109" s="12">
        <v>1450</v>
      </c>
      <c r="I109" s="12">
        <v>362.5</v>
      </c>
      <c r="J109" s="10" t="s">
        <v>19</v>
      </c>
      <c r="K109" s="10" t="s">
        <v>451</v>
      </c>
      <c r="L109" s="10" t="s">
        <v>452</v>
      </c>
      <c r="M109" s="12"/>
      <c r="N109" s="13" t="s">
        <v>382</v>
      </c>
      <c r="O109" s="34" t="str">
        <f>VLOOKUP(A109,'[1]12-06-26'!$A$2:$T$115,20,0)</f>
        <v>P Asiatic ( 14 Inch ) 2 Mix Alstroemeria ( 12 Inch ) 7   Grass</v>
      </c>
      <c r="P109" s="34" t="str">
        <f>VLOOKUP(A109,'[1]19-06-26'!$A$2:$T$113,20,0)</f>
        <v xml:space="preserve">Sunflower ( 12 Inch ) 2 Pur n P Car ( 14 Inch ) 7  FF Sachet + Grass </v>
      </c>
      <c r="Q109" s="34" t="str">
        <f>VLOOKUP(A109,'[1]26-06-26'!$A$2:$T$121,20,0)</f>
        <v>P Eustoma ( 12 Inch ) 2 P n W Glad ( 14 Inch ) 7   FF sachet + Grass</v>
      </c>
      <c r="R109" s="34" t="str">
        <f>VLOOKUP(A109,'[2]03-07-26'!$A$2:$T$124,20,0)</f>
        <v>G Spray Daisy ( 14 Inch ) 3 Rajni ( 14 Inch ) 7   Grass</v>
      </c>
      <c r="S109" s="34" t="str">
        <f>VLOOKUP(A109,'[2]10-07-26'!$A$2:$T$138,20,0)</f>
        <v>O Asiatic ( 14 Inch ) 2 G n W Car ( 14 Inch ) 7   Grass</v>
      </c>
      <c r="T109" s="34" t="s">
        <v>531</v>
      </c>
      <c r="U109" s="34">
        <v>2</v>
      </c>
      <c r="V109" s="34" t="s">
        <v>536</v>
      </c>
      <c r="W109" s="34">
        <v>7</v>
      </c>
      <c r="X109" s="34"/>
      <c r="Y109" s="34"/>
      <c r="Z109" s="34" t="s">
        <v>539</v>
      </c>
      <c r="AA109" s="34"/>
      <c r="AB109" s="34"/>
      <c r="AC109" s="34"/>
      <c r="AD109" s="34"/>
    </row>
    <row r="110" spans="1:30" ht="112.3" customHeight="1" x14ac:dyDescent="0.3">
      <c r="A110" s="1">
        <v>330</v>
      </c>
      <c r="B110" s="20" t="s">
        <v>453</v>
      </c>
      <c r="C110" s="1">
        <v>9818455330</v>
      </c>
      <c r="D110" s="1" t="s">
        <v>454</v>
      </c>
      <c r="E110" s="9" t="s">
        <v>62</v>
      </c>
      <c r="F110" s="9" t="s">
        <v>17</v>
      </c>
      <c r="G110" s="18" t="s">
        <v>214</v>
      </c>
      <c r="H110" s="12">
        <v>1450</v>
      </c>
      <c r="I110" s="12">
        <v>362.5</v>
      </c>
      <c r="J110" s="10" t="s">
        <v>19</v>
      </c>
      <c r="K110" s="9" t="s">
        <v>455</v>
      </c>
      <c r="L110" s="12"/>
      <c r="M110" s="12"/>
      <c r="N110" s="13" t="s">
        <v>382</v>
      </c>
      <c r="O110" s="34" t="e">
        <f>VLOOKUP(A110,'[1]12-06-26'!$A$2:$T$115,20,0)</f>
        <v>#N/A</v>
      </c>
      <c r="P110" s="34" t="str">
        <f>VLOOKUP(A110,'[1]19-06-26'!$A$2:$T$113,20,0)</f>
        <v xml:space="preserve">Mix Car 16    Grass </v>
      </c>
      <c r="Q110" s="34" t="e">
        <f>VLOOKUP(A110,'[1]26-06-26'!$A$2:$T$121,20,0)</f>
        <v>#N/A</v>
      </c>
      <c r="R110" s="34" t="e">
        <f>VLOOKUP(A110,'[2]03-07-26'!$A$2:$T$124,20,0)</f>
        <v>#N/A</v>
      </c>
      <c r="S110" s="34" t="str">
        <f>VLOOKUP(A110,'[2]10-07-26'!$A$2:$T$138,20,0)</f>
        <v>O Asiatic ( 14 Inch ) 3     Grass</v>
      </c>
      <c r="T110" s="34" t="s">
        <v>534</v>
      </c>
      <c r="U110" s="34">
        <v>16</v>
      </c>
      <c r="V110" s="34"/>
      <c r="W110" s="34"/>
      <c r="X110" s="34"/>
      <c r="Y110" s="34"/>
      <c r="Z110" s="34" t="s">
        <v>538</v>
      </c>
      <c r="AA110" s="34"/>
      <c r="AB110" s="34"/>
      <c r="AC110" s="34"/>
      <c r="AD110" s="34"/>
    </row>
    <row r="111" spans="1:30" ht="112.3" customHeight="1" x14ac:dyDescent="0.3">
      <c r="A111" s="1">
        <v>3382</v>
      </c>
      <c r="B111" s="14" t="s">
        <v>456</v>
      </c>
      <c r="C111" s="12">
        <v>8800691541</v>
      </c>
      <c r="D111" s="10" t="s">
        <v>457</v>
      </c>
      <c r="E111" s="10" t="s">
        <v>25</v>
      </c>
      <c r="F111" s="10" t="s">
        <v>17</v>
      </c>
      <c r="G111" s="10" t="s">
        <v>26</v>
      </c>
      <c r="H111" s="12">
        <v>1950</v>
      </c>
      <c r="I111" s="12">
        <v>487.5</v>
      </c>
      <c r="J111" s="10" t="s">
        <v>118</v>
      </c>
      <c r="K111" s="32"/>
      <c r="L111" s="12"/>
      <c r="M111" s="12"/>
      <c r="N111" s="13" t="s">
        <v>141</v>
      </c>
      <c r="O111" s="34" t="e">
        <f>VLOOKUP(A111,'[1]12-06-26'!$A$2:$T$115,20,0)</f>
        <v>#N/A</v>
      </c>
      <c r="P111" s="34" t="str">
        <f>VLOOKUP(A111,'[1]19-06-26'!$A$2:$T$113,20,0)</f>
        <v xml:space="preserve">R n P Car ( 14 Inch ) 16    FF Sachet + Grass </v>
      </c>
      <c r="Q111" s="34" t="str">
        <f>VLOOKUP(A111,'[1]26-06-26'!$A$2:$T$121,20,0)</f>
        <v>O Asiatic ( 14 Inch ) 3     Grass</v>
      </c>
      <c r="R111" s="34" t="str">
        <f>VLOOKUP(A111,'[2]03-07-26'!$A$2:$T$124,20,0)</f>
        <v>P n W Glad ( 14 Inch ) 16     Grass</v>
      </c>
      <c r="S111" s="34" t="str">
        <f>VLOOKUP(A111,'[2]10-07-26'!$A$2:$T$138,20,0)</f>
        <v>P n Y Spray Daisy ( 14 Inch ) 5     FF Sachet + Grass</v>
      </c>
      <c r="T111" s="34" t="s">
        <v>536</v>
      </c>
      <c r="U111" s="34">
        <v>22</v>
      </c>
      <c r="V111" s="34"/>
      <c r="W111" s="34"/>
      <c r="X111" s="34"/>
      <c r="Y111" s="34"/>
      <c r="Z111" s="34" t="s">
        <v>539</v>
      </c>
      <c r="AA111" s="34"/>
      <c r="AB111" s="34"/>
      <c r="AC111" s="34"/>
      <c r="AD111" s="34"/>
    </row>
    <row r="112" spans="1:30" ht="112.3" customHeight="1" x14ac:dyDescent="0.3">
      <c r="A112" s="1">
        <v>2858</v>
      </c>
      <c r="B112" s="14" t="s">
        <v>458</v>
      </c>
      <c r="C112" s="12">
        <v>8527991304</v>
      </c>
      <c r="D112" s="10" t="s">
        <v>459</v>
      </c>
      <c r="E112" s="10" t="s">
        <v>25</v>
      </c>
      <c r="F112" s="10" t="s">
        <v>17</v>
      </c>
      <c r="G112" s="18" t="s">
        <v>214</v>
      </c>
      <c r="H112" s="12">
        <v>1450</v>
      </c>
      <c r="I112" s="12">
        <v>362.5</v>
      </c>
      <c r="J112" s="10" t="s">
        <v>19</v>
      </c>
      <c r="K112" s="12"/>
      <c r="L112" s="12"/>
      <c r="M112" s="12"/>
      <c r="N112" s="13" t="s">
        <v>382</v>
      </c>
      <c r="O112" s="34" t="str">
        <f>VLOOKUP(A112,'[1]12-06-26'!$A$2:$T$115,20,0)</f>
        <v>P n Y Spray Daisy ( 14 Inch ) 5     FF Sachet + Grass</v>
      </c>
      <c r="P112" s="34" t="str">
        <f>VLOOKUP(A112,'[1]19-06-26'!$A$2:$T$113,20,0)</f>
        <v xml:space="preserve">P Eustoma ( 12 Inch ) 3    FF Sachet + Grass </v>
      </c>
      <c r="Q112" s="34" t="str">
        <f>VLOOKUP(A112,'[1]26-06-26'!$A$2:$T$121,20,0)</f>
        <v>P n W Car ( 14 Inch ) 16     FF sachet + Grass</v>
      </c>
      <c r="R112" s="34" t="str">
        <f>VLOOKUP(A112,'[2]03-07-26'!$A$2:$T$124,20,0)</f>
        <v>W Asiatic ( 14 Inch ) 3     Grass</v>
      </c>
      <c r="S112" s="34" t="str">
        <f>VLOOKUP(A112,'[2]10-07-26'!$A$2:$T$138,20,0)</f>
        <v>Mix Spray Daisy 5     Grass</v>
      </c>
      <c r="T112" s="34" t="s">
        <v>536</v>
      </c>
      <c r="U112" s="34">
        <v>16</v>
      </c>
      <c r="V112" s="34"/>
      <c r="W112" s="34"/>
      <c r="X112" s="34"/>
      <c r="Y112" s="34"/>
      <c r="Z112" s="34" t="s">
        <v>539</v>
      </c>
      <c r="AA112" s="34"/>
      <c r="AB112" s="34"/>
      <c r="AC112" s="34"/>
      <c r="AD112" s="34"/>
    </row>
    <row r="113" spans="1:30" ht="112.3" customHeight="1" x14ac:dyDescent="0.3">
      <c r="A113" s="1">
        <v>3178</v>
      </c>
      <c r="B113" s="14" t="s">
        <v>460</v>
      </c>
      <c r="C113" s="12">
        <v>8588003677</v>
      </c>
      <c r="D113" s="10" t="s">
        <v>461</v>
      </c>
      <c r="E113" s="10" t="s">
        <v>43</v>
      </c>
      <c r="F113" s="10" t="s">
        <v>17</v>
      </c>
      <c r="G113" s="17" t="s">
        <v>194</v>
      </c>
      <c r="H113" s="12">
        <v>1950</v>
      </c>
      <c r="I113" s="12">
        <v>487.5</v>
      </c>
      <c r="J113" s="10" t="s">
        <v>118</v>
      </c>
      <c r="K113" s="10" t="s">
        <v>462</v>
      </c>
      <c r="L113" s="12"/>
      <c r="M113" s="10" t="s">
        <v>463</v>
      </c>
      <c r="N113" s="13" t="s">
        <v>464</v>
      </c>
      <c r="O113" s="34" t="str">
        <f>VLOOKUP(A113,'[1]12-06-26'!$A$2:$T$115,20,0)</f>
        <v>Sunflower ( 12 Inch ) 3 P n W Car ( 14 Inch ) 11   FF Sachet + Grass</v>
      </c>
      <c r="P113" s="34" t="str">
        <f>VLOOKUP(A113,'[1]19-06-26'!$A$2:$T$113,20,0)</f>
        <v>P Asiatic ( 14 Inch ) 2 P n W Glad ( 14 Inch ) 11   Grass</v>
      </c>
      <c r="Q113" s="34" t="str">
        <f>VLOOKUP(A113,'[1]26-06-26'!$A$2:$T$121,20,0)</f>
        <v>P n Y Spray Daisy ( 14 Inch ) 4 Pink And White Car 11   FF Sachet + Grass</v>
      </c>
      <c r="R113" s="34" t="str">
        <f>VLOOKUP(A113,'[2]03-07-26'!$A$2:$T$124,20,0)</f>
        <v>Sunflower ( 12 Inch ) 3 Rajni ( 14 Inch ) 11   FF Sachet + Grass</v>
      </c>
      <c r="S113" s="34" t="str">
        <f>VLOOKUP(A113,'[2]10-07-26'!$A$2:$T$138,20,0)</f>
        <v>O Asiatic ( 14 Inch ) 2 B Daisy 11   Grass</v>
      </c>
      <c r="T113" s="34" t="s">
        <v>544</v>
      </c>
      <c r="U113" s="34">
        <v>2</v>
      </c>
      <c r="V113" s="34" t="s">
        <v>536</v>
      </c>
      <c r="W113" s="34">
        <v>11</v>
      </c>
      <c r="X113" s="34"/>
      <c r="Y113" s="34"/>
      <c r="Z113" s="34" t="s">
        <v>539</v>
      </c>
      <c r="AA113" s="34"/>
      <c r="AB113" s="34"/>
      <c r="AC113" s="34"/>
      <c r="AD113" s="34"/>
    </row>
    <row r="114" spans="1:30" ht="112.3" customHeight="1" x14ac:dyDescent="0.3">
      <c r="A114" s="1">
        <v>1238</v>
      </c>
      <c r="B114" s="14" t="s">
        <v>465</v>
      </c>
      <c r="C114" s="12">
        <v>9560900277</v>
      </c>
      <c r="D114" s="10" t="s">
        <v>466</v>
      </c>
      <c r="E114" s="10" t="s">
        <v>16</v>
      </c>
      <c r="F114" s="10" t="s">
        <v>17</v>
      </c>
      <c r="G114" s="17" t="s">
        <v>214</v>
      </c>
      <c r="H114" s="12">
        <v>1950</v>
      </c>
      <c r="I114" s="12">
        <v>487.5</v>
      </c>
      <c r="J114" s="10" t="s">
        <v>118</v>
      </c>
      <c r="K114" s="10" t="s">
        <v>467</v>
      </c>
      <c r="L114" s="10" t="s">
        <v>468</v>
      </c>
      <c r="M114" s="12" t="s">
        <v>469</v>
      </c>
      <c r="N114" s="13" t="s">
        <v>464</v>
      </c>
      <c r="O114" s="34" t="str">
        <f>VLOOKUP(A114,'[1]12-06-26'!$A$2:$T$115,20,0)</f>
        <v>P n Y Spray Daisy ( 14 Inch ) 7     FF Sachet + Grass</v>
      </c>
      <c r="P114" s="34" t="str">
        <f>VLOOKUP(A114,'[1]19-06-26'!$A$2:$T$113,20,0)</f>
        <v>Mix Car 22     FF sachet + Grass</v>
      </c>
      <c r="Q114" s="34" t="str">
        <f>VLOOKUP(A114,'[1]26-06-26'!$A$2:$T$121,20,0)</f>
        <v>O Asiatic ( 14 Inch ) 4     Grass</v>
      </c>
      <c r="R114" s="34" t="str">
        <f>VLOOKUP(A114,'[2]03-07-26'!$A$2:$T$124,20,0)</f>
        <v>Baloon Flower 4     Grass</v>
      </c>
      <c r="S114" s="34" t="str">
        <f>VLOOKUP(A114,'[2]10-07-26'!$A$2:$T$138,20,0)</f>
        <v>Mix Spray Daisy 7     Grass</v>
      </c>
      <c r="T114" s="34" t="s">
        <v>536</v>
      </c>
      <c r="U114" s="34">
        <v>22</v>
      </c>
      <c r="V114" s="34"/>
      <c r="W114" s="34"/>
      <c r="X114" s="34"/>
      <c r="Y114" s="34"/>
      <c r="Z114" s="34" t="s">
        <v>539</v>
      </c>
      <c r="AA114" s="34"/>
      <c r="AB114" s="34"/>
      <c r="AC114" s="34"/>
      <c r="AD114" s="34"/>
    </row>
    <row r="115" spans="1:30" ht="112.3" customHeight="1" x14ac:dyDescent="0.3">
      <c r="A115" s="1">
        <v>48</v>
      </c>
      <c r="B115" s="33" t="s">
        <v>470</v>
      </c>
      <c r="C115" s="12">
        <v>9873660272</v>
      </c>
      <c r="D115" s="10" t="s">
        <v>471</v>
      </c>
      <c r="E115" s="10" t="s">
        <v>16</v>
      </c>
      <c r="F115" s="9" t="s">
        <v>17</v>
      </c>
      <c r="G115" s="11" t="s">
        <v>34</v>
      </c>
      <c r="H115" s="12">
        <v>1950</v>
      </c>
      <c r="I115" s="12">
        <v>487.5</v>
      </c>
      <c r="J115" s="10" t="s">
        <v>118</v>
      </c>
      <c r="K115" s="9" t="s">
        <v>472</v>
      </c>
      <c r="L115" s="12"/>
      <c r="M115" s="12"/>
      <c r="N115" s="13" t="s">
        <v>464</v>
      </c>
      <c r="O115" s="34" t="str">
        <f>VLOOKUP(A115,'[1]12-06-26'!$A$2:$T$115,20,0)</f>
        <v>Mix Alstroemeria ( 12 Inch ) 22     FF Sachet + Grass</v>
      </c>
      <c r="P115" s="34" t="str">
        <f>VLOOKUP(A115,'[1]19-06-26'!$A$2:$T$113,20,0)</f>
        <v>Sunflower ( 12 Inch ) 5     FF sachet + Grass</v>
      </c>
      <c r="Q115" s="34" t="str">
        <f>VLOOKUP(A115,'[1]26-06-26'!$A$2:$T$121,20,0)</f>
        <v>Pur n P Car ( 14 Inch ) 22     FF Sachet + Grass</v>
      </c>
      <c r="R115" s="34" t="str">
        <f>VLOOKUP(A115,'[2]03-07-26'!$A$2:$T$124,20,0)</f>
        <v>G n Y Spray Daisy ( 14 Inch ) 7     Grass</v>
      </c>
      <c r="S115" s="34" t="str">
        <f>VLOOKUP(A115,'[2]10-07-26'!$A$2:$T$138,20,0)</f>
        <v>Y Asiatic ( 14 Inch ) 4     Grass</v>
      </c>
      <c r="T115" s="34" t="s">
        <v>526</v>
      </c>
      <c r="U115" s="34">
        <v>22</v>
      </c>
      <c r="V115" s="34"/>
      <c r="W115" s="34"/>
      <c r="X115" s="34"/>
      <c r="Y115" s="34"/>
      <c r="Z115" s="34" t="s">
        <v>538</v>
      </c>
      <c r="AA115" s="34"/>
      <c r="AB115" s="34"/>
      <c r="AC115" s="34"/>
      <c r="AD115" s="34"/>
    </row>
    <row r="116" spans="1:30" ht="112.3" customHeight="1" x14ac:dyDescent="0.3">
      <c r="A116" s="1">
        <v>2582</v>
      </c>
      <c r="B116" s="24" t="s">
        <v>473</v>
      </c>
      <c r="C116" s="27">
        <v>9873404809</v>
      </c>
      <c r="D116" s="10" t="s">
        <v>474</v>
      </c>
      <c r="E116" s="10" t="s">
        <v>25</v>
      </c>
      <c r="F116" s="10" t="s">
        <v>17</v>
      </c>
      <c r="G116" s="10" t="s">
        <v>26</v>
      </c>
      <c r="H116" s="12">
        <v>1450</v>
      </c>
      <c r="I116" s="12">
        <v>362.5</v>
      </c>
      <c r="J116" s="9" t="s">
        <v>19</v>
      </c>
      <c r="K116" s="10" t="s">
        <v>475</v>
      </c>
      <c r="L116" s="12"/>
      <c r="M116" s="12"/>
      <c r="N116" s="13" t="s">
        <v>382</v>
      </c>
      <c r="O116" s="34" t="e">
        <f>VLOOKUP(A116,'[1]12-06-26'!$A$2:$T$115,20,0)</f>
        <v>#N/A</v>
      </c>
      <c r="P116" s="34" t="str">
        <f>VLOOKUP(A116,'[1]19-06-26'!$A$2:$T$113,20,0)</f>
        <v xml:space="preserve">R n P Car ( 14 Inch ) 16    FF Sachet + Grass </v>
      </c>
      <c r="Q116" s="34" t="str">
        <f>VLOOKUP(A116,'[1]26-06-26'!$A$2:$T$121,20,0)</f>
        <v>P n W Glad ( 14 Inch ) 16     Grass</v>
      </c>
      <c r="R116" s="34" t="str">
        <f>VLOOKUP(A116,'[2]03-07-26'!$A$2:$T$124,20,0)</f>
        <v>G Spray Daisy ( 14 Inch ) 5     Grass</v>
      </c>
      <c r="S116" s="34" t="str">
        <f>VLOOKUP(A116,'[2]10-07-26'!$A$2:$T$138,20,0)</f>
        <v>Y Asiatic ( 14 Inch ) 3     Grass</v>
      </c>
      <c r="T116" s="34" t="s">
        <v>536</v>
      </c>
      <c r="U116" s="34">
        <v>16</v>
      </c>
      <c r="V116" s="34"/>
      <c r="W116" s="34"/>
      <c r="X116" s="34"/>
      <c r="Y116" s="34"/>
      <c r="Z116" s="34" t="s">
        <v>539</v>
      </c>
      <c r="AA116" s="34"/>
      <c r="AB116" s="34"/>
      <c r="AC116" s="34"/>
      <c r="AD116" s="34"/>
    </row>
    <row r="117" spans="1:30" ht="112.3" customHeight="1" x14ac:dyDescent="0.3">
      <c r="A117" s="1">
        <v>1630</v>
      </c>
      <c r="B117" s="14" t="s">
        <v>476</v>
      </c>
      <c r="C117" s="12">
        <v>9910184448</v>
      </c>
      <c r="D117" s="10" t="s">
        <v>477</v>
      </c>
      <c r="E117" s="10" t="s">
        <v>16</v>
      </c>
      <c r="F117" s="10" t="s">
        <v>17</v>
      </c>
      <c r="G117" s="17" t="s">
        <v>53</v>
      </c>
      <c r="H117" s="12">
        <v>1450</v>
      </c>
      <c r="I117" s="12">
        <v>362.5</v>
      </c>
      <c r="J117" s="10" t="s">
        <v>19</v>
      </c>
      <c r="K117" s="10" t="s">
        <v>478</v>
      </c>
      <c r="L117" s="12"/>
      <c r="M117" s="12"/>
      <c r="N117" s="13" t="s">
        <v>141</v>
      </c>
      <c r="O117" s="34" t="str">
        <f>VLOOKUP(A117,'[1]12-06-26'!$A$2:$T$115,20,0)</f>
        <v>P n Y Spray Daisy ( 14 Inch ) 5     FF Sachet + Grass</v>
      </c>
      <c r="P117" s="34" t="str">
        <f>VLOOKUP(A117,'[1]19-06-26'!$A$2:$T$113,20,0)</f>
        <v xml:space="preserve">R n P Car ( 14 Inch ) 16    FF Sachet + Grass </v>
      </c>
      <c r="Q117" s="34" t="str">
        <f>VLOOKUP(A117,'[1]26-06-26'!$A$2:$T$121,20,0)</f>
        <v>Pur Eustoma ( 12 Inch ) 3     FF sachet + Grass</v>
      </c>
      <c r="R117" s="34" t="str">
        <f>VLOOKUP(A117,'[2]03-07-26'!$A$2:$T$124,20,0)</f>
        <v>Sunflower ( 12 Inch ) 4     FF Sachet + Grass</v>
      </c>
      <c r="S117" s="34" t="str">
        <f>VLOOKUP(A117,'[2]10-07-26'!$A$2:$T$138,20,0)</f>
        <v>W Asiatic ( 14 Inch ) 3     Grass</v>
      </c>
      <c r="T117" s="34" t="s">
        <v>536</v>
      </c>
      <c r="U117" s="34">
        <v>16</v>
      </c>
      <c r="V117" s="34"/>
      <c r="W117" s="34"/>
      <c r="X117" s="34"/>
      <c r="Y117" s="34"/>
      <c r="Z117" s="34" t="s">
        <v>539</v>
      </c>
      <c r="AA117" s="34"/>
      <c r="AB117" s="34"/>
      <c r="AC117" s="34"/>
      <c r="AD117" s="34"/>
    </row>
    <row r="118" spans="1:30" ht="112.3" customHeight="1" x14ac:dyDescent="0.3">
      <c r="A118" s="1">
        <v>628</v>
      </c>
      <c r="B118" s="14" t="s">
        <v>479</v>
      </c>
      <c r="C118" s="12">
        <v>9873675242</v>
      </c>
      <c r="D118" s="10" t="s">
        <v>480</v>
      </c>
      <c r="E118" s="10" t="s">
        <v>25</v>
      </c>
      <c r="F118" s="10" t="s">
        <v>17</v>
      </c>
      <c r="G118" s="11" t="s">
        <v>34</v>
      </c>
      <c r="H118" s="12">
        <v>1450</v>
      </c>
      <c r="I118" s="12">
        <v>362.5</v>
      </c>
      <c r="J118" s="10" t="s">
        <v>19</v>
      </c>
      <c r="K118" s="9" t="s">
        <v>481</v>
      </c>
      <c r="L118" s="12"/>
      <c r="M118" s="12"/>
      <c r="N118" s="13" t="s">
        <v>382</v>
      </c>
      <c r="O118" s="34" t="str">
        <f>VLOOKUP(A118,'[1]12-06-26'!$A$2:$T$115,20,0)</f>
        <v>P n Y Spray Daisy ( 14 Inch ) 5     FF Sachet + Grass</v>
      </c>
      <c r="P118" s="34" t="str">
        <f>VLOOKUP(A118,'[1]19-06-26'!$A$2:$T$113,20,0)</f>
        <v xml:space="preserve">R n P Car ( 14 Inch ) 16    FF Sachet + Grass </v>
      </c>
      <c r="Q118" s="34" t="str">
        <f>VLOOKUP(A118,'[1]26-06-26'!$A$2:$T$121,20,0)</f>
        <v>Pur Eustoma ( 12 Inch ) 3     FF sachet + Grass</v>
      </c>
      <c r="R118" s="34" t="str">
        <f>VLOOKUP(A118,'[2]03-07-26'!$A$2:$T$124,20,0)</f>
        <v>Sunflower ( 12 Inch ) 4     FF Sachet + Grass</v>
      </c>
      <c r="S118" s="34" t="str">
        <f>VLOOKUP(A118,'[2]10-07-26'!$A$2:$T$138,20,0)</f>
        <v>O Asiatic ( 14 Inch ) 3     Grass</v>
      </c>
      <c r="T118" s="34" t="s">
        <v>536</v>
      </c>
      <c r="U118" s="34">
        <v>16</v>
      </c>
      <c r="V118" s="34"/>
      <c r="W118" s="34"/>
      <c r="X118" s="34"/>
      <c r="Y118" s="34"/>
      <c r="Z118" s="34" t="s">
        <v>539</v>
      </c>
      <c r="AA118" s="34"/>
      <c r="AB118" s="34"/>
      <c r="AC118" s="34"/>
      <c r="AD118" s="34"/>
    </row>
    <row r="119" spans="1:30" ht="112.3" customHeight="1" x14ac:dyDescent="0.3">
      <c r="A119" s="1">
        <v>2311</v>
      </c>
      <c r="B119" s="14" t="s">
        <v>483</v>
      </c>
      <c r="C119" s="27">
        <v>9986593206</v>
      </c>
      <c r="D119" s="10" t="s">
        <v>484</v>
      </c>
      <c r="E119" s="10" t="s">
        <v>43</v>
      </c>
      <c r="F119" s="10" t="s">
        <v>17</v>
      </c>
      <c r="G119" s="11" t="s">
        <v>34</v>
      </c>
      <c r="H119" s="12">
        <v>1450</v>
      </c>
      <c r="I119" s="12">
        <v>362.5</v>
      </c>
      <c r="J119" s="9" t="s">
        <v>19</v>
      </c>
      <c r="K119" s="10"/>
      <c r="L119" s="12"/>
      <c r="M119" s="12"/>
      <c r="N119" s="13" t="s">
        <v>382</v>
      </c>
      <c r="O119" s="34" t="str">
        <f>VLOOKUP(A119,'[1]12-06-26'!$A$2:$T$115,20,0)</f>
        <v>Pur n P Car ( 14 Inch ) 9     FF Sachet + Grass</v>
      </c>
      <c r="P119" s="34" t="str">
        <f>VLOOKUP(A119,'[1]19-06-26'!$A$2:$T$113,20,0)</f>
        <v xml:space="preserve">O Asiatic ( 14 Inch ) 3    Grass </v>
      </c>
      <c r="Q119" s="34" t="str">
        <f>VLOOKUP(A119,'[1]26-06-26'!$A$2:$T$121,20,0)</f>
        <v>Pur Eustoma ( 12 Inch ) 3     FF sachet + Grass</v>
      </c>
      <c r="R119" s="34" t="str">
        <f>VLOOKUP(A119,'[2]03-07-26'!$A$2:$T$124,20,0)</f>
        <v>Sunflower ( 12 Inch ) 4     FF Sachet + Grass</v>
      </c>
      <c r="S119" s="34" t="str">
        <f>VLOOKUP(A119,'[2]10-07-26'!$A$2:$T$138,20,0)</f>
        <v>P n W Glad ( 14 Inch ) 16     Grass</v>
      </c>
      <c r="T119" s="34" t="s">
        <v>543</v>
      </c>
      <c r="U119" s="34">
        <v>5</v>
      </c>
      <c r="V119" s="34"/>
      <c r="W119" s="34"/>
      <c r="X119" s="34"/>
      <c r="Y119" s="34"/>
      <c r="Z119" s="34" t="s">
        <v>539</v>
      </c>
      <c r="AA119" s="34"/>
      <c r="AB119" s="34"/>
      <c r="AC119" s="34"/>
      <c r="AD119" s="34"/>
    </row>
    <row r="120" spans="1:30" ht="112.3" customHeight="1" x14ac:dyDescent="0.3">
      <c r="A120" s="1">
        <v>3334</v>
      </c>
      <c r="B120" s="14" t="s">
        <v>397</v>
      </c>
      <c r="C120" s="12">
        <v>8420453178</v>
      </c>
      <c r="D120" s="10" t="s">
        <v>398</v>
      </c>
      <c r="E120" s="10" t="s">
        <v>62</v>
      </c>
      <c r="F120" s="10" t="s">
        <v>17</v>
      </c>
      <c r="G120" s="17" t="s">
        <v>194</v>
      </c>
      <c r="H120" s="12">
        <v>1450</v>
      </c>
      <c r="I120" s="12">
        <v>362.5</v>
      </c>
      <c r="J120" s="9" t="s">
        <v>19</v>
      </c>
      <c r="K120" s="12"/>
      <c r="L120" s="12"/>
      <c r="M120" s="12"/>
      <c r="N120" s="13" t="s">
        <v>141</v>
      </c>
      <c r="O120" s="34" t="str">
        <f>VLOOKUP(A120,'[1]12-06-26'!$A$2:$T$115,20,0)</f>
        <v>Pur n P Car ( 14 Inch ) 16     FF Sachet + Grass</v>
      </c>
      <c r="P120" s="34" t="str">
        <f>VLOOKUP(A120,'[1]19-06-26'!$A$2:$T$113,20,0)</f>
        <v xml:space="preserve">P n W Spray Daisy ( 14 Inch ) 5    FF Sachet + Grass </v>
      </c>
      <c r="Q120" s="34" t="str">
        <f>VLOOKUP(A120,'[1]26-06-26'!$A$2:$T$121,20,0)</f>
        <v>Pur Eustoma ( 12 Inch ) 3     FF sachet + Grass</v>
      </c>
      <c r="R120" s="34" t="str">
        <f>VLOOKUP(A120,'[2]03-07-26'!$A$2:$T$124,20,0)</f>
        <v>Sunflower ( 12 Inch ) 4     FF Sachet + Grass</v>
      </c>
      <c r="S120" s="34" t="str">
        <f>VLOOKUP(A120,'[2]10-07-26'!$A$2:$T$138,20,0)</f>
        <v>Eustoma 3     Grass</v>
      </c>
      <c r="T120" s="34" t="s">
        <v>533</v>
      </c>
      <c r="U120" s="34">
        <v>3</v>
      </c>
      <c r="V120" s="34"/>
      <c r="W120" s="34"/>
      <c r="X120" s="34"/>
      <c r="Y120" s="34"/>
      <c r="Z120" s="34" t="s">
        <v>538</v>
      </c>
      <c r="AA120" s="34"/>
      <c r="AB120" s="34"/>
      <c r="AC120" s="34"/>
      <c r="AD120" s="34"/>
    </row>
    <row r="121" spans="1:30" ht="112.3" customHeight="1" x14ac:dyDescent="0.3">
      <c r="A121" s="1">
        <v>113</v>
      </c>
      <c r="B121" s="24" t="s">
        <v>485</v>
      </c>
      <c r="C121" s="12">
        <v>8826368500</v>
      </c>
      <c r="D121" s="10" t="s">
        <v>486</v>
      </c>
      <c r="E121" s="10" t="s">
        <v>43</v>
      </c>
      <c r="F121" s="10" t="s">
        <v>17</v>
      </c>
      <c r="G121" s="11" t="s">
        <v>34</v>
      </c>
      <c r="H121" s="12">
        <v>1950</v>
      </c>
      <c r="I121" s="12">
        <v>487.5</v>
      </c>
      <c r="J121" s="10" t="s">
        <v>118</v>
      </c>
      <c r="K121" s="10" t="s">
        <v>487</v>
      </c>
      <c r="L121" s="10" t="s">
        <v>488</v>
      </c>
      <c r="M121" s="12"/>
      <c r="N121" s="13" t="s">
        <v>464</v>
      </c>
      <c r="O121" s="34" t="e">
        <f>VLOOKUP(A121,'[1]12-06-26'!$A$2:$T$115,20,0)</f>
        <v>#N/A</v>
      </c>
      <c r="P121" s="34" t="str">
        <f>VLOOKUP(A121,'[1]19-06-26'!$A$2:$T$113,20,0)</f>
        <v>B Orchid  7     FF sachet + Grass</v>
      </c>
      <c r="Q121" s="34" t="str">
        <f>VLOOKUP(A121,'[1]26-06-26'!$A$2:$T$121,20,0)</f>
        <v>O Asiatic ( 14 Inch ) 4     Grass</v>
      </c>
      <c r="R121" s="34" t="str">
        <f>VLOOKUP(A121,'[2]03-07-26'!$A$2:$T$124,20,0)</f>
        <v>Baloon Flowers  5     FF Sachet + Grass</v>
      </c>
      <c r="S121" s="34" t="str">
        <f>VLOOKUP(A121,'[2]10-07-26'!$A$2:$T$138,20,0)</f>
        <v>B Orchid  7     FF Sachet + Grass</v>
      </c>
      <c r="T121" s="34" t="s">
        <v>542</v>
      </c>
      <c r="U121" s="34">
        <v>22</v>
      </c>
      <c r="V121" s="34"/>
      <c r="W121" s="34"/>
      <c r="X121" s="34"/>
      <c r="Y121" s="34"/>
      <c r="Z121" s="34" t="s">
        <v>539</v>
      </c>
      <c r="AA121" s="34"/>
      <c r="AB121" s="34"/>
      <c r="AC121" s="34"/>
      <c r="AD121" s="34"/>
    </row>
    <row r="122" spans="1:30" ht="112.3" customHeight="1" x14ac:dyDescent="0.3">
      <c r="A122" s="1">
        <v>3368</v>
      </c>
      <c r="B122" s="20" t="s">
        <v>489</v>
      </c>
      <c r="C122" s="14">
        <v>9971681194</v>
      </c>
      <c r="D122" s="10" t="s">
        <v>490</v>
      </c>
      <c r="E122" s="10" t="s">
        <v>43</v>
      </c>
      <c r="F122" s="9" t="s">
        <v>39</v>
      </c>
      <c r="G122" s="11" t="s">
        <v>34</v>
      </c>
      <c r="H122" s="12">
        <v>2300</v>
      </c>
      <c r="I122" s="12">
        <v>287.5</v>
      </c>
      <c r="J122" s="9" t="s">
        <v>94</v>
      </c>
      <c r="K122" s="10" t="s">
        <v>491</v>
      </c>
      <c r="L122" s="12"/>
      <c r="M122" s="12"/>
      <c r="N122" s="13" t="s">
        <v>492</v>
      </c>
      <c r="O122" s="34" t="str">
        <f>VLOOKUP(A122,'[1]12-06-26'!$A$2:$T$115,20,0)</f>
        <v>Mix Alstroemeria ( 12 Inch ) 11     FF Sachet + Grass</v>
      </c>
      <c r="P122" s="34" t="str">
        <f>VLOOKUP(A122,'[1]19-06-26'!$A$2:$T$113,20,0)</f>
        <v>P Asiatic ( 14 Inch ) 2     Grass</v>
      </c>
      <c r="Q122" s="34" t="e">
        <f>VLOOKUP(A122,'[1]26-06-26'!$A$2:$T$121,20,0)</f>
        <v>#N/A</v>
      </c>
      <c r="R122" s="34" t="str">
        <f>VLOOKUP(A122,'[2]03-07-26'!$A$2:$T$124,20,0)</f>
        <v>Sunflower ( 12 Inch ) 3     FF Sachet + Grass</v>
      </c>
      <c r="S122" s="34" t="str">
        <f>VLOOKUP(A122,'[2]10-07-26'!$A$2:$T$138,20,0)</f>
        <v>P n W Glad ( 14 Inch ) 11     Grass</v>
      </c>
      <c r="T122" s="34" t="s">
        <v>534</v>
      </c>
      <c r="U122" s="34">
        <v>11</v>
      </c>
      <c r="V122" s="34"/>
      <c r="W122" s="34"/>
      <c r="X122" s="34"/>
      <c r="Y122" s="34"/>
      <c r="Z122" s="34" t="s">
        <v>538</v>
      </c>
      <c r="AA122" s="34"/>
      <c r="AB122" s="34"/>
      <c r="AC122" s="34"/>
      <c r="AD122" s="34"/>
    </row>
    <row r="123" spans="1:30" ht="112.3" customHeight="1" x14ac:dyDescent="0.3">
      <c r="A123" s="1">
        <v>3381</v>
      </c>
      <c r="B123" s="14" t="s">
        <v>493</v>
      </c>
      <c r="C123" s="12">
        <v>9769021701</v>
      </c>
      <c r="D123" s="10" t="s">
        <v>494</v>
      </c>
      <c r="E123" s="10" t="s">
        <v>74</v>
      </c>
      <c r="F123" s="10" t="s">
        <v>17</v>
      </c>
      <c r="G123" s="17" t="s">
        <v>53</v>
      </c>
      <c r="H123" s="12">
        <v>2750</v>
      </c>
      <c r="I123" s="12">
        <v>687.5</v>
      </c>
      <c r="J123" s="9" t="s">
        <v>57</v>
      </c>
      <c r="K123" s="12"/>
      <c r="L123" s="12"/>
      <c r="M123" s="12"/>
      <c r="N123" s="13" t="s">
        <v>495</v>
      </c>
      <c r="O123" s="34" t="e">
        <f>VLOOKUP(A123,'[1]12-06-26'!$A$2:$T$115,20,0)</f>
        <v>#N/A</v>
      </c>
      <c r="P123" s="34" t="str">
        <f>VLOOKUP(A123,'[1]19-06-26'!$A$2:$T$113,20,0)</f>
        <v>R n P Car ( 14 Inch ) 32     FF sachet + Grass</v>
      </c>
      <c r="Q123" s="34" t="str">
        <f>VLOOKUP(A123,'[1]26-06-26'!$A$2:$T$121,20,0)</f>
        <v>O Asiatic ( 14 Inch ) 6     2 Gypaols</v>
      </c>
      <c r="R123" s="34" t="str">
        <f>VLOOKUP(A123,'[2]03-07-26'!$A$2:$T$124,20,0)</f>
        <v>P n W Glad ( 14 Inch ) 32     Grass</v>
      </c>
      <c r="S123" s="34" t="str">
        <f>VLOOKUP(A123,'[2]10-07-26'!$A$2:$T$138,20,0)</f>
        <v>P n Y Spray Daisy ( 14 Inch ) 10     2 Gypsola</v>
      </c>
      <c r="T123" s="34" t="s">
        <v>536</v>
      </c>
      <c r="U123" s="34">
        <v>32</v>
      </c>
      <c r="V123" s="34"/>
      <c r="W123" s="34"/>
      <c r="X123" s="34"/>
      <c r="Y123" s="34"/>
      <c r="Z123" s="34" t="s">
        <v>547</v>
      </c>
      <c r="AA123" s="34"/>
      <c r="AB123" s="34"/>
      <c r="AC123" s="34"/>
      <c r="AD123" s="34"/>
    </row>
    <row r="124" spans="1:30" ht="112.3" customHeight="1" x14ac:dyDescent="0.3">
      <c r="A124" s="1">
        <v>2918</v>
      </c>
      <c r="B124" s="14" t="s">
        <v>496</v>
      </c>
      <c r="C124" s="27">
        <v>9212408077</v>
      </c>
      <c r="D124" s="10" t="s">
        <v>497</v>
      </c>
      <c r="E124" s="10" t="s">
        <v>25</v>
      </c>
      <c r="F124" s="10" t="s">
        <v>17</v>
      </c>
      <c r="G124" s="10" t="s">
        <v>349</v>
      </c>
      <c r="H124" s="12">
        <v>1450</v>
      </c>
      <c r="I124" s="12">
        <v>362.5</v>
      </c>
      <c r="J124" s="9" t="s">
        <v>19</v>
      </c>
      <c r="K124" s="10" t="s">
        <v>498</v>
      </c>
      <c r="L124" s="12"/>
      <c r="M124" s="12"/>
      <c r="N124" s="13" t="s">
        <v>482</v>
      </c>
      <c r="O124" s="34" t="str">
        <f>VLOOKUP(A124,'[1]12-06-26'!$A$2:$T$115,20,0)</f>
        <v>Mix Alstroemeria ( 12 Inch ) 9     FF Sachet + Grass</v>
      </c>
      <c r="P124" s="34" t="str">
        <f>VLOOKUP(A124,'[1]19-06-26'!$A$2:$T$113,20,0)</f>
        <v xml:space="preserve">O Asiatic ( 14 Inch ) 2    Grass </v>
      </c>
      <c r="Q124" s="34" t="e">
        <f>VLOOKUP(A124,'[1]26-06-26'!$A$2:$T$121,20,0)</f>
        <v>#N/A</v>
      </c>
      <c r="R124" s="34" t="str">
        <f>VLOOKUP(A124,'[2]03-07-26'!$A$2:$T$124,20,0)</f>
        <v>P n W Glad ( 14 Inch ) 9     Grass</v>
      </c>
      <c r="S124" s="34" t="str">
        <f>VLOOKUP(A124,'[2]10-07-26'!$A$2:$T$138,20,0)</f>
        <v>G n W Car ( 14 Inch ) 9     FF Sachet + Grass</v>
      </c>
      <c r="T124" s="34" t="s">
        <v>536</v>
      </c>
      <c r="U124" s="34">
        <v>16</v>
      </c>
      <c r="V124" s="34"/>
      <c r="W124" s="34"/>
      <c r="X124" s="34"/>
      <c r="Y124" s="34"/>
      <c r="Z124" s="34" t="s">
        <v>539</v>
      </c>
      <c r="AA124" s="34"/>
      <c r="AB124" s="34"/>
      <c r="AC124" s="34"/>
      <c r="AD124" s="34"/>
    </row>
    <row r="125" spans="1:30" ht="112.3" customHeight="1" x14ac:dyDescent="0.3">
      <c r="A125" s="1">
        <v>2385</v>
      </c>
      <c r="B125" s="14" t="s">
        <v>499</v>
      </c>
      <c r="C125" s="12">
        <v>9899170709</v>
      </c>
      <c r="D125" s="10" t="s">
        <v>500</v>
      </c>
      <c r="E125" s="10" t="s">
        <v>16</v>
      </c>
      <c r="F125" s="10" t="s">
        <v>17</v>
      </c>
      <c r="G125" s="11" t="s">
        <v>34</v>
      </c>
      <c r="H125" s="12">
        <v>1950</v>
      </c>
      <c r="I125" s="12">
        <v>487.5</v>
      </c>
      <c r="J125" s="10" t="s">
        <v>118</v>
      </c>
      <c r="K125" s="10" t="s">
        <v>501</v>
      </c>
      <c r="L125" s="10" t="s">
        <v>87</v>
      </c>
      <c r="M125" s="12"/>
      <c r="N125" s="13" t="s">
        <v>464</v>
      </c>
      <c r="O125" s="34" t="str">
        <f>VLOOKUP(A125,'[1]12-06-26'!$A$2:$T$115,20,0)</f>
        <v>P Asiatic ( 14 Inch ) 4     Grass</v>
      </c>
      <c r="P125" s="34" t="str">
        <f>VLOOKUP(A125,'[1]19-06-26'!$A$2:$T$113,20,0)</f>
        <v>R n P Car ( 14 Inch ) 22     FF sachet + Grass</v>
      </c>
      <c r="Q125" s="34" t="str">
        <f>VLOOKUP(A125,'[1]26-06-26'!$A$2:$T$121,20,0)</f>
        <v>P n Y Spray Daisy ( 14 Inch ) 7     FF Sachet + Grass</v>
      </c>
      <c r="R125" s="34" t="str">
        <f>VLOOKUP(A125,'[2]03-07-26'!$A$2:$T$124,20,0)</f>
        <v>P n W Glad ( 14 Inch ) 22     Grass</v>
      </c>
      <c r="S125" s="34" t="str">
        <f>VLOOKUP(A125,'[2]10-07-26'!$A$2:$T$138,20,0)</f>
        <v>Rajni ( 14 Inch ) 22     Grass</v>
      </c>
      <c r="T125" s="34" t="s">
        <v>608</v>
      </c>
      <c r="U125" s="34">
        <v>4</v>
      </c>
      <c r="V125" s="34"/>
      <c r="W125" s="34"/>
      <c r="X125" s="34"/>
      <c r="Y125" s="34"/>
      <c r="Z125" s="34" t="s">
        <v>538</v>
      </c>
      <c r="AA125" s="34"/>
      <c r="AB125" s="34"/>
      <c r="AC125" s="34"/>
      <c r="AD125" s="34"/>
    </row>
    <row r="126" spans="1:30" ht="111.8" x14ac:dyDescent="0.3">
      <c r="A126" s="9" t="s">
        <v>597</v>
      </c>
      <c r="B126" s="14" t="s">
        <v>598</v>
      </c>
      <c r="C126" s="1">
        <v>9717416100</v>
      </c>
      <c r="D126" s="9" t="s">
        <v>599</v>
      </c>
      <c r="E126" s="10" t="s">
        <v>318</v>
      </c>
      <c r="F126" s="10" t="s">
        <v>17</v>
      </c>
      <c r="G126" s="11" t="s">
        <v>600</v>
      </c>
      <c r="H126" s="81">
        <v>730</v>
      </c>
      <c r="I126" s="12">
        <f>H126</f>
        <v>730</v>
      </c>
      <c r="J126" s="9" t="s">
        <v>433</v>
      </c>
      <c r="K126" s="10" t="s">
        <v>601</v>
      </c>
      <c r="L126" s="10"/>
      <c r="M126" s="12"/>
      <c r="N126" s="13" t="s">
        <v>602</v>
      </c>
      <c r="O126" s="34"/>
      <c r="P126" s="34"/>
      <c r="Q126" s="34"/>
      <c r="R126" s="34"/>
      <c r="S126" s="34"/>
      <c r="T126" s="34" t="s">
        <v>603</v>
      </c>
      <c r="U126" s="34" t="s">
        <v>604</v>
      </c>
      <c r="V126" s="34" t="s">
        <v>605</v>
      </c>
      <c r="W126" s="34"/>
      <c r="X126" s="34"/>
      <c r="Y126" s="34"/>
      <c r="Z126" s="34"/>
      <c r="AA126" s="34"/>
      <c r="AB126" s="34"/>
      <c r="AC126" s="34"/>
      <c r="AD126" s="34"/>
    </row>
    <row r="130" spans="20:20" x14ac:dyDescent="0.3">
      <c r="T130">
        <f>54+38</f>
        <v>92</v>
      </c>
    </row>
  </sheetData>
  <autoFilter ref="A1:AD126" xr:uid="{458B6699-1631-482D-822B-2030D70C83D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Tripathi</dc:creator>
  <cp:lastModifiedBy>Amit Tripathi</cp:lastModifiedBy>
  <dcterms:created xsi:type="dcterms:W3CDTF">2026-07-16T15:15:16Z</dcterms:created>
  <dcterms:modified xsi:type="dcterms:W3CDTF">2026-07-17T02:12:37Z</dcterms:modified>
</cp:coreProperties>
</file>