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0bce48fe946bb5/Desktop/"/>
    </mc:Choice>
  </mc:AlternateContent>
  <xr:revisionPtr revIDLastSave="25" documentId="8_{801AD0B4-93FA-469C-BFC1-F57C0EE2D8FA}" xr6:coauthVersionLast="47" xr6:coauthVersionMax="47" xr10:uidLastSave="{8D605DE1-F601-492F-8B4D-14174C58503F}"/>
  <bookViews>
    <workbookView xWindow="-107" yWindow="-107" windowWidth="20847" windowHeight="11100" xr2:uid="{B49E7572-93B5-4803-B24A-9BDBFAF30B0F}"/>
  </bookViews>
  <sheets>
    <sheet name="Sheet2" sheetId="2" r:id="rId1"/>
    <sheet name="Sheet1" sheetId="1" r:id="rId2"/>
  </sheets>
  <externalReferences>
    <externalReference r:id="rId3"/>
    <externalReference r:id="rId4"/>
  </externalReferences>
  <definedNames>
    <definedName name="_xlnm._FilterDatabase" localSheetId="1" hidden="1">Sheet1!$A$1:$AD$49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" i="2" l="1"/>
  <c r="Q60" i="2"/>
  <c r="O59" i="2"/>
  <c r="H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O23" i="2"/>
  <c r="O21" i="2"/>
  <c r="O20" i="2"/>
  <c r="O19" i="2"/>
  <c r="O18" i="2"/>
  <c r="O17" i="2"/>
  <c r="O16" i="2"/>
  <c r="O15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N12" i="2"/>
  <c r="M12" i="2"/>
  <c r="L12" i="2"/>
  <c r="K12" i="2"/>
  <c r="J12" i="2"/>
  <c r="I12" i="2"/>
  <c r="H12" i="2"/>
  <c r="G12" i="2"/>
  <c r="F12" i="2"/>
  <c r="D12" i="2"/>
  <c r="C12" i="2"/>
  <c r="B12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N10" i="2"/>
  <c r="M10" i="2"/>
  <c r="M22" i="2" s="1"/>
  <c r="M24" i="2" s="1"/>
  <c r="M26" i="2" s="1"/>
  <c r="M27" i="2" s="1"/>
  <c r="L10" i="2"/>
  <c r="L22" i="2" s="1"/>
  <c r="L24" i="2" s="1"/>
  <c r="L26" i="2" s="1"/>
  <c r="L27" i="2" s="1"/>
  <c r="K10" i="2"/>
  <c r="J10" i="2"/>
  <c r="I10" i="2"/>
  <c r="H10" i="2"/>
  <c r="G10" i="2"/>
  <c r="F10" i="2"/>
  <c r="F22" i="2" s="1"/>
  <c r="F24" i="2" s="1"/>
  <c r="F26" i="2" s="1"/>
  <c r="F27" i="2" s="1"/>
  <c r="E10" i="2"/>
  <c r="D10" i="2"/>
  <c r="D22" i="2" s="1"/>
  <c r="D24" i="2" s="1"/>
  <c r="D26" i="2" s="1"/>
  <c r="D27" i="2" s="1"/>
  <c r="C10" i="2"/>
  <c r="B10" i="2"/>
  <c r="N7" i="2"/>
  <c r="M7" i="2"/>
  <c r="L7" i="2"/>
  <c r="K7" i="2"/>
  <c r="J7" i="2"/>
  <c r="I7" i="2"/>
  <c r="H7" i="2"/>
  <c r="G7" i="2"/>
  <c r="F7" i="2"/>
  <c r="E7" i="2"/>
  <c r="D7" i="2"/>
  <c r="C7" i="2"/>
  <c r="B7" i="2"/>
  <c r="O6" i="2"/>
  <c r="P6" i="2" s="1"/>
  <c r="O5" i="2"/>
  <c r="P13" i="2" s="1"/>
  <c r="O4" i="2"/>
  <c r="P4" i="2" s="1"/>
  <c r="O3" i="2"/>
  <c r="P3" i="2" s="1"/>
  <c r="O2" i="2"/>
  <c r="P2" i="2" s="1"/>
  <c r="E22" i="2" l="1"/>
  <c r="E24" i="2" s="1"/>
  <c r="E26" i="2" s="1"/>
  <c r="E27" i="2" s="1"/>
  <c r="O12" i="2"/>
  <c r="N22" i="2"/>
  <c r="N24" i="2" s="1"/>
  <c r="N26" i="2" s="1"/>
  <c r="N27" i="2" s="1"/>
  <c r="O38" i="2"/>
  <c r="H22" i="2"/>
  <c r="H24" i="2" s="1"/>
  <c r="H26" i="2" s="1"/>
  <c r="H27" i="2" s="1"/>
  <c r="O7" i="2"/>
  <c r="G22" i="2"/>
  <c r="G24" i="2" s="1"/>
  <c r="G26" i="2" s="1"/>
  <c r="G27" i="2" s="1"/>
  <c r="O14" i="2"/>
  <c r="I22" i="2"/>
  <c r="I24" i="2" s="1"/>
  <c r="I26" i="2" s="1"/>
  <c r="I27" i="2" s="1"/>
  <c r="P12" i="2"/>
  <c r="B22" i="2"/>
  <c r="B24" i="2" s="1"/>
  <c r="B26" i="2" s="1"/>
  <c r="B27" i="2" s="1"/>
  <c r="J22" i="2"/>
  <c r="J24" i="2" s="1"/>
  <c r="J26" i="2" s="1"/>
  <c r="J27" i="2" s="1"/>
  <c r="O13" i="2"/>
  <c r="R13" i="2" s="1"/>
  <c r="O11" i="2"/>
  <c r="C22" i="2"/>
  <c r="C24" i="2" s="1"/>
  <c r="C26" i="2" s="1"/>
  <c r="C27" i="2" s="1"/>
  <c r="K22" i="2"/>
  <c r="K24" i="2" s="1"/>
  <c r="K26" i="2" s="1"/>
  <c r="K27" i="2" s="1"/>
  <c r="P5" i="2"/>
  <c r="P7" i="2" s="1"/>
  <c r="Q7" i="2" s="1"/>
  <c r="Q38" i="2" s="1"/>
  <c r="O10" i="2"/>
  <c r="P10" i="2"/>
  <c r="R10" i="2" s="1"/>
  <c r="P11" i="2"/>
  <c r="P14" i="2"/>
  <c r="R12" i="2" l="1"/>
  <c r="R14" i="2"/>
  <c r="R11" i="2"/>
  <c r="R15" i="2" l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2" i="1"/>
</calcChain>
</file>

<file path=xl/sharedStrings.xml><?xml version="1.0" encoding="utf-8"?>
<sst xmlns="http://schemas.openxmlformats.org/spreadsheetml/2006/main" count="608" uniqueCount="344">
  <si>
    <t>ID</t>
  </si>
  <si>
    <t>Name</t>
  </si>
  <si>
    <t>Ph. Number</t>
  </si>
  <si>
    <t>Address</t>
  </si>
  <si>
    <t>Zone</t>
  </si>
  <si>
    <t>Day</t>
  </si>
  <si>
    <t>Time Slot</t>
  </si>
  <si>
    <t>Pack</t>
  </si>
  <si>
    <t>Revenue</t>
  </si>
  <si>
    <t xml:space="preserve"> Type</t>
  </si>
  <si>
    <t>Remarks</t>
  </si>
  <si>
    <t>Flower Restriction</t>
  </si>
  <si>
    <t>Extra Instruction</t>
  </si>
  <si>
    <t>Final Number of Delivery</t>
  </si>
  <si>
    <t>Neha Khetan</t>
  </si>
  <si>
    <t>F3, D E F Block, Greenwood City, Sec 46</t>
  </si>
  <si>
    <t>Cyber World</t>
  </si>
  <si>
    <t>Tuesday</t>
  </si>
  <si>
    <t>9 AM to 2 PM</t>
  </si>
  <si>
    <t>Bliss</t>
  </si>
  <si>
    <t>Skip 1 week (20/03) Flower Food Next (21/04). 500 received today- 250 adjusted in flower food, 250 extra. // 400 cash collected today (07/01) Paytm From Anupam Khetan (29/07) Hold due to non payment (07/10) Send tom (07/10) Hold for 1 Month (24/06)</t>
  </si>
  <si>
    <t>Single Kind // Vcheck before sending (24/06)</t>
  </si>
  <si>
    <t>2  del of this cycle   -  1-cycles pmnt   Pending - Collect 1450</t>
  </si>
  <si>
    <t>Aman</t>
  </si>
  <si>
    <t>S-1/12, 1st Floor, DLF Phase 3</t>
  </si>
  <si>
    <t>DLF Phase 3</t>
  </si>
  <si>
    <t>Saturday</t>
  </si>
  <si>
    <t>4 Pm to 7 PM</t>
  </si>
  <si>
    <t>Charm</t>
  </si>
  <si>
    <t>Sat n Tuesday//NO Car n Lilies(07/09) Skip coming del n send on 4th Jan (25/12) Skip tom (10/01) Hold n start from 5th Mar-25(09/02) Hold due to non payment (14/10) Hold due to non payment (17/01)</t>
  </si>
  <si>
    <t>Car n Lilies</t>
  </si>
  <si>
    <t>3  del of this cycle   -  0-cycles pmnt   Completed - Collect 0</t>
  </si>
  <si>
    <t xml:space="preserve">Reena </t>
  </si>
  <si>
    <t>31/1, Ixia, Vatika City</t>
  </si>
  <si>
    <t>Sohna Road 1</t>
  </si>
  <si>
    <t>Bloom</t>
  </si>
  <si>
    <t>Tuesday and Friday//NO Rose/Rajni and ORCHID(30/10) Pink car Next(08/11) No Rose/No Rajni/No Orchids(30/11  NO RAJNI n HELICONIA (30/12) Star From Sunday (24/08) Skip coming Friday (07/12) Skip 1 week (18/01) Shift tom del to Sunday (20/06) Skip Friday Del (15/08) Today Returned(03/09) Skip 27th Del (22/12) Skip tom (30/01) Today Returned-send again (04/04) Hold n start from 15th (07/04) Skip friday (26/06) Skip 1 week (07/08) Skip tom del (11/09) Skip 1 week (01/11) Skip tom (30/04) Start from 14th July (06/07)</t>
  </si>
  <si>
    <t>RAJNI n HELICONIA</t>
  </si>
  <si>
    <t>4  del of this cycle   -  0-cycles pmnt   Completed - Collect 0</t>
  </si>
  <si>
    <t>Swati Sharad</t>
  </si>
  <si>
    <t>204-B, 2nd Floor, 4th Floor, Beverley Park-1</t>
  </si>
  <si>
    <t>M G Road</t>
  </si>
  <si>
    <t>9 AM - 12 PM</t>
  </si>
  <si>
    <t>No Glad (03/04) No areca palm (15/04) Today Hold (03/02) Paytm from meenakshi Sharad (10/03) HDTNP (23/06)</t>
  </si>
  <si>
    <t>Glad</t>
  </si>
  <si>
    <t>No areca Palm // Flower Food Next (19/05)</t>
  </si>
  <si>
    <t>A K Jain</t>
  </si>
  <si>
    <t>B-785, Sushant Lok-1, Near Police Chowki</t>
  </si>
  <si>
    <t>Felicity</t>
  </si>
  <si>
    <t>Saturdya n Tuesday (16/05) Hold from 10th to 14th June (07/06) Paytm From Akhil Jain (21/06) Skip sat del and send them on Sunday (30/07) Do not count last delivery (22/09) Hold 25th and 28th (19/10) Today Returned (04/11) Skip sat delivery (18/03) Do not count last Del (15/06)</t>
  </si>
  <si>
    <t>Anisha Sethi</t>
  </si>
  <si>
    <t>Q-1/25, DLF Phase 2</t>
  </si>
  <si>
    <t>Saturdya n Tuesday//always mix of 2 flowers and send a scissor on 1st del for Rs.50(11/10) Send 1 Scissor also(13/10) Send Scissor Tom(15/10) Send Mogra next(18/10) NO HELICONIA and BOP(19/11) Skip this Tuesday(10/04) Skip this Tuesday Del(02/05) Skip 28th May Flowers(25/05) Sent replacement today(07/06) NO DEL BETWEEN 14TH AND 24TH JULY(06/07) Skip 12th , 16th , 19th and 23rd July(11/07) Skip 1 week(25/08) NO UPGRADE(17/10) Pause from 25th to 6th Apr (24/03) Asiatic n Car (05/05) No Delivery from 10th June to 15th July (07/06) Skip tom delivery (04/09) No flowers on 28th (26/10) Skip 1 Del (12/02) Hold on 2nd,6th and 9th Apr (30/03) Skip 20th Del (19/08) Pls hold n start from 5th Oct (22/09) No sunflowers for some time (15/04) Hold from 17th May t0 17th June (14/05) Collect 400 next and carry change (29/07) 400 cash on 5th Aug (12/08) Hold n send on 23rd Now (17/08)</t>
  </si>
  <si>
    <t>HELICONIA n BOP</t>
  </si>
  <si>
    <t>No Sunflowers for some time (15/04) Change of Rs. 50 Next (28/04)</t>
  </si>
  <si>
    <t>Jyoti - Digi Homes</t>
  </si>
  <si>
    <t>T-B/2802, Emaar Digi Homes, Sec 62</t>
  </si>
  <si>
    <t>Ghata</t>
  </si>
  <si>
    <t>Joy</t>
  </si>
  <si>
    <t>No Glad n Rajni n try fir Gerbera fior 1st Del // Hold n send on 19th and send on 21st (17/04) 19th Del Missed-send on 26th (23/04) Do not count last del 28/05) Today returned (21/06) Do not count last del (20/07) Today Hold  and send on tuesday(02/08) Return today (05/08) Skip 2 Weeks (09/08) Day change to tuesday and and skip 2 week (09/08) Day Changed to saturday (02/09) No BOP also (23/09 Paytm From Jyoti chaudhary (27/10) Only No Rajni and BOP (19/03) Skip 1 week (24/06) Skip 1 week (22/07)</t>
  </si>
  <si>
    <t>Rajni n BOP</t>
  </si>
  <si>
    <t>DLF Phase 1</t>
  </si>
  <si>
    <t>Smita Mathur</t>
  </si>
  <si>
    <t>+6281294705524</t>
  </si>
  <si>
    <t>R-9A, Windsor Court-- Next Supermart</t>
  </si>
  <si>
    <t>DLF Phase 4</t>
  </si>
  <si>
    <t>NO GLAD/ASIATIC/ORCHID(23/12) ONLY LILY/ROSE AD CHRYSANTHEMUM IN THIS PACK(23/12) Rajni Next(27/12) Skip 1 week(30/12) Bright Color Asiatic Next(09/01) ALWAYS SINGLE COLOR(10/01) Day changed to Friday and send bright lily on both days(11/01) Send 1 Pack tom(15/01) Dark Pink or Red Asiatic(22/01) Pls send Daisy Next(31/01) Y Fuldawari next(04/02) Next Yellow Color(07/02) This Cycle-- Oriental//Car//Orchid//Rose(02/10) Send next del on friday with moxed bright color car(05/10) Sent Replacement today(20/10) GuldawariNext(21/10) This week on saturday and then tuesday, Flowesr are-- Car//Lily//Guldawari//Rose//Orchid// Glad (17/11) NO ROSE  SEND REPLACEMENT TOM AND ALSO 2ND DEL(21/11)(21/11) Hold today (13/12) Hold for 2 weeks(13/12) NO BOP AND SPRAY DAISY  AND ROSES IF THEY ARE GOOD(22/12) Asiatic Next (04/01) Send Replacement tom (18/03) Paytm from 99****8930(25/07) Change to Joy (27/10) Change to bliss (13/12) Skip 2 Week (31/01) Skip 2 week (02/03) Holdn n start from 13 July (23/06) Sent replacement today (01/09) Skip 1 week (07/12) Hold aftyer current cycle (19/03) Skip 16th Aug (09/08) No flowers on 27th (16/09) Skip tom and now on tuesday Only (05/12) Skip 1 week (18/02)</t>
  </si>
  <si>
    <t>BOP n GERBERA</t>
  </si>
  <si>
    <t>Supriya Bijlwan</t>
  </si>
  <si>
    <t>C-201, Mahindra Luminaire</t>
  </si>
  <si>
    <t>10 AM to 2:30 PM</t>
  </si>
  <si>
    <t>1 Seasonal Extra next (20/05) No Rajni in Summer (12/07)</t>
  </si>
  <si>
    <t>Rajni in Summer</t>
  </si>
  <si>
    <t>Premium in next 2 Del (23/05)</t>
  </si>
  <si>
    <t>Tarushi--Skyon</t>
  </si>
  <si>
    <t>B-2004, Ireo Skyon, Sec 60</t>
  </si>
  <si>
    <t>No Spray Daisy (06/11) Skip 1 week (02/03) No Gerbera (02/07) Send on Saturday this week Z914/07)Paytm from Uday Bansal 19/07) Return not at home (29/07) Hold due to non payment (14/10) Hold after this cycle (14/11) Paytm From Tarushi Garg (02/04) HDTNP (02/06) HDTNP (09/06) HDTNP (16/06) Skip 1 week (24/06)</t>
  </si>
  <si>
    <t>Spray Daisy n GERBERA</t>
  </si>
  <si>
    <t>Alpna Verma</t>
  </si>
  <si>
    <t>B-70, Sushant Lok Phase 1, Next to Vipul Square, Enter gaye no. 4</t>
  </si>
  <si>
    <t>Customized</t>
  </si>
  <si>
    <t>Day Changed ro Tuesday and Saturday (22/03)Single Color Flowers (01/12) Now convert to Once a week and double del of sa,e flowers (28/07)</t>
  </si>
  <si>
    <t>Single Color Flowers</t>
  </si>
  <si>
    <t>Deepa Mittal</t>
  </si>
  <si>
    <t>C-481, Sushant Lok -1, Sec 43</t>
  </si>
  <si>
    <t>10 AM to 2:30 AM</t>
  </si>
  <si>
    <t>Only Seasonal (23/11) Paytm From Eishaan Mittal (02/12) Paytm From Ihita Sharma (30/12)</t>
  </si>
  <si>
    <t>Seasonal</t>
  </si>
  <si>
    <t>Farea Aziz</t>
  </si>
  <si>
    <t>Selan Exploration Tech Ltd, 8th Floor , Imperial Mindspace, Sec 62</t>
  </si>
  <si>
    <t>By 10 AM</t>
  </si>
  <si>
    <t>Corporate</t>
  </si>
  <si>
    <t>Return-send next week(03/01) Return-send tom at new add (04/10) Today hold -send tom (15/08) Today returned-send tom (24/10)</t>
  </si>
  <si>
    <t>3  del of this cycle   -  0-cycles pmnt   In Process - Collect 0</t>
  </si>
  <si>
    <t>FIVD</t>
  </si>
  <si>
    <t>Fivd India, 22-27, 7th Floor, A Tower, Emaar Digital Green Sec 61</t>
  </si>
  <si>
    <t>Only Asiatic(12/10) Skip this week(26/10) Google pay from manas mehrotra(24/11) Return-send on Tuesday(08/12) Gpay From Priyanka Singh (24/09) Sent a vase today (07/02) Add Changed (14/07) Today hold-send tom (15/08) send replacement tom (16/08) Today returned-send tom (24/10) Sent replacement today (04/07) Sent replacement today (27/11) Office was closed (21/10)</t>
  </si>
  <si>
    <t>GLAD And GULDAWARI AND SPRAY DAISY</t>
  </si>
  <si>
    <t>Pallavi Sharma</t>
  </si>
  <si>
    <t>B-93, Regency Park 1, Sec 43</t>
  </si>
  <si>
    <t>Paytm From Vaibhav Sharma (16.05) Skip 1 week (03/06)</t>
  </si>
  <si>
    <t>Pragati Agarwal</t>
  </si>
  <si>
    <t>C-1019, G Floor, Sushant Lok 1</t>
  </si>
  <si>
    <t>Skip 1 week (10/04) No Bop (29/04) No Rajni (29/07) One kind of flowers (31/10) Skip 1 week (05/01) Hold 1 month (07/03) Paytm From Tanmay Agarwal (05/05)</t>
  </si>
  <si>
    <t>BOP n Rajni</t>
  </si>
  <si>
    <t>One Kind of Flower (31/10)</t>
  </si>
  <si>
    <t>Pragya Singh</t>
  </si>
  <si>
    <t>U-73/8, U Block, Sec 24</t>
  </si>
  <si>
    <t>Check before sending</t>
  </si>
  <si>
    <t>3  del of this cycle   -  0-cycles pmnt   CompletedNO COLLECTION-we have extra money - Collect -50</t>
  </si>
  <si>
    <t>2  del of this cycle   -  0-cycles pmnt   Completed - Collect 0</t>
  </si>
  <si>
    <t>Pranta Dutta</t>
  </si>
  <si>
    <t>99535 59491</t>
  </si>
  <si>
    <t>C 1 flat 501 Ireo skyon golf course extension sector 60 gurgaon ( behind lemon tree hotel)</t>
  </si>
  <si>
    <t>Tuesday n Saturday//Thursday n Sunday// No Rajni (01/01/23) Skip 1 wek (30/05) Paytm from Ddhruv Dutta Minor (18/06) Paytm From Susmita D (16/07). Not sent on 25/04 due to non payment (24/4) Paytm From Susmita D (04/05) Do not count last del (02/07) No Gerbera also (29/09) Hold from 10th to 20th (08/12) Hold from 10th to 20th (10/12) Hold due to non payment (26/12) No Delivery from 03rd to15th Jan (28/12) Hold due to non payment (010/02) Hold due to non payment (24/02) HDTNP (17/03) HDTNP (02/05) HDTNP (23/05) HDTNP (26/05) HDTNP (02/06) HDTNP (06/06) HDTNP (09/06) HDTNP (13/06) HDTNP (16/06) HDTNP (20/06) HDTNP (23/06) HDTNP (27/06) HDTNP (30/06)</t>
  </si>
  <si>
    <t>RAJNI n GERBERA</t>
  </si>
  <si>
    <t>Ramesh Kapoor</t>
  </si>
  <si>
    <t>T-6/1404, The Palms, South City 1</t>
  </si>
  <si>
    <t>South City 1</t>
  </si>
  <si>
    <t>Paytm From Anuradha Kapoor - Anu Kapoor (04/11) Premium tom (13/11) Replacement tom (21/04) 10 % Discint given (15/06) Today hold n sned tom (20/06) Today returned and skip Tuesday also (27/06)</t>
  </si>
  <si>
    <t>Premium Next (13/11)</t>
  </si>
  <si>
    <t>Rishika Mazumdar</t>
  </si>
  <si>
    <t>A-45/17, 4th Floor, Yadav House, Sec 28, DLF Phase 1</t>
  </si>
  <si>
    <t>Referred by Navjot Kaur// Sent replacement today (15/04) skip next and send on Tuesday (26/04) Skip n send on Tuesday (22/06) Skip tom n send on Tuesday (04/07) Change day to Tuesday (17/07) Hold from 20th Sep and stsrt from 11th Oct (01/09) Skip 25th and sned on 29th (18/11) Paytm from Tushar Gupta (17/02) Hold till 12th April (29/03)</t>
  </si>
  <si>
    <t>Don’t send on  28th -- sned on 1st July(26/04)</t>
  </si>
  <si>
    <t>Saloni Gupta</t>
  </si>
  <si>
    <t>338, 3rd Floor, Espace</t>
  </si>
  <si>
    <t>Nirvana Country</t>
  </si>
  <si>
    <t>Thursday</t>
  </si>
  <si>
    <t>Sunday n Thursday//Pls Keep Flowers in Vase// Paytm from Mayank G (17/03) Sent replacememnt today (23/03) Skip 1 week (10/04) 2 Asiatic and 5 Rajni (27/07) Paytm friom Mayank Gupta (16/09) 2 Asiatic Lily in each delivery (16/10) Today returned (17/11) Skip this sunday (03/01) Thursday -- 10 Rose and 4 Rajni // Sunday - 2 Asiatic (19/01) Whenever possible-send red Roses (23/01) Skip tom (29/01) Today returned (22/05) Send replacement tom (27/07) Hold today (14/08) Do not count last delivery (04/09) Hold today (02/10) Hold today (12/10) Hold after this cycle (27/10) Do not count last del (31/10) 2 Asiatic + 4 Rajni + 4 Glad -- thrice in a week (30/12) 2 Asiatic and 4 Rajni bi weekly pack (08/03) 2 Asiatic and 8 Rajni Every time and send 8 Rajni tom (26/03) Today returned-send tom (19/04) Send 3 Asiatic (03/08)</t>
  </si>
  <si>
    <t>Samby</t>
  </si>
  <si>
    <t>C-183 A, 4th Floor, Sushant Lok 1</t>
  </si>
  <si>
    <t>Paytm From Sumit Kumar Bedi Jaga (29/03)</t>
  </si>
  <si>
    <t>G-00029</t>
  </si>
  <si>
    <t>Shweta Arora</t>
  </si>
  <si>
    <t>H. No. 9506, 3rd Floor, Garden Villas</t>
  </si>
  <si>
    <t>From Akriti Chopra // Paytm From Shweta Dudeja (26/02) Sent replacement today (18/04)</t>
  </si>
  <si>
    <t>3  del of this cycle   -  1-cycles pmnt   Pending - Collect 1950</t>
  </si>
  <si>
    <t>Akanksha Sethi</t>
  </si>
  <si>
    <t>B3/002, Uniworld City West</t>
  </si>
  <si>
    <t>Elation</t>
  </si>
  <si>
    <t>One kInd of Flower n No Lily (22/09) Change day to Friday in morning slot (07/10) Hold due to non payment (26/12) Hold due to non payment (02/01) Hold due to non payment (09/01) Hold due to non payment (17/01)</t>
  </si>
  <si>
    <t>Lily</t>
  </si>
  <si>
    <t>One Kind of Flower</t>
  </si>
  <si>
    <t>Cutsomized-Biweekly</t>
  </si>
  <si>
    <t>Sunday n Thursday//Pls Keep Flowers in Vase// Paytm from Mayank G (17/03) Sent replacememnt today (23/03) Skip 1 week (10/04) 2 Asiatic and 5 Rajni (27/07) Paytm friom Mayank Gupta (16/09) 2 Asiatic Lily in each delivery (16/10) Today returned (17/11) Skip this sunday (03/01) Thursday -- 10 Rose and 4 Rajni // Sunday - 2 Asiatic (19/01) Whenever possible-send red Roses (23/01) Skip tom (29/01) Today returned (22/05) Send replacement tom (27/07) Hold today (14/08) Do not count last delivery (04/09) Hold today (02/10) Hold today (12/10) Hold after this cycle (27/10) Do not count last del (31/10) 2 Asiatic + 4 Rajni + 4 Glad -- thrice in a week (30/12) 2 Asiatic and 4 Rajni bi weekly pack (08/03) 2 Asiatic and 8 Rajni Every time and send 8 Rajni tom (26/03) Today returned-send tom (19/04) Skip sunday (04/07) Do not count todays del (19/07)</t>
  </si>
  <si>
    <t>Vanshika Goel</t>
  </si>
  <si>
    <t>S-27/2, Room 107, 1st Floor, Sec 24</t>
  </si>
  <si>
    <t>2 Seasonal and 2 Premium // Skip 1 week (15/06) Skip 2 weeks (02/07) Skip 29th and send on 22nd (16/07) Skip and send on Tuesday (18/07) Skip 1 week (22/09) Hold till 26th Sep (13/10) Skip 1 Week (02/02) Skip 3 weeks (13/02</t>
  </si>
  <si>
    <t>Geetanjali Babbar</t>
  </si>
  <si>
    <t>N-206, Sispal Vihar</t>
  </si>
  <si>
    <t>Friday</t>
  </si>
  <si>
    <t>9:30 Am to 2 PM</t>
  </si>
  <si>
    <t>Tuesday and FRiday//Monday and Thursday//Send on Monday This week and send rajni too(03/04) Returned-send tom(11/04) Day Changed to Monday(11/04) Sent replacement of Gerbera today(20/04) She likes BOP+Rajni+Car Comb (20/04) Thursday and Monday Morning Slot(13/06) NO BOP(03/08) Hold today ansend after a week(20/11)  Holy Change(16/03) Skip 1 del(16/03) Skip 1 del AND ALWAYS SEND 10 STICKS(02/05) Skip 3rd Feb Del (28/01) Skip tom Delivery (06/04) Dont start from 16th June--start from 19th June (14/06) Skip Friday (13/09) Skip between 24th to 2nd Nov (24/10) Hold n start from Feb (13/01) Skip tom del (14/03) Do Not count last del (21/06) Skip comig Delivery(24/06) Sent a rewplacement today (23/10) Hold geetanjali babbar today (03/01) Skip 1 week (04/01) Skip 18th n 21st Mar (03/03) Skip Friday (09/04) Skip friday (26/06) Paytm From Merajul Alam (23/09) No Del From 09th to 13th (04/12) Skip 10th and 13th Feb (31/01) Skip 1 week (23/03) Replacement tom (21/04) HDTNP (29/05) Hold till 1st weel of July (20/06) paytm from sunil babbar (03/07)</t>
  </si>
  <si>
    <t>Skip 18th n 21st Mar 25</t>
  </si>
  <si>
    <t>2  del of this cycle   -  1-cycles pmnt   Pending - Collect 2300</t>
  </si>
  <si>
    <t>Lucky Pandey</t>
  </si>
  <si>
    <t>9961712428//9971712428</t>
  </si>
  <si>
    <t>B3/502, Uniworld City ( West)</t>
  </si>
  <si>
    <t>Skip this Sunday and send on Tuesday (07/07) Skip 1 week (21/10) Today Returned (10/12) Today returned (17/03) Today Returned (19/003) Return-send tom (26/05) Hold (23/06) Today Returned (21/07) Gpay from Abhijeet K Choudhary (01/10) Hold today (03/12) No Sunflower (21/01) Returned today (17/06) Send 1 del todya (07/07) Today Returned 0send on saturday this week (23/06)</t>
  </si>
  <si>
    <t>Sunflower</t>
  </si>
  <si>
    <t>Urshita Gupta</t>
  </si>
  <si>
    <t>D-202, Pilot Court, Essel Towers</t>
  </si>
  <si>
    <t>Change day to Tuesday (29/04) Hold till1 st June (20/05) Paytm From Urshita Saini (05/06)</t>
  </si>
  <si>
    <t>Varsha Mathur</t>
  </si>
  <si>
    <t>C-34, First Floor, Sushant Lok-1</t>
  </si>
  <si>
    <t>Paytm From Aryank Mathur (29/04) Pls send asiatic only (10/06) Do not count last delivery (01/09) Diff flowers now (04/09) Hold due to non payment (14/10) Gpay from Medhavi Mathur (30/10) No Gerbera and Glad (04/12) No Orchids (18/12) Hold due to non payment (13/01) Hold due to non payment (20/01)</t>
  </si>
  <si>
    <t>No Glad n Gerbera n Orchid</t>
  </si>
  <si>
    <t>Diff flowers Now (04/09)</t>
  </si>
  <si>
    <t>Yukti Batra</t>
  </si>
  <si>
    <t>H. No. 2015, 2nd Floor, Madalsa Hospital, Sec 46</t>
  </si>
  <si>
    <t>Huda</t>
  </si>
  <si>
    <t>Returned today (30/08) Change day to Tuesday (05/09) Skip 1 week (20/10) Skip 2 week (05/04) R n W Car tom (08/05) Hold today (26/05) Skip 1 week (02/06) Skip 1 week (15/06) Returned today (07/07)</t>
  </si>
  <si>
    <t>Kalpana</t>
  </si>
  <si>
    <t>Flat No. 60, HEWO Appartments, Sec 31</t>
  </si>
  <si>
    <t>Skip 2 weeks (25/12) // Hold n start from Mar (01/02) Skip 1 week (14/04) Today Returned (30/04) Hold till 5th June (18/05) No Yello Color (11/02) 18th Del returned (20/03) Hold n start after 15th June(14/05) Skip 1 week (17/12) Skip 1 week 922/01) Skip 1 week (14/02) Hold after current cycle and then start from June (25/03) Skip 1 week (22/06)</t>
  </si>
  <si>
    <t>Yellow Color</t>
  </si>
  <si>
    <t>1  del of this cycle   -  1-cycles pmnt   Pending - Collect 1450</t>
  </si>
  <si>
    <t>Monika Arora</t>
  </si>
  <si>
    <t>Tostem Studio, Plot No. 564, Basement, Sec 39, Near Bakhtawar Chwok</t>
  </si>
  <si>
    <t>Medanta</t>
  </si>
  <si>
    <t>Ref From Anupma Rastogi // Today Returned (09/08) Hold today (16/08) Today office was closed (21/10)</t>
  </si>
  <si>
    <t>Change in Address (31/12)</t>
  </si>
  <si>
    <t>1  del of this cycle   -  0-cycles pmnt   Completed - Collect 0</t>
  </si>
  <si>
    <t>Sarika Bhattacharya</t>
  </si>
  <si>
    <t>T2/1404, The Palms</t>
  </si>
  <si>
    <t>Sat n Tuesday//Day changed to Sat(07/08/20)  Send 1 Pack of mogra always(02/09/20) 500 added agsint bouquet sent to Nikita(09/09/20) 1 PACK OF MOGRA EVERY WEEK(11/09/20) Lilies this week and day changed to Saturday(08/10/20) Sent 5 Eustoma as Complimentary today(24/10) Send Double Del(08/11) 1 Stick Extra Next(13/11) Spray Daisy Next(30/11) Hold n start after 11th Jan(13/12) Spray daisy Next(30/01) Skip 2 weeks9(13/03) Shift 1 More week(01/04) Skip 1 week(02/07)  Skip 1 week(13/10) Skip 1 more week(18/10) Skip 1 week(05/11) Y Asiatic Next(04/02) Skip necxt week(19/02) Send next del on thursday evening slot(15/03) Hold till 7th Oct(17/09) Received 2 Payments today (29/12) NO Change to Bliss (31/12) Skip this sat delivery (22/05) Hold n start from July n confirm before delivery (25/05) Returned today and skip sat too (03/09) From Saibal Prasad Bhattacharya (08/10) Hold n start from 1st week of June (16/05) No Flowers till 5th Oct(15/09) Hold till 1st Nov from today (07/10) Send one del today and tnen on preferred days (02/11) Today Returnde (25/04) Hold n start from June (01/05) Hold till June also (28/05)</t>
  </si>
  <si>
    <t>1  del of this cycle   -  1-cycles pmnt   Pending - Collect 1600</t>
  </si>
  <si>
    <t>Swati Khandelwal-- Evening Only</t>
  </si>
  <si>
    <t>414-A, Hamilton Court</t>
  </si>
  <si>
    <t>Saturday and Tuesday//Tuesday and Friday//1 St del Tom in morning and then every Sunday evening(05/01) ONLY LILY AND RAJNI(19/01) Lilies in all 4 Deliveries(01/02) Start Biss from next week(30/11) ONLY RAJNI(31/12) Send Guldawari next and then spray daisy next to next(09/01) NO ROSE mn RAJNI-- Send spray daisy next(27/01) Spray daisy Next(15/02) Moved to Felicity--1350 Pack, Pls mark pending(21/03) Send 1 extra delivery from Rachna Khanna ma'am(05/08) Do Not count last delivery(07/04) Send Flower Food Tom(12/09) Send Flower Food next (09/10) Hold till 1st Feb (20/01) Send Flower Food next (04/07) One More payment received today (30/10) Payment from Ramakant K (08/06) Rs. 9200 Received today and 10% applied on 9200 (10/12)</t>
  </si>
  <si>
    <t>ROSE n RAJNI</t>
  </si>
  <si>
    <t>Anjana Soneja -- Before 1:30 OM</t>
  </si>
  <si>
    <t>G-18/10, 3rd Floor, DLF Phase 1</t>
  </si>
  <si>
    <t>Saturday n Tuesday//Flower Food next (28/07) No Car n Spray Daisy (01/08) Today returned (26/07) Skip today (02/09) Skip tom (08/09) Skip Tuesday Del (15/09) Skip tom (19/09) Returned today (23/09) Hold Today (27/09) Skip tom (10/11) Skip 1 week (22/11) Skip tuesday (01/12) Ski ptuesday (08/12) Hold tuesdauy (1512) Hold tuesday (22/12) Hold tuesday (29/12) Skip next del (15/01) Skip this Saturday (22/01) Skip sat (29/01) Skip tuesday (23/02) Skip tuesday (09/03) Skip sat (26/03) Returned n hold (011/04) sKIP SAT (30/04) Today Hold (05/05)</t>
  </si>
  <si>
    <t>Car n Spray Daisy</t>
  </si>
  <si>
    <t>1  del of this cycle   -  1-cycles pmnt   Pending - Collect 2300</t>
  </si>
  <si>
    <t>Reeya Naahar</t>
  </si>
  <si>
    <t>B-316-B, Sushant Lok-1</t>
  </si>
  <si>
    <t>9:30 AM to 2PM</t>
  </si>
  <si>
    <t>Saturday n Tuesday// No Yel Spray Daisy // Do not count last del (06/07) No Gerbera (12/04)</t>
  </si>
  <si>
    <t>GERBERA</t>
  </si>
  <si>
    <t>1  del of this cycle   -  0-cycles pmnt   In Process - Collect 0</t>
  </si>
  <si>
    <t>B56643</t>
  </si>
  <si>
    <t>Lalit Mattu</t>
  </si>
  <si>
    <t>H-36/5, DLF Phase 1</t>
  </si>
  <si>
    <t>By 11 AM</t>
  </si>
  <si>
    <t>Bouquet</t>
  </si>
  <si>
    <t>From Rotary Club// Wish You a very Happy Birthday.      Regards,  RCGQE(03/08)</t>
  </si>
  <si>
    <t>Aarti Malhotra</t>
  </si>
  <si>
    <t>T-10/1402, Orchid Petals</t>
  </si>
  <si>
    <t>Friday and Tuesday//Thursday and Sunday//Like-- Spray daisy//Rajni and guldawari(28/05) Sunday and Thursday(20/06) Shift to Joy package after this(15/09) Skip 1 week(13/01)  Holy Change(16/03) Sent 1 replacement today(05/04) Hold n start from June(04/05) Hold and start after 20th June(06/06) Sent Replacement today(05/07) Do Not Count last Delivery(18/07) NO SPRAY DAISY(23/08) Skip coming Delivery (28/09)Today flowers returned-send on next del date (09/12) Start after 31st // Replace last flowers (28/01) Skip 1 week (02/06) No Del till 28th June (11/06) Skip this friday (06/03) Skip 1 week 911/03) Paytm from Vineet R K (26/10) Hold till 2nd July (31/05)</t>
  </si>
  <si>
    <t>1  del of this cycle   -  1-cycles pmnt   Pending - Collect 3000</t>
  </si>
  <si>
    <t>Anamika Sirohi</t>
  </si>
  <si>
    <t>E-703M The Vikas, DLF Phase 2</t>
  </si>
  <si>
    <t>DLF Phase 2</t>
  </si>
  <si>
    <t>Preferred Flowers -- Rose/Rajni/Gerbera/Lilies/Glad/car // Today Hold (12/08) Skip 2 week (13/08) Paytm From sangram Singh (10/09)</t>
  </si>
  <si>
    <t>1  del of this cycle   -  0-cycles pmnt   CompletedNO COLLECTION-we have extra money - Collect -10</t>
  </si>
  <si>
    <t>Promita Roy</t>
  </si>
  <si>
    <t>B-25, Sushant Appartment, Block-C, Phase 1</t>
  </si>
  <si>
    <t>Upgrade to Bliss // Nolacl Gypsy or Lady Lace</t>
  </si>
  <si>
    <t>No Local Gypsy or Lady Lace</t>
  </si>
  <si>
    <t>Ritu Sacheti</t>
  </si>
  <si>
    <t>B1/1401, World Spa, Sector 30</t>
  </si>
  <si>
    <t>Grace</t>
  </si>
  <si>
    <t>Sat n Tuesday//NO Chrysanthemums(30/12) Received 50Rs. Today(13/01) Today returned-send tom(27/01) Pls send double del on next del and upgrade to 1250 pack once this cycle completes(25/05/2020) Sending 1st June Flowers on 30th may(30/05/2020) Upgrade to 1750 pack and always send 4 Asiatic and 15 normal flowers(08/07) Send replacement of glad tom(19/08/20) Hold n start from Feb(17/01) Skiped 1 week due to HOLI(29/03) NO RAJNI IN SUMMER(16/07) Send 4 Stick asiatic complimentary Tom(20/09) Send 2 Open Asiatic and replace Carnations AND NEVER CAR(04/10) Rs. 250 received against extra flowers(05/10) NO SAME COLOR FLOWERS(04/03) Return today (06/12) NO GERBERA (10/01) Return-send tom (04/04) Sent replacement of Guldawari today (09/04) Today Returned (20/06) No Flowers From 10th to 19 Th nov (02/11) No Flowers betqeen 22nd and 1st Jan (22/12) Returned today (10/02) Skip today (13/02) Skip this tuesday (11/03) No Flowers from 29th to 3rd Nov (25/10) Return today (23/11) No Gerbera (30/11) Today Returned (24/05) Sent 1 delivery today (25/05)</t>
  </si>
  <si>
    <t>GERBERA n SUNFLOWER</t>
  </si>
  <si>
    <t>B56649</t>
  </si>
  <si>
    <t>Ronit</t>
  </si>
  <si>
    <t>Pick Up</t>
  </si>
  <si>
    <t>Monday</t>
  </si>
  <si>
    <t>By 9 AM</t>
  </si>
  <si>
    <t>R Rose 30, P Rose 20</t>
  </si>
  <si>
    <t>1  del of this cycle   -  1-cycles pmnt   Pending - Collect 3750</t>
  </si>
  <si>
    <t>1  del of this cycle   -  1-cycles pmnt   Pending - Collect 1650</t>
  </si>
  <si>
    <t>Sandhya Nagesh</t>
  </si>
  <si>
    <t>89, Ground Floor, Woodstock Floors, Sec 50</t>
  </si>
  <si>
    <t>Saturday n Tueaday(02/09) No Del From 10th to 19th (09/09) Today returned(19/08) hold today send tom (07/10) Skip 20th Del (14/01) Hold 6th n 10th Sug (03/08) Return tiday (07/02) Today Returned (24/02)</t>
  </si>
  <si>
    <t>Sonia Kalra</t>
  </si>
  <si>
    <t>C-264, Sushant Lok-1</t>
  </si>
  <si>
    <t>Change Rs 50// Hold today n skip 1 week(29/07) Paytm from harsonia Kalra (03/09) Skip Tuesday and sned on Thursday this week (19/07)</t>
  </si>
  <si>
    <t>1  del of this cycle   -  1-cycles pmnt   Pending - Collect 1393</t>
  </si>
  <si>
    <t>B56647</t>
  </si>
  <si>
    <t>Vedha</t>
  </si>
  <si>
    <t>A-4 Block, Appartment No 504, Ireo Corridors, Sec 67</t>
  </si>
  <si>
    <t>Badshahpur</t>
  </si>
  <si>
    <t>From 9643896167// Happy Birthday Shweta. Love Always, Sapna ( 03/08)</t>
  </si>
  <si>
    <t>B56650</t>
  </si>
  <si>
    <t>Vipul Sabharwal</t>
  </si>
  <si>
    <t>102-A, Aralias</t>
  </si>
  <si>
    <t>Golf Course Road</t>
  </si>
  <si>
    <t>Fro Sugandhi  // Happy Birthday Boss,   Regards,    Sugandhi (03/08)</t>
  </si>
  <si>
    <t>Pre Flowers 4</t>
  </si>
  <si>
    <t>Pre Flowers 3</t>
  </si>
  <si>
    <t>Pre Flowers 2</t>
  </si>
  <si>
    <t>Pre Flowers 1</t>
  </si>
  <si>
    <t xml:space="preserve">Pre Flowers </t>
  </si>
  <si>
    <t>Flower 1</t>
  </si>
  <si>
    <t>Stick</t>
  </si>
  <si>
    <t>Flower 2</t>
  </si>
  <si>
    <t>Flower 3</t>
  </si>
  <si>
    <t>Consumables</t>
  </si>
  <si>
    <t>Delivered By</t>
  </si>
  <si>
    <t>Priority</t>
  </si>
  <si>
    <t>Feedback</t>
  </si>
  <si>
    <t>Payment</t>
  </si>
  <si>
    <t>Rajni ( 14 Inch )</t>
  </si>
  <si>
    <t>Mix Alstroemeria ( 14 Inch )</t>
  </si>
  <si>
    <t>Sunflower ( 12 Inch )</t>
  </si>
  <si>
    <t>Y Spray Daisy ( 14 Inch )</t>
  </si>
  <si>
    <t>R n W Car ( 14 Inch )</t>
  </si>
  <si>
    <t>Y Asiatic ( 14 Inch )</t>
  </si>
  <si>
    <t>O Asiatic ( 14 Inch )</t>
  </si>
  <si>
    <t>P Spray daisy ( 14 Inch )</t>
  </si>
  <si>
    <t>Mix Glad ( 14 inch )</t>
  </si>
  <si>
    <t>P Eustoma ( 12 Inch )</t>
  </si>
  <si>
    <t xml:space="preserve">Mix Glad ( 14 Inch ) </t>
  </si>
  <si>
    <t>Grass</t>
  </si>
  <si>
    <t>FF Sachet + Grass</t>
  </si>
  <si>
    <t>Pur n Y Car ( 14 Inch )</t>
  </si>
  <si>
    <t>Walkin Tissue Wrap</t>
  </si>
  <si>
    <t>Message</t>
  </si>
  <si>
    <t xml:space="preserve">R Rose + P Rose </t>
  </si>
  <si>
    <t>30 + 20</t>
  </si>
  <si>
    <t xml:space="preserve">Y Asiatic + Pur n W Car </t>
  </si>
  <si>
    <t>4 + 10</t>
  </si>
  <si>
    <t xml:space="preserve">Y Rose </t>
  </si>
  <si>
    <t>P n W Car ( 14 Inch )</t>
  </si>
  <si>
    <t>P n Y Spray Daisy ( 14 Inch )</t>
  </si>
  <si>
    <t>P n W Spray Daisy ( 14 Inch )</t>
  </si>
  <si>
    <t>P Asiatic ( 14 Inch )</t>
  </si>
  <si>
    <t>W Asiatic ( 14 Inch )</t>
  </si>
  <si>
    <t>O Glad ( 14 Inch )</t>
  </si>
  <si>
    <t>2 Gypsola + FF sachet</t>
  </si>
  <si>
    <t>Rajni</t>
  </si>
  <si>
    <t>Spray Daisy</t>
  </si>
  <si>
    <t>Alstroemeria</t>
  </si>
  <si>
    <t>Gerbera</t>
  </si>
  <si>
    <t>Rose</t>
  </si>
  <si>
    <t>Carnation</t>
  </si>
  <si>
    <t>Orchid</t>
  </si>
  <si>
    <t>Asiatic</t>
  </si>
  <si>
    <t>Oriental</t>
  </si>
  <si>
    <t>Anthurium // BOP</t>
  </si>
  <si>
    <t>Eustoma</t>
  </si>
  <si>
    <t>total revenue</t>
  </si>
  <si>
    <t>revenue for the day</t>
  </si>
  <si>
    <t>Total</t>
  </si>
  <si>
    <t>Sticks in bndl</t>
  </si>
  <si>
    <t>Current Cost/bdl</t>
  </si>
  <si>
    <t>bi weekly</t>
  </si>
  <si>
    <t>NA</t>
  </si>
  <si>
    <t>Customized Plans</t>
  </si>
  <si>
    <t>A-2, G Floor</t>
  </si>
  <si>
    <t xml:space="preserve"> left of prev day</t>
  </si>
  <si>
    <t>TO BUY</t>
  </si>
  <si>
    <t>Wastage</t>
  </si>
  <si>
    <t>To buy wth wastage</t>
  </si>
  <si>
    <t>Bundles to buy</t>
  </si>
  <si>
    <t xml:space="preserve">Flowers </t>
  </si>
  <si>
    <t>COST</t>
  </si>
  <si>
    <t>Quantity</t>
  </si>
  <si>
    <t>Rate</t>
  </si>
  <si>
    <t>Arika</t>
  </si>
  <si>
    <t>victoria</t>
  </si>
  <si>
    <t>Murraiya</t>
  </si>
  <si>
    <t>grass</t>
  </si>
  <si>
    <t>Taal Palm</t>
  </si>
  <si>
    <t>Nargis</t>
  </si>
  <si>
    <t>Rose petal</t>
  </si>
  <si>
    <t>Genda</t>
  </si>
  <si>
    <t>Limonium</t>
  </si>
  <si>
    <t>Mogra</t>
  </si>
  <si>
    <t>Gypsy</t>
  </si>
  <si>
    <t>B Daisy</t>
  </si>
  <si>
    <t>Leather Fern</t>
  </si>
  <si>
    <t>Cycus Palm</t>
  </si>
  <si>
    <t>O Marigold Lari</t>
  </si>
  <si>
    <t>Y Marigold Lari</t>
  </si>
  <si>
    <t>Ashok Lari</t>
  </si>
  <si>
    <t>Mogra Lari</t>
  </si>
  <si>
    <t>Rajni Lari</t>
  </si>
  <si>
    <t>Daisy Lari</t>
  </si>
  <si>
    <t>Bi weekly Customized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</si>
</sst>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&quot;₹&quot;\ #,##0.00"/>
    <numFmt numFmtId="166" formatCode="dd\/mm\/yy"/>
    <numFmt numFmtId="167" formatCode="0.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name val="Calibri"/>
      <family val="2"/>
    </font>
    <font>
      <b/>
      <i/>
      <sz val="11"/>
      <name val="Calibri"/>
      <family val="2"/>
      <scheme val="minor"/>
    </font>
    <font>
      <b/>
      <sz val="11"/>
      <name val="Calibri"/>
      <family val="2"/>
    </font>
    <font>
      <b/>
      <sz val="22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</font>
    <font>
      <b/>
      <sz val="11"/>
      <color rgb="FFFFFF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b/>
      <i/>
      <sz val="11"/>
      <color rgb="FF7030A0"/>
      <name val="Calibri"/>
      <family val="2"/>
      <scheme val="minor"/>
    </font>
    <font>
      <i/>
      <sz val="11"/>
      <color rgb="FF7030A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D0000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theme="4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8" fillId="0" borderId="0" applyNumberFormat="0" applyFill="0" applyBorder="0" applyAlignment="0" applyProtection="0"/>
    <xf numFmtId="9" fontId="22" fillId="0" borderId="0" applyFont="0" applyFill="0" applyBorder="0" applyAlignment="0" applyProtection="0"/>
  </cellStyleXfs>
  <cellXfs count="71">
    <xf numFmtId="0" fontId="0" fillId="0" borderId="0" xfId="0"/>
    <xf numFmtId="0" fontId="1" fillId="2" borderId="1" xfId="0" applyFont="1" applyFill="1" applyBorder="1" applyAlignment="1">
      <alignment horizontal="center" vertical="center" wrapText="1" shrinkToFit="1"/>
    </xf>
    <xf numFmtId="0" fontId="3" fillId="2" borderId="1" xfId="2" applyFont="1" applyFill="1" applyBorder="1" applyAlignment="1">
      <alignment horizontal="center" vertical="center" wrapText="1" shrinkToFit="1"/>
    </xf>
    <xf numFmtId="1" fontId="3" fillId="2" borderId="1" xfId="2" applyNumberFormat="1" applyFont="1" applyFill="1" applyBorder="1" applyAlignment="1">
      <alignment horizontal="center" vertical="center" wrapText="1" shrinkToFit="1"/>
    </xf>
    <xf numFmtId="0" fontId="5" fillId="2" borderId="1" xfId="2" applyFont="1" applyFill="1" applyBorder="1" applyAlignment="1">
      <alignment horizontal="center" vertical="center" wrapText="1" shrinkToFit="1"/>
    </xf>
    <xf numFmtId="165" fontId="3" fillId="2" borderId="1" xfId="2" applyNumberFormat="1" applyFont="1" applyFill="1" applyBorder="1" applyAlignment="1">
      <alignment horizontal="center" vertical="center" wrapText="1" shrinkToFit="1"/>
    </xf>
    <xf numFmtId="166" fontId="5" fillId="2" borderId="1" xfId="2" applyNumberFormat="1" applyFont="1" applyFill="1" applyBorder="1" applyAlignment="1">
      <alignment horizontal="center" vertical="center" wrapText="1" shrinkToFi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 shrinkToFit="1"/>
    </xf>
    <xf numFmtId="0" fontId="0" fillId="0" borderId="1" xfId="0" applyBorder="1" applyAlignment="1">
      <alignment wrapText="1" shrinkToFit="1"/>
    </xf>
    <xf numFmtId="0" fontId="2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0" fillId="2" borderId="2" xfId="0" applyFill="1" applyBorder="1" applyAlignment="1">
      <alignment horizontal="center" vertical="center" wrapText="1"/>
    </xf>
    <xf numFmtId="0" fontId="0" fillId="2" borderId="1" xfId="0" quotePrefix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9" fillId="4" borderId="1" xfId="2" applyFont="1" applyFill="1" applyBorder="1" applyAlignment="1">
      <alignment horizontal="center" vertical="center" wrapText="1" shrinkToFit="1"/>
    </xf>
    <xf numFmtId="0" fontId="0" fillId="5" borderId="1" xfId="0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wrapText="1" shrinkToFit="1"/>
    </xf>
    <xf numFmtId="0" fontId="12" fillId="0" borderId="3" xfId="2" applyFont="1" applyBorder="1" applyAlignment="1">
      <alignment horizontal="center" vertical="center" wrapText="1"/>
    </xf>
    <xf numFmtId="0" fontId="12" fillId="2" borderId="1" xfId="2" applyFont="1" applyFill="1" applyBorder="1" applyAlignment="1">
      <alignment horizontal="center" vertical="center" wrapText="1"/>
    </xf>
    <xf numFmtId="0" fontId="12" fillId="0" borderId="1" xfId="2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2" applyFont="1" applyAlignment="1">
      <alignment horizontal="center" vertical="center" wrapText="1"/>
    </xf>
    <xf numFmtId="0" fontId="15" fillId="0" borderId="3" xfId="2" applyFont="1" applyBorder="1" applyAlignment="1">
      <alignment horizontal="center" vertical="center" wrapText="1"/>
    </xf>
    <xf numFmtId="0" fontId="15" fillId="0" borderId="1" xfId="2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 vertical="center" wrapText="1"/>
    </xf>
    <xf numFmtId="0" fontId="16" fillId="0" borderId="1" xfId="2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2" fontId="15" fillId="0" borderId="1" xfId="2" applyNumberFormat="1" applyFont="1" applyBorder="1" applyAlignment="1">
      <alignment horizontal="center" vertical="center" wrapText="1"/>
    </xf>
    <xf numFmtId="1" fontId="15" fillId="0" borderId="0" xfId="2" applyNumberFormat="1" applyFont="1" applyAlignment="1">
      <alignment horizontal="center" vertical="center" wrapText="1"/>
    </xf>
    <xf numFmtId="1" fontId="16" fillId="0" borderId="1" xfId="2" applyNumberFormat="1" applyFont="1" applyBorder="1" applyAlignment="1">
      <alignment horizontal="center" vertical="center" wrapText="1"/>
    </xf>
    <xf numFmtId="0" fontId="15" fillId="4" borderId="3" xfId="2" applyFont="1" applyFill="1" applyBorder="1" applyAlignment="1">
      <alignment horizontal="center" vertical="center" wrapText="1"/>
    </xf>
    <xf numFmtId="0" fontId="15" fillId="9" borderId="1" xfId="2" applyFont="1" applyFill="1" applyBorder="1" applyAlignment="1">
      <alignment horizontal="center" vertical="center" wrapText="1"/>
    </xf>
    <xf numFmtId="0" fontId="12" fillId="9" borderId="3" xfId="2" applyFont="1" applyFill="1" applyBorder="1" applyAlignment="1">
      <alignment horizontal="center" vertical="center" wrapText="1"/>
    </xf>
    <xf numFmtId="0" fontId="17" fillId="4" borderId="3" xfId="2" applyFont="1" applyFill="1" applyBorder="1" applyAlignment="1">
      <alignment horizontal="center" vertical="center" wrapText="1"/>
    </xf>
    <xf numFmtId="0" fontId="15" fillId="10" borderId="1" xfId="2" applyFont="1" applyFill="1" applyBorder="1" applyAlignment="1">
      <alignment horizontal="center" vertical="center" wrapText="1"/>
    </xf>
    <xf numFmtId="1" fontId="13" fillId="0" borderId="0" xfId="1" applyNumberFormat="1" applyFont="1" applyAlignment="1">
      <alignment horizontal="center" vertical="center" wrapText="1"/>
    </xf>
    <xf numFmtId="0" fontId="17" fillId="2" borderId="3" xfId="2" applyFont="1" applyFill="1" applyBorder="1" applyAlignment="1">
      <alignment horizontal="center" vertical="center" wrapText="1"/>
    </xf>
    <xf numFmtId="0" fontId="12" fillId="5" borderId="3" xfId="2" applyFont="1" applyFill="1" applyBorder="1" applyAlignment="1">
      <alignment horizontal="center" vertical="center" wrapText="1"/>
    </xf>
    <xf numFmtId="0" fontId="12" fillId="5" borderId="1" xfId="2" applyFont="1" applyFill="1" applyBorder="1" applyAlignment="1">
      <alignment horizontal="center" vertical="center" wrapText="1"/>
    </xf>
    <xf numFmtId="0" fontId="12" fillId="4" borderId="3" xfId="2" applyFont="1" applyFill="1" applyBorder="1" applyAlignment="1">
      <alignment horizontal="center" vertical="center" wrapText="1"/>
    </xf>
    <xf numFmtId="1" fontId="12" fillId="0" borderId="1" xfId="2" applyNumberFormat="1" applyFont="1" applyBorder="1" applyAlignment="1">
      <alignment horizontal="center" vertical="center" wrapText="1"/>
    </xf>
    <xf numFmtId="9" fontId="15" fillId="0" borderId="1" xfId="2" applyNumberFormat="1" applyFont="1" applyBorder="1" applyAlignment="1">
      <alignment horizontal="center" vertical="center" wrapText="1"/>
    </xf>
    <xf numFmtId="1" fontId="15" fillId="0" borderId="1" xfId="2" applyNumberFormat="1" applyFont="1" applyBorder="1" applyAlignment="1">
      <alignment horizontal="center" vertical="center" wrapText="1"/>
    </xf>
    <xf numFmtId="167" fontId="15" fillId="0" borderId="1" xfId="2" applyNumberFormat="1" applyFont="1" applyBorder="1" applyAlignment="1">
      <alignment horizontal="center" vertical="center" wrapText="1"/>
    </xf>
    <xf numFmtId="0" fontId="12" fillId="8" borderId="3" xfId="2" applyFont="1" applyFill="1" applyBorder="1" applyAlignment="1">
      <alignment horizontal="center" vertical="center" wrapText="1"/>
    </xf>
    <xf numFmtId="0" fontId="15" fillId="8" borderId="1" xfId="2" applyFont="1" applyFill="1" applyBorder="1" applyAlignment="1">
      <alignment horizontal="center" vertical="center" wrapText="1"/>
    </xf>
    <xf numFmtId="0" fontId="4" fillId="11" borderId="3" xfId="2" applyFont="1" applyFill="1" applyBorder="1" applyAlignment="1">
      <alignment horizontal="center" vertical="center" wrapText="1"/>
    </xf>
    <xf numFmtId="0" fontId="16" fillId="11" borderId="1" xfId="2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5" fillId="4" borderId="1" xfId="2" applyFont="1" applyFill="1" applyBorder="1" applyAlignment="1">
      <alignment horizontal="center" vertical="center" wrapText="1"/>
    </xf>
    <xf numFmtId="0" fontId="12" fillId="12" borderId="3" xfId="2" applyFont="1" applyFill="1" applyBorder="1" applyAlignment="1">
      <alignment horizontal="center" vertical="center" wrapText="1"/>
    </xf>
    <xf numFmtId="0" fontId="15" fillId="12" borderId="1" xfId="2" applyFont="1" applyFill="1" applyBorder="1" applyAlignment="1">
      <alignment horizontal="center" vertical="center" wrapText="1"/>
    </xf>
    <xf numFmtId="0" fontId="18" fillId="13" borderId="3" xfId="2" applyFont="1" applyFill="1" applyBorder="1" applyAlignment="1">
      <alignment horizontal="center" vertical="center" wrapText="1"/>
    </xf>
    <xf numFmtId="0" fontId="19" fillId="13" borderId="1" xfId="2" applyFont="1" applyFill="1" applyBorder="1" applyAlignment="1">
      <alignment horizontal="center" vertical="center" wrapText="1"/>
    </xf>
    <xf numFmtId="0" fontId="12" fillId="14" borderId="3" xfId="2" applyFont="1" applyFill="1" applyBorder="1" applyAlignment="1">
      <alignment horizontal="center" vertical="center" wrapText="1"/>
    </xf>
    <xf numFmtId="0" fontId="20" fillId="14" borderId="1" xfId="2" applyFont="1" applyFill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9" fontId="13" fillId="0" borderId="0" xfId="4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13" fillId="0" borderId="0" xfId="0" quotePrefix="1" applyFont="1" applyAlignment="1">
      <alignment horizontal="center" vertical="center" wrapText="1"/>
    </xf>
  </cellXfs>
  <cellStyles count="5">
    <cellStyle name="Hyperlink 2" xfId="3" xr:uid="{31C479E1-CCA9-4892-9BAC-036F9AC57EF6}"/>
    <cellStyle name="Normal" xfId="0" builtinId="0"/>
    <cellStyle name="Normal 2" xfId="2" xr:uid="{38ADCB54-E817-4F54-9A38-B09EDE04D5E1}"/>
    <cellStyle name="Percent" xfId="1" builtinId="5"/>
    <cellStyle name="Percent 2" xfId="4" xr:uid="{93A970B6-2C0F-40AD-8A28-0DBC1A6C44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90bce48fe946bb5/Desktop/Final%20Feedback%20June%202026%20(31).xlsx" TargetMode="External"/><Relationship Id="rId1" Type="http://schemas.openxmlformats.org/officeDocument/2006/relationships/externalLinkPath" Target="Final%20Feedback%20June%202026%20(31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90bce48fe946bb5/Desktop/Final%20Feedback%20July%2026%20(33).xlsx" TargetMode="External"/><Relationship Id="rId1" Type="http://schemas.openxmlformats.org/officeDocument/2006/relationships/externalLinkPath" Target="Final%20Feedback%20July%2026%20(3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-06-26"/>
      <sheetName val="02-06-26"/>
      <sheetName val="03-06-26"/>
      <sheetName val="04-06-26"/>
      <sheetName val="05-06-26"/>
      <sheetName val="06-6-26"/>
      <sheetName val=" 07-06-26"/>
      <sheetName val="08-06-26"/>
      <sheetName val="09-06-26"/>
      <sheetName val="10-06-26"/>
      <sheetName val="11-06-26"/>
      <sheetName val="12-06-26"/>
      <sheetName val="13-06-26"/>
      <sheetName val="14-06-26"/>
      <sheetName val="15-06-26"/>
      <sheetName val="16-06-26"/>
      <sheetName val="17-06-26"/>
      <sheetName val="18-06-26"/>
      <sheetName val="19-06-26"/>
      <sheetName val="20-06-26"/>
      <sheetName val="21-06-26"/>
      <sheetName val="22-06-26"/>
      <sheetName val="25-06-26"/>
      <sheetName val="23-06-26"/>
      <sheetName val="24-06-26"/>
      <sheetName val="26-06-26"/>
      <sheetName val="27-06-26"/>
      <sheetName val="28-06-26"/>
      <sheetName val="29-06-26"/>
      <sheetName val="30-06-26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2">
          <cell r="A2">
            <v>2933</v>
          </cell>
          <cell r="B2" t="str">
            <v>Yukti Batra</v>
          </cell>
          <cell r="C2">
            <v>9953740608</v>
          </cell>
          <cell r="D2" t="str">
            <v>H. No. 2015, 2nd Floor, Madalsa Hospital, Sec 46</v>
          </cell>
          <cell r="E2" t="str">
            <v>Huda</v>
          </cell>
          <cell r="F2" t="str">
            <v>Tuesday</v>
          </cell>
          <cell r="G2" t="str">
            <v>9 AM to 2 PM</v>
          </cell>
          <cell r="H2">
            <v>1450</v>
          </cell>
          <cell r="I2">
            <v>362.5</v>
          </cell>
          <cell r="J2" t="str">
            <v>Bliss</v>
          </cell>
          <cell r="K2" t="str">
            <v>Returned today (30/08) Change day to Tuesday (05/09) Skip 1 week (20/10) Skip 2 week (05/04) R n W Car tom (08/05) Hold today (26/05) Skip 1 week (02/06) Skip 1 week (15/06)</v>
          </cell>
          <cell r="N2" t="str">
            <v>2  del of this cycle   -  0-cycles pmnt   Completed - Collect 0</v>
          </cell>
          <cell r="O2" t="str">
            <v>P n W Glad ( 14 Inch ) 16     Grass</v>
          </cell>
          <cell r="P2" t="str">
            <v>R n W Car ( 14 Inch ) 16     FF sachet + Grass</v>
          </cell>
          <cell r="Q2" t="str">
            <v>Y Asiatic ( 14 Inch ) 3     Grass</v>
          </cell>
          <cell r="R2" t="e">
            <v>#N/A</v>
          </cell>
          <cell r="S2" t="str">
            <v>Rajni ( 14 Inch ) 16     FF Sachet + Grass</v>
          </cell>
          <cell r="T2" t="str">
            <v>Pur n P Eustoma ( 12 Inch ) 3     FF Sachet + Grass</v>
          </cell>
        </row>
        <row r="3">
          <cell r="A3">
            <v>2484</v>
          </cell>
          <cell r="B3" t="str">
            <v>Swati Sharad</v>
          </cell>
          <cell r="C3">
            <v>9871225514</v>
          </cell>
          <cell r="D3" t="str">
            <v>204-B, 2nd Floor, 4th Floor, Beverley Park-1</v>
          </cell>
          <cell r="E3" t="str">
            <v>M G Road</v>
          </cell>
          <cell r="F3" t="str">
            <v>Tuesday</v>
          </cell>
          <cell r="G3" t="str">
            <v>9 AM - 12 PM</v>
          </cell>
          <cell r="H3">
            <v>1450</v>
          </cell>
          <cell r="I3">
            <v>362.5</v>
          </cell>
          <cell r="J3" t="str">
            <v>Collection Only</v>
          </cell>
          <cell r="K3" t="str">
            <v>No Glad (03/04) No areca palm (15/04) Today Hold (03/02) Paytm from meenakshi Sharad (10/03) HDTNP (23/06)</v>
          </cell>
          <cell r="L3" t="str">
            <v>Glad</v>
          </cell>
          <cell r="M3" t="str">
            <v>No areca Palm // Flower Food Next (19/05)</v>
          </cell>
          <cell r="N3" t="str">
            <v>4  del of this cycle   -  1-cycles pmnt   Pending - Collect 0</v>
          </cell>
          <cell r="O3" t="str">
            <v>O Spray Daisy ( 15 Inch ) 3 P n W Car ( 14 Inch ) 7  Ensure Payment Collection and Call if Not paid FF Sachet + Grass</v>
          </cell>
          <cell r="P3" t="str">
            <v>Y Asiatic ( 14 Inch ) 2 P n W Glad ( 14 Inch ) 7   Grass</v>
          </cell>
          <cell r="Q3" t="str">
            <v>Pur Eustoma ( 12 Inch ) 2 Mix Alstroemeria ( 12 Inch ) 7   FF Sachet + Grass</v>
          </cell>
          <cell r="R3" t="str">
            <v>Sunflower ( 12 Inch ) 2 O n P Car ( 14 Inch ) 7   FF Sachet + Grass</v>
          </cell>
          <cell r="S3" t="e">
            <v>#N/A</v>
          </cell>
          <cell r="T3" t="str">
            <v>Spray Daisy 3 Glad 7   FF Sachet + Grass</v>
          </cell>
        </row>
        <row r="4">
          <cell r="A4">
            <v>2183</v>
          </cell>
          <cell r="B4" t="str">
            <v>Kalpana</v>
          </cell>
          <cell r="C4">
            <v>9910681399</v>
          </cell>
          <cell r="D4" t="str">
            <v>Flat No. 60, HEWO Appartments, Sec 31</v>
          </cell>
          <cell r="E4" t="str">
            <v>South City 1</v>
          </cell>
          <cell r="F4" t="str">
            <v>Tuesday</v>
          </cell>
          <cell r="G4" t="str">
            <v>4 Pm to 7 PM</v>
          </cell>
          <cell r="H4">
            <v>1450</v>
          </cell>
          <cell r="I4">
            <v>362.5</v>
          </cell>
          <cell r="J4" t="str">
            <v>Bliss</v>
          </cell>
          <cell r="K4" t="str">
            <v>Skip 2 weeks (25/12) // Hold n start from Mar (01/02) Skip 1 week (14/04) Today Returned (30/04) Hold till 5th June (18/05) No Yello Color (11/02) 18th Del returned (20/03) Hold n start after 15th June(14/05) Skip 1 week (17/12) Skip 1 week 922/01) Skip 1 week (14/02) Hold after current cycle and then start from June (25/03) Skip 1 week (22/06)</v>
          </cell>
          <cell r="M4" t="str">
            <v>Yellow Color</v>
          </cell>
          <cell r="N4" t="str">
            <v>1  del of this cycle   -  0-cycles pmnt   Completed - Collect 0</v>
          </cell>
          <cell r="O4" t="e">
            <v>#N/A</v>
          </cell>
          <cell r="P4" t="str">
            <v>P n W Car ( 14 Inch ) 9     FF sachet + Grass</v>
          </cell>
          <cell r="Q4" t="str">
            <v>P Asiatic ( 14 Inch ) 2 No Yellow Color    Grass</v>
          </cell>
          <cell r="R4" t="str">
            <v>P n W Glad ( 14 Inch ) 9     Grass</v>
          </cell>
          <cell r="S4" t="e">
            <v>#N/A</v>
          </cell>
          <cell r="T4" t="str">
            <v>Pur n P Eustoma ( 12 Inch ) 3     FF Sachet + Grass</v>
          </cell>
        </row>
        <row r="5">
          <cell r="A5">
            <v>3384</v>
          </cell>
          <cell r="B5" t="str">
            <v>Saloni Gupta</v>
          </cell>
          <cell r="C5">
            <v>9810796682</v>
          </cell>
          <cell r="D5" t="str">
            <v>338, 3rd Floor, Espace</v>
          </cell>
          <cell r="E5" t="str">
            <v>Nirvana Country</v>
          </cell>
          <cell r="F5" t="str">
            <v>Tuesday</v>
          </cell>
          <cell r="G5" t="str">
            <v>9 AM - 12 PM</v>
          </cell>
          <cell r="H5">
            <v>1545</v>
          </cell>
          <cell r="I5">
            <v>386.25</v>
          </cell>
          <cell r="J5" t="str">
            <v>Customized</v>
          </cell>
          <cell r="K5" t="str">
            <v>Sunday n Thursday//Pls Keep Flowers in Vase// Paytm from Mayank G (17/03) Sent replacememnt today (23/03) Skip 1 week (10/04) 2 Asiatic and 5 Rajni (27/07) Paytm friom Mayank Gupta (16/09) 2 Asiatic Lily in each delivery (16/10) Today returned (17/11) Skip this sunday (03/01) Thursday -- 10 Rose and 4 Rajni // Sunday - 2 Asiatic (19/01) Whenever possible-send red Roses (23/01) Skip tom (29/01) Today returned (22/05) Send replacement tom (27/07) Hold today (14/08) Do not count last delivery (04/09) Hold today (02/10) Hold today (12/10) Hold after this cycle (27/10) Do not count last del (31/10) 2 Asiatic + 4 Rajni + 4 Glad -- thrice in a week (30/12) 2 Asiatic and 4 Rajni bi weekly pack (08/03) 2 Asiatic and 8 Rajni Every time and send 8 Rajni tom (26/03) Today returned-send tom (19/04)</v>
          </cell>
          <cell r="N5" t="str">
            <v>2  del of this cycle   -  0-cycles pmnt   Completed - Collect 0</v>
          </cell>
          <cell r="O5" t="e">
            <v>#N/A</v>
          </cell>
          <cell r="P5" t="e">
            <v>#N/A</v>
          </cell>
          <cell r="Q5" t="e">
            <v>#N/A</v>
          </cell>
          <cell r="R5" t="e">
            <v>#N/A</v>
          </cell>
          <cell r="S5" t="str">
            <v>O Asiatic ( 14 Inch ) 3     1 Gypsola</v>
          </cell>
          <cell r="T5" t="str">
            <v>Y Asiatic ( 14 Inch ) 3     1 Limonium</v>
          </cell>
        </row>
        <row r="6">
          <cell r="A6">
            <v>2706</v>
          </cell>
          <cell r="B6" t="str">
            <v>Monika Arora</v>
          </cell>
          <cell r="C6">
            <v>9990121666</v>
          </cell>
          <cell r="D6" t="str">
            <v>Tostem Studio, Plot No. 564, Basement, Sec 39, Near Bakhtawar Chwok</v>
          </cell>
          <cell r="E6" t="str">
            <v>Medanta</v>
          </cell>
          <cell r="F6" t="str">
            <v>Saturday</v>
          </cell>
          <cell r="G6" t="str">
            <v>9 AM - 12 PM</v>
          </cell>
          <cell r="H6">
            <v>1600</v>
          </cell>
          <cell r="I6">
            <v>200</v>
          </cell>
          <cell r="J6" t="str">
            <v>Bloom</v>
          </cell>
          <cell r="K6" t="str">
            <v>Ref From Anupma Rastogi // Today Returned (09/08) Hold today (16/08) Today office was closed (21/10)</v>
          </cell>
          <cell r="N6" t="str">
            <v>8  del of this cycle   -  0-cycles pmnt   Completed - Collect 0</v>
          </cell>
          <cell r="O6" t="str">
            <v>P n W Glad ( 14 Inch ) 7     Grass</v>
          </cell>
          <cell r="P6" t="str">
            <v>Sunflowers ( 14 Inch ) 2     FF sachet + Grass</v>
          </cell>
          <cell r="Q6" t="str">
            <v>Mix Alstroemeria ( 12 Inch ) 7     FF Sachet + Grass</v>
          </cell>
          <cell r="R6" t="str">
            <v>P n W Glad ( 14 Inch ) 7     Grass</v>
          </cell>
          <cell r="S6" t="str">
            <v>Rajni ( 14 Inch ) 7     Grass</v>
          </cell>
          <cell r="T6" t="str">
            <v>P n W Glad ( 14 inch ) 7     Grass</v>
          </cell>
        </row>
        <row r="7">
          <cell r="A7">
            <v>1953</v>
          </cell>
          <cell r="B7" t="str">
            <v>Sandhya Nagesh</v>
          </cell>
          <cell r="C7">
            <v>8800649797</v>
          </cell>
          <cell r="D7" t="str">
            <v>89, Ground Floor, Woodstock Floors, Sec 50</v>
          </cell>
          <cell r="E7" t="str">
            <v>Nirvana Country</v>
          </cell>
          <cell r="F7" t="str">
            <v>Saturday</v>
          </cell>
          <cell r="G7" t="str">
            <v>9 AM - 12 PM</v>
          </cell>
          <cell r="H7">
            <v>3000</v>
          </cell>
          <cell r="I7">
            <v>375</v>
          </cell>
          <cell r="J7" t="str">
            <v>Charm</v>
          </cell>
          <cell r="K7" t="str">
            <v>Saturday n Tueaday(02/09) No Del From 10th to 19th (09/09) Today returned(19/08) hold today send tom (07/10) Skip 20th Del (14/01) Hold 6th n 10th Sug (03/08) Return tiday (07/02) Today Returned (24/02)</v>
          </cell>
          <cell r="N7" t="str">
            <v>7  del of this cycle   -  0-cycles pmnt   Completed - Collect 0</v>
          </cell>
          <cell r="O7" t="str">
            <v>P n W Glad ( 14 Inch ) 15     Grass</v>
          </cell>
          <cell r="P7" t="str">
            <v>Sunflowers ( 14 Inch ) 4     FF sachet + Grass</v>
          </cell>
          <cell r="Q7" t="str">
            <v>P Oriental ( 14 Inch ) 2     Grass</v>
          </cell>
          <cell r="R7" t="str">
            <v>Rajni ( 14 Inch ) 15     Grass</v>
          </cell>
          <cell r="S7" t="str">
            <v>O Asiatic ( 14 Inch ) 3     Grass</v>
          </cell>
          <cell r="T7" t="str">
            <v>P n W Glad ( 14 inch ) 15     Grass</v>
          </cell>
        </row>
        <row r="8">
          <cell r="A8">
            <v>3014</v>
          </cell>
          <cell r="B8" t="str">
            <v>Monika Arora</v>
          </cell>
          <cell r="C8">
            <v>9990121666</v>
          </cell>
          <cell r="D8" t="str">
            <v>Tostem Studio, Plot No. 564, Basement, Sec 39, Near Bakhtawar Chwok</v>
          </cell>
          <cell r="E8" t="str">
            <v>Medanta</v>
          </cell>
          <cell r="F8" t="str">
            <v>Saturday</v>
          </cell>
          <cell r="G8" t="str">
            <v>9 AM - 12 PM</v>
          </cell>
          <cell r="H8">
            <v>1600</v>
          </cell>
          <cell r="I8">
            <v>200</v>
          </cell>
          <cell r="J8" t="str">
            <v>Bloom</v>
          </cell>
          <cell r="K8" t="str">
            <v>Change in Address (31/12)</v>
          </cell>
          <cell r="N8" t="str">
            <v>8  del of this cycle   -  0-cycles pmnt   Completed - Collect 0</v>
          </cell>
          <cell r="O8" t="str">
            <v>O Spray Daisy ( 15 Inch ) 3     FF Sachet + Grass</v>
          </cell>
          <cell r="P8" t="str">
            <v>P n W Glad ( 14 Inch ) 7     Grass</v>
          </cell>
          <cell r="Q8" t="str">
            <v>P n W Glad ( 14 Inch ) 7     Grass</v>
          </cell>
          <cell r="R8" t="str">
            <v>Sunflower ( 12 Inch ) 2     FF Sachet + Grass</v>
          </cell>
          <cell r="S8" t="str">
            <v>P n W Car ( 14 Inch ) 7     FF Sachet + Grass</v>
          </cell>
          <cell r="T8" t="str">
            <v>Sunflower ( 12 Incjh ) 2     FF Sachet + Grass</v>
          </cell>
        </row>
        <row r="9">
          <cell r="A9" t="str">
            <v>G-00059</v>
          </cell>
          <cell r="B9" t="str">
            <v>Kriya</v>
          </cell>
          <cell r="C9">
            <v>6391463009</v>
          </cell>
          <cell r="D9" t="str">
            <v>Zenden Stays, Room No. 207, Sector 30, Vijay Vihar Block A</v>
          </cell>
          <cell r="E9" t="str">
            <v>South City 1</v>
          </cell>
          <cell r="F9" t="str">
            <v>Tuesday</v>
          </cell>
          <cell r="G9" t="str">
            <v>9:30 Am to 2 PM</v>
          </cell>
          <cell r="H9">
            <v>1450</v>
          </cell>
          <cell r="I9">
            <v>362.5</v>
          </cell>
          <cell r="J9" t="str">
            <v>Bliss</v>
          </cell>
          <cell r="K9" t="str">
            <v>Don’t send if payment not received  // Paytm From Mohd. Zaid (10/06)</v>
          </cell>
          <cell r="N9" t="str">
            <v>3  del of this cycle   -  0-cycles pmnt   Completed - Collect 0</v>
          </cell>
          <cell r="O9" t="e">
            <v>#N/A</v>
          </cell>
          <cell r="P9" t="str">
            <v xml:space="preserve">      </v>
          </cell>
          <cell r="Q9" t="e">
            <v>#N/A</v>
          </cell>
          <cell r="R9" t="str">
            <v>O n P Car ( 14 Inch ) 16     FF Sachet + Grass</v>
          </cell>
          <cell r="S9" t="str">
            <v>P Asiatic ( 14 Inch ) 3     Grass</v>
          </cell>
          <cell r="T9" t="str">
            <v>Rajni ( 14 Inch ) 16     Grass</v>
          </cell>
        </row>
        <row r="10">
          <cell r="A10">
            <v>975</v>
          </cell>
          <cell r="B10" t="str">
            <v>Ritu Sacheti</v>
          </cell>
          <cell r="C10">
            <v>9910007371</v>
          </cell>
          <cell r="D10" t="str">
            <v>B1/1401, World Spa, Sector 30</v>
          </cell>
          <cell r="E10" t="str">
            <v>South City 1</v>
          </cell>
          <cell r="F10" t="str">
            <v>Saturday</v>
          </cell>
          <cell r="G10" t="str">
            <v>9 AM - 12 PM</v>
          </cell>
          <cell r="H10">
            <v>3750</v>
          </cell>
          <cell r="I10">
            <v>468.75</v>
          </cell>
          <cell r="J10" t="str">
            <v>Grace</v>
          </cell>
          <cell r="K10" t="str">
            <v>Sat n Tuesday//NO Chrysanthemums(30/12) Received 50Rs. Today(13/01) Today returned-send tom(27/01) Pls send double del on next del and upgrade to 1250 pack once this cycle completes(25/05/2020) Sending 1st June Flowers on 30th may(30/05/2020) Upgrade to 1750 pack and always send 4 Asiatic and 15 normal flowers(08/07) Send replacement of glad tom(19/08/20) Hold n start from Feb(17/01) Skiped 1 week due to HOLI(29/03) NO RAJNI IN SUMMER(16/07) Send 4 Stick asiatic complimentary Tom(20/09) Send 2 Open Asiatic and replace Carnations AND NEVER CAR(04/10) Rs. 250 received against extra flowers(05/10) NO SAME COLOR FLOWERS(04/03) Return today (06/12) NO GERBERA (10/01) Return-send tom (04/04) Sent replacement of Guldawari today (09/04) Today Returned (20/06) No Flowers From 10th to 19 Th nov (02/11) No Flowers betqeen 22nd and 1st Jan (22/12) Returned today (10/02) Skip today (13/02) Skip this tuesday (11/03) No Flowers from 29th to 3rd Nov (25/10) Return today (23/11) No Gerbera (30/11) Today Returned (24/05) Sent 1 delivery today (25/05)</v>
          </cell>
          <cell r="L10" t="str">
            <v>GERBERA n SUNFLOWER</v>
          </cell>
          <cell r="N10" t="str">
            <v>7  del of this cycle   -  0-cycles pmnt   Completed - Collect 0</v>
          </cell>
          <cell r="O10" t="str">
            <v>O Spray Daisy ( 15 Inch ) 3 P n W Glad ( 14 Inch ) 12   FF Sachet + Grass</v>
          </cell>
          <cell r="P10" t="str">
            <v>Pur Eustoma ( 12 Inch )  3 P n W Car ( 14 inch ) 10   FF sachet + Grass</v>
          </cell>
          <cell r="Q10" t="str">
            <v>P Asiatic ( 14 Inch ) 2 Mix Alstroemeria ( 12 Inch ) 10   Grass</v>
          </cell>
          <cell r="R10" t="str">
            <v>P Spray Daisy ( 14 Inch ) 3 O n P Car ( 14 Inch ) 10   FF Sachet + Grass</v>
          </cell>
          <cell r="S10" t="str">
            <v>P Eustoma ( 12 Inch ) 3 Rajni ( 14 Inch ) 10   FF Sachet + Grass</v>
          </cell>
          <cell r="T10" t="str">
            <v>O Asiatic ( 14 Inch ) 2 P n W Car ( 14 Inch ) 10   Grass</v>
          </cell>
        </row>
        <row r="11">
          <cell r="A11">
            <v>2087</v>
          </cell>
          <cell r="B11" t="str">
            <v>Lucky Pandey</v>
          </cell>
          <cell r="C11" t="str">
            <v>9961712428//9971712428</v>
          </cell>
          <cell r="D11" t="str">
            <v>B3/502, Uniworld City ( West)</v>
          </cell>
          <cell r="E11" t="str">
            <v>South City 1</v>
          </cell>
          <cell r="F11" t="str">
            <v>Tuesday</v>
          </cell>
          <cell r="G11" t="str">
            <v>9 AM to 2 PM</v>
          </cell>
          <cell r="H11">
            <v>1450</v>
          </cell>
          <cell r="I11">
            <v>362.5</v>
          </cell>
          <cell r="J11" t="str">
            <v>Bliss</v>
          </cell>
          <cell r="K11" t="str">
            <v>Skip this Sunday and send on Tuesday (07/07) Skip 1 week (21/10) Today Returned (10/12) Today returned (17/03) Today Returned (19/003) Return-send tom (26/05) Hold (23/06) Today Returned (21/07) Gpay from Abhijeet K Choudhary (01/10) Hold today (03/12) No Sunflower (21/01) Returned today (17/06) Send 1 del todya (07/07) Today Returned 0send on saturday this week (23/06)</v>
          </cell>
          <cell r="L11" t="str">
            <v>Sunflower</v>
          </cell>
          <cell r="N11" t="str">
            <v>1  del of this cycle   -  1-cycles pmnt   Pending - Collect 1450</v>
          </cell>
          <cell r="O11" t="str">
            <v>O n W Spray Daisy ( 15 Inch ) 5     FF Sachet + Grass</v>
          </cell>
          <cell r="P11" t="str">
            <v>Y Asiatic ( 14 Inch ) 3     Grass</v>
          </cell>
          <cell r="Q11" t="str">
            <v>R n P Car ( 14 Inch ) 16     FF Sachet + Grass</v>
          </cell>
          <cell r="R11" t="str">
            <v>P n W Glad ( 14 Inch ) 16     Grass</v>
          </cell>
          <cell r="S11" t="str">
            <v>Pur Eustoma ( 12 Inch ) 3     FF Sachet + Grass</v>
          </cell>
          <cell r="T11" t="str">
            <v>Rajni ( 14 Inch ) 16     Grass</v>
          </cell>
        </row>
        <row r="12">
          <cell r="A12">
            <v>2593</v>
          </cell>
          <cell r="B12" t="str">
            <v>Devesh Srivastava</v>
          </cell>
          <cell r="C12">
            <v>7400118910</v>
          </cell>
          <cell r="D12" t="str">
            <v xml:space="preserve">T-7/1003&lt; The Palms
</v>
          </cell>
          <cell r="E12" t="str">
            <v>South City 1</v>
          </cell>
          <cell r="F12" t="str">
            <v>Tuesday</v>
          </cell>
          <cell r="G12" t="str">
            <v>9 AM to 2 PM</v>
          </cell>
          <cell r="H12">
            <v>1450</v>
          </cell>
          <cell r="I12">
            <v>362.5</v>
          </cell>
          <cell r="J12" t="str">
            <v>Bliss</v>
          </cell>
          <cell r="K12" t="str">
            <v>Saturday n Tuesday//One Del today and then every satrday 920/04) Sent one Del Today (09/05)</v>
          </cell>
          <cell r="N12" t="str">
            <v>1  del of this cycle   -  0-cycles pmnt   Completed - Collect 0</v>
          </cell>
          <cell r="O12" t="str">
            <v>R n W Car ( 14 Inch ) 16     FF Sachet + Grass</v>
          </cell>
          <cell r="P12" t="str">
            <v xml:space="preserve"> Asiatic lily      Grass</v>
          </cell>
          <cell r="Q12" t="str">
            <v>W Asiatic ( 14 Inch ) 3     Grass</v>
          </cell>
          <cell r="R12" t="str">
            <v>P n W Glad ( 14 Inch ) 16     Grass</v>
          </cell>
          <cell r="S12" t="str">
            <v>Pur Eustoma ( 12 Inch ) 3     FF Sachet + Grass</v>
          </cell>
          <cell r="T12" t="str">
            <v>P n W Car ( 14 Inch ) 16     FF Sachet + Grass</v>
          </cell>
        </row>
        <row r="13">
          <cell r="A13">
            <v>2854</v>
          </cell>
          <cell r="B13" t="str">
            <v>Promita Roy</v>
          </cell>
          <cell r="C13">
            <v>9717459257</v>
          </cell>
          <cell r="D13" t="str">
            <v>B-25, Sushant Appartment, Block-C, Phase 1</v>
          </cell>
          <cell r="E13" t="str">
            <v>M G Road</v>
          </cell>
          <cell r="F13" t="str">
            <v>Tuesday</v>
          </cell>
          <cell r="G13" t="str">
            <v>9 AM - 12 PM</v>
          </cell>
          <cell r="H13">
            <v>1450</v>
          </cell>
          <cell r="I13">
            <v>362.5</v>
          </cell>
          <cell r="J13" t="str">
            <v>Bliss</v>
          </cell>
          <cell r="K13" t="str">
            <v>Upgrade to Bliss // Nolacl Gypsy or Lady Lace</v>
          </cell>
          <cell r="M13" t="str">
            <v>No Local Gypsy or Lady Lace</v>
          </cell>
          <cell r="N13" t="str">
            <v>4  del of this cycle   -  0-cycles pmnt   Completed - Collect 0</v>
          </cell>
          <cell r="O13" t="str">
            <v>O n W Spray Daisy ( 15 Inch ) 5     FF Sachet + Grass</v>
          </cell>
          <cell r="P13" t="str">
            <v>R n W Car ( 14 Inch ) 16     FF sachet + Grass</v>
          </cell>
          <cell r="Q13" t="str">
            <v>P Asiatic ( 14 Inch ) 3     Grass</v>
          </cell>
          <cell r="R13" t="str">
            <v>P n W Glad ( 14 Inch ) 16     Grass</v>
          </cell>
          <cell r="S13" t="str">
            <v>Pur Eustoma ( 12 Inch ) 3     FF Sachet + Grass</v>
          </cell>
          <cell r="T13" t="str">
            <v>P n W Car ( 14 Inch ) 16     FF Sachet + Grass</v>
          </cell>
        </row>
        <row r="14">
          <cell r="A14" t="str">
            <v>G-00029</v>
          </cell>
          <cell r="B14" t="str">
            <v>Shweta Arora</v>
          </cell>
          <cell r="C14">
            <v>9999164984</v>
          </cell>
          <cell r="D14" t="str">
            <v>H. No. 9506, 3rd Floor, Garden Villas</v>
          </cell>
          <cell r="E14" t="str">
            <v>DLF Phase 4</v>
          </cell>
          <cell r="F14" t="str">
            <v>Tuesday</v>
          </cell>
          <cell r="G14" t="str">
            <v>10 AM to 2:30 PM</v>
          </cell>
          <cell r="H14">
            <v>1950</v>
          </cell>
          <cell r="I14">
            <v>487.5</v>
          </cell>
          <cell r="J14" t="str">
            <v>Joy</v>
          </cell>
          <cell r="K14" t="str">
            <v>From Akriti Chopra // Paytm From Shweta Dudeja (26/02) Sent replacement today (18/04)</v>
          </cell>
          <cell r="N14" t="str">
            <v>2  del of this cycle   -  1-cycles pmnt   Pending - Collect 1950</v>
          </cell>
          <cell r="O14" t="str">
            <v>O n W Spray Daisy ( 15 Inch ) 4 P n W Car ( 14 Inch ) 11   Grass</v>
          </cell>
          <cell r="P14" t="str">
            <v>Sunflowers ( 14 Inch ) 3 P n W Glad ( 14 Inch ) 11   FF sachet + Grass</v>
          </cell>
          <cell r="Q14" t="str">
            <v>P Eustoma ( 12 Inch ) 2 Mix Alstroemeria ( 12 Inch ) 11   FF Sachet + Grass</v>
          </cell>
          <cell r="R14" t="str">
            <v>O Asiatic ( 14 inch ) 2 O n P Car ( 14 Inch ) 11   Grass</v>
          </cell>
          <cell r="S14" t="str">
            <v>P n Y Spray Daisy ( 14 Inch ) 4 Rajni ( 14 Inch ) 11   FF Sachet + Grass</v>
          </cell>
          <cell r="T14" t="str">
            <v>Sunflower ( 12 Incjh ) 3 P n W Glad ( 14 Inch) 11  Ensure Collection FF Sachet + Grass</v>
          </cell>
        </row>
        <row r="15">
          <cell r="A15">
            <v>3275</v>
          </cell>
          <cell r="B15" t="str">
            <v>Reema Parents</v>
          </cell>
          <cell r="C15">
            <v>9910105022</v>
          </cell>
          <cell r="D15" t="str">
            <v>B1/603, Tulip Orange, Sec 70</v>
          </cell>
          <cell r="E15" t="str">
            <v>Badshahpur</v>
          </cell>
          <cell r="F15" t="str">
            <v>Tuesday</v>
          </cell>
          <cell r="G15" t="str">
            <v>9 AM - 12 PM</v>
          </cell>
          <cell r="H15">
            <v>1450</v>
          </cell>
          <cell r="I15">
            <v>362.5</v>
          </cell>
          <cell r="J15" t="str">
            <v>Bliss</v>
          </cell>
          <cell r="K15" t="str">
            <v>From Reema</v>
          </cell>
          <cell r="N15" t="str">
            <v>3  del of this cycle   -  1-cycles pmnt   In Process - Collect 0</v>
          </cell>
          <cell r="O15" t="str">
            <v>Mix Alstroemeria ( 14 inch ) 9     FF Sachet + Grass</v>
          </cell>
          <cell r="P15" t="str">
            <v>P n W Glad ( 14 Inch ) 9     Grass</v>
          </cell>
          <cell r="Q15" t="str">
            <v>P Asiatic ( 14 Inch ) 2     Grass</v>
          </cell>
          <cell r="R15" t="str">
            <v>O n P Car ( 14 Inch ) 16     FF Sachet + Grass</v>
          </cell>
          <cell r="S15" t="str">
            <v>Pur Eustoma ( 12 Inch ) 3     FF Sachet + Grass</v>
          </cell>
          <cell r="T15" t="str">
            <v>Rajni ( 14 Inch ) 16     Grass</v>
          </cell>
        </row>
        <row r="16">
          <cell r="A16">
            <v>2633</v>
          </cell>
          <cell r="B16" t="str">
            <v>Varsha Mathur</v>
          </cell>
          <cell r="C16">
            <v>9810816655</v>
          </cell>
          <cell r="D16" t="str">
            <v>C-34, First Floor, Sushant Lok-1</v>
          </cell>
          <cell r="E16" t="str">
            <v>M G Road</v>
          </cell>
          <cell r="F16" t="str">
            <v>Tuesday</v>
          </cell>
          <cell r="G16" t="str">
            <v>9 AM - 12 PM</v>
          </cell>
          <cell r="H16">
            <v>1450</v>
          </cell>
          <cell r="I16">
            <v>362.5</v>
          </cell>
          <cell r="J16" t="str">
            <v>Bliss</v>
          </cell>
          <cell r="K16" t="str">
            <v>Paytm From Aryank Mathur (29/04) Pls send asiatic only (10/06) Do not count last delivery (01/09) Diff flowers now (04/09) Hold due to non payment (14/10) Gpay from Medhavi Mathur (30/10) No Gerbera and Glad (04/12) No Orchids (18/12) Hold due to non payment (13/01) Hold due to non payment (20/01)</v>
          </cell>
          <cell r="L16" t="str">
            <v>No Glad n Gerbera n Orchid</v>
          </cell>
          <cell r="M16" t="str">
            <v>Diff flowers Now (04/09)</v>
          </cell>
          <cell r="N16" t="str">
            <v>1  del of this cycle   -  1-cycles pmnt   Pending - Collect 1450</v>
          </cell>
          <cell r="O16" t="str">
            <v>Mix Alstroemeria ( 14 inch ) 16     FF Sachet + Grass</v>
          </cell>
          <cell r="P16" t="str">
            <v>P n Y Spray Daisy ( 14 Inch ) 5     FF sachet + Grass</v>
          </cell>
          <cell r="Q16" t="str">
            <v>Pur Eustoma ( 12 Inch ) 3     FF Sachet + Grass</v>
          </cell>
          <cell r="R16" t="str">
            <v>O n P Car ( 14 Inch ) 16     FF Sachet + Grass</v>
          </cell>
          <cell r="S16" t="str">
            <v>O Asiatic ( 14 Inch ) 3     Grass</v>
          </cell>
          <cell r="T16" t="str">
            <v>Rajni ( 14 Inch ) 16     Grass</v>
          </cell>
        </row>
        <row r="17">
          <cell r="A17">
            <v>1147</v>
          </cell>
          <cell r="B17" t="str">
            <v xml:space="preserve">Reena </v>
          </cell>
          <cell r="C17">
            <v>9811157690</v>
          </cell>
          <cell r="D17" t="str">
            <v>31/1, Ixia, Vatika City</v>
          </cell>
          <cell r="E17" t="str">
            <v>Sohna Road 1</v>
          </cell>
          <cell r="F17" t="str">
            <v>Tuesday</v>
          </cell>
          <cell r="G17" t="str">
            <v>9 AM to 2 PM</v>
          </cell>
          <cell r="H17">
            <v>1600</v>
          </cell>
          <cell r="I17">
            <v>200</v>
          </cell>
          <cell r="J17" t="str">
            <v>Bloom</v>
          </cell>
          <cell r="K17" t="str">
            <v>Tuesday and Friday//NO Rose/Rajni and ORCHID(30/10) Pink car Next(08/11) No Rose/No Rajni/No Orchids(30/11  NO RAJNI n HELICONIA (30/12) Star From Sunday (24/08) Skip coming Friday (07/12) Skip 1 week (18/01) Shift tom del to Sunday (20/06) Skip Friday Del (15/08) Today Returned(03/09) Skip 27th Del (22/12) Skip tom (30/01) Today Returned-send again (04/04) Hold n start from 15th (07/04) Skip friday (26/06) Skip 1 week (07/08) Skip tom del (11/09) Skip 1 week (01/11) Skip tom (30/04)</v>
          </cell>
          <cell r="L17" t="str">
            <v>RAJNI n HELICONIA</v>
          </cell>
          <cell r="N17" t="str">
            <v>7  del of this cycle   -  0-cycles pmnt   Completed - Collect 0</v>
          </cell>
          <cell r="O17" t="str">
            <v>P Eustoma ( 12 Inch ) 2     FF Sachet + Grass</v>
          </cell>
          <cell r="P17" t="str">
            <v>Sunflowers ( 14 Inch ) 2     FF sachet + Grass</v>
          </cell>
          <cell r="Q17" t="str">
            <v>P n W Glad ( 14 Inch ) 7     Grass</v>
          </cell>
          <cell r="R17" t="str">
            <v>Mix Alstroemeria ( 12 Inch ) 7     FF Sachet + Grass</v>
          </cell>
          <cell r="S17" t="str">
            <v>Sunflower ( 12 Inch ) 2     FF Sachet + Grass</v>
          </cell>
          <cell r="T17" t="str">
            <v>P n W Glad ( 14 inch ) 7     Grass</v>
          </cell>
        </row>
        <row r="18">
          <cell r="A18">
            <v>993</v>
          </cell>
          <cell r="B18" t="str">
            <v>Swati Khandelwal-- Evening Only</v>
          </cell>
          <cell r="C18">
            <v>8527962021</v>
          </cell>
          <cell r="D18" t="str">
            <v>414-A, Hamilton Court</v>
          </cell>
          <cell r="E18" t="str">
            <v>DLF Phase 4</v>
          </cell>
          <cell r="F18" t="str">
            <v>Tuesday</v>
          </cell>
          <cell r="G18" t="str">
            <v>9 AM to 2 PM</v>
          </cell>
          <cell r="H18">
            <v>2300</v>
          </cell>
          <cell r="I18">
            <v>287.5</v>
          </cell>
          <cell r="J18" t="str">
            <v>Felicity</v>
          </cell>
          <cell r="K18" t="str">
            <v>Saturday and Tuesday//Tuesday and Friday//1 St del Tom in morning and then every Sunday evening(05/01) ONLY LILY AND RAJNI(19/01) Lilies in all 4 Deliveries(01/02) Start Biss from next week(30/11) ONLY RAJNI(31/12) Send Guldawari next and then spray daisy next to next(09/01) NO ROSE mn RAJNI-- Send spray daisy next(27/01) Spray daisy Next(15/02) Moved to Felicity--1350 Pack, Pls mark pending(21/03) Send 1 extra delivery from Rachna Khanna ma'am(05/08) Do Not count last delivery(07/04) Send Flower Food Tom(12/09) Send Flower Food next (09/10) Hold till 1st Feb (20/01) Send Flower Food next (04/07) One More payment received today (30/10) Payment from Ramakant K (08/06) Rs. 9200 Received today and 10% applied on 9200 (10/12)</v>
          </cell>
          <cell r="L18" t="str">
            <v>ROSE n RAJNI</v>
          </cell>
          <cell r="N18" t="str">
            <v>8  del of this cycle   -  0-cycles pmnt   Completed - Collect 0</v>
          </cell>
          <cell r="O18" t="str">
            <v>P n W Car ( 14 Imch ) 11     FF Sachet + Grass</v>
          </cell>
          <cell r="P18" t="str">
            <v>Sunflowers ( 14 Inch ) 3     FF sachet + Grass</v>
          </cell>
          <cell r="Q18" t="str">
            <v>P Asiatic ( 14 Inch ) 2     Grass</v>
          </cell>
          <cell r="R18" t="str">
            <v>P n W Glad ( 14 Inch ) 11     Grass</v>
          </cell>
          <cell r="S18" t="str">
            <v>P Spray Daisy ( 14 Inch ) 3     FF Sachet + Grass</v>
          </cell>
          <cell r="T18" t="str">
            <v>Sunflower ( 12 Incjh ) 3     FF Sachet + Grass</v>
          </cell>
        </row>
        <row r="19">
          <cell r="A19">
            <v>2132</v>
          </cell>
          <cell r="B19" t="str">
            <v>Smita Mathur</v>
          </cell>
          <cell r="C19" t="str">
            <v>+6281294705524</v>
          </cell>
          <cell r="D19" t="str">
            <v>R-9A, Windsor Court-- Next Supermart</v>
          </cell>
          <cell r="E19" t="str">
            <v>DLF Phase 4</v>
          </cell>
          <cell r="F19" t="str">
            <v>Tuesday</v>
          </cell>
          <cell r="G19" t="str">
            <v>9 AM - 12 PM</v>
          </cell>
          <cell r="H19">
            <v>1450</v>
          </cell>
          <cell r="I19">
            <v>362.5</v>
          </cell>
          <cell r="J19" t="str">
            <v>Bliss</v>
          </cell>
          <cell r="K19" t="str">
            <v>NO GLAD/ASIATIC/ORCHID(23/12) ONLY LILY/ROSE AD CHRYSANTHEMUM IN THIS PACK(23/12) Rajni Next(27/12) Skip 1 week(30/12) Bright Color Asiatic Next(09/01) ALWAYS SINGLE COLOR(10/01) Day changed to Friday and send bright lily on both days(11/01) Send 1 Pack tom(15/01) Dark Pink or Red Asiatic(22/01) Pls send Daisy Next(31/01) Y Fuldawari next(04/02) Next Yellow Color(07/02) This Cycle-- Oriental//Car//Orchid//Rose(02/10) Send next del on friday with moxed bright color car(05/10) Sent Replacement today(20/10) GuldawariNext(21/10) This week on saturday and then tuesday, Flowesr are-- Car//Lily//Guldawari//Rose//Orchid// Glad (17/11) NO ROSE  SEND REPLACEMENT TOM AND ALSO 2ND DEL(21/11)(21/11) Hold today (13/12) Hold for 2 weeks(13/12) NO BOP AND SPRAY DAISY  AND ROSES IF THEY ARE GOOD(22/12) Asiatic Next (04/01) Send Replacement tom (18/03) Paytm from 99****8930(25/07) Change to Joy (27/10) Change to bliss (13/12) Skip 2 Week (31/01) Skip 2 week (02/03) Holdn n start from 13 July (23/06) Sent replacement today (01/09) Skip 1 week (07/12) Hold aftyer current cycle (19/03) Skip 16th Aug (09/08) No flowers on 27th (16/09) Skip tom and now on tuesday Only (05/12) Skip 1 week (18/02)</v>
          </cell>
          <cell r="L19" t="str">
            <v>BOP n GERBERA</v>
          </cell>
          <cell r="N19" t="str">
            <v>4  del of this cycle   -  0-cycles pmnt   Completed - Collect 0</v>
          </cell>
          <cell r="O19" t="str">
            <v>Y Asiatic ( 15 inch ) 3     Grass</v>
          </cell>
          <cell r="P19" t="str">
            <v>Mix Alstroemeria ( 12 Inch ) 16     Grass</v>
          </cell>
          <cell r="Q19" t="str">
            <v>P n W Glad ( 14 Inch ) 16     Grass</v>
          </cell>
          <cell r="R19" t="str">
            <v>O n P Car ( 14 Inch ) 16     FF Sachet + Grass</v>
          </cell>
          <cell r="S19" t="str">
            <v>Pur Eustoma ( 12 Inch ) 3     FF Sachet + Grass</v>
          </cell>
          <cell r="T19" t="str">
            <v>O Asiatic ( 14 Inch ) 3     Grass</v>
          </cell>
        </row>
        <row r="20">
          <cell r="A20">
            <v>2550</v>
          </cell>
          <cell r="B20" t="str">
            <v>Pooja Singh</v>
          </cell>
          <cell r="C20">
            <v>9810123062</v>
          </cell>
          <cell r="D20" t="str">
            <v>B-289, 3rd Floor, Anantraj Estates, Sec 63 A</v>
          </cell>
          <cell r="E20" t="str">
            <v>Ghata</v>
          </cell>
          <cell r="F20" t="str">
            <v>Sunday</v>
          </cell>
          <cell r="G20" t="str">
            <v>9 AM - 12 PM</v>
          </cell>
          <cell r="H20">
            <v>1450</v>
          </cell>
          <cell r="I20">
            <v>362.5</v>
          </cell>
          <cell r="J20" t="str">
            <v>Bliss</v>
          </cell>
          <cell r="K20" t="str">
            <v>Hold today n sned on Tuesday (18/05) Skip this week and send on Monday(01/01/26) Return today (18/01) Skip this Sunday and sned on Tuesday this week (27/06)</v>
          </cell>
          <cell r="N20" t="str">
            <v>3  del of this cycle   -  0-cycles pmnt   Completed - Collect 0</v>
          </cell>
          <cell r="O20" t="e">
            <v>#N/A</v>
          </cell>
          <cell r="P20" t="e">
            <v>#N/A</v>
          </cell>
          <cell r="Q20" t="e">
            <v>#N/A</v>
          </cell>
          <cell r="R20" t="e">
            <v>#N/A</v>
          </cell>
          <cell r="S20" t="e">
            <v>#N/A</v>
          </cell>
          <cell r="T20" t="str">
            <v>Sunflower ( 12 Incjh ) 2 P n W Glad ( 14 Inch) 7   FF Sachet + Grass</v>
          </cell>
        </row>
        <row r="21">
          <cell r="A21">
            <v>3367</v>
          </cell>
          <cell r="B21" t="str">
            <v>Pallavi Sharma</v>
          </cell>
          <cell r="C21">
            <v>9910888631</v>
          </cell>
          <cell r="D21" t="str">
            <v>B-93, Regency Park 1, Sec 43</v>
          </cell>
          <cell r="E21" t="str">
            <v>DLF Phase 4</v>
          </cell>
          <cell r="F21" t="str">
            <v>Tuesday</v>
          </cell>
          <cell r="G21" t="str">
            <v>9 AM - 12 PM</v>
          </cell>
          <cell r="H21">
            <v>1450</v>
          </cell>
          <cell r="I21">
            <v>1450</v>
          </cell>
          <cell r="J21" t="str">
            <v>Bliss</v>
          </cell>
          <cell r="K21" t="str">
            <v>Paytm From Vaibhav Sharma (16.05) Skip 1 week (03/06)</v>
          </cell>
          <cell r="N21" t="str">
            <v>2  del of this cycle   -  0-cycles pmnt   Completed - Collect 0</v>
          </cell>
          <cell r="O21" t="str">
            <v>O Asiatic ( 15 Inch ) 3     Grass</v>
          </cell>
          <cell r="P21" t="str">
            <v>P n W Glad ( 14 Inch ) 16     Grass</v>
          </cell>
          <cell r="Q21" t="e">
            <v>#N/A</v>
          </cell>
          <cell r="R21" t="str">
            <v>P n Y Spray Daisy ( 14 Inch ) 5     FF Sachet + Grass</v>
          </cell>
          <cell r="S21" t="str">
            <v>Rajni ( 14 Inch ) 16     FF Sachet + Grass</v>
          </cell>
          <cell r="T21" t="str">
            <v>P n W Car ( 14 Inch ) 16     FF Sachet + Grass</v>
          </cell>
        </row>
        <row r="22">
          <cell r="A22">
            <v>3138</v>
          </cell>
          <cell r="B22" t="str">
            <v>Alpna Verma</v>
          </cell>
          <cell r="C22">
            <v>9811996368</v>
          </cell>
          <cell r="D22" t="str">
            <v>B-70, Sushant Lok Phase 1, Next to Vipul Square, Enter gaye no. 4</v>
          </cell>
          <cell r="E22" t="str">
            <v>M G Road</v>
          </cell>
          <cell r="F22" t="str">
            <v>Tuesday</v>
          </cell>
          <cell r="G22" t="str">
            <v>9 AM - 12 PM</v>
          </cell>
          <cell r="H22">
            <v>2300</v>
          </cell>
          <cell r="I22">
            <v>287.5</v>
          </cell>
          <cell r="J22" t="str">
            <v>Felicity</v>
          </cell>
          <cell r="K22" t="str">
            <v>Day Changed ro Tuesday and Saturday (22/03)Single Color Flowers (01/12)</v>
          </cell>
          <cell r="M22" t="str">
            <v>Single Color Flowers</v>
          </cell>
          <cell r="N22" t="str">
            <v>4  del of this cycle   -  0-cycles pmnt   Completed - Collect 0</v>
          </cell>
          <cell r="O22" t="str">
            <v>O Asiatic ( 15 Inch ) 2     Grass</v>
          </cell>
          <cell r="P22" t="str">
            <v>Mix Alstroemeria ( 12 Inch ) 11 Pls Keep Flower at door -- Don’t call n Ring Bell Pls Keep Flower at door -- Don’t call n Ring Bell Pls Keep Flower at door -- Don’t call n Ring Bell Pls Keep Flower at door -- Don’t call n Ring Bell FF sachet + Grass</v>
          </cell>
          <cell r="Q22" t="e">
            <v>#N/A</v>
          </cell>
          <cell r="R22" t="e">
            <v>#N/A</v>
          </cell>
          <cell r="S22" t="str">
            <v>P Spray Daisy ( 14 Inch ) 3     FF Sachet + Grass</v>
          </cell>
          <cell r="T22" t="str">
            <v>Rajni ( 14 Inch ) 11     Grass</v>
          </cell>
        </row>
        <row r="23">
          <cell r="A23">
            <v>2284</v>
          </cell>
          <cell r="B23" t="str">
            <v>Tarushi--Skyon</v>
          </cell>
          <cell r="C23">
            <v>9873968830</v>
          </cell>
          <cell r="D23" t="str">
            <v>B-2004, Ireo Skyon, Sec 60</v>
          </cell>
          <cell r="E23" t="str">
            <v>Ghata</v>
          </cell>
          <cell r="F23" t="str">
            <v>Tuesday</v>
          </cell>
          <cell r="G23" t="str">
            <v>9 AM - 12 PM</v>
          </cell>
          <cell r="H23">
            <v>1450</v>
          </cell>
          <cell r="I23">
            <v>362.5</v>
          </cell>
          <cell r="J23" t="str">
            <v>Bliss</v>
          </cell>
          <cell r="K23" t="str">
            <v>No Spray Daisy (06/11) Skip 1 week (02/03) No Gerbera (02/07) Send on Saturday this week Z914/07)Paytm from Uday Bansal 19/07) Return not at home (29/07) Hold due to non payment (14/10) Hold after this cycle (14/11) Paytm From Tarushi Garg (02/04) HDTNP (02/06) HDTNP (09/06) HDTNP (16/06) Skip 1 week (24/06)</v>
          </cell>
          <cell r="L23" t="str">
            <v>Spray Daisy n GERBERA</v>
          </cell>
          <cell r="N23" t="str">
            <v>3  del of this cycle   -  0-cycles pmnt   Completed - Collect 0</v>
          </cell>
          <cell r="O23" t="str">
            <v>Y Asiatic ( 15 inch ) 3    Ensure Collection Grass</v>
          </cell>
          <cell r="P23" t="e">
            <v>#N/A</v>
          </cell>
          <cell r="Q23" t="e">
            <v>#N/A</v>
          </cell>
          <cell r="R23" t="e">
            <v>#N/A</v>
          </cell>
          <cell r="S23" t="str">
            <v>Pur Eustoma ( 12 Inch ) 3     FF Sachet + Grass</v>
          </cell>
          <cell r="T23" t="str">
            <v>Rajni ( 14 Inch ) 16     Grass</v>
          </cell>
        </row>
        <row r="24">
          <cell r="A24">
            <v>1936</v>
          </cell>
          <cell r="B24" t="str">
            <v>Pranta Dutta</v>
          </cell>
          <cell r="C24" t="str">
            <v>99535 59491</v>
          </cell>
          <cell r="D24" t="str">
            <v>C 1 flat 501 Ireo skyon golf course extension sector 60 gurgaon ( behind lemon tree hotel)</v>
          </cell>
          <cell r="E24" t="str">
            <v>Ghata</v>
          </cell>
          <cell r="F24" t="str">
            <v>Saturday</v>
          </cell>
          <cell r="G24" t="str">
            <v>9 AM - 12 PM</v>
          </cell>
          <cell r="H24">
            <v>1600</v>
          </cell>
          <cell r="I24">
            <v>200</v>
          </cell>
          <cell r="J24" t="str">
            <v>Collection Only</v>
          </cell>
          <cell r="K24" t="str">
            <v>Tuesday n Saturday//Thursday n Sunday// No Rajni (01/01/23) Skip 1 wek (30/05) Paytm from Ddhruv Dutta Minor (18/06) Paytm From Susmita D (16/07). Not sent on 25/04 due to non payment (24/4) Paytm From Susmita D (04/05) Do not count last del (02/07) No Gerbera also (29/09) Hold from 10th to 20th (08/12) Hold from 10th to 20th (10/12) Hold due to non payment (26/12) No Delivery from 03rd to15th Jan (28/12) Hold due to non payment (010/02) Hold due to non payment (24/02) HDTNP (17/03) HDTNP (02/05) HDTNP (23/05) HDTNP (26/05) HDTNP (02/06) HDTNP (06/06) HDTNP (09/06) HDTNP (13/06) HDTNP (16/06) HDTNP (20/06) HDTNP (23/06) HDTNP (27/06)</v>
          </cell>
          <cell r="L24" t="str">
            <v>RAJNI n GERBERA</v>
          </cell>
          <cell r="N24" t="str">
            <v>4  del of this cycle   -  1-cycles pmnt   Pending - Collect 1600</v>
          </cell>
          <cell r="O24" t="e">
            <v>#N/A</v>
          </cell>
          <cell r="P24" t="e">
            <v>#N/A</v>
          </cell>
          <cell r="Q24" t="e">
            <v>#N/A</v>
          </cell>
          <cell r="R24" t="e">
            <v>#N/A</v>
          </cell>
          <cell r="S24" t="e">
            <v>#N/A</v>
          </cell>
          <cell r="T24" t="str">
            <v xml:space="preserve">Collect 600 Carry Receipt Book     </v>
          </cell>
        </row>
        <row r="25">
          <cell r="A25">
            <v>3371</v>
          </cell>
          <cell r="B25" t="str">
            <v>Supriya Bijlwan</v>
          </cell>
          <cell r="C25">
            <v>9560012831</v>
          </cell>
          <cell r="D25" t="str">
            <v>C-201, Mahindra Luminaire</v>
          </cell>
          <cell r="E25" t="str">
            <v>Ghata</v>
          </cell>
          <cell r="F25" t="str">
            <v>Saturday</v>
          </cell>
          <cell r="G25" t="str">
            <v>10 AM to 2:30 PM</v>
          </cell>
          <cell r="H25">
            <v>2300</v>
          </cell>
          <cell r="I25">
            <v>287.5</v>
          </cell>
          <cell r="J25" t="str">
            <v>Felicity</v>
          </cell>
          <cell r="K25" t="str">
            <v>1 Seasonal Extra next (20/05)</v>
          </cell>
          <cell r="M25" t="str">
            <v>Premium in next 2 Del (23/05)</v>
          </cell>
          <cell r="N25" t="str">
            <v>5  del of this cycle   -  0-cycles pmnt   Completed - Collect 0</v>
          </cell>
          <cell r="O25" t="str">
            <v>O Spray Daisy ( 15 Inch ) 2     FF Sachet + grass</v>
          </cell>
          <cell r="P25" t="str">
            <v>Sunflowers ( 14 Inch ) 3     FF sachet + Grass</v>
          </cell>
          <cell r="Q25" t="str">
            <v>Pur Eustoma ( 12 Inch ) 3     FF Sachet + Grass</v>
          </cell>
          <cell r="R25" t="str">
            <v>Rajni ( 14 Inch ) 11     Grass</v>
          </cell>
          <cell r="S25" t="str">
            <v>P Asiatic ( 14 Inch ) 2     Grass</v>
          </cell>
          <cell r="T25" t="str">
            <v>Sunflower ( 12 Incjh ) 3     FF Sachet + Grass</v>
          </cell>
        </row>
        <row r="26">
          <cell r="A26">
            <v>2525</v>
          </cell>
          <cell r="B26" t="str">
            <v>Sonia Kalra</v>
          </cell>
          <cell r="C26">
            <v>9810512391</v>
          </cell>
          <cell r="D26" t="str">
            <v>C-264, Sushant Lok-1</v>
          </cell>
          <cell r="E26" t="str">
            <v>M G Road</v>
          </cell>
          <cell r="F26" t="str">
            <v>Tuesday</v>
          </cell>
          <cell r="G26" t="str">
            <v>10 AM to 2:30 PM</v>
          </cell>
          <cell r="H26">
            <v>999</v>
          </cell>
          <cell r="I26">
            <v>249.75</v>
          </cell>
          <cell r="J26" t="str">
            <v>Delight</v>
          </cell>
          <cell r="K26" t="str">
            <v>Change Rs 50// Hold today n skip 1 week(29/07) Paytm from harsonia Kalra (03/09)</v>
          </cell>
          <cell r="N26" t="str">
            <v>4  del of this cycle   -  0-cycles pmnt   CompletedNO COLLECTION-we have extra money - Collect -7</v>
          </cell>
          <cell r="O26" t="str">
            <v>Mix Alstroemeria ( 14 inch ) 9     FF Sachet + Grass</v>
          </cell>
          <cell r="P26" t="str">
            <v>P n W Glad ( 14 Inch ) 9     Grass</v>
          </cell>
          <cell r="Q26" t="str">
            <v>P Asiatic ( 14 Inch ) 2     Grass</v>
          </cell>
          <cell r="R26" t="str">
            <v>O n P Car ( 14 Inch ) 9     FF Sachet + Grass</v>
          </cell>
          <cell r="S26" t="str">
            <v>B Daisy ( 12 Inch ) 9     Grass</v>
          </cell>
          <cell r="T26" t="str">
            <v>Sunflower ( 12 Incjh ) 2     FF Sachet + grass</v>
          </cell>
        </row>
        <row r="27">
          <cell r="A27">
            <v>2247</v>
          </cell>
          <cell r="B27" t="str">
            <v>Reeya Naahar</v>
          </cell>
          <cell r="C27">
            <v>9818862169</v>
          </cell>
          <cell r="D27" t="str">
            <v>B-316-B, Sushant Lok-1</v>
          </cell>
          <cell r="E27" t="str">
            <v>M G Road</v>
          </cell>
          <cell r="F27" t="str">
            <v>Saturday</v>
          </cell>
          <cell r="G27" t="str">
            <v>9:30 AM to 2PM</v>
          </cell>
          <cell r="H27">
            <v>2300</v>
          </cell>
          <cell r="I27">
            <v>287.5</v>
          </cell>
          <cell r="J27" t="str">
            <v>Felicity</v>
          </cell>
          <cell r="K27" t="str">
            <v>Saturday n Tuesday// No Yel Spray Daisy // Do not count last del (06/07) No Gerbera (12/04)</v>
          </cell>
          <cell r="L27" t="str">
            <v>GERBERA</v>
          </cell>
          <cell r="N27" t="str">
            <v>4  del of this cycle   -  0-cycles pmnt   In Process - Collect 0</v>
          </cell>
          <cell r="O27" t="str">
            <v>P n W Car ( 14 Imch ) 11     FF Sachet + grass</v>
          </cell>
          <cell r="P27" t="str">
            <v>P Asiatic ( 14 Inch ) 2     Grass</v>
          </cell>
          <cell r="Q27" t="str">
            <v>Pur Eustoma ( 12 Inch ) 3     FF Sachet + Grass</v>
          </cell>
          <cell r="R27" t="str">
            <v>P n W Glad ( 14 Inch ) 11     Grass</v>
          </cell>
          <cell r="S27" t="str">
            <v>Rajni ( 14 Inch ) 11     Grass</v>
          </cell>
          <cell r="T27" t="str">
            <v>P n W Glad ( 14 inch ) 11     Grass</v>
          </cell>
        </row>
        <row r="28">
          <cell r="A28">
            <v>2692</v>
          </cell>
          <cell r="B28" t="str">
            <v>A K Jain</v>
          </cell>
          <cell r="C28">
            <v>9910309930</v>
          </cell>
          <cell r="D28" t="str">
            <v>B-785, Sushant Lok-1, Near Police Chowki</v>
          </cell>
          <cell r="E28" t="str">
            <v>M G Road</v>
          </cell>
          <cell r="F28" t="str">
            <v>Saturday</v>
          </cell>
          <cell r="G28" t="str">
            <v>9 AM - 12 PM</v>
          </cell>
          <cell r="H28">
            <v>2300</v>
          </cell>
          <cell r="I28">
            <v>287.5</v>
          </cell>
          <cell r="J28" t="str">
            <v>Felicity</v>
          </cell>
          <cell r="K28" t="str">
            <v>Saturdya n Tuesday (16/05) Hold from 10th to 14th June (07/06) Paytm From Akhil Jain (21/06) Skip sat del and send them on Sunday (30/07) Do not count last delivery (22/09) Hold 25th and 28th (19/10) Today Returned (04/11) Skip sat delivery (18/03) Do not count last Del (15/06)</v>
          </cell>
          <cell r="N28" t="str">
            <v>6  del of this cycle   -  0-cycles pmnt   Completed - Collect 0</v>
          </cell>
          <cell r="O28" t="str">
            <v>P Eustoma ( 12 Inch ) 3     FF Sachet + Grass</v>
          </cell>
          <cell r="P28" t="str">
            <v>P Asiatic ( 14 Inch ) 2     Grass</v>
          </cell>
          <cell r="Q28" t="str">
            <v>Mix Alstroemeria ( 12 Inch ) 11     FF Sachet + Grass</v>
          </cell>
          <cell r="R28" t="str">
            <v>O n P Car ( 14 Inch ) 11     FF Sachet + Grass</v>
          </cell>
          <cell r="S28" t="str">
            <v>Rajni ( 14 Inch ) 11     Grass</v>
          </cell>
          <cell r="T28" t="str">
            <v>P n W Glad ( 14 inch ) 11     Grass</v>
          </cell>
        </row>
        <row r="29">
          <cell r="A29">
            <v>3395</v>
          </cell>
          <cell r="B29" t="str">
            <v>Chhavi Sharma</v>
          </cell>
          <cell r="C29">
            <v>9773834450</v>
          </cell>
          <cell r="D29" t="str">
            <v>403, Plot No. 74, Sec 28, Near Golf Course Road</v>
          </cell>
          <cell r="E29" t="str">
            <v>DLF Phase 4</v>
          </cell>
          <cell r="F29" t="str">
            <v>Tuesday</v>
          </cell>
          <cell r="G29" t="str">
            <v>9 AM - 12 PM</v>
          </cell>
          <cell r="H29">
            <v>1450</v>
          </cell>
          <cell r="I29">
            <v>362.5</v>
          </cell>
          <cell r="J29" t="str">
            <v>Bliss</v>
          </cell>
          <cell r="K29" t="str">
            <v>Prefer Pink Lilies (29/06)</v>
          </cell>
          <cell r="N29" t="str">
            <v>1  del of this cycle   -  0-cycles pmnt   Completed - Collect 0</v>
          </cell>
          <cell r="O29" t="e">
            <v>#N/A</v>
          </cell>
          <cell r="P29" t="e">
            <v>#N/A</v>
          </cell>
          <cell r="Q29" t="e">
            <v>#N/A</v>
          </cell>
          <cell r="R29" t="e">
            <v>#N/A</v>
          </cell>
          <cell r="S29" t="e">
            <v>#N/A</v>
          </cell>
          <cell r="T29" t="str">
            <v>Pur n P Car (14 inch) 16     FF Sachet + Grass</v>
          </cell>
        </row>
        <row r="30">
          <cell r="A30">
            <v>3174</v>
          </cell>
          <cell r="B30" t="str">
            <v>Swapnil</v>
          </cell>
          <cell r="C30">
            <v>9910715560</v>
          </cell>
          <cell r="D30" t="str">
            <v>Axelle, 17-B, Tata Raisina, Sec 59</v>
          </cell>
          <cell r="E30" t="str">
            <v>Ghata</v>
          </cell>
          <cell r="F30" t="str">
            <v>Tuesday</v>
          </cell>
          <cell r="G30" t="str">
            <v>10 AM to 2:30 PM</v>
          </cell>
          <cell r="H30">
            <v>1450</v>
          </cell>
          <cell r="I30">
            <v>362.5</v>
          </cell>
          <cell r="J30" t="str">
            <v>Bliss</v>
          </cell>
          <cell r="K30" t="str">
            <v>Skip 1 week (05/12)</v>
          </cell>
          <cell r="N30" t="str">
            <v>3  del of this cycle   -  0-cycles pmnt   Completed - Collect 0</v>
          </cell>
          <cell r="O30" t="str">
            <v>O Asiatic ( 15 Inch ) 3     Grass</v>
          </cell>
          <cell r="P30" t="str">
            <v>Mix Alstroemeria ( 12 Inch ) 16     Grass</v>
          </cell>
          <cell r="Q30" t="str">
            <v>P n Y Spray Daisy ( 14 Inch ) 5     FF Sachet + Grass</v>
          </cell>
          <cell r="R30" t="str">
            <v>P n W Glad ( 14 Inch ) 16     Grass</v>
          </cell>
          <cell r="S30" t="str">
            <v>Pur Eustoma ( 12 Inch ) 3     FF Sachet + Grass</v>
          </cell>
          <cell r="T30" t="str">
            <v>P n W Car ( 14 Inch ) 16     FF Sachet + Grass</v>
          </cell>
        </row>
        <row r="31">
          <cell r="A31">
            <v>1334</v>
          </cell>
          <cell r="B31" t="str">
            <v>Rumika</v>
          </cell>
          <cell r="C31">
            <v>8750280078</v>
          </cell>
          <cell r="D31" t="str">
            <v>M-77, 1st Floor,Adani Samsara, Sector 60</v>
          </cell>
          <cell r="E31" t="str">
            <v>Ghata</v>
          </cell>
          <cell r="F31" t="str">
            <v>Saturday</v>
          </cell>
          <cell r="G31" t="str">
            <v>Post 5 PM</v>
          </cell>
          <cell r="H31">
            <v>2300</v>
          </cell>
          <cell r="I31">
            <v>287.5</v>
          </cell>
          <cell r="J31" t="str">
            <v>Felicity</v>
          </cell>
          <cell r="K31" t="str">
            <v>saturday n tuesday//Monday and Friday//Guldawari//Asiatic// car(06/03) Send anthuriums next and then upgrade to 1750 Package--BMF(23/03) Skiped 1 week due to HOLI(29/03) After this upgrade to 1750 Bi weekly plan -- Monday and Friday (04/04) Flowers-- Car//Rose//Lily//Guldawari//Gerbera//Spray Daisy(07/04) Send a replacement today(02/06) Flower Food Next(06/06) NO SPRAY DAISY(18/06) Shift to Elation after this cycle(14/09) Send less greens(21/09) NO GREENS(24/09) Pls send 1 stick of cotton on next del and check glad is being repeated(25/10) Skip n start from Monday(11/11) NO GERBERA(14/12) Send 1 heliconia tom as replacement(24/12) NO HELICONIA (11/02) Holy Change(16/03) Car//Guldawari//Asiatic//Orchid and 2 other best life flowers(13/06) START BIWEEKLY PLAN AFTER THIS CYCLE(06/07) Lilies Next(10/08) Repeat Last flowers(13/08) Hold till 22nd Sep(11/09) Do not count last del(06/11) No Orchid n Rajni and Lily Next (23/11) Sent replacememnt today (3/12) NO RAJNI/ANTHURIUM/HELICONIA and Less Glad (02/01) NO GLAD n ORCHID (29/01) Sent replacement // No BOP n GERBERA (29/04) Do Not count last delivery (19/09) Aster in Subscription (19/10) Send replacement today (21/10) Do not count last del (12/02) Alstroemeria Next (02/04) Do not count last del (11/06) Change slot to evebing post 5 PM and send one sunflower replacement tom (08/02) Last del not counted (30/04)</v>
          </cell>
          <cell r="L31" t="str">
            <v>Heliconia n Spray Daisy n Rajni</v>
          </cell>
          <cell r="M31" t="str">
            <v>Send 1 Extra Premiun next (08/02)</v>
          </cell>
          <cell r="N31" t="str">
            <v>3  del of this cycle   -  1-cycles pmnt   Pending - Collect 2300</v>
          </cell>
          <cell r="O31" t="str">
            <v>P n W Glad ( 14 Inch ) 11     Grass</v>
          </cell>
          <cell r="P31" t="str">
            <v>P n W Glad ( 14 Inch ) 11     Grass</v>
          </cell>
          <cell r="Q31" t="str">
            <v>Pur Eustoma ( 12 Inch ) 3     FF Sachet + Grass</v>
          </cell>
          <cell r="R31" t="str">
            <v>Y Spray Daisy ( 14 Inch ) 3     FF Sachet + Grass</v>
          </cell>
          <cell r="S31" t="str">
            <v>Eustoma 3     Grass</v>
          </cell>
          <cell r="T31" t="str">
            <v>P n W Glad ( 14 inch ) 11    Ensure Collection Grass</v>
          </cell>
        </row>
        <row r="32">
          <cell r="A32">
            <v>3333</v>
          </cell>
          <cell r="B32" t="str">
            <v>Urshita Gupta</v>
          </cell>
          <cell r="C32">
            <v>9910738939</v>
          </cell>
          <cell r="D32" t="str">
            <v>D-202, Pilot Court, Essel Towers</v>
          </cell>
          <cell r="E32" t="str">
            <v>M G Road</v>
          </cell>
          <cell r="F32" t="str">
            <v>Tuesday</v>
          </cell>
          <cell r="G32" t="str">
            <v>10 AM to 2:30 PM</v>
          </cell>
          <cell r="H32">
            <v>1950</v>
          </cell>
          <cell r="I32">
            <v>487.5</v>
          </cell>
          <cell r="J32" t="str">
            <v>Joy</v>
          </cell>
          <cell r="K32" t="str">
            <v>Change day to Tuesday (29/04) Hold till1 st June (20/05) Paytm From Urshita Saini (05/06)</v>
          </cell>
          <cell r="N32" t="str">
            <v>1  del of this cycle   -  1-cycles pmnt   Pending - Collect 1950</v>
          </cell>
          <cell r="O32" t="e">
            <v>#N/A</v>
          </cell>
          <cell r="P32" t="str">
            <v>R n W Car ( 14 Inch ) 22     FF sachet + Grass</v>
          </cell>
          <cell r="Q32" t="str">
            <v>Mix Alstroemeria ( 12 Inch ) 22     FF Sachet + Grass</v>
          </cell>
          <cell r="R32" t="str">
            <v>P n W Spray Daisy ( 14 inch ) 7     FF Sachet + Grass</v>
          </cell>
          <cell r="S32" t="str">
            <v>Mix Car 22     Grass</v>
          </cell>
          <cell r="T32" t="str">
            <v>O Asiatic ( 14 Inch ) 4     Grass</v>
          </cell>
        </row>
        <row r="33">
          <cell r="A33">
            <v>1554</v>
          </cell>
          <cell r="B33" t="str">
            <v>Farea Aziz</v>
          </cell>
          <cell r="C33">
            <v>9871694052</v>
          </cell>
          <cell r="D33" t="str">
            <v>Selan Exploration Tech Ltd, 8th Floor , Imperial Mindspace, Sec 62</v>
          </cell>
          <cell r="E33" t="str">
            <v>Ghata</v>
          </cell>
          <cell r="F33" t="str">
            <v>Tuesday</v>
          </cell>
          <cell r="G33" t="str">
            <v>By 10 AM</v>
          </cell>
          <cell r="H33">
            <v>1950</v>
          </cell>
          <cell r="I33">
            <v>487.5</v>
          </cell>
          <cell r="J33" t="str">
            <v>Corporate</v>
          </cell>
          <cell r="K33" t="str">
            <v>Return-send next week(03/01) Return-send tom at new add (04/10) Today hold -send tom (15/08) Today returned-send tom (24/10)</v>
          </cell>
          <cell r="N33" t="str">
            <v>2  del of this cycle   -  0-cycles pmnt   In Process - Collect 0</v>
          </cell>
          <cell r="O33" t="str">
            <v>Y Asiatic ( 15 inch ) 2 P n W Car ( 14 Inch ) 11   Grass</v>
          </cell>
          <cell r="P33" t="str">
            <v>Sunflowers ( 14 Inch ) 3 P n W Glad ( 14 Inch ) 11   FF sachet + Grass</v>
          </cell>
          <cell r="Q33" t="str">
            <v>P Eustoma ( 12 Inch ) 2 Mix Alstroemeria ( 12 Inch ) 11   FF Sachet + Grass</v>
          </cell>
          <cell r="R33" t="str">
            <v>P Asiatic ( 14 Inch ) 2 O n P Car ( 14 Inch ) 11   Grass</v>
          </cell>
          <cell r="S33" t="str">
            <v>Sunflower ( 12 Inch ) 3 P n W Glad ( 14 Inch ) 11   FF Sachet + Grass</v>
          </cell>
          <cell r="T33" t="str">
            <v>Pur Eustoma 2 B Daisy 11   FF Sachet + Grass</v>
          </cell>
        </row>
        <row r="34">
          <cell r="A34">
            <v>918</v>
          </cell>
          <cell r="B34" t="str">
            <v>FIVD</v>
          </cell>
          <cell r="C34">
            <v>9560117868</v>
          </cell>
          <cell r="D34" t="str">
            <v>Fivd India, 22-27, 7th Floor, A Tower, Emaar Digital Green Sec 61</v>
          </cell>
          <cell r="E34" t="str">
            <v>Ghata</v>
          </cell>
          <cell r="F34" t="str">
            <v>Tuesday</v>
          </cell>
          <cell r="G34" t="str">
            <v>9 AM - 12 PM</v>
          </cell>
          <cell r="H34">
            <v>1950</v>
          </cell>
          <cell r="I34">
            <v>487.5</v>
          </cell>
          <cell r="J34" t="str">
            <v>Corporate</v>
          </cell>
          <cell r="K34" t="str">
            <v>Only Asiatic(12/10) Skip this week(26/10) Google pay from manas mehrotra(24/11) Return-send on Tuesday(08/12) Gpay From Priyanka Singh (24/09) Sent a vase today (07/02) Add Changed (14/07) Today hold-send tom (15/08) send replacement tom (16/08) Today returned-send tom (24/10) Sent replacement today (04/07) Sent replacement today (27/11) Office was closed (21/10)</v>
          </cell>
          <cell r="L34" t="str">
            <v>GLAD And GULDAWARI AND SPRAY DAISY</v>
          </cell>
          <cell r="N34" t="str">
            <v>2  del of this cycle   -  0-cycles pmnt   In Process - Collect 0</v>
          </cell>
          <cell r="O34" t="str">
            <v>Mix Alstroemeria ( 14 inch ) 22     FF Sachet + Grass</v>
          </cell>
          <cell r="P34" t="str">
            <v>Y Asiatic ( 14 Inch ) 4     Grass</v>
          </cell>
          <cell r="Q34" t="str">
            <v>Sunflower ( 12 Inch ) 5     FF Sachet + Grass</v>
          </cell>
          <cell r="R34" t="str">
            <v>P n W Glad ( 14 Inch ) 22     Grass</v>
          </cell>
          <cell r="S34" t="str">
            <v>Pur n P Car ( 14 Inch ) 22     FF Sachet + Grass</v>
          </cell>
          <cell r="T34" t="str">
            <v>O Asiatic ( 14 Inch ) 4     Grass</v>
          </cell>
        </row>
        <row r="35">
          <cell r="A35">
            <v>1389</v>
          </cell>
          <cell r="B35" t="str">
            <v>Revathi-- After 5 PM</v>
          </cell>
          <cell r="C35">
            <v>9811998878</v>
          </cell>
          <cell r="D35" t="str">
            <v>A-1201, The Emaar Palm Drive</v>
          </cell>
          <cell r="E35" t="str">
            <v>Badshahpur</v>
          </cell>
          <cell r="F35" t="str">
            <v>Friday</v>
          </cell>
          <cell r="G35" t="str">
            <v>4 PM to 7PM</v>
          </cell>
          <cell r="H35">
            <v>3850</v>
          </cell>
          <cell r="I35">
            <v>481.25</v>
          </cell>
          <cell r="J35" t="str">
            <v>Grace</v>
          </cell>
          <cell r="K35" t="str">
            <v>Friday and Tuesday// NO RAJNIGANDHA NOW ONLY LILIES//CAR AND GLAD(26/07)  NO WONLY LILIES, HELICONIA AND CAR IN YELLOW OR ORANGE ONLY(11/09)  ONLY  LILIES/GLADIOLI AND HELICONIA ONLY IN YELL AND ORANGE COLOR-- NOCARNATION(01/10) Rajni or Bop next(18/10) Send 1 FF Next(29/06) LILY n GLAD ARE PREFERRED(29/06) Now From Rose//Car//Glad//Guldawari//Asiatic//Oriental(03/08) Skip this friday(09/08) No Upgrade (17/10) Skip 1 week (114/11) Skip 1 week after tom Delivery (09/03) No Del on Froday-- sned on Tuesda (29/03) Glad Next (01/05) Hold n start after 8th June (12/05) Bop n Heliconia Next (10/02) Skip tom Del (28/03) Flower food next (14/05) Hold till 8th (29/05) No Gerbera and Orchid (28/07) One Payment received today (01/10) Skip Friday Del (27/11) Skip friday (25/12) Return not at home (20/06) Today Returned (20/06) Received one payment of 3250 today (21/07)</v>
          </cell>
          <cell r="L35" t="str">
            <v>Gerbera n ORCHID</v>
          </cell>
          <cell r="N35" t="str">
            <v>1  del of this cycle   -  0-cycles pmnt   Completed - Collect 0</v>
          </cell>
          <cell r="O35" t="str">
            <v>Y Asiatic ( 15 inch ) 4     Grass</v>
          </cell>
          <cell r="P35" t="str">
            <v>Mix Alstroemeria ( 12 Inch ) 20     FF sachet + Grass</v>
          </cell>
          <cell r="Q35" t="str">
            <v>R n P Car ( 14 Inch ) 20     FF Sachet + Grass</v>
          </cell>
          <cell r="R35" t="str">
            <v>P n Y Spray Daisy ( 14 Inch ) 6     FF Sachet + Grass</v>
          </cell>
          <cell r="S35" t="str">
            <v>Mix Alstromia 20     Grass</v>
          </cell>
          <cell r="T35" t="str">
            <v>Pur n P Eustoma ( 12 Inch ) 4     FF Sachet + Grass</v>
          </cell>
        </row>
        <row r="36">
          <cell r="A36">
            <v>3117</v>
          </cell>
          <cell r="B36" t="str">
            <v>Rupi</v>
          </cell>
          <cell r="C36">
            <v>9412006708</v>
          </cell>
          <cell r="D36" t="str">
            <v>T-14/304, Heritage City</v>
          </cell>
          <cell r="E36" t="str">
            <v>M G Road</v>
          </cell>
          <cell r="F36" t="str">
            <v>Tuesday</v>
          </cell>
          <cell r="G36" t="str">
            <v>10 AM to 2:30 PM</v>
          </cell>
          <cell r="H36">
            <v>1450</v>
          </cell>
          <cell r="I36">
            <v>362.5</v>
          </cell>
          <cell r="J36" t="str">
            <v>Bliss</v>
          </cell>
          <cell r="K36" t="str">
            <v>Start From 29th and then next del from 9th Dec (18/11) This week on Saturday (06/2) Hold today and send on Saturday and then tuesday(03/03) Skip tom (20/04) Skip tom n send on saturdqay this week (20/06)</v>
          </cell>
          <cell r="N36" t="str">
            <v>3  del of this cycle   -  0-cycles pmnt   Completed - Collect 0</v>
          </cell>
          <cell r="O36" t="str">
            <v>Mix Alstroemeria ( 14 inch ) 9     FF Sachet + Grass</v>
          </cell>
          <cell r="P36" t="e">
            <v>#N/A</v>
          </cell>
          <cell r="Q36" t="e">
            <v>#N/A</v>
          </cell>
          <cell r="R36" t="str">
            <v>P n Y Spray Daisy ( 14 Inch ) 5     FF Sachet + Grass</v>
          </cell>
          <cell r="S36" t="e">
            <v>#N/A</v>
          </cell>
          <cell r="T36" t="str">
            <v>O Asiatic ( 14 Inch ) 3     Grass</v>
          </cell>
        </row>
        <row r="37">
          <cell r="A37">
            <v>2594</v>
          </cell>
          <cell r="B37" t="str">
            <v>Anamika Sirohi</v>
          </cell>
          <cell r="C37">
            <v>9971707368</v>
          </cell>
          <cell r="D37" t="str">
            <v>E-703M The Vikas, DLF Phase 2</v>
          </cell>
          <cell r="E37" t="str">
            <v>DLF Phase 2</v>
          </cell>
          <cell r="F37" t="str">
            <v>Tuesday</v>
          </cell>
          <cell r="G37" t="str">
            <v>9 AM to 2 PM</v>
          </cell>
          <cell r="H37">
            <v>999</v>
          </cell>
          <cell r="I37">
            <v>249.75</v>
          </cell>
          <cell r="J37" t="str">
            <v>Delight</v>
          </cell>
          <cell r="K37" t="str">
            <v>Preferred Flowers -- Rose/Rajni/Gerbera/Lilies/Glad/car // Today Hold (12/08) Skip 2 week (13/08) Paytm From sangram Singh (10/09)</v>
          </cell>
          <cell r="N37" t="str">
            <v>4  del of this cycle   -  0-cycles pmnt   CompletedNO COLLECTION-we have extra money - Collect -10</v>
          </cell>
          <cell r="O37" t="str">
            <v>O Spray Daisy ( 15 Inch ) 3     FF Sachet + Grass</v>
          </cell>
          <cell r="P37" t="str">
            <v>P Asiatic ( 14 Inch ) 2     Grass</v>
          </cell>
          <cell r="Q37" t="str">
            <v>R n P Car ( 14 Inch ) 9     FF Sachet + Grass</v>
          </cell>
          <cell r="R37" t="str">
            <v>Mix Alstroemeria ( 12 Inch ) 9     FF Sachet + Grass</v>
          </cell>
          <cell r="S37" t="str">
            <v>Sunflower ( 12 Inch ) 2     FF Sachet + Grass</v>
          </cell>
          <cell r="T37" t="str">
            <v>P n W Glad ( 14 inch ) 9     Grass</v>
          </cell>
        </row>
        <row r="38">
          <cell r="A38">
            <v>1542</v>
          </cell>
          <cell r="B38" t="str">
            <v>Anisha Sethi</v>
          </cell>
          <cell r="C38">
            <v>9811004396</v>
          </cell>
          <cell r="D38" t="str">
            <v>Q-1/25, DLF Phase 2</v>
          </cell>
          <cell r="E38" t="str">
            <v>M G Road</v>
          </cell>
          <cell r="F38" t="str">
            <v>Saturday</v>
          </cell>
          <cell r="G38" t="str">
            <v>9 AM to 2 PM</v>
          </cell>
          <cell r="H38">
            <v>3000</v>
          </cell>
          <cell r="I38">
            <v>375</v>
          </cell>
          <cell r="J38" t="str">
            <v>Charm</v>
          </cell>
          <cell r="K38" t="str">
            <v>Saturdya n Tuesday//always mix of 2 flowers and send a scissor on 1st del for Rs.50(11/10) Send 1 Scissor also(13/10) Send Scissor Tom(15/10) Send Mogra next(18/10) NO HELICONIA and BOP(19/11) Skip this Tuesday(10/04) Skip this Tuesday Del(02/05) Skip 28th May Flowers(25/05) Sent replacement today(07/06) NO DEL BETWEEN 14TH AND 24TH JULY(06/07) Skip 12th , 16th , 19th and 23rd July(11/07) Skip 1 week(25/08) NO UPGRADE(17/10) Pause from 25th to 6th Apr (24/03) Asiatic n Car (05/05) No Delivery from 10th June to 15th July (07/06) Skip tom delivery (04/09) No flowers on 28th (26/10) Skip 1 Del (12/02) Hold on 2nd,6th and 9th Apr (30/03) Skip 20th Del (19/08) Pls hold n start from 5th Oct (22/09) No sunflowers for some time (15/04) Hold from 17th May t0 17th June (14/05) Collect 400 next and carry change (29/07) 400 cash on 5th Aug (12/08) Hold n send on 23rd Now (17/08)</v>
          </cell>
          <cell r="L38" t="str">
            <v>HELICONIA n BOP</v>
          </cell>
          <cell r="M38" t="str">
            <v>No Sunflowers for some time (15/04) Change of Rs. 50 Next (28/04)</v>
          </cell>
          <cell r="N38" t="str">
            <v>5  del of this cycle   -  0-cycles pmnt   Completed - Collect 0</v>
          </cell>
          <cell r="O38" t="e">
            <v>#N/A</v>
          </cell>
          <cell r="P38" t="e">
            <v>#N/A</v>
          </cell>
          <cell r="Q38" t="e">
            <v>#N/A</v>
          </cell>
          <cell r="R38" t="str">
            <v>P Spray Daisy ( 14 Inch ) 2 P n W Glad ( 14 Inch ) 7   FF Sachet + Grass</v>
          </cell>
          <cell r="S38" t="str">
            <v>Pur Eustoma ( 12 Inch ) 2 Rajni ( 14 Inch ) 7   FF Sachet + Grass</v>
          </cell>
          <cell r="T38" t="str">
            <v>Sunflower ( 12 Incjh ) 2 P n W Car ( 14 Inch ) 7   FF Sachet + Grass</v>
          </cell>
        </row>
        <row r="39">
          <cell r="A39">
            <v>3306</v>
          </cell>
          <cell r="B39" t="str">
            <v>Abhishek Jain</v>
          </cell>
          <cell r="C39">
            <v>9004227662</v>
          </cell>
          <cell r="D39" t="str">
            <v>N-3/8, 2nd Floor, Road No. N-3, Sector 25</v>
          </cell>
          <cell r="E39" t="str">
            <v>DLF Phase 2</v>
          </cell>
          <cell r="F39" t="str">
            <v>Tuesday</v>
          </cell>
          <cell r="G39" t="str">
            <v>9:30 AM to 2 PM</v>
          </cell>
          <cell r="H39">
            <v>1450</v>
          </cell>
          <cell r="I39">
            <v>362.5</v>
          </cell>
          <cell r="J39" t="str">
            <v>Bliss</v>
          </cell>
          <cell r="K39" t="str">
            <v>Skip 2 week (16/04)</v>
          </cell>
          <cell r="N39" t="str">
            <v>2  del of this cycle   -  1-cycles pmnt   Pending - Collect 1450</v>
          </cell>
          <cell r="O39" t="str">
            <v>Mix Alstroemeria ( 14 inch ) 16     FF Sachet + Grass</v>
          </cell>
          <cell r="P39" t="str">
            <v>P n W Glad ( 14 Inch ) 16     Grass</v>
          </cell>
          <cell r="Q39" t="str">
            <v>P n W Spray Daisy ( 14 Inch ) 5     FF Sachet + Grass</v>
          </cell>
          <cell r="R39" t="str">
            <v>O n P Car ( 14 Inch ) 16     FF Sachet + Grass</v>
          </cell>
          <cell r="S39" t="str">
            <v>Pur Eustoma ( 12 Inch ) 3     FF Sachet + Grass</v>
          </cell>
          <cell r="T39" t="str">
            <v>Y Asiatic ( 14 Inch ) 3    Ensure Collection Grass</v>
          </cell>
        </row>
        <row r="40">
          <cell r="A40">
            <v>3297</v>
          </cell>
          <cell r="B40" t="str">
            <v>Samby</v>
          </cell>
          <cell r="C40">
            <v>9818996771</v>
          </cell>
          <cell r="D40" t="str">
            <v>C-183 A, 4th Floor, Sushant Lok 1</v>
          </cell>
          <cell r="E40" t="str">
            <v>M G Road</v>
          </cell>
          <cell r="F40" t="str">
            <v>Tuesday</v>
          </cell>
          <cell r="G40" t="str">
            <v>10 AM to 2:30 PM</v>
          </cell>
          <cell r="H40">
            <v>1450</v>
          </cell>
          <cell r="I40">
            <v>362.5</v>
          </cell>
          <cell r="J40" t="str">
            <v>Bliss</v>
          </cell>
          <cell r="K40" t="str">
            <v>Paytm From Sumit Kumar Bedi Jaga (29/03)</v>
          </cell>
          <cell r="N40" t="str">
            <v>2  del of this cycle   -  0-cycles pmnt   Completed - Collect 0</v>
          </cell>
          <cell r="O40" t="str">
            <v>O Asiatic ( 15 Inch ) 3     Grass</v>
          </cell>
          <cell r="P40" t="str">
            <v>P n Y Spray Daisy ( 14 Inch ) 5     FF sachet + Grass</v>
          </cell>
          <cell r="Q40" t="str">
            <v>R n P Car ( 14 Inch ) 16     FF Sachet + Grass</v>
          </cell>
          <cell r="R40" t="str">
            <v>Mix Alstroemeria ( 12 Inch ) 16     FF Sachet + Grass</v>
          </cell>
          <cell r="S40" t="str">
            <v>Mix Spray Daisy 5     Grass</v>
          </cell>
          <cell r="T40" t="str">
            <v>Rajni ( 14 Inch ) 16     Grass</v>
          </cell>
        </row>
        <row r="41">
          <cell r="A41" t="str">
            <v>B56310</v>
          </cell>
          <cell r="B41">
            <v>9971105361</v>
          </cell>
          <cell r="C41">
            <v>9971105361</v>
          </cell>
          <cell r="D41" t="str">
            <v>A-16, 2nd Floor, Ashok Estate, Anant Raj Estate, Sec 63 A</v>
          </cell>
          <cell r="E41" t="str">
            <v>Ghata</v>
          </cell>
          <cell r="F41" t="str">
            <v>Friday</v>
          </cell>
          <cell r="G41" t="str">
            <v>By 11:30 aM</v>
          </cell>
          <cell r="H41">
            <v>1050</v>
          </cell>
          <cell r="I41">
            <v>950</v>
          </cell>
          <cell r="J41" t="str">
            <v>Bouquet</v>
          </cell>
          <cell r="K41" t="str">
            <v>Rose Mala</v>
          </cell>
          <cell r="N41" t="str">
            <v>1  del of this cycle   -  1-cycles pmnt   Pending - Collect 1050</v>
          </cell>
          <cell r="O41" t="e">
            <v>#N/A</v>
          </cell>
          <cell r="P41" t="e">
            <v>#N/A</v>
          </cell>
          <cell r="Q41" t="e">
            <v>#N/A</v>
          </cell>
          <cell r="R41" t="e">
            <v>#N/A</v>
          </cell>
          <cell r="S41" t="e">
            <v>#N/A</v>
          </cell>
          <cell r="T41" t="str">
            <v xml:space="preserve">Rose Mala 21     </v>
          </cell>
        </row>
        <row r="42">
          <cell r="A42">
            <v>2463</v>
          </cell>
          <cell r="B42" t="str">
            <v>Rishika Mazumdar</v>
          </cell>
          <cell r="C42">
            <v>9674039510</v>
          </cell>
          <cell r="D42" t="str">
            <v>A-45/17, 4th Floor, Yadav House, Sec 28, DLF Phase 1</v>
          </cell>
          <cell r="E42" t="str">
            <v>DLF Phase 1</v>
          </cell>
          <cell r="F42" t="str">
            <v>Tuesday</v>
          </cell>
          <cell r="G42" t="str">
            <v>9 AM - 12 PM</v>
          </cell>
          <cell r="H42">
            <v>1450</v>
          </cell>
          <cell r="I42">
            <v>362.5</v>
          </cell>
          <cell r="J42" t="str">
            <v>Bliss</v>
          </cell>
          <cell r="K42" t="str">
            <v>Referred by Navjot Kaur// Sent replacement today (15/04) skip next and send on Tuesday (26/04) Skip n send on Tuesday (22/06) Skip tom n send on Tuesday (04/07) Change day to Tuesday (17/07) Hold from 20th Sep and stsrt from 11th Oct (01/09) Skip 25th and sned on 29th (18/11) Paytm from Tushar Gupta (17/02) Hold till 12th April (29/03)</v>
          </cell>
          <cell r="M42" t="str">
            <v>Don’t send on  28th -- sned on 1st July(26/04)</v>
          </cell>
          <cell r="N42" t="str">
            <v>2  del of this cycle   -  0-cycles pmnt   Completed - Collect 0</v>
          </cell>
          <cell r="O42" t="str">
            <v>Y Asiatic ( 15 inch ) 2     Grass</v>
          </cell>
          <cell r="P42" t="str">
            <v>R n W Car ( 14 Inch ) 9     FF sachet + Grass</v>
          </cell>
          <cell r="Q42" t="str">
            <v>P n W Glad ( 14 Inch ) 9     Grass</v>
          </cell>
          <cell r="R42" t="str">
            <v>Sunflower ( 12 Inch ) 2     FF Sachet + Grass</v>
          </cell>
          <cell r="S42" t="str">
            <v>B Daisy ( 12 Inch ) 16     Grass</v>
          </cell>
          <cell r="T42" t="str">
            <v>O Asiatic ( 14 Inch ) 3     Grass</v>
          </cell>
        </row>
        <row r="43">
          <cell r="A43">
            <v>2426</v>
          </cell>
          <cell r="B43" t="str">
            <v>Pragati Agarwal</v>
          </cell>
          <cell r="C43">
            <v>9811152110</v>
          </cell>
          <cell r="D43" t="str">
            <v>C-1019, G Floor, Sushant Lok 1</v>
          </cell>
          <cell r="E43" t="str">
            <v>M G Road</v>
          </cell>
          <cell r="F43" t="str">
            <v>Tuesday</v>
          </cell>
          <cell r="G43" t="str">
            <v>10 AM to 2:30 PM</v>
          </cell>
          <cell r="H43">
            <v>1950</v>
          </cell>
          <cell r="I43">
            <v>487.5</v>
          </cell>
          <cell r="J43" t="str">
            <v>Joy</v>
          </cell>
          <cell r="K43" t="str">
            <v>Skip 1 week (10/04) No Bop (29/04) No Rajni (29/07) One kind of flowers (31/10) Skip 1 week (05/01) Hold 1 month (07/03) Paytm From Tanmay Agarwal (05/05)</v>
          </cell>
          <cell r="L43" t="str">
            <v>BOP n Rajni</v>
          </cell>
          <cell r="M43" t="str">
            <v>One Kind of Flower (31/10)</v>
          </cell>
          <cell r="N43" t="str">
            <v>2  del of this cycle   -  1-cycles pmnt   Pending - Collect 1900</v>
          </cell>
          <cell r="O43" t="str">
            <v>Y Asiatic ( 15 inch ) 4     Grass</v>
          </cell>
          <cell r="P43" t="str">
            <v>P n W Spray Daisy ( 14 Inch ) 7     FF sachet + Grass</v>
          </cell>
          <cell r="Q43" t="str">
            <v>Mix Alstroemeria ( 12 Inch ) 22     FF Sachet + Grass</v>
          </cell>
          <cell r="R43" t="str">
            <v>O n P Car ( 14 Inch ) 22     FF Sachet + Grass</v>
          </cell>
          <cell r="S43" t="str">
            <v>Sunflower ( 12 Inch ) 4     Grass</v>
          </cell>
          <cell r="T43" t="str">
            <v>P n W Glad ( 14 inch ) 22    Ensure Collection Grass</v>
          </cell>
        </row>
        <row r="44">
          <cell r="A44" t="str">
            <v>B56309</v>
          </cell>
          <cell r="B44" t="str">
            <v>Neetu Narain</v>
          </cell>
          <cell r="C44" t="str">
            <v>9811379999 // 9811579999</v>
          </cell>
          <cell r="D44" t="str">
            <v>T-18B, DLF Windsor Court</v>
          </cell>
          <cell r="E44" t="str">
            <v>DLF Phase 4</v>
          </cell>
          <cell r="F44" t="str">
            <v>Tuesday</v>
          </cell>
          <cell r="G44" t="str">
            <v>By 10 AM</v>
          </cell>
          <cell r="H44">
            <v>2400</v>
          </cell>
          <cell r="I44">
            <v>2400</v>
          </cell>
          <cell r="J44" t="str">
            <v>Bouquet</v>
          </cell>
          <cell r="K44" t="str">
            <v>From 9582241755// 40 Lilac Rose in White n Golden Wrap// Happy Anniversary Mom &amp; Dad (29/06)</v>
          </cell>
          <cell r="N44" t="str">
            <v>1  del of this cycle   -  0-cycles pmnt   Completed - Collect 0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str">
            <v xml:space="preserve">Lilac Rose 40 W n Golden Tissue Wrap Message   </v>
          </cell>
        </row>
        <row r="45">
          <cell r="A45">
            <v>3106</v>
          </cell>
          <cell r="B45" t="str">
            <v>Nitee Johar</v>
          </cell>
          <cell r="C45">
            <v>9810661849</v>
          </cell>
          <cell r="D45" t="str">
            <v>H-11/4 Dlf Phase 1, Gurgaon</v>
          </cell>
          <cell r="E45" t="str">
            <v>DLF Phase 1</v>
          </cell>
          <cell r="F45" t="str">
            <v>Tuesday</v>
          </cell>
          <cell r="G45" t="str">
            <v>9 AM to 2 PM</v>
          </cell>
          <cell r="H45">
            <v>1450</v>
          </cell>
          <cell r="I45">
            <v>362.5</v>
          </cell>
          <cell r="J45" t="str">
            <v>Collection Only</v>
          </cell>
          <cell r="K45" t="str">
            <v>Ho;d due to non payment (13/01) Hold due to non payment (20/01) Hold due to non payment (27/01) Hold due to non payment (03/02) Hold due to non payment (10/02) Paytm From Kavita -- 25176 (24/03) HDTNP (02/06) HDTNP (09/06) HDTNP (16/06) HDTNP (23/06)</v>
          </cell>
          <cell r="N45" t="str">
            <v>3  del of this cycle   -  1-cycles pmnt   Pending - Collect 1450</v>
          </cell>
          <cell r="O45" t="str">
            <v>Y Asiatic ( 15 inch ) 3    Ensure Collection Grass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str">
            <v xml:space="preserve">Collect 725 Carry Receipt Book     </v>
          </cell>
        </row>
        <row r="46">
          <cell r="A46">
            <v>2536</v>
          </cell>
          <cell r="B46" t="str">
            <v xml:space="preserve">Poonam Lal </v>
          </cell>
          <cell r="C46">
            <v>9811096665</v>
          </cell>
          <cell r="D46" t="str">
            <v>T-121/173, Silver Oaks Appartments</v>
          </cell>
          <cell r="E46" t="str">
            <v>DLF Phase 1</v>
          </cell>
          <cell r="F46" t="str">
            <v>Saturday</v>
          </cell>
          <cell r="G46" t="str">
            <v>9 AM - 12 PM</v>
          </cell>
          <cell r="H46">
            <v>1450</v>
          </cell>
          <cell r="I46">
            <v>362.5</v>
          </cell>
          <cell r="J46" t="str">
            <v>Bliss</v>
          </cell>
          <cell r="K46" t="str">
            <v>10% Discount // Today hold (02/08) Hold n start after 11th Sep (05/09) Start after 27th Jan (16/01) Skip tom (03/04) Skip tom add being changed (01/05) Hold till 04th June (26/05)</v>
          </cell>
          <cell r="N46" t="str">
            <v>3  del of this cycle   -  0-cycles pmnt   Completed - Collect 0</v>
          </cell>
          <cell r="O46" t="str">
            <v>Y Asiatic ( 15 inch ) 2     Grass</v>
          </cell>
          <cell r="P46" t="e">
            <v>#N/A</v>
          </cell>
          <cell r="Q46" t="str">
            <v>P n W Glad ( 14 Inch ) 9     Grass</v>
          </cell>
          <cell r="R46" t="str">
            <v>P n Y Spray Daisy ( 14 Inch ) 5     FF Sachet + Grass</v>
          </cell>
          <cell r="S46" t="str">
            <v>Rajni ( 14 Inch ) 16     FF Sachet + Grass</v>
          </cell>
          <cell r="T46" t="str">
            <v>P n W Car ( 14 Inch ) 16     FF Sachet + Grass</v>
          </cell>
        </row>
        <row r="47">
          <cell r="B47" t="str">
            <v xml:space="preserve"> Anil moti.  </v>
          </cell>
          <cell r="C47" t="str">
            <v>98110 43301‬</v>
          </cell>
          <cell r="D47" t="str">
            <v>Tower 5. Flat no 1401 / 1501.  Uniworld garden sona road.</v>
          </cell>
          <cell r="H47">
            <v>1150</v>
          </cell>
          <cell r="J47" t="str">
            <v>Bouquet</v>
          </cell>
          <cell r="K47" t="str">
            <v>Address. Anil moti.  Tower 5. Flat no 1401 / 1501.  Uniworld garden sona road.
‪+91 98110 43301‬
Wish you a very happy birthday 
From Koul’s
Pls send 8 blue orchids in same wrap today as early as possible from ‪+91 98997 99422</v>
          </cell>
          <cell r="T47" t="str">
            <v xml:space="preserve">B Orchid 8 Same Wrap Message   </v>
          </cell>
        </row>
        <row r="48">
          <cell r="B48" t="str">
            <v>96509 56777‬</v>
          </cell>
          <cell r="C48" t="str">
            <v>96509 56777‬</v>
          </cell>
          <cell r="D48" t="str">
            <v>Topaz - 42 First Floor, Emaar Emerald Hills, Sector - 65, Gurgaon 122001</v>
          </cell>
          <cell r="G48" t="str">
            <v>Before 11.30</v>
          </cell>
          <cell r="H48">
            <v>1150</v>
          </cell>
          <cell r="J48" t="str">
            <v>Bouquet</v>
          </cell>
          <cell r="K48" t="str">
            <v>Topaz - 42 First Floor, Emaar Emerald Hills, Sector - 65, Gurgaon 122001
‪+91 96509 56777‬
Pls send 5 sunflowers and 10 Rajnigandha today before 11:30am with areca palms and greens</v>
          </cell>
          <cell r="T48" t="str">
            <v xml:space="preserve">Sunflower +Rajni 5+10 Grass+arica    </v>
          </cell>
        </row>
        <row r="49">
          <cell r="B49" t="str">
            <v>Prashant Lal</v>
          </cell>
          <cell r="C49">
            <v>8007162220</v>
          </cell>
          <cell r="D49" t="str">
            <v>215, Second Floor, Orchid Island
Sector - 51, Gurgaon</v>
          </cell>
          <cell r="H49">
            <v>1600</v>
          </cell>
          <cell r="J49" t="str">
            <v>Bouquet</v>
          </cell>
          <cell r="K49" t="str">
            <v>Send today 
15 roses red and 15 Rajnigandha in single brown wrap to 
Delivery address:
Prashant Lal
215, Second Floor, Orchid Island
Sector - 51, Gurgaon
Ph - 8007162220</v>
          </cell>
          <cell r="T49" t="str">
            <v xml:space="preserve">R Rose+ Rajni 20+15 Single Wrap    </v>
          </cell>
        </row>
        <row r="50">
          <cell r="B50" t="str">
            <v>Shalini Thapar</v>
          </cell>
          <cell r="C50">
            <v>9810117700</v>
          </cell>
          <cell r="D50" t="str">
            <v>205B LTH the laburnum, sushant lok phase 1, sector 28, 122009</v>
          </cell>
          <cell r="H50">
            <v>3000</v>
          </cell>
          <cell r="J50" t="str">
            <v>Bouquet</v>
          </cell>
          <cell r="T50" t="str">
            <v xml:space="preserve">Asiatic+Car 12+15 Tissue Wrap Message   </v>
          </cell>
        </row>
        <row r="51">
          <cell r="B51" t="str">
            <v xml:space="preserve">Anubhi </v>
          </cell>
          <cell r="D51" t="str">
            <v>H 16 GF South city 2 Sec 50</v>
          </cell>
          <cell r="H51">
            <v>900</v>
          </cell>
          <cell r="J51" t="str">
            <v>Basket</v>
          </cell>
          <cell r="T51" t="str">
            <v xml:space="preserve">car+Estoma +Dassiy 10+3+3 msg    </v>
          </cell>
        </row>
      </sheetData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-07-26"/>
      <sheetName val="02-07-26"/>
      <sheetName val="03-07-26"/>
      <sheetName val="04-07-26"/>
      <sheetName val="05-07-26"/>
      <sheetName val="06-07-26"/>
      <sheetName val="07-07-26"/>
      <sheetName val="08-07-26"/>
      <sheetName val="09-07-26"/>
      <sheetName val="10-07-26"/>
      <sheetName val="11-07-26"/>
      <sheetName val="12-07-26"/>
      <sheetName val="13-07-26"/>
      <sheetName val="14-07-26"/>
      <sheetName val="15-07-26"/>
      <sheetName val="16-07-26"/>
      <sheetName val="17-07-26"/>
      <sheetName val="18-07-26"/>
      <sheetName val="19-07-26"/>
      <sheetName val="20-07-26"/>
      <sheetName val="21-07-26"/>
      <sheetName val="22-07-26"/>
      <sheetName val="23-07-26"/>
      <sheetName val="24-07-26"/>
      <sheetName val="25-07-26"/>
      <sheetName val="26-07-26"/>
      <sheetName val="27-07-26"/>
      <sheetName val="28-07-26"/>
      <sheetName val="29-07-26"/>
      <sheetName val="30-07-26"/>
      <sheetName val="31-07-26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Kapil Gupta</v>
          </cell>
          <cell r="C2" t="str">
            <v>83688 64191‬</v>
          </cell>
          <cell r="D2" t="str">
            <v xml:space="preserve">Tower 2 falt 3b  hibiscus </v>
          </cell>
          <cell r="G2" t="str">
            <v xml:space="preserve">Before 3:30 </v>
          </cell>
          <cell r="H2">
            <v>1000</v>
          </cell>
          <cell r="J2" t="str">
            <v>Bouquet</v>
          </cell>
          <cell r="K2" t="str">
            <v>Send today before 3:30 
17 pink roses to 
Tower 2 falt 3b  hibiscus 
Kapil Gupta
‪+91 83688 64191‬
collect 850 positively carry change</v>
          </cell>
          <cell r="N2" t="str">
            <v>tower 2 ke guard ke paas 4 baje ke aas paas hand over karna hai
Paise wohi degacollect 1000 positively carry change</v>
          </cell>
          <cell r="T2" t="str">
            <v xml:space="preserve">P Rose 20     </v>
          </cell>
        </row>
        <row r="3">
          <cell r="A3">
            <v>1389</v>
          </cell>
          <cell r="B3" t="str">
            <v>Revathi-- After 5 PM</v>
          </cell>
          <cell r="C3">
            <v>9811998878</v>
          </cell>
          <cell r="D3" t="str">
            <v>A-1201, The Emaar Palm Drive</v>
          </cell>
          <cell r="E3" t="str">
            <v>Badshahpur</v>
          </cell>
          <cell r="F3" t="str">
            <v>Friday</v>
          </cell>
          <cell r="G3" t="str">
            <v>4 PM to 7PM</v>
          </cell>
          <cell r="H3">
            <v>3850</v>
          </cell>
          <cell r="I3">
            <v>481.25</v>
          </cell>
          <cell r="J3" t="str">
            <v>Grace</v>
          </cell>
          <cell r="K3" t="str">
            <v>Friday and Tuesday// NO RAJNIGANDHA NOW ONLY LILIES//CAR AND GLAD(26/07)  NO WONLY LILIES, HELICONIA AND CAR IN YELLOW OR ORANGE ONLY(11/09)  ONLY  LILIES/GLADIOLI AND HELICONIA ONLY IN YELL AND ORANGE COLOR-- NOCARNATION(01/10) Rajni or Bop next(18/10) Send 1 FF Next(29/06) LILY n GLAD ARE PREFERRED(29/06) Now From Rose//Car//Glad//Guldawari//Asiatic//Oriental(03/08) Skip this friday(09/08) No Upgrade (17/10) Skip 1 week (114/11) Skip 1 week after tom Delivery (09/03) No Del on Froday-- sned on Tuesda (29/03) Glad Next (01/05) Hold n start after 8th June (12/05) Bop n Heliconia Next (10/02) Skip tom Del (28/03) Flower food next (14/05) Hold till 8th (29/05) No Gerbera and Orchid (28/07) One Payment received today (01/10) Skip Friday Del (27/11) Skip friday (25/12) Return not at home (20/06) Today Returned (20/06) Received one payment of 3250 today (21/07)</v>
          </cell>
          <cell r="L3" t="str">
            <v>Gerbera n ORCHID</v>
          </cell>
          <cell r="N3" t="str">
            <v>3  del of this cycle   -  0-cycles pmnt   Completed - Collect 0</v>
          </cell>
          <cell r="O3" t="str">
            <v>Mix Alstroemeria ( 12 Inch ) 20     FF sachet + Grass</v>
          </cell>
          <cell r="P3" t="str">
            <v>R n P Car ( 14 Inch ) 20     FF Sachet + Grass</v>
          </cell>
          <cell r="Q3" t="str">
            <v>P n Y Spray Daisy ( 14 Inch ) 6     FF Sachet + Grass</v>
          </cell>
          <cell r="R3" t="str">
            <v>Mix Alstromia 20     Grass</v>
          </cell>
          <cell r="S3" t="str">
            <v>Pur n P Eustoma ( 12 Inch ) 4     FF Sachet + Grass</v>
          </cell>
          <cell r="T3" t="str">
            <v>P n W Car ( 14 Inch ) 20     FF Sachet + Grass</v>
          </cell>
        </row>
        <row r="4">
          <cell r="A4">
            <v>2487</v>
          </cell>
          <cell r="B4" t="str">
            <v>Jyoti - Digi Homes</v>
          </cell>
          <cell r="C4">
            <v>9711267571</v>
          </cell>
          <cell r="D4" t="str">
            <v>T-B/2802, Emaar Digi Homes, Sec 62</v>
          </cell>
          <cell r="E4" t="str">
            <v>Ghata</v>
          </cell>
          <cell r="F4" t="str">
            <v>Tuesday</v>
          </cell>
          <cell r="G4" t="str">
            <v>4 Pm to 7 PM</v>
          </cell>
          <cell r="H4">
            <v>1950</v>
          </cell>
          <cell r="I4">
            <v>487.5</v>
          </cell>
          <cell r="J4" t="str">
            <v>Joy</v>
          </cell>
          <cell r="K4" t="str">
            <v>No Glad n Rajni n try fir Gerbera fior 1st Del // Hold n send on 19th and send on 21st (17/04) 19th Del Missed-send on 26th (23/04) Do not count last del 28/05) Today returned (21/06) Do not count last del (20/07) Today Hold  and send on tuesday(02/08) Return today (05/08) Skip 2 Weeks (09/08) Day change to tuesday and and skip 2 week (09/08) Day Changed to saturday (02/09) No BOP also (23/09 Paytm From Jyoti chaudhary (27/10) Only No Rajni and BOP (19/03) Skip 1 week (24/06)</v>
          </cell>
          <cell r="L4" t="str">
            <v>Rajni n BOP</v>
          </cell>
          <cell r="N4" t="str">
            <v>4  del of this cycle   -  0-cycles pmnt   Completed - Collect 0</v>
          </cell>
          <cell r="O4" t="str">
            <v>Mix Alstroemeria ( 12 Inch ) 22     Grass</v>
          </cell>
          <cell r="P4" t="str">
            <v>R n W  Carnation  22     Grass</v>
          </cell>
          <cell r="Q4" t="str">
            <v>P n Pur Eustoma ( 12 Inch ) 4     FF Sachet + Grass</v>
          </cell>
          <cell r="R4" t="str">
            <v>Mix Spray Daisy 7     Grass</v>
          </cell>
          <cell r="S4" t="e">
            <v>#N/A</v>
          </cell>
          <cell r="T4" t="str">
            <v>Y Asiatic ( 14 Inch ) 4     Grass</v>
          </cell>
        </row>
        <row r="5">
          <cell r="A5">
            <v>2933</v>
          </cell>
          <cell r="B5" t="str">
            <v>Yukti Batra</v>
          </cell>
          <cell r="C5">
            <v>9953740608</v>
          </cell>
          <cell r="D5" t="str">
            <v>H. No. 2015, 2nd Floor, Madalsa Hospital, Sec 46</v>
          </cell>
          <cell r="E5" t="str">
            <v>Huda</v>
          </cell>
          <cell r="F5" t="str">
            <v>Tuesday</v>
          </cell>
          <cell r="G5" t="str">
            <v>9 AM to 2 PM</v>
          </cell>
          <cell r="H5">
            <v>1450</v>
          </cell>
          <cell r="I5">
            <v>362.5</v>
          </cell>
          <cell r="J5" t="str">
            <v>Bliss</v>
          </cell>
          <cell r="K5" t="str">
            <v>Returned today (30/08) Change day to Tuesday (05/09) Skip 1 week (20/10) Skip 2 week (05/04) R n W Car tom (08/05) Hold today (26/05) Skip 1 week (02/06) Skip 1 week (15/06)</v>
          </cell>
          <cell r="N5" t="str">
            <v>3  del of this cycle   -  0-cycles pmnt   Completed - Collect 0</v>
          </cell>
          <cell r="O5" t="str">
            <v>R n W Car ( 14 Inch ) 16     FF sachet + Grass</v>
          </cell>
          <cell r="P5" t="str">
            <v>Y Asiatic ( 14 Inch ) 3     Grass</v>
          </cell>
          <cell r="Q5" t="e">
            <v>#N/A</v>
          </cell>
          <cell r="R5" t="str">
            <v>Rajni ( 14 Inch ) 16     FF Sachet + Grass</v>
          </cell>
          <cell r="S5" t="str">
            <v>Pur n P Eustoma ( 12 Inch ) 3     FF Sachet + Grass</v>
          </cell>
          <cell r="T5" t="str">
            <v>B Daisy ( 12 Inch ) 16     Grass</v>
          </cell>
        </row>
        <row r="6">
          <cell r="A6">
            <v>2183</v>
          </cell>
          <cell r="B6" t="str">
            <v>Kalpana</v>
          </cell>
          <cell r="C6">
            <v>9910681399</v>
          </cell>
          <cell r="D6" t="str">
            <v>Flat No. 60, HEWO Appartments, Sec 31</v>
          </cell>
          <cell r="E6" t="str">
            <v>South City 1</v>
          </cell>
          <cell r="F6" t="str">
            <v>Tuesday</v>
          </cell>
          <cell r="G6" t="str">
            <v>4 Pm to 7 PM</v>
          </cell>
          <cell r="H6">
            <v>1450</v>
          </cell>
          <cell r="I6">
            <v>362.5</v>
          </cell>
          <cell r="J6" t="str">
            <v>Bliss</v>
          </cell>
          <cell r="K6" t="str">
            <v>Skip 2 weeks (25/12) // Hold n start from Mar (01/02) Skip 1 week (14/04) Today Returned (30/04) Hold till 5th June (18/05) No Yello Color (11/02) 18th Del returned (20/03) Hold n start after 15th June(14/05) Skip 1 week (17/12) Skip 1 week 922/01) Skip 1 week (14/02) Hold after current cycle and then start from June (25/03) Skip 1 week (22/06)</v>
          </cell>
          <cell r="M6" t="str">
            <v>Yellow Color</v>
          </cell>
          <cell r="N6" t="str">
            <v>2  del of this cycle   -  0-cycles pmnt   Completed - Collect 0</v>
          </cell>
          <cell r="O6" t="str">
            <v>P n W Car ( 14 Inch ) 9     FF sachet + Grass</v>
          </cell>
          <cell r="P6" t="str">
            <v>P Asiatic ( 14 Inch ) 2 No Yellow Color    Grass</v>
          </cell>
          <cell r="Q6" t="str">
            <v>P n W Glad ( 14 Inch ) 9     Grass</v>
          </cell>
          <cell r="R6" t="e">
            <v>#N/A</v>
          </cell>
          <cell r="S6" t="str">
            <v>Pur n P Eustoma ( 12 Inch ) 3     FF Sachet + Grass</v>
          </cell>
          <cell r="T6" t="str">
            <v>Pur n P Car ( 14 Inch ) 16     FF Sachet + Grass</v>
          </cell>
        </row>
        <row r="7">
          <cell r="A7">
            <v>2706</v>
          </cell>
          <cell r="B7" t="str">
            <v>Monika Arora</v>
          </cell>
          <cell r="C7">
            <v>9990121666</v>
          </cell>
          <cell r="D7" t="str">
            <v>Tostem Studio, Plot No. 564, Basement, Sec 39, Near Bakhtawar Chwok</v>
          </cell>
          <cell r="E7" t="str">
            <v>Medanta</v>
          </cell>
          <cell r="F7" t="str">
            <v>Saturday</v>
          </cell>
          <cell r="G7" t="str">
            <v>9 AM - 12 PM</v>
          </cell>
          <cell r="H7">
            <v>1600</v>
          </cell>
          <cell r="I7">
            <v>200</v>
          </cell>
          <cell r="J7" t="str">
            <v>Bloom</v>
          </cell>
          <cell r="K7" t="str">
            <v>Ref From Anupma Rastogi // Today Returned (09/08) Hold today (16/08) Today office was closed (21/10)</v>
          </cell>
          <cell r="N7" t="str">
            <v>2  del of this cycle   -  0-cycles pmnt   Completed - Collect 0</v>
          </cell>
          <cell r="O7" t="str">
            <v>Sunflowers ( 14 Inch ) 2     FF sachet + Grass</v>
          </cell>
          <cell r="P7" t="str">
            <v>Mix Alstroemeria ( 12 Inch ) 7     FF Sachet + Grass</v>
          </cell>
          <cell r="Q7" t="str">
            <v>P n W Glad ( 14 Inch ) 7     Grass</v>
          </cell>
          <cell r="R7" t="str">
            <v>Rajni ( 14 Inch ) 7     Grass</v>
          </cell>
          <cell r="S7" t="str">
            <v>P n W Glad ( 14 inch ) 7     Grass</v>
          </cell>
          <cell r="T7" t="str">
            <v>B Daisy ( 12 Inch ) 7     Grass</v>
          </cell>
        </row>
        <row r="8">
          <cell r="A8">
            <v>3384</v>
          </cell>
          <cell r="B8" t="str">
            <v>Saloni Gupta</v>
          </cell>
          <cell r="C8">
            <v>9810796682</v>
          </cell>
          <cell r="D8" t="str">
            <v>338, 3rd Floor, Espace</v>
          </cell>
          <cell r="E8" t="str">
            <v>Nirvana Country</v>
          </cell>
          <cell r="F8" t="str">
            <v>Tuesday</v>
          </cell>
          <cell r="G8" t="str">
            <v>9 AM - 12 PM</v>
          </cell>
          <cell r="H8">
            <v>1545</v>
          </cell>
          <cell r="I8">
            <v>386.25</v>
          </cell>
          <cell r="J8" t="str">
            <v>Customized</v>
          </cell>
          <cell r="K8" t="str">
            <v>Sunday n Thursday//Pls Keep Flowers in Vase// Paytm from Mayank G (17/03) Sent replacememnt today (23/03) Skip 1 week (10/04) 2 Asiatic and 5 Rajni (27/07) Paytm friom Mayank Gupta (16/09) 2 Asiatic Lily in each delivery (16/10) Today returned (17/11) Skip this sunday (03/01) Thursday -- 10 Rose and 4 Rajni // Sunday - 2 Asiatic (19/01) Whenever possible-send red Roses (23/01) Skip tom (29/01) Today returned (22/05) Send replacement tom (27/07) Hold today (14/08) Do not count last delivery (04/09) Hold today (02/10) Hold today (12/10) Hold after this cycle (27/10) Do not count last del (31/10) 2 Asiatic + 4 Rajni + 4 Glad -- thrice in a week (30/12) 2 Asiatic and 4 Rajni bi weekly pack (08/03) 2 Asiatic and 8 Rajni Every time and send 8 Rajni tom (26/03) Today returned-send tom (19/04)</v>
          </cell>
          <cell r="N8" t="str">
            <v>3  del of this cycle   -  0-cycles pmnt   Completed - Collect 0</v>
          </cell>
          <cell r="O8" t="e">
            <v>#N/A</v>
          </cell>
          <cell r="P8" t="e">
            <v>#N/A</v>
          </cell>
          <cell r="Q8" t="e">
            <v>#N/A</v>
          </cell>
          <cell r="R8" t="str">
            <v>O Asiatic ( 14 Inch ) 3     1 Gypsola</v>
          </cell>
          <cell r="S8" t="str">
            <v>Y Asiatic ( 14 Inch ) 3     1 Limonium</v>
          </cell>
          <cell r="T8" t="str">
            <v>W Asiatic ( 14 Inch ) 3     1 Gypsola</v>
          </cell>
        </row>
        <row r="9">
          <cell r="A9">
            <v>1953</v>
          </cell>
          <cell r="B9" t="str">
            <v>Sandhya Nagesh</v>
          </cell>
          <cell r="C9">
            <v>8800649797</v>
          </cell>
          <cell r="D9" t="str">
            <v>89, Ground Floor, Woodstock Floors, Sec 50</v>
          </cell>
          <cell r="E9" t="str">
            <v>Nirvana Country</v>
          </cell>
          <cell r="F9" t="str">
            <v>Saturday</v>
          </cell>
          <cell r="G9" t="str">
            <v>9 AM - 12 PM</v>
          </cell>
          <cell r="H9">
            <v>3000</v>
          </cell>
          <cell r="I9">
            <v>375</v>
          </cell>
          <cell r="J9" t="str">
            <v>Charm</v>
          </cell>
          <cell r="K9" t="str">
            <v>Saturday n Tueaday(02/09) No Del From 10th to 19th (09/09) Today returned(19/08) hold today send tom (07/10) Skip 20th Del (14/01) Hold 6th n 10th Sug (03/08) Return tiday (07/02) Today Returned (24/02)</v>
          </cell>
          <cell r="N9" t="str">
            <v>1  del of this cycle   -  1-cycles pmnt   Pending - Collect 3000</v>
          </cell>
          <cell r="O9" t="str">
            <v>Sunflowers ( 14 Inch ) 4     FF sachet + Grass</v>
          </cell>
          <cell r="P9" t="str">
            <v>P Oriental ( 14 Inch ) 2     Grass</v>
          </cell>
          <cell r="Q9" t="str">
            <v>Rajni ( 14 Inch ) 15     Grass</v>
          </cell>
          <cell r="R9" t="str">
            <v>O Asiatic ( 14 Inch ) 3     Grass</v>
          </cell>
          <cell r="S9" t="str">
            <v>P n W Glad ( 14 inch ) 15     Grass</v>
          </cell>
          <cell r="T9" t="str">
            <v>Pur n P Car ( 14 Inch ) 15     FF Sachet + Grass</v>
          </cell>
        </row>
        <row r="10">
          <cell r="A10">
            <v>3014</v>
          </cell>
          <cell r="B10" t="str">
            <v>Monika Arora</v>
          </cell>
          <cell r="C10">
            <v>9990121666</v>
          </cell>
          <cell r="D10" t="str">
            <v>Tostem Studio, Plot No. 564, Basement, Sec 39, Near Bakhtawar Chwok</v>
          </cell>
          <cell r="E10" t="str">
            <v>Medanta</v>
          </cell>
          <cell r="F10" t="str">
            <v>Saturday</v>
          </cell>
          <cell r="G10" t="str">
            <v>9 AM - 12 PM</v>
          </cell>
          <cell r="H10">
            <v>1600</v>
          </cell>
          <cell r="I10">
            <v>200</v>
          </cell>
          <cell r="J10" t="str">
            <v>Bloom</v>
          </cell>
          <cell r="K10" t="str">
            <v>Change in Address (31/12)</v>
          </cell>
          <cell r="N10" t="str">
            <v>2  del of this cycle   -  0-cycles pmnt   Completed - Collect 0</v>
          </cell>
          <cell r="O10" t="str">
            <v>P n W Glad ( 14 Inch ) 7     Grass</v>
          </cell>
          <cell r="P10" t="str">
            <v>P n W Glad ( 14 Inch ) 7     Grass</v>
          </cell>
          <cell r="Q10" t="str">
            <v>Sunflower ( 12 Inch ) 2     FF Sachet + Grass</v>
          </cell>
          <cell r="R10" t="str">
            <v>P n W Car ( 14 Inch ) 7     FF Sachet + Grass</v>
          </cell>
          <cell r="S10" t="str">
            <v>Sunflower ( 12 Incjh ) 2     FF Sachet + Grass</v>
          </cell>
          <cell r="T10" t="str">
            <v>Pur Eustoma ( 12 inch ) 2     FF Sachet + Grass</v>
          </cell>
        </row>
        <row r="11">
          <cell r="A11" t="str">
            <v>G-00029</v>
          </cell>
          <cell r="B11" t="str">
            <v>Shweta Arora</v>
          </cell>
          <cell r="C11">
            <v>9999164984</v>
          </cell>
          <cell r="D11" t="str">
            <v>H. No. 9506, 3rd Floor, Garden Villas</v>
          </cell>
          <cell r="E11" t="str">
            <v>DLF Phase 4</v>
          </cell>
          <cell r="F11" t="str">
            <v>Tuesday</v>
          </cell>
          <cell r="G11" t="str">
            <v>10 AM to 2:30 PM</v>
          </cell>
          <cell r="H11">
            <v>1950</v>
          </cell>
          <cell r="I11">
            <v>487.5</v>
          </cell>
          <cell r="J11" t="str">
            <v>Joy</v>
          </cell>
          <cell r="K11" t="str">
            <v>From Akriti Chopra // Paytm From Shweta Dudeja (26/02) Sent replacement today (18/04)</v>
          </cell>
          <cell r="N11" t="str">
            <v>3  del of this cycle   -  1-cycles pmnt   Pending - Collect 1950</v>
          </cell>
          <cell r="O11" t="str">
            <v>Sunflowers ( 14 Inch ) 3 P n W Glad ( 14 Inch ) 11   FF sachet + Grass</v>
          </cell>
          <cell r="P11" t="str">
            <v>P Eustoma ( 12 Inch ) 2 Mix Alstroemeria ( 12 Inch ) 11   FF Sachet + Grass</v>
          </cell>
          <cell r="Q11" t="str">
            <v>O Asiatic ( 14 inch ) 2 O n P Car ( 14 Inch ) 11   Grass</v>
          </cell>
          <cell r="R11" t="str">
            <v>P n Y Spray Daisy ( 14 Inch ) 4 Rajni ( 14 Inch ) 11   FF Sachet + Grass</v>
          </cell>
          <cell r="S11" t="str">
            <v>Sunflower ( 12 Incjh ) 3 P n W Glad ( 14 Inch) 11  Ensure Collection FF Sachet + Grass</v>
          </cell>
          <cell r="T11" t="str">
            <v>Pur Eustoma ( 12 inch ) 2 Mix Alstroemeria ( 12 Inch ) 11   FF Sachet + Grass</v>
          </cell>
        </row>
        <row r="12">
          <cell r="A12">
            <v>2484</v>
          </cell>
          <cell r="B12" t="str">
            <v>Swati Sharad</v>
          </cell>
          <cell r="C12">
            <v>9871225514</v>
          </cell>
          <cell r="D12" t="str">
            <v>204-B, 2nd Floor, 4th Floor, Beverley Park-1</v>
          </cell>
          <cell r="E12" t="str">
            <v>M G Road</v>
          </cell>
          <cell r="F12" t="str">
            <v>Tuesday</v>
          </cell>
          <cell r="G12" t="str">
            <v>9 AM - 12 PM</v>
          </cell>
          <cell r="H12">
            <v>1450</v>
          </cell>
          <cell r="I12">
            <v>362.5</v>
          </cell>
          <cell r="J12" t="str">
            <v>Bliss</v>
          </cell>
          <cell r="K12" t="str">
            <v>No Glad (03/04) No areca palm (15/04) Today Hold (03/02) Paytm from meenakshi Sharad (10/03) HDTNP (23/06)</v>
          </cell>
          <cell r="L12" t="str">
            <v>Glad</v>
          </cell>
          <cell r="M12" t="str">
            <v>No areca Palm // Flower Food Next (19/05)</v>
          </cell>
          <cell r="N12" t="str">
            <v>1  del of this cycle   -  1-cycles pmnt   Pending - Collect 1450</v>
          </cell>
          <cell r="O12" t="str">
            <v>Y Asiatic ( 14 Inch ) 2 P n W Glad ( 14 Inch ) 7   Grass</v>
          </cell>
          <cell r="P12" t="str">
            <v>Pur Eustoma ( 12 Inch ) 2 Mix Alstroemeria ( 12 Inch ) 7   FF Sachet + Grass</v>
          </cell>
          <cell r="Q12" t="str">
            <v>Sunflower ( 12 Inch ) 2 O n P Car ( 14 Inch ) 7   FF Sachet + Grass</v>
          </cell>
          <cell r="R12" t="e">
            <v>#N/A</v>
          </cell>
          <cell r="S12" t="str">
            <v>Spray Daisy 3 Glad 7   FF Sachet + Grass</v>
          </cell>
          <cell r="T12" t="str">
            <v>P Asiatic ( 14 Inch ) 2 B Daisy ( 12 Inch  7   Grass</v>
          </cell>
        </row>
        <row r="13">
          <cell r="A13">
            <v>993</v>
          </cell>
          <cell r="B13" t="str">
            <v>Swati Khandelwal-- Evening Only</v>
          </cell>
          <cell r="C13">
            <v>8527962021</v>
          </cell>
          <cell r="D13" t="str">
            <v>414-A, Hamilton Court</v>
          </cell>
          <cell r="E13" t="str">
            <v>DLF Phase 4</v>
          </cell>
          <cell r="F13" t="str">
            <v>Tuesday</v>
          </cell>
          <cell r="G13" t="str">
            <v>9 AM to 2 PM</v>
          </cell>
          <cell r="H13">
            <v>2300</v>
          </cell>
          <cell r="I13">
            <v>287.5</v>
          </cell>
          <cell r="J13" t="str">
            <v>Felicity</v>
          </cell>
          <cell r="K13" t="str">
            <v>Saturday and Tuesday//Tuesday and Friday//1 St del Tom in morning and then every Sunday evening(05/01) ONLY LILY AND RAJNI(19/01) Lilies in all 4 Deliveries(01/02) Start Biss from next week(30/11) ONLY RAJNI(31/12) Send Guldawari next and then spray daisy next to next(09/01) NO ROSE mn RAJNI-- Send spray daisy next(27/01) Spray daisy Next(15/02) Moved to Felicity--1350 Pack, Pls mark pending(21/03) Send 1 extra delivery from Rachna Khanna ma'am(05/08) Do Not count last delivery(07/04) Send Flower Food Tom(12/09) Send Flower Food next (09/10) Hold till 1st Feb (20/01) Send Flower Food next (04/07) One More payment received today (30/10) Payment from Ramakant K (08/06) Rs. 9200 Received today and 10% applied on 9200 (10/12)</v>
          </cell>
          <cell r="L13" t="str">
            <v>ROSE n RAJNI</v>
          </cell>
          <cell r="N13" t="str">
            <v>2  del of this cycle   -  0-cycles pmnt   Completed - Collect 0</v>
          </cell>
          <cell r="O13" t="str">
            <v>Sunflowers ( 14 Inch ) 3     FF sachet + Grass</v>
          </cell>
          <cell r="P13" t="str">
            <v>P Asiatic ( 14 Inch ) 2     Grass</v>
          </cell>
          <cell r="Q13" t="str">
            <v>P n W Glad ( 14 Inch ) 11     Grass</v>
          </cell>
          <cell r="R13" t="str">
            <v>P Spray Daisy ( 14 Inch ) 3     FF Sachet + Grass</v>
          </cell>
          <cell r="S13" t="str">
            <v>Sunflower ( 12 Incjh ) 3     FF Sachet + Grass</v>
          </cell>
          <cell r="T13" t="str">
            <v>Mix Alstroemeria ( 12 Inch ) 11     FF Sachet + Grass</v>
          </cell>
        </row>
        <row r="14">
          <cell r="A14" t="str">
            <v>G-00059</v>
          </cell>
          <cell r="B14" t="str">
            <v>Kriya</v>
          </cell>
          <cell r="C14">
            <v>6391463009</v>
          </cell>
          <cell r="D14" t="str">
            <v>Zenden Stays, Room No. 207, Sector 30, Vijay Vihar Block A</v>
          </cell>
          <cell r="E14" t="str">
            <v>South City 1</v>
          </cell>
          <cell r="F14" t="str">
            <v>Tuesday</v>
          </cell>
          <cell r="G14" t="str">
            <v>9:30 Am to 2 PM</v>
          </cell>
          <cell r="H14">
            <v>1450</v>
          </cell>
          <cell r="I14">
            <v>362.5</v>
          </cell>
          <cell r="J14" t="str">
            <v>Bliss</v>
          </cell>
          <cell r="K14" t="str">
            <v>Don’t send if payment not received  // Paytm From Mohd. Zaid (10/06)</v>
          </cell>
          <cell r="N14" t="str">
            <v>4  del of this cycle   -  0-cycles pmnt   Completed - Collect 0</v>
          </cell>
          <cell r="O14" t="str">
            <v xml:space="preserve">      </v>
          </cell>
          <cell r="P14" t="e">
            <v>#N/A</v>
          </cell>
          <cell r="Q14" t="str">
            <v>O n P Car ( 14 Inch ) 16     FF Sachet + Grass</v>
          </cell>
          <cell r="R14" t="str">
            <v>P Asiatic ( 14 Inch ) 3     Grass</v>
          </cell>
          <cell r="S14" t="str">
            <v>Rajni ( 14 Inch ) 16     Grass</v>
          </cell>
          <cell r="T14" t="str">
            <v>Sunflower ( 12 Inch ) 4     FF Sachet + Grass</v>
          </cell>
        </row>
        <row r="15">
          <cell r="A15">
            <v>2434</v>
          </cell>
          <cell r="B15" t="str">
            <v>Manasi Sardana</v>
          </cell>
          <cell r="C15">
            <v>9825966349</v>
          </cell>
          <cell r="D15" t="str">
            <v>T-8/303, The South Close</v>
          </cell>
          <cell r="E15" t="str">
            <v>Nirvana Country</v>
          </cell>
          <cell r="F15" t="str">
            <v>Sunday</v>
          </cell>
          <cell r="G15" t="str">
            <v>9 AM to 2 PM</v>
          </cell>
          <cell r="H15">
            <v>1450</v>
          </cell>
          <cell r="I15">
            <v>362.5</v>
          </cell>
          <cell r="J15" t="str">
            <v>Replacement</v>
          </cell>
          <cell r="K15" t="str">
            <v>Rajni is preferred // Skip 1 week (17/05) paytm From Phadke Mansi Pradeep // Skip 1 week (01/01/26) Skip 1 week (24/01) Today returned (15/02) Replacement tom (06/07)</v>
          </cell>
          <cell r="M15" t="str">
            <v>Rajni referred</v>
          </cell>
          <cell r="N15" t="str">
            <v>3  del of this cycle   -  0-cycles pmnt   Completed - Collect 0</v>
          </cell>
          <cell r="O15" t="e">
            <v>#N/A</v>
          </cell>
          <cell r="P15" t="e">
            <v>#N/A</v>
          </cell>
          <cell r="Q15" t="e">
            <v>#N/A</v>
          </cell>
          <cell r="R15" t="e">
            <v>#N/A</v>
          </cell>
          <cell r="S15" t="e">
            <v>#N/A</v>
          </cell>
          <cell r="T15" t="str">
            <v>Sunflower ( 12 Inch ) 2 B Daisy ( 12 Inch  7   FF Sachet + Grass</v>
          </cell>
        </row>
        <row r="16">
          <cell r="A16">
            <v>1377</v>
          </cell>
          <cell r="B16" t="str">
            <v>Geetanjali Babbar</v>
          </cell>
          <cell r="C16">
            <v>9958988852</v>
          </cell>
          <cell r="D16" t="str">
            <v>N-206, Sispal Vihar</v>
          </cell>
          <cell r="E16" t="str">
            <v>Sohna Road 1</v>
          </cell>
          <cell r="F16" t="str">
            <v>Friday</v>
          </cell>
          <cell r="G16" t="str">
            <v>9:30 Am to 2 PM</v>
          </cell>
          <cell r="H16">
            <v>2300</v>
          </cell>
          <cell r="I16">
            <v>287.5</v>
          </cell>
          <cell r="J16" t="str">
            <v>Felicity</v>
          </cell>
          <cell r="K16" t="str">
            <v>Tuesday and FRiday//Monday and Thursday//Send on Monday This week and send rajni too(03/04) Returned-send tom(11/04) Day Changed to Monday(11/04) Sent replacement of Gerbera today(20/04) She likes BOP+Rajni+Car Comb (20/04) Thursday and Monday Morning Slot(13/06) NO BOP(03/08) Hold today ansend after a week(20/11)  Holy Change(16/03) Skip 1 del(16/03) Skip 1 del AND ALWAYS SEND 10 STICKS(02/05) Skip 3rd Feb Del (28/01) Skip tom Delivery (06/04) Dont start from 16th June--start from 19th June (14/06) Skip Friday (13/09) Skip between 24th to 2nd Nov (24/10) Hold n start from Feb (13/01) Skip tom del (14/03) Do Not count last del (21/06) Skip comig Delivery(24/06) Sent a rewplacement today (23/10) Hold geetanjali babbar today (03/01) Skip 1 week (04/01) Skip 18th n 21st Mar (03/03) Skip Friday (09/04) Skip friday (26/06) Paytm From Merajul Alam (23/09) No Del From 09th to 13th (04/12) Skip 10th and 13th Feb (31/01) Skip 1 week (23/03) Replacement tom (21/04) HDTNP (29/05) Hold till 1st weel of July (20/06) paytm from sunil babbar (03/07)</v>
          </cell>
          <cell r="M16" t="str">
            <v>Skip 18th n 21st Mar 25</v>
          </cell>
          <cell r="N16" t="str">
            <v>3  del of this cycle   -  0-cycles pmnt   Completed - Collect 0</v>
          </cell>
          <cell r="O16" t="str">
            <v>Sunflowers ( 14 Inch ) 3     FF sachet + Grass</v>
          </cell>
          <cell r="P16" t="str">
            <v>Mix Alstroemeria ( 12 Inch ) 11     FF Sachet + Grass</v>
          </cell>
          <cell r="Q16" t="str">
            <v>Y Spray Daisy ( 14 Inch ) 3     FF Sachet + Grass</v>
          </cell>
          <cell r="R16" t="e">
            <v>#N/A</v>
          </cell>
          <cell r="S16" t="e">
            <v>#N/A</v>
          </cell>
          <cell r="T16" t="str">
            <v>Rajni ( 14 Inch ) 11     Grass</v>
          </cell>
        </row>
        <row r="17">
          <cell r="A17">
            <v>975</v>
          </cell>
          <cell r="B17" t="str">
            <v>Ritu Sacheti</v>
          </cell>
          <cell r="C17">
            <v>9910007371</v>
          </cell>
          <cell r="D17" t="str">
            <v>B1/1401, World Spa, Sector 30</v>
          </cell>
          <cell r="E17" t="str">
            <v>South City 1</v>
          </cell>
          <cell r="F17" t="str">
            <v>Saturday</v>
          </cell>
          <cell r="G17" t="str">
            <v>9 AM - 12 PM</v>
          </cell>
          <cell r="H17">
            <v>3750</v>
          </cell>
          <cell r="I17">
            <v>468.75</v>
          </cell>
          <cell r="J17" t="str">
            <v>Grace</v>
          </cell>
          <cell r="K17" t="str">
            <v>Sat n Tuesday//NO Chrysanthemums(30/12) Received 50Rs. Today(13/01) Today returned-send tom(27/01) Pls send double del on next del and upgrade to 1250 pack once this cycle completes(25/05/2020) Sending 1st June Flowers on 30th may(30/05/2020) Upgrade to 1750 pack and always send 4 Asiatic and 15 normal flowers(08/07) Send replacement of glad tom(19/08/20) Hold n start from Feb(17/01) Skiped 1 week due to HOLI(29/03) NO RAJNI IN SUMMER(16/07) Send 4 Stick asiatic complimentary Tom(20/09) Send 2 Open Asiatic and replace Carnations AND NEVER CAR(04/10) Rs. 250 received against extra flowers(05/10) NO SAME COLOR FLOWERS(04/03) Return today (06/12) NO GERBERA (10/01) Return-send tom (04/04) Sent replacement of Guldawari today (09/04) Today Returned (20/06) No Flowers From 10th to 19 Th nov (02/11) No Flowers betqeen 22nd and 1st Jan (22/12) Returned today (10/02) Skip today (13/02) Skip this tuesday (11/03) No Flowers from 29th to 3rd Nov (25/10) Return today (23/11) No Gerbera (30/11) Today Returned (24/05) Sent 1 delivery today (25/05)</v>
          </cell>
          <cell r="L17" t="str">
            <v>GERBERA n SUNFLOWER</v>
          </cell>
          <cell r="N17" t="str">
            <v>1  del of this cycle   -  1-cycles pmnt   Pending - Collect 3750</v>
          </cell>
          <cell r="O17" t="str">
            <v>Pur Eustoma ( 12 Inch )  3 P n W Car ( 14 inch ) 10   FF sachet + Grass</v>
          </cell>
          <cell r="P17" t="str">
            <v>P Asiatic ( 14 Inch ) 2 Mix Alstroemeria ( 12 Inch ) 10   Grass</v>
          </cell>
          <cell r="Q17" t="str">
            <v>P Spray Daisy ( 14 Inch ) 3 O n P Car ( 14 Inch ) 10   FF Sachet + Grass</v>
          </cell>
          <cell r="R17" t="str">
            <v>P Eustoma ( 12 Inch ) 3 Rajni ( 14 Inch ) 10   FF Sachet + Grass</v>
          </cell>
          <cell r="S17" t="str">
            <v>O Asiatic ( 14 Inch ) 2 P n W Car ( 14 Inch ) 10   Grass</v>
          </cell>
          <cell r="T17" t="str">
            <v>Pur Eustoma ( 12 inch ) 2 Mix Alstroemeria ( 12 Inch ) 10   FF Sachet + Grass</v>
          </cell>
        </row>
        <row r="18">
          <cell r="A18">
            <v>2132</v>
          </cell>
          <cell r="B18" t="str">
            <v>Smita Mathur</v>
          </cell>
          <cell r="C18" t="str">
            <v>+6281294705524</v>
          </cell>
          <cell r="D18" t="str">
            <v>R-9A, Windsor Court-- Next Supermart</v>
          </cell>
          <cell r="E18" t="str">
            <v>DLF Phase 4</v>
          </cell>
          <cell r="F18" t="str">
            <v>Tuesday</v>
          </cell>
          <cell r="G18" t="str">
            <v>9 AM - 12 PM</v>
          </cell>
          <cell r="H18">
            <v>1450</v>
          </cell>
          <cell r="I18">
            <v>362.5</v>
          </cell>
          <cell r="J18" t="str">
            <v>Bliss</v>
          </cell>
          <cell r="K18" t="str">
            <v>NO GLAD/ASIATIC/ORCHID(23/12) ONLY LILY/ROSE AD CHRYSANTHEMUM IN THIS PACK(23/12) Rajni Next(27/12) Skip 1 week(30/12) Bright Color Asiatic Next(09/01) ALWAYS SINGLE COLOR(10/01) Day changed to Friday and send bright lily on both days(11/01) Send 1 Pack tom(15/01) Dark Pink or Red Asiatic(22/01) Pls send Daisy Next(31/01) Y Fuldawari next(04/02) Next Yellow Color(07/02) This Cycle-- Oriental//Car//Orchid//Rose(02/10) Send next del on friday with moxed bright color car(05/10) Sent Replacement today(20/10) GuldawariNext(21/10) This week on saturday and then tuesday, Flowesr are-- Car//Lily//Guldawari//Rose//Orchid// Glad (17/11) NO ROSE  SEND REPLACEMENT TOM AND ALSO 2ND DEL(21/11)(21/11) Hold today (13/12) Hold for 2 weeks(13/12) NO BOP AND SPRAY DAISY  AND ROSES IF THEY ARE GOOD(22/12) Asiatic Next (04/01) Send Replacement tom (18/03) Paytm from 99****8930(25/07) Change to Joy (27/10) Change to bliss (13/12) Skip 2 Week (31/01) Skip 2 week (02/03) Holdn n start from 13 July (23/06) Sent replacement today (01/09) Skip 1 week (07/12) Hold aftyer current cycle (19/03) Skip 16th Aug (09/08) No flowers on 27th (16/09) Skip tom and now on tuesday Only (05/12) Skip 1 week (18/02)</v>
          </cell>
          <cell r="L18" t="str">
            <v>BOP n GERBERA</v>
          </cell>
          <cell r="N18" t="str">
            <v>1  del of this cycle   -  1-cycles pmnt   Pending - Collect 1450</v>
          </cell>
          <cell r="O18" t="str">
            <v>Mix Alstroemeria ( 12 Inch ) 16     Grass</v>
          </cell>
          <cell r="P18" t="str">
            <v>P n W Glad ( 14 Inch ) 16     Grass</v>
          </cell>
          <cell r="Q18" t="str">
            <v>O n P Car ( 14 Inch ) 16     FF Sachet + Grass</v>
          </cell>
          <cell r="R18" t="str">
            <v>Pur Eustoma ( 12 Inch ) 3     FF Sachet + Grass</v>
          </cell>
          <cell r="S18" t="str">
            <v>O Asiatic ( 14 Inch ) 3     Grass</v>
          </cell>
          <cell r="T18" t="str">
            <v>B Daisy ( 12 Inch ) 16     Grass</v>
          </cell>
        </row>
        <row r="19">
          <cell r="A19">
            <v>3367</v>
          </cell>
          <cell r="B19" t="str">
            <v>Pallavi Sharma</v>
          </cell>
          <cell r="C19">
            <v>9910888631</v>
          </cell>
          <cell r="D19" t="str">
            <v>B-93, Regency Park 1, Sec 43</v>
          </cell>
          <cell r="E19" t="str">
            <v>DLF Phase 4</v>
          </cell>
          <cell r="F19" t="str">
            <v>Tuesday</v>
          </cell>
          <cell r="G19" t="str">
            <v>9 AM - 12 PM</v>
          </cell>
          <cell r="H19">
            <v>1450</v>
          </cell>
          <cell r="I19">
            <v>1450</v>
          </cell>
          <cell r="J19" t="str">
            <v>Bliss</v>
          </cell>
          <cell r="K19" t="str">
            <v>Paytm From Vaibhav Sharma (16.05) Skip 1 week (03/06)</v>
          </cell>
          <cell r="N19" t="str">
            <v>3  del of this cycle   -  0-cycles pmnt   Completed - Collect 0</v>
          </cell>
          <cell r="O19" t="str">
            <v>P n W Glad ( 14 Inch ) 16     Grass</v>
          </cell>
          <cell r="P19" t="e">
            <v>#N/A</v>
          </cell>
          <cell r="Q19" t="str">
            <v>P n Y Spray Daisy ( 14 Inch ) 5     FF Sachet + Grass</v>
          </cell>
          <cell r="R19" t="str">
            <v>Rajni ( 14 Inch ) 16     FF Sachet + Grass</v>
          </cell>
          <cell r="S19" t="str">
            <v>P n W Car ( 14 Inch ) 16     FF Sachet + Grass</v>
          </cell>
          <cell r="T19" t="str">
            <v>O Asiatic ( 14 Inch ) 3     Grass</v>
          </cell>
        </row>
        <row r="20">
          <cell r="A20">
            <v>1411</v>
          </cell>
          <cell r="B20" t="str">
            <v>Aarti Malhotra</v>
          </cell>
          <cell r="C20">
            <v>9810002228</v>
          </cell>
          <cell r="D20" t="str">
            <v>T-10/1402, Orchid Petals</v>
          </cell>
          <cell r="E20" t="str">
            <v>Sohna Road 1</v>
          </cell>
          <cell r="F20" t="str">
            <v>Friday</v>
          </cell>
          <cell r="G20" t="str">
            <v>9 AM - 12 PM</v>
          </cell>
          <cell r="H20">
            <v>3000</v>
          </cell>
          <cell r="I20">
            <v>375</v>
          </cell>
          <cell r="J20" t="str">
            <v>Charm</v>
          </cell>
          <cell r="K20" t="str">
            <v>Friday and Tuesday//Thursday and Sunday//Like-- Spray daisy//Rajni and guldawari(28/05) Sunday and Thursday(20/06) Shift to Joy package after this(15/09) Skip 1 week(13/01)  Holy Change(16/03) Sent 1 replacement today(05/04) Hold n start from June(04/05) Hold and start after 20th June(06/06) Sent Replacement today(05/07) Do Not Count last Delivery(18/07) NO SPRAY DAISY(23/08) Skip coming Delivery (28/09)Today flowers returned-send on next del date (09/12) Start after 31st // Replace last flowers (28/01) Skip 1 week (02/06) No Del till 28th June (11/06) Skip this friday (06/03) Skip 1 week 911/03) Paytm from Vineet R K (26/10) Hold till 2nd July (31/05)</v>
          </cell>
          <cell r="N20" t="str">
            <v>1  del of this cycle   -  1-cycles pmnt   Pending - Collect 3000</v>
          </cell>
          <cell r="O20" t="e">
            <v>#N/A</v>
          </cell>
          <cell r="P20" t="e">
            <v>#N/A</v>
          </cell>
          <cell r="Q20" t="e">
            <v>#N/A</v>
          </cell>
          <cell r="R20" t="e">
            <v>#N/A</v>
          </cell>
          <cell r="S20" t="e">
            <v>#N/A</v>
          </cell>
          <cell r="T20" t="str">
            <v>O Asiatic ( 14 Inch ) 3     Grass</v>
          </cell>
        </row>
        <row r="21">
          <cell r="A21">
            <v>3138</v>
          </cell>
          <cell r="B21" t="str">
            <v>Alpna Verma</v>
          </cell>
          <cell r="C21">
            <v>9811996368</v>
          </cell>
          <cell r="D21" t="str">
            <v>B-70, Sushant Lok Phase 1, Next to Vipul Square, Enter gaye no. 4</v>
          </cell>
          <cell r="E21" t="str">
            <v>M G Road</v>
          </cell>
          <cell r="F21" t="str">
            <v>Tuesday</v>
          </cell>
          <cell r="G21" t="str">
            <v>9 AM - 12 PM</v>
          </cell>
          <cell r="H21">
            <v>2300</v>
          </cell>
          <cell r="I21">
            <v>287.5</v>
          </cell>
          <cell r="J21" t="str">
            <v>Felicity</v>
          </cell>
          <cell r="K21" t="str">
            <v>Day Changed ro Tuesday and Saturday (22/03)Single Color Flowers (01/12)</v>
          </cell>
          <cell r="M21" t="str">
            <v>Single Color Flowers</v>
          </cell>
          <cell r="N21" t="str">
            <v>6  del of this cycle   -  0-cycles pmnt   Completed - Collect 0</v>
          </cell>
          <cell r="O21" t="str">
            <v>Mix Alstroemeria ( 12 Inch ) 11 Pls Keep Flower at door -- Don’t call n Ring Bell Pls Keep Flower at door -- Don’t call n Ring Bell Pls Keep Flower at door -- Don’t call n Ring Bell Pls Keep Flower at door -- Don’t call n Ring Bell FF sachet + Grass</v>
          </cell>
          <cell r="P21" t="e">
            <v>#N/A</v>
          </cell>
          <cell r="Q21" t="e">
            <v>#N/A</v>
          </cell>
          <cell r="R21" t="str">
            <v>P Spray Daisy ( 14 Inch ) 3     FF Sachet + Grass</v>
          </cell>
          <cell r="S21" t="str">
            <v>Rajni ( 14 Inch ) 11     Grass</v>
          </cell>
          <cell r="T21" t="str">
            <v>W Eustoam ( 12 Inch ) 2     FF Sachet + Grass</v>
          </cell>
        </row>
        <row r="22">
          <cell r="A22">
            <v>3275</v>
          </cell>
          <cell r="B22" t="str">
            <v>Reema Parents</v>
          </cell>
          <cell r="C22">
            <v>9910105022</v>
          </cell>
          <cell r="D22" t="str">
            <v>B1/603, Tulip Orange, Sec 70</v>
          </cell>
          <cell r="E22" t="str">
            <v>Badshahpur</v>
          </cell>
          <cell r="F22" t="str">
            <v>Tuesday</v>
          </cell>
          <cell r="G22" t="str">
            <v>9 AM - 12 PM</v>
          </cell>
          <cell r="H22">
            <v>1450</v>
          </cell>
          <cell r="I22">
            <v>362.5</v>
          </cell>
          <cell r="J22" t="str">
            <v>Bliss</v>
          </cell>
          <cell r="K22" t="str">
            <v>From Reema</v>
          </cell>
          <cell r="N22" t="str">
            <v>4  del of this cycle   -  0-cycles pmnt   Completed - Collect 0</v>
          </cell>
          <cell r="O22" t="str">
            <v>P n W Glad ( 14 Inch ) 9     Grass</v>
          </cell>
          <cell r="P22" t="str">
            <v>P Asiatic ( 14 Inch ) 2     Grass</v>
          </cell>
          <cell r="Q22" t="str">
            <v>O n P Car ( 14 Inch ) 16     FF Sachet + Grass</v>
          </cell>
          <cell r="R22" t="str">
            <v>Pur Eustoma ( 12 Inch ) 3     FF Sachet + Grass</v>
          </cell>
          <cell r="S22" t="str">
            <v>Rajni ( 14 Inch ) 16     Grass</v>
          </cell>
          <cell r="T22" t="str">
            <v>B Daisy ( 12 Inch ) 16     Grass</v>
          </cell>
        </row>
        <row r="23">
          <cell r="A23">
            <v>2284</v>
          </cell>
          <cell r="B23" t="str">
            <v>Tarushi--Skyon</v>
          </cell>
          <cell r="C23">
            <v>9873968830</v>
          </cell>
          <cell r="D23" t="str">
            <v>B-2004, Ireo Skyon, Sec 60</v>
          </cell>
          <cell r="E23" t="str">
            <v>Ghata</v>
          </cell>
          <cell r="F23" t="str">
            <v>Tuesday</v>
          </cell>
          <cell r="G23" t="str">
            <v>9 AM - 12 PM</v>
          </cell>
          <cell r="H23">
            <v>1450</v>
          </cell>
          <cell r="I23">
            <v>362.5</v>
          </cell>
          <cell r="J23" t="str">
            <v>Bliss</v>
          </cell>
          <cell r="K23" t="str">
            <v>No Spray Daisy (06/11) Skip 1 week (02/03) No Gerbera (02/07) Send on Saturday this week Z914/07)Paytm from Uday Bansal 19/07) Return not at home (29/07) Hold due to non payment (14/10) Hold after this cycle (14/11) Paytm From Tarushi Garg (02/04) HDTNP (02/06) HDTNP (09/06) HDTNP (16/06) Skip 1 week (24/06)</v>
          </cell>
          <cell r="L23" t="str">
            <v>Spray Daisy n GERBERA</v>
          </cell>
          <cell r="N23" t="str">
            <v>4  del of this cycle   -  0-cycles pmnt   Completed - Collect 0</v>
          </cell>
          <cell r="O23" t="e">
            <v>#N/A</v>
          </cell>
          <cell r="P23" t="e">
            <v>#N/A</v>
          </cell>
          <cell r="Q23" t="e">
            <v>#N/A</v>
          </cell>
          <cell r="R23" t="str">
            <v>Pur Eustoma ( 12 Inch ) 3     FF Sachet + Grass</v>
          </cell>
          <cell r="S23" t="str">
            <v>Rajni ( 14 Inch ) 16     Grass</v>
          </cell>
          <cell r="T23" t="str">
            <v>O Asiatic ( 14 Inch ) 3     Grass</v>
          </cell>
        </row>
        <row r="24">
          <cell r="A24" t="str">
            <v>CP00001</v>
          </cell>
          <cell r="B24" t="str">
            <v>Nidhi Sharma Malhotra -- BPTP -- Centra 1</v>
          </cell>
          <cell r="C24">
            <v>9999016333</v>
          </cell>
          <cell r="D24" t="str">
            <v>BPTP, Sec 61</v>
          </cell>
          <cell r="E24" t="str">
            <v>Ghata</v>
          </cell>
          <cell r="F24" t="str">
            <v>Thursday</v>
          </cell>
          <cell r="G24" t="str">
            <v>By 5 PM</v>
          </cell>
          <cell r="H24">
            <v>10000</v>
          </cell>
          <cell r="I24">
            <v>10000</v>
          </cell>
          <cell r="J24" t="str">
            <v>Corporate</v>
          </cell>
          <cell r="T24" t="str">
            <v xml:space="preserve">G n W Car + G n W Spray Daisy + G n W Eustoma + G n W Eustoma + W Asiatic + W Oriental 120 + 15 + 10 + 5 + 5     </v>
          </cell>
        </row>
        <row r="25">
          <cell r="A25">
            <v>2247</v>
          </cell>
          <cell r="B25" t="str">
            <v>Reeya Naahar</v>
          </cell>
          <cell r="C25">
            <v>9818862169</v>
          </cell>
          <cell r="D25" t="str">
            <v>B-316-B, Sushant Lok-1</v>
          </cell>
          <cell r="E25" t="str">
            <v>M G Road</v>
          </cell>
          <cell r="F25" t="str">
            <v>Saturday</v>
          </cell>
          <cell r="G25" t="str">
            <v>9:30 AM to 2PM</v>
          </cell>
          <cell r="H25">
            <v>2300</v>
          </cell>
          <cell r="I25">
            <v>287.5</v>
          </cell>
          <cell r="J25" t="str">
            <v>Felicity</v>
          </cell>
          <cell r="K25" t="str">
            <v>Saturday n Tuesday// No Yel Spray Daisy // Do not count last del (06/07) No Gerbera (12/04)</v>
          </cell>
          <cell r="L25" t="str">
            <v>GERBERA</v>
          </cell>
          <cell r="N25" t="str">
            <v>6  del of this cycle   -  0-cycles pmnt   In Process - Collect 0</v>
          </cell>
          <cell r="O25" t="str">
            <v>P Asiatic ( 14 Inch ) 2     Grass</v>
          </cell>
          <cell r="P25" t="str">
            <v>Pur Eustoma ( 12 Inch ) 3     FF Sachet + Grass</v>
          </cell>
          <cell r="Q25" t="str">
            <v>P n W Glad ( 14 Inch ) 11     Grass</v>
          </cell>
          <cell r="R25" t="str">
            <v>Rajni ( 14 Inch ) 11     Grass</v>
          </cell>
          <cell r="S25" t="str">
            <v>P n W Glad ( 14 inch ) 11     Grass</v>
          </cell>
          <cell r="T25" t="str">
            <v>Pur n P Car ( 14 Inch ) 11     FF Sachet + Grass</v>
          </cell>
        </row>
        <row r="26">
          <cell r="A26">
            <v>1936</v>
          </cell>
          <cell r="B26" t="str">
            <v>Pranta Dutta</v>
          </cell>
          <cell r="C26" t="str">
            <v>99535 59491</v>
          </cell>
          <cell r="D26" t="str">
            <v>C 1 flat 501 Ireo skyon golf course extension sector 60 gurgaon ( behind lemon tree hotel)</v>
          </cell>
          <cell r="E26" t="str">
            <v>Ghata</v>
          </cell>
          <cell r="F26" t="str">
            <v>Saturday</v>
          </cell>
          <cell r="G26" t="str">
            <v>9 AM - 12 PM</v>
          </cell>
          <cell r="H26">
            <v>1600</v>
          </cell>
          <cell r="I26">
            <v>200</v>
          </cell>
          <cell r="J26" t="str">
            <v>Bloom</v>
          </cell>
          <cell r="K26" t="str">
            <v>Tuesday n Saturday//Thursday n Sunday// No Rajni (01/01/23) Skip 1 wek (30/05) Paytm from Ddhruv Dutta Minor (18/06) Paytm From Susmita D (16/07). Not sent on 25/04 due to non payment (24/4) Paytm From Susmita D (04/05) Do not count last del (02/07) No Gerbera also (29/09) Hold from 10th to 20th (08/12) Hold from 10th to 20th (10/12) Hold due to non payment (26/12) No Delivery from 03rd to15th Jan (28/12) Hold due to non payment (010/02) Hold due to non payment (24/02) HDTNP (17/03) HDTNP (02/05) HDTNP (23/05) HDTNP (26/05) HDTNP (02/06) HDTNP (06/06) HDTNP (09/06) HDTNP (13/06) HDTNP (16/06) HDTNP (20/06) HDTNP (23/06) HDTNP (27/06) HDTNP (30/06)</v>
          </cell>
          <cell r="L26" t="str">
            <v>RAJNI n GERBERA</v>
          </cell>
          <cell r="N26" t="str">
            <v>5  del of this cycle   -  0-cycles pmnt   Completed - Collect 0</v>
          </cell>
          <cell r="O26" t="e">
            <v>#N/A</v>
          </cell>
          <cell r="P26" t="e">
            <v>#N/A</v>
          </cell>
          <cell r="Q26" t="e">
            <v>#N/A</v>
          </cell>
          <cell r="R26" t="e">
            <v>#N/A</v>
          </cell>
          <cell r="S26" t="str">
            <v xml:space="preserve">Collect 600 Carry Receipt Book     </v>
          </cell>
          <cell r="T26" t="str">
            <v>Sunflower ( 12 Inch ) 2     FF Sachet + Grass</v>
          </cell>
        </row>
        <row r="27">
          <cell r="A27">
            <v>3371</v>
          </cell>
          <cell r="B27" t="str">
            <v>Supriya Bijlwan</v>
          </cell>
          <cell r="C27">
            <v>9560012831</v>
          </cell>
          <cell r="D27" t="str">
            <v>C-201, Mahindra Luminaire</v>
          </cell>
          <cell r="E27" t="str">
            <v>Ghata</v>
          </cell>
          <cell r="F27" t="str">
            <v>Saturday</v>
          </cell>
          <cell r="G27" t="str">
            <v>10 AM to 2:30 PM</v>
          </cell>
          <cell r="H27">
            <v>2300</v>
          </cell>
          <cell r="I27">
            <v>287.5</v>
          </cell>
          <cell r="J27" t="str">
            <v>Felicity</v>
          </cell>
          <cell r="K27" t="str">
            <v>1 Seasonal Extra next (20/05)</v>
          </cell>
          <cell r="M27" t="str">
            <v>Premium in next 2 Del (23/05)</v>
          </cell>
          <cell r="N27" t="str">
            <v>7  del of this cycle   -  0-cycles pmnt   Completed - Collect 0</v>
          </cell>
          <cell r="O27" t="str">
            <v>Sunflowers ( 14 Inch ) 3     FF sachet + Grass</v>
          </cell>
          <cell r="P27" t="str">
            <v>Pur Eustoma ( 12 Inch ) 3     FF Sachet + Grass</v>
          </cell>
          <cell r="Q27" t="str">
            <v>Rajni ( 14 Inch ) 11     Grass</v>
          </cell>
          <cell r="R27" t="str">
            <v>P Asiatic ( 14 Inch ) 2     Grass</v>
          </cell>
          <cell r="S27" t="str">
            <v>Sunflower ( 12 Incjh ) 3     FF Sachet + Grass</v>
          </cell>
          <cell r="T27" t="str">
            <v>Y Spray Daisy ( 14 Inch ) 2     FF Sachet + Grass</v>
          </cell>
        </row>
        <row r="28">
          <cell r="A28">
            <v>2692</v>
          </cell>
          <cell r="B28" t="str">
            <v>A K Jain</v>
          </cell>
          <cell r="C28">
            <v>9910309930</v>
          </cell>
          <cell r="D28" t="str">
            <v>B-785, Sushant Lok-1, Near Police Chowki</v>
          </cell>
          <cell r="E28" t="str">
            <v>M G Road</v>
          </cell>
          <cell r="F28" t="str">
            <v>Saturday</v>
          </cell>
          <cell r="G28" t="str">
            <v>9 AM - 12 PM</v>
          </cell>
          <cell r="H28">
            <v>2300</v>
          </cell>
          <cell r="I28">
            <v>287.5</v>
          </cell>
          <cell r="J28" t="str">
            <v>Felicity</v>
          </cell>
          <cell r="K28" t="str">
            <v>Saturdya n Tuesday (16/05) Hold from 10th to 14th June (07/06) Paytm From Akhil Jain (21/06) Skip sat del and send them on Sunday (30/07) Do not count last delivery (22/09) Hold 25th and 28th (19/10) Today Returned (04/11) Skip sat delivery (18/03) Do not count last Del (15/06)</v>
          </cell>
          <cell r="N28" t="str">
            <v>8  del of this cycle   -  0-cycles pmnt   Completed - Collect 0</v>
          </cell>
          <cell r="O28" t="str">
            <v>P Asiatic ( 14 Inch ) 2     Grass</v>
          </cell>
          <cell r="P28" t="str">
            <v>Mix Alstroemeria ( 12 Inch ) 11     FF Sachet + Grass</v>
          </cell>
          <cell r="Q28" t="str">
            <v>O n P Car ( 14 Inch ) 11     FF Sachet + Grass</v>
          </cell>
          <cell r="R28" t="str">
            <v>Rajni ( 14 Inch ) 11     Grass</v>
          </cell>
          <cell r="S28" t="str">
            <v>P n W Glad ( 14 inch ) 11     Grass</v>
          </cell>
          <cell r="T28" t="str">
            <v>Pur n P Car ( 14 Inch ) 11     FF Sachet + Grass</v>
          </cell>
        </row>
        <row r="29">
          <cell r="A29">
            <v>2087</v>
          </cell>
          <cell r="B29" t="str">
            <v>Lucky Pandey</v>
          </cell>
          <cell r="C29" t="str">
            <v>9961712428//9971712428</v>
          </cell>
          <cell r="D29" t="str">
            <v>B3/502, Uniworld City ( West)</v>
          </cell>
          <cell r="E29" t="str">
            <v>South City 1</v>
          </cell>
          <cell r="F29" t="str">
            <v>Tuesday</v>
          </cell>
          <cell r="G29" t="str">
            <v>9 AM to 2 PM</v>
          </cell>
          <cell r="H29">
            <v>1450</v>
          </cell>
          <cell r="I29">
            <v>362.5</v>
          </cell>
          <cell r="J29" t="str">
            <v>Bliss</v>
          </cell>
          <cell r="K29" t="str">
            <v>Skip this Sunday and send on Tuesday (07/07) Skip 1 week (21/10) Today Returned (10/12) Today returned (17/03) Today Returned (19/003) Return-send tom (26/05) Hold (23/06) Today Returned (21/07) Gpay from Abhijeet K Choudhary (01/10) Hold today (03/12) No Sunflower (21/01) Returned today (17/06) Send 1 del todya (07/07) Today Returned 0send on saturday this week (23/06)</v>
          </cell>
          <cell r="L29" t="str">
            <v>Sunflower</v>
          </cell>
          <cell r="N29" t="str">
            <v>2  del of this cycle   -  1-cycles pmnt   Pending - Collect 1450</v>
          </cell>
          <cell r="O29" t="str">
            <v>Y Asiatic ( 14 Inch ) 3     Grass</v>
          </cell>
          <cell r="P29" t="str">
            <v>R n P Car ( 14 Inch ) 16     FF Sachet + Grass</v>
          </cell>
          <cell r="Q29" t="str">
            <v>P n W Glad ( 14 Inch ) 16     Grass</v>
          </cell>
          <cell r="R29" t="str">
            <v>Pur Eustoma ( 12 Inch ) 3     FF Sachet + Grass</v>
          </cell>
          <cell r="S29" t="str">
            <v>Rajni ( 14 Inch ) 16     Grass</v>
          </cell>
          <cell r="T29" t="str">
            <v>P Asiatic ( 14 Inch ) 3     Grass</v>
          </cell>
        </row>
        <row r="30">
          <cell r="A30">
            <v>3395</v>
          </cell>
          <cell r="B30" t="str">
            <v>Chhavi Sharma</v>
          </cell>
          <cell r="C30">
            <v>9773834450</v>
          </cell>
          <cell r="D30" t="str">
            <v>403, Plot No. 74, Sec 28, Near Golf Course Road</v>
          </cell>
          <cell r="E30" t="str">
            <v>DLF Phase 4</v>
          </cell>
          <cell r="F30" t="str">
            <v>Tuesday</v>
          </cell>
          <cell r="G30" t="str">
            <v>9 AM - 12 PM</v>
          </cell>
          <cell r="H30">
            <v>1450</v>
          </cell>
          <cell r="I30">
            <v>362.5</v>
          </cell>
          <cell r="J30" t="str">
            <v>Bliss</v>
          </cell>
          <cell r="K30" t="str">
            <v>Prefer Pink Lilies (29/06)</v>
          </cell>
          <cell r="N30" t="str">
            <v>2  del of this cycle   -  0-cycles pmnt   Completed - Collect 0</v>
          </cell>
          <cell r="O30" t="e">
            <v>#N/A</v>
          </cell>
          <cell r="P30" t="e">
            <v>#N/A</v>
          </cell>
          <cell r="Q30" t="e">
            <v>#N/A</v>
          </cell>
          <cell r="R30" t="e">
            <v>#N/A</v>
          </cell>
          <cell r="S30" t="str">
            <v>Pur n P Car (14 inch) 16     FF Sachet + Grass</v>
          </cell>
          <cell r="T30" t="str">
            <v>P Asiatic ( 14 Inch ) 2     Grass</v>
          </cell>
        </row>
        <row r="31">
          <cell r="A31">
            <v>2593</v>
          </cell>
          <cell r="B31" t="str">
            <v>Devesh Srivastava</v>
          </cell>
          <cell r="C31">
            <v>7400118910</v>
          </cell>
          <cell r="D31" t="str">
            <v xml:space="preserve">T-7/1003&lt; The Palms
</v>
          </cell>
          <cell r="E31" t="str">
            <v>South City 1</v>
          </cell>
          <cell r="F31" t="str">
            <v>Tuesday</v>
          </cell>
          <cell r="G31" t="str">
            <v>9 AM to 2 PM</v>
          </cell>
          <cell r="H31">
            <v>1450</v>
          </cell>
          <cell r="I31">
            <v>362.5</v>
          </cell>
          <cell r="J31" t="str">
            <v>Bliss</v>
          </cell>
          <cell r="K31" t="str">
            <v>Saturday n Tuesday//One Del today and then every satrday 920/04) Sent one Del Today (09/05)</v>
          </cell>
          <cell r="N31" t="str">
            <v>2  del of this cycle   -  0-cycles pmnt   Completed - Collect 0</v>
          </cell>
          <cell r="O31" t="str">
            <v xml:space="preserve"> Asiatic lily      Grass</v>
          </cell>
          <cell r="P31" t="str">
            <v>W Asiatic ( 14 Inch ) 3     Grass</v>
          </cell>
          <cell r="Q31" t="str">
            <v>P n W Glad ( 14 Inch ) 16     Grass</v>
          </cell>
          <cell r="R31" t="str">
            <v>Pur Eustoma ( 12 Inch ) 3     FF Sachet + Grass</v>
          </cell>
          <cell r="S31" t="str">
            <v>P n W Car ( 14 Inch ) 16     FF Sachet + Grass</v>
          </cell>
          <cell r="T31" t="str">
            <v>Mix Alstroemeria ( 12 Inch ) 16     FF Sachet + Grass</v>
          </cell>
        </row>
        <row r="32">
          <cell r="A32">
            <v>3333</v>
          </cell>
          <cell r="B32" t="str">
            <v>Urshita Gupta</v>
          </cell>
          <cell r="C32">
            <v>9910738939</v>
          </cell>
          <cell r="D32" t="str">
            <v>D-202, Pilot Court, Essel Towers</v>
          </cell>
          <cell r="E32" t="str">
            <v>M G Road</v>
          </cell>
          <cell r="F32" t="str">
            <v>Tuesday</v>
          </cell>
          <cell r="G32" t="str">
            <v>10 AM to 2:30 PM</v>
          </cell>
          <cell r="H32">
            <v>1950</v>
          </cell>
          <cell r="I32">
            <v>487.5</v>
          </cell>
          <cell r="J32" t="str">
            <v>Joy</v>
          </cell>
          <cell r="K32" t="str">
            <v>Change day to Tuesday (29/04) Hold till1 st June (20/05) Paytm From Urshita Saini (05/06)</v>
          </cell>
          <cell r="N32" t="str">
            <v>2  del of this cycle   -  0-cycles pmnt   Completed - Collect 0</v>
          </cell>
          <cell r="O32" t="str">
            <v>R n W Car ( 14 Inch ) 22     FF sachet + Grass</v>
          </cell>
          <cell r="P32" t="str">
            <v>Mix Alstroemeria ( 12 Inch ) 22     FF Sachet + Grass</v>
          </cell>
          <cell r="Q32" t="str">
            <v>P n W Spray Daisy ( 14 inch ) 7     FF Sachet + Grass</v>
          </cell>
          <cell r="R32" t="str">
            <v>Mix Car 22     Grass</v>
          </cell>
          <cell r="S32" t="str">
            <v>O Asiatic ( 14 Inch ) 4     Grass</v>
          </cell>
          <cell r="T32" t="str">
            <v>B Daisy ( 12 Inch ) 22     Grass</v>
          </cell>
        </row>
        <row r="33">
          <cell r="A33">
            <v>3174</v>
          </cell>
          <cell r="B33" t="str">
            <v>Swapnil</v>
          </cell>
          <cell r="C33">
            <v>9910715560</v>
          </cell>
          <cell r="D33" t="str">
            <v>Axelle, 17-B, Tata Raisina, Sec 59</v>
          </cell>
          <cell r="E33" t="str">
            <v>Ghata</v>
          </cell>
          <cell r="F33" t="str">
            <v>Tuesday</v>
          </cell>
          <cell r="G33" t="str">
            <v>10 AM to 2:30 PM</v>
          </cell>
          <cell r="H33">
            <v>1450</v>
          </cell>
          <cell r="I33">
            <v>362.5</v>
          </cell>
          <cell r="J33" t="str">
            <v>Bliss</v>
          </cell>
          <cell r="K33" t="str">
            <v>Skip 1 week (05/12)</v>
          </cell>
          <cell r="N33" t="str">
            <v>4  del of this cycle   -  0-cycles pmnt   Completed - Collect 0</v>
          </cell>
          <cell r="O33" t="str">
            <v>Mix Alstroemeria ( 12 Inch ) 16     Grass</v>
          </cell>
          <cell r="P33" t="str">
            <v>P n Y Spray Daisy ( 14 Inch ) 5     FF Sachet + Grass</v>
          </cell>
          <cell r="Q33" t="str">
            <v>P n W Glad ( 14 Inch ) 16     Grass</v>
          </cell>
          <cell r="R33" t="str">
            <v>Pur Eustoma ( 12 Inch ) 3     FF Sachet + Grass</v>
          </cell>
          <cell r="S33" t="str">
            <v>P n W Car ( 14 Inch ) 16     FF Sachet + Grass</v>
          </cell>
          <cell r="T33" t="str">
            <v>Y Asiatic ( 14 Inch ) 3     Grass</v>
          </cell>
        </row>
        <row r="34">
          <cell r="A34">
            <v>1063</v>
          </cell>
          <cell r="B34" t="str">
            <v>Sarika Bhattacharya</v>
          </cell>
          <cell r="C34">
            <v>9899457726</v>
          </cell>
          <cell r="D34" t="str">
            <v>T2/1404, The Palms</v>
          </cell>
          <cell r="E34" t="str">
            <v>South City 1</v>
          </cell>
          <cell r="F34" t="str">
            <v>Saturday</v>
          </cell>
          <cell r="G34" t="str">
            <v>9 AM to 2 PM</v>
          </cell>
          <cell r="H34">
            <v>1600</v>
          </cell>
          <cell r="I34">
            <v>200</v>
          </cell>
          <cell r="J34" t="str">
            <v>Bloom</v>
          </cell>
          <cell r="K34" t="str">
            <v>Sat n Tuesday//Day changed to Sat(07/08/20)  Send 1 Pack of mogra always(02/09/20) 500 added agsint bouquet sent to Nikita(09/09/20) 1 PACK OF MOGRA EVERY WEEK(11/09/20) Lilies this week and day changed to Saturday(08/10/20) Sent 5 Eustoma as Complimentary today(24/10) Send Double Del(08/11) 1 Stick Extra Next(13/11) Spray Daisy Next(30/11) Hold n start after 11th Jan(13/12) Spray daisy Next(30/01) Skip 2 weeks9(13/03) Shift 1 More week(01/04) Skip 1 week(02/07)  Skip 1 week(13/10) Skip 1 more week(18/10) Skip 1 week(05/11) Y Asiatic Next(04/02) Skip necxt week(19/02) Send next del on thursday evening slot(15/03) Hold till 7th Oct(17/09) Received 2 Payments today (29/12) NO Change to Bliss (31/12) Skip this sat delivery (22/05) Hold n start from July n confirm before delivery (25/05) Returned today and skip sat too (03/09) From Saibal Prasad Bhattacharya (08/10) Hold n start from 1st week of June (16/05) No Flowers till 5th Oct(15/09) Hold till 1st Nov from today (07/10) Send one del today and tnen on preferred days (02/11) Today Returnde (25/04) Hold n start from June (01/05) Hold till June also (28/05)</v>
          </cell>
          <cell r="N34" t="str">
            <v>2  del of this cycle   -  0-cycles pmnt   Completed - Collect 0</v>
          </cell>
          <cell r="O34" t="e">
            <v>#N/A</v>
          </cell>
          <cell r="P34" t="e">
            <v>#N/A</v>
          </cell>
          <cell r="Q34" t="e">
            <v>#N/A</v>
          </cell>
          <cell r="R34" t="e">
            <v>#N/A</v>
          </cell>
          <cell r="S34" t="e">
            <v>#N/A</v>
          </cell>
          <cell r="T34" t="str">
            <v>B Daisy ( 12 Inch ) 7     Grass</v>
          </cell>
        </row>
        <row r="35">
          <cell r="A35">
            <v>3117</v>
          </cell>
          <cell r="B35" t="str">
            <v>Rupi</v>
          </cell>
          <cell r="C35">
            <v>9412006708</v>
          </cell>
          <cell r="D35" t="str">
            <v>T-14/304, Heritage City</v>
          </cell>
          <cell r="E35" t="str">
            <v>M G Road</v>
          </cell>
          <cell r="F35" t="str">
            <v>Tuesday</v>
          </cell>
          <cell r="G35" t="str">
            <v>10 AM to 2:30 PM</v>
          </cell>
          <cell r="H35">
            <v>1450</v>
          </cell>
          <cell r="I35">
            <v>362.5</v>
          </cell>
          <cell r="J35" t="str">
            <v>Bliss</v>
          </cell>
          <cell r="K35" t="str">
            <v>Start From 29th and then next del from 9th Dec (18/11) This week on Saturday (06/2) Hold today and send on Saturday and then tuesday(03/03) Skip tom (20/04) Skip tom n send on saturdqay this week (20/06)</v>
          </cell>
          <cell r="N35" t="str">
            <v>4  del of this cycle   -  0-cycles pmnt   Completed - Collect 0</v>
          </cell>
          <cell r="O35" t="e">
            <v>#N/A</v>
          </cell>
          <cell r="P35" t="e">
            <v>#N/A</v>
          </cell>
          <cell r="Q35" t="str">
            <v>P n Y Spray Daisy ( 14 Inch ) 5     FF Sachet + Grass</v>
          </cell>
          <cell r="R35" t="e">
            <v>#N/A</v>
          </cell>
          <cell r="S35" t="str">
            <v>O Asiatic ( 14 Inch ) 3     Grass</v>
          </cell>
          <cell r="T35" t="str">
            <v>Pur n P Car ( 14 Inch ) 16     FF Sachet + Grass</v>
          </cell>
        </row>
        <row r="36">
          <cell r="A36">
            <v>3132</v>
          </cell>
          <cell r="B36" t="str">
            <v>Ramesh Kapoor</v>
          </cell>
          <cell r="C36">
            <v>9717416100</v>
          </cell>
          <cell r="D36" t="str">
            <v>T-6/1404, The Palms, South City 1</v>
          </cell>
          <cell r="E36" t="str">
            <v>South City 1</v>
          </cell>
          <cell r="F36" t="str">
            <v>Tuesday</v>
          </cell>
          <cell r="G36" t="str">
            <v>9 AM - 12 PM</v>
          </cell>
          <cell r="H36">
            <v>2300</v>
          </cell>
          <cell r="I36">
            <v>287.5</v>
          </cell>
          <cell r="J36" t="str">
            <v>Felicity</v>
          </cell>
          <cell r="K36" t="str">
            <v>Paytm From Anuradha Kapoor - Anu Kapoor (04/11) Premium tom (13/11) Replacement tom (21/04) 10 % Discint given (15/06) Today hold n sned tom (20/06) Today returned and skip Tuesday also (27/06)</v>
          </cell>
          <cell r="M36" t="str">
            <v>Premium Next (13/11)</v>
          </cell>
          <cell r="N36" t="str">
            <v>5  del of this cycle   -  0-cycles pmnt   Completed - Collect 40</v>
          </cell>
          <cell r="O36" t="str">
            <v>P Asiatic ( 14 Inch ) 2     Grass</v>
          </cell>
          <cell r="P36" t="str">
            <v>P n W Glad ( 14 Inch ) 9     Grass</v>
          </cell>
          <cell r="Q36" t="str">
            <v>Y Spray Daisy ( 14 Inch ) 3     FF Sachet + Grass</v>
          </cell>
          <cell r="R36" t="str">
            <v>Rajni ( 14 Inch ) 11     Grass</v>
          </cell>
          <cell r="S36" t="e">
            <v>#N/A</v>
          </cell>
          <cell r="T36" t="str">
            <v>Sunflower ( 12 Inch ) 2     FF Sachet + Grass</v>
          </cell>
        </row>
        <row r="37">
          <cell r="A37">
            <v>2594</v>
          </cell>
          <cell r="B37" t="str">
            <v>Anamika Sirohi</v>
          </cell>
          <cell r="C37">
            <v>9971707368</v>
          </cell>
          <cell r="D37" t="str">
            <v>E-703M The Vikas, DLF Phase 2</v>
          </cell>
          <cell r="E37" t="str">
            <v>DLF Phase 2</v>
          </cell>
          <cell r="F37" t="str">
            <v>Tuesday</v>
          </cell>
          <cell r="G37" t="str">
            <v>9 AM to 2 PM</v>
          </cell>
          <cell r="H37">
            <v>1450</v>
          </cell>
          <cell r="I37">
            <v>362.5</v>
          </cell>
          <cell r="J37" t="str">
            <v>Bliss</v>
          </cell>
          <cell r="K37" t="str">
            <v>Preferred Flowers -- Rose/Rajni/Gerbera/Lilies/Glad/car // Today Hold (12/08) Skip 2 week (13/08) Paytm From sangram Singh (10/09)</v>
          </cell>
          <cell r="N37" t="str">
            <v>1  del of this cycle   -  1-cycles pmnt   Pending - Collect 1440</v>
          </cell>
          <cell r="O37" t="str">
            <v>P Asiatic ( 14 Inch ) 2     Grass</v>
          </cell>
          <cell r="P37" t="str">
            <v>R n P Car ( 14 Inch ) 9     FF Sachet + Grass</v>
          </cell>
          <cell r="Q37" t="str">
            <v>Mix Alstroemeria ( 12 Inch ) 9     FF Sachet + Grass</v>
          </cell>
          <cell r="R37" t="str">
            <v>Sunflower ( 12 Inch ) 2     FF Sachet + Grass</v>
          </cell>
          <cell r="S37" t="str">
            <v>P n W Glad ( 14 inch ) 9     Grass</v>
          </cell>
          <cell r="T37" t="str">
            <v>Rajni ( 14 Inch ) 16     Grass</v>
          </cell>
        </row>
        <row r="38">
          <cell r="A38">
            <v>2854</v>
          </cell>
          <cell r="B38" t="str">
            <v>Promita Roy</v>
          </cell>
          <cell r="C38">
            <v>9717459257</v>
          </cell>
          <cell r="D38" t="str">
            <v>B-25, Sushant Appartment, Block-C, Phase 1</v>
          </cell>
          <cell r="E38" t="str">
            <v>M G Road</v>
          </cell>
          <cell r="F38" t="str">
            <v>Tuesday</v>
          </cell>
          <cell r="G38" t="str">
            <v>9 AM - 12 PM</v>
          </cell>
          <cell r="H38">
            <v>1450</v>
          </cell>
          <cell r="I38">
            <v>362.5</v>
          </cell>
          <cell r="J38" t="str">
            <v>Bliss</v>
          </cell>
          <cell r="K38" t="str">
            <v>Upgrade to Bliss // Nolacl Gypsy or Lady Lace</v>
          </cell>
          <cell r="M38" t="str">
            <v>No Local Gypsy or Lady Lace</v>
          </cell>
          <cell r="N38" t="str">
            <v>1  del of this cycle   -  0-cycles pmnt   Completed - Collect 0</v>
          </cell>
          <cell r="O38" t="str">
            <v>R n W Car ( 14 Inch ) 16     FF sachet + Grass</v>
          </cell>
          <cell r="P38" t="str">
            <v>P Asiatic ( 14 Inch ) 3     Grass</v>
          </cell>
          <cell r="Q38" t="str">
            <v>P n W Glad ( 14 Inch ) 16     Grass</v>
          </cell>
          <cell r="R38" t="str">
            <v>Pur Eustoma ( 12 Inch ) 3     FF Sachet + Grass</v>
          </cell>
          <cell r="S38" t="str">
            <v>P n W Car ( 14 Inch ) 16     FF Sachet + Grass</v>
          </cell>
          <cell r="T38" t="str">
            <v>Mix Alstroemeria ( 12 Inch ) 16     Grass</v>
          </cell>
        </row>
        <row r="39">
          <cell r="A39">
            <v>1542</v>
          </cell>
          <cell r="B39" t="str">
            <v>Anisha Sethi</v>
          </cell>
          <cell r="C39">
            <v>9811004396</v>
          </cell>
          <cell r="D39" t="str">
            <v>Q-1/25, DLF Phase 2</v>
          </cell>
          <cell r="E39" t="str">
            <v>M G Road</v>
          </cell>
          <cell r="F39" t="str">
            <v>Saturday</v>
          </cell>
          <cell r="G39" t="str">
            <v>9 AM to 2 PM</v>
          </cell>
          <cell r="H39">
            <v>3000</v>
          </cell>
          <cell r="I39">
            <v>375</v>
          </cell>
          <cell r="J39" t="str">
            <v>Charm</v>
          </cell>
          <cell r="K39" t="str">
            <v>Saturdya n Tuesday//always mix of 2 flowers and send a scissor on 1st del for Rs.50(11/10) Send 1 Scissor also(13/10) Send Scissor Tom(15/10) Send Mogra next(18/10) NO HELICONIA and BOP(19/11) Skip this Tuesday(10/04) Skip this Tuesday Del(02/05) Skip 28th May Flowers(25/05) Sent replacement today(07/06) NO DEL BETWEEN 14TH AND 24TH JULY(06/07) Skip 12th , 16th , 19th and 23rd July(11/07) Skip 1 week(25/08) NO UPGRADE(17/10) Pause from 25th to 6th Apr (24/03) Asiatic n Car (05/05) No Delivery from 10th June to 15th July (07/06) Skip tom delivery (04/09) No flowers on 28th (26/10) Skip 1 Del (12/02) Hold on 2nd,6th and 9th Apr (30/03) Skip 20th Del (19/08) Pls hold n start from 5th Oct (22/09) No sunflowers for some time (15/04) Hold from 17th May t0 17th June (14/05) Collect 400 next and carry change (29/07) 400 cash on 5th Aug (12/08) Hold n send on 23rd Now (17/08)</v>
          </cell>
          <cell r="L39" t="str">
            <v>HELICONIA n BOP</v>
          </cell>
          <cell r="M39" t="str">
            <v>No Sunflowers for some time (15/04) Change of Rs. 50 Next (28/04)</v>
          </cell>
          <cell r="N39" t="str">
            <v>7  del of this cycle   -  0-cycles pmnt   Completed - Collect 0</v>
          </cell>
          <cell r="O39" t="e">
            <v>#N/A</v>
          </cell>
          <cell r="P39" t="e">
            <v>#N/A</v>
          </cell>
          <cell r="Q39" t="str">
            <v>P Spray Daisy ( 14 Inch ) 2 P n W Glad ( 14 Inch ) 7   FF Sachet + Grass</v>
          </cell>
          <cell r="R39" t="str">
            <v>Pur Eustoma ( 12 Inch ) 2 Rajni ( 14 Inch ) 7   FF Sachet + Grass</v>
          </cell>
          <cell r="S39" t="str">
            <v>Sunflower ( 12 Incjh ) 2 P n W Car ( 14 Inch ) 7   FF Sachet + Grass</v>
          </cell>
          <cell r="T39" t="str">
            <v>P Spray Daisy ( 14 Inch ) 2 Mix Alstroemeria ( 12 Inch ) 7   FF Sachet + Grass</v>
          </cell>
        </row>
        <row r="40">
          <cell r="A40">
            <v>2633</v>
          </cell>
          <cell r="B40" t="str">
            <v>Varsha Mathur</v>
          </cell>
          <cell r="C40">
            <v>9810816655</v>
          </cell>
          <cell r="D40" t="str">
            <v>C-34, First Floor, Sushant Lok-1</v>
          </cell>
          <cell r="E40" t="str">
            <v>M G Road</v>
          </cell>
          <cell r="F40" t="str">
            <v>Tuesday</v>
          </cell>
          <cell r="G40" t="str">
            <v>9 AM - 12 PM</v>
          </cell>
          <cell r="H40">
            <v>1450</v>
          </cell>
          <cell r="I40">
            <v>362.5</v>
          </cell>
          <cell r="J40" t="str">
            <v>Bliss</v>
          </cell>
          <cell r="K40" t="str">
            <v>Paytm From Aryank Mathur (29/04) Pls send asiatic only (10/06) Do not count last delivery (01/09) Diff flowers now (04/09) Hold due to non payment (14/10) Gpay from Medhavi Mathur (30/10) No Gerbera and Glad (04/12) No Orchids (18/12) Hold due to non payment (13/01) Hold due to non payment (20/01)</v>
          </cell>
          <cell r="L40" t="str">
            <v>No Glad n Gerbera n Orchid</v>
          </cell>
          <cell r="M40" t="str">
            <v>Diff flowers Now (04/09)</v>
          </cell>
          <cell r="N40" t="str">
            <v>2  del of this cycle   -  1-cycles pmnt   Pending - Collect 1450</v>
          </cell>
          <cell r="O40" t="str">
            <v>P n Y Spray Daisy ( 14 Inch ) 5     FF sachet + Grass</v>
          </cell>
          <cell r="P40" t="str">
            <v>Pur Eustoma ( 12 Inch ) 3     FF Sachet + Grass</v>
          </cell>
          <cell r="Q40" t="str">
            <v>O n P Car ( 14 Inch ) 16     FF Sachet + Grass</v>
          </cell>
          <cell r="R40" t="str">
            <v>O Asiatic ( 14 Inch ) 3     Grass</v>
          </cell>
          <cell r="S40" t="str">
            <v>Rajni ( 14 Inch ) 16     Grass</v>
          </cell>
          <cell r="T40" t="str">
            <v>Mix Alstroemeria ( 12 Inch ) 16     FF Sachet + Grass</v>
          </cell>
        </row>
        <row r="41">
          <cell r="A41">
            <v>2525</v>
          </cell>
          <cell r="B41" t="str">
            <v>Sonia Kalra</v>
          </cell>
          <cell r="C41">
            <v>9810512391</v>
          </cell>
          <cell r="D41" t="str">
            <v>C-264, Sushant Lok-1</v>
          </cell>
          <cell r="E41" t="str">
            <v>M G Road</v>
          </cell>
          <cell r="F41" t="str">
            <v>Tuesday</v>
          </cell>
          <cell r="G41" t="str">
            <v>10 AM to 2:30 PM</v>
          </cell>
          <cell r="H41">
            <v>1450</v>
          </cell>
          <cell r="I41">
            <v>362.5</v>
          </cell>
          <cell r="J41" t="str">
            <v>Bliss</v>
          </cell>
          <cell r="K41" t="str">
            <v>Change Rs 50// Hold today n skip 1 week(29/07) Paytm from harsonia Kalra (03/09)</v>
          </cell>
          <cell r="N41" t="str">
            <v>1  del of this cycle   -  1-cycles pmnt   Pending - Collect 1443</v>
          </cell>
          <cell r="O41" t="str">
            <v>P n W Glad ( 14 Inch ) 9     Grass</v>
          </cell>
          <cell r="P41" t="str">
            <v>P Asiatic ( 14 Inch ) 2     Grass</v>
          </cell>
          <cell r="Q41" t="str">
            <v>O n P Car ( 14 Inch ) 9     FF Sachet + Grass</v>
          </cell>
          <cell r="R41" t="str">
            <v>B Daisy ( 12 Inch ) 9     Grass</v>
          </cell>
          <cell r="S41" t="str">
            <v>Sunflower ( 12 Incjh ) 2     FF Sachet + grass</v>
          </cell>
          <cell r="T41" t="str">
            <v>Pur n P Car ( 14 Inch ) 16     FF Sachet + Grass</v>
          </cell>
        </row>
        <row r="42">
          <cell r="A42">
            <v>3306</v>
          </cell>
          <cell r="B42" t="str">
            <v>Abhishek Jain</v>
          </cell>
          <cell r="C42">
            <v>9004227662</v>
          </cell>
          <cell r="D42" t="str">
            <v>N-3/8, 2nd Floor, Road No. N-3, Sector 25</v>
          </cell>
          <cell r="E42" t="str">
            <v>DLF Phase 2</v>
          </cell>
          <cell r="F42" t="str">
            <v>Tuesday</v>
          </cell>
          <cell r="G42" t="str">
            <v>9:30 AM to 2 PM</v>
          </cell>
          <cell r="H42">
            <v>1450</v>
          </cell>
          <cell r="I42">
            <v>362.5</v>
          </cell>
          <cell r="J42" t="str">
            <v>Bliss</v>
          </cell>
          <cell r="K42" t="str">
            <v>Skip 2 week (16/04)</v>
          </cell>
          <cell r="N42" t="str">
            <v>3  del of this cycle   -  1-cycles pmnt   Pending - Collect 1450</v>
          </cell>
          <cell r="O42" t="str">
            <v>P n W Glad ( 14 Inch ) 16     Grass</v>
          </cell>
          <cell r="P42" t="str">
            <v>P n W Spray Daisy ( 14 Inch ) 5     FF Sachet + Grass</v>
          </cell>
          <cell r="Q42" t="str">
            <v>O n P Car ( 14 Inch ) 16     FF Sachet + Grass</v>
          </cell>
          <cell r="R42" t="str">
            <v>Pur Eustoma ( 12 Inch ) 3     FF Sachet + Grass</v>
          </cell>
          <cell r="S42" t="str">
            <v>Y Asiatic ( 14 Inch ) 3    Ensure Collection Grass</v>
          </cell>
          <cell r="T42" t="str">
            <v>Mix Alstroemeria ( 12 Inch ) 16     FF Sachet + Grass</v>
          </cell>
        </row>
        <row r="43">
          <cell r="A43">
            <v>1554</v>
          </cell>
          <cell r="B43" t="str">
            <v>Farea Aziz</v>
          </cell>
          <cell r="C43">
            <v>9871694052</v>
          </cell>
          <cell r="D43" t="str">
            <v>Selan Exploration Tech Ltd, 8th Floor , Imperial Mindspace, Sec 62</v>
          </cell>
          <cell r="E43" t="str">
            <v>Ghata</v>
          </cell>
          <cell r="F43" t="str">
            <v>Tuesday</v>
          </cell>
          <cell r="G43" t="str">
            <v>By 10 AM</v>
          </cell>
          <cell r="H43">
            <v>1950</v>
          </cell>
          <cell r="I43">
            <v>487.5</v>
          </cell>
          <cell r="J43" t="str">
            <v>Corporate</v>
          </cell>
          <cell r="K43" t="str">
            <v>Return-send next week(03/01) Return-send tom at new add (04/10) Today hold -send tom (15/08) Today returned-send tom (24/10)</v>
          </cell>
          <cell r="N43" t="str">
            <v>3  del of this cycle   -  0-cycles pmnt   In Process - Collect 0</v>
          </cell>
          <cell r="O43" t="str">
            <v>Sunflowers ( 14 Inch ) 3 P n W Glad ( 14 Inch ) 11   FF sachet + Grass</v>
          </cell>
          <cell r="P43" t="str">
            <v>P Eustoma ( 12 Inch ) 2 Mix Alstroemeria ( 12 Inch ) 11   FF Sachet + Grass</v>
          </cell>
          <cell r="Q43" t="str">
            <v>P Asiatic ( 14 Inch ) 2 O n P Car ( 14 Inch ) 11   Grass</v>
          </cell>
          <cell r="R43" t="str">
            <v>Sunflower ( 12 Inch ) 3 P n W Glad ( 14 Inch ) 11   FF Sachet + Grass</v>
          </cell>
          <cell r="S43" t="str">
            <v>Pur Eustoma 2 B Daisy 11   FF Sachet + Grass</v>
          </cell>
          <cell r="T43" t="str">
            <v>P n W Spray Daisy ( 14 Inch ) 4 Pur n P Car ( 14 Inch ) 11   FF Sachet + Grass</v>
          </cell>
        </row>
        <row r="44">
          <cell r="A44">
            <v>2463</v>
          </cell>
          <cell r="B44" t="str">
            <v>Rishika Mazumdar</v>
          </cell>
          <cell r="C44">
            <v>9674039510</v>
          </cell>
          <cell r="D44" t="str">
            <v>A-45/17, 4th Floor, Yadav House, Sec 28, DLF Phase 1</v>
          </cell>
          <cell r="E44" t="str">
            <v>DLF Phase 1</v>
          </cell>
          <cell r="F44" t="str">
            <v>Tuesday</v>
          </cell>
          <cell r="G44" t="str">
            <v>9 AM - 12 PM</v>
          </cell>
          <cell r="H44">
            <v>1450</v>
          </cell>
          <cell r="I44">
            <v>362.5</v>
          </cell>
          <cell r="J44" t="str">
            <v>Bliss</v>
          </cell>
          <cell r="K44" t="str">
            <v>Referred by Navjot Kaur// Sent replacement today (15/04) skip next and send on Tuesday (26/04) Skip n send on Tuesday (22/06) Skip tom n send on Tuesday (04/07) Change day to Tuesday (17/07) Hold from 20th Sep and stsrt from 11th Oct (01/09) Skip 25th and sned on 29th (18/11) Paytm from Tushar Gupta (17/02) Hold till 12th April (29/03)</v>
          </cell>
          <cell r="M44" t="str">
            <v>Don’t send on  28th -- sned on 1st July(26/04)</v>
          </cell>
          <cell r="N44" t="str">
            <v>3  del of this cycle   -  0-cycles pmnt   Completed - Collect 0</v>
          </cell>
          <cell r="O44" t="str">
            <v>R n W Car ( 14 Inch ) 9     FF sachet + Grass</v>
          </cell>
          <cell r="P44" t="str">
            <v>P n W Glad ( 14 Inch ) 9     Grass</v>
          </cell>
          <cell r="Q44" t="str">
            <v>Sunflower ( 12 Inch ) 2     FF Sachet + Grass</v>
          </cell>
          <cell r="R44" t="str">
            <v>B Daisy ( 12 Inch ) 16     Grass</v>
          </cell>
          <cell r="S44" t="str">
            <v>O Asiatic ( 14 Inch ) 3     Grass</v>
          </cell>
          <cell r="T44" t="str">
            <v>Pur n P Car ( 14 Inch ) 16     FF Sachet + Grass</v>
          </cell>
        </row>
        <row r="45">
          <cell r="A45">
            <v>3297</v>
          </cell>
          <cell r="B45" t="str">
            <v>Samby</v>
          </cell>
          <cell r="C45">
            <v>9818996771</v>
          </cell>
          <cell r="D45" t="str">
            <v>C-183 A, 4th Floor, Sushant Lok 1</v>
          </cell>
          <cell r="E45" t="str">
            <v>M G Road</v>
          </cell>
          <cell r="F45" t="str">
            <v>Tuesday</v>
          </cell>
          <cell r="G45" t="str">
            <v>10 AM to 2:30 PM</v>
          </cell>
          <cell r="H45">
            <v>1450</v>
          </cell>
          <cell r="I45">
            <v>362.5</v>
          </cell>
          <cell r="J45" t="str">
            <v>Bliss</v>
          </cell>
          <cell r="K45" t="str">
            <v>Paytm From Sumit Kumar Bedi Jaga (29/03)</v>
          </cell>
          <cell r="N45" t="str">
            <v>3  del of this cycle   -  0-cycles pmnt   Completed - Collect 0</v>
          </cell>
          <cell r="O45" t="str">
            <v>P n Y Spray Daisy ( 14 Inch ) 5     FF sachet + Grass</v>
          </cell>
          <cell r="P45" t="str">
            <v>R n P Car ( 14 Inch ) 16     FF Sachet + Grass</v>
          </cell>
          <cell r="Q45" t="str">
            <v>Mix Alstroemeria ( 12 Inch ) 16     FF Sachet + Grass</v>
          </cell>
          <cell r="R45" t="str">
            <v>Mix Spray Daisy 5     Grass</v>
          </cell>
          <cell r="S45" t="str">
            <v>Rajni ( 14 Inch ) 16     Grass</v>
          </cell>
          <cell r="T45" t="str">
            <v>O Asiatic ( 14 Inch ) 3     Grass</v>
          </cell>
        </row>
        <row r="46">
          <cell r="A46">
            <v>918</v>
          </cell>
          <cell r="B46" t="str">
            <v>FIVD</v>
          </cell>
          <cell r="C46">
            <v>9560117868</v>
          </cell>
          <cell r="D46" t="str">
            <v>Fivd India, 22-27, 7th Floor, A Tower, Emaar Digital Green Sec 61</v>
          </cell>
          <cell r="E46" t="str">
            <v>Ghata</v>
          </cell>
          <cell r="F46" t="str">
            <v>Tuesday</v>
          </cell>
          <cell r="G46" t="str">
            <v>9 AM - 12 PM</v>
          </cell>
          <cell r="H46">
            <v>1950</v>
          </cell>
          <cell r="I46">
            <v>487.5</v>
          </cell>
          <cell r="J46" t="str">
            <v>Corporate</v>
          </cell>
          <cell r="K46" t="str">
            <v>Only Asiatic(12/10) Skip this week(26/10) Google pay from manas mehrotra(24/11) Return-send on Tuesday(08/12) Gpay From Priyanka Singh (24/09) Sent a vase today (07/02) Add Changed (14/07) Today hold-send tom (15/08) send replacement tom (16/08) Today returned-send tom (24/10) Sent replacement today (04/07) Sent replacement today (27/11) Office was closed (21/10)</v>
          </cell>
          <cell r="L46" t="str">
            <v>GLAD And GULDAWARI AND SPRAY DAISY</v>
          </cell>
          <cell r="N46" t="str">
            <v>3  del of this cycle   -  0-cycles pmnt   In Process - Collect 0</v>
          </cell>
          <cell r="O46" t="str">
            <v>Y Asiatic ( 14 Inch ) 4     Grass</v>
          </cell>
          <cell r="P46" t="str">
            <v>Sunflower ( 12 Inch ) 5     FF Sachet + Grass</v>
          </cell>
          <cell r="Q46" t="str">
            <v>P n W Glad ( 14 Inch ) 22     Grass</v>
          </cell>
          <cell r="R46" t="str">
            <v>Pur n P Car ( 14 Inch ) 22     FF Sachet + Grass</v>
          </cell>
          <cell r="S46" t="str">
            <v>O Asiatic ( 14 Inch ) 4     Grass</v>
          </cell>
          <cell r="T46" t="str">
            <v>Rajni ( 14 Inch ) 22     Grass</v>
          </cell>
        </row>
        <row r="47">
          <cell r="A47">
            <v>3106</v>
          </cell>
          <cell r="B47" t="str">
            <v>Nitee Johar</v>
          </cell>
          <cell r="C47">
            <v>9810661849</v>
          </cell>
          <cell r="D47" t="str">
            <v>H-11/4 Dlf Phase 1, Gurgaon</v>
          </cell>
          <cell r="E47" t="str">
            <v>DLF Phase 1</v>
          </cell>
          <cell r="F47" t="str">
            <v>Tuesday</v>
          </cell>
          <cell r="G47" t="str">
            <v>9 AM to 2 PM</v>
          </cell>
          <cell r="H47">
            <v>1450</v>
          </cell>
          <cell r="I47">
            <v>362.5</v>
          </cell>
          <cell r="J47" t="str">
            <v>Bliss</v>
          </cell>
          <cell r="K47" t="str">
            <v>Ho;d due to non payment (13/01) Hold due to non payment (20/01) Hold due to non payment (27/01) Hold due to non payment (03/02) Hold due to non payment (10/02) Paytm From Kavita -- 25176 (24/03) HDTNP (02/06) HDTNP (09/06) HDTNP (16/06) HDTNP (23/06) HDTNP (30/06) Hold after current cycle (01/07) Paytm From Karan Singh --9810661849 (01/07)</v>
          </cell>
          <cell r="N47" t="str">
            <v>3  del of this cycle   -  0-cycles pmnt   Completed - Collect 0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str">
            <v xml:space="preserve">Collect 725 Carry Receipt Book     </v>
          </cell>
          <cell r="T47" t="str">
            <v>Pur n P Car ( 14 Inch ) 16     FF Sachet + Grass</v>
          </cell>
        </row>
        <row r="48">
          <cell r="A48">
            <v>2426</v>
          </cell>
          <cell r="B48" t="str">
            <v>Pragati Agarwal</v>
          </cell>
          <cell r="C48">
            <v>9811152110</v>
          </cell>
          <cell r="D48" t="str">
            <v>C-1019, G Floor, Sushant Lok 1</v>
          </cell>
          <cell r="E48" t="str">
            <v>M G Road</v>
          </cell>
          <cell r="F48" t="str">
            <v>Tuesday</v>
          </cell>
          <cell r="G48" t="str">
            <v>10 AM to 2:30 PM</v>
          </cell>
          <cell r="H48">
            <v>1950</v>
          </cell>
          <cell r="I48">
            <v>487.5</v>
          </cell>
          <cell r="J48" t="str">
            <v>Joy</v>
          </cell>
          <cell r="K48" t="str">
            <v>Skip 1 week (10/04) No Bop (29/04) No Rajni (29/07) One kind of flowers (31/10) Skip 1 week (05/01) Hold 1 month (07/03) Paytm From Tanmay Agarwal (05/05)</v>
          </cell>
          <cell r="L48" t="str">
            <v>BOP n Rajni</v>
          </cell>
          <cell r="M48" t="str">
            <v>One Kind of Flower (31/10)</v>
          </cell>
          <cell r="N48" t="str">
            <v>3  del of this cycle   -  0-cycles pmnt   CompletedNO COLLECTION-we have extra money - Collect -50</v>
          </cell>
          <cell r="O48" t="str">
            <v>P n W Spray Daisy ( 14 Inch ) 7     FF sachet + Grass</v>
          </cell>
          <cell r="P48" t="str">
            <v>Mix Alstroemeria ( 12 Inch ) 22     FF Sachet + Grass</v>
          </cell>
          <cell r="Q48" t="str">
            <v>O n P Car ( 14 Inch ) 22     FF Sachet + Grass</v>
          </cell>
          <cell r="R48" t="str">
            <v>Sunflower ( 12 Inch ) 4     Grass</v>
          </cell>
          <cell r="S48" t="str">
            <v>P n W Glad ( 14 inch ) 22    Ensure Collection Grass</v>
          </cell>
          <cell r="T48" t="str">
            <v>O Asiatic ( 14 Inch ) 4     Grass</v>
          </cell>
        </row>
        <row r="49">
          <cell r="A49">
            <v>2536</v>
          </cell>
          <cell r="B49" t="str">
            <v xml:space="preserve">Poonam Lal </v>
          </cell>
          <cell r="C49">
            <v>9811096665</v>
          </cell>
          <cell r="D49" t="str">
            <v>T-121/173, Silver Oaks Appartments</v>
          </cell>
          <cell r="E49" t="str">
            <v>DLF Phase 1</v>
          </cell>
          <cell r="F49" t="str">
            <v>Saturday</v>
          </cell>
          <cell r="G49" t="str">
            <v>9 AM - 12 PM</v>
          </cell>
          <cell r="H49">
            <v>1450</v>
          </cell>
          <cell r="I49">
            <v>362.5</v>
          </cell>
          <cell r="J49" t="str">
            <v>Bliss</v>
          </cell>
          <cell r="K49" t="str">
            <v>10% Discount // Today hold (02/08) Hold n start after 11th Sep (05/09) Start after 27th Jan (16/01) Skip tom (03/04) Skip tom add being changed (01/05) Hold till 04th June (26/05)</v>
          </cell>
          <cell r="N49" t="str">
            <v>4  del of this cycle   -  0-cycles pmnt   Completed - Collect 0</v>
          </cell>
          <cell r="O49" t="e">
            <v>#N/A</v>
          </cell>
          <cell r="P49" t="str">
            <v>P n W Glad ( 14 Inch ) 9     Grass</v>
          </cell>
          <cell r="Q49" t="str">
            <v>P n Y Spray Daisy ( 14 Inch ) 5     FF Sachet + Grass</v>
          </cell>
          <cell r="R49" t="str">
            <v>Rajni ( 14 Inch ) 16     FF Sachet + Grass</v>
          </cell>
          <cell r="S49" t="str">
            <v>P n W Car ( 14 Inch ) 16     FF Sachet + Grass</v>
          </cell>
          <cell r="T49" t="str">
            <v>Y Asiatic ( 14 Inch ) 3     Grass</v>
          </cell>
        </row>
        <row r="50">
          <cell r="A50" t="str">
            <v>CP00004</v>
          </cell>
          <cell r="B50" t="str">
            <v>Nidhi Sharma Malhotra -- BPTP -- Pride</v>
          </cell>
          <cell r="C50">
            <v>9999016333</v>
          </cell>
          <cell r="D50" t="str">
            <v>BPTP Skynest, Sector 80</v>
          </cell>
          <cell r="E50" t="str">
            <v>Faridabad</v>
          </cell>
          <cell r="F50" t="str">
            <v>Thursday</v>
          </cell>
          <cell r="G50" t="str">
            <v>By 9:30 AM</v>
          </cell>
          <cell r="H50">
            <v>25000</v>
          </cell>
          <cell r="I50">
            <v>25000</v>
          </cell>
          <cell r="J50" t="str">
            <v>Corporate</v>
          </cell>
          <cell r="T50" t="str">
            <v>G Hydrangea +  G n W Button Daisy + G n W Eustoma + G n W Car + Baloon Flowers + G n W Anthurium + W Car + Lotus Bud 10 + 30 + 20 + 100 + 15 + 8 + 30 + 20 Baby Dollar + G Hanging Amaranthus + Mirchi Patti + Gypsola + Limonium 3 Bunch + 20 + 4 Bunch + 5 Bunch + 2 Bunch + 2 Bunch  Green Apple  Pear + Japanese Grapes 1 Kg + 500 Gm</v>
          </cell>
        </row>
        <row r="51">
          <cell r="B51" t="str">
            <v>98715 55793</v>
          </cell>
          <cell r="C51" t="str">
            <v>98715 55793</v>
          </cell>
          <cell r="D51" t="str">
            <v>Tower-7,,001, The close south</v>
          </cell>
          <cell r="H51">
            <v>2800</v>
          </cell>
          <cell r="J51" t="str">
            <v>Bouquet</v>
          </cell>
          <cell r="K51" t="str">
            <v>Pls make 2 Bunches of mix oriental lily — 4 oriental in each bunch
And 2 Bunches of a Rajnigandha — 6 in each bunch 
Total 4 bunches are required 
Total cost 2800</v>
          </cell>
          <cell r="T51" t="str">
            <v xml:space="preserve">Mix Oriental 4 Each Bouquet Rajni 6 each  Single Wrap  </v>
          </cell>
        </row>
        <row r="52">
          <cell r="B52" t="str">
            <v>85879 62213‬</v>
          </cell>
          <cell r="C52" t="str">
            <v>85879 62213‬</v>
          </cell>
          <cell r="D52" t="str">
            <v>C-149, Mayfield Garden, Near Manav Rachna school</v>
          </cell>
          <cell r="H52">
            <v>1080</v>
          </cell>
          <cell r="J52" t="str">
            <v>Bouquet</v>
          </cell>
          <cell r="T52" t="str">
            <v xml:space="preserve">Car+Asiatic+Rajni 6+6+3 Tissue Wrap    </v>
          </cell>
        </row>
        <row r="53">
          <cell r="B53" t="str">
            <v>85879 62213‬ is sending uber for pickup</v>
          </cell>
          <cell r="C53" t="str">
            <v>85879 62213‬ is sending uber for pickup</v>
          </cell>
          <cell r="D53" t="str">
            <v>85879 62213‬ is sending uber for pickup</v>
          </cell>
          <cell r="E53" t="str">
            <v>85879 62213‬ is sending uber for pickup</v>
          </cell>
          <cell r="F53" t="str">
            <v>85879 62213‬ is sending uber for pickup</v>
          </cell>
          <cell r="G53" t="str">
            <v>85879 62213‬ is sending uber for pickup</v>
          </cell>
          <cell r="H53">
            <v>280</v>
          </cell>
          <cell r="J53" t="str">
            <v>Bouquet</v>
          </cell>
          <cell r="T53" t="str">
            <v xml:space="preserve">Rajni 7 Single Wrap    </v>
          </cell>
        </row>
        <row r="54">
          <cell r="B54" t="str">
            <v>Shweta Malhotra</v>
          </cell>
          <cell r="C54">
            <v>9810290780</v>
          </cell>
          <cell r="D54" t="str">
            <v>B-001, Park View Spa Next, Sec 67</v>
          </cell>
          <cell r="G54" t="str">
            <v>Before 3 Pm</v>
          </cell>
          <cell r="H54">
            <v>750</v>
          </cell>
          <cell r="J54" t="str">
            <v>Bouquet</v>
          </cell>
          <cell r="K54" t="str">
            <v>Send 5 pink asiaticlilies to Shweta Malhotra 
+91 98102 90780
Before 3</v>
          </cell>
          <cell r="T54" t="str">
            <v xml:space="preserve">P Asiatic 5 Grass+arica    </v>
          </cell>
        </row>
        <row r="55">
          <cell r="B55" t="str">
            <v>Radhika Marwah</v>
          </cell>
          <cell r="C55">
            <v>9972167341</v>
          </cell>
          <cell r="D55" t="str">
            <v>F-501, Mapsko Mountville, Sec 79</v>
          </cell>
          <cell r="G55" t="str">
            <v>Before 2 Pm</v>
          </cell>
          <cell r="H55">
            <v>2000</v>
          </cell>
          <cell r="J55" t="str">
            <v>Bouquet</v>
          </cell>
          <cell r="K55" t="str">
            <v>Pls send this to Radhika Marwah today before 2pm</v>
          </cell>
          <cell r="T55" t="str">
            <v xml:space="preserve">Oriental+ Mix Car  Tissue Wrap    </v>
          </cell>
        </row>
        <row r="56">
          <cell r="B56" t="str">
            <v>Chetna Kalra</v>
          </cell>
          <cell r="C56" t="str">
            <v>9999438386
9818868595</v>
          </cell>
          <cell r="D56" t="str">
            <v>F-27i,1,second floor,
Sushant lok 2, Near hongkog bazar,
Side by dadu di hatti,</v>
          </cell>
          <cell r="H56">
            <v>750</v>
          </cell>
          <cell r="J56" t="str">
            <v>Bouquet</v>
          </cell>
          <cell r="K56" t="str">
            <v>Today 
From ‪+91 95401 54023‬
To 
Chetna Kalra
Chetna Kalra
F-27i,1,second floor,
Sushant lok 2, Near hongkog bazar,
Side by dadu di hatti,
Sector 57
Gurgao
Haryana -122011
9999438386
9818868595
Message- 
Wishing you a very Happy Birthday 
From- Aruna</v>
          </cell>
          <cell r="T56" t="str">
            <v xml:space="preserve">Rose 12 Tissue Wrap Message   </v>
          </cell>
        </row>
        <row r="57">
          <cell r="A57">
            <v>1334</v>
          </cell>
          <cell r="B57" t="str">
            <v>Rumika</v>
          </cell>
          <cell r="C57">
            <v>8750280078</v>
          </cell>
          <cell r="D57" t="str">
            <v>M-77, 1st Floor,Adani Samsara, Sector 60</v>
          </cell>
          <cell r="E57" t="str">
            <v>Ghata</v>
          </cell>
          <cell r="F57" t="str">
            <v>Saturday</v>
          </cell>
          <cell r="G57" t="str">
            <v>Post 5 PM</v>
          </cell>
          <cell r="H57">
            <v>2300</v>
          </cell>
          <cell r="I57">
            <v>287.5</v>
          </cell>
          <cell r="J57" t="str">
            <v>Felicity</v>
          </cell>
          <cell r="K57" t="str">
            <v>saturday n tuesday//Monday and Friday//Guldawari//Asiatic// car(06/03) Send anthuriums next and then upgrade to 1750 Package--BMF(23/03) Skiped 1 week due to HOLI(29/03) After this upgrade to 1750 Bi weekly plan -- Monday and Friday (04/04) Flowers-- Car//Rose//Lily//Guldawari//Gerbera//Spray Daisy(07/04) Send a replacement today(02/06) Flower Food Next(06/06) NO SPRAY DAISY(18/06) Shift to Elation after this cycle(14/09) Send less greens(21/09) NO GREENS(24/09) Pls send 1 stick of cotton on next del and check glad is being repeated(25/10) Skip n start from Monday(11/11) NO GERBERA(14/12) Send 1 heliconia tom as replacement(24/12) NO HELICONIA (11/02) Holy Change(16/03) Car//Guldawari//Asiatic//Orchid and 2 other best life flowers(13/06) START BIWEEKLY PLAN AFTER THIS CYCLE(06/07) Lilies Next(10/08) Repeat Last flowers(13/08) Hold till 22nd Sep(11/09) Do not count last del(06/11) No Orchid n Rajni and Lily Next (23/11) Sent replacememnt today (3/12) NO RAJNI/ANTHURIUM/HELICONIA and Less Glad (02/01) NO GLAD n ORCHID (29/01) Sent replacement // No BOP n GERBERA (29/04) Do Not count last delivery (19/09) Aster in Subscription (19/10) Send replacement today (21/10) Do not count last del (12/02) Alstroemeria Next (02/04) Do not count last del (11/06) Change slot to evebing post 5 PM and send one sunflower replacement tom (08/02) Last del not counted (30/04)</v>
          </cell>
          <cell r="L57" t="str">
            <v>Heliconia n Spray Daisy n Rajni</v>
          </cell>
          <cell r="M57" t="str">
            <v>Send 1 Extra Premiun next (08/02)</v>
          </cell>
          <cell r="N57" t="str">
            <v>5  del of this cycle   -  0-cycles pmnt   Completed - Collect 0</v>
          </cell>
          <cell r="O57" t="str">
            <v>P n W Glad ( 14 Inch ) 11     Grass</v>
          </cell>
          <cell r="P57" t="str">
            <v>Pur Eustoma ( 12 Inch ) 3     FF Sachet + Grass</v>
          </cell>
          <cell r="Q57" t="str">
            <v>Y Spray Daisy ( 14 Inch ) 3     FF Sachet + Grass</v>
          </cell>
          <cell r="R57" t="str">
            <v>Eustoma 3     Grass</v>
          </cell>
          <cell r="S57" t="str">
            <v>P n W Glad ( 14 inch ) 11    Ensure Collection Grass</v>
          </cell>
          <cell r="T57" t="str">
            <v>O Asiatic ( 14 Inch ) 2     Grass</v>
          </cell>
        </row>
        <row r="58">
          <cell r="B58" t="str">
            <v>99103 73031‬</v>
          </cell>
          <cell r="C58" t="str">
            <v>99103 73031‬</v>
          </cell>
          <cell r="D58" t="str">
            <v>The hibiscus tower 1 penthouse 1</v>
          </cell>
          <cell r="H58">
            <v>400</v>
          </cell>
          <cell r="J58" t="str">
            <v>Bouquet</v>
          </cell>
          <cell r="K58" t="str">
            <v>Please make a bunch of 10 Rajnigandha with greens for this vase - height ka dhyaan rakhna 
Thoda faila ke greens daal ke sutli se baandh ke bhejna hai 
Send to 
The hibiscus tower 1 penthouse 1
‪+91 99103 73031‬
Uber charges will be paid by customer 
400 received for flowers 
Fatafat bhej do</v>
          </cell>
          <cell r="T58" t="str">
            <v xml:space="preserve">Rajni 10 make a bunch    </v>
          </cell>
        </row>
        <row r="59">
          <cell r="B59" t="str">
            <v>Scottish School</v>
          </cell>
          <cell r="D59" t="str">
            <v>Scottish School, Sector 56</v>
          </cell>
          <cell r="I59">
            <v>8000</v>
          </cell>
          <cell r="J59" t="str">
            <v>Corporate Bouquet</v>
          </cell>
          <cell r="N59" t="str">
            <v>order by Rachna ma’am..</v>
          </cell>
          <cell r="T59" t="str">
            <v xml:space="preserve">basket of 6ft to      </v>
          </cell>
        </row>
        <row r="60">
          <cell r="B60" t="str">
            <v>Jyoti - Digi Homes</v>
          </cell>
          <cell r="C60">
            <v>9711267571</v>
          </cell>
          <cell r="D60" t="str">
            <v>T-B/2802, Emaar Digi Homes, Sec 62</v>
          </cell>
          <cell r="G60" t="str">
            <v>Replacment</v>
          </cell>
          <cell r="H60" t="str">
            <v>Replacment</v>
          </cell>
          <cell r="I60" t="str">
            <v>Replacment</v>
          </cell>
          <cell r="J60" t="str">
            <v>Replacment</v>
          </cell>
          <cell r="K60" t="str">
            <v>Replacment</v>
          </cell>
          <cell r="L60" t="str">
            <v>Replacment</v>
          </cell>
          <cell r="M60" t="str">
            <v>Replacment</v>
          </cell>
          <cell r="N60" t="str">
            <v>Pls Collect 4 Old Y Asiatic Broken</v>
          </cell>
          <cell r="T60" t="str">
            <v>P Asiatic 4     Grass</v>
          </cell>
        </row>
      </sheetData>
      <sheetData sheetId="7"/>
      <sheetData sheetId="8"/>
      <sheetData sheetId="9"/>
      <sheetData sheetId="10"/>
      <sheetData sheetId="11"/>
      <sheetData sheetId="12"/>
      <sheetData sheetId="13">
        <row r="2">
          <cell r="A2">
            <v>1334</v>
          </cell>
          <cell r="B2" t="str">
            <v>Rumika</v>
          </cell>
          <cell r="C2">
            <v>8750280078</v>
          </cell>
          <cell r="D2" t="str">
            <v>M-77, 1st Floor,Adani Samsara, Sector 60</v>
          </cell>
          <cell r="E2" t="str">
            <v>Ghata</v>
          </cell>
          <cell r="F2" t="str">
            <v>Saturday</v>
          </cell>
          <cell r="G2" t="str">
            <v>Post 5 PM</v>
          </cell>
          <cell r="H2">
            <v>2300</v>
          </cell>
          <cell r="I2">
            <v>287.5</v>
          </cell>
          <cell r="J2" t="str">
            <v>Felicity</v>
          </cell>
          <cell r="K2" t="str">
            <v>saturday n tuesday//Monday and Friday//Guldawari//Asiatic// car(06/03) Send anthuriums next and then upgrade to 1750 Package--BMF(23/03) Skiped 1 week due to HOLI(29/03) After this upgrade to 1750 Bi weekly plan -- Monday and Friday (04/04) Flowers-- Car//Rose//Lily//Guldawari//Gerbera//Spray Daisy(07/04) Send a replacement today(02/06) Flower Food Next(06/06) NO SPRAY DAISY(18/06) Shift to Elation after this cycle(14/09) Send less greens(21/09) NO GREENS(24/09) Pls send 1 stick of cotton on next del and check glad is being repeated(25/10) Skip n start from Monday(11/11) NO GERBERA(14/12) Send 1 heliconia tom as replacement(24/12) NO HELICONIA (11/02) Holy Change(16/03) Car//Guldawari//Asiatic//Orchid and 2 other best life flowers(13/06) START BIWEEKLY PLAN AFTER THIS CYCLE(06/07) Lilies Next(10/08) Repeat Last flowers(13/08) Hold till 22nd Sep(11/09) Do not count last del(06/11) No Orchid n Rajni and Lily Next (23/11) Sent replacememnt today (3/12) NO RAJNI/ANTHURIUM/HELICONIA and Less Glad (02/01) NO GLAD n ORCHID (29/01) Sent replacement // No BOP n GERBERA (29/04) Do Not count last delivery (19/09) Aster in Subscription (19/10) Send replacement today (21/10) Do not count last del (12/02) Alstroemeria Next (02/04) Do not count last del (11/06) Change slot to evebing post 5 PM and send one sunflower replacement tom (08/02) Last del not counted (30/04)</v>
          </cell>
          <cell r="L2" t="str">
            <v>Heliconia n Spray Daisy n Rajni</v>
          </cell>
          <cell r="M2" t="str">
            <v>Send 1 Extra Premiun next (08/02)</v>
          </cell>
          <cell r="N2" t="str">
            <v>7  del of this cycle   -  0-cycles pmnt   Completed - Collect 0</v>
          </cell>
          <cell r="O2" t="str">
            <v>Pur Eustoma ( 12 Inch ) 3     FF Sachet + Grass</v>
          </cell>
          <cell r="P2" t="str">
            <v>Y Spray Daisy ( 14 Inch ) 3     FF Sachet + Grass</v>
          </cell>
          <cell r="Q2" t="str">
            <v>Eustoma 3     Grass</v>
          </cell>
          <cell r="R2" t="str">
            <v>P n W Glad ( 14 inch ) 11    Ensure Collection Grass</v>
          </cell>
          <cell r="S2" t="str">
            <v>O Asiatic ( 14 Inch ) 2     Grass</v>
          </cell>
          <cell r="T2" t="str">
            <v xml:space="preserve">P Rose 20     </v>
          </cell>
        </row>
        <row r="3">
          <cell r="A3">
            <v>2487</v>
          </cell>
          <cell r="B3" t="str">
            <v>Jyoti - Digi Homes</v>
          </cell>
          <cell r="C3">
            <v>9711267571</v>
          </cell>
          <cell r="D3" t="str">
            <v>T-B/2802, Emaar Digi Homes, Sec 62</v>
          </cell>
          <cell r="E3" t="str">
            <v>Ghata</v>
          </cell>
          <cell r="F3" t="str">
            <v>Tuesday</v>
          </cell>
          <cell r="G3" t="str">
            <v>4 Pm to 7 PM</v>
          </cell>
          <cell r="H3">
            <v>1950</v>
          </cell>
          <cell r="I3">
            <v>487.5</v>
          </cell>
          <cell r="J3" t="str">
            <v>Joy</v>
          </cell>
          <cell r="K3" t="str">
            <v>No Glad n Rajni n try fir Gerbera fior 1st Del // Hold n send on 19th and send on 21st (17/04) 19th Del Missed-send on 26th (23/04) Do not count last del 28/05) Today returned (21/06) Do not count last del (20/07) Today Hold  and send on tuesday(02/08) Return today (05/08) Skip 2 Weeks (09/08) Day change to tuesday and and skip 2 week (09/08) Day Changed to saturday (02/09) No BOP also (23/09 Paytm From Jyoti chaudhary (27/10) Only No Rajni and BOP (19/03) Skip 1 week (24/06)</v>
          </cell>
          <cell r="L3" t="str">
            <v>Rajni n BOP</v>
          </cell>
          <cell r="N3" t="str">
            <v>1  del of this cycle   -  1-cycles pmnt   Pending - Collect 1950</v>
          </cell>
          <cell r="O3" t="str">
            <v>R n W  Carnation  22     Grass</v>
          </cell>
          <cell r="P3" t="str">
            <v>P n Pur Eustoma ( 12 Inch ) 4     FF Sachet + Grass</v>
          </cell>
          <cell r="Q3" t="str">
            <v>Mix Spray Daisy 7     Grass</v>
          </cell>
          <cell r="R3" t="e">
            <v>#N/A</v>
          </cell>
          <cell r="S3" t="str">
            <v>Y Asiatic ( 14 Inch ) 4     Grass</v>
          </cell>
          <cell r="T3" t="str">
            <v>P n W Car ( 14 Inch ) 20     FF Sachet + Grass</v>
          </cell>
        </row>
        <row r="4">
          <cell r="A4">
            <v>2933</v>
          </cell>
          <cell r="B4" t="str">
            <v>Yukti Batra</v>
          </cell>
          <cell r="C4">
            <v>9953740608</v>
          </cell>
          <cell r="D4" t="str">
            <v>H. No. 2015, 2nd Floor, Madalsa Hospital, Sec 46</v>
          </cell>
          <cell r="E4" t="str">
            <v>Huda</v>
          </cell>
          <cell r="F4" t="str">
            <v>Tuesday</v>
          </cell>
          <cell r="G4" t="str">
            <v>9 AM to 2 PM</v>
          </cell>
          <cell r="H4">
            <v>1450</v>
          </cell>
          <cell r="I4">
            <v>362.5</v>
          </cell>
          <cell r="J4" t="str">
            <v>Bliss</v>
          </cell>
          <cell r="K4" t="str">
            <v>Returned today (30/08) Change day to Tuesday (05/09) Skip 1 week (20/10) Skip 2 week (05/04) R n W Car tom (08/05) Hold today (26/05) Skip 1 week (02/06) Skip 1 week (15/06) Returned today (07/07)</v>
          </cell>
          <cell r="N4" t="str">
            <v>3  del of this cycle   -  0-cycles pmnt   Completed - Collect 0</v>
          </cell>
          <cell r="O4" t="str">
            <v>Y Asiatic ( 14 Inch ) 3     Grass</v>
          </cell>
          <cell r="P4" t="e">
            <v>#N/A</v>
          </cell>
          <cell r="Q4" t="str">
            <v>Rajni ( 14 Inch ) 16     FF Sachet + Grass</v>
          </cell>
          <cell r="R4" t="str">
            <v>Pur n P Eustoma ( 12 Inch ) 3     FF Sachet + Grass</v>
          </cell>
          <cell r="S4" t="str">
            <v>B Daisy ( 12 Inch ) 16     Grass</v>
          </cell>
          <cell r="T4" t="str">
            <v>Y Asiatic ( 14 Inch ) 4     Grass</v>
          </cell>
        </row>
        <row r="5">
          <cell r="A5">
            <v>20</v>
          </cell>
          <cell r="B5" t="str">
            <v>Mrs. Vandana Dutt Before 10</v>
          </cell>
          <cell r="C5">
            <v>9810771057</v>
          </cell>
          <cell r="D5" t="str">
            <v>15/002,South Close, Nirvana country</v>
          </cell>
          <cell r="G5" t="str">
            <v>After 2</v>
          </cell>
          <cell r="H5">
            <v>1450</v>
          </cell>
          <cell r="I5">
            <v>362.5</v>
          </cell>
          <cell r="J5" t="str">
            <v>Bliss</v>
          </cell>
          <cell r="T5" t="str">
            <v>B Daisy ( 12 Inch ) 16     Grass</v>
          </cell>
        </row>
        <row r="6">
          <cell r="A6">
            <v>1319</v>
          </cell>
          <cell r="B6" t="str">
            <v>Mrs. Vandana Dutt Before 10</v>
          </cell>
          <cell r="C6">
            <v>9810771057</v>
          </cell>
          <cell r="D6" t="str">
            <v>15/002,South Close, Nirvana country</v>
          </cell>
          <cell r="G6" t="str">
            <v>After 2</v>
          </cell>
          <cell r="H6">
            <v>1950</v>
          </cell>
          <cell r="I6">
            <v>487.5</v>
          </cell>
          <cell r="J6" t="str">
            <v>Joy</v>
          </cell>
          <cell r="T6" t="str">
            <v>Pur n P Car ( 14 Inch ) 16     FF Sachet + Grass</v>
          </cell>
        </row>
        <row r="7">
          <cell r="A7">
            <v>1615</v>
          </cell>
          <cell r="B7" t="str">
            <v>Nandini Kar-- After 5 PM</v>
          </cell>
          <cell r="C7">
            <v>9971911162</v>
          </cell>
          <cell r="D7" t="str">
            <v>T-37/301, Emerald Floors Premier, Adjacent to Worldmark, Sec 65</v>
          </cell>
          <cell r="E7" t="str">
            <v>Badshahpur</v>
          </cell>
          <cell r="F7" t="str">
            <v>Monday</v>
          </cell>
          <cell r="G7" t="str">
            <v>4 PM to 7 PM</v>
          </cell>
          <cell r="H7">
            <v>1450</v>
          </cell>
          <cell r="I7">
            <v>362.5</v>
          </cell>
          <cell r="J7" t="str">
            <v>Replacement</v>
          </cell>
          <cell r="K7" t="str">
            <v>No Rose n ORCHID (23/08) Start after 2nd July (08/06) Upgrade to bliss with 5 Deliveries (24/08) Skip 1 week (01/09) Returned today (20/10) 27th Del Missed (02/11) Returned and hold for 2 weeks (03/06) Replacement tom (13/06)</v>
          </cell>
          <cell r="N7" t="str">
            <v>2  del of this cycle   -   0-cycles pmnt  Completed - Collect 0</v>
          </cell>
          <cell r="O7" t="e">
            <v>#N/A</v>
          </cell>
          <cell r="P7" t="e">
            <v>#N/A</v>
          </cell>
          <cell r="Q7" t="e">
            <v>#N/A</v>
          </cell>
          <cell r="R7" t="e">
            <v>#N/A</v>
          </cell>
          <cell r="S7" t="e">
            <v>#N/A</v>
          </cell>
          <cell r="T7" t="str">
            <v>B Daisy ( 12 Inch ) 7     Grass</v>
          </cell>
        </row>
        <row r="8">
          <cell r="A8">
            <v>2706</v>
          </cell>
          <cell r="B8" t="str">
            <v>Monika Arora</v>
          </cell>
          <cell r="C8">
            <v>9990121666</v>
          </cell>
          <cell r="D8" t="str">
            <v>Tostem Studio, Plot No. 564, Basement, Sec 39, Near Bakhtawar Chwok</v>
          </cell>
          <cell r="E8" t="str">
            <v>Medanta</v>
          </cell>
          <cell r="F8" t="str">
            <v>Saturday</v>
          </cell>
          <cell r="G8" t="str">
            <v>9 AM - 12 PM</v>
          </cell>
          <cell r="H8">
            <v>1600</v>
          </cell>
          <cell r="I8">
            <v>200</v>
          </cell>
          <cell r="J8" t="str">
            <v>Bloom</v>
          </cell>
          <cell r="K8" t="str">
            <v>Ref From Anupma Rastogi // Today Returned (09/08) Hold today (16/08) Today office was closed (21/10)</v>
          </cell>
          <cell r="N8" t="str">
            <v>4  del of this cycle   -  0-cycles pmnt   Completed - Collect 0</v>
          </cell>
          <cell r="O8" t="str">
            <v>Mix Alstroemeria ( 12 Inch ) 7     FF Sachet + Grass</v>
          </cell>
          <cell r="P8" t="str">
            <v>P n W Glad ( 14 Inch ) 7     Grass</v>
          </cell>
          <cell r="Q8" t="str">
            <v>Rajni ( 14 Inch ) 7     Grass</v>
          </cell>
          <cell r="R8" t="str">
            <v>P n W Glad ( 14 inch ) 7     Grass</v>
          </cell>
          <cell r="S8" t="str">
            <v>B Daisy ( 12 Inch ) 7     Grass</v>
          </cell>
          <cell r="T8" t="str">
            <v>W Asiatic ( 14 Inch ) 3     1 Gypsola</v>
          </cell>
        </row>
        <row r="9">
          <cell r="A9">
            <v>1953</v>
          </cell>
          <cell r="B9" t="str">
            <v>Sandhya Nagesh</v>
          </cell>
          <cell r="C9">
            <v>8800649797</v>
          </cell>
          <cell r="D9" t="str">
            <v>89, Ground Floor, Woodstock Floors, Sec 50</v>
          </cell>
          <cell r="E9" t="str">
            <v>Nirvana Country</v>
          </cell>
          <cell r="F9" t="str">
            <v>Saturday</v>
          </cell>
          <cell r="G9" t="str">
            <v>9 AM - 12 PM</v>
          </cell>
          <cell r="H9">
            <v>3000</v>
          </cell>
          <cell r="I9">
            <v>375</v>
          </cell>
          <cell r="J9" t="str">
            <v>Charm</v>
          </cell>
          <cell r="K9" t="str">
            <v>Saturday n Tueaday(02/09) No Del From 10th to 19th (09/09) Today returned(19/08) hold today send tom (07/10) Skip 20th Del (14/01) Hold 6th n 10th Sug (03/08) Return tiday (07/02) Today Returned (24/02)</v>
          </cell>
          <cell r="N9" t="str">
            <v>3  del of this cycle   -  0-cycles pmnt   Completed - Collect 0</v>
          </cell>
          <cell r="O9" t="str">
            <v>P Oriental ( 14 Inch ) 2     Grass</v>
          </cell>
          <cell r="P9" t="str">
            <v>Rajni ( 14 Inch ) 15     Grass</v>
          </cell>
          <cell r="Q9" t="str">
            <v>O Asiatic ( 14 Inch ) 3     Grass</v>
          </cell>
          <cell r="R9" t="str">
            <v>P n W Glad ( 14 inch ) 15     Grass</v>
          </cell>
          <cell r="S9" t="str">
            <v>Pur n P Car ( 14 Inch ) 15     FF Sachet + Grass</v>
          </cell>
          <cell r="T9" t="str">
            <v>Pur n P Car ( 14 Inch ) 15     FF Sachet + Grass</v>
          </cell>
        </row>
        <row r="10">
          <cell r="A10">
            <v>3014</v>
          </cell>
          <cell r="B10" t="str">
            <v>Monika Arora</v>
          </cell>
          <cell r="C10">
            <v>9990121666</v>
          </cell>
          <cell r="D10" t="str">
            <v>Tostem Studio, Plot No. 564, Basement, Sec 39, Near Bakhtawar Chwok</v>
          </cell>
          <cell r="E10" t="str">
            <v>Medanta</v>
          </cell>
          <cell r="F10" t="str">
            <v>Saturday</v>
          </cell>
          <cell r="G10" t="str">
            <v>9 AM - 12 PM</v>
          </cell>
          <cell r="H10">
            <v>1600</v>
          </cell>
          <cell r="I10">
            <v>200</v>
          </cell>
          <cell r="J10" t="str">
            <v>Bloom</v>
          </cell>
          <cell r="K10" t="str">
            <v>Change in Address (31/12)</v>
          </cell>
          <cell r="N10" t="str">
            <v>4  del of this cycle   -  0-cycles pmnt   Completed - Collect 0</v>
          </cell>
          <cell r="O10" t="str">
            <v>P n W Glad ( 14 Inch ) 7     Grass</v>
          </cell>
          <cell r="P10" t="str">
            <v>Sunflower ( 12 Inch ) 2     FF Sachet + Grass</v>
          </cell>
          <cell r="Q10" t="str">
            <v>P n W Car ( 14 Inch ) 7     FF Sachet + Grass</v>
          </cell>
          <cell r="R10" t="str">
            <v>Sunflower ( 12 Incjh ) 2     FF Sachet + Grass</v>
          </cell>
          <cell r="S10" t="str">
            <v>Pur Eustoma ( 12 inch ) 2     FF Sachet + Grass</v>
          </cell>
          <cell r="T10" t="str">
            <v>Pur Eustoma ( 12 inch ) 2     FF Sachet + Grass</v>
          </cell>
        </row>
        <row r="11">
          <cell r="A11">
            <v>2087</v>
          </cell>
          <cell r="B11" t="str">
            <v>Lucky Pandey</v>
          </cell>
          <cell r="C11" t="str">
            <v>9961712428//9971712428</v>
          </cell>
          <cell r="D11" t="str">
            <v>B3/502, Uniworld City ( West)</v>
          </cell>
          <cell r="E11" t="str">
            <v>South City 1</v>
          </cell>
          <cell r="F11" t="str">
            <v>Tuesday</v>
          </cell>
          <cell r="G11" t="str">
            <v>9 AM to 2 PM</v>
          </cell>
          <cell r="H11">
            <v>1450</v>
          </cell>
          <cell r="I11">
            <v>362.5</v>
          </cell>
          <cell r="J11" t="str">
            <v>Bliss</v>
          </cell>
          <cell r="K11" t="str">
            <v>Skip this Sunday and send on Tuesday (07/07) Skip 1 week (21/10) Today Returned (10/12) Today returned (17/03) Today Returned (19/003) Return-send tom (26/05) Hold (23/06) Today Returned (21/07) Gpay from Abhijeet K Choudhary (01/10) Hold today (03/12) No Sunflower (21/01) Returned today (17/06) Send 1 del todya (07/07) Today Returned 0send on saturday this week (23/06)</v>
          </cell>
          <cell r="L11" t="str">
            <v>Sunflower</v>
          </cell>
          <cell r="N11" t="str">
            <v>3  del of this cycle   -  0-cycles pmnt   Completed - Collect 0</v>
          </cell>
          <cell r="O11" t="str">
            <v>R n P Car ( 14 Inch ) 16     FF Sachet + Grass</v>
          </cell>
          <cell r="P11" t="str">
            <v>P n W Glad ( 14 Inch ) 16     Grass</v>
          </cell>
          <cell r="Q11" t="str">
            <v>Pur Eustoma ( 12 Inch ) 3     FF Sachet + Grass</v>
          </cell>
          <cell r="R11" t="str">
            <v>Rajni ( 14 Inch ) 16     Grass</v>
          </cell>
          <cell r="S11" t="str">
            <v>P Asiatic ( 14 Inch ) 3     Grass</v>
          </cell>
          <cell r="T11" t="str">
            <v>Pur Eustoma ( 12 inch ) 2 Mix Alstroemeria ( 12 Inch ) 11   FF Sachet + Grass</v>
          </cell>
        </row>
        <row r="12">
          <cell r="A12">
            <v>3138</v>
          </cell>
          <cell r="B12" t="str">
            <v>Alpna Verma</v>
          </cell>
          <cell r="C12">
            <v>9811996368</v>
          </cell>
          <cell r="D12" t="str">
            <v>B-70, Sushant Lok Phase 1, Next to Vipul Square, Enter gaye no. 4</v>
          </cell>
          <cell r="E12" t="str">
            <v>M G Road</v>
          </cell>
          <cell r="F12" t="str">
            <v>Tuesday</v>
          </cell>
          <cell r="G12" t="str">
            <v>9 AM - 12 PM</v>
          </cell>
          <cell r="H12">
            <v>2300</v>
          </cell>
          <cell r="I12">
            <v>287.5</v>
          </cell>
          <cell r="J12" t="str">
            <v>Felicity</v>
          </cell>
          <cell r="K12" t="str">
            <v>Day Changed ro Tuesday and Saturday (22/03)Single Color Flowers (01/12)</v>
          </cell>
          <cell r="M12" t="str">
            <v>Single Color Flowers</v>
          </cell>
          <cell r="N12" t="str">
            <v>8  del of this cycle   -  0-cycles pmnt   Completed - Collect 0</v>
          </cell>
          <cell r="O12" t="e">
            <v>#N/A</v>
          </cell>
          <cell r="P12" t="e">
            <v>#N/A</v>
          </cell>
          <cell r="Q12" t="str">
            <v>P Spray Daisy ( 14 Inch ) 3     FF Sachet + Grass</v>
          </cell>
          <cell r="R12" t="str">
            <v>Rajni ( 14 Inch ) 11     Grass</v>
          </cell>
          <cell r="S12" t="str">
            <v>W Eustoam ( 12 Inch ) 2     FF Sachet + Grass</v>
          </cell>
          <cell r="T12" t="str">
            <v>P Asiatic ( 14 Inch ) 2 B Daisy ( 12 Inch  7   Grass</v>
          </cell>
        </row>
        <row r="13">
          <cell r="A13">
            <v>3384</v>
          </cell>
          <cell r="B13" t="str">
            <v>Saloni Gupta</v>
          </cell>
          <cell r="C13">
            <v>9810796682</v>
          </cell>
          <cell r="D13" t="str">
            <v>338, 3rd Floor, Espace</v>
          </cell>
          <cell r="E13" t="str">
            <v>Nirvana Country</v>
          </cell>
          <cell r="F13" t="str">
            <v>Tuesday</v>
          </cell>
          <cell r="G13" t="str">
            <v>9 AM - 12 PM</v>
          </cell>
          <cell r="H13">
            <v>1545</v>
          </cell>
          <cell r="I13">
            <v>386.25</v>
          </cell>
          <cell r="J13" t="str">
            <v>Customized</v>
          </cell>
          <cell r="K13" t="str">
            <v>Sunday n Thursday//Pls Keep Flowers in Vase// Paytm from Mayank G (17/03) Sent replacememnt today (23/03) Skip 1 week (10/04) 2 Asiatic and 5 Rajni (27/07) Paytm friom Mayank Gupta (16/09) 2 Asiatic Lily in each delivery (16/10) Today returned (17/11) Skip this sunday (03/01) Thursday -- 10 Rose and 4 Rajni // Sunday - 2 Asiatic (19/01) Whenever possible-send red Roses (23/01) Skip tom (29/01) Today returned (22/05) Send replacement tom (27/07) Hold today (14/08) Do not count last delivery (04/09) Hold today (02/10) Hold today (12/10) Hold after this cycle (27/10) Do not count last del (31/10) 2 Asiatic + 4 Rajni + 4 Glad -- thrice in a week (30/12) 2 Asiatic and 4 Rajni bi weekly pack (08/03) 2 Asiatic and 8 Rajni Every time and send 8 Rajni tom (26/03) Today returned-send tom (19/04)</v>
          </cell>
          <cell r="N13" t="str">
            <v>4  del of this cycle   -  0-cycles pmnt   Completed - Collect 0</v>
          </cell>
          <cell r="O13" t="e">
            <v>#N/A</v>
          </cell>
          <cell r="P13" t="e">
            <v>#N/A</v>
          </cell>
          <cell r="Q13" t="str">
            <v>O Asiatic ( 14 Inch ) 3     1 Gypsola</v>
          </cell>
          <cell r="R13" t="str">
            <v>Y Asiatic ( 14 Inch ) 3     1 Limonium</v>
          </cell>
          <cell r="S13" t="str">
            <v>W Asiatic ( 14 Inch ) 3     1 Gypsola</v>
          </cell>
          <cell r="T13" t="str">
            <v>Mix Alstroemeria ( 12 Inch ) 11     FF Sachet + Grass</v>
          </cell>
        </row>
        <row r="14">
          <cell r="A14">
            <v>2247</v>
          </cell>
          <cell r="B14" t="str">
            <v>Reeya Naahar</v>
          </cell>
          <cell r="C14">
            <v>9818862169</v>
          </cell>
          <cell r="D14" t="str">
            <v>B-316-B, Sushant Lok-1</v>
          </cell>
          <cell r="E14" t="str">
            <v>M G Road</v>
          </cell>
          <cell r="F14" t="str">
            <v>Saturday</v>
          </cell>
          <cell r="G14" t="str">
            <v>9:30 AM to 2PM</v>
          </cell>
          <cell r="H14">
            <v>2300</v>
          </cell>
          <cell r="I14">
            <v>287.5</v>
          </cell>
          <cell r="J14" t="str">
            <v>Felicity</v>
          </cell>
          <cell r="K14" t="str">
            <v>Saturday n Tuesday// No Yel Spray Daisy // Do not count last del (06/07) No Gerbera (12/04)</v>
          </cell>
          <cell r="L14" t="str">
            <v>GERBERA</v>
          </cell>
          <cell r="N14" t="str">
            <v>8  del of this cycle   -  0-cycles pmnt   Completed - Collect 0</v>
          </cell>
          <cell r="O14" t="str">
            <v>Pur Eustoma ( 12 Inch ) 3     FF Sachet + Grass</v>
          </cell>
          <cell r="P14" t="str">
            <v>P n W Glad ( 14 Inch ) 11     Grass</v>
          </cell>
          <cell r="Q14" t="str">
            <v>Rajni ( 14 Inch ) 11     Grass</v>
          </cell>
          <cell r="R14" t="str">
            <v>P n W Glad ( 14 inch ) 11     Grass</v>
          </cell>
          <cell r="S14" t="str">
            <v>Pur n P Car ( 14 Inch ) 11     FF Sachet + Grass</v>
          </cell>
          <cell r="T14" t="str">
            <v>Sunflower ( 12 Inch ) 4     FF Sachet + Grass</v>
          </cell>
        </row>
        <row r="15">
          <cell r="A15">
            <v>3231</v>
          </cell>
          <cell r="B15" t="str">
            <v>Saloni Mevawala</v>
          </cell>
          <cell r="C15">
            <v>9619924519</v>
          </cell>
          <cell r="D15" t="str">
            <v>T-1/201, Unitech Fresco</v>
          </cell>
          <cell r="E15" t="str">
            <v>Nirvana Country</v>
          </cell>
          <cell r="F15" t="str">
            <v>Thursday</v>
          </cell>
          <cell r="G15" t="str">
            <v>9 AM - 12 PM</v>
          </cell>
          <cell r="H15">
            <v>2160</v>
          </cell>
          <cell r="I15">
            <v>270</v>
          </cell>
          <cell r="J15" t="str">
            <v>Bi weekly Customised</v>
          </cell>
          <cell r="K15" t="str">
            <v>9 Rajni Every week (18/12) Skip 2 week (19/02) 1 Oriental and 5 Rajni (04/04) Paytm From Sejal Mevawala (05/04) 1 Oriental + 5 Rajni (04/04)</v>
          </cell>
          <cell r="M15" t="str">
            <v xml:space="preserve"> 1 Oriental + 5 Rajni (04/04)</v>
          </cell>
          <cell r="N15" t="str">
            <v>8  del of this cycle   -  0-cycles pmnt   Completed - Collect 0</v>
          </cell>
          <cell r="O15" t="e">
            <v>#N/A</v>
          </cell>
          <cell r="P15" t="e">
            <v>#N/A</v>
          </cell>
          <cell r="Q15" t="e">
            <v>#N/A</v>
          </cell>
          <cell r="R15" t="e">
            <v>#N/A</v>
          </cell>
          <cell r="S15" t="e">
            <v>#N/A</v>
          </cell>
          <cell r="T15" t="str">
            <v>Sunflower ( 12 Inch ) 2 B Daisy ( 12 Inch  7   FF Sachet + Grass</v>
          </cell>
        </row>
        <row r="16">
          <cell r="A16">
            <v>1389</v>
          </cell>
          <cell r="B16" t="str">
            <v>Revathi-- After 5 PM</v>
          </cell>
          <cell r="C16">
            <v>9811998878</v>
          </cell>
          <cell r="D16" t="str">
            <v>A-1201, The Emaar Palm Drive</v>
          </cell>
          <cell r="E16" t="str">
            <v>Badshahpur</v>
          </cell>
          <cell r="F16" t="str">
            <v>Friday</v>
          </cell>
          <cell r="G16" t="str">
            <v>4 PM to 7PM</v>
          </cell>
          <cell r="H16">
            <v>3850</v>
          </cell>
          <cell r="I16">
            <v>481.25</v>
          </cell>
          <cell r="J16" t="str">
            <v>Grace</v>
          </cell>
          <cell r="K16" t="str">
            <v>Friday and Tuesday// NO RAJNIGANDHA NOW ONLY LILIES//CAR AND GLAD(26/07)  NO WONLY LILIES, HELICONIA AND CAR IN YELLOW OR ORANGE ONLY(11/09)  ONLY  LILIES/GLADIOLI AND HELICONIA ONLY IN YELL AND ORANGE COLOR-- NOCARNATION(01/10) Rajni or Bop next(18/10) Send 1 FF Next(29/06) LILY n GLAD ARE PREFERRED(29/06) Now From Rose//Car//Glad//Guldawari//Asiatic//Oriental(03/08) Skip this friday(09/08) No Upgrade (17/10) Skip 1 week (114/11) Skip 1 week after tom Delivery (09/03) No Del on Froday-- sned on Tuesda (29/03) Glad Next (01/05) Hold n start after 8th June (12/05) Bop n Heliconia Next (10/02) Skip tom Del (28/03) Flower food next (14/05) Hold till 8th (29/05) No Gerbera and Orchid (28/07) One Payment received today (01/10) Skip Friday Del (27/11) Skip friday (25/12) Return not at home (20/06) Today Returned (20/06) Received one payment of 3250 today (21/07)</v>
          </cell>
          <cell r="L16" t="str">
            <v>Gerbera n ORCHID</v>
          </cell>
          <cell r="N16" t="str">
            <v>5  del of this cycle   -  0-cycles pmnt   Completed - Collect 0</v>
          </cell>
          <cell r="O16" t="str">
            <v>R n P Car ( 14 Inch ) 20     FF Sachet + Grass</v>
          </cell>
          <cell r="P16" t="str">
            <v>P n Y Spray Daisy ( 14 Inch ) 6     FF Sachet + Grass</v>
          </cell>
          <cell r="Q16" t="str">
            <v>Mix Alstromia 20     Grass</v>
          </cell>
          <cell r="R16" t="str">
            <v>Pur n P Eustoma ( 12 Inch ) 4     FF Sachet + Grass</v>
          </cell>
          <cell r="S16" t="str">
            <v>P n W Car ( 14 Inch ) 20     FF Sachet + Grass</v>
          </cell>
          <cell r="T16" t="str">
            <v>Rajni ( 14 Inch ) 11     Grass</v>
          </cell>
        </row>
        <row r="17">
          <cell r="A17">
            <v>1377</v>
          </cell>
          <cell r="B17" t="str">
            <v>Geetanjali Babbar</v>
          </cell>
          <cell r="C17">
            <v>9958988852</v>
          </cell>
          <cell r="D17" t="str">
            <v>N-206, Sispal Vihar</v>
          </cell>
          <cell r="E17" t="str">
            <v>Sohna Road 1</v>
          </cell>
          <cell r="F17" t="str">
            <v>Friday</v>
          </cell>
          <cell r="G17" t="str">
            <v>9:30 Am to 2 PM</v>
          </cell>
          <cell r="H17">
            <v>2300</v>
          </cell>
          <cell r="I17">
            <v>287.5</v>
          </cell>
          <cell r="J17" t="str">
            <v>Felicity</v>
          </cell>
          <cell r="K17" t="str">
            <v>Tuesday and FRiday//Monday and Thursday//Send on Monday This week and send rajni too(03/04) Returned-send tom(11/04) Day Changed to Monday(11/04) Sent replacement of Gerbera today(20/04) She likes BOP+Rajni+Car Comb (20/04) Thursday and Monday Morning Slot(13/06) NO BOP(03/08) Hold today ansend after a week(20/11)  Holy Change(16/03) Skip 1 del(16/03) Skip 1 del AND ALWAYS SEND 10 STICKS(02/05) Skip 3rd Feb Del (28/01) Skip tom Delivery (06/04) Dont start from 16th June--start from 19th June (14/06) Skip Friday (13/09) Skip between 24th to 2nd Nov (24/10) Hold n start from Feb (13/01) Skip tom del (14/03) Do Not count last del (21/06) Skip comig Delivery(24/06) Sent a rewplacement today (23/10) Hold geetanjali babbar today (03/01) Skip 1 week (04/01) Skip 18th n 21st Mar (03/03) Skip Friday (09/04) Skip friday (26/06) Paytm From Merajul Alam (23/09) No Del From 09th to 13th (04/12) Skip 10th and 13th Feb (31/01) Skip 1 week (23/03) Replacement tom (21/04) HDTNP (29/05) Hold till 1st weel of July (20/06) paytm from sunil babbar (03/07)</v>
          </cell>
          <cell r="M17" t="str">
            <v>Skip 18th n 21st Mar 25</v>
          </cell>
          <cell r="N17" t="str">
            <v>5  del of this cycle   -  0-cycles pmnt   Completed - Collect 0</v>
          </cell>
          <cell r="O17" t="str">
            <v>Mix Alstroemeria ( 12 Inch ) 11     FF Sachet + Grass</v>
          </cell>
          <cell r="P17" t="str">
            <v>Y Spray Daisy ( 14 Inch ) 3     FF Sachet + Grass</v>
          </cell>
          <cell r="Q17" t="e">
            <v>#N/A</v>
          </cell>
          <cell r="R17" t="e">
            <v>#N/A</v>
          </cell>
          <cell r="S17" t="str">
            <v>Rajni ( 14 Inch ) 11     Grass</v>
          </cell>
          <cell r="T17" t="str">
            <v>Pur Eustoma ( 12 inch ) 2 Mix Alstroemeria ( 12 Inch ) 10   FF Sachet + Grass</v>
          </cell>
        </row>
        <row r="18">
          <cell r="A18" t="str">
            <v>M0006</v>
          </cell>
          <cell r="B18" t="str">
            <v>Divya Sabharwal</v>
          </cell>
          <cell r="C18">
            <v>9560068750</v>
          </cell>
          <cell r="D18" t="str">
            <v>Tower 15, flat 1401, Vipul Greens , Sohna Road</v>
          </cell>
          <cell r="E18" t="str">
            <v>Sohna Road 2</v>
          </cell>
          <cell r="F18" t="str">
            <v>Friday</v>
          </cell>
          <cell r="G18" t="str">
            <v>9 AM - 12 PM</v>
          </cell>
          <cell r="H18">
            <v>3950</v>
          </cell>
          <cell r="I18">
            <v>493.75</v>
          </cell>
          <cell r="J18" t="str">
            <v>Grace</v>
          </cell>
          <cell r="K18" t="str">
            <v>Friday n Monday//NO GERBERA-Send replacement tomorrow(14/10)NO ORCHIDS(08/03)) NO ROSE(25/01) ) NO GLAD (20/02)  Pls send out of Asiatic//Oriental//bop//Anthurium//Spray Daisy//Gladioli//Guldawari(13/03)NO ANTHURIUMS)(16/06) Skip 1 week (21/05) Skip 1 week (16/06) Hold today (01/09) Send replacement tom (09/09) Skip 1 week (05/10) Skip 1 week (25/10) Skip 2 week (18/03) Statie next (13/05) Friday n MOnday (01/08) NO Car (30/08) Skip 1 week (19/01) Skip tom (02/02) Hold today  and send rajni on sunday instead of Monday (10/02) Skip friday del (11/03) Skip 1 week (19/03) No Orchids also (26/04) Skip 1 week (05/10) Hold till 9th Nov (24/10) Hold tom (23/11) Hold tom (27/11) Skip friday (02/12) Close bi weekly and start joy Pack (04/12) Skip 1 week (31/01) Skip 1 week (01/02) Return today (20/02) Skip 2 week (010/03) Send replacement tom (13/07)</v>
          </cell>
          <cell r="L18" t="str">
            <v>CAR n Orchid</v>
          </cell>
          <cell r="N18" t="str">
            <v>4  del of this cycle   -  0-cycles pmnt   Completed - Collect 0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str">
            <v>B Daisy ( 12 Inch ) 16     Grass</v>
          </cell>
        </row>
        <row r="19">
          <cell r="A19">
            <v>2692</v>
          </cell>
          <cell r="B19" t="str">
            <v>A K Jain</v>
          </cell>
          <cell r="C19">
            <v>9910309930</v>
          </cell>
          <cell r="D19" t="str">
            <v>B-785, Sushant Lok-1, Near Police Chowki</v>
          </cell>
          <cell r="E19" t="str">
            <v>M G Road</v>
          </cell>
          <cell r="F19" t="str">
            <v>Saturday</v>
          </cell>
          <cell r="G19" t="str">
            <v>9 AM - 12 PM</v>
          </cell>
          <cell r="H19">
            <v>2300</v>
          </cell>
          <cell r="I19">
            <v>287.5</v>
          </cell>
          <cell r="J19" t="str">
            <v>Felicity</v>
          </cell>
          <cell r="K19" t="str">
            <v>Saturdya n Tuesday (16/05) Hold from 10th to 14th June (07/06) Paytm From Akhil Jain (21/06) Skip sat del and send them on Sunday (30/07) Do not count last delivery (22/09) Hold 25th and 28th (19/10) Today Returned (04/11) Skip sat delivery (18/03) Do not count last Del (15/06)</v>
          </cell>
          <cell r="N19" t="str">
            <v>2  del of this cycle   -  0-cycles pmnt   Completed - Collect 0</v>
          </cell>
          <cell r="O19" t="str">
            <v>Mix Alstroemeria ( 12 Inch ) 11     FF Sachet + Grass</v>
          </cell>
          <cell r="P19" t="str">
            <v>O n P Car ( 14 Inch ) 11     FF Sachet + Grass</v>
          </cell>
          <cell r="Q19" t="str">
            <v>Rajni ( 14 Inch ) 11     Grass</v>
          </cell>
          <cell r="R19" t="str">
            <v>P n W Glad ( 14 inch ) 11     Grass</v>
          </cell>
          <cell r="S19" t="str">
            <v>Pur n P Car ( 14 Inch ) 11     FF Sachet + Grass</v>
          </cell>
          <cell r="T19" t="str">
            <v>O Asiatic ( 14 Inch ) 3     Grass</v>
          </cell>
        </row>
        <row r="20">
          <cell r="A20">
            <v>975</v>
          </cell>
          <cell r="B20" t="str">
            <v>Ritu Sacheti</v>
          </cell>
          <cell r="C20">
            <v>9910007371</v>
          </cell>
          <cell r="D20" t="str">
            <v>B1/1401, World Spa, Sector 30</v>
          </cell>
          <cell r="E20" t="str">
            <v>South City 1</v>
          </cell>
          <cell r="F20" t="str">
            <v>Saturday</v>
          </cell>
          <cell r="G20" t="str">
            <v>9 AM - 12 PM</v>
          </cell>
          <cell r="H20">
            <v>3750</v>
          </cell>
          <cell r="I20">
            <v>468.75</v>
          </cell>
          <cell r="J20" t="str">
            <v>Grace</v>
          </cell>
          <cell r="K20" t="str">
            <v>Sat n Tuesday//NO Chrysanthemums(30/12) Received 50Rs. Today(13/01) Today returned-send tom(27/01) Pls send double del on next del and upgrade to 1250 pack once this cycle completes(25/05/2020) Sending 1st June Flowers on 30th may(30/05/2020) Upgrade to 1750 pack and always send 4 Asiatic and 15 normal flowers(08/07) Send replacement of glad tom(19/08/20) Hold n start from Feb(17/01) Skiped 1 week due to HOLI(29/03) NO RAJNI IN SUMMER(16/07) Send 4 Stick asiatic complimentary Tom(20/09) Send 2 Open Asiatic and replace Carnations AND NEVER CAR(04/10) Rs. 250 received against extra flowers(05/10) NO SAME COLOR FLOWERS(04/03) Return today (06/12) NO GERBERA (10/01) Return-send tom (04/04) Sent replacement of Guldawari today (09/04) Today Returned (20/06) No Flowers From 10th to 19 Th nov (02/11) No Flowers betqeen 22nd and 1st Jan (22/12) Returned today (10/02) Skip today (13/02) Skip this tuesday (11/03) No Flowers from 29th to 3rd Nov (25/10) Return today (23/11) No Gerbera (30/11) Today Returned (24/05) Sent 1 delivery today (25/05)</v>
          </cell>
          <cell r="L20" t="str">
            <v>GERBERA n SUNFLOWER</v>
          </cell>
          <cell r="N20" t="str">
            <v>3  del of this cycle   -  0-cycles pmnt   Completed - Collect 0</v>
          </cell>
          <cell r="O20" t="str">
            <v>P Asiatic ( 14 Inch ) 2 Mix Alstroemeria ( 12 Inch ) 10   Grass</v>
          </cell>
          <cell r="P20" t="str">
            <v>P Spray Daisy ( 14 Inch ) 3 O n P Car ( 14 Inch ) 10   FF Sachet + Grass</v>
          </cell>
          <cell r="Q20" t="str">
            <v>P Eustoma ( 12 Inch ) 3 Rajni ( 14 Inch ) 10   FF Sachet + Grass</v>
          </cell>
          <cell r="R20" t="str">
            <v>O Asiatic ( 14 Inch ) 2 P n W Car ( 14 Inch ) 10   Grass</v>
          </cell>
          <cell r="S20" t="str">
            <v>Pur Eustoma ( 12 inch ) 2 Mix Alstroemeria ( 12 Inch ) 10   FF Sachet + Grass</v>
          </cell>
          <cell r="T20" t="str">
            <v>O Asiatic ( 14 Inch ) 3     Grass</v>
          </cell>
        </row>
        <row r="21">
          <cell r="A21">
            <v>3367</v>
          </cell>
          <cell r="B21" t="str">
            <v>Pallavi Sharma</v>
          </cell>
          <cell r="C21">
            <v>9910888631</v>
          </cell>
          <cell r="D21" t="str">
            <v>B-93, Regency Park 1, Sec 43</v>
          </cell>
          <cell r="E21" t="str">
            <v>DLF Phase 4</v>
          </cell>
          <cell r="F21" t="str">
            <v>Tuesday</v>
          </cell>
          <cell r="G21" t="str">
            <v>9 AM - 12 PM</v>
          </cell>
          <cell r="H21">
            <v>1450</v>
          </cell>
          <cell r="I21">
            <v>1450</v>
          </cell>
          <cell r="J21" t="str">
            <v>Bliss</v>
          </cell>
          <cell r="K21" t="str">
            <v>Paytm From Vaibhav Sharma (16.05) Skip 1 week (03/06)</v>
          </cell>
          <cell r="N21" t="str">
            <v>4  del of this cycle   -  0-cycles pmnt   Completed - Collect 0</v>
          </cell>
          <cell r="O21" t="e">
            <v>#N/A</v>
          </cell>
          <cell r="P21" t="str">
            <v>P n Y Spray Daisy ( 14 Inch ) 5     FF Sachet + Grass</v>
          </cell>
          <cell r="Q21" t="str">
            <v>Rajni ( 14 Inch ) 16     FF Sachet + Grass</v>
          </cell>
          <cell r="R21" t="str">
            <v>P n W Car ( 14 Inch ) 16     FF Sachet + Grass</v>
          </cell>
          <cell r="S21" t="str">
            <v>O Asiatic ( 14 Inch ) 3     Grass</v>
          </cell>
          <cell r="T21" t="str">
            <v>W Eustoam ( 12 Inch ) 2     FF Sachet + Grass</v>
          </cell>
        </row>
        <row r="22">
          <cell r="A22">
            <v>2593</v>
          </cell>
          <cell r="B22" t="str">
            <v>Devesh Srivastava</v>
          </cell>
          <cell r="C22">
            <v>7400118910</v>
          </cell>
          <cell r="D22" t="str">
            <v xml:space="preserve">T-7/1003&lt; The Palms
</v>
          </cell>
          <cell r="E22" t="str">
            <v>South City 1</v>
          </cell>
          <cell r="F22" t="str">
            <v>Tuesday</v>
          </cell>
          <cell r="G22" t="str">
            <v>9 AM to 2 PM</v>
          </cell>
          <cell r="H22">
            <v>1450</v>
          </cell>
          <cell r="I22">
            <v>362.5</v>
          </cell>
          <cell r="J22" t="str">
            <v>Bliss</v>
          </cell>
          <cell r="K22" t="str">
            <v>Saturday n Tuesday//One Del today and then every satrday 920/04) Sent one Del Today (09/05)</v>
          </cell>
          <cell r="N22" t="str">
            <v>3  del of this cycle   -  0-cycles pmnt   Completed - Collect 0</v>
          </cell>
          <cell r="O22" t="str">
            <v>W Asiatic ( 14 Inch ) 3     Grass</v>
          </cell>
          <cell r="P22" t="str">
            <v>P n W Glad ( 14 Inch ) 16     Grass</v>
          </cell>
          <cell r="Q22" t="str">
            <v>Pur Eustoma ( 12 Inch ) 3     FF Sachet + Grass</v>
          </cell>
          <cell r="R22" t="str">
            <v>P n W Car ( 14 Inch ) 16     FF Sachet + Grass</v>
          </cell>
          <cell r="S22" t="str">
            <v>Mix Alstroemeria ( 12 Inch ) 16     FF Sachet + Grass</v>
          </cell>
          <cell r="T22" t="str">
            <v>B Daisy ( 12 Inch ) 16     Grass</v>
          </cell>
        </row>
        <row r="23">
          <cell r="A23">
            <v>993</v>
          </cell>
          <cell r="B23" t="str">
            <v>Swati Khandelwal-- Evening Only</v>
          </cell>
          <cell r="C23">
            <v>8527962021</v>
          </cell>
          <cell r="D23" t="str">
            <v>414-A, Hamilton Court</v>
          </cell>
          <cell r="E23" t="str">
            <v>DLF Phase 4</v>
          </cell>
          <cell r="F23" t="str">
            <v>Tuesday</v>
          </cell>
          <cell r="G23" t="str">
            <v>9 AM to 2 PM</v>
          </cell>
          <cell r="H23">
            <v>2300</v>
          </cell>
          <cell r="I23">
            <v>287.5</v>
          </cell>
          <cell r="J23" t="str">
            <v>Felicity</v>
          </cell>
          <cell r="K23" t="str">
            <v>Saturday and Tuesday//Tuesday and Friday//1 St del Tom in morning and then every Sunday evening(05/01) ONLY LILY AND RAJNI(19/01) Lilies in all 4 Deliveries(01/02) Start Biss from next week(30/11) ONLY RAJNI(31/12) Send Guldawari next and then spray daisy next to next(09/01) NO ROSE mn RAJNI-- Send spray daisy next(27/01) Spray daisy Next(15/02) Moved to Felicity--1350 Pack, Pls mark pending(21/03) Send 1 extra delivery from Rachna Khanna ma'am(05/08) Do Not count last delivery(07/04) Send Flower Food Tom(12/09) Send Flower Food next (09/10) Hold till 1st Feb (20/01) Send Flower Food next (04/07) One More payment received today (30/10) Payment from Ramakant K (08/06) Rs. 9200 Received today and 10% applied on 9200 (10/12)</v>
          </cell>
          <cell r="L23" t="str">
            <v>ROSE n RAJNI</v>
          </cell>
          <cell r="N23" t="str">
            <v>4  del of this cycle   -  0-cycles pmnt   Completed - Collect 0</v>
          </cell>
          <cell r="O23" t="str">
            <v>P Asiatic ( 14 Inch ) 2     Grass</v>
          </cell>
          <cell r="P23" t="str">
            <v>P n W Glad ( 14 Inch ) 11     Grass</v>
          </cell>
          <cell r="Q23" t="str">
            <v>P Spray Daisy ( 14 Inch ) 3     FF Sachet + Grass</v>
          </cell>
          <cell r="R23" t="str">
            <v>Sunflower ( 12 Incjh ) 3     FF Sachet + Grass</v>
          </cell>
          <cell r="S23" t="str">
            <v>Mix Alstroemeria ( 12 Inch ) 11     FF Sachet + Grass</v>
          </cell>
          <cell r="T23" t="str">
            <v>O Asiatic ( 14 Inch ) 3     Grass</v>
          </cell>
        </row>
        <row r="24">
          <cell r="A24">
            <v>1063</v>
          </cell>
          <cell r="B24" t="str">
            <v>Sarika Bhattacharya</v>
          </cell>
          <cell r="C24">
            <v>9899457726</v>
          </cell>
          <cell r="D24" t="str">
            <v>T2/1404, The Palms</v>
          </cell>
          <cell r="E24" t="str">
            <v>South City 1</v>
          </cell>
          <cell r="F24" t="str">
            <v>Saturday</v>
          </cell>
          <cell r="G24" t="str">
            <v>9 AM to 2 PM</v>
          </cell>
          <cell r="H24">
            <v>1600</v>
          </cell>
          <cell r="I24">
            <v>200</v>
          </cell>
          <cell r="J24" t="str">
            <v>Bloom</v>
          </cell>
          <cell r="K24" t="str">
            <v>Sat n Tuesday//Day changed to Sat(07/08/20)  Send 1 Pack of mogra always(02/09/20) 500 added agsint bouquet sent to Nikita(09/09/20) 1 PACK OF MOGRA EVERY WEEK(11/09/20) Lilies this week and day changed to Saturday(08/10/20) Sent 5 Eustoma as Complimentary today(24/10) Send Double Del(08/11) 1 Stick Extra Next(13/11) Spray Daisy Next(30/11) Hold n start after 11th Jan(13/12) Spray daisy Next(30/01) Skip 2 weeks9(13/03) Shift 1 More week(01/04) Skip 1 week(02/07)  Skip 1 week(13/10) Skip 1 more week(18/10) Skip 1 week(05/11) Y Asiatic Next(04/02) Skip necxt week(19/02) Send next del on thursday evening slot(15/03) Hold till 7th Oct(17/09) Received 2 Payments today (29/12) NO Change to Bliss (31/12) Skip this sat delivery (22/05) Hold n start from July n confirm before delivery (25/05) Returned today and skip sat too (03/09) From Saibal Prasad Bhattacharya (08/10) Hold n start from 1st week of June (16/05) No Flowers till 5th Oct(15/09) Hold till 1st Nov from today (07/10) Send one del today and tnen on preferred days (02/11) Today Returnde (25/04) Hold n start from June (01/05) Hold till June also (28/05)</v>
          </cell>
          <cell r="N24" t="str">
            <v>4  del of this cycle   -  0-cycles pmnt   Completed - Collect 0</v>
          </cell>
          <cell r="O24" t="e">
            <v>#N/A</v>
          </cell>
          <cell r="P24" t="e">
            <v>#N/A</v>
          </cell>
          <cell r="Q24" t="e">
            <v>#N/A</v>
          </cell>
          <cell r="R24" t="e">
            <v>#N/A</v>
          </cell>
          <cell r="S24" t="str">
            <v>B Daisy ( 12 Inch ) 7     Grass</v>
          </cell>
          <cell r="T24" t="str">
            <v xml:space="preserve">G n W Car + G n W Spray Daisy + G n W Eustoma + G n W Eustoma + W Asiatic + W Oriental 120 + 15 + 10 + 5 + 5     </v>
          </cell>
        </row>
        <row r="25">
          <cell r="A25">
            <v>1411</v>
          </cell>
          <cell r="B25" t="str">
            <v>Aarti Malhotra</v>
          </cell>
          <cell r="C25">
            <v>9810002228</v>
          </cell>
          <cell r="D25" t="str">
            <v>T-10/1402, Orchid Petals</v>
          </cell>
          <cell r="E25" t="str">
            <v>Sohna Road 1</v>
          </cell>
          <cell r="F25" t="str">
            <v>Friday</v>
          </cell>
          <cell r="G25" t="str">
            <v>9 AM - 12 PM</v>
          </cell>
          <cell r="H25">
            <v>3000</v>
          </cell>
          <cell r="I25">
            <v>375</v>
          </cell>
          <cell r="J25" t="str">
            <v>Charm</v>
          </cell>
          <cell r="K25" t="str">
            <v>Friday and Tuesday//Thursday and Sunday//Like-- Spray daisy//Rajni and guldawari(28/05) Sunday and Thursday(20/06) Shift to Joy package after this(15/09) Skip 1 week(13/01)  Holy Change(16/03) Sent 1 replacement today(05/04) Hold n start from June(04/05) Hold and start after 20th June(06/06) Sent Replacement today(05/07) Do Not Count last Delivery(18/07) NO SPRAY DAISY(23/08) Skip coming Delivery (28/09)Today flowers returned-send on next del date (09/12) Start after 31st // Replace last flowers (28/01) Skip 1 week (02/06) No Del till 28th June (11/06) Skip this friday (06/03) Skip 1 week 911/03) Paytm from Vineet R K (26/10) Hold till 2nd July (31/05)</v>
          </cell>
          <cell r="N25" t="str">
            <v>3  del of this cycle   -  0-cycles pmnt   Completed - Collect 0</v>
          </cell>
          <cell r="O25" t="e">
            <v>#N/A</v>
          </cell>
          <cell r="P25" t="e">
            <v>#N/A</v>
          </cell>
          <cell r="Q25" t="e">
            <v>#N/A</v>
          </cell>
          <cell r="R25" t="e">
            <v>#N/A</v>
          </cell>
          <cell r="S25" t="str">
            <v>O Asiatic ( 14 Inch ) 3     Grass</v>
          </cell>
          <cell r="T25" t="str">
            <v>Pur n P Car ( 14 Inch ) 11     FF Sachet + Grass</v>
          </cell>
        </row>
        <row r="26">
          <cell r="A26">
            <v>3132</v>
          </cell>
          <cell r="B26" t="str">
            <v>Ramesh Kapoor</v>
          </cell>
          <cell r="C26">
            <v>9717416100</v>
          </cell>
          <cell r="D26" t="str">
            <v>T-6/1404, The Palms, South City 1</v>
          </cell>
          <cell r="E26" t="str">
            <v>South City 1</v>
          </cell>
          <cell r="F26" t="str">
            <v>Tuesday</v>
          </cell>
          <cell r="G26" t="str">
            <v>9 AM - 12 PM</v>
          </cell>
          <cell r="H26">
            <v>2300</v>
          </cell>
          <cell r="I26">
            <v>287.5</v>
          </cell>
          <cell r="J26" t="str">
            <v>Felicity</v>
          </cell>
          <cell r="K26" t="str">
            <v>Paytm From Anuradha Kapoor - Anu Kapoor (04/11) Premium tom (13/11) Replacement tom (21/04) 10 % Discint given (15/06) Today hold n sned tom (20/06) Today returned and skip Tuesday also (27/06)</v>
          </cell>
          <cell r="M26" t="str">
            <v>Premium Next (13/11)</v>
          </cell>
          <cell r="N26" t="str">
            <v>7  del of this cycle   -  0-cycles pmnt   Completed - Collect 40</v>
          </cell>
          <cell r="O26" t="str">
            <v>P n W Glad ( 14 Inch ) 9     Grass</v>
          </cell>
          <cell r="P26" t="str">
            <v>Y Spray Daisy ( 14 Inch ) 3     FF Sachet + Grass</v>
          </cell>
          <cell r="Q26" t="str">
            <v>Rajni ( 14 Inch ) 11     Grass</v>
          </cell>
          <cell r="R26" t="e">
            <v>#N/A</v>
          </cell>
          <cell r="S26" t="str">
            <v>Sunflower ( 12 Inch ) 2     FF Sachet + Grass</v>
          </cell>
          <cell r="T26" t="str">
            <v>Sunflower ( 12 Inch ) 2     FF Sachet + Grass</v>
          </cell>
        </row>
        <row r="27">
          <cell r="A27" t="str">
            <v>G-00029</v>
          </cell>
          <cell r="B27" t="str">
            <v>Shweta Arora</v>
          </cell>
          <cell r="C27">
            <v>9999164984</v>
          </cell>
          <cell r="D27" t="str">
            <v>H. No. 9506, 3rd Floor, Garden Villas</v>
          </cell>
          <cell r="E27" t="str">
            <v>DLF Phase 4</v>
          </cell>
          <cell r="F27" t="str">
            <v>Tuesday</v>
          </cell>
          <cell r="G27" t="str">
            <v>10 AM to 2:30 PM</v>
          </cell>
          <cell r="H27">
            <v>1950</v>
          </cell>
          <cell r="I27">
            <v>487.5</v>
          </cell>
          <cell r="J27" t="str">
            <v>Joy</v>
          </cell>
          <cell r="K27" t="str">
            <v>From Akriti Chopra // Paytm From Shweta Dudeja (26/02) Sent replacement today (18/04)</v>
          </cell>
          <cell r="N27" t="str">
            <v>4  del of this cycle   -  1-cycles pmnt   Pending - Collect 1950</v>
          </cell>
          <cell r="O27" t="str">
            <v>P Eustoma ( 12 Inch ) 2 Mix Alstroemeria ( 12 Inch ) 11   FF Sachet + Grass</v>
          </cell>
          <cell r="P27" t="str">
            <v>O Asiatic ( 14 inch ) 2 O n P Car ( 14 Inch ) 11   Grass</v>
          </cell>
          <cell r="Q27" t="str">
            <v>P n Y Spray Daisy ( 14 Inch ) 4 Rajni ( 14 Inch ) 11   FF Sachet + Grass</v>
          </cell>
          <cell r="R27" t="str">
            <v>Sunflower ( 12 Incjh ) 3 P n W Glad ( 14 Inch) 11  Ensure Collection FF Sachet + Grass</v>
          </cell>
          <cell r="S27" t="str">
            <v>Pur Eustoma ( 12 inch ) 2 Mix Alstroemeria ( 12 Inch ) 11   FF Sachet + Grass</v>
          </cell>
          <cell r="T27" t="str">
            <v>Y Spray Daisy ( 14 Inch ) 2     FF Sachet + Grass</v>
          </cell>
        </row>
        <row r="28">
          <cell r="A28">
            <v>2854</v>
          </cell>
          <cell r="B28" t="str">
            <v>Promita Roy</v>
          </cell>
          <cell r="C28">
            <v>9717459257</v>
          </cell>
          <cell r="D28" t="str">
            <v>B-25, Sushant Appartment, Block-C, Phase 1</v>
          </cell>
          <cell r="E28" t="str">
            <v>M G Road</v>
          </cell>
          <cell r="F28" t="str">
            <v>Tuesday</v>
          </cell>
          <cell r="G28" t="str">
            <v>9 AM - 12 PM</v>
          </cell>
          <cell r="H28">
            <v>1450</v>
          </cell>
          <cell r="I28">
            <v>362.5</v>
          </cell>
          <cell r="J28" t="str">
            <v>Bliss</v>
          </cell>
          <cell r="K28" t="str">
            <v>Upgrade to Bliss // Nolacl Gypsy or Lady Lace</v>
          </cell>
          <cell r="M28" t="str">
            <v>No Local Gypsy or Lady Lace</v>
          </cell>
          <cell r="N28" t="str">
            <v>2  del of this cycle   -  0-cycles pmnt   Completed - Collect 0</v>
          </cell>
          <cell r="O28" t="str">
            <v>P Asiatic ( 14 Inch ) 3     Grass</v>
          </cell>
          <cell r="P28" t="str">
            <v>P n W Glad ( 14 Inch ) 16     Grass</v>
          </cell>
          <cell r="Q28" t="str">
            <v>Pur Eustoma ( 12 Inch ) 3     FF Sachet + Grass</v>
          </cell>
          <cell r="R28" t="str">
            <v>P n W Car ( 14 Inch ) 16     FF Sachet + Grass</v>
          </cell>
          <cell r="S28" t="str">
            <v>Mix Alstroemeria ( 12 Inch ) 16     Grass</v>
          </cell>
          <cell r="T28" t="str">
            <v>Pur n P Car ( 14 Inch ) 11     FF Sachet + Grass</v>
          </cell>
        </row>
        <row r="29">
          <cell r="A29">
            <v>3333</v>
          </cell>
          <cell r="B29" t="str">
            <v>Urshita Gupta</v>
          </cell>
          <cell r="C29">
            <v>9910738939</v>
          </cell>
          <cell r="D29" t="str">
            <v>D-202, Pilot Court, Essel Towers</v>
          </cell>
          <cell r="E29" t="str">
            <v>M G Road</v>
          </cell>
          <cell r="F29" t="str">
            <v>Tuesday</v>
          </cell>
          <cell r="G29" t="str">
            <v>10 AM to 2:30 PM</v>
          </cell>
          <cell r="H29">
            <v>1950</v>
          </cell>
          <cell r="I29">
            <v>487.5</v>
          </cell>
          <cell r="J29" t="str">
            <v>Joy</v>
          </cell>
          <cell r="K29" t="str">
            <v>Change day to Tuesday (29/04) Hold till1 st June (20/05) Paytm From Urshita Saini (05/06)</v>
          </cell>
          <cell r="N29" t="str">
            <v>3  del of this cycle   -  0-cycles pmnt   Completed - Collect 0</v>
          </cell>
          <cell r="O29" t="str">
            <v>Mix Alstroemeria ( 12 Inch ) 22     FF Sachet + Grass</v>
          </cell>
          <cell r="P29" t="str">
            <v>P n W Spray Daisy ( 14 inch ) 7     FF Sachet + Grass</v>
          </cell>
          <cell r="Q29" t="str">
            <v>Mix Car 22     Grass</v>
          </cell>
          <cell r="R29" t="str">
            <v>O Asiatic ( 14 Inch ) 4     Grass</v>
          </cell>
          <cell r="S29" t="str">
            <v>B Daisy ( 12 Inch ) 22     Grass</v>
          </cell>
          <cell r="T29" t="str">
            <v>P Asiatic ( 14 Inch ) 3     Grass</v>
          </cell>
        </row>
        <row r="30">
          <cell r="A30">
            <v>2633</v>
          </cell>
          <cell r="B30" t="str">
            <v>Varsha Mathur</v>
          </cell>
          <cell r="C30">
            <v>9810816655</v>
          </cell>
          <cell r="D30" t="str">
            <v>C-34, First Floor, Sushant Lok-1</v>
          </cell>
          <cell r="E30" t="str">
            <v>M G Road</v>
          </cell>
          <cell r="F30" t="str">
            <v>Tuesday</v>
          </cell>
          <cell r="G30" t="str">
            <v>9 AM - 12 PM</v>
          </cell>
          <cell r="H30">
            <v>1450</v>
          </cell>
          <cell r="I30">
            <v>362.5</v>
          </cell>
          <cell r="J30" t="str">
            <v>Bliss</v>
          </cell>
          <cell r="K30" t="str">
            <v>Paytm From Aryank Mathur (29/04) Pls send asiatic only (10/06) Do not count last delivery (01/09) Diff flowers now (04/09) Hold due to non payment (14/10) Gpay from Medhavi Mathur (30/10) No Gerbera and Glad (04/12) No Orchids (18/12) Hold due to non payment (13/01) Hold due to non payment (20/01)</v>
          </cell>
          <cell r="L30" t="str">
            <v>No Glad n Gerbera n Orchid</v>
          </cell>
          <cell r="M30" t="str">
            <v>Diff flowers Now (04/09)</v>
          </cell>
          <cell r="N30" t="str">
            <v>3  del of this cycle   -  0-cycles pmnt   Completed - Collect 0</v>
          </cell>
          <cell r="O30" t="str">
            <v>Pur Eustoma ( 12 Inch ) 3     FF Sachet + Grass</v>
          </cell>
          <cell r="P30" t="str">
            <v>O n P Car ( 14 Inch ) 16     FF Sachet + Grass</v>
          </cell>
          <cell r="Q30" t="str">
            <v>O Asiatic ( 14 Inch ) 3     Grass</v>
          </cell>
          <cell r="R30" t="str">
            <v>Rajni ( 14 Inch ) 16     Grass</v>
          </cell>
          <cell r="S30" t="str">
            <v>Mix Alstroemeria ( 12 Inch ) 16     FF Sachet + Grass</v>
          </cell>
          <cell r="T30" t="str">
            <v>P Asiatic ( 14 Inch ) 2     Grass</v>
          </cell>
        </row>
        <row r="31">
          <cell r="A31">
            <v>2525</v>
          </cell>
          <cell r="B31" t="str">
            <v>Sonia Kalra</v>
          </cell>
          <cell r="C31">
            <v>9810512391</v>
          </cell>
          <cell r="D31" t="str">
            <v>C-264, Sushant Lok-1</v>
          </cell>
          <cell r="E31" t="str">
            <v>M G Road</v>
          </cell>
          <cell r="F31" t="str">
            <v>Tuesday</v>
          </cell>
          <cell r="G31" t="str">
            <v>10 AM to 2:30 PM</v>
          </cell>
          <cell r="H31">
            <v>1450</v>
          </cell>
          <cell r="I31">
            <v>362.5</v>
          </cell>
          <cell r="J31" t="str">
            <v>Bliss</v>
          </cell>
          <cell r="K31" t="str">
            <v>Change Rs 50// Hold today n skip 1 week(29/07) Paytm from harsonia Kalra (03/09)</v>
          </cell>
          <cell r="N31" t="str">
            <v>2  del of this cycle   -  1-cycles pmnt   Pending - Collect 1443</v>
          </cell>
          <cell r="O31" t="str">
            <v>P Asiatic ( 14 Inch ) 2     Grass</v>
          </cell>
          <cell r="P31" t="str">
            <v>O n P Car ( 14 Inch ) 9     FF Sachet + Grass</v>
          </cell>
          <cell r="Q31" t="str">
            <v>B Daisy ( 12 Inch ) 9     Grass</v>
          </cell>
          <cell r="R31" t="str">
            <v>Sunflower ( 12 Incjh ) 2     FF Sachet + grass</v>
          </cell>
          <cell r="S31" t="str">
            <v>Pur n P Car ( 14 Inch ) 16     FF Sachet + Grass</v>
          </cell>
          <cell r="T31" t="str">
            <v>Mix Alstroemeria ( 12 Inch ) 16     FF Sachet + Grass</v>
          </cell>
        </row>
        <row r="32">
          <cell r="A32">
            <v>2484</v>
          </cell>
          <cell r="B32" t="str">
            <v>Swati Sharad</v>
          </cell>
          <cell r="C32">
            <v>9871225514</v>
          </cell>
          <cell r="D32" t="str">
            <v>204-B, 2nd Floor, 4th Floor, Beverley Park-1</v>
          </cell>
          <cell r="E32" t="str">
            <v>M G Road</v>
          </cell>
          <cell r="F32" t="str">
            <v>Tuesday</v>
          </cell>
          <cell r="G32" t="str">
            <v>9 AM - 12 PM</v>
          </cell>
          <cell r="H32">
            <v>1450</v>
          </cell>
          <cell r="I32">
            <v>362.5</v>
          </cell>
          <cell r="J32" t="str">
            <v>Bliss</v>
          </cell>
          <cell r="K32" t="str">
            <v>No Glad (03/04) No areca palm (15/04) Today Hold (03/02) Paytm from meenakshi Sharad (10/03) HDTNP (23/06)</v>
          </cell>
          <cell r="L32" t="str">
            <v>Glad</v>
          </cell>
          <cell r="M32" t="str">
            <v>No areca Palm // Flower Food Next (19/05)</v>
          </cell>
          <cell r="N32" t="str">
            <v>2  del of this cycle   -  1-cycles pmnt   Pending - Collect 1450</v>
          </cell>
          <cell r="O32" t="str">
            <v>Pur Eustoma ( 12 Inch ) 2 Mix Alstroemeria ( 12 Inch ) 7   FF Sachet + Grass</v>
          </cell>
          <cell r="P32" t="str">
            <v>Sunflower ( 12 Inch ) 2 O n P Car ( 14 Inch ) 7   FF Sachet + Grass</v>
          </cell>
          <cell r="Q32" t="e">
            <v>#N/A</v>
          </cell>
          <cell r="R32" t="str">
            <v>Spray Daisy 3 Glad 7   FF Sachet + Grass</v>
          </cell>
          <cell r="S32" t="str">
            <v>P Asiatic ( 14 Inch ) 2 B Daisy ( 12 Inch  7   Grass</v>
          </cell>
          <cell r="T32" t="str">
            <v>B Daisy ( 12 Inch ) 22     Grass</v>
          </cell>
        </row>
        <row r="33">
          <cell r="A33">
            <v>1147</v>
          </cell>
          <cell r="B33" t="str">
            <v xml:space="preserve">Reena </v>
          </cell>
          <cell r="C33">
            <v>9811157690</v>
          </cell>
          <cell r="D33" t="str">
            <v>31/1, Ixia, Vatika City</v>
          </cell>
          <cell r="E33" t="str">
            <v>Sohna Road 1</v>
          </cell>
          <cell r="F33" t="str">
            <v>Tuesday</v>
          </cell>
          <cell r="G33" t="str">
            <v>9 AM to 2 PM</v>
          </cell>
          <cell r="H33">
            <v>1600</v>
          </cell>
          <cell r="I33">
            <v>200</v>
          </cell>
          <cell r="J33" t="str">
            <v>Bloom</v>
          </cell>
          <cell r="K33" t="str">
            <v>Tuesday and Friday//NO Rose/Rajni and ORCHID(30/10) Pink car Next(08/11) No Rose/No Rajni/No Orchids(30/11  NO RAJNI n HELICONIA (30/12) Star From Sunday (24/08) Skip coming Friday (07/12) Skip 1 week (18/01) Shift tom del to Sunday (20/06) Skip Friday Del (15/08) Today Returned(03/09) Skip 27th Del (22/12) Skip tom (30/01) Today Returned-send again (04/04) Hold n start from 15th (07/04) Skip friday (26/06) Skip 1 week (07/08) Skip tom del (11/09) Skip 1 week (01/11) Skip tom (30/04) Start from 14th July (06/07)</v>
          </cell>
          <cell r="L33" t="str">
            <v>RAJNI n HELICONIA</v>
          </cell>
          <cell r="N33" t="str">
            <v>1  del of this cycle   -  1-cycles pmnt   Pending - Collect 1600</v>
          </cell>
          <cell r="O33" t="str">
            <v>P n W Glad ( 14 Inch ) 7     Grass</v>
          </cell>
          <cell r="P33" t="str">
            <v>Mix Alstroemeria ( 12 Inch ) 7     FF Sachet + Grass</v>
          </cell>
          <cell r="Q33" t="str">
            <v>Sunflower ( 12 Inch ) 2     FF Sachet + Grass</v>
          </cell>
          <cell r="R33" t="str">
            <v>P n W Glad ( 14 inch ) 7     Grass</v>
          </cell>
          <cell r="S33" t="e">
            <v>#N/A</v>
          </cell>
          <cell r="T33" t="str">
            <v>Y Asiatic ( 14 Inch ) 3     Grass</v>
          </cell>
        </row>
        <row r="34">
          <cell r="A34">
            <v>3117</v>
          </cell>
          <cell r="B34" t="str">
            <v>Rupi</v>
          </cell>
          <cell r="C34">
            <v>9412006708</v>
          </cell>
          <cell r="D34" t="str">
            <v>T-14/304, Heritage City</v>
          </cell>
          <cell r="E34" t="str">
            <v>M G Road</v>
          </cell>
          <cell r="F34" t="str">
            <v>Tuesday</v>
          </cell>
          <cell r="G34" t="str">
            <v>10 AM to 2:30 PM</v>
          </cell>
          <cell r="H34">
            <v>1450</v>
          </cell>
          <cell r="I34">
            <v>362.5</v>
          </cell>
          <cell r="J34" t="str">
            <v>Bliss</v>
          </cell>
          <cell r="K34" t="str">
            <v>Start From 29th and then next del from 9th Dec (18/11) This week on Saturday (06/2) Hold today and send on Saturday and then tuesday(03/03) Skip tom (20/04) Skip tom n send on saturdqay this week (20/06)</v>
          </cell>
          <cell r="N34" t="str">
            <v>1  del of this cycle   -  1-cycles pmnt   Pending - Collect 1450</v>
          </cell>
          <cell r="O34" t="e">
            <v>#N/A</v>
          </cell>
          <cell r="P34" t="str">
            <v>P n Y Spray Daisy ( 14 Inch ) 5     FF Sachet + Grass</v>
          </cell>
          <cell r="Q34" t="e">
            <v>#N/A</v>
          </cell>
          <cell r="R34" t="str">
            <v>O Asiatic ( 14 Inch ) 3     Grass</v>
          </cell>
          <cell r="S34" t="str">
            <v>Pur n P Car ( 14 Inch ) 16     FF Sachet + Grass</v>
          </cell>
          <cell r="T34" t="str">
            <v>B Daisy ( 12 Inch ) 7     Grass</v>
          </cell>
        </row>
        <row r="35">
          <cell r="A35">
            <v>3275</v>
          </cell>
          <cell r="B35" t="str">
            <v>Reema Parents</v>
          </cell>
          <cell r="C35">
            <v>9910105022</v>
          </cell>
          <cell r="D35" t="str">
            <v>B1/603, Tulip Orange, Sec 70</v>
          </cell>
          <cell r="E35" t="str">
            <v>Badshahpur</v>
          </cell>
          <cell r="F35" t="str">
            <v>Tuesday</v>
          </cell>
          <cell r="G35" t="str">
            <v>9 AM - 12 PM</v>
          </cell>
          <cell r="H35">
            <v>1450</v>
          </cell>
          <cell r="I35">
            <v>362.5</v>
          </cell>
          <cell r="J35" t="str">
            <v>Bliss</v>
          </cell>
          <cell r="K35" t="str">
            <v>From Reema</v>
          </cell>
          <cell r="N35" t="str">
            <v>1  del of this cycle   -  0-cycles pmnt   In Process - Collect 0</v>
          </cell>
          <cell r="O35" t="str">
            <v>P Asiatic ( 14 Inch ) 2     Grass</v>
          </cell>
          <cell r="P35" t="str">
            <v>O n P Car ( 14 Inch ) 16     FF Sachet + Grass</v>
          </cell>
          <cell r="Q35" t="str">
            <v>Pur Eustoma ( 12 Inch ) 3     FF Sachet + Grass</v>
          </cell>
          <cell r="R35" t="str">
            <v>Rajni ( 14 Inch ) 16     Grass</v>
          </cell>
          <cell r="S35" t="str">
            <v>B Daisy ( 12 Inch ) 16     Grass</v>
          </cell>
          <cell r="T35" t="str">
            <v>Pur n P Car ( 14 Inch ) 16     FF Sachet + Grass</v>
          </cell>
        </row>
        <row r="36">
          <cell r="A36">
            <v>3297</v>
          </cell>
          <cell r="B36" t="str">
            <v>Samby</v>
          </cell>
          <cell r="C36">
            <v>9818996771</v>
          </cell>
          <cell r="D36" t="str">
            <v>C-183 A, 4th Floor, Sushant Lok 1</v>
          </cell>
          <cell r="E36" t="str">
            <v>M G Road</v>
          </cell>
          <cell r="F36" t="str">
            <v>Tuesday</v>
          </cell>
          <cell r="G36" t="str">
            <v>10 AM to 2:30 PM</v>
          </cell>
          <cell r="H36">
            <v>1450</v>
          </cell>
          <cell r="I36">
            <v>362.5</v>
          </cell>
          <cell r="J36" t="str">
            <v>Bliss</v>
          </cell>
          <cell r="K36" t="str">
            <v>Paytm From Sumit Kumar Bedi Jaga (29/03)</v>
          </cell>
          <cell r="N36" t="str">
            <v>4  del of this cycle   -  0-cycles pmnt   Completed - Collect 0</v>
          </cell>
          <cell r="O36" t="str">
            <v>R n P Car ( 14 Inch ) 16     FF Sachet + Grass</v>
          </cell>
          <cell r="P36" t="str">
            <v>Mix Alstroemeria ( 12 Inch ) 16     FF Sachet + Grass</v>
          </cell>
          <cell r="Q36" t="str">
            <v>Mix Spray Daisy 5     Grass</v>
          </cell>
          <cell r="R36" t="str">
            <v>Rajni ( 14 Inch ) 16     Grass</v>
          </cell>
          <cell r="S36" t="str">
            <v>O Asiatic ( 14 Inch ) 3     Grass</v>
          </cell>
          <cell r="T36" t="str">
            <v>Sunflower ( 12 Inch ) 2     FF Sachet + Grass</v>
          </cell>
        </row>
        <row r="37">
          <cell r="A37">
            <v>1936</v>
          </cell>
          <cell r="B37" t="str">
            <v>Pranta Dutta</v>
          </cell>
          <cell r="C37" t="str">
            <v>99535 59491</v>
          </cell>
          <cell r="D37" t="str">
            <v>C 1 flat 501 Ireo skyon golf course extension sector 60 gurgaon ( behind lemon tree hotel)</v>
          </cell>
          <cell r="E37" t="str">
            <v>Ghata</v>
          </cell>
          <cell r="F37" t="str">
            <v>Saturday</v>
          </cell>
          <cell r="G37" t="str">
            <v>9 AM - 12 PM</v>
          </cell>
          <cell r="H37">
            <v>1600</v>
          </cell>
          <cell r="I37">
            <v>200</v>
          </cell>
          <cell r="J37" t="str">
            <v>Bloom</v>
          </cell>
          <cell r="K37" t="str">
            <v>Tuesday n Saturday//Thursday n Sunday// No Rajni (01/01/23) Skip 1 wek (30/05) Paytm from Ddhruv Dutta Minor (18/06) Paytm From Susmita D (16/07). Not sent on 25/04 due to non payment (24/4) Paytm From Susmita D (04/05) Do not count last del (02/07) No Gerbera also (29/09) Hold from 10th to 20th (08/12) Hold from 10th to 20th (10/12) Hold due to non payment (26/12) No Delivery from 03rd to15th Jan (28/12) Hold due to non payment (010/02) Hold due to non payment (24/02) HDTNP (17/03) HDTNP (02/05) HDTNP (23/05) HDTNP (26/05) HDTNP (02/06) HDTNP (06/06) HDTNP (09/06) HDTNP (13/06) HDTNP (16/06) HDTNP (20/06) HDTNP (23/06) HDTNP (27/06) HDTNP (30/06)</v>
          </cell>
          <cell r="L37" t="str">
            <v>RAJNI n GERBERA</v>
          </cell>
          <cell r="N37" t="str">
            <v>7  del of this cycle   -  0-cycles pmnt   Completed - Collect 0</v>
          </cell>
          <cell r="O37" t="e">
            <v>#N/A</v>
          </cell>
          <cell r="P37" t="e">
            <v>#N/A</v>
          </cell>
          <cell r="Q37" t="e">
            <v>#N/A</v>
          </cell>
          <cell r="R37" t="str">
            <v xml:space="preserve">Collect 600 Carry Receipt Book     </v>
          </cell>
          <cell r="S37" t="str">
            <v>Sunflower ( 12 Inch ) 2     FF Sachet + Grass</v>
          </cell>
          <cell r="T37" t="str">
            <v>Rajni ( 14 Inch ) 16     Grass</v>
          </cell>
        </row>
        <row r="38">
          <cell r="A38">
            <v>2426</v>
          </cell>
          <cell r="B38" t="str">
            <v>Pragati Agarwal</v>
          </cell>
          <cell r="C38">
            <v>9811152110</v>
          </cell>
          <cell r="D38" t="str">
            <v>C-1019, G Floor, Sushant Lok 1</v>
          </cell>
          <cell r="E38" t="str">
            <v>M G Road</v>
          </cell>
          <cell r="F38" t="str">
            <v>Tuesday</v>
          </cell>
          <cell r="G38" t="str">
            <v>10 AM to 2:30 PM</v>
          </cell>
          <cell r="H38">
            <v>1950</v>
          </cell>
          <cell r="I38">
            <v>487.5</v>
          </cell>
          <cell r="J38" t="str">
            <v>Joy</v>
          </cell>
          <cell r="K38" t="str">
            <v>Skip 1 week (10/04) No Bop (29/04) No Rajni (29/07) One kind of flowers (31/10) Skip 1 week (05/01) Hold 1 month (07/03) Paytm From Tanmay Agarwal (05/05)</v>
          </cell>
          <cell r="L38" t="str">
            <v>BOP n Rajni</v>
          </cell>
          <cell r="M38" t="str">
            <v>One Kind of Flower (31/10)</v>
          </cell>
          <cell r="N38" t="str">
            <v>4  del of this cycle   -  0-cycles pmnt   CompletedNO COLLECTION-we have extra money - Collect -50</v>
          </cell>
          <cell r="O38" t="str">
            <v>Mix Alstroemeria ( 12 Inch ) 22     FF Sachet + Grass</v>
          </cell>
          <cell r="P38" t="str">
            <v>O n P Car ( 14 Inch ) 22     FF Sachet + Grass</v>
          </cell>
          <cell r="Q38" t="str">
            <v>Sunflower ( 12 Inch ) 4     Grass</v>
          </cell>
          <cell r="R38" t="str">
            <v>P n W Glad ( 14 inch ) 22    Ensure Collection Grass</v>
          </cell>
          <cell r="S38" t="str">
            <v>O Asiatic ( 14 Inch ) 4     Grass</v>
          </cell>
          <cell r="T38" t="str">
            <v>Mix Alstroemeria ( 12 Inch ) 16     Grass</v>
          </cell>
        </row>
        <row r="39">
          <cell r="A39">
            <v>2594</v>
          </cell>
          <cell r="B39" t="str">
            <v>Anamika Sirohi</v>
          </cell>
          <cell r="C39">
            <v>9971707368</v>
          </cell>
          <cell r="D39" t="str">
            <v>E-703M The Vikas, DLF Phase 2</v>
          </cell>
          <cell r="E39" t="str">
            <v>DLF Phase 2</v>
          </cell>
          <cell r="F39" t="str">
            <v>Tuesday</v>
          </cell>
          <cell r="G39" t="str">
            <v>9 AM to 2 PM</v>
          </cell>
          <cell r="H39">
            <v>1450</v>
          </cell>
          <cell r="I39">
            <v>362.5</v>
          </cell>
          <cell r="J39" t="str">
            <v>Bliss</v>
          </cell>
          <cell r="K39" t="str">
            <v>Preferred Flowers -- Rose/Rajni/Gerbera/Lilies/Glad/car // Today Hold (12/08) Skip 2 week (13/08) Paytm From sangram Singh (10/09)</v>
          </cell>
          <cell r="N39" t="str">
            <v>2  del of this cycle   -  0-cycles pmnt   CompletedNO COLLECTION-we have extra money - Collect -10</v>
          </cell>
          <cell r="O39" t="str">
            <v>R n P Car ( 14 Inch ) 9     FF Sachet + Grass</v>
          </cell>
          <cell r="P39" t="str">
            <v>Mix Alstroemeria ( 12 Inch ) 9     FF Sachet + Grass</v>
          </cell>
          <cell r="Q39" t="str">
            <v>Sunflower ( 12 Inch ) 2     FF Sachet + Grass</v>
          </cell>
          <cell r="R39" t="str">
            <v>P n W Glad ( 14 inch ) 9     Grass</v>
          </cell>
          <cell r="S39" t="str">
            <v>Rajni ( 14 Inch ) 16     Grass</v>
          </cell>
          <cell r="T39" t="str">
            <v>P Spray Daisy ( 14 Inch ) 2 Mix Alstroemeria ( 12 Inch ) 7   FF Sachet + Grass</v>
          </cell>
        </row>
        <row r="40">
          <cell r="A40">
            <v>1542</v>
          </cell>
          <cell r="B40" t="str">
            <v>Anisha Sethi</v>
          </cell>
          <cell r="C40">
            <v>9811004396</v>
          </cell>
          <cell r="D40" t="str">
            <v>Q-1/25, DLF Phase 2</v>
          </cell>
          <cell r="E40" t="str">
            <v>M G Road</v>
          </cell>
          <cell r="F40" t="str">
            <v>Saturday</v>
          </cell>
          <cell r="G40" t="str">
            <v>9 AM to 2 PM</v>
          </cell>
          <cell r="H40">
            <v>3000</v>
          </cell>
          <cell r="I40">
            <v>375</v>
          </cell>
          <cell r="J40" t="str">
            <v>Charm</v>
          </cell>
          <cell r="K40" t="str">
            <v>Saturdya n Tuesday//always mix of 2 flowers and send a scissor on 1st del for Rs.50(11/10) Send 1 Scissor also(13/10) Send Scissor Tom(15/10) Send Mogra next(18/10) NO HELICONIA and BOP(19/11) Skip this Tuesday(10/04) Skip this Tuesday Del(02/05) Skip 28th May Flowers(25/05) Sent replacement today(07/06) NO DEL BETWEEN 14TH AND 24TH JULY(06/07) Skip 12th , 16th , 19th and 23rd July(11/07) Skip 1 week(25/08) NO UPGRADE(17/10) Pause from 25th to 6th Apr (24/03) Asiatic n Car (05/05) No Delivery from 10th June to 15th July (07/06) Skip tom delivery (04/09) No flowers on 28th (26/10) Skip 1 Del (12/02) Hold on 2nd,6th and 9th Apr (30/03) Skip 20th Del (19/08) Pls hold n start from 5th Oct (22/09) No sunflowers for some time (15/04) Hold from 17th May t0 17th June (14/05) Collect 400 next and carry change (29/07) 400 cash on 5th Aug (12/08) Hold n send on 23rd Now (17/08)</v>
          </cell>
          <cell r="L40" t="str">
            <v>HELICONIA n BOP</v>
          </cell>
          <cell r="M40" t="str">
            <v>No Sunflowers for some time (15/04) Change of Rs. 50 Next (28/04)</v>
          </cell>
          <cell r="N40" t="str">
            <v>1  del of this cycle   -  1-cycles pmnt   Pending - Collect 3000</v>
          </cell>
          <cell r="O40" t="e">
            <v>#N/A</v>
          </cell>
          <cell r="P40" t="str">
            <v>P Spray Daisy ( 14 Inch ) 2 P n W Glad ( 14 Inch ) 7   FF Sachet + Grass</v>
          </cell>
          <cell r="Q40" t="str">
            <v>Pur Eustoma ( 12 Inch ) 2 Rajni ( 14 Inch ) 7   FF Sachet + Grass</v>
          </cell>
          <cell r="R40" t="str">
            <v>Sunflower ( 12 Incjh ) 2 P n W Car ( 14 Inch ) 7   FF Sachet + Grass</v>
          </cell>
          <cell r="S40" t="str">
            <v>P Spray Daisy ( 14 Inch ) 2 Mix Alstroemeria ( 12 Inch ) 7   FF Sachet + Grass</v>
          </cell>
          <cell r="T40" t="str">
            <v>Mix Alstroemeria ( 12 Inch ) 16     FF Sachet + Grass</v>
          </cell>
        </row>
        <row r="41">
          <cell r="A41">
            <v>3306</v>
          </cell>
          <cell r="B41" t="str">
            <v>Abhishek Jain</v>
          </cell>
          <cell r="C41">
            <v>9004227662</v>
          </cell>
          <cell r="D41" t="str">
            <v>N-3/8, 2nd Floor, Road No. N-3, Sector 25</v>
          </cell>
          <cell r="E41" t="str">
            <v>DLF Phase 2</v>
          </cell>
          <cell r="F41" t="str">
            <v>Tuesday</v>
          </cell>
          <cell r="G41" t="str">
            <v>9:30 AM to 2 PM</v>
          </cell>
          <cell r="H41">
            <v>1450</v>
          </cell>
          <cell r="I41">
            <v>362.5</v>
          </cell>
          <cell r="J41" t="str">
            <v>Bliss</v>
          </cell>
          <cell r="K41" t="str">
            <v>Skip 2 week (16/04)</v>
          </cell>
          <cell r="N41" t="str">
            <v>4  del of this cycle   -  0-cycles pmnt   Completed - Collect 0</v>
          </cell>
          <cell r="O41" t="str">
            <v>P n W Spray Daisy ( 14 Inch ) 5     FF Sachet + Grass</v>
          </cell>
          <cell r="P41" t="str">
            <v>O n P Car ( 14 Inch ) 16     FF Sachet + Grass</v>
          </cell>
          <cell r="Q41" t="str">
            <v>Pur Eustoma ( 12 Inch ) 3     FF Sachet + Grass</v>
          </cell>
          <cell r="R41" t="str">
            <v>Y Asiatic ( 14 Inch ) 3    Ensure Collection Grass</v>
          </cell>
          <cell r="S41" t="str">
            <v>Mix Alstroemeria ( 12 Inch ) 16     FF Sachet + Grass</v>
          </cell>
          <cell r="T41" t="str">
            <v>Pur n P Car ( 14 Inch ) 16     FF Sachet + Grass</v>
          </cell>
        </row>
        <row r="42">
          <cell r="A42">
            <v>2284</v>
          </cell>
          <cell r="B42" t="str">
            <v>Tarushi--Skyon</v>
          </cell>
          <cell r="C42">
            <v>9873968830</v>
          </cell>
          <cell r="D42" t="str">
            <v>B-2004, Ireo Skyon, Sec 60</v>
          </cell>
          <cell r="E42" t="str">
            <v>Ghata</v>
          </cell>
          <cell r="F42" t="str">
            <v>Tuesday</v>
          </cell>
          <cell r="G42" t="str">
            <v>9 AM - 12 PM</v>
          </cell>
          <cell r="H42">
            <v>1450</v>
          </cell>
          <cell r="I42">
            <v>362.5</v>
          </cell>
          <cell r="J42" t="str">
            <v>Bliss</v>
          </cell>
          <cell r="K42" t="str">
            <v>No Spray Daisy (06/11) Skip 1 week (02/03) No Gerbera (02/07) Send on Saturday this week Z914/07)Paytm from Uday Bansal 19/07) Return not at home (29/07) Hold due to non payment (14/10) Hold after this cycle (14/11) Paytm From Tarushi Garg (02/04) HDTNP (02/06) HDTNP (09/06) HDTNP (16/06) Skip 1 week (24/06)</v>
          </cell>
          <cell r="L42" t="str">
            <v>Spray Daisy n GERBERA</v>
          </cell>
          <cell r="N42" t="str">
            <v>1  del of this cycle   -  1-cycles pmnt   Pending - Collect 8250</v>
          </cell>
          <cell r="O42" t="e">
            <v>#N/A</v>
          </cell>
          <cell r="P42" t="e">
            <v>#N/A</v>
          </cell>
          <cell r="Q42" t="str">
            <v>Pur Eustoma ( 12 Inch ) 3     FF Sachet + Grass</v>
          </cell>
          <cell r="R42" t="str">
            <v>Rajni ( 14 Inch ) 16     Grass</v>
          </cell>
          <cell r="S42" t="str">
            <v>O Asiatic ( 14 Inch ) 3     Grass</v>
          </cell>
          <cell r="T42" t="str">
            <v>Mix Alstroemeria ( 12 Inch ) 16     FF Sachet + Grass</v>
          </cell>
        </row>
        <row r="43">
          <cell r="A43">
            <v>2463</v>
          </cell>
          <cell r="B43" t="str">
            <v>Rishika Mazumdar</v>
          </cell>
          <cell r="C43">
            <v>9674039510</v>
          </cell>
          <cell r="D43" t="str">
            <v>A-45/17, 4th Floor, Yadav House, Sec 28, DLF Phase 1</v>
          </cell>
          <cell r="E43" t="str">
            <v>DLF Phase 1</v>
          </cell>
          <cell r="F43" t="str">
            <v>Tuesday</v>
          </cell>
          <cell r="G43" t="str">
            <v>9 AM - 12 PM</v>
          </cell>
          <cell r="H43">
            <v>1450</v>
          </cell>
          <cell r="I43">
            <v>362.5</v>
          </cell>
          <cell r="J43" t="str">
            <v>Bliss</v>
          </cell>
          <cell r="K43" t="str">
            <v>Referred by Navjot Kaur// Sent replacement today (15/04) skip next and send on Tuesday (26/04) Skip n send on Tuesday (22/06) Skip tom n send on Tuesday (04/07) Change day to Tuesday (17/07) Hold from 20th Sep and stsrt from 11th Oct (01/09) Skip 25th and sned on 29th (18/11) Paytm from Tushar Gupta (17/02) Hold till 12th April (29/03)</v>
          </cell>
          <cell r="M43" t="str">
            <v>Don’t send on  28th -- sned on 1st July(26/04)</v>
          </cell>
          <cell r="N43" t="str">
            <v>4  del of this cycle   -  0-cycles pmnt   Completed - Collect 0</v>
          </cell>
          <cell r="O43" t="str">
            <v>P n W Glad ( 14 Inch ) 9     Grass</v>
          </cell>
          <cell r="P43" t="str">
            <v>Sunflower ( 12 Inch ) 2     FF Sachet + Grass</v>
          </cell>
          <cell r="Q43" t="str">
            <v>B Daisy ( 12 Inch ) 16     Grass</v>
          </cell>
          <cell r="R43" t="str">
            <v>O Asiatic ( 14 Inch ) 3     Grass</v>
          </cell>
          <cell r="S43" t="str">
            <v>Pur n P Car ( 14 Inch ) 16     FF Sachet + Grass</v>
          </cell>
          <cell r="T43" t="str">
            <v>P n W Spray Daisy ( 14 Inch ) 4 Pur n P Car ( 14 Inch ) 11   FF Sachet + Grass</v>
          </cell>
        </row>
        <row r="44">
          <cell r="A44" t="str">
            <v>B56447</v>
          </cell>
          <cell r="B44" t="str">
            <v>Lalit Jain</v>
          </cell>
          <cell r="C44">
            <v>9910866119</v>
          </cell>
          <cell r="D44" t="str">
            <v>C-902, GPM Eden Heights, Sec 70</v>
          </cell>
          <cell r="E44" t="str">
            <v>Badshahpur</v>
          </cell>
          <cell r="F44" t="str">
            <v>Tuesday</v>
          </cell>
          <cell r="G44" t="str">
            <v>By 10 AM</v>
          </cell>
          <cell r="H44">
            <v>2850</v>
          </cell>
          <cell r="I44">
            <v>2850</v>
          </cell>
          <cell r="J44" t="str">
            <v>Bouquet</v>
          </cell>
          <cell r="K44" t="str">
            <v>1p Dark Pink Orental in Fish Bowl // Happy Birthday Papa</v>
          </cell>
          <cell r="N44" t="str">
            <v>1  del of this cycle   -  0-cycles pmnt   Completed - Collect 0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str">
            <v>Pur n P Car ( 14 Inch ) 16     FF Sachet + Grass</v>
          </cell>
        </row>
        <row r="45">
          <cell r="A45">
            <v>3106</v>
          </cell>
          <cell r="B45" t="str">
            <v>Nitee Johar</v>
          </cell>
          <cell r="C45">
            <v>9810661849</v>
          </cell>
          <cell r="D45" t="str">
            <v>H-11/4 Dlf Phase 1, Gurgaon</v>
          </cell>
          <cell r="E45" t="str">
            <v>DLF Phase 1</v>
          </cell>
          <cell r="F45" t="str">
            <v>Tuesday</v>
          </cell>
          <cell r="G45" t="str">
            <v>9 AM to 2 PM</v>
          </cell>
          <cell r="H45">
            <v>1450</v>
          </cell>
          <cell r="I45">
            <v>362.5</v>
          </cell>
          <cell r="J45" t="str">
            <v>Bliss</v>
          </cell>
          <cell r="K45" t="str">
            <v>Ho;d due to non payment (13/01) Hold due to non payment (20/01) Hold due to non payment (27/01) Hold due to non payment (03/02) Hold due to non payment (10/02) Paytm From Kavita -- 25176 (24/03) HDTNP (02/06) HDTNP (09/06) HDTNP (16/06) HDTNP (23/06) HDTNP (30/06) Hold after current cycle (01/07) Paytm From Karan Singh --9810661849 (01/07)</v>
          </cell>
          <cell r="N45" t="str">
            <v>4  del of this cycle   -  0-cycles pmnt   Completed - Collect 0</v>
          </cell>
          <cell r="O45" t="e">
            <v>#N/A</v>
          </cell>
          <cell r="P45" t="e">
            <v>#N/A</v>
          </cell>
          <cell r="Q45" t="e">
            <v>#N/A</v>
          </cell>
          <cell r="R45" t="str">
            <v xml:space="preserve">Collect 725 Carry Receipt Book     </v>
          </cell>
          <cell r="S45" t="str">
            <v>Pur n P Car ( 14 Inch ) 16     FF Sachet + Grass</v>
          </cell>
          <cell r="T45" t="str">
            <v>O Asiatic ( 14 Inch ) 3     Grass</v>
          </cell>
        </row>
        <row r="46">
          <cell r="A46">
            <v>2550</v>
          </cell>
          <cell r="B46" t="str">
            <v>Pooja Singh</v>
          </cell>
          <cell r="C46">
            <v>9810123062</v>
          </cell>
          <cell r="D46" t="str">
            <v>B-289, 3rd Floor, Anantraj Estates, Sec 63 A</v>
          </cell>
          <cell r="E46" t="str">
            <v>Ghata</v>
          </cell>
          <cell r="F46" t="str">
            <v>Sunday</v>
          </cell>
          <cell r="G46" t="str">
            <v>9 AM - 12 PM</v>
          </cell>
          <cell r="H46">
            <v>1450</v>
          </cell>
          <cell r="I46">
            <v>362.5</v>
          </cell>
          <cell r="J46" t="str">
            <v>Bliss</v>
          </cell>
          <cell r="K46" t="str">
            <v>Hold today n sned on Tuesday (18/05) Skip this week and send on Monday(01/01/26) Return today (18/01) Skip this Sunday and sned on Tuesday this week (27/06) Send on Tuesday this week(11/07)</v>
          </cell>
          <cell r="N46" t="str">
            <v>1  del of this cycle   -  1-cycles pmnt   Pending - Collect 1450</v>
          </cell>
          <cell r="O46" t="e">
            <v>#N/A</v>
          </cell>
          <cell r="P46" t="e">
            <v>#N/A</v>
          </cell>
          <cell r="Q46" t="e">
            <v>#N/A</v>
          </cell>
          <cell r="R46" t="str">
            <v>Sunflower ( 12 Incjh ) 2 P n W Glad ( 14 Inch) 7   FF Sachet + Grass</v>
          </cell>
          <cell r="S46" t="e">
            <v>#N/A</v>
          </cell>
          <cell r="T46" t="str">
            <v>Rajni ( 14 Inch ) 22     Grass</v>
          </cell>
        </row>
        <row r="47">
          <cell r="A47" t="str">
            <v>B56357</v>
          </cell>
          <cell r="B47" t="str">
            <v>Ridhi Heritage</v>
          </cell>
          <cell r="C47" t="str">
            <v>98730 38855</v>
          </cell>
          <cell r="D47" t="str">
            <v xml:space="preserve"> Flat-704 tower -C  Heritage One sector 62</v>
          </cell>
          <cell r="E47" t="str">
            <v>Ghata</v>
          </cell>
          <cell r="F47" t="str">
            <v>Tuesday</v>
          </cell>
          <cell r="G47" t="str">
            <v>9 AM - 12 PM</v>
          </cell>
          <cell r="H47">
            <v>700</v>
          </cell>
          <cell r="I47">
            <v>700</v>
          </cell>
          <cell r="J47" t="str">
            <v>Bouquet</v>
          </cell>
          <cell r="K47" t="str">
            <v>2 P Oriental (13/07)</v>
          </cell>
          <cell r="N47" t="str">
            <v>1  del of this cycle   -  1-cycles pmnt   Pending - Collect 700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str">
            <v>Pur n P Car ( 14 Inch ) 16     FF Sachet + Grass</v>
          </cell>
        </row>
        <row r="48">
          <cell r="A48">
            <v>2536</v>
          </cell>
          <cell r="B48" t="str">
            <v xml:space="preserve">Poonam Lal </v>
          </cell>
          <cell r="C48">
            <v>9811096665</v>
          </cell>
          <cell r="D48" t="str">
            <v>T-121/173, Silver Oaks Appartments</v>
          </cell>
          <cell r="E48" t="str">
            <v>DLF Phase 1</v>
          </cell>
          <cell r="F48" t="str">
            <v>Saturday</v>
          </cell>
          <cell r="G48" t="str">
            <v>9 AM - 12 PM</v>
          </cell>
          <cell r="H48">
            <v>1450</v>
          </cell>
          <cell r="I48">
            <v>362.5</v>
          </cell>
          <cell r="J48" t="str">
            <v>Bliss</v>
          </cell>
          <cell r="K48" t="str">
            <v>10% Discount // Today hold (02/08) Hold n start after 11th Sep (05/09) Start after 27th Jan (16/01) Skip tom (03/04) Skip tom add being changed (01/05) Hold till 04th June (26/05)</v>
          </cell>
          <cell r="N48" t="str">
            <v>1  del of this cycle   -  1-cycles pmnt   Pending - Collect 1450</v>
          </cell>
          <cell r="O48" t="str">
            <v>P n W Glad ( 14 Inch ) 9     Grass</v>
          </cell>
          <cell r="P48" t="str">
            <v>P n Y Spray Daisy ( 14 Inch ) 5     FF Sachet + Grass</v>
          </cell>
          <cell r="Q48" t="str">
            <v>Rajni ( 14 Inch ) 16     FF Sachet + Grass</v>
          </cell>
          <cell r="R48" t="str">
            <v>P n W Car ( 14 Inch ) 16     FF Sachet + Grass</v>
          </cell>
          <cell r="S48" t="str">
            <v>Y Asiatic ( 14 Inch ) 3     Grass</v>
          </cell>
          <cell r="T48" t="str">
            <v>O Asiatic ( 14 Inch ) 4     Grass</v>
          </cell>
        </row>
        <row r="49">
          <cell r="A49">
            <v>1554</v>
          </cell>
          <cell r="B49" t="str">
            <v>Farea Aziz</v>
          </cell>
          <cell r="C49">
            <v>9871694052</v>
          </cell>
          <cell r="D49" t="str">
            <v>Selan Exploration Tech Ltd, 8th Floor , Imperial Mindspace, Sec 62</v>
          </cell>
          <cell r="E49" t="str">
            <v>Ghata</v>
          </cell>
          <cell r="F49" t="str">
            <v>Tuesday</v>
          </cell>
          <cell r="G49" t="str">
            <v>By 10 AM</v>
          </cell>
          <cell r="H49">
            <v>1950</v>
          </cell>
          <cell r="I49">
            <v>487.5</v>
          </cell>
          <cell r="J49" t="str">
            <v>Corporate</v>
          </cell>
          <cell r="K49" t="str">
            <v>Return-send next week(03/01) Return-send tom at new add (04/10) Today hold -send tom (15/08) Today returned-send tom (24/10)</v>
          </cell>
          <cell r="N49" t="str">
            <v>4  del of this cycle   -  0-cycles pmnt   In Process - Collect 0</v>
          </cell>
          <cell r="O49" t="str">
            <v>P Eustoma ( 12 Inch ) 2 Mix Alstroemeria ( 12 Inch ) 11   FF Sachet + Grass</v>
          </cell>
          <cell r="P49" t="str">
            <v>P Asiatic ( 14 Inch ) 2 O n P Car ( 14 Inch ) 11   Grass</v>
          </cell>
          <cell r="Q49" t="str">
            <v>Sunflower ( 12 Inch ) 3 P n W Glad ( 14 Inch ) 11   FF Sachet + Grass</v>
          </cell>
          <cell r="R49" t="str">
            <v>Pur Eustoma 2 B Daisy 11   FF Sachet + Grass</v>
          </cell>
          <cell r="S49" t="str">
            <v>P n W Spray Daisy ( 14 Inch ) 4 Pur n P Car ( 14 Inch ) 11   FF Sachet + Grass</v>
          </cell>
          <cell r="T49" t="str">
            <v>Y Asiatic ( 14 Inch ) 3     Grass</v>
          </cell>
        </row>
        <row r="50">
          <cell r="B50" t="str">
            <v>Bharti Rastogi</v>
          </cell>
          <cell r="D50" t="str">
            <v xml:space="preserve">161sp, basement 
Sector 51, gurgaon 
 Our office </v>
          </cell>
          <cell r="H50">
            <v>1200</v>
          </cell>
          <cell r="J50" t="str">
            <v>Bouquet</v>
          </cell>
          <cell r="T50" t="str">
            <v>G Hydrangea +  G n W Button Daisy + G n W Eustoma + G n W Car + Baloon Flowers + G n W Anthurium + W Car + Lotus Bud 10 + 30 + 20 + 100 + 15 + 8 + 30 + 20 Baby Dollar + G Hanging Amaranthus + Mirchi Patti + Gypsola + Limonium 3 Bunch + 20 + 4 Bunch + 5 Bunch + 2 Bunch + 2 Bunch  Green Apple  Pear + Japanese Grapes 1 Kg + 500 Gm</v>
          </cell>
        </row>
        <row r="51">
          <cell r="A51">
            <v>918</v>
          </cell>
          <cell r="B51" t="str">
            <v>FIVD</v>
          </cell>
          <cell r="C51">
            <v>9560117868</v>
          </cell>
          <cell r="D51" t="str">
            <v>Fivd India, 22-27, 7th Floor, A Tower, Emaar Digital Green Sec 61</v>
          </cell>
          <cell r="E51" t="str">
            <v>Ghata</v>
          </cell>
          <cell r="F51" t="str">
            <v>Tuesday</v>
          </cell>
          <cell r="G51" t="str">
            <v>9 AM - 12 PM</v>
          </cell>
          <cell r="H51">
            <v>1950</v>
          </cell>
          <cell r="I51">
            <v>487.5</v>
          </cell>
          <cell r="J51" t="str">
            <v>Corporate</v>
          </cell>
          <cell r="K51" t="str">
            <v>Only Asiatic(12/10) Skip this week(26/10) Google pay from manas mehrotra(24/11) Return-send on Tuesday(08/12) Gpay From Priyanka Singh (24/09) Sent a vase today (07/02) Add Changed (14/07) Today hold-send tom (15/08) send replacement tom (16/08) Today returned-send tom (24/10) Sent replacement today (04/07) Sent replacement today (27/11) Office was closed (21/10)</v>
          </cell>
          <cell r="L51" t="str">
            <v>GLAD And GULDAWARI AND SPRAY DAISY</v>
          </cell>
          <cell r="N51" t="str">
            <v>4  del of this cycle   -  0-cycles pmnt   In Process - Collect 0</v>
          </cell>
          <cell r="O51" t="str">
            <v>Sunflower ( 12 Inch ) 5     FF Sachet + Grass</v>
          </cell>
          <cell r="P51" t="str">
            <v>P n W Glad ( 14 Inch ) 22     Grass</v>
          </cell>
          <cell r="Q51" t="str">
            <v>Pur n P Car ( 14 Inch ) 22     FF Sachet + Grass</v>
          </cell>
          <cell r="R51" t="str">
            <v>O Asiatic ( 14 Inch ) 4     Grass</v>
          </cell>
          <cell r="S51" t="str">
            <v>Rajni ( 14 Inch ) 22     Grass</v>
          </cell>
          <cell r="T51" t="str">
            <v xml:space="preserve">Mix Oriental 4 Each Bouquet Rajni 6 each  Single Wrap  </v>
          </cell>
        </row>
        <row r="52">
          <cell r="A52">
            <v>3371</v>
          </cell>
          <cell r="B52" t="str">
            <v>Supriya Bijlwan</v>
          </cell>
          <cell r="C52">
            <v>9560012831</v>
          </cell>
          <cell r="D52" t="str">
            <v>C-201, Mahindra Luminaire</v>
          </cell>
          <cell r="E52" t="str">
            <v>Ghata</v>
          </cell>
          <cell r="F52" t="str">
            <v>Saturday</v>
          </cell>
          <cell r="G52" t="str">
            <v>10 AM to 2:30 PM</v>
          </cell>
          <cell r="H52">
            <v>2300</v>
          </cell>
          <cell r="I52">
            <v>287.5</v>
          </cell>
          <cell r="J52" t="str">
            <v>Felicity</v>
          </cell>
          <cell r="K52" t="str">
            <v>1 Seasonal Extra next (20/05) No Rajni in Summer (12/07)</v>
          </cell>
          <cell r="L52" t="str">
            <v>Rajni in Summer</v>
          </cell>
          <cell r="M52" t="str">
            <v>Premium in next 2 Del (23/05)</v>
          </cell>
          <cell r="N52" t="str">
            <v>1  del of this cycle   -  1-cycles pmnt   Pending - Collect 2300</v>
          </cell>
          <cell r="O52" t="str">
            <v>Pur Eustoma ( 12 Inch ) 3     FF Sachet + Grass</v>
          </cell>
          <cell r="P52" t="str">
            <v>Rajni ( 14 Inch ) 11     Grass</v>
          </cell>
          <cell r="Q52" t="str">
            <v>P Asiatic ( 14 Inch ) 2     Grass</v>
          </cell>
          <cell r="R52" t="str">
            <v>Sunflower ( 12 Incjh ) 3     FF Sachet + Grass</v>
          </cell>
          <cell r="S52" t="str">
            <v>Y Spray Daisy ( 14 Inch ) 2     FF Sachet + Grass</v>
          </cell>
          <cell r="T52" t="str">
            <v xml:space="preserve">Car+Asiatic+Rajni 6+6+3 Tissue Wrap    </v>
          </cell>
        </row>
        <row r="53">
          <cell r="B53" t="str">
            <v>Maneesha Chaturvedi</v>
          </cell>
          <cell r="C53">
            <v>9971153076</v>
          </cell>
          <cell r="D53" t="str">
            <v>C-614, Sushant Lok I, Gurgaon 122009    Sushant Lok 1 Gurgaon  122009</v>
          </cell>
          <cell r="H53">
            <v>1650</v>
          </cell>
          <cell r="J53" t="str">
            <v>Bouquet</v>
          </cell>
          <cell r="K53" t="str">
            <v>Send immediately to Maneesha Chaturvedi 
4 pink oriental lilies 
2 green spray daisies 
2 yellow spray daisies
2 white spray daisies</v>
          </cell>
          <cell r="T53" t="str">
            <v xml:space="preserve">Rajni 7 Single Wrap    </v>
          </cell>
        </row>
        <row r="54">
          <cell r="A54" t="str">
            <v>CP00001</v>
          </cell>
          <cell r="B54" t="str">
            <v>Nidhi Sharma Malhotra -- BPTP -- Centra 1</v>
          </cell>
          <cell r="C54">
            <v>9999016333</v>
          </cell>
          <cell r="D54" t="str">
            <v>BPTP, Sec 61</v>
          </cell>
          <cell r="E54" t="str">
            <v>Ghata</v>
          </cell>
          <cell r="F54" t="str">
            <v>Thursday</v>
          </cell>
          <cell r="G54" t="str">
            <v>By 5 PM</v>
          </cell>
          <cell r="H54">
            <v>0</v>
          </cell>
          <cell r="I54">
            <v>0</v>
          </cell>
          <cell r="J54" t="str">
            <v>Corporate</v>
          </cell>
          <cell r="T54" t="str">
            <v xml:space="preserve">P Asiatic 5 Grass+arica    </v>
          </cell>
        </row>
        <row r="55">
          <cell r="A55">
            <v>2183</v>
          </cell>
          <cell r="B55" t="str">
            <v>Kalpana</v>
          </cell>
          <cell r="C55">
            <v>9910681399</v>
          </cell>
          <cell r="D55" t="str">
            <v>Flat No. 60, HEWO Appartments, Sec 31</v>
          </cell>
          <cell r="E55" t="str">
            <v>South City 1</v>
          </cell>
          <cell r="F55" t="str">
            <v>Tuesday</v>
          </cell>
          <cell r="G55" t="str">
            <v>4 Pm to 7 PM</v>
          </cell>
          <cell r="H55">
            <v>1450</v>
          </cell>
          <cell r="I55">
            <v>362.5</v>
          </cell>
          <cell r="J55" t="str">
            <v>Bliss</v>
          </cell>
          <cell r="K55" t="str">
            <v>Skip 2 weeks (25/12) // Hold n start from Mar (01/02) Skip 1 week (14/04) Today Returned (30/04) Hold till 5th June (18/05) No Yello Color (11/02) 18th Del returned (20/03) Hold n start after 15th June(14/05) Skip 1 week (17/12) Skip 1 week 922/01) Skip 1 week (14/02) Hold after current cycle and then start from June (25/03) Skip 1 week (22/06)</v>
          </cell>
          <cell r="M55" t="str">
            <v>Yellow Color</v>
          </cell>
          <cell r="N55" t="str">
            <v>3  del of this cycle   -  0-cycles pmnt   Completed - Collect 0</v>
          </cell>
          <cell r="O55" t="str">
            <v>P Asiatic ( 14 Inch ) 2 No Yellow Color    Grass</v>
          </cell>
          <cell r="P55" t="str">
            <v>P n W Glad ( 14 Inch ) 9     Grass</v>
          </cell>
          <cell r="Q55" t="e">
            <v>#N/A</v>
          </cell>
          <cell r="R55" t="str">
            <v>Pur n P Eustoma ( 12 Inch ) 3     FF Sachet + Grass</v>
          </cell>
          <cell r="S55" t="str">
            <v>Pur n P Car ( 14 Inch ) 16     FF Sachet + Grass</v>
          </cell>
          <cell r="T55" t="str">
            <v xml:space="preserve">Oriental+ Mix Car  Tissue Wrap    </v>
          </cell>
        </row>
        <row r="56">
          <cell r="B56" t="str">
            <v>Nimisha</v>
          </cell>
          <cell r="C56">
            <v>9829636216</v>
          </cell>
          <cell r="D56" t="str">
            <v>W2B 103 Wellington estate 2
Near One Horizon Center</v>
          </cell>
          <cell r="G56" t="str">
            <v>After 5 Pm</v>
          </cell>
          <cell r="H56">
            <v>700</v>
          </cell>
          <cell r="J56" t="str">
            <v>Bouquet</v>
          </cell>
          <cell r="K56" t="str">
            <v>From Srishti Makhija today 
2 pink oriental lilies in brown wrap 
Amount 700 
Need to send to 
Nimisha
+91 9829636216
W2B 103 Wellington estate 2
Near One Horizon Center
Message 
Hope this puts some sprinkle in your empty cup. Continue to bloom!!</v>
          </cell>
          <cell r="T56" t="str">
            <v xml:space="preserve">Rose 12 Tissue Wrap Message   </v>
          </cell>
        </row>
        <row r="57">
          <cell r="B57" t="str">
            <v xml:space="preserve"> Karan,</v>
          </cell>
          <cell r="C57" t="str">
            <v xml:space="preserve"> 98817 30945</v>
          </cell>
          <cell r="D57" t="str">
            <v xml:space="preserve">E-44, Westend heights,  </v>
          </cell>
          <cell r="G57" t="str">
            <v>Before 3 Pm</v>
          </cell>
          <cell r="H57">
            <v>750</v>
          </cell>
          <cell r="J57" t="str">
            <v>Bouquet</v>
          </cell>
          <cell r="K57" t="str">
            <v>From DanielleGoogle today before 3 
To                                                                                             E-44, Westend heights,  
St Thomas Marg, near Genpact India,
DLF Phase 5, Opposite Paras Hospital , Sector 53, 
Gurugram - 122002, Haryana                                                                        Mob. no. - +91 98817 30945
Message 
Dear Karan,
Happy Birthday!
Hope you have a great day &amp; a greater year ahead too!
Regards,
Roma</v>
          </cell>
          <cell r="T57" t="str">
            <v>O Asiatic ( 14 Inch ) 2     Grass</v>
          </cell>
        </row>
        <row r="58">
          <cell r="B58" t="str">
            <v>Manya Jha</v>
          </cell>
          <cell r="C58">
            <v>9810502834</v>
          </cell>
          <cell r="D58" t="str">
            <v>H-33/1, Ground Floor, DLF Phase 1</v>
          </cell>
          <cell r="G58" t="str">
            <v>Before 3 Pm</v>
          </cell>
          <cell r="H58">
            <v>1400</v>
          </cell>
          <cell r="J58" t="str">
            <v>Bouquet</v>
          </cell>
          <cell r="K58" t="str">
            <v>Change @~S.K~ 
3 pink asiatic 
10 pink ad white mixed carnations 
2 purple eustoma 
Greens 
Areca palm 
Amount 1400</v>
          </cell>
          <cell r="T58" t="str">
            <v xml:space="preserve">Rajni 10 make a bunch    </v>
          </cell>
        </row>
        <row r="59">
          <cell r="A59" t="str">
            <v>B56358</v>
          </cell>
          <cell r="B59" t="str">
            <v>Scottish School</v>
          </cell>
          <cell r="D59" t="str">
            <v>Scottish School</v>
          </cell>
          <cell r="E59" t="str">
            <v>Sector 56</v>
          </cell>
          <cell r="F59" t="str">
            <v>Tuesday</v>
          </cell>
          <cell r="G59" t="str">
            <v>By 9 AM</v>
          </cell>
          <cell r="H59">
            <v>1500</v>
          </cell>
          <cell r="I59">
            <v>1500</v>
          </cell>
          <cell r="J59" t="str">
            <v>Corporate Bouquet</v>
          </cell>
          <cell r="N59" t="str">
            <v>1  del of this cycle   -  0-cycles pmnt   In Process - Collect 0</v>
          </cell>
          <cell r="O59" t="e">
            <v>#N/A</v>
          </cell>
          <cell r="P59" t="e">
            <v>#N/A</v>
          </cell>
          <cell r="Q59" t="e">
            <v>#N/A</v>
          </cell>
          <cell r="R59" t="e">
            <v>#N/A</v>
          </cell>
          <cell r="S59" t="e">
            <v>#N/A</v>
          </cell>
          <cell r="T59" t="str">
            <v xml:space="preserve">basket of 6ft to      </v>
          </cell>
        </row>
        <row r="60">
          <cell r="B60">
            <v>9811998878</v>
          </cell>
          <cell r="C60">
            <v>9811998878</v>
          </cell>
          <cell r="D60" t="str">
            <v>1201 t a Palm drive sector 66</v>
          </cell>
          <cell r="I60">
            <v>3400</v>
          </cell>
          <cell r="J60" t="str">
            <v>Bouquet</v>
          </cell>
          <cell r="K60" t="str">
            <v>1201 t a Palm drive sector 66
9811998878
Please send today 
05:00 pm
Paytm done 3400
Spray+ blue spry dyasi 45p.
Car p+w 30p.
Walking tissue wrap</v>
          </cell>
          <cell r="T60" t="str">
            <v>P Asiatic 4     Grass</v>
          </cell>
        </row>
      </sheetData>
      <sheetData sheetId="14"/>
      <sheetData sheetId="15"/>
      <sheetData sheetId="16"/>
      <sheetData sheetId="17"/>
      <sheetData sheetId="18"/>
      <sheetData sheetId="19"/>
      <sheetData sheetId="20">
        <row r="2">
          <cell r="A2" t="str">
            <v>B56509</v>
          </cell>
          <cell r="B2" t="str">
            <v>Rashmi Mehta</v>
          </cell>
          <cell r="C2" t="str">
            <v>96192 02856</v>
          </cell>
          <cell r="D2" t="str">
            <v>Flat 1802 Tower 14 The Close South Nirvana country</v>
          </cell>
          <cell r="E2" t="str">
            <v>Nirvana Country</v>
          </cell>
          <cell r="F2" t="str">
            <v>Tuesday</v>
          </cell>
          <cell r="G2" t="str">
            <v>By 10 AM</v>
          </cell>
          <cell r="H2">
            <v>1945</v>
          </cell>
          <cell r="I2">
            <v>2245</v>
          </cell>
          <cell r="J2" t="str">
            <v>Bouquet</v>
          </cell>
          <cell r="K2" t="str">
            <v>4 P Oriental + 1 B Orchid + 6 Pink Glad + 12 P n W Car + Gypso a= Greens</v>
          </cell>
          <cell r="N2" t="str">
            <v>1  del of this cycle   -  1-cycles pmnt   Pending - Collect 2245</v>
          </cell>
          <cell r="O2" t="e">
            <v>#N/A</v>
          </cell>
          <cell r="P2" t="e">
            <v>#N/A</v>
          </cell>
          <cell r="Q2" t="e">
            <v>#N/A</v>
          </cell>
          <cell r="R2" t="e">
            <v>#N/A</v>
          </cell>
          <cell r="S2" t="e">
            <v>#N/A</v>
          </cell>
          <cell r="T2" t="str">
            <v xml:space="preserve">P Rose 20     </v>
          </cell>
        </row>
        <row r="3">
          <cell r="A3">
            <v>3138</v>
          </cell>
          <cell r="B3" t="str">
            <v>Alpna Verma</v>
          </cell>
          <cell r="C3">
            <v>9811996368</v>
          </cell>
          <cell r="D3" t="str">
            <v>B-70, Sushant Lok Phase 1, Next to Vipul Square, Enter gaye no. 4</v>
          </cell>
          <cell r="E3" t="str">
            <v>M G Road</v>
          </cell>
          <cell r="F3" t="str">
            <v>Tuesday</v>
          </cell>
          <cell r="G3" t="str">
            <v>9 AM - 12 PM</v>
          </cell>
          <cell r="H3">
            <v>2300</v>
          </cell>
          <cell r="I3">
            <v>287.5</v>
          </cell>
          <cell r="J3" t="str">
            <v>Felicity</v>
          </cell>
          <cell r="K3" t="str">
            <v>Day Changed ro Tuesday and Saturday (22/03)Single Color Flowers (01/12)</v>
          </cell>
          <cell r="M3" t="str">
            <v>Single Color Flowers</v>
          </cell>
          <cell r="N3" t="str">
            <v>1  del of this cycle   -  1-cycles pmnt   Pending - Collect 2300</v>
          </cell>
          <cell r="O3" t="e">
            <v>#N/A</v>
          </cell>
          <cell r="P3" t="str">
            <v>P Spray Daisy ( 14 Inch ) 3     FF Sachet + Grass</v>
          </cell>
          <cell r="Q3" t="str">
            <v>Rajni ( 14 Inch ) 11     Grass</v>
          </cell>
          <cell r="R3" t="str">
            <v>W Eustoam ( 12 Inch ) 2     FF Sachet + Grass</v>
          </cell>
          <cell r="S3" t="str">
            <v>O Asiatic ( 14 Inch ) 2     Grass</v>
          </cell>
          <cell r="T3" t="str">
            <v>P n W Car ( 14 Inch ) 20     FF Sachet + Grass</v>
          </cell>
        </row>
        <row r="4">
          <cell r="A4">
            <v>2933</v>
          </cell>
          <cell r="B4" t="str">
            <v>Yukti Batra</v>
          </cell>
          <cell r="C4">
            <v>9953740608</v>
          </cell>
          <cell r="D4" t="str">
            <v>H. No. 2015, 2nd Floor, Madalsa Hospital, Sec 46</v>
          </cell>
          <cell r="E4" t="str">
            <v>Huda</v>
          </cell>
          <cell r="F4" t="str">
            <v>Tuesday</v>
          </cell>
          <cell r="G4" t="str">
            <v>9 AM to 2 PM</v>
          </cell>
          <cell r="H4">
            <v>1450</v>
          </cell>
          <cell r="I4">
            <v>362.5</v>
          </cell>
          <cell r="J4" t="str">
            <v>Bliss</v>
          </cell>
          <cell r="K4" t="str">
            <v>Returned today (30/08) Change day to Tuesday (05/09) Skip 1 week (20/10) Skip 2 week (05/04) R n W Car tom (08/05) Hold today (26/05) Skip 1 week (02/06) Skip 1 week (15/06) Returned today (07/07)</v>
          </cell>
          <cell r="N4" t="str">
            <v>4  del of this cycle   -  0-cycles pmnt   Completed - Collect 0</v>
          </cell>
          <cell r="O4" t="e">
            <v>#N/A</v>
          </cell>
          <cell r="P4" t="str">
            <v>Rajni ( 14 Inch ) 16     FF Sachet + Grass</v>
          </cell>
          <cell r="Q4" t="str">
            <v>Pur n P Eustoma ( 12 Inch ) 3     FF Sachet + Grass</v>
          </cell>
          <cell r="R4" t="str">
            <v>B Daisy ( 12 Inch ) 16     Grass</v>
          </cell>
          <cell r="S4" t="str">
            <v>G n W Car ( 14 Inch ) 16     FF Sachet + Grass</v>
          </cell>
          <cell r="T4" t="str">
            <v>Y Asiatic ( 14 Inch ) 4     Grass</v>
          </cell>
        </row>
        <row r="5">
          <cell r="A5">
            <v>1953</v>
          </cell>
          <cell r="B5" t="str">
            <v>Sandhya Nagesh</v>
          </cell>
          <cell r="C5">
            <v>8800649797</v>
          </cell>
          <cell r="D5" t="str">
            <v>89, Ground Floor, Woodstock Floors, Sec 50</v>
          </cell>
          <cell r="E5" t="str">
            <v>Nirvana Country</v>
          </cell>
          <cell r="F5" t="str">
            <v>Saturday</v>
          </cell>
          <cell r="G5" t="str">
            <v>9 AM - 12 PM</v>
          </cell>
          <cell r="H5">
            <v>3000</v>
          </cell>
          <cell r="I5">
            <v>375</v>
          </cell>
          <cell r="J5" t="str">
            <v>Charm</v>
          </cell>
          <cell r="K5" t="str">
            <v>Saturday n Tueaday(02/09) No Del From 10th to 19th (09/09) Today returned(19/08) hold today send tom (07/10) Skip 20th Del (14/01) Hold 6th n 10th Sug (03/08) Return tiday (07/02) Today Returned (24/02)</v>
          </cell>
          <cell r="N5" t="str">
            <v>3  del of this cycle   -  0-cycles pmnt   Completed - Collect 0</v>
          </cell>
          <cell r="O5" t="str">
            <v>Rajni ( 14 Inch ) 15     Grass</v>
          </cell>
          <cell r="P5" t="str">
            <v>O Asiatic ( 14 Inch ) 3     Grass</v>
          </cell>
          <cell r="Q5" t="str">
            <v>P n W Glad ( 14 inch ) 15     Grass</v>
          </cell>
          <cell r="R5" t="str">
            <v>Pur n P Car ( 14 Inch ) 15     FF Sachet + Grass</v>
          </cell>
          <cell r="S5" t="str">
            <v>P n Y Spray Daisy ( 14 Inch ) 4     FF Sachet + Grass</v>
          </cell>
          <cell r="T5" t="str">
            <v>B Daisy ( 12 Inch ) 16     Grass</v>
          </cell>
        </row>
        <row r="6">
          <cell r="A6">
            <v>2706</v>
          </cell>
          <cell r="B6" t="str">
            <v>Monika Arora</v>
          </cell>
          <cell r="C6">
            <v>9990121666</v>
          </cell>
          <cell r="D6" t="str">
            <v>Tostem Studio, Plot No. 564, Basement, Sec 39, Near Bakhtawar Chwok</v>
          </cell>
          <cell r="E6" t="str">
            <v>Medanta</v>
          </cell>
          <cell r="F6" t="str">
            <v>Saturday</v>
          </cell>
          <cell r="G6" t="str">
            <v>9 AM - 12 PM</v>
          </cell>
          <cell r="H6">
            <v>1600</v>
          </cell>
          <cell r="I6">
            <v>200</v>
          </cell>
          <cell r="J6" t="str">
            <v>Bloom</v>
          </cell>
          <cell r="K6" t="str">
            <v>Ref From Anupma Rastogi // Today Returned (09/08) Hold today (16/08) Today office was closed (21/10)</v>
          </cell>
          <cell r="N6" t="str">
            <v>3  del of this cycle   -  0-cycles pmnt   Completed - Collect 0</v>
          </cell>
          <cell r="O6" t="str">
            <v>P n W Glad ( 14 Inch ) 7     Grass</v>
          </cell>
          <cell r="P6" t="str">
            <v>Rajni ( 14 Inch ) 7     Grass</v>
          </cell>
          <cell r="Q6" t="str">
            <v>P n W Glad ( 14 inch ) 7     Grass</v>
          </cell>
          <cell r="R6" t="str">
            <v>B Daisy ( 12 Inch ) 7     Grass</v>
          </cell>
          <cell r="S6" t="str">
            <v>G n W Car ( 14 Inch ) 7     FF Sachet + Grass</v>
          </cell>
          <cell r="T6" t="str">
            <v>Pur n P Car ( 14 Inch ) 16     FF Sachet + Grass</v>
          </cell>
        </row>
        <row r="7">
          <cell r="A7">
            <v>2247</v>
          </cell>
          <cell r="B7" t="str">
            <v>Reeya Naahar</v>
          </cell>
          <cell r="C7">
            <v>9818862169</v>
          </cell>
          <cell r="D7" t="str">
            <v>B-316-B, Sushant Lok-1</v>
          </cell>
          <cell r="E7" t="str">
            <v>M G Road</v>
          </cell>
          <cell r="F7" t="str">
            <v>Saturday</v>
          </cell>
          <cell r="G7" t="str">
            <v>9:30 AM to 2PM</v>
          </cell>
          <cell r="H7">
            <v>2300</v>
          </cell>
          <cell r="I7">
            <v>287.5</v>
          </cell>
          <cell r="J7" t="str">
            <v>Felicity</v>
          </cell>
          <cell r="K7" t="str">
            <v>Saturday n Tuesday// No Yel Spray Daisy // Do not count last del (06/07) No Gerbera (12/04)</v>
          </cell>
          <cell r="L7" t="str">
            <v>GERBERA</v>
          </cell>
          <cell r="N7" t="str">
            <v>1  del of this cycle   -  0-cycles pmnt   In Process - Collect 0</v>
          </cell>
          <cell r="O7" t="str">
            <v>P n W Glad ( 14 Inch ) 11     Grass</v>
          </cell>
          <cell r="P7" t="str">
            <v>Rajni ( 14 Inch ) 11     Grass</v>
          </cell>
          <cell r="Q7" t="str">
            <v>P n W Glad ( 14 inch ) 11     Grass</v>
          </cell>
          <cell r="R7" t="str">
            <v>Pur n P Car ( 14 Inch ) 11     FF Sachet + Grass</v>
          </cell>
          <cell r="S7" t="str">
            <v>Mix Alstroemeria ( 12 Inch ) 11     FF Sachet + Grass</v>
          </cell>
          <cell r="T7" t="str">
            <v>B Daisy ( 12 Inch ) 7     Grass</v>
          </cell>
        </row>
        <row r="8">
          <cell r="A8">
            <v>3014</v>
          </cell>
          <cell r="B8" t="str">
            <v>Monika Arora</v>
          </cell>
          <cell r="C8">
            <v>9990121666</v>
          </cell>
          <cell r="D8" t="str">
            <v>Tostem Studio, Plot No. 564, Basement, Sec 39, Near Bakhtawar Chwok</v>
          </cell>
          <cell r="E8" t="str">
            <v>Medanta</v>
          </cell>
          <cell r="F8" t="str">
            <v>Saturday</v>
          </cell>
          <cell r="G8" t="str">
            <v>9 AM - 12 PM</v>
          </cell>
          <cell r="H8">
            <v>1600</v>
          </cell>
          <cell r="I8">
            <v>200</v>
          </cell>
          <cell r="J8" t="str">
            <v>Bloom</v>
          </cell>
          <cell r="K8" t="str">
            <v>Change in Address (31/12)</v>
          </cell>
          <cell r="N8" t="str">
            <v>3  del of this cycle   -  0-cycles pmnt   Completed - Collect 0</v>
          </cell>
          <cell r="O8" t="str">
            <v>Sunflower ( 12 Inch ) 2     FF Sachet + Grass</v>
          </cell>
          <cell r="P8" t="str">
            <v>P n W Car ( 14 Inch ) 7     FF Sachet + Grass</v>
          </cell>
          <cell r="Q8" t="str">
            <v>Sunflower ( 12 Incjh ) 2     FF Sachet + Grass</v>
          </cell>
          <cell r="R8" t="str">
            <v>Pur Eustoma ( 12 inch ) 2     FF Sachet + Grass</v>
          </cell>
          <cell r="S8" t="str">
            <v>Y Spray Daisy (14 Inch ) 2     FF Sachet + Grass</v>
          </cell>
          <cell r="T8" t="str">
            <v>W Asiatic ( 14 Inch ) 3     1 Gypsola</v>
          </cell>
        </row>
        <row r="9">
          <cell r="A9">
            <v>2250</v>
          </cell>
          <cell r="B9" t="str">
            <v>Saloni Gupta</v>
          </cell>
          <cell r="C9">
            <v>9810796682</v>
          </cell>
          <cell r="D9" t="str">
            <v>338, 3rd Floor, Espace</v>
          </cell>
          <cell r="E9" t="str">
            <v>Nirvana Country</v>
          </cell>
          <cell r="F9" t="str">
            <v>Sunday</v>
          </cell>
          <cell r="G9" t="str">
            <v>9 AM - 12 PM</v>
          </cell>
          <cell r="H9">
            <v>3088</v>
          </cell>
          <cell r="I9">
            <v>386</v>
          </cell>
          <cell r="J9" t="str">
            <v>Cutsomized-Biweekly</v>
          </cell>
          <cell r="K9" t="str">
            <v>Sunday n Thursday//Pls Keep Flowers in Vase// Paytm from Mayank G (17/03) Sent replacememnt today (23/03) Skip 1 week (10/04) 2 Asiatic and 5 Rajni (27/07) Paytm friom Mayank Gupta (16/09) 2 Asiatic Lily in each delivery (16/10) Today returned (17/11) Skip this sunday (03/01) Thursday -- 10 Rose and 4 Rajni // Sunday - 2 Asiatic (19/01) Whenever possible-send red Roses (23/01) Skip tom (29/01) Today returned (22/05) Send replacement tom (27/07) Hold today (14/08) Do not count last delivery (04/09) Hold today (02/10) Hold today (12/10) Hold after this cycle (27/10) Do not count last del (31/10) 2 Asiatic + 4 Rajni + 4 Glad -- thrice in a week (30/12) 2 Asiatic and 4 Rajni bi weekly pack (08/03) 2 Asiatic and 8 Rajni Every time and send 8 Rajni tom (26/03) Today returned-send tom (19/04) Skip sunday (04/07) Do not count todays del (19/07)</v>
          </cell>
          <cell r="N9" t="str">
            <v>4  del of this cycle   -  0-cycles pmnt   Completed - Collect 0</v>
          </cell>
          <cell r="O9" t="e">
            <v>#N/A</v>
          </cell>
          <cell r="P9" t="e">
            <v>#N/A</v>
          </cell>
          <cell r="Q9" t="e">
            <v>#N/A</v>
          </cell>
          <cell r="R9" t="e">
            <v>#N/A</v>
          </cell>
          <cell r="S9" t="e">
            <v>#N/A</v>
          </cell>
          <cell r="T9" t="str">
            <v>Pur n P Car ( 14 Inch ) 15     FF Sachet + Grass</v>
          </cell>
        </row>
        <row r="10">
          <cell r="A10" t="str">
            <v>B56506</v>
          </cell>
          <cell r="B10" t="str">
            <v>Aditya -- Hexa Climate</v>
          </cell>
          <cell r="C10">
            <v>8351968881</v>
          </cell>
          <cell r="D10" t="str">
            <v>Hexa Climate Solutions , 8th Floor, Vatika Buisness Park</v>
          </cell>
          <cell r="E10" t="str">
            <v>Sohna Road 1</v>
          </cell>
          <cell r="F10" t="str">
            <v>Monday</v>
          </cell>
          <cell r="G10" t="str">
            <v>By 9 AM</v>
          </cell>
          <cell r="H10">
            <v>2000</v>
          </cell>
          <cell r="I10">
            <v>2000</v>
          </cell>
          <cell r="J10" t="str">
            <v>Bouquet</v>
          </cell>
          <cell r="N10" t="str">
            <v>1  del of this cycle   -  0-cycles pmnt   In Process - Collect 0</v>
          </cell>
          <cell r="O10" t="e">
            <v>#N/A</v>
          </cell>
          <cell r="P10" t="e">
            <v>#N/A</v>
          </cell>
          <cell r="Q10" t="e">
            <v>#N/A</v>
          </cell>
          <cell r="R10" t="e">
            <v>#N/A</v>
          </cell>
          <cell r="S10" t="e">
            <v>#N/A</v>
          </cell>
          <cell r="T10" t="str">
            <v>Pur Eustoma ( 12 inch ) 2     FF Sachet + Grass</v>
          </cell>
        </row>
        <row r="11">
          <cell r="A11">
            <v>1377</v>
          </cell>
          <cell r="B11" t="str">
            <v>Geetanjali Babbar</v>
          </cell>
          <cell r="C11">
            <v>9958988852</v>
          </cell>
          <cell r="D11" t="str">
            <v>N-206, Sispal Vihar</v>
          </cell>
          <cell r="E11" t="str">
            <v>Sohna Road 1</v>
          </cell>
          <cell r="F11" t="str">
            <v>Friday</v>
          </cell>
          <cell r="G11" t="str">
            <v>9:30 Am to 2 PM</v>
          </cell>
          <cell r="H11">
            <v>2300</v>
          </cell>
          <cell r="I11">
            <v>287.5</v>
          </cell>
          <cell r="J11" t="str">
            <v>Felicity</v>
          </cell>
          <cell r="K11" t="str">
            <v>Tuesday and FRiday//Monday and Thursday//Send on Monday This week and send rajni too(03/04) Returned-send tom(11/04) Day Changed to Monday(11/04) Sent replacement of Gerbera today(20/04) She likes BOP+Rajni+Car Comb (20/04) Thursday and Monday Morning Slot(13/06) NO BOP(03/08) Hold today ansend after a week(20/11)  Holy Change(16/03) Skip 1 del(16/03) Skip 1 del AND ALWAYS SEND 10 STICKS(02/05) Skip 3rd Feb Del (28/01) Skip tom Delivery (06/04) Dont start from 16th June--start from 19th June (14/06) Skip Friday (13/09) Skip between 24th to 2nd Nov (24/10) Hold n start from Feb (13/01) Skip tom del (14/03) Do Not count last del (21/06) Skip comig Delivery(24/06) Sent a rewplacement today (23/10) Hold geetanjali babbar today (03/01) Skip 1 week (04/01) Skip 18th n 21st Mar (03/03) Skip Friday (09/04) Skip friday (26/06) Paytm From Merajul Alam (23/09) No Del From 09th to 13th (04/12) Skip 10th and 13th Feb (31/01) Skip 1 week (23/03) Replacement tom (21/04) HDTNP (29/05) Hold till 1st weel of July (20/06) paytm from sunil babbar (03/07)</v>
          </cell>
          <cell r="M11" t="str">
            <v>Skip 18th n 21st Mar 25</v>
          </cell>
          <cell r="N11" t="str">
            <v>4  del of this cycle   -  0-cycles pmnt   Completed - Collect 0</v>
          </cell>
          <cell r="O11" t="str">
            <v>Y Spray Daisy ( 14 Inch ) 3     FF Sachet + Grass</v>
          </cell>
          <cell r="P11" t="e">
            <v>#N/A</v>
          </cell>
          <cell r="Q11" t="e">
            <v>#N/A</v>
          </cell>
          <cell r="R11" t="str">
            <v>Rajni ( 14 Inch ) 11     Grass</v>
          </cell>
          <cell r="S11" t="str">
            <v>Mix Alstroemeria ( 12 Inch ) 11     FF Sachet + Grass</v>
          </cell>
          <cell r="T11" t="str">
            <v>Pur Eustoma ( 12 inch ) 2 Mix Alstroemeria ( 12 Inch ) 11   FF Sachet + Grass</v>
          </cell>
        </row>
        <row r="12">
          <cell r="A12">
            <v>2087</v>
          </cell>
          <cell r="B12" t="str">
            <v>Lucky Pandey</v>
          </cell>
          <cell r="C12" t="str">
            <v>9961712428//9971712428</v>
          </cell>
          <cell r="D12" t="str">
            <v>B3/502, Uniworld City ( West)</v>
          </cell>
          <cell r="E12" t="str">
            <v>South City 1</v>
          </cell>
          <cell r="F12" t="str">
            <v>Tuesday</v>
          </cell>
          <cell r="G12" t="str">
            <v>9 AM to 2 PM</v>
          </cell>
          <cell r="H12">
            <v>1450</v>
          </cell>
          <cell r="I12">
            <v>362.5</v>
          </cell>
          <cell r="J12" t="str">
            <v>Bliss</v>
          </cell>
          <cell r="K12" t="str">
            <v>Skip this Sunday and send on Tuesday (07/07) Skip 1 week (21/10) Today Returned (10/12) Today returned (17/03) Today Returned (19/003) Return-send tom (26/05) Hold (23/06) Today Returned (21/07) Gpay from Abhijeet K Choudhary (01/10) Hold today (03/12) No Sunflower (21/01) Returned today (17/06) Send 1 del todya (07/07) Today Returned 0send on saturday this week (23/06)</v>
          </cell>
          <cell r="L12" t="str">
            <v>Sunflower</v>
          </cell>
          <cell r="N12" t="str">
            <v>4  del of this cycle   -  0-cycles pmnt   Completed - Collect 0</v>
          </cell>
          <cell r="O12" t="str">
            <v>P n W Glad ( 14 Inch ) 16     Grass</v>
          </cell>
          <cell r="P12" t="str">
            <v>Pur Eustoma ( 12 Inch ) 3     FF Sachet + Grass</v>
          </cell>
          <cell r="Q12" t="str">
            <v>Rajni ( 14 Inch ) 16     Grass</v>
          </cell>
          <cell r="R12" t="str">
            <v>P Asiatic ( 14 Inch ) 3     Grass</v>
          </cell>
          <cell r="S12" t="str">
            <v>G n W Car ( 14 Inch ) 16     Grass</v>
          </cell>
          <cell r="T12" t="str">
            <v>P Asiatic ( 14 Inch ) 2 B Daisy ( 12 Inch  7   Grass</v>
          </cell>
        </row>
        <row r="13">
          <cell r="A13">
            <v>3001</v>
          </cell>
          <cell r="B13" t="str">
            <v>Akanksha Sethi</v>
          </cell>
          <cell r="C13">
            <v>9871553737</v>
          </cell>
          <cell r="D13" t="str">
            <v>B3/002, Uniworld City West</v>
          </cell>
          <cell r="E13" t="str">
            <v>South City 1</v>
          </cell>
          <cell r="F13" t="str">
            <v>Tuesday</v>
          </cell>
          <cell r="G13" t="str">
            <v>9 AM - 12 PM</v>
          </cell>
          <cell r="H13">
            <v>1950</v>
          </cell>
          <cell r="I13">
            <v>487.5</v>
          </cell>
          <cell r="J13" t="str">
            <v>Joy</v>
          </cell>
          <cell r="K13" t="str">
            <v>One kInd of Flower n No Lily (22/09) Change day to Friday in morning slot (07/10) Hold due to non payment (26/12) Hold due to non payment (02/01) Hold due to non payment (09/01) Hold due to non payment (17/01)</v>
          </cell>
          <cell r="L13" t="str">
            <v>Lily</v>
          </cell>
          <cell r="M13" t="str">
            <v>One Kind of Flower</v>
          </cell>
          <cell r="N13" t="str">
            <v>1  del of this cycle   -  0-cycles pmnt   Completed - Collect 0</v>
          </cell>
          <cell r="O13" t="e">
            <v>#N/A</v>
          </cell>
          <cell r="P13" t="e">
            <v>#N/A</v>
          </cell>
          <cell r="Q13" t="e">
            <v>#N/A</v>
          </cell>
          <cell r="R13" t="e">
            <v>#N/A</v>
          </cell>
          <cell r="S13" t="e">
            <v>#N/A</v>
          </cell>
          <cell r="T13" t="str">
            <v>Mix Alstroemeria ( 12 Inch ) 11     FF Sachet + Grass</v>
          </cell>
        </row>
        <row r="14">
          <cell r="A14">
            <v>2692</v>
          </cell>
          <cell r="B14" t="str">
            <v>A K Jain</v>
          </cell>
          <cell r="C14">
            <v>9910309930</v>
          </cell>
          <cell r="D14" t="str">
            <v>B-785, Sushant Lok-1, Near Police Chowki</v>
          </cell>
          <cell r="E14" t="str">
            <v>M G Road</v>
          </cell>
          <cell r="F14" t="str">
            <v>Saturday</v>
          </cell>
          <cell r="G14" t="str">
            <v>9 AM - 12 PM</v>
          </cell>
          <cell r="H14">
            <v>2300</v>
          </cell>
          <cell r="I14">
            <v>287.5</v>
          </cell>
          <cell r="J14" t="str">
            <v>Felicity</v>
          </cell>
          <cell r="K14" t="str">
            <v>Saturdya n Tuesday (16/05) Hold from 10th to 14th June (07/06) Paytm From Akhil Jain (21/06) Skip sat del and send them on Sunday (30/07) Do not count last delivery (22/09) Hold 25th and 28th (19/10) Today Returned (04/11) Skip sat delivery (18/03) Do not count last Del (15/06)</v>
          </cell>
          <cell r="N14" t="str">
            <v>2  del of this cycle   -  0-cycles pmnt   Completed - Collect 0</v>
          </cell>
          <cell r="O14" t="str">
            <v>O n P Car ( 14 Inch ) 11     FF Sachet + Grass</v>
          </cell>
          <cell r="P14" t="str">
            <v>Rajni ( 14 Inch ) 11     Grass</v>
          </cell>
          <cell r="Q14" t="str">
            <v>P n W Glad ( 14 inch ) 11     Grass</v>
          </cell>
          <cell r="R14" t="str">
            <v>Pur n P Car ( 14 Inch ) 11     FF Sachet + Grass</v>
          </cell>
          <cell r="S14" t="str">
            <v>P Spray Daisy ( 14 Inch ) 3     FF Sachet + Grass</v>
          </cell>
          <cell r="T14" t="str">
            <v>Sunflower ( 12 Inch ) 4     FF Sachet + Grass</v>
          </cell>
        </row>
        <row r="15">
          <cell r="A15">
            <v>975</v>
          </cell>
          <cell r="B15" t="str">
            <v>Ritu Sacheti</v>
          </cell>
          <cell r="C15">
            <v>9910007371</v>
          </cell>
          <cell r="D15" t="str">
            <v>B1/1401, World Spa, Sector 30</v>
          </cell>
          <cell r="E15" t="str">
            <v>South City 1</v>
          </cell>
          <cell r="F15" t="str">
            <v>Saturday</v>
          </cell>
          <cell r="G15" t="str">
            <v>9 AM - 12 PM</v>
          </cell>
          <cell r="H15">
            <v>3750</v>
          </cell>
          <cell r="I15">
            <v>468.75</v>
          </cell>
          <cell r="J15" t="str">
            <v>Grace</v>
          </cell>
          <cell r="K15" t="str">
            <v>Sat n Tuesday//NO Chrysanthemums(30/12) Received 50Rs. Today(13/01) Today returned-send tom(27/01) Pls send double del on next del and upgrade to 1250 pack once this cycle completes(25/05/2020) Sending 1st June Flowers on 30th may(30/05/2020) Upgrade to 1750 pack and always send 4 Asiatic and 15 normal flowers(08/07) Send replacement of glad tom(19/08/20) Hold n start from Feb(17/01) Skiped 1 week due to HOLI(29/03) NO RAJNI IN SUMMER(16/07) Send 4 Stick asiatic complimentary Tom(20/09) Send 2 Open Asiatic and replace Carnations AND NEVER CAR(04/10) Rs. 250 received against extra flowers(05/10) NO SAME COLOR FLOWERS(04/03) Return today (06/12) NO GERBERA (10/01) Return-send tom (04/04) Sent replacement of Guldawari today (09/04) Today Returned (20/06) No Flowers From 10th to 19 Th nov (02/11) No Flowers betqeen 22nd and 1st Jan (22/12) Returned today (10/02) Skip today (13/02) Skip this tuesday (11/03) No Flowers from 29th to 3rd Nov (25/10) Return today (23/11) No Gerbera (30/11) Today Returned (24/05) Sent 1 delivery today (25/05)</v>
          </cell>
          <cell r="L15" t="str">
            <v>GERBERA n SUNFLOWER</v>
          </cell>
          <cell r="N15" t="str">
            <v>3  del of this cycle   -  0-cycles pmnt   Completed - Collect 0</v>
          </cell>
          <cell r="O15" t="str">
            <v>P Spray Daisy ( 14 Inch ) 3 O n P Car ( 14 Inch ) 10   FF Sachet + Grass</v>
          </cell>
          <cell r="P15" t="str">
            <v>P Eustoma ( 12 Inch ) 3 Rajni ( 14 Inch ) 10   FF Sachet + Grass</v>
          </cell>
          <cell r="Q15" t="str">
            <v>O Asiatic ( 14 Inch ) 2 P n W Car ( 14 Inch ) 10   Grass</v>
          </cell>
          <cell r="R15" t="str">
            <v>Pur Eustoma ( 12 inch ) 2 Mix Alstroemeria ( 12 Inch ) 10   FF Sachet + Grass</v>
          </cell>
          <cell r="S15" t="str">
            <v>O Asiatic ( 14 Inch ) 2 G n W Car ( 14 Inch ) 12   Grass</v>
          </cell>
          <cell r="T15" t="str">
            <v>Sunflower ( 12 Inch ) 2 B Daisy ( 12 Inch  7   FF Sachet + Grass</v>
          </cell>
        </row>
        <row r="16">
          <cell r="A16">
            <v>2593</v>
          </cell>
          <cell r="B16" t="str">
            <v>Devesh Srivastava</v>
          </cell>
          <cell r="C16">
            <v>7400118910</v>
          </cell>
          <cell r="D16" t="str">
            <v xml:space="preserve">T-7/1003&lt; The Palms
</v>
          </cell>
          <cell r="E16" t="str">
            <v>South City 1</v>
          </cell>
          <cell r="F16" t="str">
            <v>Tuesday</v>
          </cell>
          <cell r="G16" t="str">
            <v>9 AM to 2 PM</v>
          </cell>
          <cell r="H16">
            <v>1450</v>
          </cell>
          <cell r="I16">
            <v>362.5</v>
          </cell>
          <cell r="J16" t="str">
            <v>Bliss</v>
          </cell>
          <cell r="K16" t="str">
            <v>Saturday n Tuesday//One Del today and then every satrday 920/04) Sent one Del Today (09/05)</v>
          </cell>
          <cell r="N16" t="str">
            <v>4  del of this cycle   -  0-cycles pmnt   Completed - Collect 0</v>
          </cell>
          <cell r="O16" t="str">
            <v>P n W Glad ( 14 Inch ) 16     Grass</v>
          </cell>
          <cell r="P16" t="str">
            <v>Pur Eustoma ( 12 Inch ) 3     FF Sachet + Grass</v>
          </cell>
          <cell r="Q16" t="str">
            <v>P n W Car ( 14 Inch ) 16     FF Sachet + Grass</v>
          </cell>
          <cell r="R16" t="str">
            <v>Mix Alstroemeria ( 12 Inch ) 16     FF Sachet + Grass</v>
          </cell>
          <cell r="S16" t="str">
            <v>P Asiatic ( 14 Inch ) 3     Grass</v>
          </cell>
          <cell r="T16" t="str">
            <v>Rajni ( 14 Inch ) 11     Grass</v>
          </cell>
        </row>
        <row r="17">
          <cell r="A17">
            <v>1063</v>
          </cell>
          <cell r="B17" t="str">
            <v>Sarika Bhattacharya</v>
          </cell>
          <cell r="C17">
            <v>9899457726</v>
          </cell>
          <cell r="D17" t="str">
            <v>T2/1404, The Palms</v>
          </cell>
          <cell r="E17" t="str">
            <v>South City 1</v>
          </cell>
          <cell r="F17" t="str">
            <v>Saturday</v>
          </cell>
          <cell r="G17" t="str">
            <v>9 AM to 2 PM</v>
          </cell>
          <cell r="H17">
            <v>1600</v>
          </cell>
          <cell r="I17">
            <v>200</v>
          </cell>
          <cell r="J17" t="str">
            <v>Bloom</v>
          </cell>
          <cell r="K17" t="str">
            <v>Sat n Tuesday//Day changed to Sat(07/08/20)  Send 1 Pack of mogra always(02/09/20) 500 added agsint bouquet sent to Nikita(09/09/20) 1 PACK OF MOGRA EVERY WEEK(11/09/20) Lilies this week and day changed to Saturday(08/10/20) Sent 5 Eustoma as Complimentary today(24/10) Send Double Del(08/11) 1 Stick Extra Next(13/11) Spray Daisy Next(30/11) Hold n start after 11th Jan(13/12) Spray daisy Next(30/01) Skip 2 weeks9(13/03) Shift 1 More week(01/04) Skip 1 week(02/07)  Skip 1 week(13/10) Skip 1 more week(18/10) Skip 1 week(05/11) Y Asiatic Next(04/02) Skip necxt week(19/02) Send next del on thursday evening slot(15/03) Hold till 7th Oct(17/09) Received 2 Payments today (29/12) NO Change to Bliss (31/12) Skip this sat delivery (22/05) Hold n start from July n confirm before delivery (25/05) Returned today and skip sat too (03/09) From Saibal Prasad Bhattacharya (08/10) Hold n start from 1st week of June (16/05) No Flowers till 5th Oct(15/09) Hold till 1st Nov from today (07/10) Send one del today and tnen on preferred days (02/11) Today Returnde (25/04) Hold n start from June (01/05) Hold till June also (28/05)</v>
          </cell>
          <cell r="N17" t="str">
            <v>3  del of this cycle   -  0-cycles pmnt   Completed - Collect 0</v>
          </cell>
          <cell r="O17" t="e">
            <v>#N/A</v>
          </cell>
          <cell r="P17" t="e">
            <v>#N/A</v>
          </cell>
          <cell r="Q17" t="e">
            <v>#N/A</v>
          </cell>
          <cell r="R17" t="str">
            <v>B Daisy ( 12 Inch ) 7     Grass</v>
          </cell>
          <cell r="S17" t="str">
            <v>Y Spray Daisy (14 Inch ) 2     FF Sachet + Grass</v>
          </cell>
          <cell r="T17" t="str">
            <v>Pur Eustoma ( 12 inch ) 2 Mix Alstroemeria ( 12 Inch ) 10   FF Sachet + Grass</v>
          </cell>
        </row>
        <row r="18">
          <cell r="A18">
            <v>993</v>
          </cell>
          <cell r="B18" t="str">
            <v>Swati Khandelwal-- Evening Only</v>
          </cell>
          <cell r="C18">
            <v>8527962021</v>
          </cell>
          <cell r="D18" t="str">
            <v>414-A, Hamilton Court</v>
          </cell>
          <cell r="E18" t="str">
            <v>DLF Phase 4</v>
          </cell>
          <cell r="F18" t="str">
            <v>Tuesday</v>
          </cell>
          <cell r="G18" t="str">
            <v>9 AM to 2 PM</v>
          </cell>
          <cell r="H18">
            <v>2300</v>
          </cell>
          <cell r="I18">
            <v>287.5</v>
          </cell>
          <cell r="J18" t="str">
            <v>Felicity</v>
          </cell>
          <cell r="K18" t="str">
            <v>Saturday and Tuesday//Tuesday and Friday//1 St del Tom in morning and then every Sunday evening(05/01) ONLY LILY AND RAJNI(19/01) Lilies in all 4 Deliveries(01/02) Start Biss from next week(30/11) ONLY RAJNI(31/12) Send Guldawari next and then spray daisy next to next(09/01) NO ROSE mn RAJNI-- Send spray daisy next(27/01) Spray daisy Next(15/02) Moved to Felicity--1350 Pack, Pls mark pending(21/03) Send 1 extra delivery from Rachna Khanna ma'am(05/08) Do Not count last delivery(07/04) Send Flower Food Tom(12/09) Send Flower Food next (09/10) Hold till 1st Feb (20/01) Send Flower Food next (04/07) One More payment received today (30/10) Payment from Ramakant K (08/06) Rs. 9200 Received today and 10% applied on 9200 (10/12)</v>
          </cell>
          <cell r="L18" t="str">
            <v>ROSE n RAJNI</v>
          </cell>
          <cell r="N18" t="str">
            <v>3  del of this cycle   -  0-cycles pmnt   Completed - Collect 0</v>
          </cell>
          <cell r="O18" t="str">
            <v>P n W Glad ( 14 Inch ) 11     Grass</v>
          </cell>
          <cell r="P18" t="str">
            <v>P Spray Daisy ( 14 Inch ) 3     FF Sachet + Grass</v>
          </cell>
          <cell r="Q18" t="str">
            <v>Sunflower ( 12 Incjh ) 3     FF Sachet + Grass</v>
          </cell>
          <cell r="R18" t="str">
            <v>Mix Alstroemeria ( 12 Inch ) 11     FF Sachet + Grass</v>
          </cell>
          <cell r="S18" t="str">
            <v>Y Spray Daisy (14 Inch ) 3     FF Sachet + Grass</v>
          </cell>
          <cell r="T18" t="str">
            <v>B Daisy ( 12 Inch ) 16     Grass</v>
          </cell>
        </row>
        <row r="19">
          <cell r="A19">
            <v>1411</v>
          </cell>
          <cell r="B19" t="str">
            <v>Aarti Malhotra</v>
          </cell>
          <cell r="C19">
            <v>9810002228</v>
          </cell>
          <cell r="D19" t="str">
            <v>T-10/1402, Orchid Petals</v>
          </cell>
          <cell r="E19" t="str">
            <v>Sohna Road 1</v>
          </cell>
          <cell r="F19" t="str">
            <v>Friday</v>
          </cell>
          <cell r="G19" t="str">
            <v>9 AM - 12 PM</v>
          </cell>
          <cell r="H19">
            <v>3000</v>
          </cell>
          <cell r="I19">
            <v>375</v>
          </cell>
          <cell r="J19" t="str">
            <v>Charm</v>
          </cell>
          <cell r="K19" t="str">
            <v>Friday and Tuesday//Thursday and Sunday//Like-- Spray daisy//Rajni and guldawari(28/05) Sunday and Thursday(20/06) Shift to Joy package after this(15/09) Skip 1 week(13/01)  Holy Change(16/03) Sent 1 replacement today(05/04) Hold n start from June(04/05) Hold and start after 20th June(06/06) Sent Replacement today(05/07) Do Not Count last Delivery(18/07) NO SPRAY DAISY(23/08) Skip coming Delivery (28/09)Today flowers returned-send on next del date (09/12) Start after 31st // Replace last flowers (28/01) Skip 1 week (02/06) No Del till 28th June (11/06) Skip this friday (06/03) Skip 1 week 911/03) Paytm from Vineet R K (26/10) Hold till 2nd July (31/05)</v>
          </cell>
          <cell r="N19" t="str">
            <v>3  del of this cycle   -  0-cycles pmnt   Completed - Collect 0</v>
          </cell>
          <cell r="O19" t="e">
            <v>#N/A</v>
          </cell>
          <cell r="P19" t="e">
            <v>#N/A</v>
          </cell>
          <cell r="Q19" t="e">
            <v>#N/A</v>
          </cell>
          <cell r="R19" t="str">
            <v>O Asiatic ( 14 Inch ) 3     Grass</v>
          </cell>
          <cell r="S19" t="str">
            <v>Mix Alstroemeria ( 12 Inch ) 15     FF Sachet + Grass</v>
          </cell>
          <cell r="T19" t="str">
            <v>O Asiatic ( 14 Inch ) 3     Grass</v>
          </cell>
        </row>
        <row r="20">
          <cell r="A20">
            <v>3367</v>
          </cell>
          <cell r="B20" t="str">
            <v>Pallavi Sharma</v>
          </cell>
          <cell r="C20">
            <v>9910888631</v>
          </cell>
          <cell r="D20" t="str">
            <v>B-93, Regency Park 1, Sec 43</v>
          </cell>
          <cell r="E20" t="str">
            <v>DLF Phase 4</v>
          </cell>
          <cell r="F20" t="str">
            <v>Tuesday</v>
          </cell>
          <cell r="G20" t="str">
            <v>9 AM - 12 PM</v>
          </cell>
          <cell r="H20">
            <v>1450</v>
          </cell>
          <cell r="I20">
            <v>1450</v>
          </cell>
          <cell r="J20" t="str">
            <v>Bliss</v>
          </cell>
          <cell r="K20" t="str">
            <v>Paytm From Vaibhav Sharma (16.05) Skip 1 week (03/06)</v>
          </cell>
          <cell r="N20" t="str">
            <v>1  del of this cycle   -  1-cycles pmnt   Pending - Collect 1450</v>
          </cell>
          <cell r="O20" t="str">
            <v>P n Y Spray Daisy ( 14 Inch ) 5     FF Sachet + Grass</v>
          </cell>
          <cell r="P20" t="str">
            <v>Rajni ( 14 Inch ) 16     FF Sachet + Grass</v>
          </cell>
          <cell r="Q20" t="str">
            <v>P n W Car ( 14 Inch ) 16     FF Sachet + Grass</v>
          </cell>
          <cell r="R20" t="str">
            <v>O Asiatic ( 14 Inch ) 3     Grass</v>
          </cell>
          <cell r="S20" t="str">
            <v>P n W Glad ( 14 Inch ) 16     Grass</v>
          </cell>
          <cell r="T20" t="str">
            <v>O Asiatic ( 14 Inch ) 3     Grass</v>
          </cell>
        </row>
        <row r="21">
          <cell r="A21">
            <v>1147</v>
          </cell>
          <cell r="B21" t="str">
            <v xml:space="preserve">Reena </v>
          </cell>
          <cell r="C21">
            <v>9811157690</v>
          </cell>
          <cell r="D21" t="str">
            <v>31/1, Ixia, Vatika City</v>
          </cell>
          <cell r="E21" t="str">
            <v>Sohna Road 1</v>
          </cell>
          <cell r="F21" t="str">
            <v>Tuesday</v>
          </cell>
          <cell r="G21" t="str">
            <v>9 AM to 2 PM</v>
          </cell>
          <cell r="H21">
            <v>1600</v>
          </cell>
          <cell r="I21">
            <v>200</v>
          </cell>
          <cell r="J21" t="str">
            <v>Bloom</v>
          </cell>
          <cell r="K21" t="str">
            <v>Tuesday and Friday//NO Rose/Rajni and ORCHID(30/10) Pink car Next(08/11) No Rose/No Rajni/No Orchids(30/11  NO RAJNI n HELICONIA (30/12) Star From Sunday (24/08) Skip coming Friday (07/12) Skip 1 week (18/01) Shift tom del to Sunday (20/06) Skip Friday Del (15/08) Today Returned(03/09) Skip 27th Del (22/12) Skip tom (30/01) Today Returned-send again (04/04) Hold n start from 15th (07/04) Skip friday (26/06) Skip 1 week (07/08) Skip tom del (11/09) Skip 1 week (01/11) Skip tom (30/04) Start from 14th July (06/07)</v>
          </cell>
          <cell r="L21" t="str">
            <v>RAJNI n HELICONIA</v>
          </cell>
          <cell r="N21" t="str">
            <v>2  del of this cycle   -  0-cycles pmnt   Completed - Collect 0</v>
          </cell>
          <cell r="O21" t="str">
            <v>Mix Alstroemeria ( 12 Inch ) 7     FF Sachet + Grass</v>
          </cell>
          <cell r="P21" t="str">
            <v>Sunflower ( 12 Inch ) 2     FF Sachet + Grass</v>
          </cell>
          <cell r="Q21" t="str">
            <v>P n W Glad ( 14 inch ) 7     Grass</v>
          </cell>
          <cell r="R21" t="e">
            <v>#N/A</v>
          </cell>
          <cell r="S21" t="str">
            <v>Mix Alstroemeria ( 12 Inch ) 7     FF Sachet + Grass</v>
          </cell>
          <cell r="T21" t="str">
            <v>W Eustoam ( 12 Inch ) 2     FF Sachet + Grass</v>
          </cell>
        </row>
        <row r="22">
          <cell r="A22">
            <v>3132</v>
          </cell>
          <cell r="B22" t="str">
            <v>Ramesh Kapoor</v>
          </cell>
          <cell r="C22">
            <v>9717416100</v>
          </cell>
          <cell r="D22" t="str">
            <v>T-6/1404, The Palms, South City 1</v>
          </cell>
          <cell r="E22" t="str">
            <v>South City 1</v>
          </cell>
          <cell r="F22" t="str">
            <v>Tuesday</v>
          </cell>
          <cell r="G22" t="str">
            <v>9 AM - 12 PM</v>
          </cell>
          <cell r="H22">
            <v>2300</v>
          </cell>
          <cell r="I22">
            <v>287.5</v>
          </cell>
          <cell r="J22" t="str">
            <v>Felicity</v>
          </cell>
          <cell r="K22" t="str">
            <v>Paytm From Anuradha Kapoor - Anu Kapoor (04/11) Premium tom (13/11) Replacement tom (21/04) 10 % Discint given (15/06) Today hold n sned tom (20/06) Today returned and skip Tuesday also (27/06)</v>
          </cell>
          <cell r="M22" t="str">
            <v>Premium Next (13/11)</v>
          </cell>
          <cell r="N22" t="str">
            <v>1  del of this cycle   -  1-cycles pmnt   Pending - Collect 2340</v>
          </cell>
          <cell r="O22" t="str">
            <v>Y Spray Daisy ( 14 Inch ) 3     FF Sachet + Grass</v>
          </cell>
          <cell r="P22" t="str">
            <v>Rajni ( 14 Inch ) 11     Grass</v>
          </cell>
          <cell r="Q22" t="e">
            <v>#N/A</v>
          </cell>
          <cell r="R22" t="str">
            <v>Sunflower ( 12 Inch ) 2     FF Sachet + Grass</v>
          </cell>
          <cell r="S22" t="str">
            <v>P n W Glad ( 14 Inch ) 11     Grass</v>
          </cell>
          <cell r="T22" t="str">
            <v>B Daisy ( 12 Inch ) 16     Grass</v>
          </cell>
        </row>
        <row r="23">
          <cell r="A23">
            <v>3275</v>
          </cell>
          <cell r="B23" t="str">
            <v>Reema Parents</v>
          </cell>
          <cell r="C23">
            <v>9910105022</v>
          </cell>
          <cell r="D23" t="str">
            <v>B1/603, Tulip Orange, Sec 70</v>
          </cell>
          <cell r="E23" t="str">
            <v>Badshahpur</v>
          </cell>
          <cell r="F23" t="str">
            <v>Tuesday</v>
          </cell>
          <cell r="G23" t="str">
            <v>9 AM - 12 PM</v>
          </cell>
          <cell r="H23">
            <v>1450</v>
          </cell>
          <cell r="I23">
            <v>362.5</v>
          </cell>
          <cell r="J23" t="str">
            <v>Bliss</v>
          </cell>
          <cell r="K23" t="str">
            <v>From Reema</v>
          </cell>
          <cell r="N23" t="str">
            <v>2  del of this cycle   -  0-cycles pmnt   Completed - Collect 0</v>
          </cell>
          <cell r="O23" t="str">
            <v>O n P Car ( 14 Inch ) 16     FF Sachet + Grass</v>
          </cell>
          <cell r="P23" t="str">
            <v>Pur Eustoma ( 12 Inch ) 3     FF Sachet + Grass</v>
          </cell>
          <cell r="Q23" t="str">
            <v>Rajni ( 14 Inch ) 16     Grass</v>
          </cell>
          <cell r="R23" t="str">
            <v>B Daisy ( 12 Inch ) 16     Grass</v>
          </cell>
          <cell r="S23" t="str">
            <v>O Asiatic ( 14 Inch ) 3     FF Sachet + Grass</v>
          </cell>
          <cell r="T23" t="str">
            <v>O Asiatic ( 14 Inch ) 3     Grass</v>
          </cell>
        </row>
        <row r="24">
          <cell r="A24" t="str">
            <v>G-00029</v>
          </cell>
          <cell r="B24" t="str">
            <v>Shweta Arora</v>
          </cell>
          <cell r="C24">
            <v>9999164984</v>
          </cell>
          <cell r="D24" t="str">
            <v>H. No. 9506, 3rd Floor, Garden Villas</v>
          </cell>
          <cell r="E24" t="str">
            <v>DLF Phase 4</v>
          </cell>
          <cell r="F24" t="str">
            <v>Tuesday</v>
          </cell>
          <cell r="G24" t="str">
            <v>10 AM to 2:30 PM</v>
          </cell>
          <cell r="H24">
            <v>1950</v>
          </cell>
          <cell r="I24">
            <v>487.5</v>
          </cell>
          <cell r="J24" t="str">
            <v>Joy</v>
          </cell>
          <cell r="K24" t="str">
            <v>From Akriti Chopra // Paytm From Shweta Dudeja (26/02) Sent replacement today (18/04)</v>
          </cell>
          <cell r="N24" t="str">
            <v>1  del of this cycle   -  1-cycles pmnt   Pending - Collect 3900</v>
          </cell>
          <cell r="O24" t="str">
            <v>O Asiatic ( 14 inch ) 2 O n P Car ( 14 Inch ) 11   Grass</v>
          </cell>
          <cell r="P24" t="str">
            <v>P n Y Spray Daisy ( 14 Inch ) 4 Rajni ( 14 Inch ) 11   FF Sachet + Grass</v>
          </cell>
          <cell r="Q24" t="str">
            <v>Sunflower ( 12 Incjh ) 3 P n W Glad ( 14 Inch) 11  Ensure Collection FF Sachet + Grass</v>
          </cell>
          <cell r="R24" t="str">
            <v>Pur Eustoma ( 12 inch ) 2 Mix Alstroemeria ( 12 Inch ) 11   FF Sachet + Grass</v>
          </cell>
          <cell r="S24" t="str">
            <v>P Asiatic ( 14 Inch ) 2 G n W Car ( 14 Inch ) 11   Grass</v>
          </cell>
          <cell r="T24" t="str">
            <v xml:space="preserve">G n W Car + G n W Spray Daisy + G n W Eustoma + G n W Eustoma + W Asiatic + W Oriental 120 + 15 + 10 + 5 + 5     </v>
          </cell>
        </row>
        <row r="25">
          <cell r="A25">
            <v>3333</v>
          </cell>
          <cell r="B25" t="str">
            <v>Urshita Gupta</v>
          </cell>
          <cell r="C25">
            <v>9910738939</v>
          </cell>
          <cell r="D25" t="str">
            <v>D-202, Pilot Court, Essel Towers</v>
          </cell>
          <cell r="E25" t="str">
            <v>M G Road</v>
          </cell>
          <cell r="F25" t="str">
            <v>Tuesday</v>
          </cell>
          <cell r="G25" t="str">
            <v>10 AM to 2:30 PM</v>
          </cell>
          <cell r="H25">
            <v>1950</v>
          </cell>
          <cell r="I25">
            <v>487.5</v>
          </cell>
          <cell r="J25" t="str">
            <v>Joy</v>
          </cell>
          <cell r="K25" t="str">
            <v>Change day to Tuesday (29/04) Hold till1 st June (20/05) Paytm From Urshita Saini (05/06)</v>
          </cell>
          <cell r="N25" t="str">
            <v>4  del of this cycle   -  0-cycles pmnt   Completed - Collect 0</v>
          </cell>
          <cell r="O25" t="str">
            <v>P n W Spray Daisy ( 14 inch ) 7     FF Sachet + Grass</v>
          </cell>
          <cell r="P25" t="str">
            <v>Mix Car 22     Grass</v>
          </cell>
          <cell r="Q25" t="str">
            <v>O Asiatic ( 14 Inch ) 4     Grass</v>
          </cell>
          <cell r="R25" t="str">
            <v>B Daisy ( 12 Inch ) 22     Grass</v>
          </cell>
          <cell r="S25" t="str">
            <v>P n W Glad ( 14 Inch ) 22     Grass</v>
          </cell>
          <cell r="T25" t="str">
            <v>Pur n P Car ( 14 Inch ) 11     FF Sachet + Grass</v>
          </cell>
        </row>
        <row r="26">
          <cell r="A26">
            <v>2484</v>
          </cell>
          <cell r="B26" t="str">
            <v>Swati Sharad</v>
          </cell>
          <cell r="C26">
            <v>9871225514</v>
          </cell>
          <cell r="D26" t="str">
            <v>204-B, 2nd Floor, 4th Floor, Beverley Park-1</v>
          </cell>
          <cell r="E26" t="str">
            <v>M G Road</v>
          </cell>
          <cell r="F26" t="str">
            <v>Tuesday</v>
          </cell>
          <cell r="G26" t="str">
            <v>9 AM - 12 PM</v>
          </cell>
          <cell r="H26">
            <v>1450</v>
          </cell>
          <cell r="I26">
            <v>362.5</v>
          </cell>
          <cell r="J26" t="str">
            <v>Bliss</v>
          </cell>
          <cell r="K26" t="str">
            <v>No Glad (03/04) No areca palm (15/04) Today Hold (03/02) Paytm from meenakshi Sharad (10/03) HDTNP (23/06)</v>
          </cell>
          <cell r="L26" t="str">
            <v>Glad</v>
          </cell>
          <cell r="M26" t="str">
            <v>No areca Palm // Flower Food Next (19/05)</v>
          </cell>
          <cell r="N26" t="str">
            <v>3  del of this cycle   -  1-cycles pmnt   Pending - Collect 0</v>
          </cell>
          <cell r="O26" t="str">
            <v>Sunflower ( 12 Inch ) 2 O n P Car ( 14 Inch ) 7   FF Sachet + Grass</v>
          </cell>
          <cell r="P26" t="e">
            <v>#N/A</v>
          </cell>
          <cell r="Q26" t="str">
            <v>Spray Daisy 3 Glad 7   FF Sachet + Grass</v>
          </cell>
          <cell r="R26" t="str">
            <v>P Asiatic ( 14 Inch ) 2 B Daisy ( 12 Inch  7   Grass</v>
          </cell>
          <cell r="S26" t="str">
            <v>G n W Car ( 14 Inch ) 16     FF Sachet + Grass</v>
          </cell>
          <cell r="T26" t="str">
            <v>Sunflower ( 12 Inch ) 2     FF Sachet + Grass</v>
          </cell>
        </row>
        <row r="27">
          <cell r="A27">
            <v>2284</v>
          </cell>
          <cell r="B27" t="str">
            <v>Tarushi--Skyon</v>
          </cell>
          <cell r="C27">
            <v>9873968830</v>
          </cell>
          <cell r="D27" t="str">
            <v>B-2004, Ireo Skyon, Sec 60</v>
          </cell>
          <cell r="E27" t="str">
            <v>Ghata</v>
          </cell>
          <cell r="F27" t="str">
            <v>Tuesday</v>
          </cell>
          <cell r="G27" t="str">
            <v>9 AM - 12 PM</v>
          </cell>
          <cell r="H27">
            <v>1450</v>
          </cell>
          <cell r="I27">
            <v>362.5</v>
          </cell>
          <cell r="J27" t="str">
            <v>Bliss</v>
          </cell>
          <cell r="K27" t="str">
            <v>No Spray Daisy (06/11) Skip 1 week (02/03) No Gerbera (02/07) Send on Saturday this week Z914/07)Paytm from Uday Bansal 19/07) Return not at home (29/07) Hold due to non payment (14/10) Hold after this cycle (14/11) Paytm From Tarushi Garg (02/04) HDTNP (02/06) HDTNP (09/06) HDTNP (16/06) Skip 1 week (24/06)</v>
          </cell>
          <cell r="L27" t="str">
            <v>Spray Daisy n GERBERA</v>
          </cell>
          <cell r="N27" t="str">
            <v>2  del of this cycle   -  1-cycles pmnt   Pending - Collect 8250</v>
          </cell>
          <cell r="O27" t="e">
            <v>#N/A</v>
          </cell>
          <cell r="P27" t="str">
            <v>Pur Eustoma ( 12 Inch ) 3     FF Sachet + Grass</v>
          </cell>
          <cell r="Q27" t="str">
            <v>Rajni ( 14 Inch ) 16     Grass</v>
          </cell>
          <cell r="R27" t="str">
            <v>O Asiatic ( 14 Inch ) 3     Grass</v>
          </cell>
          <cell r="S27" t="str">
            <v>G n W Car ( 14 Inch ) 16     FF Sachet + Grass</v>
          </cell>
          <cell r="T27" t="str">
            <v>Y Spray Daisy ( 14 Inch ) 2     FF Sachet + Grass</v>
          </cell>
        </row>
        <row r="28">
          <cell r="A28">
            <v>3117</v>
          </cell>
          <cell r="B28" t="str">
            <v>Rupi</v>
          </cell>
          <cell r="C28">
            <v>9412006708</v>
          </cell>
          <cell r="D28" t="str">
            <v>T-14/304, Heritage City</v>
          </cell>
          <cell r="E28" t="str">
            <v>M G Road</v>
          </cell>
          <cell r="F28" t="str">
            <v>Tuesday</v>
          </cell>
          <cell r="G28" t="str">
            <v>10 AM to 2:30 PM</v>
          </cell>
          <cell r="H28">
            <v>1450</v>
          </cell>
          <cell r="I28">
            <v>362.5</v>
          </cell>
          <cell r="J28" t="str">
            <v>Bliss</v>
          </cell>
          <cell r="K28" t="str">
            <v>Start From 29th and then next del from 9th Dec (18/11) This week on Saturday (06/2) Hold today and send on Saturday and then tuesday(03/03) Skip tom (20/04) Skip tom n send on saturdqay this week (20/06)</v>
          </cell>
          <cell r="N28" t="str">
            <v>2  del of this cycle   -  1-cycles pmnt   Pending - Collect 1450</v>
          </cell>
          <cell r="O28" t="str">
            <v>P n Y Spray Daisy ( 14 Inch ) 5     FF Sachet + Grass</v>
          </cell>
          <cell r="P28" t="e">
            <v>#N/A</v>
          </cell>
          <cell r="Q28" t="str">
            <v>O Asiatic ( 14 Inch ) 3     Grass</v>
          </cell>
          <cell r="R28" t="str">
            <v>Pur n P Car ( 14 Inch ) 16     FF Sachet + Grass</v>
          </cell>
          <cell r="S28" t="str">
            <v>Sunflower ( 12 Inch ) 4     FF Sachet + Grass</v>
          </cell>
          <cell r="T28" t="str">
            <v>Pur n P Car ( 14 Inch ) 11     FF Sachet + Grass</v>
          </cell>
        </row>
        <row r="29">
          <cell r="A29">
            <v>1936</v>
          </cell>
          <cell r="B29" t="str">
            <v>Pranta Dutta</v>
          </cell>
          <cell r="C29" t="str">
            <v>99535 59491</v>
          </cell>
          <cell r="D29" t="str">
            <v>C 1 flat 501 Ireo skyon golf course extension sector 60 gurgaon ( behind lemon tree hotel)</v>
          </cell>
          <cell r="E29" t="str">
            <v>Ghata</v>
          </cell>
          <cell r="F29" t="str">
            <v>Saturday</v>
          </cell>
          <cell r="G29" t="str">
            <v>9 AM - 12 PM</v>
          </cell>
          <cell r="H29">
            <v>1600</v>
          </cell>
          <cell r="I29">
            <v>200</v>
          </cell>
          <cell r="J29" t="str">
            <v>Bloom</v>
          </cell>
          <cell r="K29" t="str">
            <v>Tuesday n Saturday//Thursday n Sunday// No Rajni (01/01/23) Skip 1 wek (30/05) Paytm from Ddhruv Dutta Minor (18/06) Paytm From Susmita D (16/07). Not sent on 25/04 due to non payment (24/4) Paytm From Susmita D (04/05) Do not count last del (02/07) No Gerbera also (29/09) Hold from 10th to 20th (08/12) Hold from 10th to 20th (10/12) Hold due to non payment (26/12) No Delivery from 03rd to15th Jan (28/12) Hold due to non payment (010/02) Hold due to non payment (24/02) HDTNP (17/03) HDTNP (02/05) HDTNP (23/05) HDTNP (26/05) HDTNP (02/06) HDTNP (06/06) HDTNP (09/06) HDTNP (13/06) HDTNP (16/06) HDTNP (20/06) HDTNP (23/06) HDTNP (27/06) HDTNP (30/06)</v>
          </cell>
          <cell r="L29" t="str">
            <v>RAJNI n GERBERA</v>
          </cell>
          <cell r="N29" t="str">
            <v>1  del of this cycle   -  1-cycles pmnt   Pending - Collect 1600</v>
          </cell>
          <cell r="O29" t="e">
            <v>#N/A</v>
          </cell>
          <cell r="P29" t="e">
            <v>#N/A</v>
          </cell>
          <cell r="Q29" t="str">
            <v xml:space="preserve">Collect 600 Carry Receipt Book     </v>
          </cell>
          <cell r="R29" t="str">
            <v>Sunflower ( 12 Inch ) 2     FF Sachet + Grass</v>
          </cell>
          <cell r="S29" t="str">
            <v>G n W Car ( 14 Inch ) 7     FF Sachet + Grass</v>
          </cell>
          <cell r="T29" t="str">
            <v>P Asiatic ( 14 Inch ) 3     Grass</v>
          </cell>
        </row>
        <row r="30">
          <cell r="A30">
            <v>1554</v>
          </cell>
          <cell r="B30" t="str">
            <v>Farea Aziz</v>
          </cell>
          <cell r="C30">
            <v>9871694052</v>
          </cell>
          <cell r="D30" t="str">
            <v>Selan Exploration Tech Ltd, 8th Floor , Imperial Mindspace, Sec 62</v>
          </cell>
          <cell r="E30" t="str">
            <v>Ghata</v>
          </cell>
          <cell r="F30" t="str">
            <v>Tuesday</v>
          </cell>
          <cell r="G30" t="str">
            <v>By 10 AM</v>
          </cell>
          <cell r="H30">
            <v>1950</v>
          </cell>
          <cell r="I30">
            <v>487.5</v>
          </cell>
          <cell r="J30" t="str">
            <v>Corporate</v>
          </cell>
          <cell r="K30" t="str">
            <v>Return-send next week(03/01) Return-send tom at new add (04/10) Today hold -send tom (15/08) Today returned-send tom (24/10)</v>
          </cell>
          <cell r="N30" t="str">
            <v>1  del of this cycle   -  0-cycles pmnt   In Process - Collect 0</v>
          </cell>
          <cell r="O30" t="str">
            <v>P Asiatic ( 14 Inch ) 2 O n P Car ( 14 Inch ) 11   Grass</v>
          </cell>
          <cell r="P30" t="str">
            <v>Sunflower ( 12 Inch ) 3 P n W Glad ( 14 Inch ) 11   FF Sachet + Grass</v>
          </cell>
          <cell r="Q30" t="str">
            <v>Pur Eustoma 2 B Daisy 11   FF Sachet + Grass</v>
          </cell>
          <cell r="R30" t="str">
            <v>P n W Spray Daisy ( 14 Inch ) 4 Pur n P Car ( 14 Inch ) 11   FF Sachet + Grass</v>
          </cell>
          <cell r="S30" t="str">
            <v>O Asiatic ( 14 Inch ) 2 P n W Glad ( 14 Inch ) 11   Grass</v>
          </cell>
          <cell r="T30" t="str">
            <v>P Asiatic ( 14 Inch ) 2     Grass</v>
          </cell>
        </row>
        <row r="31">
          <cell r="A31">
            <v>2854</v>
          </cell>
          <cell r="B31" t="str">
            <v>Promita Roy</v>
          </cell>
          <cell r="C31">
            <v>9717459257</v>
          </cell>
          <cell r="D31" t="str">
            <v>B-25, Sushant Appartment, Block-C, Phase 1</v>
          </cell>
          <cell r="E31" t="str">
            <v>M G Road</v>
          </cell>
          <cell r="F31" t="str">
            <v>Tuesday</v>
          </cell>
          <cell r="G31" t="str">
            <v>9 AM - 12 PM</v>
          </cell>
          <cell r="H31">
            <v>1450</v>
          </cell>
          <cell r="I31">
            <v>362.5</v>
          </cell>
          <cell r="J31" t="str">
            <v>Bliss</v>
          </cell>
          <cell r="K31" t="str">
            <v>Upgrade to Bliss // Nolacl Gypsy or Lady Lace</v>
          </cell>
          <cell r="M31" t="str">
            <v>No Local Gypsy or Lady Lace</v>
          </cell>
          <cell r="N31" t="str">
            <v>3  del of this cycle   -  0-cycles pmnt   Completed - Collect 0</v>
          </cell>
          <cell r="O31" t="str">
            <v>P n W Glad ( 14 Inch ) 16     Grass</v>
          </cell>
          <cell r="P31" t="str">
            <v>Pur Eustoma ( 12 Inch ) 3     FF Sachet + Grass</v>
          </cell>
          <cell r="Q31" t="str">
            <v>P n W Car ( 14 Inch ) 16     FF Sachet + Grass</v>
          </cell>
          <cell r="R31" t="str">
            <v>Mix Alstroemeria ( 12 Inch ) 16     Grass</v>
          </cell>
          <cell r="S31" t="str">
            <v>O Asiatic ( 14 Inch ) 3     Grass</v>
          </cell>
          <cell r="T31" t="str">
            <v>Mix Alstroemeria ( 12 Inch ) 16     FF Sachet + Grass</v>
          </cell>
        </row>
        <row r="32">
          <cell r="A32">
            <v>2594</v>
          </cell>
          <cell r="B32" t="str">
            <v>Anamika Sirohi</v>
          </cell>
          <cell r="C32">
            <v>9971707368</v>
          </cell>
          <cell r="D32" t="str">
            <v>E-703M The Vikas, DLF Phase 2</v>
          </cell>
          <cell r="E32" t="str">
            <v>DLF Phase 2</v>
          </cell>
          <cell r="F32" t="str">
            <v>Tuesday</v>
          </cell>
          <cell r="G32" t="str">
            <v>9 AM to 2 PM</v>
          </cell>
          <cell r="H32">
            <v>1450</v>
          </cell>
          <cell r="I32">
            <v>362.5</v>
          </cell>
          <cell r="J32" t="str">
            <v>Bliss</v>
          </cell>
          <cell r="K32" t="str">
            <v>Preferred Flowers -- Rose/Rajni/Gerbera/Lilies/Glad/car // Today Hold (12/08) Skip 2 week (13/08) Paytm From sangram Singh (10/09)</v>
          </cell>
          <cell r="N32" t="str">
            <v>3  del of this cycle   -  0-cycles pmnt   CompletedNO COLLECTION-we have extra money - Collect -10</v>
          </cell>
          <cell r="O32" t="str">
            <v>Mix Alstroemeria ( 12 Inch ) 9     FF Sachet + Grass</v>
          </cell>
          <cell r="P32" t="str">
            <v>Sunflower ( 12 Inch ) 2     FF Sachet + Grass</v>
          </cell>
          <cell r="Q32" t="str">
            <v>P n W Glad ( 14 inch ) 9     Grass</v>
          </cell>
          <cell r="R32" t="str">
            <v>Rajni ( 14 Inch ) 16     Grass</v>
          </cell>
          <cell r="S32" t="str">
            <v>P Asiatic ( 14 Inch ) 3     Grass</v>
          </cell>
          <cell r="T32" t="str">
            <v>B Daisy ( 12 Inch ) 22     Grass</v>
          </cell>
        </row>
        <row r="33">
          <cell r="A33" t="str">
            <v>B56510</v>
          </cell>
          <cell r="B33" t="str">
            <v>Tanya</v>
          </cell>
          <cell r="C33">
            <v>9871333683</v>
          </cell>
          <cell r="D33" t="str">
            <v>T-2/3403, Block -D, Tata Primanti</v>
          </cell>
          <cell r="E33" t="str">
            <v>Badshahpur</v>
          </cell>
          <cell r="F33" t="str">
            <v>Tuesday</v>
          </cell>
          <cell r="G33" t="str">
            <v>By 10 AM</v>
          </cell>
          <cell r="H33">
            <v>1850</v>
          </cell>
          <cell r="I33">
            <v>1850</v>
          </cell>
          <cell r="J33" t="str">
            <v>Bouquet</v>
          </cell>
          <cell r="K33" t="str">
            <v>2 W Oriental and 8 B Orchid in Tissue Wrap // Happy Birthday Papa! We love you. ( Heart Image)    From :      Bebo. Mumma &amp; Dadu (20/07)</v>
          </cell>
          <cell r="N33" t="str">
            <v>1  del of this cycle   -  1-cycles pmnt   Pending - Collect 1850</v>
          </cell>
          <cell r="O33" t="e">
            <v>#N/A</v>
          </cell>
          <cell r="P33" t="e">
            <v>#N/A</v>
          </cell>
          <cell r="Q33" t="e">
            <v>#N/A</v>
          </cell>
          <cell r="R33" t="e">
            <v>#N/A</v>
          </cell>
          <cell r="S33" t="e">
            <v>#N/A</v>
          </cell>
          <cell r="T33" t="str">
            <v>Y Asiatic ( 14 Inch ) 3     Grass</v>
          </cell>
        </row>
        <row r="34">
          <cell r="A34">
            <v>1542</v>
          </cell>
          <cell r="B34" t="str">
            <v>Anisha Sethi</v>
          </cell>
          <cell r="C34">
            <v>9811004396</v>
          </cell>
          <cell r="D34" t="str">
            <v>Q-1/25, DLF Phase 2</v>
          </cell>
          <cell r="E34" t="str">
            <v>M G Road</v>
          </cell>
          <cell r="F34" t="str">
            <v>Saturday</v>
          </cell>
          <cell r="G34" t="str">
            <v>9 AM to 2 PM</v>
          </cell>
          <cell r="H34">
            <v>3000</v>
          </cell>
          <cell r="I34">
            <v>375</v>
          </cell>
          <cell r="J34" t="str">
            <v>Charm</v>
          </cell>
          <cell r="K34" t="str">
            <v>Saturdya n Tuesday//always mix of 2 flowers and send a scissor on 1st del for Rs.50(11/10) Send 1 Scissor also(13/10) Send Scissor Tom(15/10) Send Mogra next(18/10) NO HELICONIA and BOP(19/11) Skip this Tuesday(10/04) Skip this Tuesday Del(02/05) Skip 28th May Flowers(25/05) Sent replacement today(07/06) NO DEL BETWEEN 14TH AND 24TH JULY(06/07) Skip 12th , 16th , 19th and 23rd July(11/07) Skip 1 week(25/08) NO UPGRADE(17/10) Pause from 25th to 6th Apr (24/03) Asiatic n Car (05/05) No Delivery from 10th June to 15th July (07/06) Skip tom delivery (04/09) No flowers on 28th (26/10) Skip 1 Del (12/02) Hold on 2nd,6th and 9th Apr (30/03) Skip 20th Del (19/08) Pls hold n start from 5th Oct (22/09) No sunflowers for some time (15/04) Hold from 17th May t0 17th June (14/05) Collect 400 next and carry change (29/07) 400 cash on 5th Aug (12/08) Hold n send on 23rd Now (17/08)</v>
          </cell>
          <cell r="L34" t="str">
            <v>HELICONIA n BOP</v>
          </cell>
          <cell r="M34" t="str">
            <v>No Sunflowers for some time (15/04) Change of Rs. 50 Next (28/04)</v>
          </cell>
          <cell r="N34" t="str">
            <v>2  del of this cycle   -  0-cycles pmnt   Completed - Collect 0</v>
          </cell>
          <cell r="O34" t="str">
            <v>P Spray Daisy ( 14 Inch ) 2 P n W Glad ( 14 Inch ) 7   FF Sachet + Grass</v>
          </cell>
          <cell r="P34" t="str">
            <v>Pur Eustoma ( 12 Inch ) 2 Rajni ( 14 Inch ) 7   FF Sachet + Grass</v>
          </cell>
          <cell r="Q34" t="str">
            <v>Sunflower ( 12 Incjh ) 2 P n W Car ( 14 Inch ) 7   FF Sachet + Grass</v>
          </cell>
          <cell r="R34" t="str">
            <v>P Spray Daisy ( 14 Inch ) 2 Mix Alstroemeria ( 12 Inch ) 7   FF Sachet + Grass</v>
          </cell>
          <cell r="S34" t="str">
            <v>Y Spray Daisy (14 Inch ) 2 G n W Car ( 14 Inch ) 7   FF Sachet + Grass</v>
          </cell>
          <cell r="T34" t="str">
            <v>B Daisy ( 12 Inch ) 7     Grass</v>
          </cell>
        </row>
        <row r="35">
          <cell r="A35" t="str">
            <v>B56508</v>
          </cell>
          <cell r="B35" t="str">
            <v>Kanchan</v>
          </cell>
          <cell r="C35">
            <v>9739004001</v>
          </cell>
          <cell r="D35" t="str">
            <v>Jasminium 1, H No. 61, Vatika City</v>
          </cell>
          <cell r="E35" t="str">
            <v>Sohna Road 1</v>
          </cell>
          <cell r="F35" t="str">
            <v>Tuesday</v>
          </cell>
          <cell r="G35" t="str">
            <v>By 10 AM</v>
          </cell>
          <cell r="H35">
            <v>800</v>
          </cell>
          <cell r="I35">
            <v>800</v>
          </cell>
          <cell r="J35" t="str">
            <v>Bouquet</v>
          </cell>
          <cell r="K35" t="str">
            <v>From Lakshmi Shankarana // 15 Red n W Car in Pink Korean Sheet // Janmdin ki dher saari badhai Kanchan      From      Lakshmi and Prashant</v>
          </cell>
          <cell r="N35" t="str">
            <v>1  del of this cycle   -  0-cycles pmnt   In Process - Collect 0</v>
          </cell>
          <cell r="O35" t="e">
            <v>#N/A</v>
          </cell>
          <cell r="P35" t="e">
            <v>#N/A</v>
          </cell>
          <cell r="Q35" t="e">
            <v>#N/A</v>
          </cell>
          <cell r="R35" t="e">
            <v>#N/A</v>
          </cell>
          <cell r="S35" t="e">
            <v>#N/A</v>
          </cell>
          <cell r="T35" t="str">
            <v>Pur n P Car ( 14 Inch ) 16     FF Sachet + Grass</v>
          </cell>
        </row>
        <row r="36">
          <cell r="A36" t="str">
            <v>B56507</v>
          </cell>
          <cell r="B36">
            <v>9971105361</v>
          </cell>
          <cell r="C36">
            <v>9971105361</v>
          </cell>
          <cell r="D36" t="str">
            <v>A-16, 2nd Floor, Ashok Estate, Anant Raj Estate, Sec 63 A</v>
          </cell>
          <cell r="E36" t="str">
            <v>Ghata</v>
          </cell>
          <cell r="F36" t="str">
            <v>Wednesday</v>
          </cell>
          <cell r="G36" t="str">
            <v>By 11 AM</v>
          </cell>
          <cell r="H36">
            <v>1050</v>
          </cell>
          <cell r="I36">
            <v>1050</v>
          </cell>
          <cell r="J36" t="str">
            <v>Bouquet</v>
          </cell>
          <cell r="K36" t="str">
            <v>Rose Mala</v>
          </cell>
          <cell r="N36" t="str">
            <v>1  del of this cycle   -  1-cycles pmnt   Pending - Collect 1050</v>
          </cell>
          <cell r="O36" t="e">
            <v>#N/A</v>
          </cell>
          <cell r="P36" t="e">
            <v>#N/A</v>
          </cell>
          <cell r="Q36" t="e">
            <v>#N/A</v>
          </cell>
          <cell r="R36" t="e">
            <v>#N/A</v>
          </cell>
          <cell r="S36" t="e">
            <v>#N/A</v>
          </cell>
          <cell r="T36" t="str">
            <v>Sunflower ( 12 Inch ) 2     FF Sachet + Grass</v>
          </cell>
        </row>
        <row r="37">
          <cell r="A37">
            <v>918</v>
          </cell>
          <cell r="B37" t="str">
            <v>FIVD</v>
          </cell>
          <cell r="C37">
            <v>9560117868</v>
          </cell>
          <cell r="D37" t="str">
            <v>Fivd India, 22-27, 7th Floor, A Tower, Emaar Digital Green Sec 61</v>
          </cell>
          <cell r="E37" t="str">
            <v>Ghata</v>
          </cell>
          <cell r="F37" t="str">
            <v>Tuesday</v>
          </cell>
          <cell r="G37" t="str">
            <v>9 AM - 12 PM</v>
          </cell>
          <cell r="H37">
            <v>1950</v>
          </cell>
          <cell r="I37">
            <v>487.5</v>
          </cell>
          <cell r="J37" t="str">
            <v>Corporate</v>
          </cell>
          <cell r="K37" t="str">
            <v>Only Asiatic(12/10) Skip this week(26/10) Google pay from manas mehrotra(24/11) Return-send on Tuesday(08/12) Gpay From Priyanka Singh (24/09) Sent a vase today (07/02) Add Changed (14/07) Today hold-send tom (15/08) send replacement tom (16/08) Today returned-send tom (24/10) Sent replacement today (04/07) Sent replacement today (27/11) Office was closed (21/10)</v>
          </cell>
          <cell r="L37" t="str">
            <v>GLAD And GULDAWARI AND SPRAY DAISY</v>
          </cell>
          <cell r="N37" t="str">
            <v>1  del of this cycle   -  0-cycles pmnt   In Process - Collect 0</v>
          </cell>
          <cell r="O37" t="str">
            <v>P n W Glad ( 14 Inch ) 22     Grass</v>
          </cell>
          <cell r="P37" t="str">
            <v>Pur n P Car ( 14 Inch ) 22     FF Sachet + Grass</v>
          </cell>
          <cell r="Q37" t="str">
            <v>O Asiatic ( 14 Inch ) 4     Grass</v>
          </cell>
          <cell r="R37" t="str">
            <v>Rajni ( 14 Inch ) 22     Grass</v>
          </cell>
          <cell r="S37" t="str">
            <v>P n Y Spray Daisy ( 14 Inch ) 7     FF Sachet + Grass</v>
          </cell>
          <cell r="T37" t="str">
            <v>Rajni ( 14 Inch ) 16     Grass</v>
          </cell>
        </row>
        <row r="38">
          <cell r="A38">
            <v>2633</v>
          </cell>
          <cell r="B38" t="str">
            <v>Varsha Mathur</v>
          </cell>
          <cell r="C38">
            <v>9810816655</v>
          </cell>
          <cell r="D38" t="str">
            <v>C-34, First Floor, Sushant Lok-1</v>
          </cell>
          <cell r="E38" t="str">
            <v>M G Road</v>
          </cell>
          <cell r="F38" t="str">
            <v>Tuesday</v>
          </cell>
          <cell r="G38" t="str">
            <v>9 AM - 12 PM</v>
          </cell>
          <cell r="H38">
            <v>1450</v>
          </cell>
          <cell r="I38">
            <v>362.5</v>
          </cell>
          <cell r="J38" t="str">
            <v>Bliss</v>
          </cell>
          <cell r="K38" t="str">
            <v>Paytm From Aryank Mathur (29/04) Pls send asiatic only (10/06) Do not count last delivery (01/09) Diff flowers now (04/09) Hold due to non payment (14/10) Gpay from Medhavi Mathur (30/10) No Gerbera and Glad (04/12) No Orchids (18/12) Hold due to non payment (13/01) Hold due to non payment (20/01)</v>
          </cell>
          <cell r="L38" t="str">
            <v>No Glad n Gerbera n Orchid</v>
          </cell>
          <cell r="M38" t="str">
            <v>Diff flowers Now (04/09)</v>
          </cell>
          <cell r="N38" t="str">
            <v>4  del of this cycle   -  0-cycles pmnt   Completed - Collect 0</v>
          </cell>
          <cell r="O38" t="str">
            <v>O n P Car ( 14 Inch ) 16     FF Sachet + Grass</v>
          </cell>
          <cell r="P38" t="str">
            <v>O Asiatic ( 14 Inch ) 3     Grass</v>
          </cell>
          <cell r="Q38" t="str">
            <v>Rajni ( 14 Inch ) 16     Grass</v>
          </cell>
          <cell r="R38" t="str">
            <v>Mix Alstroemeria ( 12 Inch ) 16     FF Sachet + Grass</v>
          </cell>
          <cell r="S38" t="str">
            <v>P n W Spray Daisy ( 14 Inch ) 5     FF Sachet + Grass</v>
          </cell>
          <cell r="T38" t="str">
            <v>Mix Alstroemeria ( 12 Inch ) 16     Grass</v>
          </cell>
        </row>
        <row r="39">
          <cell r="A39">
            <v>3371</v>
          </cell>
          <cell r="B39" t="str">
            <v>Supriya Bijlwan</v>
          </cell>
          <cell r="C39">
            <v>9560012831</v>
          </cell>
          <cell r="D39" t="str">
            <v>C-201, Mahindra Luminaire</v>
          </cell>
          <cell r="E39" t="str">
            <v>Ghata</v>
          </cell>
          <cell r="F39" t="str">
            <v>Saturday</v>
          </cell>
          <cell r="G39" t="str">
            <v>10 AM to 2:30 PM</v>
          </cell>
          <cell r="H39">
            <v>2300</v>
          </cell>
          <cell r="I39">
            <v>287.5</v>
          </cell>
          <cell r="J39" t="str">
            <v>Felicity</v>
          </cell>
          <cell r="K39" t="str">
            <v>1 Seasonal Extra next (20/05) No Rajni in Summer (12/07)</v>
          </cell>
          <cell r="L39" t="str">
            <v>Rajni in Summer</v>
          </cell>
          <cell r="M39" t="str">
            <v>Premium in next 2 Del (23/05)</v>
          </cell>
          <cell r="N39" t="str">
            <v>2  del of this cycle   -  0-cycles pmnt   Completed - Collect 0</v>
          </cell>
          <cell r="O39" t="str">
            <v>Rajni ( 14 Inch ) 11     Grass</v>
          </cell>
          <cell r="P39" t="str">
            <v>P Asiatic ( 14 Inch ) 2     Grass</v>
          </cell>
          <cell r="Q39" t="str">
            <v>Sunflower ( 12 Incjh ) 3     FF Sachet + Grass</v>
          </cell>
          <cell r="R39" t="str">
            <v>Y Spray Daisy ( 14 Inch ) 2     FF Sachet + Grass</v>
          </cell>
          <cell r="S39" t="str">
            <v>O Asiatic ( 14 Inch ) 2     Grass</v>
          </cell>
          <cell r="T39" t="str">
            <v>P Spray Daisy ( 14 Inch ) 2 Mix Alstroemeria ( 12 Inch ) 7   FF Sachet + Grass</v>
          </cell>
        </row>
        <row r="40">
          <cell r="A40">
            <v>2487</v>
          </cell>
          <cell r="B40" t="str">
            <v>Jyoti - Digi Homes</v>
          </cell>
          <cell r="C40">
            <v>9711267571</v>
          </cell>
          <cell r="D40" t="str">
            <v>T-B/2802, Emaar Digi Homes, Sec 62</v>
          </cell>
          <cell r="E40" t="str">
            <v>Ghata</v>
          </cell>
          <cell r="F40" t="str">
            <v>Tuesday</v>
          </cell>
          <cell r="G40" t="str">
            <v>4 Pm to 7 PM</v>
          </cell>
          <cell r="H40">
            <v>1950</v>
          </cell>
          <cell r="I40">
            <v>487.5</v>
          </cell>
          <cell r="J40" t="str">
            <v>Joy</v>
          </cell>
          <cell r="K40" t="str">
            <v>No Glad n Rajni n try fir Gerbera fior 1st Del // Hold n send on 19th and send on 21st (17/04) 19th Del Missed-send on 26th (23/04) Do not count last del 28/05) Today returned (21/06) Do not count last del (20/07) Today Hold  and send on tuesday(02/08) Return today (05/08) Skip 2 Weeks (09/08) Day change to tuesday and and skip 2 week (09/08) Day Changed to saturday (02/09) No BOP also (23/09 Paytm From Jyoti chaudhary (27/10) Only No Rajni and BOP (19/03) Skip 1 week (24/06)</v>
          </cell>
          <cell r="L40" t="str">
            <v>Rajni n BOP</v>
          </cell>
          <cell r="N40" t="str">
            <v>2  del of this cycle   -  1-cycles pmnt   Pending - Collect 1950</v>
          </cell>
          <cell r="O40" t="str">
            <v>P n Pur Eustoma ( 12 Inch ) 4     FF Sachet + Grass</v>
          </cell>
          <cell r="P40" t="str">
            <v>Mix Spray Daisy 7     Grass</v>
          </cell>
          <cell r="Q40" t="e">
            <v>#N/A</v>
          </cell>
          <cell r="R40" t="str">
            <v>Y Asiatic ( 14 Inch ) 4     Grass</v>
          </cell>
          <cell r="S40" t="str">
            <v>G n W Car ( 14 Inch ) 22     FF Sachet + Grass</v>
          </cell>
          <cell r="T40" t="str">
            <v>Mix Alstroemeria ( 12 Inch ) 16     FF Sachet + Grass</v>
          </cell>
        </row>
        <row r="41">
          <cell r="A41" t="str">
            <v>B16485</v>
          </cell>
          <cell r="B41" t="str">
            <v>Anubhuti Bansal</v>
          </cell>
          <cell r="C41">
            <v>9810764422</v>
          </cell>
          <cell r="D41" t="str">
            <v>A-20/11, DLF Phase 1, Sec 26 A</v>
          </cell>
          <cell r="E41" t="str">
            <v>DLF Phase 1</v>
          </cell>
          <cell r="F41" t="str">
            <v>Tuesday</v>
          </cell>
          <cell r="G41" t="str">
            <v>By 11 AM</v>
          </cell>
          <cell r="H41">
            <v>1800</v>
          </cell>
          <cell r="I41">
            <v>1800</v>
          </cell>
          <cell r="J41" t="str">
            <v>Bouquet</v>
          </cell>
          <cell r="K41" t="str">
            <v>30 Pink , w and Orange Car in Pink n Chocolate Juet Wrap packing//  Happy Birthday Mumma ( Smiley)</v>
          </cell>
          <cell r="N41" t="str">
            <v>1  del of this cycle   -  0-cycles pmnt   Completed - Collect 0</v>
          </cell>
          <cell r="O41" t="e">
            <v>#N/A</v>
          </cell>
          <cell r="P41" t="e">
            <v>#N/A</v>
          </cell>
          <cell r="Q41" t="e">
            <v>#N/A</v>
          </cell>
          <cell r="R41" t="e">
            <v>#N/A</v>
          </cell>
          <cell r="S41" t="e">
            <v>#N/A</v>
          </cell>
          <cell r="T41" t="str">
            <v>Pur n P Car ( 14 Inch ) 16     FF Sachet + Grass</v>
          </cell>
        </row>
        <row r="42">
          <cell r="A42">
            <v>2457</v>
          </cell>
          <cell r="B42" t="str">
            <v>Pragya Singh</v>
          </cell>
          <cell r="C42">
            <v>9179965796</v>
          </cell>
          <cell r="D42" t="str">
            <v>U-44/13, U Block, Sec 24</v>
          </cell>
          <cell r="E42" t="str">
            <v>DLF Phase 3</v>
          </cell>
          <cell r="F42" t="str">
            <v>Tuesday</v>
          </cell>
          <cell r="G42" t="str">
            <v>10 AM to 2:30 PM</v>
          </cell>
          <cell r="H42">
            <v>1450</v>
          </cell>
          <cell r="I42">
            <v>362.5</v>
          </cell>
          <cell r="J42" t="str">
            <v>Bliss</v>
          </cell>
          <cell r="N42" t="str">
            <v>1  del of this cycle   -  1-cycles pmnt   Pending - Collect 1450</v>
          </cell>
          <cell r="O42" t="e">
            <v>#N/A</v>
          </cell>
          <cell r="P42" t="e">
            <v>#N/A</v>
          </cell>
          <cell r="Q42" t="e">
            <v>#N/A</v>
          </cell>
          <cell r="R42" t="e">
            <v>#N/A</v>
          </cell>
          <cell r="S42" t="e">
            <v>#N/A</v>
          </cell>
          <cell r="T42" t="str">
            <v>Mix Alstroemeria ( 12 Inch ) 16     FF Sachet + Grass</v>
          </cell>
        </row>
        <row r="43">
          <cell r="A43">
            <v>3297</v>
          </cell>
          <cell r="B43" t="str">
            <v>Samby</v>
          </cell>
          <cell r="C43">
            <v>9818996771</v>
          </cell>
          <cell r="D43" t="str">
            <v>C-183 A, 4th Floor, Sushant Lok 1</v>
          </cell>
          <cell r="E43" t="str">
            <v>M G Road</v>
          </cell>
          <cell r="F43" t="str">
            <v>Tuesday</v>
          </cell>
          <cell r="G43" t="str">
            <v>10 AM to 2:30 PM</v>
          </cell>
          <cell r="H43">
            <v>1450</v>
          </cell>
          <cell r="I43">
            <v>362.5</v>
          </cell>
          <cell r="J43" t="str">
            <v>Bliss</v>
          </cell>
          <cell r="K43" t="str">
            <v>Paytm From Sumit Kumar Bedi Jaga (29/03)</v>
          </cell>
          <cell r="N43" t="str">
            <v>1  del of this cycle   -  1-cycles pmnt   Pending - Collect 1450</v>
          </cell>
          <cell r="O43" t="str">
            <v>Mix Alstroemeria ( 12 Inch ) 16     FF Sachet + Grass</v>
          </cell>
          <cell r="P43" t="str">
            <v>Mix Spray Daisy 5     Grass</v>
          </cell>
          <cell r="Q43" t="str">
            <v>Rajni ( 14 Inch ) 16     Grass</v>
          </cell>
          <cell r="R43" t="str">
            <v>O Asiatic ( 14 Inch ) 3     Grass</v>
          </cell>
          <cell r="S43" t="str">
            <v>G n W Car ( 14 Inch ) 16     FF Sachet + Grass</v>
          </cell>
          <cell r="T43" t="str">
            <v>P n W Spray Daisy ( 14 Inch ) 4 Pur n P Car ( 14 Inch ) 11   FF Sachet + Grass</v>
          </cell>
        </row>
        <row r="44">
          <cell r="A44">
            <v>2325</v>
          </cell>
          <cell r="B44" t="str">
            <v>Aman</v>
          </cell>
          <cell r="C44">
            <v>9818655913</v>
          </cell>
          <cell r="D44" t="str">
            <v>S-1/12, 1st Floor, DLF Phase 3</v>
          </cell>
          <cell r="E44" t="str">
            <v>DLF Phase 3</v>
          </cell>
          <cell r="F44" t="str">
            <v>Saturday</v>
          </cell>
          <cell r="G44" t="str">
            <v>4 Pm to 7 PM</v>
          </cell>
          <cell r="H44">
            <v>3000</v>
          </cell>
          <cell r="I44">
            <v>375</v>
          </cell>
          <cell r="J44" t="str">
            <v>Charm</v>
          </cell>
          <cell r="K44" t="str">
            <v>Sat n Tuesday//NO Car n Lilies(07/09) Skip coming del n send on 4th Jan (25/12) Skip tom (10/01) Hold n start from 5th Mar-25(09/02) Hold due to non payment (14/10) Hold due to non payment (17/01)</v>
          </cell>
          <cell r="L44" t="str">
            <v>Car n Lilies</v>
          </cell>
          <cell r="N44" t="str">
            <v>1  del of this cycle   -  1-cycles pmnt   Pending - Collect 3000</v>
          </cell>
          <cell r="O44" t="str">
            <v>Sunflower ( 12 Inch ) 4     FF Sachet + Grass</v>
          </cell>
          <cell r="P44" t="str">
            <v>Rajni ( 14 Inch ) 15     Grass</v>
          </cell>
          <cell r="Q44" t="e">
            <v>#N/A</v>
          </cell>
          <cell r="R44" t="e">
            <v>#N/A</v>
          </cell>
          <cell r="S44" t="e">
            <v>#N/A</v>
          </cell>
          <cell r="T44" t="str">
            <v>Pur n P Car ( 14 Inch ) 16     FF Sachet + Grass</v>
          </cell>
        </row>
        <row r="45">
          <cell r="A45">
            <v>1389</v>
          </cell>
          <cell r="B45" t="str">
            <v>Revathi-- After 5 PM</v>
          </cell>
          <cell r="C45">
            <v>9811998878</v>
          </cell>
          <cell r="D45" t="str">
            <v>A-1201, The Emaar Palm Drive</v>
          </cell>
          <cell r="E45" t="str">
            <v>Badshahpur</v>
          </cell>
          <cell r="F45" t="str">
            <v>Friday</v>
          </cell>
          <cell r="G45" t="str">
            <v>4 PM to 7PM</v>
          </cell>
          <cell r="H45">
            <v>3850</v>
          </cell>
          <cell r="I45">
            <v>481.25</v>
          </cell>
          <cell r="J45" t="str">
            <v>Grace</v>
          </cell>
          <cell r="K45" t="str">
            <v>Friday and Tuesday// NO RAJNIGANDHA NOW ONLY LILIES//CAR AND GLAD(26/07)  NO WONLY LILIES, HELICONIA AND CAR IN YELLOW OR ORANGE ONLY(11/09)  ONLY  LILIES/GLADIOLI AND HELICONIA ONLY IN YELL AND ORANGE COLOR-- NOCARNATION(01/10) Rajni or Bop next(18/10) Send 1 FF Next(29/06) LILY n GLAD ARE PREFERRED(29/06) Now From Rose//Car//Glad//Guldawari//Asiatic//Oriental(03/08) Skip this friday(09/08) No Upgrade (17/10) Skip 1 week (114/11) Skip 1 week after tom Delivery (09/03) No Del on Froday-- sned on Tuesda (29/03) Glad Next (01/05) Hold n start after 8th June (12/05) Bop n Heliconia Next (10/02) Skip tom Del (28/03) Flower food next (14/05) Hold till 8th (29/05) No Gerbera and Orchid (28/07) One Payment received today (01/10) Skip Friday Del (27/11) Skip friday (25/12) Return not at home (20/06) Today Returned (20/06) Received one payment of 3250 today (21/07)</v>
          </cell>
          <cell r="L45" t="str">
            <v>Gerbera n ORCHID</v>
          </cell>
          <cell r="N45" t="str">
            <v>4  del of this cycle   -  0-cycles pmnt   Completed - Collect 0</v>
          </cell>
          <cell r="O45" t="str">
            <v>P n Y Spray Daisy ( 14 Inch ) 6     FF Sachet + Grass</v>
          </cell>
          <cell r="P45" t="str">
            <v>Mix Alstromia 20     Grass</v>
          </cell>
          <cell r="Q45" t="str">
            <v>Pur n P Eustoma ( 12 Inch ) 4     FF Sachet + Grass</v>
          </cell>
          <cell r="R45" t="str">
            <v>P n W Car ( 14 Inch ) 20     FF Sachet + Grass</v>
          </cell>
          <cell r="S45" t="str">
            <v>Rajni ( 14 Inch ) 20     Grass</v>
          </cell>
          <cell r="T45" t="str">
            <v>O Asiatic ( 14 Inch ) 3     Grass</v>
          </cell>
        </row>
        <row r="46">
          <cell r="A46">
            <v>2791</v>
          </cell>
          <cell r="B46" t="str">
            <v>Deepa Mittal</v>
          </cell>
          <cell r="C46">
            <v>9899603908</v>
          </cell>
          <cell r="D46" t="str">
            <v>C-481, Sushant Lok -1, Sec 43</v>
          </cell>
          <cell r="E46" t="str">
            <v>M G Road</v>
          </cell>
          <cell r="F46" t="str">
            <v>Tuesday</v>
          </cell>
          <cell r="G46" t="str">
            <v>10 AM to 2:30 AM</v>
          </cell>
          <cell r="H46">
            <v>1450</v>
          </cell>
          <cell r="I46">
            <v>362.5</v>
          </cell>
          <cell r="J46" t="str">
            <v>Bliss</v>
          </cell>
          <cell r="K46" t="str">
            <v>Only Seasonal (23/11) Paytm From Eishaan Mittal (02/12) Paytm From Ihita Sharma (30/12)</v>
          </cell>
          <cell r="L46" t="str">
            <v>Seasonal</v>
          </cell>
          <cell r="N46" t="str">
            <v>1  del of this cycle   -  0-cycles pmnt   Completed - Collect 0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str">
            <v>Rajni ( 14 Inch ) 22     Grass</v>
          </cell>
        </row>
        <row r="47">
          <cell r="A47">
            <v>2183</v>
          </cell>
          <cell r="B47" t="str">
            <v>Kalpana</v>
          </cell>
          <cell r="C47">
            <v>9910681399</v>
          </cell>
          <cell r="D47" t="str">
            <v>Flat No. 60, HEWO Appartments, Sec 31</v>
          </cell>
          <cell r="E47" t="str">
            <v>South City 1</v>
          </cell>
          <cell r="F47" t="str">
            <v>Tuesday</v>
          </cell>
          <cell r="G47" t="str">
            <v>4 Pm to 7 PM</v>
          </cell>
          <cell r="H47">
            <v>1450</v>
          </cell>
          <cell r="I47">
            <v>362.5</v>
          </cell>
          <cell r="J47" t="str">
            <v>Bliss</v>
          </cell>
          <cell r="K47" t="str">
            <v>Skip 2 weeks (25/12) // Hold n start from Mar (01/02) Skip 1 week (14/04) Today Returned (30/04) Hold till 5th June (18/05) No Yello Color (11/02) 18th Del returned (20/03) Hold n start after 15th June(14/05) Skip 1 week (17/12) Skip 1 week 922/01) Skip 1 week (14/02) Hold after current cycle and then start from June (25/03) Skip 1 week (22/06)</v>
          </cell>
          <cell r="M47" t="str">
            <v>Yellow Color</v>
          </cell>
          <cell r="N47" t="str">
            <v>4  del of this cycle   -  0-cycles pmnt   Completed - Collect 0</v>
          </cell>
          <cell r="O47" t="str">
            <v>P n W Glad ( 14 Inch ) 9     Grass</v>
          </cell>
          <cell r="P47" t="e">
            <v>#N/A</v>
          </cell>
          <cell r="Q47" t="str">
            <v>Pur n P Eustoma ( 12 Inch ) 3     FF Sachet + Grass</v>
          </cell>
          <cell r="R47" t="str">
            <v>Pur n P Car ( 14 Inch ) 16     FF Sachet + Grass</v>
          </cell>
          <cell r="S47" t="str">
            <v>O Asiatic ( 14 Inch ) 3 No Yellow Color    Grass</v>
          </cell>
          <cell r="T47" t="str">
            <v>Pur n P Car ( 14 Inch ) 16     FF Sachet + Grass</v>
          </cell>
        </row>
        <row r="48">
          <cell r="A48">
            <v>2290</v>
          </cell>
          <cell r="B48" t="str">
            <v>Anjana Soneja -- Before 1:30 OM</v>
          </cell>
          <cell r="C48">
            <v>9910049708</v>
          </cell>
          <cell r="D48" t="str">
            <v>G-18/10, 3rd Floor, DLF Phase 1</v>
          </cell>
          <cell r="E48" t="str">
            <v>DLF Phase 1</v>
          </cell>
          <cell r="F48" t="str">
            <v>Saturday</v>
          </cell>
          <cell r="G48" t="str">
            <v>9 AM - 12 PM</v>
          </cell>
          <cell r="H48">
            <v>2300</v>
          </cell>
          <cell r="I48">
            <v>287.5</v>
          </cell>
          <cell r="J48" t="str">
            <v>Felicity</v>
          </cell>
          <cell r="K48" t="str">
            <v>Saturday n Tuesday//Flower Food next (28/07) No Car n Spray Daisy (01/08) Today returned (26/07) Skip today (02/09) Skip tom (08/09) Skip Tuesday Del (15/09) Skip tom (19/09) Returned today (23/09) Hold Today (27/09) Skip tom (10/11) Skip 1 week (22/11) Skip tuesday (01/12) Ski ptuesday (08/12) Hold tuesdauy (1512) Hold tuesday (22/12) Hold tuesday (29/12) Skip next del (15/01) Skip this Saturday (22/01) Skip sat (29/01) Skip tuesday (23/02) Skip tuesday (09/03) Skip sat (26/03) Returned n hold (011/04) sKIP SAT (30/04) Today Hold (05/05)</v>
          </cell>
          <cell r="L48" t="str">
            <v>Car n Spray Daisy</v>
          </cell>
          <cell r="N48" t="str">
            <v>3  del of this cycle   -  0-cycles pmnt   Completed - Collect 0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str">
            <v>O Asiatic ( 14 Inch ) 4     Grass</v>
          </cell>
        </row>
        <row r="49">
          <cell r="A49">
            <v>2426</v>
          </cell>
          <cell r="B49" t="str">
            <v>Pragati Agarwal</v>
          </cell>
          <cell r="C49">
            <v>9811152110</v>
          </cell>
          <cell r="D49" t="str">
            <v>C-1019, G Floor, Sushant Lok 1</v>
          </cell>
          <cell r="E49" t="str">
            <v>M G Road</v>
          </cell>
          <cell r="F49" t="str">
            <v>Tuesday</v>
          </cell>
          <cell r="G49" t="str">
            <v>10 AM to 2:30 PM</v>
          </cell>
          <cell r="H49">
            <v>1950</v>
          </cell>
          <cell r="I49">
            <v>487.5</v>
          </cell>
          <cell r="J49" t="str">
            <v>Joy</v>
          </cell>
          <cell r="K49" t="str">
            <v>Skip 1 week (10/04) No Bop (29/04) No Rajni (29/07) One kind of flowers (31/10) Skip 1 week (05/01) Hold 1 month (07/03) Paytm From Tanmay Agarwal (05/05)</v>
          </cell>
          <cell r="L49" t="str">
            <v>BOP n Rajni</v>
          </cell>
          <cell r="M49" t="str">
            <v>One Kind of Flower (31/10)</v>
          </cell>
          <cell r="N49" t="str">
            <v>1  del of this cycle   -  1-cycles pmnt   Pending - Collect 1900</v>
          </cell>
          <cell r="O49" t="str">
            <v>O n P Car ( 14 Inch ) 22     FF Sachet + Grass</v>
          </cell>
          <cell r="P49" t="str">
            <v>Sunflower ( 12 Inch ) 4     Grass</v>
          </cell>
          <cell r="Q49" t="str">
            <v>P n W Glad ( 14 inch ) 22    Ensure Collection Grass</v>
          </cell>
          <cell r="R49" t="str">
            <v>O Asiatic ( 14 Inch ) 4     Grass</v>
          </cell>
          <cell r="S49" t="str">
            <v>G n W Car ( 14 Inch ) 22     FF Sachet + Grass</v>
          </cell>
          <cell r="T49" t="str">
            <v>Y Asiatic ( 14 Inch ) 3     Grass</v>
          </cell>
        </row>
        <row r="50">
          <cell r="A50">
            <v>2463</v>
          </cell>
          <cell r="B50" t="str">
            <v>Rishika Mazumdar</v>
          </cell>
          <cell r="C50">
            <v>9674039510</v>
          </cell>
          <cell r="D50" t="str">
            <v>A-45/17, 4th Floor, Yadav House, Sec 28, DLF Phase 1</v>
          </cell>
          <cell r="E50" t="str">
            <v>DLF Phase 1</v>
          </cell>
          <cell r="F50" t="str">
            <v>Tuesday</v>
          </cell>
          <cell r="G50" t="str">
            <v>9 AM - 12 PM</v>
          </cell>
          <cell r="H50">
            <v>1450</v>
          </cell>
          <cell r="I50">
            <v>362.5</v>
          </cell>
          <cell r="J50" t="str">
            <v>Bliss</v>
          </cell>
          <cell r="K50" t="str">
            <v>Referred by Navjot Kaur// Sent replacement today (15/04) skip next and send on Tuesday (26/04) Skip n send on Tuesday (22/06) Skip tom n send on Tuesday (04/07) Change day to Tuesday (17/07) Hold from 20th Sep and stsrt from 11th Oct (01/09) Skip 25th and sned on 29th (18/11) Paytm from Tushar Gupta (17/02) Hold till 12th April (29/03)</v>
          </cell>
          <cell r="M50" t="str">
            <v>Don’t send on  28th -- sned on 1st July(26/04)</v>
          </cell>
          <cell r="N50" t="str">
            <v>1  del of this cycle   -  1-cycles pmnt   Pending - Collect 1450</v>
          </cell>
          <cell r="O50" t="str">
            <v>Sunflower ( 12 Inch ) 2     FF Sachet + Grass</v>
          </cell>
          <cell r="P50" t="str">
            <v>B Daisy ( 12 Inch ) 16     Grass</v>
          </cell>
          <cell r="Q50" t="str">
            <v>O Asiatic ( 14 Inch ) 3     Grass</v>
          </cell>
          <cell r="R50" t="str">
            <v>Pur n P Car ( 14 Inch ) 16     FF Sachet + Grass</v>
          </cell>
          <cell r="S50" t="str">
            <v>P n Y Spray Daisy ( 14 Inch ) 5     FF Sachet + Grass</v>
          </cell>
          <cell r="T50" t="str">
            <v>G Hydrangea +  G n W Button Daisy + G n W Eustoma + G n W Car + Baloon Flowers + G n W Anthurium + W Car + Lotus Bud 10 + 30 + 20 + 100 + 15 + 8 + 30 + 20 Baby Dollar + G Hanging Amaranthus + Mirchi Patti + Gypsola + Limonium 3 Bunch + 20 + 4 Bunch + 5 Bunch + 2 Bunch + 2 Bunch  Green Apple  Pear + Japanese Grapes 1 Kg + 500 Gm</v>
          </cell>
        </row>
        <row r="51">
          <cell r="A51" t="str">
            <v>B56511</v>
          </cell>
          <cell r="B51" t="str">
            <v>Deepa Bansal</v>
          </cell>
          <cell r="C51">
            <v>8375000109</v>
          </cell>
          <cell r="D51" t="str">
            <v>Pick up</v>
          </cell>
          <cell r="E51" t="str">
            <v>Pick Up</v>
          </cell>
          <cell r="F51" t="str">
            <v>Tuesday</v>
          </cell>
          <cell r="G51" t="str">
            <v>By 9 AM</v>
          </cell>
          <cell r="H51">
            <v>350</v>
          </cell>
          <cell r="I51">
            <v>350</v>
          </cell>
          <cell r="J51" t="str">
            <v>Bouquet</v>
          </cell>
          <cell r="K51" t="str">
            <v>10 Rajni in Single Wrap</v>
          </cell>
          <cell r="N51" t="str">
            <v>1  del of this cycle   -  1-cycles pmnt   Pending - Collect 350</v>
          </cell>
          <cell r="O51" t="e">
            <v>#N/A</v>
          </cell>
          <cell r="P51" t="e">
            <v>#N/A</v>
          </cell>
          <cell r="Q51" t="e">
            <v>#N/A</v>
          </cell>
          <cell r="R51" t="e">
            <v>#N/A</v>
          </cell>
          <cell r="S51" t="e">
            <v>#N/A</v>
          </cell>
          <cell r="T51" t="str">
            <v xml:space="preserve">Mix Oriental 4 Each Bouquet Rajni 6 each  Single Wrap  </v>
          </cell>
        </row>
        <row r="52">
          <cell r="B52" t="str">
            <v>95604 08228‬</v>
          </cell>
          <cell r="C52" t="str">
            <v>95604 08228‬</v>
          </cell>
          <cell r="D52" t="str">
            <v>House 23, First Floor, Block A, South City 2, Sector 49, Gurgaon</v>
          </cell>
          <cell r="H52">
            <v>1500</v>
          </cell>
          <cell r="J52" t="str">
            <v>Bouquet</v>
          </cell>
          <cell r="K52" t="str">
            <v>Same address:
House 23, First Floor, Block A, South City 2, Sector 49, Gurgaon
‪+91 95604 08228‬
Pl send a bouquet of 20 white and 10 peach rose in single wrap today before 1pm and send flower food too.. for 1500</v>
          </cell>
          <cell r="N52" t="str">
            <v>W n Peach Rose</v>
          </cell>
          <cell r="T52" t="str">
            <v xml:space="preserve">Car+Asiatic+Rajni 6+6+3 Tissue Wrap    </v>
          </cell>
        </row>
        <row r="53">
          <cell r="B53" t="str">
            <v>Disha Gopal</v>
          </cell>
          <cell r="C53">
            <v>8588003677</v>
          </cell>
          <cell r="D53" t="str">
            <v>T-10/4A, Central Park Resorts, Sec 48</v>
          </cell>
          <cell r="H53">
            <v>750</v>
          </cell>
          <cell r="J53" t="str">
            <v>Bouquet</v>
          </cell>
          <cell r="K53" t="str">
            <v>Please put the below message: 
‘Wishing you a very Happy Anniversary dearest Deepa and Mr. Uday. 
From: VP, Archana and Tanay Gopal.’</v>
          </cell>
          <cell r="T53" t="str">
            <v xml:space="preserve">Rajni 7 Single Wrap    </v>
          </cell>
        </row>
        <row r="54">
          <cell r="B54" t="str">
            <v xml:space="preserve">Amish </v>
          </cell>
          <cell r="C54" t="str">
            <v>99907 00464</v>
          </cell>
          <cell r="D54" t="str">
            <v>33/5, Primrose, Vatika City,Sector 49 Gurgaon</v>
          </cell>
          <cell r="G54" t="str">
            <v xml:space="preserve">7:30-8:30 </v>
          </cell>
          <cell r="H54">
            <v>1040</v>
          </cell>
          <cell r="J54" t="str">
            <v>Bouquet</v>
          </cell>
          <cell r="K54" t="str">
            <v>Send today between 7:30-8:30 
To Amish 
+91 99907 00464
Address is 
33/5, Primrose, Vatika City,
Sector 49 Gurgaon</v>
          </cell>
          <cell r="T54" t="str">
            <v xml:space="preserve">P Asiatic 5 Grass+arica    </v>
          </cell>
        </row>
      </sheetData>
      <sheetData sheetId="21"/>
      <sheetData sheetId="22"/>
      <sheetData sheetId="23"/>
      <sheetData sheetId="24"/>
      <sheetData sheetId="25"/>
      <sheetData sheetId="26"/>
      <sheetData sheetId="27">
        <row r="2">
          <cell r="B2" t="str">
            <v xml:space="preserve">Urvashi </v>
          </cell>
          <cell r="C2" t="str">
            <v> 98106 01444‬</v>
          </cell>
          <cell r="D2" t="str">
            <v>C 356 Defence Colony , Opp. Park City: New Delhi ,110024</v>
          </cell>
          <cell r="H2">
            <v>4150</v>
          </cell>
          <cell r="J2" t="str">
            <v>Bouquet</v>
          </cell>
          <cell r="K2" t="str">
            <v>From Dimpi Singh today 
To
Urvashi 
‪+91 98106 01444‬
Recipient Name: Urvashi Sethi Sodhi
Address: C 356 Defence Colony , Opp. Park City: New Delhi ,110024
Msg. 
Something to welcome you my dear amazing , beautiful young friend.  
With love from 
Navneet and me</v>
          </cell>
          <cell r="T2" t="str">
            <v xml:space="preserve">P Rose 20     </v>
          </cell>
        </row>
        <row r="3">
          <cell r="A3">
            <v>2933</v>
          </cell>
          <cell r="B3" t="str">
            <v>Yukti Batra</v>
          </cell>
          <cell r="C3">
            <v>9953740608</v>
          </cell>
          <cell r="D3" t="str">
            <v>H. No. 2015, 2nd Floor, Madalsa Hospital, Sec 46</v>
          </cell>
          <cell r="E3" t="str">
            <v>Huda</v>
          </cell>
          <cell r="F3" t="str">
            <v>Tuesday</v>
          </cell>
          <cell r="G3" t="str">
            <v>9 AM to 2 PM</v>
          </cell>
          <cell r="H3">
            <v>1450</v>
          </cell>
          <cell r="I3">
            <v>362.5</v>
          </cell>
          <cell r="J3" t="str">
            <v>Bliss</v>
          </cell>
          <cell r="K3" t="str">
            <v>Returned today (30/08) Change day to Tuesday (05/09) Skip 1 week (20/10) Skip 2 week (05/04) R n W Car tom (08/05) Hold today (26/05) Skip 1 week (02/06) Skip 1 week (15/06) Returned today (07/07)</v>
          </cell>
          <cell r="N3" t="str">
            <v>1  del of this cycle   -  1-cycles pmnt   Pending - Collect 1450</v>
          </cell>
          <cell r="O3" t="str">
            <v>Rajni ( 14 Inch ) 16     FF Sachet + Grass</v>
          </cell>
          <cell r="P3" t="str">
            <v>Pur n P Eustoma ( 12 Inch ) 3     FF Sachet + Grass</v>
          </cell>
          <cell r="Q3" t="str">
            <v>B Daisy ( 12 Inch ) 16     Grass</v>
          </cell>
          <cell r="R3" t="str">
            <v>G n W Car ( 14 Inch ) 16     FF Sachet + Grass</v>
          </cell>
          <cell r="S3" t="str">
            <v>Y Asiatic ( 14 Inch )  3     Grass</v>
          </cell>
          <cell r="T3" t="str">
            <v>P n W Car ( 14 Inch ) 20     FF Sachet + Grass</v>
          </cell>
        </row>
        <row r="4">
          <cell r="A4">
            <v>3332</v>
          </cell>
          <cell r="B4" t="str">
            <v xml:space="preserve">Paroma </v>
          </cell>
          <cell r="C4">
            <v>9810076197</v>
          </cell>
          <cell r="D4" t="str">
            <v>123A Hamilton Court, DLF City Phase IV. Tower 1 23rd floor. Gurgaon</v>
          </cell>
          <cell r="E4" t="str">
            <v>DLF Phase 4</v>
          </cell>
          <cell r="F4" t="str">
            <v>Saturday</v>
          </cell>
          <cell r="G4" t="str">
            <v>10 AM to 2:30 PM</v>
          </cell>
          <cell r="H4">
            <v>1450</v>
          </cell>
          <cell r="I4">
            <v>362.5</v>
          </cell>
          <cell r="J4" t="str">
            <v>Bliss</v>
          </cell>
          <cell r="K4" t="str">
            <v>Four Plus 1 Pack (18/04) Next del with Flower Food (15/05) HDTNP (25/07) Send 1 del tom (27/07)</v>
          </cell>
          <cell r="M4" t="str">
            <v>Next Del with FF (15/05)</v>
          </cell>
          <cell r="N4" t="str">
            <v>2  del of this cycle   -  0-cycles pmnt   Completed - Collect 0</v>
          </cell>
          <cell r="O4" t="e">
            <v>#N/A</v>
          </cell>
          <cell r="P4" t="e">
            <v>#N/A</v>
          </cell>
          <cell r="Q4" t="e">
            <v>#N/A</v>
          </cell>
          <cell r="R4" t="e">
            <v>#N/A</v>
          </cell>
          <cell r="S4" t="e">
            <v>#N/A</v>
          </cell>
          <cell r="T4" t="str">
            <v>Y Asiatic ( 14 Inch ) 4     Grass</v>
          </cell>
        </row>
        <row r="5">
          <cell r="A5">
            <v>2235</v>
          </cell>
          <cell r="B5" t="str">
            <v>Neha Khetan</v>
          </cell>
          <cell r="C5">
            <v>9650090724</v>
          </cell>
          <cell r="D5" t="str">
            <v>F3, D E F Block, Greenwood City, Sec 46</v>
          </cell>
          <cell r="E5" t="str">
            <v>Cyber World</v>
          </cell>
          <cell r="F5" t="str">
            <v>Tuesday</v>
          </cell>
          <cell r="G5" t="str">
            <v>9 AM to 2 PM</v>
          </cell>
          <cell r="H5">
            <v>1450</v>
          </cell>
          <cell r="I5">
            <v>362.5</v>
          </cell>
          <cell r="J5" t="str">
            <v>Bliss</v>
          </cell>
          <cell r="K5" t="str">
            <v>Skip 1 week (20/03) Flower Food Next (21/04). 500 received today- 250 adjusted in flower food, 250 extra. // 400 cash collected today (07/01) Paytm From Anupam Khetan (29/07) Hold due to non payment (07/10) Send tom (07/10) Hold for 1 Month (24/06)</v>
          </cell>
          <cell r="M5" t="str">
            <v>Single Kind // Vcheck before sending (24/06)</v>
          </cell>
          <cell r="N5" t="str">
            <v>1  del of this cycle   -  1-cycles pmnt   Pending - Collect 1450</v>
          </cell>
          <cell r="O5" t="str">
            <v>Pur Eustoma ( 12 Inch ) 3     FF Sachet + Grass</v>
          </cell>
          <cell r="P5" t="e">
            <v>#N/A</v>
          </cell>
          <cell r="Q5" t="e">
            <v>#N/A</v>
          </cell>
          <cell r="R5" t="e">
            <v>#N/A</v>
          </cell>
          <cell r="S5" t="e">
            <v>#N/A</v>
          </cell>
          <cell r="T5" t="str">
            <v>B Daisy ( 12 Inch ) 16     Grass</v>
          </cell>
        </row>
        <row r="6">
          <cell r="A6">
            <v>2247</v>
          </cell>
          <cell r="B6" t="str">
            <v>Reeya Naahar</v>
          </cell>
          <cell r="C6">
            <v>9818862169</v>
          </cell>
          <cell r="D6" t="str">
            <v>B-316-B, Sushant Lok-1</v>
          </cell>
          <cell r="E6" t="str">
            <v>M G Road</v>
          </cell>
          <cell r="F6" t="str">
            <v>Saturday</v>
          </cell>
          <cell r="G6" t="str">
            <v>9:30 AM to 2PM</v>
          </cell>
          <cell r="H6">
            <v>2300</v>
          </cell>
          <cell r="I6">
            <v>287.5</v>
          </cell>
          <cell r="J6" t="str">
            <v>Felicity</v>
          </cell>
          <cell r="K6" t="str">
            <v>Saturday n Tuesday// No Yel Spray Daisy // Do not count last del (06/07) No Gerbera (12/04)</v>
          </cell>
          <cell r="L6" t="str">
            <v>GERBERA</v>
          </cell>
          <cell r="N6" t="str">
            <v>4  del of this cycle   -  0-cycles pmnt   In Process - Collect 0</v>
          </cell>
          <cell r="O6" t="str">
            <v>Rajni ( 14 Inch ) 11     Grass</v>
          </cell>
          <cell r="P6" t="str">
            <v>P n W Glad ( 14 inch ) 11     Grass</v>
          </cell>
          <cell r="Q6" t="str">
            <v>Pur n P Car ( 14 Inch ) 11     FF Sachet + Grass</v>
          </cell>
          <cell r="R6" t="str">
            <v>Mix Alstroemeria ( 12 Inch ) 11     FF Sachet + Grass</v>
          </cell>
          <cell r="S6" t="str">
            <v>Y Asiatic ( 14 Inch )  2     Grass</v>
          </cell>
          <cell r="T6" t="str">
            <v>Pur n P Car ( 14 Inch ) 16     FF Sachet + Grass</v>
          </cell>
        </row>
        <row r="7">
          <cell r="A7">
            <v>3014</v>
          </cell>
          <cell r="B7" t="str">
            <v>Monika Arora</v>
          </cell>
          <cell r="C7">
            <v>9990121666</v>
          </cell>
          <cell r="D7" t="str">
            <v>Tostem Studio, Plot No. 564, Basement, Sec 39, Near Bakhtawar Chwok</v>
          </cell>
          <cell r="E7" t="str">
            <v>Medanta</v>
          </cell>
          <cell r="F7" t="str">
            <v>Saturday</v>
          </cell>
          <cell r="G7" t="str">
            <v>9 AM - 12 PM</v>
          </cell>
          <cell r="H7">
            <v>1600</v>
          </cell>
          <cell r="I7">
            <v>200</v>
          </cell>
          <cell r="J7" t="str">
            <v>Bloom</v>
          </cell>
          <cell r="K7" t="str">
            <v>Change in Address (31/12)</v>
          </cell>
          <cell r="N7" t="str">
            <v>8  del of this cycle   -  0-cycles pmnt   Completed - Collect 0</v>
          </cell>
          <cell r="O7" t="str">
            <v>P n W Car ( 14 Inch ) 7     FF Sachet + Grass</v>
          </cell>
          <cell r="P7" t="str">
            <v>Sunflower ( 12 Incjh ) 2     FF Sachet + Grass</v>
          </cell>
          <cell r="Q7" t="str">
            <v>Pur Eustoma ( 12 inch ) 2     FF Sachet + Grass</v>
          </cell>
          <cell r="R7" t="str">
            <v>Y Spray Daisy (14 Inch ) 2     FF Sachet + Grass</v>
          </cell>
          <cell r="S7" t="str">
            <v>P Eustoma ( 12 Inch )  2     FF Sachet + Grass</v>
          </cell>
          <cell r="T7" t="str">
            <v>B Daisy ( 12 Inch ) 7     Grass</v>
          </cell>
        </row>
        <row r="8">
          <cell r="A8">
            <v>2692</v>
          </cell>
          <cell r="B8" t="str">
            <v>A K Jain</v>
          </cell>
          <cell r="C8">
            <v>9910309930</v>
          </cell>
          <cell r="D8" t="str">
            <v>B-785, Sushant Lok-1, Near Police Chowki</v>
          </cell>
          <cell r="E8" t="str">
            <v>M G Road</v>
          </cell>
          <cell r="F8" t="str">
            <v>Saturday</v>
          </cell>
          <cell r="G8" t="str">
            <v>9 AM - 12 PM</v>
          </cell>
          <cell r="H8">
            <v>2300</v>
          </cell>
          <cell r="I8">
            <v>287.5</v>
          </cell>
          <cell r="J8" t="str">
            <v>Felicity</v>
          </cell>
          <cell r="K8" t="str">
            <v>Saturdya n Tuesday (16/05) Hold from 10th to 14th June (07/06) Paytm From Akhil Jain (21/06) Skip sat del and send them on Sunday (30/07) Do not count last delivery (22/09) Hold 25th and 28th (19/10) Today Returned (04/11) Skip sat delivery (18/03) Do not count last Del (15/06)</v>
          </cell>
          <cell r="N8" t="str">
            <v>6  del of this cycle   -  0-cycles pmnt   Completed - Collect 0</v>
          </cell>
          <cell r="O8" t="str">
            <v>Rajni ( 14 Inch ) 11     Grass</v>
          </cell>
          <cell r="P8" t="str">
            <v>P n W Glad ( 14 inch ) 11     Grass</v>
          </cell>
          <cell r="Q8" t="str">
            <v>Pur n P Car ( 14 Inch ) 11     FF Sachet + Grass</v>
          </cell>
          <cell r="R8" t="str">
            <v>P Spray Daisy ( 14 Inch ) 3     FF Sachet + Grass</v>
          </cell>
          <cell r="S8" t="str">
            <v>Mix Glad ( 14 Inch ) 11     Grass</v>
          </cell>
          <cell r="T8" t="str">
            <v>W Asiatic ( 14 Inch ) 3     1 Gypsola</v>
          </cell>
        </row>
        <row r="9">
          <cell r="A9">
            <v>2706</v>
          </cell>
          <cell r="B9" t="str">
            <v>Monika Arora</v>
          </cell>
          <cell r="C9">
            <v>9990121666</v>
          </cell>
          <cell r="D9" t="str">
            <v>Tostem Studio, Plot No. 564, Basement, Sec 39, Near Bakhtawar Chwok</v>
          </cell>
          <cell r="E9" t="str">
            <v>Medanta</v>
          </cell>
          <cell r="F9" t="str">
            <v>Saturday</v>
          </cell>
          <cell r="G9" t="str">
            <v>9 AM - 12 PM</v>
          </cell>
          <cell r="H9">
            <v>1600</v>
          </cell>
          <cell r="I9">
            <v>200</v>
          </cell>
          <cell r="J9" t="str">
            <v>Bloom</v>
          </cell>
          <cell r="K9" t="str">
            <v>Ref From Anupma Rastogi // Today Returned (09/08) Hold today (16/08) Today office was closed (21/10)</v>
          </cell>
          <cell r="N9" t="str">
            <v>8  del of this cycle   -  0-cycles pmnt   Completed - Collect 0</v>
          </cell>
          <cell r="O9" t="str">
            <v>Rajni ( 14 Inch ) 7     Grass</v>
          </cell>
          <cell r="P9" t="str">
            <v>P n W Glad ( 14 inch ) 7     Grass</v>
          </cell>
          <cell r="Q9" t="str">
            <v>B Daisy ( 12 Inch ) 7     Grass</v>
          </cell>
          <cell r="R9" t="str">
            <v>G n W Car ( 14 Inch ) 7     FF Sachet + Grass</v>
          </cell>
          <cell r="S9" t="str">
            <v>Mix Alstroemeria ( 12 Inch ) 7     FF Sachet + Grass</v>
          </cell>
          <cell r="T9" t="str">
            <v>Pur n P Car ( 14 Inch ) 15     FF Sachet + Grass</v>
          </cell>
        </row>
        <row r="10">
          <cell r="A10">
            <v>975</v>
          </cell>
          <cell r="B10" t="str">
            <v>Ritu Sacheti</v>
          </cell>
          <cell r="C10">
            <v>9910007371</v>
          </cell>
          <cell r="D10" t="str">
            <v>B1/1401, World Spa, Sector 30</v>
          </cell>
          <cell r="E10" t="str">
            <v>South City 1</v>
          </cell>
          <cell r="F10" t="str">
            <v>Saturday</v>
          </cell>
          <cell r="G10" t="str">
            <v>9 AM - 12 PM</v>
          </cell>
          <cell r="H10">
            <v>3750</v>
          </cell>
          <cell r="I10">
            <v>468.75</v>
          </cell>
          <cell r="J10" t="str">
            <v>Grace</v>
          </cell>
          <cell r="K10" t="str">
            <v>Sat n Tuesday//NO Chrysanthemums(30/12) Received 50Rs. Today(13/01) Today returned-send tom(27/01) Pls send double del on next del and upgrade to 1250 pack once this cycle completes(25/05/2020) Sending 1st June Flowers on 30th may(30/05/2020) Upgrade to 1750 pack and always send 4 Asiatic and 15 normal flowers(08/07) Send replacement of glad tom(19/08/20) Hold n start from Feb(17/01) Skiped 1 week due to HOLI(29/03) NO RAJNI IN SUMMER(16/07) Send 4 Stick asiatic complimentary Tom(20/09) Send 2 Open Asiatic and replace Carnations AND NEVER CAR(04/10) Rs. 250 received against extra flowers(05/10) NO SAME COLOR FLOWERS(04/03) Return today (06/12) NO GERBERA (10/01) Return-send tom (04/04) Sent replacement of Guldawari today (09/04) Today Returned (20/06) No Flowers From 10th to 19 Th nov (02/11) No Flowers betqeen 22nd and 1st Jan (22/12) Returned today (10/02) Skip today (13/02) Skip this tuesday (11/03) No Flowers from 29th to 3rd Nov (25/10) Return today (23/11) No Gerbera (30/11) Today Returned (24/05) Sent 1 delivery today (25/05)</v>
          </cell>
          <cell r="L10" t="str">
            <v>GERBERA n SUNFLOWER</v>
          </cell>
          <cell r="N10" t="str">
            <v>7  del of this cycle   -  0-cycles pmnt   Completed - Collect 0</v>
          </cell>
          <cell r="O10" t="str">
            <v>P Eustoma ( 12 Inch ) 3 Rajni ( 14 Inch ) 10   FF Sachet + Grass</v>
          </cell>
          <cell r="P10" t="str">
            <v>O Asiatic ( 14 Inch ) 2 P n W Car ( 14 Inch ) 10   Grass</v>
          </cell>
          <cell r="Q10" t="str">
            <v>Pur Eustoma ( 12 inch ) 2 Mix Alstroemeria ( 12 Inch ) 10   FF Sachet + Grass</v>
          </cell>
          <cell r="R10" t="str">
            <v>O Asiatic ( 14 Inch ) 2 G n W Car ( 14 Inch ) 12   Grass</v>
          </cell>
          <cell r="S10" t="str">
            <v>P Eustoma ( 12 Inch )  3 Mix Glad ( 12 Inch ) 10   FF Sachet + Grass</v>
          </cell>
          <cell r="T10" t="str">
            <v>Pur Eustoma ( 12 inch ) 2     FF Sachet + Grass</v>
          </cell>
        </row>
        <row r="11">
          <cell r="A11">
            <v>993</v>
          </cell>
          <cell r="B11" t="str">
            <v>Swati Khandelwal-- Evening Only</v>
          </cell>
          <cell r="C11">
            <v>8527962021</v>
          </cell>
          <cell r="D11" t="str">
            <v>414-A, Hamilton Court</v>
          </cell>
          <cell r="E11" t="str">
            <v>DLF Phase 4</v>
          </cell>
          <cell r="F11" t="str">
            <v>Tuesday</v>
          </cell>
          <cell r="G11" t="str">
            <v>9 AM to 2 PM</v>
          </cell>
          <cell r="H11">
            <v>2300</v>
          </cell>
          <cell r="I11">
            <v>287.5</v>
          </cell>
          <cell r="J11" t="str">
            <v>Felicity</v>
          </cell>
          <cell r="K11" t="str">
            <v>Saturday and Tuesday//Tuesday and Friday//1 St del Tom in morning and then every Sunday evening(05/01) ONLY LILY AND RAJNI(19/01) Lilies in all 4 Deliveries(01/02) Start Biss from next week(30/11) ONLY RAJNI(31/12) Send Guldawari next and then spray daisy next to next(09/01) NO ROSE mn RAJNI-- Send spray daisy next(27/01) Spray daisy Next(15/02) Moved to Felicity--1350 Pack, Pls mark pending(21/03) Send 1 extra delivery from Rachna Khanna ma'am(05/08) Do Not count last delivery(07/04) Send Flower Food Tom(12/09) Send Flower Food next (09/10) Hold till 1st Feb (20/01) Send Flower Food next (04/07) One More payment received today (30/10) Payment from Ramakant K (08/06) Rs. 9200 Received today and 10% applied on 9200 (10/12)</v>
          </cell>
          <cell r="L11" t="str">
            <v>ROSE n RAJNI</v>
          </cell>
          <cell r="N11" t="str">
            <v>8  del of this cycle   -  0-cycles pmnt   Completed - Collect 0</v>
          </cell>
          <cell r="O11" t="str">
            <v>P Spray Daisy ( 14 Inch ) 3     FF Sachet + Grass</v>
          </cell>
          <cell r="P11" t="str">
            <v>Sunflower ( 12 Incjh ) 3     FF Sachet + Grass</v>
          </cell>
          <cell r="Q11" t="str">
            <v>Mix Alstroemeria ( 12 Inch ) 11     FF Sachet + Grass</v>
          </cell>
          <cell r="R11" t="str">
            <v>Y Spray Daisy (14 Inch ) 3     FF Sachet + Grass</v>
          </cell>
          <cell r="S11" t="str">
            <v>W Asiatic ( 14 Inch ) 2     Grass</v>
          </cell>
          <cell r="T11" t="str">
            <v>Pur Eustoma ( 12 inch ) 2 Mix Alstroemeria ( 12 Inch ) 11   FF Sachet + Grass</v>
          </cell>
        </row>
        <row r="12">
          <cell r="A12">
            <v>1953</v>
          </cell>
          <cell r="B12" t="str">
            <v>Sandhya Nagesh</v>
          </cell>
          <cell r="C12">
            <v>8800649797</v>
          </cell>
          <cell r="D12" t="str">
            <v>89, Ground Floor, Woodstock Floors, Sec 50</v>
          </cell>
          <cell r="E12" t="str">
            <v>Nirvana Country</v>
          </cell>
          <cell r="F12" t="str">
            <v>Saturday</v>
          </cell>
          <cell r="G12" t="str">
            <v>9 AM - 12 PM</v>
          </cell>
          <cell r="H12">
            <v>3000</v>
          </cell>
          <cell r="I12">
            <v>375</v>
          </cell>
          <cell r="J12" t="str">
            <v>Charm</v>
          </cell>
          <cell r="K12" t="str">
            <v>Saturday n Tueaday(02/09) No Del From 10th to 19th (09/09) Today returned(19/08) hold today send tom (07/10) Skip 20th Del (14/01) Hold 6th n 10th Sug (03/08) Return tiday (07/02) Today Returned (24/02)</v>
          </cell>
          <cell r="N12" t="str">
            <v>7  del of this cycle   -  0-cycles pmnt   Completed - Collect 0</v>
          </cell>
          <cell r="O12" t="str">
            <v>O Asiatic ( 14 Inch ) 3     Grass</v>
          </cell>
          <cell r="P12" t="str">
            <v>P n W Glad ( 14 inch ) 15     Grass</v>
          </cell>
          <cell r="Q12" t="str">
            <v>Pur n P Car ( 14 Inch ) 15     FF Sachet + Grass</v>
          </cell>
          <cell r="R12" t="str">
            <v>P n Y Spray Daisy ( 14 Inch ) 4     FF Sachet + Grass</v>
          </cell>
          <cell r="S12" t="str">
            <v>W Asiatic ( 14 Inch ) 3     Grass</v>
          </cell>
          <cell r="T12" t="str">
            <v>P Asiatic ( 14 Inch ) 2 B Daisy ( 12 Inch  7   Grass</v>
          </cell>
        </row>
        <row r="13">
          <cell r="A13">
            <v>1542</v>
          </cell>
          <cell r="B13" t="str">
            <v>Anisha Sethi</v>
          </cell>
          <cell r="C13">
            <v>9811004396</v>
          </cell>
          <cell r="D13" t="str">
            <v>Q-1/25, DLF Phase 2</v>
          </cell>
          <cell r="E13" t="str">
            <v>M G Road</v>
          </cell>
          <cell r="F13" t="str">
            <v>Saturday</v>
          </cell>
          <cell r="G13" t="str">
            <v>9 AM to 2 PM</v>
          </cell>
          <cell r="H13">
            <v>3000</v>
          </cell>
          <cell r="I13">
            <v>375</v>
          </cell>
          <cell r="J13" t="str">
            <v>Charm</v>
          </cell>
          <cell r="K13" t="str">
            <v>Saturdya n Tuesday//always mix of 2 flowers and send a scissor on 1st del for Rs.50(11/10) Send 1 Scissor also(13/10) Send Scissor Tom(15/10) Send Mogra next(18/10) NO HELICONIA and BOP(19/11) Skip this Tuesday(10/04) Skip this Tuesday Del(02/05) Skip 28th May Flowers(25/05) Sent replacement today(07/06) NO DEL BETWEEN 14TH AND 24TH JULY(06/07) Skip 12th , 16th , 19th and 23rd July(11/07) Skip 1 week(25/08) NO UPGRADE(17/10) Pause from 25th to 6th Apr (24/03) Asiatic n Car (05/05) No Delivery from 10th June to 15th July (07/06) Skip tom delivery (04/09) No flowers on 28th (26/10) Skip 1 Del (12/02) Hold on 2nd,6th and 9th Apr (30/03) Skip 20th Del (19/08) Pls hold n start from 5th Oct (22/09) No sunflowers for some time (15/04) Hold from 17th May t0 17th June (14/05) Collect 400 next and carry change (29/07) 400 cash on 5th Aug (12/08) Hold n send on 23rd Now (17/08)</v>
          </cell>
          <cell r="L13" t="str">
            <v>HELICONIA n BOP</v>
          </cell>
          <cell r="M13" t="str">
            <v>No Sunflowers for some time (15/04) Change of Rs. 50 Next (28/04)</v>
          </cell>
          <cell r="N13" t="str">
            <v>5  del of this cycle   -  0-cycles pmnt   Completed - Collect 0</v>
          </cell>
          <cell r="O13" t="str">
            <v>Pur Eustoma ( 12 Inch ) 2 Rajni ( 14 Inch ) 7   FF Sachet + Grass</v>
          </cell>
          <cell r="P13" t="str">
            <v>Sunflower ( 12 Incjh ) 2 P n W Car ( 14 Inch ) 7   FF Sachet + Grass</v>
          </cell>
          <cell r="Q13" t="str">
            <v>P Spray Daisy ( 14 Inch ) 2 Mix Alstroemeria ( 12 Inch ) 7   FF Sachet + Grass</v>
          </cell>
          <cell r="R13" t="str">
            <v>Y Spray Daisy (14 Inch ) 2 G n W Car ( 14 Inch ) 7   FF Sachet + Grass</v>
          </cell>
          <cell r="S13" t="str">
            <v>Pur Eustoma ( 12 Inch ) 2 Mix Alstroemeria ( 12 Inch ) 7   FF Sachet + Grass</v>
          </cell>
          <cell r="T13" t="str">
            <v>Mix Alstroemeria ( 12 Inch ) 11     FF Sachet + Grass</v>
          </cell>
        </row>
        <row r="14">
          <cell r="A14">
            <v>2791</v>
          </cell>
          <cell r="B14" t="str">
            <v>Deepa Mittal</v>
          </cell>
          <cell r="C14">
            <v>9899603908</v>
          </cell>
          <cell r="D14" t="str">
            <v>C-481, Sushant Lok -1, Sec 43</v>
          </cell>
          <cell r="E14" t="str">
            <v>M G Road</v>
          </cell>
          <cell r="F14" t="str">
            <v>Tuesday</v>
          </cell>
          <cell r="G14" t="str">
            <v>10 AM to 2:30 AM</v>
          </cell>
          <cell r="H14">
            <v>1450</v>
          </cell>
          <cell r="I14">
            <v>362.5</v>
          </cell>
          <cell r="J14" t="str">
            <v>Bliss</v>
          </cell>
          <cell r="K14" t="str">
            <v>Only Seasonal (23/11) Paytm From Eishaan Mittal (02/12) Paytm From Ihita Sharma (30/12)</v>
          </cell>
          <cell r="L14" t="str">
            <v>Seasonal</v>
          </cell>
          <cell r="N14" t="str">
            <v>2  del of this cycle   -  0-cycles pmnt   Completed - Collect 0</v>
          </cell>
          <cell r="O14" t="e">
            <v>#N/A</v>
          </cell>
          <cell r="P14" t="e">
            <v>#N/A</v>
          </cell>
          <cell r="Q14" t="e">
            <v>#N/A</v>
          </cell>
          <cell r="R14" t="e">
            <v>#N/A</v>
          </cell>
          <cell r="S14" t="str">
            <v>P n W Car ( 16 Inch ) 16     FF Sachet + Grass</v>
          </cell>
          <cell r="T14" t="str">
            <v>Sunflower ( 12 Inch ) 4     FF Sachet + Grass</v>
          </cell>
        </row>
        <row r="15">
          <cell r="A15">
            <v>2087</v>
          </cell>
          <cell r="B15" t="str">
            <v>Lucky Pandey</v>
          </cell>
          <cell r="C15" t="str">
            <v>9961712428//9971712428</v>
          </cell>
          <cell r="D15" t="str">
            <v>B3/502, Uniworld City ( West)</v>
          </cell>
          <cell r="E15" t="str">
            <v>South City 1</v>
          </cell>
          <cell r="F15" t="str">
            <v>Tuesday</v>
          </cell>
          <cell r="G15" t="str">
            <v>9 AM to 2 PM</v>
          </cell>
          <cell r="H15">
            <v>1450</v>
          </cell>
          <cell r="I15">
            <v>362.5</v>
          </cell>
          <cell r="J15" t="str">
            <v>Bliss</v>
          </cell>
          <cell r="K15" t="str">
            <v>Skip this Sunday and send on Tuesday (07/07) Skip 1 week (21/10) Today Returned (10/12) Today returned (17/03) Today Returned (19/003) Return-send tom (26/05) Hold (23/06) Today Returned (21/07) Gpay from Abhijeet K Choudhary (01/10) Hold today (03/12) No Sunflower (21/01) Returned today (17/06) Send 1 del todya (07/07) Today Returned 0send on saturday this week (23/06)</v>
          </cell>
          <cell r="L15" t="str">
            <v>Sunflower</v>
          </cell>
          <cell r="N15" t="str">
            <v>1  del of this cycle   -  1-cycles pmnt   Pending - Collect 1450</v>
          </cell>
          <cell r="O15" t="str">
            <v>Pur Eustoma ( 12 Inch ) 3     FF Sachet + Grass</v>
          </cell>
          <cell r="P15" t="str">
            <v>Rajni ( 14 Inch ) 16     Grass</v>
          </cell>
          <cell r="Q15" t="str">
            <v>P Asiatic ( 14 Inch ) 3     Grass</v>
          </cell>
          <cell r="R15" t="str">
            <v>G n W Car ( 14 Inch ) 16     Grass</v>
          </cell>
          <cell r="S15" t="str">
            <v>P n Y Spray Daisy ( 14 Inch ) 5     FF Sachet + Grass</v>
          </cell>
          <cell r="T15" t="str">
            <v>Sunflower ( 12 Inch ) 2 B Daisy ( 12 Inch  7   FF Sachet + Grass</v>
          </cell>
        </row>
        <row r="16">
          <cell r="A16">
            <v>1377</v>
          </cell>
          <cell r="B16" t="str">
            <v>Geetanjali Babbar</v>
          </cell>
          <cell r="C16">
            <v>9958988852</v>
          </cell>
          <cell r="D16" t="str">
            <v>N-206, Sispal Vihar</v>
          </cell>
          <cell r="E16" t="str">
            <v>Sohna Road 1</v>
          </cell>
          <cell r="F16" t="str">
            <v>Friday</v>
          </cell>
          <cell r="G16" t="str">
            <v>9:30 Am to 2 PM</v>
          </cell>
          <cell r="H16">
            <v>2300</v>
          </cell>
          <cell r="I16">
            <v>287.5</v>
          </cell>
          <cell r="J16" t="str">
            <v>Felicity</v>
          </cell>
          <cell r="K16" t="str">
            <v>Tuesday and FRiday//Monday and Thursday//Send on Monday This week and send rajni too(03/04) Returned-send tom(11/04) Day Changed to Monday(11/04) Sent replacement of Gerbera today(20/04) She likes BOP+Rajni+Car Comb (20/04) Thursday and Monday Morning Slot(13/06) NO BOP(03/08) Hold today ansend after a week(20/11)  Holy Change(16/03) Skip 1 del(16/03) Skip 1 del AND ALWAYS SEND 10 STICKS(02/05) Skip 3rd Feb Del (28/01) Skip tom Delivery (06/04) Dont start from 16th June--start from 19th June (14/06) Skip Friday (13/09) Skip between 24th to 2nd Nov (24/10) Hold n start from Feb (13/01) Skip tom del (14/03) Do Not count last del (21/06) Skip comig Delivery(24/06) Sent a rewplacement today (23/10) Hold geetanjali babbar today (03/01) Skip 1 week (04/01) Skip 18th n 21st Mar (03/03) Skip Friday (09/04) Skip friday (26/06) Paytm From Merajul Alam (23/09) No Del From 09th to 13th (04/12) Skip 10th and 13th Feb (31/01) Skip 1 week (23/03) Replacement tom (21/04) HDTNP (29/05) Hold till 1st weel of July (20/06) paytm from sunil babbar (03/07)</v>
          </cell>
          <cell r="M16" t="str">
            <v>Skip 18th n 21st Mar 25</v>
          </cell>
          <cell r="N16" t="str">
            <v>1  del of this cycle   -  1-cycles pmnt   Pending - Collect 2300</v>
          </cell>
          <cell r="O16" t="e">
            <v>#N/A</v>
          </cell>
          <cell r="P16" t="e">
            <v>#N/A</v>
          </cell>
          <cell r="Q16" t="str">
            <v>Rajni ( 14 Inch ) 11     Grass</v>
          </cell>
          <cell r="R16" t="str">
            <v>Mix Alstroemeria ( 12 Inch ) 11     FF Sachet + Grass</v>
          </cell>
          <cell r="S16" t="str">
            <v>Mix Glad ( 14 Inch ) 11     Grass</v>
          </cell>
          <cell r="T16" t="str">
            <v>Rajni ( 14 Inch ) 11     Grass</v>
          </cell>
        </row>
        <row r="17">
          <cell r="A17">
            <v>3001</v>
          </cell>
          <cell r="B17" t="str">
            <v>Akanksha Sethi</v>
          </cell>
          <cell r="C17">
            <v>9871553737</v>
          </cell>
          <cell r="D17" t="str">
            <v>B3/002, Uniworld City West</v>
          </cell>
          <cell r="E17" t="str">
            <v>South City 1</v>
          </cell>
          <cell r="F17" t="str">
            <v>Tuesday</v>
          </cell>
          <cell r="G17" t="str">
            <v>9 AM - 12 PM</v>
          </cell>
          <cell r="H17">
            <v>2750</v>
          </cell>
          <cell r="I17">
            <v>687.5</v>
          </cell>
          <cell r="J17" t="str">
            <v>Elation</v>
          </cell>
          <cell r="K17" t="str">
            <v>One kInd of Flower n No Lily (22/09) Change day to Friday in morning slot (07/10) Hold due to non payment (26/12) Hold due to non payment (02/01) Hold due to non payment (09/01) Hold due to non payment (17/01)</v>
          </cell>
          <cell r="L17" t="str">
            <v>Lily</v>
          </cell>
          <cell r="M17" t="str">
            <v>One Kind of Flower</v>
          </cell>
          <cell r="N17" t="str">
            <v>1  del of this cycle   -  1-cycles pmnt   Pending - Collect 1287.5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str">
            <v>P n W Car ( 16 Inch ) 22     FF Sachet + Grass</v>
          </cell>
          <cell r="T17" t="str">
            <v>Pur Eustoma ( 12 inch ) 2 Mix Alstroemeria ( 12 Inch ) 10   FF Sachet + Grass</v>
          </cell>
        </row>
        <row r="18">
          <cell r="A18">
            <v>2132</v>
          </cell>
          <cell r="B18" t="str">
            <v>Smita Mathur</v>
          </cell>
          <cell r="C18" t="str">
            <v>+6281294705524</v>
          </cell>
          <cell r="D18" t="str">
            <v>R-9A, Windsor Court-- Next Supermart</v>
          </cell>
          <cell r="E18" t="str">
            <v>DLF Phase 4</v>
          </cell>
          <cell r="F18" t="str">
            <v>Tuesday</v>
          </cell>
          <cell r="G18" t="str">
            <v>9 AM - 12 PM</v>
          </cell>
          <cell r="H18">
            <v>1450</v>
          </cell>
          <cell r="I18">
            <v>362.5</v>
          </cell>
          <cell r="J18" t="str">
            <v>Bliss</v>
          </cell>
          <cell r="K18" t="str">
            <v>NO GLAD/ASIATIC/ORCHID(23/12) ONLY LILY/ROSE AD CHRYSANTHEMUM IN THIS PACK(23/12) Rajni Next(27/12) Skip 1 week(30/12) Bright Color Asiatic Next(09/01) ALWAYS SINGLE COLOR(10/01) Day changed to Friday and send bright lily on both days(11/01) Send 1 Pack tom(15/01) Dark Pink or Red Asiatic(22/01) Pls send Daisy Next(31/01) Y Fuldawari next(04/02) Next Yellow Color(07/02) This Cycle-- Oriental//Car//Orchid//Rose(02/10) Send next del on friday with moxed bright color car(05/10) Sent Replacement today(20/10) GuldawariNext(21/10) This week on saturday and then tuesday, Flowesr are-- Car//Lily//Guldawari//Rose//Orchid// Glad (17/11) NO ROSE  SEND REPLACEMENT TOM AND ALSO 2ND DEL(21/11)(21/11) Hold today (13/12) Hold for 2 weeks(13/12) NO BOP AND SPRAY DAISY  AND ROSES IF THEY ARE GOOD(22/12) Asiatic Next (04/01) Send Replacement tom (18/03) Paytm from 99****8930(25/07) Change to Joy (27/10) Change to bliss (13/12) Skip 2 Week (31/01) Skip 2 week (02/03) Holdn n start from 13 July (23/06) Sent replacement today (01/09) Skip 1 week (07/12) Hold aftyer current cycle (19/03) Skip 16th Aug (09/08) No flowers on 27th (16/09) Skip tom and now on tuesday Only (05/12) Skip 1 week (18/02)</v>
          </cell>
          <cell r="L18" t="str">
            <v>BOP n GERBERA</v>
          </cell>
          <cell r="N18" t="str">
            <v>2  del of this cycle   -  0-cycles pmnt   Completed - Collect 0</v>
          </cell>
          <cell r="O18" t="str">
            <v>Pur Eustoma ( 12 Inch ) 3     FF Sachet + Grass</v>
          </cell>
          <cell r="P18" t="str">
            <v>O Asiatic ( 14 Inch ) 3     Grass</v>
          </cell>
          <cell r="Q18" t="str">
            <v>B Daisy ( 12 Inch ) 16     Grass</v>
          </cell>
          <cell r="R18" t="e">
            <v>#N/A</v>
          </cell>
          <cell r="S18" t="e">
            <v>#N/A</v>
          </cell>
          <cell r="T18" t="str">
            <v>B Daisy ( 12 Inch ) 16     Grass</v>
          </cell>
        </row>
        <row r="19">
          <cell r="A19">
            <v>3367</v>
          </cell>
          <cell r="B19" t="str">
            <v>Pallavi Sharma</v>
          </cell>
          <cell r="C19">
            <v>9910888631</v>
          </cell>
          <cell r="D19" t="str">
            <v>B-93, Regency Park 1, Sec 43</v>
          </cell>
          <cell r="E19" t="str">
            <v>DLF Phase 4</v>
          </cell>
          <cell r="F19" t="str">
            <v>Tuesday</v>
          </cell>
          <cell r="G19" t="str">
            <v>9 AM - 12 PM</v>
          </cell>
          <cell r="H19">
            <v>1450</v>
          </cell>
          <cell r="I19">
            <v>1450</v>
          </cell>
          <cell r="J19" t="str">
            <v>Bliss</v>
          </cell>
          <cell r="K19" t="str">
            <v>Paytm From Vaibhav Sharma (16.05) Skip 1 week (03/06)</v>
          </cell>
          <cell r="N19" t="str">
            <v>2  del of this cycle   -  0-cycles pmnt   Completed - Collect 0</v>
          </cell>
          <cell r="O19" t="str">
            <v>Rajni ( 14 Inch ) 16     FF Sachet + Grass</v>
          </cell>
          <cell r="P19" t="str">
            <v>P n W Car ( 14 Inch ) 16     FF Sachet + Grass</v>
          </cell>
          <cell r="Q19" t="str">
            <v>O Asiatic ( 14 Inch ) 3     Grass</v>
          </cell>
          <cell r="R19" t="str">
            <v>P n W Glad ( 14 Inch ) 16     Grass</v>
          </cell>
          <cell r="S19" t="str">
            <v>Mix Alstroemeria ( 12 Inch ) 16     FF Sachet + Grass</v>
          </cell>
          <cell r="T19" t="str">
            <v>O Asiatic ( 14 Inch ) 3     Grass</v>
          </cell>
        </row>
        <row r="20">
          <cell r="A20" t="str">
            <v>G-00029</v>
          </cell>
          <cell r="B20" t="str">
            <v>Shweta Arora</v>
          </cell>
          <cell r="C20">
            <v>9999164984</v>
          </cell>
          <cell r="D20" t="str">
            <v>H. No. 9506, 3rd Floor, Garden Villas</v>
          </cell>
          <cell r="E20" t="str">
            <v>DLF Phase 4</v>
          </cell>
          <cell r="F20" t="str">
            <v>Tuesday</v>
          </cell>
          <cell r="G20" t="str">
            <v>10 AM to 2:30 PM</v>
          </cell>
          <cell r="H20">
            <v>1950</v>
          </cell>
          <cell r="I20">
            <v>487.5</v>
          </cell>
          <cell r="J20" t="str">
            <v>Joy</v>
          </cell>
          <cell r="K20" t="str">
            <v>From Akriti Chopra // Paytm From Shweta Dudeja (26/02) Sent replacement today (18/04)</v>
          </cell>
          <cell r="N20" t="str">
            <v>2  del of this cycle   -  1-cycles pmnt   Pending - Collect 1950</v>
          </cell>
          <cell r="O20" t="str">
            <v>P n Y Spray Daisy ( 14 Inch ) 4 Rajni ( 14 Inch ) 11   FF Sachet + Grass</v>
          </cell>
          <cell r="P20" t="str">
            <v>Sunflower ( 12 Incjh ) 3 P n W Glad ( 14 Inch) 11  Ensure Collection FF Sachet + Grass</v>
          </cell>
          <cell r="Q20" t="str">
            <v>Pur Eustoma ( 12 inch ) 2 Mix Alstroemeria ( 12 Inch ) 11   FF Sachet + Grass</v>
          </cell>
          <cell r="R20" t="str">
            <v>P Asiatic ( 14 Inch ) 2 G n W Car ( 14 Inch ) 11   Grass</v>
          </cell>
          <cell r="S20" t="str">
            <v>P n W Spray Daisy ( 14 Inch ) 4 Mix Glad ( 12 Inch ) 11   FF Sachet + Grass</v>
          </cell>
          <cell r="T20" t="str">
            <v>O Asiatic ( 14 Inch ) 3     Grass</v>
          </cell>
        </row>
        <row r="21">
          <cell r="A21">
            <v>3395</v>
          </cell>
          <cell r="B21" t="str">
            <v>Chhavi Sharma</v>
          </cell>
          <cell r="C21">
            <v>9773834450</v>
          </cell>
          <cell r="D21" t="str">
            <v>403, Plot No. 74, Sec 28, Near Golf Course Road</v>
          </cell>
          <cell r="E21" t="str">
            <v>DLF Phase 4</v>
          </cell>
          <cell r="F21" t="str">
            <v>Tuesday</v>
          </cell>
          <cell r="G21" t="str">
            <v>9 AM - 12 PM</v>
          </cell>
          <cell r="H21">
            <v>1450</v>
          </cell>
          <cell r="I21">
            <v>362.5</v>
          </cell>
          <cell r="J21" t="str">
            <v>Bliss</v>
          </cell>
          <cell r="K21" t="str">
            <v>Prefer Pink Lilies (29/06) Skip 1 week (13/07) Send one del tom (17/07)</v>
          </cell>
          <cell r="N21" t="str">
            <v>4  del of this cycle   -  0-cycles pmnt   Completed - Collect 0</v>
          </cell>
          <cell r="O21" t="e">
            <v>#N/A</v>
          </cell>
          <cell r="P21" t="str">
            <v>Pur n P Car (14 inch) 16     FF Sachet + Grass</v>
          </cell>
          <cell r="Q21" t="str">
            <v>P Asiatic ( 14 Inch ) 2     Grass</v>
          </cell>
          <cell r="R21" t="e">
            <v>#N/A</v>
          </cell>
          <cell r="S21" t="e">
            <v>#N/A</v>
          </cell>
          <cell r="T21" t="str">
            <v>W Eustoam ( 12 Inch ) 2     FF Sachet + Grass</v>
          </cell>
        </row>
        <row r="22">
          <cell r="A22">
            <v>3333</v>
          </cell>
          <cell r="B22" t="str">
            <v>Urshita Gupta</v>
          </cell>
          <cell r="C22">
            <v>9910738939</v>
          </cell>
          <cell r="D22" t="str">
            <v>D-202, Pilot Court, Essel Towers</v>
          </cell>
          <cell r="E22" t="str">
            <v>M G Road</v>
          </cell>
          <cell r="F22" t="str">
            <v>Tuesday</v>
          </cell>
          <cell r="G22" t="str">
            <v>10 AM to 2:30 PM</v>
          </cell>
          <cell r="H22">
            <v>1950</v>
          </cell>
          <cell r="I22">
            <v>487.5</v>
          </cell>
          <cell r="J22" t="str">
            <v>Joy</v>
          </cell>
          <cell r="K22" t="str">
            <v>Change day to Tuesday (29/04) Hold till1 st June (20/05) Paytm From Urshita Saini (05/06)</v>
          </cell>
          <cell r="N22" t="str">
            <v>1  del of this cycle   -  1-cycles pmnt   Pending - Collect 1950</v>
          </cell>
          <cell r="O22" t="str">
            <v>Mix Car 22     Grass</v>
          </cell>
          <cell r="P22" t="str">
            <v>O Asiatic ( 14 Inch ) 4     Grass</v>
          </cell>
          <cell r="Q22" t="str">
            <v>B Daisy ( 12 Inch ) 22     Grass</v>
          </cell>
          <cell r="R22" t="str">
            <v>P n W Glad ( 14 Inch ) 22     Grass</v>
          </cell>
          <cell r="S22" t="str">
            <v>P n Y Spray Daisy ( 14 Inch ) 7     FF Sachet + Grass</v>
          </cell>
          <cell r="T22" t="str">
            <v>B Daisy ( 12 Inch ) 16     Grass</v>
          </cell>
        </row>
        <row r="23">
          <cell r="A23">
            <v>2484</v>
          </cell>
          <cell r="B23" t="str">
            <v>Swati Sharad</v>
          </cell>
          <cell r="C23">
            <v>9871225514</v>
          </cell>
          <cell r="D23" t="str">
            <v>204-B, 2nd Floor, 4th Floor, Beverley Park-1</v>
          </cell>
          <cell r="E23" t="str">
            <v>M G Road</v>
          </cell>
          <cell r="F23" t="str">
            <v>Tuesday</v>
          </cell>
          <cell r="G23" t="str">
            <v>9 AM - 12 PM</v>
          </cell>
          <cell r="H23">
            <v>1450</v>
          </cell>
          <cell r="I23">
            <v>362.5</v>
          </cell>
          <cell r="J23" t="str">
            <v>Collection Only</v>
          </cell>
          <cell r="K23" t="str">
            <v>No Glad (03/04) No areca palm (15/04) Today Hold (03/02) Paytm from meenakshi Sharad (10/03) HDTNP (23/06)</v>
          </cell>
          <cell r="L23" t="str">
            <v>Glad</v>
          </cell>
          <cell r="M23" t="str">
            <v>No areca Palm // Flower Food Next (19/05)</v>
          </cell>
          <cell r="N23" t="str">
            <v>4  del of this cycle   -  1-cycles pmnt   Pending - Collect 1450</v>
          </cell>
          <cell r="O23" t="e">
            <v>#N/A</v>
          </cell>
          <cell r="P23" t="str">
            <v>Spray Daisy 3 Glad 7   FF Sachet + Grass</v>
          </cell>
          <cell r="Q23" t="str">
            <v>P Asiatic ( 14 Inch ) 2 B Daisy ( 12 Inch  7   Grass</v>
          </cell>
          <cell r="R23" t="str">
            <v>G n W Car ( 14 Inch ) 16     FF Sachet + Grass</v>
          </cell>
          <cell r="S23" t="str">
            <v>Mix Glad ( 14 Inch ) 16 Ak customer to unblock from 9717173327 Ak customer to unblock from 9717173327 Ak customer to unblock from 9717173327 Ak customer to unblock from 9717173327 Grass</v>
          </cell>
          <cell r="T23" t="str">
            <v>O Asiatic ( 14 Inch ) 3     Grass</v>
          </cell>
        </row>
        <row r="24">
          <cell r="A24">
            <v>1411</v>
          </cell>
          <cell r="B24" t="str">
            <v>Aarti Malhotra</v>
          </cell>
          <cell r="C24">
            <v>9810002228</v>
          </cell>
          <cell r="D24" t="str">
            <v>T-10/1402, Orchid Petals</v>
          </cell>
          <cell r="E24" t="str">
            <v>Sohna Road 1</v>
          </cell>
          <cell r="F24" t="str">
            <v>Friday</v>
          </cell>
          <cell r="G24" t="str">
            <v>9 AM - 12 PM</v>
          </cell>
          <cell r="H24">
            <v>3000</v>
          </cell>
          <cell r="I24">
            <v>375</v>
          </cell>
          <cell r="J24" t="str">
            <v>Charm</v>
          </cell>
          <cell r="K24" t="str">
            <v>Friday and Tuesday//Thursday and Sunday//Like-- Spray daisy//Rajni and guldawari(28/05) Sunday and Thursday(20/06) Shift to Joy package after this(15/09) Skip 1 week(13/01)  Holy Change(16/03) Sent 1 replacement today(05/04) Hold n start from June(04/05) Hold and start after 20th June(06/06) Sent Replacement today(05/07) Do Not Count last Delivery(18/07) NO SPRAY DAISY(23/08) Skip coming Delivery (28/09)Today flowers returned-send on next del date (09/12) Start after 31st // Replace last flowers (28/01) Skip 1 week (02/06) No Del till 28th June (11/06) Skip this friday (06/03) Skip 1 week 911/03) Paytm from Vineet R K (26/10) Hold till 2nd July (31/05)</v>
          </cell>
          <cell r="N24" t="str">
            <v>7  del of this cycle   -  0-cycles pmnt   Completed - Collect 0</v>
          </cell>
          <cell r="O24" t="e">
            <v>#N/A</v>
          </cell>
          <cell r="P24" t="e">
            <v>#N/A</v>
          </cell>
          <cell r="Q24" t="str">
            <v>O Asiatic ( 14 Inch ) 3     Grass</v>
          </cell>
          <cell r="R24" t="str">
            <v>Mix Alstroemeria ( 12 Inch ) 15     FF Sachet + Grass</v>
          </cell>
          <cell r="S24" t="str">
            <v>P n Y Spray Daisy ( 14 Inch ) 4     FF Sachet + Grass</v>
          </cell>
          <cell r="T24" t="str">
            <v xml:space="preserve">G n W Car + G n W Spray Daisy + G n W Eustoma + G n W Eustoma + W Asiatic + W Oriental 120 + 15 + 10 + 5 + 5     </v>
          </cell>
        </row>
        <row r="25">
          <cell r="A25">
            <v>1147</v>
          </cell>
          <cell r="B25" t="str">
            <v xml:space="preserve">Reena </v>
          </cell>
          <cell r="C25">
            <v>9811157690</v>
          </cell>
          <cell r="D25" t="str">
            <v>31/1, Ixia, Vatika City</v>
          </cell>
          <cell r="E25" t="str">
            <v>Sohna Road 1</v>
          </cell>
          <cell r="F25" t="str">
            <v>Tuesday</v>
          </cell>
          <cell r="G25" t="str">
            <v>9 AM to 2 PM</v>
          </cell>
          <cell r="H25">
            <v>1600</v>
          </cell>
          <cell r="I25">
            <v>200</v>
          </cell>
          <cell r="J25" t="str">
            <v>Bloom</v>
          </cell>
          <cell r="K25" t="str">
            <v>Tuesday and Friday//NO Rose/Rajni and ORCHID(30/10) Pink car Next(08/11) No Rose/No Rajni/No Orchids(30/11  NO RAJNI n HELICONIA (30/12) Star From Sunday (24/08) Skip coming Friday (07/12) Skip 1 week (18/01) Shift tom del to Sunday (20/06) Skip Friday Del (15/08) Today Returned(03/09) Skip 27th Del (22/12) Skip tom (30/01) Today Returned-send again (04/04) Hold n start from 15th (07/04) Skip friday (26/06) Skip 1 week (07/08) Skip tom del (11/09) Skip 1 week (01/11) Skip tom (30/04) Start from 14th July (06/07)</v>
          </cell>
          <cell r="L25" t="str">
            <v>RAJNI n HELICONIA</v>
          </cell>
          <cell r="N25" t="str">
            <v>5  del of this cycle   -  0-cycles pmnt   Completed - Collect 0</v>
          </cell>
          <cell r="O25" t="str">
            <v>Sunflower ( 12 Inch ) 2     FF Sachet + Grass</v>
          </cell>
          <cell r="P25" t="str">
            <v>P n W Glad ( 14 inch ) 7     Grass</v>
          </cell>
          <cell r="Q25" t="e">
            <v>#N/A</v>
          </cell>
          <cell r="R25" t="str">
            <v>Mix Alstroemeria ( 12 Inch ) 7     FF Sachet + Grass</v>
          </cell>
          <cell r="S25" t="str">
            <v>Y Spray Daisy ( 14 Inch ) 2     FF Sachet + Grass</v>
          </cell>
          <cell r="T25" t="str">
            <v>Pur n P Car ( 14 Inch ) 11     FF Sachet + Grass</v>
          </cell>
        </row>
        <row r="26">
          <cell r="A26" t="str">
            <v>CP00003</v>
          </cell>
          <cell r="B26" t="str">
            <v>Sumeet -- Anantraj</v>
          </cell>
          <cell r="C26">
            <v>9650468891</v>
          </cell>
          <cell r="D26" t="str">
            <v>Anatraj Estates, Sector 63</v>
          </cell>
          <cell r="E26" t="str">
            <v>Ghata</v>
          </cell>
          <cell r="F26" t="str">
            <v>Friday</v>
          </cell>
          <cell r="G26" t="str">
            <v>By 9 AM</v>
          </cell>
          <cell r="H26">
            <v>0</v>
          </cell>
          <cell r="I26">
            <v>0</v>
          </cell>
          <cell r="J26" t="str">
            <v>Refresh</v>
          </cell>
          <cell r="N26" t="str">
            <v>2  del of this cycle   -  0-cycles pmnt   In Process - Collect 0</v>
          </cell>
          <cell r="O26" t="e">
            <v>#N/A</v>
          </cell>
          <cell r="P26" t="e">
            <v>#N/A</v>
          </cell>
          <cell r="Q26" t="e">
            <v>#N/A</v>
          </cell>
          <cell r="R26" t="e">
            <v>#N/A</v>
          </cell>
          <cell r="S26" t="e">
            <v>#N/A</v>
          </cell>
          <cell r="T26" t="str">
            <v>Sunflower ( 12 Inch ) 2     FF Sachet + Grass</v>
          </cell>
        </row>
        <row r="27">
          <cell r="A27">
            <v>2594</v>
          </cell>
          <cell r="B27" t="str">
            <v>Anamika Sirohi</v>
          </cell>
          <cell r="C27">
            <v>9971707368</v>
          </cell>
          <cell r="D27" t="str">
            <v>E-703M The Vikas, DLF Phase 2</v>
          </cell>
          <cell r="E27" t="str">
            <v>DLF Phase 2</v>
          </cell>
          <cell r="F27" t="str">
            <v>Tuesday</v>
          </cell>
          <cell r="G27" t="str">
            <v>9 AM to 2 PM</v>
          </cell>
          <cell r="H27">
            <v>1450</v>
          </cell>
          <cell r="I27">
            <v>362.5</v>
          </cell>
          <cell r="J27" t="str">
            <v>Bliss</v>
          </cell>
          <cell r="K27" t="str">
            <v>Preferred Flowers -- Rose/Rajni/Gerbera/Lilies/Glad/car // Today Hold (12/08) Skip 2 week (13/08) Paytm From sangram Singh (10/09)</v>
          </cell>
          <cell r="N27" t="str">
            <v>4  del of this cycle   -  0-cycles pmnt   CompletedNO COLLECTION-we have extra money - Collect -10</v>
          </cell>
          <cell r="O27" t="str">
            <v>Sunflower ( 12 Inch ) 2     FF Sachet + Grass</v>
          </cell>
          <cell r="P27" t="str">
            <v>P n W Glad ( 14 inch ) 9     Grass</v>
          </cell>
          <cell r="Q27" t="str">
            <v>Rajni ( 14 Inch ) 16     Grass</v>
          </cell>
          <cell r="R27" t="str">
            <v>P Asiatic ( 14 Inch ) 3     Grass</v>
          </cell>
          <cell r="S27" t="str">
            <v>G n W Car ( 14 inch ) 16     FF Sachet + Grass</v>
          </cell>
          <cell r="T27" t="str">
            <v>Y Spray Daisy ( 14 Inch ) 2     FF Sachet + Grass</v>
          </cell>
        </row>
        <row r="28">
          <cell r="B28" t="str">
            <v>Anmol Sharma</v>
          </cell>
          <cell r="C28" t="str">
            <v>99999 55368</v>
          </cell>
          <cell r="D28" t="str">
            <v>703, Tower-7  The Close North 
Nirvana Country</v>
          </cell>
          <cell r="H28">
            <v>1850</v>
          </cell>
          <cell r="J28" t="str">
            <v>Bouquet</v>
          </cell>
          <cell r="K28" t="str">
            <v>use orange and white, pls keep some open and some close in the same stage as in the picture
1850 received 
From 
‪+91 99993 35544‬
Today to: 
703, Tower-7 
The Close North 
Nirvana Country
Anmol Sharma
+91 99999 55368
Message
Happiest Birthday Anmol &amp; Aditya! 
We love you. 🖤
Bahar &amp; Reeti</v>
          </cell>
          <cell r="T28" t="str">
            <v>Pur n P Car ( 14 Inch ) 11     FF Sachet + Grass</v>
          </cell>
        </row>
        <row r="29">
          <cell r="A29">
            <v>2463</v>
          </cell>
          <cell r="B29" t="str">
            <v>Rishika Mazumdar</v>
          </cell>
          <cell r="C29">
            <v>9674039510</v>
          </cell>
          <cell r="D29" t="str">
            <v>A-45/17, 4th Floor, Yadav House, Sec 28, DLF Phase 1</v>
          </cell>
          <cell r="E29" t="str">
            <v>DLF Phase 1</v>
          </cell>
          <cell r="F29" t="str">
            <v>Tuesday</v>
          </cell>
          <cell r="G29" t="str">
            <v>9 AM - 12 PM</v>
          </cell>
          <cell r="H29">
            <v>1450</v>
          </cell>
          <cell r="I29">
            <v>362.5</v>
          </cell>
          <cell r="J29" t="str">
            <v>Bliss</v>
          </cell>
          <cell r="K29" t="str">
            <v>Referred by Navjot Kaur// Sent replacement today (15/04) skip next and send on Tuesday (26/04) Skip n send on Tuesday (22/06) Skip tom n send on Tuesday (04/07) Change day to Tuesday (17/07) Hold from 20th Sep and stsrt from 11th Oct (01/09) Skip 25th and sned on 29th (18/11) Paytm from Tushar Gupta (17/02) Hold till 12th April (29/03)</v>
          </cell>
          <cell r="M29" t="str">
            <v>Don’t send on  28th -- sned on 1st July(26/04)</v>
          </cell>
          <cell r="N29" t="str">
            <v>2  del of this cycle   -  1-cycles pmnt   Pending - Collect 1450</v>
          </cell>
          <cell r="O29" t="str">
            <v>B Daisy ( 12 Inch ) 16     Grass</v>
          </cell>
          <cell r="P29" t="str">
            <v>O Asiatic ( 14 Inch ) 3     Grass</v>
          </cell>
          <cell r="Q29" t="str">
            <v>Pur n P Car ( 14 Inch ) 16     FF Sachet + Grass</v>
          </cell>
          <cell r="R29" t="str">
            <v>P n Y Spray Daisy ( 14 Inch ) 5     FF Sachet + Grass</v>
          </cell>
          <cell r="S29" t="str">
            <v>Mix Glad ( 14 Inch ) 16     Grass</v>
          </cell>
          <cell r="T29" t="str">
            <v>P Asiatic ( 14 Inch ) 3     Grass</v>
          </cell>
        </row>
        <row r="30">
          <cell r="A30">
            <v>1063</v>
          </cell>
          <cell r="B30" t="str">
            <v>Sarika Bhattacharya</v>
          </cell>
          <cell r="C30">
            <v>9899457726</v>
          </cell>
          <cell r="D30" t="str">
            <v>T2/1404, The Palms</v>
          </cell>
          <cell r="E30" t="str">
            <v>South City 1</v>
          </cell>
          <cell r="F30" t="str">
            <v>Saturday</v>
          </cell>
          <cell r="G30" t="str">
            <v>9 AM to 2 PM</v>
          </cell>
          <cell r="H30">
            <v>1600</v>
          </cell>
          <cell r="I30">
            <v>200</v>
          </cell>
          <cell r="J30" t="str">
            <v>Bloom</v>
          </cell>
          <cell r="K30" t="str">
            <v>Sat n Tuesday//Day changed to Sat(07/08/20)  Send 1 Pack of mogra always(02/09/20) 500 added agsint bouquet sent to Nikita(09/09/20) 1 PACK OF MOGRA EVERY WEEK(11/09/20) Lilies this week and day changed to Saturday(08/10/20) Sent 5 Eustoma as Complimentary today(24/10) Send Double Del(08/11) 1 Stick Extra Next(13/11) Spray Daisy Next(30/11) Hold n start after 11th Jan(13/12) Spray daisy Next(30/01) Skip 2 weeks9(13/03) Shift 1 More week(01/04) Skip 1 week(02/07)  Skip 1 week(13/10) Skip 1 more week(18/10) Skip 1 week(05/11) Y Asiatic Next(04/02) Skip necxt week(19/02) Send next del on thursday evening slot(15/03) Hold till 7th Oct(17/09) Received 2 Payments today (29/12) NO Change to Bliss (31/12) Skip this sat delivery (22/05) Hold n start from July n confirm before delivery (25/05) Returned today and skip sat too (03/09) From Saibal Prasad Bhattacharya (08/10) Hold n start from 1st week of June (16/05) No Flowers till 5th Oct(15/09) Hold till 1st Nov from today (07/10) Send one del today and tnen on preferred days (02/11) Today Returnde (25/04) Hold n start from June (01/05) Hold till June also (28/05)</v>
          </cell>
          <cell r="N30" t="str">
            <v>8  del of this cycle   -  0-cycles pmnt   Completed - Collect 0</v>
          </cell>
          <cell r="O30" t="e">
            <v>#N/A</v>
          </cell>
          <cell r="P30" t="e">
            <v>#N/A</v>
          </cell>
          <cell r="Q30" t="str">
            <v>B Daisy ( 12 Inch ) 7     Grass</v>
          </cell>
          <cell r="R30" t="str">
            <v>Y Spray Daisy (14 Inch ) 2     FF Sachet + Grass</v>
          </cell>
          <cell r="S30" t="str">
            <v>G n W Car ( 14 inch ) 7     FF Sachet + Grass</v>
          </cell>
          <cell r="T30" t="str">
            <v>P Asiatic ( 14 Inch ) 2     Grass</v>
          </cell>
        </row>
        <row r="31">
          <cell r="A31">
            <v>2284</v>
          </cell>
          <cell r="B31" t="str">
            <v>Tarushi--Skyon</v>
          </cell>
          <cell r="C31">
            <v>9873968830</v>
          </cell>
          <cell r="D31" t="str">
            <v>B-2004, Ireo Skyon, Sec 60</v>
          </cell>
          <cell r="E31" t="str">
            <v>Ghata</v>
          </cell>
          <cell r="F31" t="str">
            <v>Tuesday</v>
          </cell>
          <cell r="G31" t="str">
            <v>9 AM - 12 PM</v>
          </cell>
          <cell r="H31">
            <v>1450</v>
          </cell>
          <cell r="I31">
            <v>362.5</v>
          </cell>
          <cell r="J31" t="str">
            <v>Bliss</v>
          </cell>
          <cell r="K31" t="str">
            <v>No Spray Daisy (06/11) Skip 1 week (02/03) No Gerbera (02/07) Send on Saturday this week Z914/07)Paytm from Uday Bansal 19/07) Return not at home (29/07) Hold due to non payment (14/10) Hold after this cycle (14/11) Paytm From Tarushi Garg (02/04) HDTNP (02/06) HDTNP (09/06) HDTNP (16/06) Skip 1 week (24/06)</v>
          </cell>
          <cell r="L31" t="str">
            <v>Spray Daisy n GERBERA</v>
          </cell>
          <cell r="N31" t="str">
            <v>3  del of this cycle   -  0-cycles pmnt   Completed - Collect 0</v>
          </cell>
          <cell r="O31" t="str">
            <v>Pur Eustoma ( 12 Inch ) 3     FF Sachet + Grass</v>
          </cell>
          <cell r="P31" t="str">
            <v>Rajni ( 14 Inch ) 16     Grass</v>
          </cell>
          <cell r="Q31" t="str">
            <v>O Asiatic ( 14 Inch ) 3     Grass</v>
          </cell>
          <cell r="R31" t="str">
            <v>G n W Car ( 14 Inch ) 16     FF Sachet + Grass</v>
          </cell>
          <cell r="S31" t="str">
            <v>P n Y Spray Daisy ( 14 Inch ) 5 Pls Collect Payment Pls Collect Payment Pls Collect Payment Pls Collect Payment FF Sachet + Grass</v>
          </cell>
          <cell r="T31" t="str">
            <v>Mix Alstroemeria ( 12 Inch ) 16     FF Sachet + Grass</v>
          </cell>
        </row>
        <row r="32">
          <cell r="A32">
            <v>1936</v>
          </cell>
          <cell r="B32" t="str">
            <v>Pranta Dutta</v>
          </cell>
          <cell r="C32" t="str">
            <v>99535 59491</v>
          </cell>
          <cell r="D32" t="str">
            <v>C 1 flat 501 Ireo skyon golf course extension sector 60 gurgaon ( behind lemon tree hotel)</v>
          </cell>
          <cell r="E32" t="str">
            <v>Ghata</v>
          </cell>
          <cell r="F32" t="str">
            <v>Saturday</v>
          </cell>
          <cell r="G32" t="str">
            <v>9 AM - 12 PM</v>
          </cell>
          <cell r="H32">
            <v>1600</v>
          </cell>
          <cell r="I32">
            <v>200</v>
          </cell>
          <cell r="J32" t="str">
            <v>Bloom</v>
          </cell>
          <cell r="K32" t="str">
            <v>Tuesday n Saturday//Thursday n Sunday// No Rajni (01/01/23) Skip 1 wek (30/05) Paytm from Ddhruv Dutta Minor (18/06) Paytm From Susmita D (16/07). Not sent on 25/04 due to non payment (24/4) Paytm From Susmita D (04/05) Do not count last del (02/07) No Gerbera also (29/09) Hold from 10th to 20th (08/12) Hold from 10th to 20th (10/12) Hold due to non payment (26/12) No Delivery from 03rd to15th Jan (28/12) Hold due to non payment (010/02) Hold due to non payment (24/02) HDTNP (17/03) HDTNP (02/05) HDTNP (23/05) HDTNP (26/05) HDTNP (02/06) HDTNP (06/06) HDTNP (09/06) HDTNP (13/06) HDTNP (16/06) HDTNP (20/06) HDTNP (23/06) HDTNP (27/06) HDTNP (30/06)</v>
          </cell>
          <cell r="L32" t="str">
            <v>RAJNI n GERBERA</v>
          </cell>
          <cell r="N32" t="str">
            <v>3  del of this cycle   -  0-cycles pmnt   Completed - Collect 0</v>
          </cell>
          <cell r="O32" t="e">
            <v>#N/A</v>
          </cell>
          <cell r="P32" t="str">
            <v xml:space="preserve">Collect 600 Carry Receipt Book     </v>
          </cell>
          <cell r="Q32" t="str">
            <v>Sunflower ( 12 Inch ) 2     FF Sachet + Grass</v>
          </cell>
          <cell r="R32" t="str">
            <v>G n W Car ( 14 Inch ) 7     FF Sachet + Grass</v>
          </cell>
          <cell r="S32" t="str">
            <v>G n W Car ( 14 inch ) 7     FF Sachet + Grass</v>
          </cell>
          <cell r="T32" t="str">
            <v>B Daisy ( 12 Inch ) 22     Grass</v>
          </cell>
        </row>
        <row r="33">
          <cell r="A33">
            <v>3138</v>
          </cell>
          <cell r="B33" t="str">
            <v>Alpna Verma</v>
          </cell>
          <cell r="C33">
            <v>9811996368</v>
          </cell>
          <cell r="D33" t="str">
            <v>B-70, Sushant Lok Phase 1, Next to Vipul Square, Enter gaye no. 4</v>
          </cell>
          <cell r="E33" t="str">
            <v>M G Road</v>
          </cell>
          <cell r="F33" t="str">
            <v>Tuesday</v>
          </cell>
          <cell r="G33" t="str">
            <v>9 AM - 12 PM</v>
          </cell>
          <cell r="H33">
            <v>2300</v>
          </cell>
          <cell r="I33">
            <v>287.5</v>
          </cell>
          <cell r="J33" t="str">
            <v>Felicity</v>
          </cell>
          <cell r="K33" t="str">
            <v>Day Changed ro Tuesday and Saturday (22/03)Single Color Flowers (01/12)</v>
          </cell>
          <cell r="M33" t="str">
            <v>Single Color Flowers</v>
          </cell>
          <cell r="N33" t="str">
            <v>4  del of this cycle   -  0-cycles pmnt   Completed - Collect 0</v>
          </cell>
          <cell r="O33" t="str">
            <v>P Spray Daisy ( 14 Inch ) 3     FF Sachet + Grass</v>
          </cell>
          <cell r="P33" t="str">
            <v>Rajni ( 14 Inch ) 11     Grass</v>
          </cell>
          <cell r="Q33" t="str">
            <v>W Eustoam ( 12 Inch ) 2     FF Sachet + Grass</v>
          </cell>
          <cell r="R33" t="str">
            <v>O Asiatic ( 14 Inch ) 2     Grass</v>
          </cell>
          <cell r="S33" t="str">
            <v>P Spray Daisy ( 14 Inch ) 3     FF Sachet + Grass</v>
          </cell>
          <cell r="T33" t="str">
            <v>Y Asiatic ( 14 Inch ) 3     Grass</v>
          </cell>
        </row>
        <row r="34">
          <cell r="A34">
            <v>3132</v>
          </cell>
          <cell r="B34" t="str">
            <v>Ramesh Kapoor</v>
          </cell>
          <cell r="C34">
            <v>9717416100</v>
          </cell>
          <cell r="D34" t="str">
            <v>T-6/1404, The Palms, South City 1</v>
          </cell>
          <cell r="E34" t="str">
            <v>South City 1</v>
          </cell>
          <cell r="F34" t="str">
            <v>Tuesday</v>
          </cell>
          <cell r="G34" t="str">
            <v>9 AM - 12 PM</v>
          </cell>
          <cell r="H34">
            <v>2300</v>
          </cell>
          <cell r="I34">
            <v>287.5</v>
          </cell>
          <cell r="J34" t="str">
            <v>Felicity</v>
          </cell>
          <cell r="K34" t="str">
            <v>Paytm From Anuradha Kapoor - Anu Kapoor (04/11) Premium tom (13/11) Replacement tom (21/04) 10 % Discint given (15/06) Today hold n sned tom (20/06) Today returned and skip Tuesday also (27/06)</v>
          </cell>
          <cell r="M34" t="str">
            <v>Premium Next (13/11)</v>
          </cell>
          <cell r="N34" t="str">
            <v>3  del of this cycle   -  0-cycles pmnt   Completed - Collect 0</v>
          </cell>
          <cell r="O34" t="str">
            <v>Rajni ( 14 Inch ) 11     Grass</v>
          </cell>
          <cell r="P34" t="e">
            <v>#N/A</v>
          </cell>
          <cell r="Q34" t="str">
            <v>Sunflower ( 12 Inch ) 2     FF Sachet + Grass</v>
          </cell>
          <cell r="R34" t="str">
            <v>P n W Glad ( 14 Inch ) 11     Grass</v>
          </cell>
          <cell r="S34" t="str">
            <v>G n W Car ( 14 inch ) 11     FF Sachet + Grass</v>
          </cell>
          <cell r="T34" t="str">
            <v>B Daisy ( 12 Inch ) 7     Grass</v>
          </cell>
        </row>
        <row r="35">
          <cell r="A35">
            <v>1554</v>
          </cell>
          <cell r="B35" t="str">
            <v>Farea Aziz</v>
          </cell>
          <cell r="C35">
            <v>9871694052</v>
          </cell>
          <cell r="D35" t="str">
            <v>Selan Exploration Tech Ltd, 8th Floor , Imperial Mindspace, Sec 62</v>
          </cell>
          <cell r="E35" t="str">
            <v>Ghata</v>
          </cell>
          <cell r="F35" t="str">
            <v>Tuesday</v>
          </cell>
          <cell r="G35" t="str">
            <v>By 10 AM</v>
          </cell>
          <cell r="H35">
            <v>1950</v>
          </cell>
          <cell r="I35">
            <v>487.5</v>
          </cell>
          <cell r="J35" t="str">
            <v>Corporate</v>
          </cell>
          <cell r="K35" t="str">
            <v>Return-send next week(03/01) Return-send tom at new add (04/10) Today hold -send tom (15/08) Today returned-send tom (24/10)</v>
          </cell>
          <cell r="N35" t="str">
            <v>2  del of this cycle   -  0-cycles pmnt   In Process - Collect 0</v>
          </cell>
          <cell r="O35" t="str">
            <v>Sunflower ( 12 Inch ) 3 P n W Glad ( 14 Inch ) 11   FF Sachet + Grass</v>
          </cell>
          <cell r="P35" t="str">
            <v>Pur Eustoma 2 B Daisy 11   FF Sachet + Grass</v>
          </cell>
          <cell r="Q35" t="str">
            <v>P n W Spray Daisy ( 14 Inch ) 4 Pur n P Car ( 14 Inch ) 11   FF Sachet + Grass</v>
          </cell>
          <cell r="R35" t="str">
            <v>O Asiatic ( 14 Inch ) 2 P n W Glad ( 14 Inch ) 11   Grass</v>
          </cell>
          <cell r="S35" t="str">
            <v>P Eustoma ( 12 Inch )  2 Mix Alstroemeria ( 12 Inch ) 11   FF Sachet + Grass</v>
          </cell>
          <cell r="T35" t="str">
            <v>Pur n P Car ( 14 Inch ) 16     FF Sachet + Grass</v>
          </cell>
        </row>
        <row r="36">
          <cell r="A36">
            <v>2854</v>
          </cell>
          <cell r="B36" t="str">
            <v>Promita Roy</v>
          </cell>
          <cell r="C36">
            <v>9717459257</v>
          </cell>
          <cell r="D36" t="str">
            <v>B-25, Sushant Appartment, Block-C, Phase 1</v>
          </cell>
          <cell r="E36" t="str">
            <v>M G Road</v>
          </cell>
          <cell r="F36" t="str">
            <v>Tuesday</v>
          </cell>
          <cell r="G36" t="str">
            <v>9 AM - 12 PM</v>
          </cell>
          <cell r="H36">
            <v>1450</v>
          </cell>
          <cell r="I36">
            <v>362.5</v>
          </cell>
          <cell r="J36" t="str">
            <v>Bliss</v>
          </cell>
          <cell r="K36" t="str">
            <v>Upgrade to Bliss // Nolacl Gypsy or Lady Lace</v>
          </cell>
          <cell r="M36" t="str">
            <v>No Local Gypsy or Lady Lace</v>
          </cell>
          <cell r="N36" t="str">
            <v>4  del of this cycle   -  0-cycles pmnt   Completed - Collect 0</v>
          </cell>
          <cell r="O36" t="str">
            <v>Pur Eustoma ( 12 Inch ) 3     FF Sachet + Grass</v>
          </cell>
          <cell r="P36" t="str">
            <v>P n W Car ( 14 Inch ) 16     FF Sachet + Grass</v>
          </cell>
          <cell r="Q36" t="str">
            <v>Mix Alstroemeria ( 12 Inch ) 16     Grass</v>
          </cell>
          <cell r="R36" t="str">
            <v>O Asiatic ( 14 Inch ) 3     Grass</v>
          </cell>
          <cell r="S36" t="str">
            <v>P n W Spray Daisy ( 14 Inch ) 5     FF Sachet + Grass</v>
          </cell>
          <cell r="T36" t="str">
            <v>Sunflower ( 12 Inch ) 2     FF Sachet + Grass</v>
          </cell>
        </row>
        <row r="37">
          <cell r="A37">
            <v>3406</v>
          </cell>
          <cell r="B37" t="str">
            <v>Bhavisha Darji</v>
          </cell>
          <cell r="C37">
            <v>9742112297</v>
          </cell>
          <cell r="D37" t="str">
            <v>E-7/12, 3rd Floor, Sec 26 A, Near Arjun Marg</v>
          </cell>
          <cell r="E37" t="str">
            <v>DLF Phase 1</v>
          </cell>
          <cell r="F37" t="str">
            <v>Saturday</v>
          </cell>
          <cell r="G37" t="str">
            <v>9 AM to 2 PM</v>
          </cell>
          <cell r="H37">
            <v>1450</v>
          </cell>
          <cell r="I37">
            <v>362.5</v>
          </cell>
          <cell r="J37" t="str">
            <v>Bliss</v>
          </cell>
          <cell r="K37" t="str">
            <v>Pls Skip n sned on Tuesday this week (24/07)</v>
          </cell>
          <cell r="N37" t="str">
            <v>3  del of this cycle   -  0-cycles pmnt   Completed - Collect 0</v>
          </cell>
          <cell r="O37" t="e">
            <v>#N/A</v>
          </cell>
          <cell r="P37" t="e">
            <v>#N/A</v>
          </cell>
          <cell r="Q37" t="e">
            <v>#N/A</v>
          </cell>
          <cell r="R37" t="e">
            <v>#N/A</v>
          </cell>
          <cell r="S37" t="e">
            <v>#N/A</v>
          </cell>
          <cell r="T37" t="str">
            <v>Rajni ( 14 Inch ) 16     Grass</v>
          </cell>
        </row>
        <row r="38">
          <cell r="A38">
            <v>2290</v>
          </cell>
          <cell r="B38" t="str">
            <v>Anjana Soneja -- Before 1:30 OM</v>
          </cell>
          <cell r="C38">
            <v>9910049708</v>
          </cell>
          <cell r="D38" t="str">
            <v>G-18/10, 3rd Floor, DLF Phase 1</v>
          </cell>
          <cell r="E38" t="str">
            <v>DLF Phase 1</v>
          </cell>
          <cell r="F38" t="str">
            <v>Saturday</v>
          </cell>
          <cell r="G38" t="str">
            <v>9 AM - 12 PM</v>
          </cell>
          <cell r="H38">
            <v>2300</v>
          </cell>
          <cell r="I38">
            <v>287.5</v>
          </cell>
          <cell r="J38" t="str">
            <v>Felicity</v>
          </cell>
          <cell r="K38" t="str">
            <v>Saturday n Tuesday//Flower Food next (28/07) No Car n Spray Daisy (01/08) Today returned (26/07) Skip today (02/09) Skip tom (08/09) Skip Tuesday Del (15/09) Skip tom (19/09) Returned today (23/09) Hold Today (27/09) Skip tom (10/11) Skip 1 week (22/11) Skip tuesday (01/12) Ski ptuesday (08/12) Hold tuesdauy (1512) Hold tuesday (22/12) Hold tuesday (29/12) Skip next del (15/01) Skip this Saturday (22/01) Skip sat (29/01) Skip tuesday (23/02) Skip tuesday (09/03) Skip sat (26/03) Returned n hold (011/04) sKIP SAT (30/04) Today Hold (05/05)</v>
          </cell>
          <cell r="L38" t="str">
            <v>Car n Spray Daisy</v>
          </cell>
          <cell r="N38" t="str">
            <v>7  del of this cycle   -  0-cycles pmnt   Completed - Collect 0</v>
          </cell>
          <cell r="O38" t="e">
            <v>#N/A</v>
          </cell>
          <cell r="P38" t="e">
            <v>#N/A</v>
          </cell>
          <cell r="Q38" t="e">
            <v>#N/A</v>
          </cell>
          <cell r="R38" t="e">
            <v>#N/A</v>
          </cell>
          <cell r="S38" t="str">
            <v>Mix Glad ( 14 Inch ) 11     Grass</v>
          </cell>
          <cell r="T38" t="str">
            <v>Mix Alstroemeria ( 12 Inch ) 16     Grass</v>
          </cell>
        </row>
        <row r="39">
          <cell r="A39">
            <v>2536</v>
          </cell>
          <cell r="B39" t="str">
            <v xml:space="preserve">Poonam Lal </v>
          </cell>
          <cell r="C39">
            <v>9811096665</v>
          </cell>
          <cell r="D39" t="str">
            <v>T-121/173, Silver Oaks Appartments</v>
          </cell>
          <cell r="E39" t="str">
            <v>DLF Phase 1</v>
          </cell>
          <cell r="F39" t="str">
            <v>Saturday</v>
          </cell>
          <cell r="G39" t="str">
            <v>9 AM - 12 PM</v>
          </cell>
          <cell r="H39">
            <v>1450</v>
          </cell>
          <cell r="I39">
            <v>362.5</v>
          </cell>
          <cell r="J39" t="str">
            <v>Bliss</v>
          </cell>
          <cell r="K39" t="str">
            <v>10% Discount // Today hold (02/08) Hold n start after 11th Sep (05/09) Start after 27th Jan (16/01) Skip tom (03/04) Skip tom add being changed (01/05) Hold till 04th June (26/05) Hold tom (20/07)</v>
          </cell>
          <cell r="N39" t="str">
            <v>2  del of this cycle   -  1-cycles pmnt   Pending - Collect 1450</v>
          </cell>
          <cell r="O39" t="str">
            <v>Rajni ( 14 Inch ) 16     FF Sachet + Grass</v>
          </cell>
          <cell r="P39" t="str">
            <v>P n W Car ( 14 Inch ) 16     FF Sachet + Grass</v>
          </cell>
          <cell r="Q39" t="str">
            <v>Y Asiatic ( 14 Inch ) 3     Grass</v>
          </cell>
          <cell r="R39" t="str">
            <v>P n W Glad ( 14 Inch ) 16     Grass</v>
          </cell>
          <cell r="S39" t="e">
            <v>#N/A</v>
          </cell>
          <cell r="T39" t="str">
            <v>P Spray Daisy ( 14 Inch ) 2 Mix Alstroemeria ( 12 Inch ) 7   FF Sachet + Grass</v>
          </cell>
        </row>
        <row r="40">
          <cell r="A40">
            <v>2525</v>
          </cell>
          <cell r="B40" t="str">
            <v>Sonia Kalra</v>
          </cell>
          <cell r="C40">
            <v>9810512391</v>
          </cell>
          <cell r="D40" t="str">
            <v>C-264, Sushant Lok-1</v>
          </cell>
          <cell r="E40" t="str">
            <v>M G Road</v>
          </cell>
          <cell r="F40" t="str">
            <v>Tuesday</v>
          </cell>
          <cell r="G40" t="str">
            <v>10 AM to 2:30 PM</v>
          </cell>
          <cell r="H40">
            <v>1450</v>
          </cell>
          <cell r="I40">
            <v>362.5</v>
          </cell>
          <cell r="J40" t="str">
            <v>Bliss</v>
          </cell>
          <cell r="K40" t="str">
            <v>Change Rs 50// Hold today n skip 1 week(29/07) Paytm from harsonia Kalra (03/09) Skip Tuesday and sned on Thursday this week (19/07)</v>
          </cell>
          <cell r="N40" t="str">
            <v>4  del of this cycle   -  0-cycles pmnt   CompletedNO COLLECTION-we have extra money - Collect -57</v>
          </cell>
          <cell r="O40" t="str">
            <v>B Daisy ( 12 Inch ) 9     Grass</v>
          </cell>
          <cell r="P40" t="str">
            <v>Sunflower ( 12 Incjh ) 2     FF Sachet + grass</v>
          </cell>
          <cell r="Q40" t="str">
            <v>Pur n P Car ( 14 Inch ) 16     FF Sachet + Grass</v>
          </cell>
          <cell r="R40" t="str">
            <v>O Asiatic ( 14 Inch ) 3     Grass</v>
          </cell>
          <cell r="S40" t="e">
            <v>#N/A</v>
          </cell>
          <cell r="T40" t="str">
            <v>Mix Alstroemeria ( 12 Inch ) 16     FF Sachet + Grass</v>
          </cell>
        </row>
        <row r="41">
          <cell r="A41">
            <v>918</v>
          </cell>
          <cell r="B41" t="str">
            <v>FIVD</v>
          </cell>
          <cell r="C41">
            <v>9560117868</v>
          </cell>
          <cell r="D41" t="str">
            <v>Fivd India, 22-27, 7th Floor, A Tower, Emaar Digital Green Sec 61</v>
          </cell>
          <cell r="E41" t="str">
            <v>Ghata</v>
          </cell>
          <cell r="F41" t="str">
            <v>Tuesday</v>
          </cell>
          <cell r="G41" t="str">
            <v>9 AM - 12 PM</v>
          </cell>
          <cell r="H41">
            <v>1950</v>
          </cell>
          <cell r="I41">
            <v>487.5</v>
          </cell>
          <cell r="J41" t="str">
            <v>Corporate</v>
          </cell>
          <cell r="K41" t="str">
            <v>Only Asiatic(12/10) Skip this week(26/10) Google pay from manas mehrotra(24/11) Return-send on Tuesday(08/12) Gpay From Priyanka Singh (24/09) Sent a vase today (07/02) Add Changed (14/07) Today hold-send tom (15/08) send replacement tom (16/08) Today returned-send tom (24/10) Sent replacement today (04/07) Sent replacement today (27/11) Office was closed (21/10)</v>
          </cell>
          <cell r="L41" t="str">
            <v>GLAD And GULDAWARI AND SPRAY DAISY</v>
          </cell>
          <cell r="N41" t="str">
            <v>2  del of this cycle   -  0-cycles pmnt   In Process - Collect 0</v>
          </cell>
          <cell r="O41" t="str">
            <v>Pur n P Car ( 14 Inch ) 22     FF Sachet + Grass</v>
          </cell>
          <cell r="P41" t="str">
            <v>O Asiatic ( 14 Inch ) 4     Grass</v>
          </cell>
          <cell r="Q41" t="str">
            <v>Rajni ( 14 Inch ) 22     Grass</v>
          </cell>
          <cell r="R41" t="str">
            <v>P n Y Spray Daisy ( 14 Inch ) 7     FF Sachet + Grass</v>
          </cell>
          <cell r="S41" t="str">
            <v>Mix Glad ( 14 Inch ) 22     FF Sachet + Grass</v>
          </cell>
          <cell r="T41" t="str">
            <v>Pur n P Car ( 14 Inch ) 16     FF Sachet + Grass</v>
          </cell>
        </row>
        <row r="42">
          <cell r="A42">
            <v>3371</v>
          </cell>
          <cell r="B42" t="str">
            <v>Supriya Bijlwan</v>
          </cell>
          <cell r="C42">
            <v>9560012831</v>
          </cell>
          <cell r="D42" t="str">
            <v>C-201, Mahindra Luminaire</v>
          </cell>
          <cell r="E42" t="str">
            <v>Ghata</v>
          </cell>
          <cell r="F42" t="str">
            <v>Saturday</v>
          </cell>
          <cell r="G42" t="str">
            <v>10 AM to 2:30 PM</v>
          </cell>
          <cell r="H42">
            <v>2300</v>
          </cell>
          <cell r="I42">
            <v>287.5</v>
          </cell>
          <cell r="J42" t="str">
            <v>Felicity</v>
          </cell>
          <cell r="K42" t="str">
            <v>1 Seasonal Extra next (20/05) No Rajni in Summer (12/07)</v>
          </cell>
          <cell r="L42" t="str">
            <v>Rajni in Summer</v>
          </cell>
          <cell r="M42" t="str">
            <v>Premium in next 2 Del (23/05)</v>
          </cell>
          <cell r="N42" t="str">
            <v>5  del of this cycle   -  0-cycles pmnt   Completed - Collect 0</v>
          </cell>
          <cell r="O42" t="str">
            <v>P Asiatic ( 14 Inch ) 2     Grass</v>
          </cell>
          <cell r="P42" t="str">
            <v>Sunflower ( 12 Incjh ) 3     FF Sachet + Grass</v>
          </cell>
          <cell r="Q42" t="str">
            <v>Y Spray Daisy ( 14 Inch ) 2     FF Sachet + Grass</v>
          </cell>
          <cell r="R42" t="str">
            <v>O Asiatic ( 14 Inch ) 2     Grass</v>
          </cell>
          <cell r="S42" t="str">
            <v>Mix Glad ( 14 Inch ) 11     Grass</v>
          </cell>
          <cell r="T42" t="str">
            <v>Mix Alstroemeria ( 12 Inch ) 16     FF Sachet + Grass</v>
          </cell>
        </row>
        <row r="43">
          <cell r="A43">
            <v>3297</v>
          </cell>
          <cell r="B43" t="str">
            <v>Samby</v>
          </cell>
          <cell r="C43">
            <v>9818996771</v>
          </cell>
          <cell r="D43" t="str">
            <v>C-183 A, 4th Floor, Sushant Lok 1</v>
          </cell>
          <cell r="E43" t="str">
            <v>M G Road</v>
          </cell>
          <cell r="F43" t="str">
            <v>Tuesday</v>
          </cell>
          <cell r="G43" t="str">
            <v>10 AM to 2:30 PM</v>
          </cell>
          <cell r="H43">
            <v>1450</v>
          </cell>
          <cell r="I43">
            <v>362.5</v>
          </cell>
          <cell r="J43" t="str">
            <v>Bliss</v>
          </cell>
          <cell r="K43" t="str">
            <v>Paytm From Sumit Kumar Bedi Jaga (29/03)</v>
          </cell>
          <cell r="N43" t="str">
            <v>2  del of this cycle   -  0-cycles pmnt   Completed - Collect 0</v>
          </cell>
          <cell r="O43" t="str">
            <v>Mix Spray Daisy 5     Grass</v>
          </cell>
          <cell r="P43" t="str">
            <v>Rajni ( 14 Inch ) 16     Grass</v>
          </cell>
          <cell r="Q43" t="str">
            <v>O Asiatic ( 14 Inch ) 3     Grass</v>
          </cell>
          <cell r="R43" t="str">
            <v>G n W Car ( 14 Inch ) 16     FF Sachet + Grass</v>
          </cell>
          <cell r="S43" t="str">
            <v>Mix Glad ( 14 Inch ) 16     Grass</v>
          </cell>
          <cell r="T43" t="str">
            <v>P n W Spray Daisy ( 14 Inch ) 4 Pur n P Car ( 14 Inch ) 11   FF Sachet + Grass</v>
          </cell>
        </row>
        <row r="44">
          <cell r="A44">
            <v>2325</v>
          </cell>
          <cell r="B44" t="str">
            <v>Aman</v>
          </cell>
          <cell r="C44">
            <v>9818655913</v>
          </cell>
          <cell r="D44" t="str">
            <v>S-1/12, 1st Floor, DLF Phase 3</v>
          </cell>
          <cell r="E44" t="str">
            <v>DLF Phase 3</v>
          </cell>
          <cell r="F44" t="str">
            <v>Saturday</v>
          </cell>
          <cell r="G44" t="str">
            <v>4 Pm to 7 PM</v>
          </cell>
          <cell r="H44">
            <v>3000</v>
          </cell>
          <cell r="I44">
            <v>375</v>
          </cell>
          <cell r="J44" t="str">
            <v>Charm</v>
          </cell>
          <cell r="K44" t="str">
            <v>Sat n Tuesday//NO Car n Lilies(07/09) Skip coming del n send on 4th Jan (25/12) Skip tom (10/01) Hold n start from 5th Mar-25(09/02) Hold due to non payment (14/10) Hold due to non payment (17/01)</v>
          </cell>
          <cell r="L44" t="str">
            <v>Car n Lilies</v>
          </cell>
          <cell r="N44" t="str">
            <v>3  del of this cycle   -  1-cycles pmnt   Pending - Collect 3000</v>
          </cell>
          <cell r="O44" t="str">
            <v>Rajni ( 14 Inch ) 15     Grass</v>
          </cell>
          <cell r="P44" t="e">
            <v>#N/A</v>
          </cell>
          <cell r="Q44" t="e">
            <v>#N/A</v>
          </cell>
          <cell r="R44" t="e">
            <v>#N/A</v>
          </cell>
          <cell r="S44" t="str">
            <v>Mix Glad ( 14 Inch ) 15     FF Sachet + Grass</v>
          </cell>
          <cell r="T44" t="str">
            <v>Pur n P Car ( 14 Inch ) 16     FF Sachet + Grass</v>
          </cell>
        </row>
        <row r="45">
          <cell r="A45">
            <v>2633</v>
          </cell>
          <cell r="B45" t="str">
            <v>Varsha Mathur</v>
          </cell>
          <cell r="C45">
            <v>9810816655</v>
          </cell>
          <cell r="D45" t="str">
            <v>C-34, First Floor, Sushant Lok-1</v>
          </cell>
          <cell r="E45" t="str">
            <v>M G Road</v>
          </cell>
          <cell r="F45" t="str">
            <v>Tuesday</v>
          </cell>
          <cell r="G45" t="str">
            <v>9 AM - 12 PM</v>
          </cell>
          <cell r="H45">
            <v>1450</v>
          </cell>
          <cell r="I45">
            <v>362.5</v>
          </cell>
          <cell r="J45" t="str">
            <v>Bliss</v>
          </cell>
          <cell r="K45" t="str">
            <v>Paytm From Aryank Mathur (29/04) Pls send asiatic only (10/06) Do not count last delivery (01/09) Diff flowers now (04/09) Hold due to non payment (14/10) Gpay from Medhavi Mathur (30/10) No Gerbera and Glad (04/12) No Orchids (18/12) Hold due to non payment (13/01) Hold due to non payment (20/01)</v>
          </cell>
          <cell r="L45" t="str">
            <v>No Glad n Gerbera n Orchid</v>
          </cell>
          <cell r="M45" t="str">
            <v>Diff flowers Now (04/09)</v>
          </cell>
          <cell r="N45" t="str">
            <v>1  del of this cycle   -  1-cycles pmnt   Pending - Collect 1450</v>
          </cell>
          <cell r="O45" t="str">
            <v>O Asiatic ( 14 Inch ) 3     Grass</v>
          </cell>
          <cell r="P45" t="str">
            <v>Rajni ( 14 Inch ) 16     Grass</v>
          </cell>
          <cell r="Q45" t="str">
            <v>Mix Alstroemeria ( 12 Inch ) 16     FF Sachet + Grass</v>
          </cell>
          <cell r="R45" t="str">
            <v>P n W Spray Daisy ( 14 Inch ) 5     FF Sachet + Grass</v>
          </cell>
          <cell r="S45" t="str">
            <v>G n W Car ( 14 inch ) 16     FF Sachet + Grass</v>
          </cell>
          <cell r="T45" t="str">
            <v>O Asiatic ( 14 Inch ) 3     Grass</v>
          </cell>
        </row>
        <row r="46">
          <cell r="A46">
            <v>2426</v>
          </cell>
          <cell r="B46" t="str">
            <v>Pragati Agarwal</v>
          </cell>
          <cell r="C46">
            <v>9811152110</v>
          </cell>
          <cell r="D46" t="str">
            <v>C-1019, G Floor, Sushant Lok 1</v>
          </cell>
          <cell r="E46" t="str">
            <v>M G Road</v>
          </cell>
          <cell r="F46" t="str">
            <v>Tuesday</v>
          </cell>
          <cell r="G46" t="str">
            <v>10 AM to 2:30 PM</v>
          </cell>
          <cell r="H46">
            <v>1950</v>
          </cell>
          <cell r="I46">
            <v>487.5</v>
          </cell>
          <cell r="J46" t="str">
            <v>Joy</v>
          </cell>
          <cell r="K46" t="str">
            <v>Skip 1 week (10/04) No Bop (29/04) No Rajni (29/07) One kind of flowers (31/10) Skip 1 week (05/01) Hold 1 month (07/03) Paytm From Tanmay Agarwal (05/05)</v>
          </cell>
          <cell r="L46" t="str">
            <v>BOP n Rajni</v>
          </cell>
          <cell r="M46" t="str">
            <v>One Kind of Flower (31/10)</v>
          </cell>
          <cell r="N46" t="str">
            <v>2  del of this cycle   -  1-cycles pmnt   Pending - Collect 1900</v>
          </cell>
          <cell r="O46" t="str">
            <v>Sunflower ( 12 Inch ) 4     Grass</v>
          </cell>
          <cell r="P46" t="str">
            <v>P n W Glad ( 14 inch ) 22    Ensure Collection Grass</v>
          </cell>
          <cell r="Q46" t="str">
            <v>O Asiatic ( 14 Inch ) 4     Grass</v>
          </cell>
          <cell r="R46" t="str">
            <v>G n W Car ( 14 Inch ) 22     FF Sachet + Grass</v>
          </cell>
          <cell r="S46" t="str">
            <v>P n Y Spray Daisy ( 14 Inch ) 7     FF Sachet + Grass</v>
          </cell>
          <cell r="T46" t="str">
            <v>Rajni ( 14 Inch ) 22     Grass</v>
          </cell>
        </row>
        <row r="47">
          <cell r="B47" t="str">
            <v xml:space="preserve">Megha </v>
          </cell>
          <cell r="C47" t="str">
            <v>98998 20599</v>
          </cell>
          <cell r="D47" t="str">
            <v xml:space="preserve">EMAAR PALM HILLS  Tower #82 House #1001
10th floor Sector 77 </v>
          </cell>
          <cell r="H47">
            <v>600</v>
          </cell>
          <cell r="J47" t="str">
            <v>Bouquet</v>
          </cell>
          <cell r="T47" t="str">
            <v>Pur n P Car ( 14 Inch ) 16     FF Sachet + Grass</v>
          </cell>
        </row>
        <row r="48">
          <cell r="A48">
            <v>2250</v>
          </cell>
          <cell r="B48" t="str">
            <v>Saloni Gupta</v>
          </cell>
          <cell r="C48">
            <v>9810796682</v>
          </cell>
          <cell r="D48" t="str">
            <v>338, 3rd Floor, Espace</v>
          </cell>
          <cell r="E48" t="str">
            <v>Nirvana Country</v>
          </cell>
          <cell r="F48" t="str">
            <v>Tuesday</v>
          </cell>
          <cell r="G48" t="str">
            <v>9 AM - 12 PM</v>
          </cell>
          <cell r="H48">
            <v>3088</v>
          </cell>
          <cell r="I48">
            <v>386</v>
          </cell>
          <cell r="J48" t="str">
            <v>Cutsomized-Biweekly</v>
          </cell>
          <cell r="K48" t="str">
            <v>Sunday n Thursday//Pls Keep Flowers in Vase// Paytm from Mayank G (17/03) Sent replacememnt today (23/03) Skip 1 week (10/04) 2 Asiatic and 5 Rajni (27/07) Paytm friom Mayank Gupta (16/09) 2 Asiatic Lily in each delivery (16/10) Today returned (17/11) Skip this sunday (03/01) Thursday -- 10 Rose and 4 Rajni // Sunday - 2 Asiatic (19/01) Whenever possible-send red Roses (23/01) Skip tom (29/01) Today returned (22/05) Send replacement tom (27/07) Hold today (14/08) Do not count last delivery (04/09) Hold today (02/10) Hold today (12/10) Hold after this cycle (27/10) Do not count last del (31/10) 2 Asiatic + 4 Rajni + 4 Glad -- thrice in a week (30/12) 2 Asiatic and 4 Rajni bi weekly pack (08/03) 2 Asiatic and 8 Rajni Every time and send 8 Rajni tom (26/03) Today returned-send tom (19/04) Skip sunday (04/07) Do not count todays del (19/07)</v>
          </cell>
          <cell r="N48" t="str">
            <v>2  del of this cycle   -  1-cycles pmnt   Pending - Collect 3088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str">
            <v>W Asiatic ( 14 Inch ) 3     Grass</v>
          </cell>
          <cell r="T48" t="str">
            <v>O Asiatic ( 14 Inch ) 4     Grass</v>
          </cell>
        </row>
        <row r="49">
          <cell r="B49" t="str">
            <v>BK Babita</v>
          </cell>
          <cell r="D49" t="str">
            <v xml:space="preserve">2985, 4th Floor, Prabhu Bhawan, sector 46 near apple blossom </v>
          </cell>
          <cell r="H49">
            <v>600</v>
          </cell>
          <cell r="J49" t="str">
            <v>Bouquet</v>
          </cell>
          <cell r="T49" t="str">
            <v>Y Asiatic ( 14 Inch ) 3     Grass</v>
          </cell>
        </row>
        <row r="50">
          <cell r="B50" t="str">
            <v>Akshita Dhalaria</v>
          </cell>
          <cell r="C50">
            <v>6387902529</v>
          </cell>
          <cell r="D50" t="str">
            <v xml:space="preserve"> Tower F 301 Signature global prime sector 63A</v>
          </cell>
          <cell r="G50" t="str">
            <v xml:space="preserve">6:00-8:00 </v>
          </cell>
          <cell r="H50">
            <v>850</v>
          </cell>
          <cell r="J50" t="str">
            <v>Bouquet</v>
          </cell>
          <cell r="K50" t="str">
            <v>Today Between 6:00-8:00 
5 sunflowers in brown wrap 
850 received
pls do not cover till the top- thoda neeche tak hi rakhna hai wrap ko
Pls share photo before sending @Wahab* New @~S.K~ 
From 
‪+91 6387 902 529‬
To 
Recipient’s name - Akshita Dhalaria
Contact number- 6387902529
Address - Signature global prime sector 63A tower F 301
Message, if any
Happy Birthday Lamba Don! ❤️</v>
          </cell>
          <cell r="N50" t="str">
            <v>share photo before sending</v>
          </cell>
          <cell r="T50" t="str">
            <v>G Hydrangea +  G n W Button Daisy + G n W Eustoma + G n W Car + Baloon Flowers + G n W Anthurium + W Car + Lotus Bud 10 + 30 + 20 + 100 + 15 + 8 + 30 + 20 Baby Dollar + G Hanging Amaranthus + Mirchi Patti + Gypsola + Limonium 3 Bunch + 20 + 4 Bunch + 5 Bunch + 2 Bunch + 2 Bunch  Green Apple  Pear + Japanese Grapes 1 Kg + 500 Gm</v>
          </cell>
        </row>
        <row r="51">
          <cell r="A51">
            <v>3284</v>
          </cell>
          <cell r="B51" t="str">
            <v>Megha Sharma</v>
          </cell>
          <cell r="C51" t="str">
            <v>9643166797 // 7351797203</v>
          </cell>
          <cell r="D51" t="str">
            <v>338, Espace, 2nd Floor</v>
          </cell>
          <cell r="E51" t="str">
            <v>Nirvana Country</v>
          </cell>
          <cell r="F51" t="str">
            <v>Sunday</v>
          </cell>
          <cell r="G51" t="str">
            <v>4 PM to 7 PM</v>
          </cell>
          <cell r="H51">
            <v>1950</v>
          </cell>
          <cell r="I51">
            <v>487.5</v>
          </cell>
          <cell r="J51" t="str">
            <v>Replacement</v>
          </cell>
          <cell r="T51" t="str">
            <v xml:space="preserve">Mix Oriental 4 Each Bouquet Rajni 6 each  Single Wrap  </v>
          </cell>
        </row>
        <row r="52">
          <cell r="A52">
            <v>2274</v>
          </cell>
          <cell r="B52" t="str">
            <v>Megha Saraogi</v>
          </cell>
          <cell r="C52">
            <v>8879492701</v>
          </cell>
          <cell r="D52" t="str">
            <v>A-161, 16th Floor, Raheja Atlantis</v>
          </cell>
          <cell r="H52">
            <v>2000</v>
          </cell>
          <cell r="J52" t="str">
            <v>Customized</v>
          </cell>
          <cell r="T52" t="str">
            <v xml:space="preserve">Car+Asiatic+Rajni 6+6+3 Tissue Wrap    </v>
          </cell>
        </row>
        <row r="53">
          <cell r="B53" t="str">
            <v xml:space="preserve">Manvendra Shukul </v>
          </cell>
          <cell r="C53" t="str">
            <v>98100 38843</v>
          </cell>
          <cell r="D53" t="str">
            <v>Tower 16 Flat 001
The Close North 
Nirvana Country</v>
          </cell>
          <cell r="J53" t="str">
            <v>Bouquet</v>
          </cell>
          <cell r="T53" t="str">
            <v xml:space="preserve">Rajni 7 Single Wrap    </v>
          </cell>
        </row>
        <row r="54">
          <cell r="B54" t="str">
            <v>98100 26441‬ will pick from exit gate in 10 mins
Collect 1050</v>
          </cell>
          <cell r="C54" t="str">
            <v>98100 26441‬ will pick from exit gate in 10 mins
Collect 1051</v>
          </cell>
          <cell r="D54" t="str">
            <v>98100 26441‬ will pick from exit gate in 10 mins
Collect 1052</v>
          </cell>
          <cell r="E54" t="str">
            <v>98100 26441‬ will pick from exit gate in 10 mins
Collect 1053</v>
          </cell>
          <cell r="F54" t="str">
            <v>98100 26441‬ will pick from exit gate in 10 mins
Collect 1054</v>
          </cell>
          <cell r="G54" t="str">
            <v>98100 26441‬ will pick from exit gate in 10 mins
Collect 1055</v>
          </cell>
          <cell r="H54">
            <v>1050</v>
          </cell>
          <cell r="J54" t="str">
            <v>Bouquet</v>
          </cell>
          <cell r="K54" t="str">
            <v>Make this add one more sunflower 
‪+91 98100 26441‬ will pick from exit gate in 10 mins
Collect 1050</v>
          </cell>
          <cell r="T54" t="str">
            <v xml:space="preserve">P Asiatic 5 Grass+arica    </v>
          </cell>
        </row>
      </sheetData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ACCA2-003F-4663-9A57-6B2E8F539BF0}">
  <dimension ref="A1:R6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3" sqref="G3"/>
    </sheetView>
  </sheetViews>
  <sheetFormatPr defaultRowHeight="14" x14ac:dyDescent="0.3"/>
  <sheetData>
    <row r="1" spans="1:18" ht="41.95" x14ac:dyDescent="0.3">
      <c r="A1" s="26"/>
      <c r="B1" s="26" t="s">
        <v>294</v>
      </c>
      <c r="C1" s="27" t="s">
        <v>295</v>
      </c>
      <c r="D1" s="27" t="s">
        <v>296</v>
      </c>
      <c r="E1" s="27" t="s">
        <v>160</v>
      </c>
      <c r="F1" s="27" t="s">
        <v>297</v>
      </c>
      <c r="G1" s="27" t="s">
        <v>44</v>
      </c>
      <c r="H1" s="27" t="s">
        <v>298</v>
      </c>
      <c r="I1" s="27" t="s">
        <v>299</v>
      </c>
      <c r="J1" s="27" t="s">
        <v>300</v>
      </c>
      <c r="K1" s="27" t="s">
        <v>301</v>
      </c>
      <c r="L1" s="28" t="s">
        <v>302</v>
      </c>
      <c r="M1" s="28" t="s">
        <v>303</v>
      </c>
      <c r="N1" s="28" t="s">
        <v>304</v>
      </c>
      <c r="O1" s="29"/>
      <c r="P1" s="30" t="s">
        <v>305</v>
      </c>
      <c r="Q1" s="30" t="s">
        <v>306</v>
      </c>
      <c r="R1" s="29"/>
    </row>
    <row r="2" spans="1:18" x14ac:dyDescent="0.3">
      <c r="A2" s="31">
        <v>999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3">
        <f t="shared" ref="O2:O7" si="0">SUM(B2:N2)</f>
        <v>0</v>
      </c>
      <c r="P2" s="33">
        <f>(O2*A2)/4</f>
        <v>0</v>
      </c>
      <c r="Q2" s="33"/>
      <c r="R2" s="33"/>
    </row>
    <row r="3" spans="1:18" x14ac:dyDescent="0.3">
      <c r="A3" s="31">
        <v>1450</v>
      </c>
      <c r="B3" s="32"/>
      <c r="C3" s="32">
        <v>2.5</v>
      </c>
      <c r="D3" s="32"/>
      <c r="E3" s="32"/>
      <c r="F3" s="32"/>
      <c r="G3" s="32">
        <v>2</v>
      </c>
      <c r="H3" s="32"/>
      <c r="I3" s="32">
        <v>7.5</v>
      </c>
      <c r="J3" s="34"/>
      <c r="K3" s="34">
        <v>5</v>
      </c>
      <c r="L3" s="32"/>
      <c r="M3" s="32"/>
      <c r="N3" s="32"/>
      <c r="O3" s="33">
        <f t="shared" si="0"/>
        <v>17</v>
      </c>
      <c r="P3" s="33">
        <f>(O3*A3)/4</f>
        <v>6162.5</v>
      </c>
      <c r="Q3" s="33"/>
      <c r="R3" s="33"/>
    </row>
    <row r="4" spans="1:18" x14ac:dyDescent="0.3">
      <c r="A4" s="31">
        <v>1950</v>
      </c>
      <c r="B4" s="32"/>
      <c r="C4" s="32">
        <v>1</v>
      </c>
      <c r="D4" s="32"/>
      <c r="E4" s="32">
        <v>1</v>
      </c>
      <c r="F4" s="32"/>
      <c r="G4" s="32">
        <v>2</v>
      </c>
      <c r="H4" s="32"/>
      <c r="I4" s="32">
        <v>1</v>
      </c>
      <c r="J4" s="32"/>
      <c r="K4" s="32">
        <v>1</v>
      </c>
      <c r="L4" s="32"/>
      <c r="M4" s="32"/>
      <c r="N4" s="32"/>
      <c r="O4" s="33">
        <f t="shared" si="0"/>
        <v>6</v>
      </c>
      <c r="P4" s="33">
        <f>(O4*A4)/4</f>
        <v>2925</v>
      </c>
      <c r="Q4" s="33"/>
      <c r="R4" s="33"/>
    </row>
    <row r="5" spans="1:18" x14ac:dyDescent="0.3">
      <c r="A5" s="31">
        <v>2750</v>
      </c>
      <c r="B5" s="32"/>
      <c r="C5" s="32"/>
      <c r="D5" s="32"/>
      <c r="E5" s="32"/>
      <c r="F5" s="32"/>
      <c r="G5" s="32"/>
      <c r="H5" s="32"/>
      <c r="I5" s="35">
        <v>1</v>
      </c>
      <c r="J5" s="35"/>
      <c r="K5" s="35"/>
      <c r="L5" s="35"/>
      <c r="M5" s="32"/>
      <c r="N5" s="32"/>
      <c r="O5" s="33">
        <f t="shared" si="0"/>
        <v>1</v>
      </c>
      <c r="P5" s="33">
        <f>(O5*A5)/4</f>
        <v>687.5</v>
      </c>
      <c r="Q5" s="33"/>
      <c r="R5" s="33"/>
    </row>
    <row r="6" spans="1:18" x14ac:dyDescent="0.3">
      <c r="A6" s="31">
        <v>4750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>
        <f t="shared" si="0"/>
        <v>0</v>
      </c>
      <c r="P6" s="33">
        <f>(O6*A6)/4</f>
        <v>0</v>
      </c>
      <c r="Q6" s="33"/>
      <c r="R6" s="33"/>
    </row>
    <row r="7" spans="1:18" x14ac:dyDescent="0.3">
      <c r="A7" s="26" t="s">
        <v>307</v>
      </c>
      <c r="B7" s="36">
        <f t="shared" ref="B7:N7" si="1">SUM(B2:B6)</f>
        <v>0</v>
      </c>
      <c r="C7" s="36">
        <f t="shared" si="1"/>
        <v>3.5</v>
      </c>
      <c r="D7" s="36">
        <f t="shared" si="1"/>
        <v>0</v>
      </c>
      <c r="E7" s="36">
        <f t="shared" si="1"/>
        <v>1</v>
      </c>
      <c r="F7" s="36">
        <f t="shared" si="1"/>
        <v>0</v>
      </c>
      <c r="G7" s="36">
        <f t="shared" si="1"/>
        <v>4</v>
      </c>
      <c r="H7" s="36">
        <f t="shared" si="1"/>
        <v>0</v>
      </c>
      <c r="I7" s="36">
        <f t="shared" si="1"/>
        <v>9.5</v>
      </c>
      <c r="J7" s="36">
        <f t="shared" si="1"/>
        <v>0</v>
      </c>
      <c r="K7" s="36">
        <f t="shared" si="1"/>
        <v>6</v>
      </c>
      <c r="L7" s="36">
        <f t="shared" si="1"/>
        <v>0</v>
      </c>
      <c r="M7" s="36">
        <f t="shared" si="1"/>
        <v>0</v>
      </c>
      <c r="N7" s="36">
        <f t="shared" si="1"/>
        <v>0</v>
      </c>
      <c r="O7" s="33">
        <f t="shared" si="0"/>
        <v>24</v>
      </c>
      <c r="P7" s="37">
        <f>SUM(P2:P6)</f>
        <v>9775</v>
      </c>
      <c r="Q7" s="37">
        <f>P7</f>
        <v>9775</v>
      </c>
      <c r="R7" s="33"/>
    </row>
    <row r="8" spans="1:18" ht="27.95" x14ac:dyDescent="0.3">
      <c r="A8" s="31" t="s">
        <v>308</v>
      </c>
      <c r="B8" s="32">
        <v>22</v>
      </c>
      <c r="C8" s="32">
        <v>10</v>
      </c>
      <c r="D8" s="32">
        <v>10</v>
      </c>
      <c r="E8" s="32">
        <v>5</v>
      </c>
      <c r="F8" s="32">
        <v>10</v>
      </c>
      <c r="G8" s="32">
        <v>20</v>
      </c>
      <c r="H8" s="32">
        <v>20</v>
      </c>
      <c r="I8" s="32">
        <v>20</v>
      </c>
      <c r="J8" s="32">
        <v>10</v>
      </c>
      <c r="K8" s="32">
        <v>10</v>
      </c>
      <c r="L8" s="32">
        <v>10</v>
      </c>
      <c r="M8" s="32">
        <v>1</v>
      </c>
      <c r="N8" s="32">
        <v>10</v>
      </c>
      <c r="O8" s="33"/>
      <c r="P8" s="33"/>
      <c r="Q8" s="33"/>
      <c r="R8" s="33"/>
    </row>
    <row r="9" spans="1:18" ht="27.95" x14ac:dyDescent="0.3">
      <c r="A9" s="26" t="s">
        <v>309</v>
      </c>
      <c r="B9" s="28">
        <v>100</v>
      </c>
      <c r="C9" s="28">
        <v>300</v>
      </c>
      <c r="D9" s="28">
        <v>120</v>
      </c>
      <c r="E9" s="28">
        <v>130</v>
      </c>
      <c r="F9" s="28">
        <v>100</v>
      </c>
      <c r="G9" s="28">
        <v>300</v>
      </c>
      <c r="H9" s="28">
        <v>300</v>
      </c>
      <c r="I9" s="28">
        <v>150</v>
      </c>
      <c r="J9" s="28">
        <v>425</v>
      </c>
      <c r="K9" s="28">
        <v>475</v>
      </c>
      <c r="L9" s="28">
        <v>1150</v>
      </c>
      <c r="M9" s="28">
        <v>120</v>
      </c>
      <c r="N9" s="28">
        <v>400</v>
      </c>
      <c r="O9" s="33"/>
      <c r="P9" s="33"/>
      <c r="Q9" s="33"/>
      <c r="R9" s="33"/>
    </row>
    <row r="10" spans="1:18" x14ac:dyDescent="0.3">
      <c r="A10" s="31">
        <v>999</v>
      </c>
      <c r="B10" s="32">
        <f>B2*9</f>
        <v>0</v>
      </c>
      <c r="C10" s="32">
        <f>C2*3</f>
        <v>0</v>
      </c>
      <c r="D10" s="32">
        <f>D2*9</f>
        <v>0</v>
      </c>
      <c r="E10" s="32">
        <f>E2*2</f>
        <v>0</v>
      </c>
      <c r="F10" s="32">
        <f>F2*9</f>
        <v>0</v>
      </c>
      <c r="G10" s="32">
        <f>G2*9</f>
        <v>0</v>
      </c>
      <c r="H10" s="32">
        <f>H2*9</f>
        <v>0</v>
      </c>
      <c r="I10" s="32">
        <f>I2*9</f>
        <v>0</v>
      </c>
      <c r="J10" s="34">
        <f>J2*3</f>
        <v>0</v>
      </c>
      <c r="K10" s="34">
        <f>K2*2</f>
        <v>0</v>
      </c>
      <c r="L10" s="34">
        <f>L3*0</f>
        <v>0</v>
      </c>
      <c r="M10" s="32">
        <f>M2*2</f>
        <v>0</v>
      </c>
      <c r="N10" s="32">
        <f>N2*2</f>
        <v>0</v>
      </c>
      <c r="O10" s="33">
        <f t="shared" ref="O10:O21" si="2">B10*($B$9/$B$8)+C10*($C$9/$C$8)+D10*($D$9/$D$8)+E10*($E$9/$E$8)+F10*($F$9/$F$8)+G10*($G$9/$G$8)+H10*($H$9/$H$8)+I10*($I$9/$I$8)+J10*($J$9/$J$8)+K10*($K$9/$K$8)+L10*($L$9/$L$8)+M10*($M$9/$M$8)+N10*($N$9/$N$8)</f>
        <v>0</v>
      </c>
      <c r="P10" s="33">
        <f>O2*(A2/4)</f>
        <v>0</v>
      </c>
      <c r="Q10" s="33"/>
      <c r="R10" s="33">
        <f>P10-O10</f>
        <v>0</v>
      </c>
    </row>
    <row r="11" spans="1:18" x14ac:dyDescent="0.3">
      <c r="A11" s="31">
        <v>1450</v>
      </c>
      <c r="B11" s="32">
        <f>B3*16</f>
        <v>0</v>
      </c>
      <c r="C11" s="32">
        <f>C3*6</f>
        <v>15</v>
      </c>
      <c r="D11" s="32">
        <f>D3*16</f>
        <v>0</v>
      </c>
      <c r="E11" s="32">
        <f>E3*4</f>
        <v>0</v>
      </c>
      <c r="F11" s="34">
        <f>F3*16</f>
        <v>0</v>
      </c>
      <c r="G11" s="34">
        <f>G3*16</f>
        <v>32</v>
      </c>
      <c r="H11" s="34">
        <f>H3*16</f>
        <v>0</v>
      </c>
      <c r="I11" s="34">
        <f>I3*16</f>
        <v>120</v>
      </c>
      <c r="J11" s="34">
        <f>J3*6</f>
        <v>0</v>
      </c>
      <c r="K11" s="32">
        <f>K3*3.5</f>
        <v>17.5</v>
      </c>
      <c r="L11" s="32">
        <f>L3*2</f>
        <v>0</v>
      </c>
      <c r="M11" s="32">
        <f>M3*4</f>
        <v>0</v>
      </c>
      <c r="N11" s="32">
        <f>N3*3.5</f>
        <v>0</v>
      </c>
      <c r="O11" s="33">
        <f t="shared" si="2"/>
        <v>2661.25</v>
      </c>
      <c r="P11" s="33">
        <f>O3*(A3/4)</f>
        <v>6162.5</v>
      </c>
      <c r="Q11" s="33"/>
      <c r="R11" s="33">
        <f>P11-O11</f>
        <v>3501.25</v>
      </c>
    </row>
    <row r="12" spans="1:18" x14ac:dyDescent="0.3">
      <c r="A12" s="31">
        <v>1950</v>
      </c>
      <c r="B12" s="32">
        <f>B4*22</f>
        <v>0</v>
      </c>
      <c r="C12" s="32">
        <f>C4*8</f>
        <v>8</v>
      </c>
      <c r="D12" s="32">
        <f>D4*22</f>
        <v>0</v>
      </c>
      <c r="E12" s="32">
        <f>E4*6</f>
        <v>6</v>
      </c>
      <c r="F12" s="34">
        <f>F4*22</f>
        <v>0</v>
      </c>
      <c r="G12" s="34">
        <f>G4*22</f>
        <v>44</v>
      </c>
      <c r="H12" s="34">
        <f>H4*22</f>
        <v>0</v>
      </c>
      <c r="I12" s="34">
        <f>I4*22</f>
        <v>22</v>
      </c>
      <c r="J12" s="34">
        <f>J4*8</f>
        <v>0</v>
      </c>
      <c r="K12" s="32">
        <f>K4*4</f>
        <v>4</v>
      </c>
      <c r="L12" s="32">
        <f>L4*3</f>
        <v>0</v>
      </c>
      <c r="M12" s="32">
        <f>M4*5</f>
        <v>0</v>
      </c>
      <c r="N12" s="32">
        <f>N4*5</f>
        <v>0</v>
      </c>
      <c r="O12" s="33">
        <f t="shared" si="2"/>
        <v>1411</v>
      </c>
      <c r="P12" s="33">
        <f>O4*(A4/4)</f>
        <v>2925</v>
      </c>
      <c r="Q12" s="33"/>
      <c r="R12" s="33">
        <f>P12-O12</f>
        <v>1514</v>
      </c>
    </row>
    <row r="13" spans="1:18" x14ac:dyDescent="0.3">
      <c r="A13" s="31">
        <v>2750</v>
      </c>
      <c r="B13" s="32">
        <f>B5*32</f>
        <v>0</v>
      </c>
      <c r="C13" s="32">
        <f>C5*10</f>
        <v>0</v>
      </c>
      <c r="D13" s="32">
        <f>D5*32</f>
        <v>0</v>
      </c>
      <c r="E13" s="32">
        <f>E5*8</f>
        <v>0</v>
      </c>
      <c r="F13" s="32">
        <f>F5*32</f>
        <v>0</v>
      </c>
      <c r="G13" s="32">
        <f>G5*32</f>
        <v>0</v>
      </c>
      <c r="H13" s="32">
        <f>H5*32</f>
        <v>0</v>
      </c>
      <c r="I13" s="34">
        <f>I5*32</f>
        <v>32</v>
      </c>
      <c r="J13" s="38">
        <f>J5*10</f>
        <v>0</v>
      </c>
      <c r="K13" s="32">
        <f>K5*7</f>
        <v>0</v>
      </c>
      <c r="L13" s="32">
        <f>L5*4</f>
        <v>0</v>
      </c>
      <c r="M13" s="32">
        <f>M5*7</f>
        <v>0</v>
      </c>
      <c r="N13" s="32">
        <f>N5*7</f>
        <v>0</v>
      </c>
      <c r="O13" s="33">
        <f t="shared" si="2"/>
        <v>240</v>
      </c>
      <c r="P13" s="33">
        <f>O5*(A5/4)</f>
        <v>687.5</v>
      </c>
      <c r="Q13" s="33"/>
      <c r="R13" s="33">
        <f>P13-O13</f>
        <v>447.5</v>
      </c>
    </row>
    <row r="14" spans="1:18" x14ac:dyDescent="0.3">
      <c r="A14" s="31">
        <v>4750</v>
      </c>
      <c r="B14" s="32">
        <f>B6*60</f>
        <v>0</v>
      </c>
      <c r="C14" s="32">
        <f>C6*20</f>
        <v>0</v>
      </c>
      <c r="D14" s="32">
        <f t="shared" ref="D14:I14" si="3">D6*60</f>
        <v>0</v>
      </c>
      <c r="E14" s="32">
        <f>E6*14</f>
        <v>0</v>
      </c>
      <c r="F14" s="34">
        <f>F6*60</f>
        <v>0</v>
      </c>
      <c r="G14" s="34">
        <f t="shared" si="3"/>
        <v>0</v>
      </c>
      <c r="H14" s="34">
        <f t="shared" si="3"/>
        <v>0</v>
      </c>
      <c r="I14" s="34">
        <f t="shared" si="3"/>
        <v>0</v>
      </c>
      <c r="J14" s="34">
        <f>J6*22</f>
        <v>0</v>
      </c>
      <c r="K14" s="32">
        <f>K6*12</f>
        <v>0</v>
      </c>
      <c r="L14" s="32">
        <f>L6*8</f>
        <v>0</v>
      </c>
      <c r="M14" s="32">
        <f>M6*12</f>
        <v>0</v>
      </c>
      <c r="N14" s="32">
        <f>N6*12</f>
        <v>0</v>
      </c>
      <c r="O14" s="33">
        <f t="shared" si="2"/>
        <v>0</v>
      </c>
      <c r="P14" s="33">
        <f>O6*(A6/4)</f>
        <v>0</v>
      </c>
      <c r="Q14" s="33"/>
      <c r="R14" s="33">
        <f>P14-O14</f>
        <v>0</v>
      </c>
    </row>
    <row r="15" spans="1:18" x14ac:dyDescent="0.3">
      <c r="A15" s="39" t="s">
        <v>207</v>
      </c>
      <c r="B15" s="40"/>
      <c r="C15" s="40"/>
      <c r="D15" s="40"/>
      <c r="E15" s="40"/>
      <c r="F15" s="40"/>
      <c r="G15" s="40"/>
      <c r="H15" s="40">
        <v>65</v>
      </c>
      <c r="I15" s="40">
        <v>25</v>
      </c>
      <c r="J15" s="40"/>
      <c r="K15" s="40">
        <v>4</v>
      </c>
      <c r="L15" s="40"/>
      <c r="M15" s="40"/>
      <c r="N15" s="32"/>
      <c r="O15" s="33">
        <f t="shared" si="2"/>
        <v>1352.5</v>
      </c>
      <c r="P15" s="33"/>
      <c r="Q15" s="33">
        <v>4800</v>
      </c>
      <c r="R15" s="33">
        <f>SUM(R10:R14)</f>
        <v>5462.75</v>
      </c>
    </row>
    <row r="16" spans="1:18" ht="27.95" x14ac:dyDescent="0.3">
      <c r="A16" s="41" t="s">
        <v>310</v>
      </c>
      <c r="B16" s="40">
        <v>60</v>
      </c>
      <c r="C16" s="40">
        <v>7</v>
      </c>
      <c r="D16" s="40">
        <v>21</v>
      </c>
      <c r="E16" s="40">
        <v>3</v>
      </c>
      <c r="F16" s="40"/>
      <c r="G16" s="40">
        <v>36</v>
      </c>
      <c r="H16" s="40"/>
      <c r="I16" s="40">
        <v>30</v>
      </c>
      <c r="J16" s="40"/>
      <c r="K16" s="40">
        <v>9</v>
      </c>
      <c r="L16" s="40"/>
      <c r="M16" s="40"/>
      <c r="N16" s="40">
        <v>5</v>
      </c>
      <c r="O16" s="33">
        <f t="shared" si="2"/>
        <v>2205.227272727273</v>
      </c>
      <c r="P16" s="33"/>
      <c r="Q16" s="33">
        <v>5000</v>
      </c>
      <c r="R16" s="33"/>
    </row>
    <row r="17" spans="1:18" ht="15.6" x14ac:dyDescent="0.3">
      <c r="A17" s="42" t="s">
        <v>311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33">
        <f t="shared" si="2"/>
        <v>0</v>
      </c>
      <c r="P17" s="33"/>
      <c r="Q17" s="44"/>
      <c r="R17" s="33"/>
    </row>
    <row r="18" spans="1:18" ht="15.6" x14ac:dyDescent="0.3">
      <c r="A18" s="42" t="s">
        <v>311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33">
        <f t="shared" si="2"/>
        <v>0</v>
      </c>
      <c r="P18" s="33"/>
      <c r="Q18" s="44"/>
      <c r="R18" s="33"/>
    </row>
    <row r="19" spans="1:18" ht="46.75" x14ac:dyDescent="0.3">
      <c r="A19" s="45" t="s">
        <v>312</v>
      </c>
      <c r="B19" s="43"/>
      <c r="C19" s="43"/>
      <c r="D19" s="43"/>
      <c r="E19" s="43"/>
      <c r="F19" s="43"/>
      <c r="G19" s="43"/>
      <c r="H19" s="43"/>
      <c r="I19" s="43"/>
      <c r="J19" s="43"/>
      <c r="K19" s="43">
        <v>5</v>
      </c>
      <c r="L19" s="43"/>
      <c r="M19" s="43"/>
      <c r="N19" s="43"/>
      <c r="O19" s="33">
        <f t="shared" si="2"/>
        <v>237.5</v>
      </c>
      <c r="P19" s="33"/>
      <c r="Q19" s="44"/>
      <c r="R19" s="33"/>
    </row>
    <row r="20" spans="1:18" ht="27.95" x14ac:dyDescent="0.3">
      <c r="A20" s="46" t="s">
        <v>313</v>
      </c>
      <c r="B20" s="47">
        <v>50</v>
      </c>
      <c r="C20" s="47">
        <v>20</v>
      </c>
      <c r="D20" s="47">
        <v>20</v>
      </c>
      <c r="E20" s="47">
        <v>20</v>
      </c>
      <c r="F20" s="47"/>
      <c r="G20" s="47"/>
      <c r="H20" s="47">
        <v>120</v>
      </c>
      <c r="I20" s="47">
        <v>160</v>
      </c>
      <c r="J20" s="47">
        <v>15</v>
      </c>
      <c r="K20" s="47">
        <v>15</v>
      </c>
      <c r="L20" s="47">
        <v>8</v>
      </c>
      <c r="M20" s="47">
        <v>5</v>
      </c>
      <c r="N20" s="47">
        <v>10</v>
      </c>
      <c r="O20" s="33">
        <f t="shared" si="2"/>
        <v>7857.272727272727</v>
      </c>
      <c r="P20" s="33"/>
      <c r="Q20" s="33">
        <v>20000</v>
      </c>
      <c r="R20" s="33"/>
    </row>
    <row r="21" spans="1:18" x14ac:dyDescent="0.3">
      <c r="A21" s="48" t="s">
        <v>311</v>
      </c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33">
        <f t="shared" si="2"/>
        <v>0</v>
      </c>
      <c r="P21" s="33"/>
      <c r="Q21" s="33"/>
      <c r="R21" s="33"/>
    </row>
    <row r="22" spans="1:18" x14ac:dyDescent="0.3">
      <c r="A22" s="31" t="s">
        <v>307</v>
      </c>
      <c r="B22" s="32">
        <f>SUM(B10:B21)</f>
        <v>110</v>
      </c>
      <c r="C22" s="32">
        <f t="shared" ref="C22:N22" si="4">SUM(C10:C21)</f>
        <v>50</v>
      </c>
      <c r="D22" s="32">
        <f t="shared" si="4"/>
        <v>41</v>
      </c>
      <c r="E22" s="32">
        <f t="shared" si="4"/>
        <v>29</v>
      </c>
      <c r="F22" s="32">
        <f t="shared" si="4"/>
        <v>0</v>
      </c>
      <c r="G22" s="32">
        <f t="shared" si="4"/>
        <v>112</v>
      </c>
      <c r="H22" s="32">
        <f t="shared" si="4"/>
        <v>185</v>
      </c>
      <c r="I22" s="32">
        <f t="shared" si="4"/>
        <v>389</v>
      </c>
      <c r="J22" s="32">
        <f t="shared" si="4"/>
        <v>15</v>
      </c>
      <c r="K22" s="32">
        <f t="shared" si="4"/>
        <v>54.5</v>
      </c>
      <c r="L22" s="32">
        <f t="shared" si="4"/>
        <v>8</v>
      </c>
      <c r="M22" s="32">
        <f t="shared" si="4"/>
        <v>5</v>
      </c>
      <c r="N22" s="32">
        <f t="shared" si="4"/>
        <v>15</v>
      </c>
      <c r="O22" s="33"/>
      <c r="P22" s="33"/>
      <c r="Q22" s="33"/>
      <c r="R22" s="33"/>
    </row>
    <row r="23" spans="1:18" ht="27.95" x14ac:dyDescent="0.3">
      <c r="A23" s="31" t="s">
        <v>314</v>
      </c>
      <c r="B23" s="32"/>
      <c r="C23" s="32"/>
      <c r="D23" s="32">
        <v>10</v>
      </c>
      <c r="E23" s="32"/>
      <c r="F23" s="32"/>
      <c r="G23" s="32"/>
      <c r="H23" s="32">
        <v>30</v>
      </c>
      <c r="I23" s="32">
        <v>20</v>
      </c>
      <c r="J23" s="32"/>
      <c r="K23" s="32">
        <v>5</v>
      </c>
      <c r="L23" s="32"/>
      <c r="M23" s="32"/>
      <c r="N23" s="32"/>
      <c r="O23" s="33">
        <f>B23*($B$9/$B$8)+C23*($C$9/$C$8)+D23*($D$9/$D$8)+E23*($E$9/$E$8)+F23*($F$9/$F$8)+G23*($G$9/$G$8)+H23*($H$9/$H$8)+I23*($I$9/$I$8)+J23*($J$9/$J$8)+K23*($K$9/$K$8)+L23*($L$9/$L$8)+M23*($M$9/$M$8)+N23*($N$9/$N$8)</f>
        <v>957.5</v>
      </c>
      <c r="P23" s="33"/>
      <c r="Q23" s="33"/>
      <c r="R23" s="33"/>
    </row>
    <row r="24" spans="1:18" x14ac:dyDescent="0.3">
      <c r="A24" s="26" t="s">
        <v>315</v>
      </c>
      <c r="B24" s="49">
        <f t="shared" ref="B24:N24" si="5">B22-B23</f>
        <v>110</v>
      </c>
      <c r="C24" s="49">
        <f t="shared" si="5"/>
        <v>50</v>
      </c>
      <c r="D24" s="49">
        <f t="shared" si="5"/>
        <v>31</v>
      </c>
      <c r="E24" s="49">
        <f t="shared" si="5"/>
        <v>29</v>
      </c>
      <c r="F24" s="49">
        <f t="shared" si="5"/>
        <v>0</v>
      </c>
      <c r="G24" s="49">
        <f t="shared" si="5"/>
        <v>112</v>
      </c>
      <c r="H24" s="49">
        <f t="shared" si="5"/>
        <v>155</v>
      </c>
      <c r="I24" s="49">
        <f t="shared" si="5"/>
        <v>369</v>
      </c>
      <c r="J24" s="49">
        <f t="shared" si="5"/>
        <v>15</v>
      </c>
      <c r="K24" s="49">
        <f t="shared" si="5"/>
        <v>49.5</v>
      </c>
      <c r="L24" s="49">
        <f t="shared" si="5"/>
        <v>8</v>
      </c>
      <c r="M24" s="49">
        <f>M22-M23</f>
        <v>5</v>
      </c>
      <c r="N24" s="49">
        <f t="shared" si="5"/>
        <v>15</v>
      </c>
      <c r="O24" s="29"/>
      <c r="P24" s="29"/>
      <c r="Q24" s="29"/>
      <c r="R24" s="29"/>
    </row>
    <row r="25" spans="1:18" x14ac:dyDescent="0.3">
      <c r="A25" s="31" t="s">
        <v>316</v>
      </c>
      <c r="B25" s="50">
        <v>0.1</v>
      </c>
      <c r="C25" s="50">
        <v>0.1</v>
      </c>
      <c r="D25" s="50">
        <v>0.1</v>
      </c>
      <c r="E25" s="50">
        <v>0.1</v>
      </c>
      <c r="F25" s="50">
        <v>0.15</v>
      </c>
      <c r="G25" s="50">
        <v>0.1</v>
      </c>
      <c r="H25" s="50">
        <v>0.1</v>
      </c>
      <c r="I25" s="50">
        <v>0.1</v>
      </c>
      <c r="J25" s="50">
        <v>0.15</v>
      </c>
      <c r="K25" s="50">
        <v>0.1</v>
      </c>
      <c r="L25" s="50">
        <v>0.05</v>
      </c>
      <c r="M25" s="50">
        <v>0.1</v>
      </c>
      <c r="N25" s="50">
        <v>0.1</v>
      </c>
      <c r="O25" s="29"/>
      <c r="P25" s="29"/>
      <c r="Q25" s="29"/>
      <c r="R25" s="29"/>
    </row>
    <row r="26" spans="1:18" ht="41.95" x14ac:dyDescent="0.3">
      <c r="A26" s="31" t="s">
        <v>317</v>
      </c>
      <c r="B26" s="51">
        <f t="shared" ref="B26:N26" si="6">B24+(B24*10%)</f>
        <v>121</v>
      </c>
      <c r="C26" s="51">
        <f t="shared" si="6"/>
        <v>55</v>
      </c>
      <c r="D26" s="51">
        <f t="shared" si="6"/>
        <v>34.1</v>
      </c>
      <c r="E26" s="51">
        <f>E24+(E24*15%)</f>
        <v>33.35</v>
      </c>
      <c r="F26" s="51">
        <f t="shared" si="6"/>
        <v>0</v>
      </c>
      <c r="G26" s="51">
        <f t="shared" si="6"/>
        <v>123.2</v>
      </c>
      <c r="H26" s="51">
        <f t="shared" si="6"/>
        <v>170.5</v>
      </c>
      <c r="I26" s="51">
        <f t="shared" si="6"/>
        <v>405.9</v>
      </c>
      <c r="J26" s="51">
        <f>J24+(J24*10%)</f>
        <v>16.5</v>
      </c>
      <c r="K26" s="51">
        <f t="shared" si="6"/>
        <v>54.45</v>
      </c>
      <c r="L26" s="51">
        <f t="shared" si="6"/>
        <v>8.8000000000000007</v>
      </c>
      <c r="M26" s="51">
        <f t="shared" si="6"/>
        <v>5.5</v>
      </c>
      <c r="N26" s="51">
        <f t="shared" si="6"/>
        <v>16.5</v>
      </c>
      <c r="O26" s="29"/>
      <c r="P26" s="29"/>
      <c r="Q26" s="29"/>
      <c r="R26" s="29"/>
    </row>
    <row r="27" spans="1:18" ht="27.95" x14ac:dyDescent="0.3">
      <c r="A27" s="31" t="s">
        <v>318</v>
      </c>
      <c r="B27" s="52">
        <f t="shared" ref="B27:N27" si="7">B26/B8</f>
        <v>5.5</v>
      </c>
      <c r="C27" s="52">
        <f t="shared" si="7"/>
        <v>5.5</v>
      </c>
      <c r="D27" s="52">
        <f t="shared" si="7"/>
        <v>3.41</v>
      </c>
      <c r="E27" s="52">
        <f t="shared" si="7"/>
        <v>6.67</v>
      </c>
      <c r="F27" s="52">
        <f t="shared" si="7"/>
        <v>0</v>
      </c>
      <c r="G27" s="52">
        <f t="shared" si="7"/>
        <v>6.16</v>
      </c>
      <c r="H27" s="52">
        <f t="shared" si="7"/>
        <v>8.5250000000000004</v>
      </c>
      <c r="I27" s="52">
        <f t="shared" si="7"/>
        <v>20.294999999999998</v>
      </c>
      <c r="J27" s="52">
        <f t="shared" si="7"/>
        <v>1.65</v>
      </c>
      <c r="K27" s="52">
        <f t="shared" si="7"/>
        <v>5.4450000000000003</v>
      </c>
      <c r="L27" s="52">
        <f t="shared" si="7"/>
        <v>0.88000000000000012</v>
      </c>
      <c r="M27" s="52">
        <f t="shared" si="7"/>
        <v>5.5</v>
      </c>
      <c r="N27" s="52">
        <f t="shared" si="7"/>
        <v>1.65</v>
      </c>
      <c r="O27" s="29"/>
      <c r="P27" s="29"/>
      <c r="Q27" s="29"/>
      <c r="R27" s="29"/>
    </row>
    <row r="28" spans="1:18" x14ac:dyDescent="0.3">
      <c r="A28" s="26" t="s">
        <v>319</v>
      </c>
      <c r="B28" s="28">
        <v>6</v>
      </c>
      <c r="C28" s="28">
        <v>7</v>
      </c>
      <c r="D28" s="28">
        <v>5</v>
      </c>
      <c r="E28" s="28">
        <v>7</v>
      </c>
      <c r="F28" s="28"/>
      <c r="G28" s="28">
        <v>7</v>
      </c>
      <c r="H28" s="28">
        <v>10</v>
      </c>
      <c r="I28" s="28">
        <v>22</v>
      </c>
      <c r="J28" s="28">
        <v>2</v>
      </c>
      <c r="K28" s="28">
        <v>6</v>
      </c>
      <c r="L28" s="28">
        <v>1</v>
      </c>
      <c r="M28" s="28">
        <v>5</v>
      </c>
      <c r="N28" s="28">
        <v>2</v>
      </c>
      <c r="O28" s="29"/>
      <c r="P28" s="29"/>
      <c r="Q28" s="29"/>
      <c r="R28" s="29"/>
    </row>
    <row r="29" spans="1:18" x14ac:dyDescent="0.3">
      <c r="A29" s="53"/>
      <c r="B29" s="54"/>
      <c r="C29" s="54"/>
      <c r="D29" s="54"/>
      <c r="E29" s="54"/>
      <c r="F29" s="54"/>
      <c r="G29" s="54"/>
      <c r="H29" s="54">
        <v>4</v>
      </c>
      <c r="I29" s="54">
        <v>6</v>
      </c>
      <c r="J29" s="54"/>
      <c r="K29" s="54"/>
      <c r="L29" s="54"/>
      <c r="M29" s="32"/>
      <c r="N29" s="28"/>
      <c r="O29" s="29"/>
      <c r="P29" s="29"/>
      <c r="Q29" s="29"/>
      <c r="R29" s="29"/>
    </row>
    <row r="30" spans="1:18" x14ac:dyDescent="0.3">
      <c r="A30" s="55"/>
      <c r="B30" s="56"/>
      <c r="C30" s="56">
        <v>2</v>
      </c>
      <c r="D30" s="56"/>
      <c r="E30" s="56"/>
      <c r="F30" s="56"/>
      <c r="G30" s="56">
        <v>4</v>
      </c>
      <c r="H30" s="56">
        <v>2</v>
      </c>
      <c r="I30" s="56">
        <v>5</v>
      </c>
      <c r="J30" s="56"/>
      <c r="K30" s="56">
        <v>1</v>
      </c>
      <c r="L30" s="56">
        <v>1</v>
      </c>
      <c r="M30" s="32"/>
      <c r="N30" s="32"/>
      <c r="O30" s="29"/>
      <c r="P30" s="29"/>
      <c r="Q30" s="29"/>
      <c r="R30" s="29"/>
    </row>
    <row r="31" spans="1:18" x14ac:dyDescent="0.3">
      <c r="A31" s="26"/>
      <c r="B31" s="32">
        <v>6</v>
      </c>
      <c r="C31" s="57">
        <v>1</v>
      </c>
      <c r="D31" s="32"/>
      <c r="E31" s="32"/>
      <c r="F31" s="32"/>
      <c r="G31" s="32"/>
      <c r="H31" s="32">
        <v>1</v>
      </c>
      <c r="I31" s="32">
        <v>7</v>
      </c>
      <c r="J31" s="32"/>
      <c r="K31" s="32"/>
      <c r="L31" s="32"/>
      <c r="M31" s="32"/>
      <c r="N31" s="32"/>
      <c r="O31" s="29"/>
      <c r="P31" s="29"/>
      <c r="Q31" s="29"/>
      <c r="R31" s="29"/>
    </row>
    <row r="32" spans="1:18" x14ac:dyDescent="0.3">
      <c r="A32" s="48"/>
      <c r="B32" s="58"/>
      <c r="C32" s="58">
        <v>2</v>
      </c>
      <c r="D32" s="58"/>
      <c r="E32" s="58"/>
      <c r="F32" s="58"/>
      <c r="G32" s="58">
        <v>3</v>
      </c>
      <c r="H32" s="58">
        <v>1</v>
      </c>
      <c r="I32" s="58">
        <v>2</v>
      </c>
      <c r="J32" s="58"/>
      <c r="K32" s="58">
        <v>2</v>
      </c>
      <c r="L32" s="58"/>
      <c r="M32" s="32"/>
      <c r="N32" s="32"/>
      <c r="O32" s="29"/>
      <c r="P32" s="29"/>
      <c r="Q32" s="29"/>
      <c r="R32" s="29"/>
    </row>
    <row r="33" spans="1:18" x14ac:dyDescent="0.3">
      <c r="A33" s="59"/>
      <c r="B33" s="60"/>
      <c r="C33" s="60"/>
      <c r="D33" s="60"/>
      <c r="E33" s="60"/>
      <c r="F33" s="60"/>
      <c r="G33" s="60"/>
      <c r="H33" s="60">
        <v>2</v>
      </c>
      <c r="I33" s="60"/>
      <c r="J33" s="60"/>
      <c r="K33" s="60">
        <v>4</v>
      </c>
      <c r="L33" s="60"/>
      <c r="M33" s="32"/>
      <c r="N33" s="32"/>
      <c r="O33" s="29"/>
      <c r="P33" s="29"/>
      <c r="Q33" s="29"/>
      <c r="R33" s="29"/>
    </row>
    <row r="34" spans="1:18" x14ac:dyDescent="0.3">
      <c r="A34" s="61"/>
      <c r="B34" s="62"/>
      <c r="C34" s="62"/>
      <c r="D34" s="62"/>
      <c r="E34" s="62"/>
      <c r="F34" s="62"/>
      <c r="G34" s="62"/>
      <c r="H34" s="62"/>
      <c r="I34" s="62">
        <v>2</v>
      </c>
      <c r="J34" s="62"/>
      <c r="K34" s="62"/>
      <c r="L34" s="62"/>
      <c r="M34" s="32"/>
      <c r="N34" s="32"/>
      <c r="O34" s="29"/>
      <c r="P34" s="29"/>
      <c r="Q34" s="29"/>
      <c r="R34" s="29"/>
    </row>
    <row r="35" spans="1:18" x14ac:dyDescent="0.3">
      <c r="A35" s="63"/>
      <c r="B35" s="64"/>
      <c r="C35" s="64">
        <v>2</v>
      </c>
      <c r="D35" s="64"/>
      <c r="E35" s="64"/>
      <c r="F35" s="64"/>
      <c r="G35" s="64"/>
      <c r="H35" s="64"/>
      <c r="I35" s="64"/>
      <c r="J35" s="64">
        <v>2</v>
      </c>
      <c r="K35" s="64"/>
      <c r="L35" s="64"/>
      <c r="M35" s="32"/>
      <c r="N35" s="32"/>
      <c r="O35" s="29"/>
      <c r="P35" s="29"/>
      <c r="Q35" s="29"/>
      <c r="R35" s="29"/>
    </row>
    <row r="36" spans="1:18" x14ac:dyDescent="0.3">
      <c r="A36" s="26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28"/>
      <c r="M36" s="28"/>
      <c r="N36" s="32"/>
      <c r="O36" s="29"/>
      <c r="P36" s="29"/>
      <c r="Q36" s="29"/>
      <c r="R36" s="29"/>
    </row>
    <row r="37" spans="1:18" ht="15.6" x14ac:dyDescent="0.3">
      <c r="A37" s="65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29"/>
      <c r="P37" s="29"/>
      <c r="Q37" s="29"/>
      <c r="R37" s="29"/>
    </row>
    <row r="38" spans="1:18" x14ac:dyDescent="0.3">
      <c r="A38" s="28" t="s">
        <v>320</v>
      </c>
      <c r="B38" s="35">
        <f t="shared" ref="B38:N38" si="8">B28*B9</f>
        <v>600</v>
      </c>
      <c r="C38" s="35">
        <f t="shared" si="8"/>
        <v>2100</v>
      </c>
      <c r="D38" s="35">
        <f t="shared" si="8"/>
        <v>600</v>
      </c>
      <c r="E38" s="35">
        <f t="shared" si="8"/>
        <v>910</v>
      </c>
      <c r="F38" s="35">
        <f t="shared" si="8"/>
        <v>0</v>
      </c>
      <c r="G38" s="35">
        <f t="shared" si="8"/>
        <v>2100</v>
      </c>
      <c r="H38" s="35">
        <f t="shared" si="8"/>
        <v>3000</v>
      </c>
      <c r="I38" s="35">
        <f t="shared" si="8"/>
        <v>3300</v>
      </c>
      <c r="J38" s="35">
        <f t="shared" si="8"/>
        <v>850</v>
      </c>
      <c r="K38" s="35">
        <f t="shared" si="8"/>
        <v>2850</v>
      </c>
      <c r="L38" s="35">
        <f t="shared" si="8"/>
        <v>1150</v>
      </c>
      <c r="M38" s="35">
        <f t="shared" si="8"/>
        <v>600</v>
      </c>
      <c r="N38" s="35">
        <f t="shared" si="8"/>
        <v>800</v>
      </c>
      <c r="O38" s="29">
        <f>B38+C38+D38+E38+F38+G38+H38+I38+J38+K38+L38+M38+N38+Q60+ 2000</f>
        <v>26370</v>
      </c>
      <c r="P38" s="67"/>
      <c r="Q38" s="33">
        <f>SUM(Q7:Q23)</f>
        <v>39575</v>
      </c>
      <c r="R38" s="29"/>
    </row>
    <row r="39" spans="1:18" x14ac:dyDescent="0.3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68" t="s">
        <v>321</v>
      </c>
      <c r="Q39" s="68" t="s">
        <v>322</v>
      </c>
      <c r="R39" s="29"/>
    </row>
    <row r="40" spans="1:18" x14ac:dyDescent="0.3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 t="s">
        <v>323</v>
      </c>
      <c r="O40" s="29">
        <f t="shared" ref="O40:O59" si="9">Q40*P40</f>
        <v>1000</v>
      </c>
      <c r="P40" s="29">
        <v>5</v>
      </c>
      <c r="Q40" s="29">
        <v>200</v>
      </c>
      <c r="R40" s="29"/>
    </row>
    <row r="41" spans="1:18" x14ac:dyDescent="0.3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 t="s">
        <v>324</v>
      </c>
      <c r="O41" s="29">
        <f t="shared" si="9"/>
        <v>300</v>
      </c>
      <c r="P41" s="29">
        <v>3</v>
      </c>
      <c r="Q41" s="29">
        <v>100</v>
      </c>
      <c r="R41" s="29"/>
    </row>
    <row r="42" spans="1:18" x14ac:dyDescent="0.3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 t="s">
        <v>325</v>
      </c>
      <c r="O42" s="29">
        <f t="shared" si="9"/>
        <v>0</v>
      </c>
      <c r="P42" s="29">
        <v>0</v>
      </c>
      <c r="Q42" s="29">
        <v>100</v>
      </c>
      <c r="R42" s="29"/>
    </row>
    <row r="43" spans="1:18" x14ac:dyDescent="0.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 t="s">
        <v>326</v>
      </c>
      <c r="O43" s="29">
        <f t="shared" si="9"/>
        <v>2000</v>
      </c>
      <c r="P43" s="29">
        <v>100</v>
      </c>
      <c r="Q43" s="29">
        <v>20</v>
      </c>
      <c r="R43" s="29"/>
    </row>
    <row r="44" spans="1:18" ht="27.95" x14ac:dyDescent="0.3">
      <c r="A44" s="29"/>
      <c r="B44" s="29"/>
      <c r="C44" s="29"/>
      <c r="D44" s="29"/>
      <c r="E44" s="29"/>
      <c r="F44" s="69"/>
      <c r="G44" s="29"/>
      <c r="H44" s="29"/>
      <c r="I44" s="29"/>
      <c r="J44" s="29"/>
      <c r="K44" s="29"/>
      <c r="L44" s="29"/>
      <c r="M44" s="29"/>
      <c r="N44" s="29" t="s">
        <v>327</v>
      </c>
      <c r="O44" s="29">
        <f t="shared" si="9"/>
        <v>320</v>
      </c>
      <c r="P44" s="29">
        <v>4</v>
      </c>
      <c r="Q44" s="29">
        <v>80</v>
      </c>
      <c r="R44" s="29"/>
    </row>
    <row r="45" spans="1:18" x14ac:dyDescent="0.3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 t="s">
        <v>328</v>
      </c>
      <c r="O45" s="29">
        <f t="shared" si="9"/>
        <v>0</v>
      </c>
      <c r="P45" s="29">
        <v>0</v>
      </c>
      <c r="Q45" s="29">
        <v>300</v>
      </c>
      <c r="R45" s="29"/>
    </row>
    <row r="46" spans="1:18" ht="27.95" x14ac:dyDescent="0.3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 t="s">
        <v>329</v>
      </c>
      <c r="O46" s="29">
        <f t="shared" si="9"/>
        <v>0</v>
      </c>
      <c r="P46" s="29">
        <v>0</v>
      </c>
      <c r="Q46" s="29">
        <v>250</v>
      </c>
      <c r="R46" s="29"/>
    </row>
    <row r="47" spans="1:18" x14ac:dyDescent="0.3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 t="s">
        <v>330</v>
      </c>
      <c r="O47" s="29">
        <f t="shared" si="9"/>
        <v>300</v>
      </c>
      <c r="P47" s="29">
        <v>3</v>
      </c>
      <c r="Q47" s="29">
        <v>100</v>
      </c>
      <c r="R47" s="29"/>
    </row>
    <row r="48" spans="1:18" ht="27.95" x14ac:dyDescent="0.3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 t="s">
        <v>331</v>
      </c>
      <c r="O48" s="29">
        <f t="shared" si="9"/>
        <v>600</v>
      </c>
      <c r="P48" s="29">
        <v>2</v>
      </c>
      <c r="Q48" s="29">
        <v>300</v>
      </c>
      <c r="R48" s="29"/>
    </row>
    <row r="49" spans="1:18" x14ac:dyDescent="0.3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 t="s">
        <v>332</v>
      </c>
      <c r="O49" s="29">
        <f t="shared" si="9"/>
        <v>0</v>
      </c>
      <c r="P49" s="29">
        <v>0</v>
      </c>
      <c r="Q49" s="29">
        <v>700</v>
      </c>
      <c r="R49" s="29"/>
    </row>
    <row r="50" spans="1:18" x14ac:dyDescent="0.3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 t="s">
        <v>333</v>
      </c>
      <c r="O50" s="29">
        <f t="shared" si="9"/>
        <v>1500</v>
      </c>
      <c r="P50" s="29">
        <v>5</v>
      </c>
      <c r="Q50" s="29">
        <v>300</v>
      </c>
      <c r="R50" s="29"/>
    </row>
    <row r="51" spans="1:18" x14ac:dyDescent="0.3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 t="s">
        <v>334</v>
      </c>
      <c r="O51" s="29">
        <f t="shared" si="9"/>
        <v>900</v>
      </c>
      <c r="P51" s="29">
        <v>5</v>
      </c>
      <c r="Q51" s="29">
        <v>180</v>
      </c>
      <c r="R51" s="29"/>
    </row>
    <row r="52" spans="1:18" ht="27.95" x14ac:dyDescent="0.3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 t="s">
        <v>335</v>
      </c>
      <c r="O52" s="29">
        <f t="shared" si="9"/>
        <v>200</v>
      </c>
      <c r="P52" s="29">
        <v>2</v>
      </c>
      <c r="Q52" s="29">
        <v>100</v>
      </c>
      <c r="R52" s="29"/>
    </row>
    <row r="53" spans="1:18" ht="27.95" x14ac:dyDescent="0.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 t="s">
        <v>336</v>
      </c>
      <c r="O53" s="29">
        <f t="shared" si="9"/>
        <v>80</v>
      </c>
      <c r="P53" s="29">
        <v>1</v>
      </c>
      <c r="Q53" s="29">
        <v>80</v>
      </c>
      <c r="R53" s="29"/>
    </row>
    <row r="54" spans="1:18" ht="41.95" x14ac:dyDescent="0.3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 t="s">
        <v>337</v>
      </c>
      <c r="O54" s="29">
        <f t="shared" si="9"/>
        <v>0</v>
      </c>
      <c r="P54" s="29">
        <v>0</v>
      </c>
      <c r="Q54" s="29">
        <v>450</v>
      </c>
      <c r="R54" s="29"/>
    </row>
    <row r="55" spans="1:18" ht="41.95" x14ac:dyDescent="0.3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 t="s">
        <v>338</v>
      </c>
      <c r="O55" s="29">
        <f t="shared" si="9"/>
        <v>0</v>
      </c>
      <c r="P55" s="29">
        <v>0</v>
      </c>
      <c r="Q55" s="29">
        <v>550</v>
      </c>
      <c r="R55" s="29"/>
    </row>
    <row r="56" spans="1:18" ht="27.95" x14ac:dyDescent="0.3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 t="s">
        <v>339</v>
      </c>
      <c r="O56" s="29">
        <f t="shared" si="9"/>
        <v>0</v>
      </c>
      <c r="P56" s="29">
        <v>0</v>
      </c>
      <c r="Q56" s="29">
        <v>200</v>
      </c>
      <c r="R56" s="29"/>
    </row>
    <row r="57" spans="1:18" ht="27.95" x14ac:dyDescent="0.3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 t="s">
        <v>340</v>
      </c>
      <c r="O57" s="29">
        <f t="shared" si="9"/>
        <v>0</v>
      </c>
      <c r="P57" s="29">
        <v>0</v>
      </c>
      <c r="Q57" s="29">
        <v>600</v>
      </c>
      <c r="R57" s="29"/>
    </row>
    <row r="58" spans="1:18" x14ac:dyDescent="0.3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 t="s">
        <v>341</v>
      </c>
      <c r="O58" s="29">
        <f t="shared" si="9"/>
        <v>0</v>
      </c>
      <c r="P58" s="29">
        <v>0</v>
      </c>
      <c r="Q58" s="29">
        <v>300</v>
      </c>
      <c r="R58" s="29"/>
    </row>
    <row r="59" spans="1:18" ht="27.95" x14ac:dyDescent="0.3">
      <c r="A59" s="29"/>
      <c r="B59" s="29"/>
      <c r="C59" s="29"/>
      <c r="D59" s="29"/>
      <c r="E59" s="29"/>
      <c r="F59" s="29"/>
      <c r="G59" s="29"/>
      <c r="H59" s="70">
        <f>(1038*25)/30</f>
        <v>865</v>
      </c>
      <c r="I59" s="29"/>
      <c r="J59" s="29"/>
      <c r="K59" s="29"/>
      <c r="L59" s="29"/>
      <c r="M59" s="29"/>
      <c r="N59" s="29" t="s">
        <v>342</v>
      </c>
      <c r="O59" s="29">
        <f t="shared" si="9"/>
        <v>0</v>
      </c>
      <c r="P59" s="29">
        <v>0</v>
      </c>
      <c r="Q59" s="29">
        <v>600</v>
      </c>
      <c r="R59" s="29"/>
    </row>
    <row r="60" spans="1:18" x14ac:dyDescent="0.3">
      <c r="Q60">
        <f>SUM(Q40:Q59)</f>
        <v>5510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F0814-1C9B-4A81-B3BE-C1F037F15C8E}">
  <dimension ref="A1:AD49"/>
  <sheetViews>
    <sheetView topLeftCell="A8" zoomScale="60" zoomScaleNormal="60" workbookViewId="0">
      <selection activeCell="K9" sqref="K9"/>
    </sheetView>
  </sheetViews>
  <sheetFormatPr defaultRowHeight="14" x14ac:dyDescent="0.3"/>
  <cols>
    <col min="3" max="7" width="0" hidden="1" customWidth="1"/>
    <col min="8" max="8" width="6.796875" customWidth="1"/>
    <col min="9" max="9" width="0" hidden="1" customWidth="1"/>
    <col min="10" max="10" width="8.09765625" customWidth="1"/>
    <col min="11" max="11" width="145.3984375" customWidth="1"/>
  </cols>
  <sheetData>
    <row r="1" spans="1:30" ht="105.85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2" t="s">
        <v>9</v>
      </c>
      <c r="K1" s="4" t="s">
        <v>10</v>
      </c>
      <c r="L1" s="6" t="s">
        <v>11</v>
      </c>
      <c r="M1" s="6" t="s">
        <v>12</v>
      </c>
      <c r="N1" s="7" t="s">
        <v>13</v>
      </c>
      <c r="O1" s="25" t="s">
        <v>252</v>
      </c>
      <c r="P1" s="25" t="s">
        <v>253</v>
      </c>
      <c r="Q1" s="25" t="s">
        <v>254</v>
      </c>
      <c r="R1" s="25" t="s">
        <v>255</v>
      </c>
      <c r="S1" s="25" t="s">
        <v>256</v>
      </c>
      <c r="T1" s="25" t="s">
        <v>257</v>
      </c>
      <c r="U1" s="25" t="s">
        <v>258</v>
      </c>
      <c r="V1" s="25" t="s">
        <v>259</v>
      </c>
      <c r="W1" s="25" t="s">
        <v>258</v>
      </c>
      <c r="X1" s="25" t="s">
        <v>260</v>
      </c>
      <c r="Y1" s="25" t="s">
        <v>258</v>
      </c>
      <c r="Z1" s="25" t="s">
        <v>261</v>
      </c>
      <c r="AA1" s="25" t="s">
        <v>262</v>
      </c>
      <c r="AB1" s="25" t="s">
        <v>263</v>
      </c>
      <c r="AC1" s="25" t="s">
        <v>264</v>
      </c>
      <c r="AD1" s="25" t="s">
        <v>265</v>
      </c>
    </row>
    <row r="2" spans="1:30" ht="122" customHeight="1" x14ac:dyDescent="0.3">
      <c r="A2" s="1">
        <v>2235</v>
      </c>
      <c r="B2" s="8" t="s">
        <v>14</v>
      </c>
      <c r="C2" s="9">
        <v>9650090724</v>
      </c>
      <c r="D2" s="9" t="s">
        <v>15</v>
      </c>
      <c r="E2" s="10" t="s">
        <v>16</v>
      </c>
      <c r="F2" s="9" t="s">
        <v>17</v>
      </c>
      <c r="G2" s="9" t="s">
        <v>18</v>
      </c>
      <c r="H2" s="9">
        <v>1450</v>
      </c>
      <c r="I2" s="9">
        <v>362.5</v>
      </c>
      <c r="J2" s="11" t="s">
        <v>19</v>
      </c>
      <c r="K2" s="10" t="s">
        <v>20</v>
      </c>
      <c r="L2" s="9"/>
      <c r="M2" s="10" t="s">
        <v>21</v>
      </c>
      <c r="N2" s="12" t="s">
        <v>22</v>
      </c>
      <c r="O2" s="12" t="e">
        <f>VLOOKUP(A2,'[1]30-06-26'!$A$2:$T$51,20,0)</f>
        <v>#N/A</v>
      </c>
      <c r="P2" s="12" t="e">
        <f>VLOOKUP(A2,'[2]07-07-26'!$A$2:$T$60,20,0)</f>
        <v>#N/A</v>
      </c>
      <c r="Q2" s="12" t="e">
        <f>VLOOKUP(A2,'[2]14-07-26'!$A$2:$T$60,20,0)</f>
        <v>#N/A</v>
      </c>
      <c r="R2" s="12" t="e">
        <f>VLOOKUP(A2,'[2]21-07-26'!$A$2:$T$54,20,0)</f>
        <v>#N/A</v>
      </c>
      <c r="S2" s="12" t="str">
        <f>VLOOKUP(A2,'[2]28-07-26'!$A$2:$T$54,20,0)</f>
        <v>B Daisy ( 12 Inch ) 16     Grass</v>
      </c>
      <c r="T2" s="12" t="s">
        <v>272</v>
      </c>
      <c r="U2" s="12">
        <v>3</v>
      </c>
      <c r="V2" s="12"/>
      <c r="W2" s="12"/>
      <c r="X2" s="12"/>
      <c r="Y2" s="12"/>
      <c r="Z2" s="12" t="s">
        <v>277</v>
      </c>
      <c r="AA2" s="12"/>
      <c r="AB2" s="12"/>
      <c r="AC2" s="12"/>
      <c r="AD2" s="12"/>
    </row>
    <row r="3" spans="1:30" ht="122" customHeight="1" x14ac:dyDescent="0.3">
      <c r="A3" s="11">
        <v>2325</v>
      </c>
      <c r="B3" s="13" t="s">
        <v>23</v>
      </c>
      <c r="C3" s="9">
        <v>9818655913</v>
      </c>
      <c r="D3" s="10" t="s">
        <v>24</v>
      </c>
      <c r="E3" s="11" t="s">
        <v>25</v>
      </c>
      <c r="F3" s="10" t="s">
        <v>26</v>
      </c>
      <c r="G3" s="14" t="s">
        <v>27</v>
      </c>
      <c r="H3" s="9">
        <v>3000</v>
      </c>
      <c r="I3" s="9">
        <v>375</v>
      </c>
      <c r="J3" s="10" t="s">
        <v>28</v>
      </c>
      <c r="K3" s="10" t="s">
        <v>29</v>
      </c>
      <c r="L3" s="10" t="s">
        <v>30</v>
      </c>
      <c r="M3" s="9"/>
      <c r="N3" s="12" t="s">
        <v>31</v>
      </c>
      <c r="O3" s="12" t="e">
        <f>VLOOKUP(A3,'[1]30-06-26'!$A$2:$T$51,20,0)</f>
        <v>#N/A</v>
      </c>
      <c r="P3" s="12" t="e">
        <f>VLOOKUP(A3,'[2]07-07-26'!$A$2:$T$60,20,0)</f>
        <v>#N/A</v>
      </c>
      <c r="Q3" s="12" t="e">
        <f>VLOOKUP(A3,'[2]14-07-26'!$A$2:$T$60,20,0)</f>
        <v>#N/A</v>
      </c>
      <c r="R3" s="12" t="str">
        <f>VLOOKUP(A3,'[2]21-07-26'!$A$2:$T$54,20,0)</f>
        <v>Pur n P Car ( 14 Inch ) 16     FF Sachet + Grass</v>
      </c>
      <c r="S3" s="12" t="str">
        <f>VLOOKUP(A3,'[2]28-07-26'!$A$2:$T$54,20,0)</f>
        <v>Pur n P Car ( 14 Inch ) 16     FF Sachet + Grass</v>
      </c>
      <c r="T3" s="12" t="s">
        <v>266</v>
      </c>
      <c r="U3" s="12">
        <v>15</v>
      </c>
      <c r="V3" s="12"/>
      <c r="W3" s="12"/>
      <c r="X3" s="12"/>
      <c r="Y3" s="12"/>
      <c r="Z3" s="12" t="s">
        <v>277</v>
      </c>
      <c r="AA3" s="12"/>
      <c r="AB3" s="12"/>
      <c r="AC3" s="12"/>
      <c r="AD3" s="12"/>
    </row>
    <row r="4" spans="1:30" ht="122" customHeight="1" x14ac:dyDescent="0.3">
      <c r="A4" s="1">
        <v>1147</v>
      </c>
      <c r="B4" s="8" t="s">
        <v>32</v>
      </c>
      <c r="C4" s="1">
        <v>9811157690</v>
      </c>
      <c r="D4" s="10" t="s">
        <v>33</v>
      </c>
      <c r="E4" s="10" t="s">
        <v>34</v>
      </c>
      <c r="F4" s="10" t="s">
        <v>17</v>
      </c>
      <c r="G4" s="10" t="s">
        <v>18</v>
      </c>
      <c r="H4" s="9">
        <v>1600</v>
      </c>
      <c r="I4" s="9">
        <v>200</v>
      </c>
      <c r="J4" s="10" t="s">
        <v>35</v>
      </c>
      <c r="K4" s="10" t="s">
        <v>36</v>
      </c>
      <c r="L4" s="10" t="s">
        <v>37</v>
      </c>
      <c r="M4" s="9"/>
      <c r="N4" s="12" t="s">
        <v>38</v>
      </c>
      <c r="O4" s="12" t="str">
        <f>VLOOKUP(A4,'[1]30-06-26'!$A$2:$T$51,20,0)</f>
        <v>P n W Glad ( 14 inch ) 7     Grass</v>
      </c>
      <c r="P4" s="12" t="e">
        <f>VLOOKUP(A4,'[2]07-07-26'!$A$2:$T$60,20,0)</f>
        <v>#N/A</v>
      </c>
      <c r="Q4" s="12" t="str">
        <f>VLOOKUP(A4,'[2]14-07-26'!$A$2:$T$60,20,0)</f>
        <v>Y Asiatic ( 14 Inch ) 3     Grass</v>
      </c>
      <c r="R4" s="12" t="str">
        <f>VLOOKUP(A4,'[2]21-07-26'!$A$2:$T$54,20,0)</f>
        <v>W Eustoam ( 12 Inch ) 2     FF Sachet + Grass</v>
      </c>
      <c r="S4" s="12" t="str">
        <f>VLOOKUP(A4,'[2]28-07-26'!$A$2:$T$54,20,0)</f>
        <v>Pur n P Car ( 14 Inch ) 11     FF Sachet + Grass</v>
      </c>
      <c r="T4" s="12" t="s">
        <v>267</v>
      </c>
      <c r="U4" s="12">
        <v>7</v>
      </c>
      <c r="V4" s="12"/>
      <c r="W4" s="12"/>
      <c r="X4" s="12"/>
      <c r="Y4" s="12"/>
      <c r="Z4" s="12" t="s">
        <v>278</v>
      </c>
      <c r="AA4" s="12"/>
      <c r="AB4" s="12"/>
      <c r="AC4" s="12"/>
      <c r="AD4" s="12"/>
    </row>
    <row r="5" spans="1:30" ht="122" customHeight="1" x14ac:dyDescent="0.3">
      <c r="A5" s="1">
        <v>2484</v>
      </c>
      <c r="B5" s="8" t="s">
        <v>39</v>
      </c>
      <c r="C5" s="9">
        <v>9871225514</v>
      </c>
      <c r="D5" s="10" t="s">
        <v>40</v>
      </c>
      <c r="E5" s="10" t="s">
        <v>41</v>
      </c>
      <c r="F5" s="10" t="s">
        <v>17</v>
      </c>
      <c r="G5" s="15" t="s">
        <v>42</v>
      </c>
      <c r="H5" s="9">
        <v>1450</v>
      </c>
      <c r="I5" s="9">
        <v>362.5</v>
      </c>
      <c r="J5" s="10" t="s">
        <v>19</v>
      </c>
      <c r="K5" s="10" t="s">
        <v>43</v>
      </c>
      <c r="L5" s="10" t="s">
        <v>44</v>
      </c>
      <c r="M5" s="10" t="s">
        <v>45</v>
      </c>
      <c r="N5" s="12" t="s">
        <v>38</v>
      </c>
      <c r="O5" s="12" t="str">
        <f>VLOOKUP(A5,'[1]30-06-26'!$A$2:$T$51,20,0)</f>
        <v>Spray Daisy 3 Glad 7   FF Sachet + Grass</v>
      </c>
      <c r="P5" s="12" t="str">
        <f>VLOOKUP(A5,'[2]07-07-26'!$A$2:$T$60,20,0)</f>
        <v>P Asiatic ( 14 Inch ) 2 B Daisy ( 12 Inch  7   Grass</v>
      </c>
      <c r="Q5" s="12" t="str">
        <f>VLOOKUP(A5,'[2]14-07-26'!$A$2:$T$60,20,0)</f>
        <v>B Daisy ( 12 Inch ) 22     Grass</v>
      </c>
      <c r="R5" s="12" t="str">
        <f>VLOOKUP(A5,'[2]21-07-26'!$A$2:$T$54,20,0)</f>
        <v>Sunflower ( 12 Inch ) 2     FF Sachet + Grass</v>
      </c>
      <c r="S5" s="12" t="str">
        <f>VLOOKUP(A5,'[2]28-07-26'!$A$2:$T$54,20,0)</f>
        <v>O Asiatic ( 14 Inch ) 3     Grass</v>
      </c>
      <c r="T5" s="12" t="s">
        <v>270</v>
      </c>
      <c r="U5" s="12">
        <v>16</v>
      </c>
      <c r="V5" s="12"/>
      <c r="W5" s="12"/>
      <c r="X5" s="12"/>
      <c r="Y5" s="12"/>
      <c r="Z5" s="12" t="s">
        <v>278</v>
      </c>
      <c r="AA5" s="12"/>
      <c r="AB5" s="12"/>
      <c r="AC5" s="12"/>
      <c r="AD5" s="12"/>
    </row>
    <row r="6" spans="1:30" ht="122" customHeight="1" x14ac:dyDescent="0.3">
      <c r="A6" s="1">
        <v>2692</v>
      </c>
      <c r="B6" s="8" t="s">
        <v>46</v>
      </c>
      <c r="C6" s="9">
        <v>9910309930</v>
      </c>
      <c r="D6" s="10" t="s">
        <v>47</v>
      </c>
      <c r="E6" s="10" t="s">
        <v>41</v>
      </c>
      <c r="F6" s="10" t="s">
        <v>26</v>
      </c>
      <c r="G6" s="15" t="s">
        <v>42</v>
      </c>
      <c r="H6" s="9">
        <v>2300</v>
      </c>
      <c r="I6" s="9">
        <v>287.5</v>
      </c>
      <c r="J6" s="16" t="s">
        <v>48</v>
      </c>
      <c r="K6" s="10" t="s">
        <v>49</v>
      </c>
      <c r="L6" s="9"/>
      <c r="M6" s="9"/>
      <c r="N6" s="12" t="s">
        <v>38</v>
      </c>
      <c r="O6" s="12" t="str">
        <f>VLOOKUP(A6,'[1]30-06-26'!$A$2:$T$51,20,0)</f>
        <v>P n W Glad ( 14 inch ) 11     Grass</v>
      </c>
      <c r="P6" s="12" t="str">
        <f>VLOOKUP(A6,'[2]07-07-26'!$A$2:$T$60,20,0)</f>
        <v>Pur n P Car ( 14 Inch ) 11     FF Sachet + Grass</v>
      </c>
      <c r="Q6" s="12" t="str">
        <f>VLOOKUP(A6,'[2]14-07-26'!$A$2:$T$60,20,0)</f>
        <v>O Asiatic ( 14 Inch ) 3     Grass</v>
      </c>
      <c r="R6" s="12" t="str">
        <f>VLOOKUP(A6,'[2]21-07-26'!$A$2:$T$54,20,0)</f>
        <v>Sunflower ( 12 Inch ) 4     FF Sachet + Grass</v>
      </c>
      <c r="S6" s="12" t="str">
        <f>VLOOKUP(A6,'[2]28-07-26'!$A$2:$T$54,20,0)</f>
        <v>W Asiatic ( 14 Inch ) 3     1 Gypsola</v>
      </c>
      <c r="T6" s="12" t="s">
        <v>268</v>
      </c>
      <c r="U6" s="12">
        <v>3</v>
      </c>
      <c r="V6" s="12"/>
      <c r="W6" s="12"/>
      <c r="X6" s="12"/>
      <c r="Y6" s="12"/>
      <c r="Z6" s="12" t="s">
        <v>278</v>
      </c>
      <c r="AA6" s="12"/>
      <c r="AB6" s="12"/>
      <c r="AC6" s="12"/>
      <c r="AD6" s="12"/>
    </row>
    <row r="7" spans="1:30" ht="122" customHeight="1" x14ac:dyDescent="0.3">
      <c r="A7" s="1">
        <v>1542</v>
      </c>
      <c r="B7" s="8" t="s">
        <v>50</v>
      </c>
      <c r="C7" s="9">
        <v>9811004396</v>
      </c>
      <c r="D7" s="10" t="s">
        <v>51</v>
      </c>
      <c r="E7" s="10" t="s">
        <v>41</v>
      </c>
      <c r="F7" s="10" t="s">
        <v>26</v>
      </c>
      <c r="G7" s="15" t="s">
        <v>18</v>
      </c>
      <c r="H7" s="9">
        <v>3000</v>
      </c>
      <c r="I7" s="9">
        <v>375</v>
      </c>
      <c r="J7" s="10" t="s">
        <v>28</v>
      </c>
      <c r="K7" s="10" t="s">
        <v>52</v>
      </c>
      <c r="L7" s="10" t="s">
        <v>53</v>
      </c>
      <c r="M7" s="10" t="s">
        <v>54</v>
      </c>
      <c r="N7" s="12" t="s">
        <v>38</v>
      </c>
      <c r="O7" s="12" t="str">
        <f>VLOOKUP(A7,'[1]30-06-26'!$A$2:$T$51,20,0)</f>
        <v>Sunflower ( 12 Incjh ) 2 P n W Car ( 14 Inch ) 7   FF Sachet + Grass</v>
      </c>
      <c r="P7" s="12" t="str">
        <f>VLOOKUP(A7,'[2]07-07-26'!$A$2:$T$60,20,0)</f>
        <v>P Spray Daisy ( 14 Inch ) 2 Mix Alstroemeria ( 12 Inch ) 7   FF Sachet + Grass</v>
      </c>
      <c r="Q7" s="12" t="str">
        <f>VLOOKUP(A7,'[2]14-07-26'!$A$2:$T$60,20,0)</f>
        <v>Mix Alstroemeria ( 12 Inch ) 16     FF Sachet + Grass</v>
      </c>
      <c r="R7" s="12" t="str">
        <f>VLOOKUP(A7,'[2]21-07-26'!$A$2:$T$54,20,0)</f>
        <v>B Daisy ( 12 Inch ) 7     Grass</v>
      </c>
      <c r="S7" s="12" t="str">
        <f>VLOOKUP(A7,'[2]28-07-26'!$A$2:$T$54,20,0)</f>
        <v>Mix Alstroemeria ( 12 Inch ) 11     FF Sachet + Grass</v>
      </c>
      <c r="T7" s="12" t="s">
        <v>269</v>
      </c>
      <c r="U7" s="12">
        <v>3</v>
      </c>
      <c r="V7" s="12" t="s">
        <v>267</v>
      </c>
      <c r="W7" s="12">
        <v>7</v>
      </c>
      <c r="X7" s="12"/>
      <c r="Y7" s="12"/>
      <c r="Z7" s="12" t="s">
        <v>278</v>
      </c>
      <c r="AA7" s="12"/>
      <c r="AB7" s="12"/>
      <c r="AC7" s="12"/>
      <c r="AD7" s="12"/>
    </row>
    <row r="8" spans="1:30" ht="122" customHeight="1" x14ac:dyDescent="0.3">
      <c r="A8" s="1">
        <v>2487</v>
      </c>
      <c r="B8" s="8" t="s">
        <v>55</v>
      </c>
      <c r="C8" s="9">
        <v>9711267571</v>
      </c>
      <c r="D8" s="10" t="s">
        <v>56</v>
      </c>
      <c r="E8" s="10" t="s">
        <v>57</v>
      </c>
      <c r="F8" s="10" t="s">
        <v>17</v>
      </c>
      <c r="G8" s="14" t="s">
        <v>27</v>
      </c>
      <c r="H8" s="9">
        <v>1950</v>
      </c>
      <c r="I8" s="9">
        <v>487.5</v>
      </c>
      <c r="J8" s="11" t="s">
        <v>58</v>
      </c>
      <c r="K8" s="10" t="s">
        <v>59</v>
      </c>
      <c r="L8" s="10" t="s">
        <v>60</v>
      </c>
      <c r="M8" s="10"/>
      <c r="N8" s="12" t="s">
        <v>31</v>
      </c>
      <c r="O8" s="12" t="e">
        <f>VLOOKUP(A8,'[1]30-06-26'!$A$2:$T$51,20,0)</f>
        <v>#N/A</v>
      </c>
      <c r="P8" s="12" t="str">
        <f>VLOOKUP(A8,'[2]07-07-26'!$A$2:$T$60,20,0)</f>
        <v>Y Asiatic ( 14 Inch ) 4     Grass</v>
      </c>
      <c r="Q8" s="12" t="str">
        <f>VLOOKUP(A8,'[2]14-07-26'!$A$2:$T$60,20,0)</f>
        <v>P n W Car ( 14 Inch ) 20     FF Sachet + Grass</v>
      </c>
      <c r="R8" s="12" t="str">
        <f>VLOOKUP(A8,'[2]21-07-26'!$A$2:$T$54,20,0)</f>
        <v>Mix Alstroemeria ( 12 Inch ) 16     FF Sachet + Grass</v>
      </c>
      <c r="S8" s="12" t="e">
        <f>VLOOKUP(A8,'[2]28-07-26'!$A$2:$T$54,20,0)</f>
        <v>#N/A</v>
      </c>
      <c r="T8" s="12" t="s">
        <v>274</v>
      </c>
      <c r="U8" s="12">
        <v>22</v>
      </c>
      <c r="V8" s="12"/>
      <c r="W8" s="12"/>
      <c r="X8" s="12"/>
      <c r="Y8" s="12"/>
      <c r="Z8" s="12"/>
      <c r="AA8" s="12"/>
      <c r="AB8" s="12"/>
      <c r="AC8" s="12"/>
      <c r="AD8" s="12"/>
    </row>
    <row r="9" spans="1:30" ht="122" customHeight="1" x14ac:dyDescent="0.3">
      <c r="A9" s="1">
        <v>2132</v>
      </c>
      <c r="B9" s="8" t="s">
        <v>62</v>
      </c>
      <c r="C9" s="17" t="s">
        <v>63</v>
      </c>
      <c r="D9" s="10" t="s">
        <v>64</v>
      </c>
      <c r="E9" s="10" t="s">
        <v>65</v>
      </c>
      <c r="F9" s="10" t="s">
        <v>17</v>
      </c>
      <c r="G9" s="15" t="s">
        <v>42</v>
      </c>
      <c r="H9" s="10">
        <v>1450</v>
      </c>
      <c r="I9" s="9">
        <v>362.5</v>
      </c>
      <c r="J9" s="10" t="s">
        <v>19</v>
      </c>
      <c r="K9" s="10" t="s">
        <v>66</v>
      </c>
      <c r="L9" s="10" t="s">
        <v>67</v>
      </c>
      <c r="M9" s="9"/>
      <c r="N9" s="12" t="s">
        <v>31</v>
      </c>
      <c r="O9" s="12" t="str">
        <f>VLOOKUP(A9,'[1]30-06-26'!$A$2:$T$51,20,0)</f>
        <v>O Asiatic ( 14 Inch ) 3     Grass</v>
      </c>
      <c r="P9" s="12" t="str">
        <f>VLOOKUP(A9,'[2]07-07-26'!$A$2:$T$60,20,0)</f>
        <v>B Daisy ( 12 Inch ) 16     Grass</v>
      </c>
      <c r="Q9" s="12" t="e">
        <f>VLOOKUP(A9,'[2]14-07-26'!$A$2:$T$60,20,0)</f>
        <v>#N/A</v>
      </c>
      <c r="R9" s="12" t="e">
        <f>VLOOKUP(A9,'[2]21-07-26'!$A$2:$T$54,20,0)</f>
        <v>#N/A</v>
      </c>
      <c r="S9" s="12" t="str">
        <f>VLOOKUP(A9,'[2]28-07-26'!$A$2:$T$54,20,0)</f>
        <v>B Daisy ( 12 Inch ) 16     Grass</v>
      </c>
      <c r="T9" s="12" t="s">
        <v>270</v>
      </c>
      <c r="U9" s="12">
        <v>16</v>
      </c>
      <c r="V9" s="12"/>
      <c r="W9" s="12"/>
      <c r="X9" s="12"/>
      <c r="Y9" s="12"/>
      <c r="Z9" s="12" t="s">
        <v>278</v>
      </c>
      <c r="AA9" s="12"/>
      <c r="AB9" s="12"/>
      <c r="AC9" s="12"/>
      <c r="AD9" s="12"/>
    </row>
    <row r="10" spans="1:30" ht="122" customHeight="1" x14ac:dyDescent="0.3">
      <c r="A10" s="1">
        <v>3371</v>
      </c>
      <c r="B10" s="8" t="s">
        <v>68</v>
      </c>
      <c r="C10" s="9">
        <v>9560012831</v>
      </c>
      <c r="D10" s="10" t="s">
        <v>69</v>
      </c>
      <c r="E10" s="10" t="s">
        <v>57</v>
      </c>
      <c r="F10" s="10" t="s">
        <v>26</v>
      </c>
      <c r="G10" s="10" t="s">
        <v>70</v>
      </c>
      <c r="H10" s="9">
        <v>2300</v>
      </c>
      <c r="I10" s="9">
        <v>287.5</v>
      </c>
      <c r="J10" s="11" t="s">
        <v>48</v>
      </c>
      <c r="K10" s="10" t="s">
        <v>71</v>
      </c>
      <c r="L10" s="10" t="s">
        <v>72</v>
      </c>
      <c r="M10" s="10" t="s">
        <v>73</v>
      </c>
      <c r="N10" s="12" t="s">
        <v>38</v>
      </c>
      <c r="O10" s="12" t="str">
        <f>VLOOKUP(A10,'[1]30-06-26'!$A$2:$T$51,20,0)</f>
        <v>Sunflower ( 12 Incjh ) 3     FF Sachet + Grass</v>
      </c>
      <c r="P10" s="12" t="str">
        <f>VLOOKUP(A10,'[2]07-07-26'!$A$2:$T$60,20,0)</f>
        <v>Y Spray Daisy ( 14 Inch ) 2     FF Sachet + Grass</v>
      </c>
      <c r="Q10" s="12" t="str">
        <f>VLOOKUP(A10,'[2]14-07-26'!$A$2:$T$60,20,0)</f>
        <v xml:space="preserve">Car+Asiatic+Rajni 6+6+3 Tissue Wrap    </v>
      </c>
      <c r="R10" s="12" t="str">
        <f>VLOOKUP(A10,'[2]21-07-26'!$A$2:$T$54,20,0)</f>
        <v>P Spray Daisy ( 14 Inch ) 2 Mix Alstroemeria ( 12 Inch ) 7   FF Sachet + Grass</v>
      </c>
      <c r="S10" s="12" t="str">
        <f>VLOOKUP(A10,'[2]28-07-26'!$A$2:$T$54,20,0)</f>
        <v>Mix Alstroemeria ( 12 Inch ) 16     FF Sachet + Grass</v>
      </c>
      <c r="T10" s="12" t="s">
        <v>270</v>
      </c>
      <c r="U10" s="12">
        <v>11</v>
      </c>
      <c r="V10" s="12"/>
      <c r="W10" s="12"/>
      <c r="X10" s="12"/>
      <c r="Y10" s="12"/>
      <c r="Z10" s="12" t="s">
        <v>278</v>
      </c>
      <c r="AA10" s="12"/>
      <c r="AB10" s="12"/>
      <c r="AC10" s="12"/>
      <c r="AD10" s="12"/>
    </row>
    <row r="11" spans="1:30" ht="122" customHeight="1" x14ac:dyDescent="0.3">
      <c r="A11" s="1">
        <v>2284</v>
      </c>
      <c r="B11" s="8" t="s">
        <v>74</v>
      </c>
      <c r="C11" s="9">
        <v>9873968830</v>
      </c>
      <c r="D11" s="10" t="s">
        <v>75</v>
      </c>
      <c r="E11" s="10" t="s">
        <v>57</v>
      </c>
      <c r="F11" s="10" t="s">
        <v>17</v>
      </c>
      <c r="G11" s="15" t="s">
        <v>42</v>
      </c>
      <c r="H11" s="9">
        <v>1450</v>
      </c>
      <c r="I11" s="9">
        <v>362.5</v>
      </c>
      <c r="J11" s="16" t="s">
        <v>19</v>
      </c>
      <c r="K11" s="10" t="s">
        <v>76</v>
      </c>
      <c r="L11" s="10" t="s">
        <v>77</v>
      </c>
      <c r="M11" s="9"/>
      <c r="N11" s="12" t="s">
        <v>38</v>
      </c>
      <c r="O11" s="12" t="str">
        <f>VLOOKUP(A11,'[1]30-06-26'!$A$2:$T$51,20,0)</f>
        <v>Rajni ( 14 Inch ) 16     Grass</v>
      </c>
      <c r="P11" s="12" t="str">
        <f>VLOOKUP(A11,'[2]07-07-26'!$A$2:$T$60,20,0)</f>
        <v>O Asiatic ( 14 Inch ) 3     Grass</v>
      </c>
      <c r="Q11" s="12" t="str">
        <f>VLOOKUP(A11,'[2]14-07-26'!$A$2:$T$60,20,0)</f>
        <v>Mix Alstroemeria ( 12 Inch ) 16     FF Sachet + Grass</v>
      </c>
      <c r="R11" s="12" t="str">
        <f>VLOOKUP(A11,'[2]21-07-26'!$A$2:$T$54,20,0)</f>
        <v>Y Spray Daisy ( 14 Inch ) 2     FF Sachet + Grass</v>
      </c>
      <c r="S11" s="12" t="str">
        <f>VLOOKUP(A11,'[2]28-07-26'!$A$2:$T$54,20,0)</f>
        <v>Mix Alstroemeria ( 12 Inch ) 16     FF Sachet + Grass</v>
      </c>
      <c r="T11" s="12" t="s">
        <v>270</v>
      </c>
      <c r="U11" s="12">
        <v>16</v>
      </c>
      <c r="V11" s="12"/>
      <c r="W11" s="12"/>
      <c r="X11" s="12"/>
      <c r="Y11" s="12"/>
      <c r="Z11" s="12" t="s">
        <v>278</v>
      </c>
      <c r="AA11" s="12"/>
      <c r="AB11" s="12"/>
      <c r="AC11" s="12"/>
      <c r="AD11" s="12"/>
    </row>
    <row r="12" spans="1:30" ht="122" customHeight="1" x14ac:dyDescent="0.3">
      <c r="A12" s="1">
        <v>3138</v>
      </c>
      <c r="B12" s="8" t="s">
        <v>78</v>
      </c>
      <c r="C12" s="9">
        <v>9811996368</v>
      </c>
      <c r="D12" s="10" t="s">
        <v>79</v>
      </c>
      <c r="E12" s="10" t="s">
        <v>41</v>
      </c>
      <c r="F12" s="10" t="s">
        <v>17</v>
      </c>
      <c r="G12" s="15" t="s">
        <v>42</v>
      </c>
      <c r="H12" s="9">
        <v>2300</v>
      </c>
      <c r="I12" s="9">
        <v>575</v>
      </c>
      <c r="J12" s="10" t="s">
        <v>343</v>
      </c>
      <c r="K12" s="10" t="s">
        <v>81</v>
      </c>
      <c r="L12" s="9"/>
      <c r="M12" s="10" t="s">
        <v>82</v>
      </c>
      <c r="N12" s="12" t="s">
        <v>31</v>
      </c>
      <c r="O12" s="12" t="str">
        <f>VLOOKUP(A12,'[1]30-06-26'!$A$2:$T$51,20,0)</f>
        <v>Rajni ( 14 Inch ) 11     Grass</v>
      </c>
      <c r="P12" s="12" t="str">
        <f>VLOOKUP(A12,'[2]07-07-26'!$A$2:$T$60,20,0)</f>
        <v>W Eustoam ( 12 Inch ) 2     FF Sachet + Grass</v>
      </c>
      <c r="Q12" s="12" t="str">
        <f>VLOOKUP(A12,'[2]14-07-26'!$A$2:$T$60,20,0)</f>
        <v>P Asiatic ( 14 Inch ) 2 B Daisy ( 12 Inch  7   Grass</v>
      </c>
      <c r="R12" s="12" t="str">
        <f>VLOOKUP(A12,'[2]21-07-26'!$A$2:$T$54,20,0)</f>
        <v>P n W Car ( 14 Inch ) 20     FF Sachet + Grass</v>
      </c>
      <c r="S12" s="12" t="str">
        <f>VLOOKUP(A12,'[2]28-07-26'!$A$2:$T$54,20,0)</f>
        <v>Y Asiatic ( 14 Inch ) 3     Grass</v>
      </c>
      <c r="T12" s="12" t="s">
        <v>292</v>
      </c>
      <c r="U12" s="12">
        <v>11</v>
      </c>
      <c r="V12" s="12"/>
      <c r="W12" s="12"/>
      <c r="X12" s="12"/>
      <c r="Y12" s="12"/>
      <c r="Z12" s="12" t="s">
        <v>277</v>
      </c>
      <c r="AA12" s="12"/>
      <c r="AB12" s="12"/>
      <c r="AC12" s="12"/>
      <c r="AD12" s="12"/>
    </row>
    <row r="13" spans="1:30" ht="122" customHeight="1" x14ac:dyDescent="0.3">
      <c r="A13" s="1">
        <v>2791</v>
      </c>
      <c r="B13" s="8" t="s">
        <v>83</v>
      </c>
      <c r="C13" s="9">
        <v>9899603908</v>
      </c>
      <c r="D13" s="10" t="s">
        <v>84</v>
      </c>
      <c r="E13" s="10" t="s">
        <v>41</v>
      </c>
      <c r="F13" s="10" t="s">
        <v>17</v>
      </c>
      <c r="G13" s="15" t="s">
        <v>85</v>
      </c>
      <c r="H13" s="9">
        <v>1450</v>
      </c>
      <c r="I13" s="9">
        <v>362.5</v>
      </c>
      <c r="J13" s="11" t="s">
        <v>19</v>
      </c>
      <c r="K13" s="10" t="s">
        <v>86</v>
      </c>
      <c r="L13" s="10" t="s">
        <v>87</v>
      </c>
      <c r="M13" s="9"/>
      <c r="N13" s="12" t="s">
        <v>31</v>
      </c>
      <c r="O13" s="12" t="e">
        <f>VLOOKUP(A13,'[1]30-06-26'!$A$2:$T$51,20,0)</f>
        <v>#N/A</v>
      </c>
      <c r="P13" s="12" t="e">
        <f>VLOOKUP(A13,'[2]07-07-26'!$A$2:$T$60,20,0)</f>
        <v>#N/A</v>
      </c>
      <c r="Q13" s="12" t="e">
        <f>VLOOKUP(A13,'[2]14-07-26'!$A$2:$T$60,20,0)</f>
        <v>#N/A</v>
      </c>
      <c r="R13" s="12" t="str">
        <f>VLOOKUP(A13,'[2]21-07-26'!$A$2:$T$54,20,0)</f>
        <v>Rajni ( 14 Inch ) 22     Grass</v>
      </c>
      <c r="S13" s="12" t="str">
        <f>VLOOKUP(A13,'[2]28-07-26'!$A$2:$T$54,20,0)</f>
        <v>Sunflower ( 12 Inch ) 4     FF Sachet + Grass</v>
      </c>
      <c r="T13" s="12" t="s">
        <v>270</v>
      </c>
      <c r="U13" s="12">
        <v>16</v>
      </c>
      <c r="V13" s="12"/>
      <c r="W13" s="12"/>
      <c r="X13" s="12"/>
      <c r="Y13" s="12"/>
      <c r="Z13" s="12" t="s">
        <v>278</v>
      </c>
      <c r="AA13" s="12"/>
      <c r="AB13" s="12"/>
      <c r="AC13" s="12"/>
      <c r="AD13" s="12"/>
    </row>
    <row r="14" spans="1:30" ht="122" customHeight="1" x14ac:dyDescent="0.3">
      <c r="A14" s="11">
        <v>1554</v>
      </c>
      <c r="B14" s="8" t="s">
        <v>88</v>
      </c>
      <c r="C14" s="9">
        <v>9871694052</v>
      </c>
      <c r="D14" s="10" t="s">
        <v>89</v>
      </c>
      <c r="E14" s="10" t="s">
        <v>57</v>
      </c>
      <c r="F14" s="10" t="s">
        <v>17</v>
      </c>
      <c r="G14" s="15" t="s">
        <v>90</v>
      </c>
      <c r="H14" s="9">
        <v>1950</v>
      </c>
      <c r="I14" s="9">
        <v>487.5</v>
      </c>
      <c r="J14" s="11" t="s">
        <v>91</v>
      </c>
      <c r="K14" s="10" t="s">
        <v>92</v>
      </c>
      <c r="L14" s="9"/>
      <c r="M14" s="9"/>
      <c r="N14" s="12" t="s">
        <v>93</v>
      </c>
      <c r="O14" s="12" t="str">
        <f>VLOOKUP(A14,'[1]30-06-26'!$A$2:$T$51,20,0)</f>
        <v>Pur Eustoma 2 B Daisy 11   FF Sachet + Grass</v>
      </c>
      <c r="P14" s="12" t="str">
        <f>VLOOKUP(A14,'[2]07-07-26'!$A$2:$T$60,20,0)</f>
        <v>P n W Spray Daisy ( 14 Inch ) 4 Pur n P Car ( 14 Inch ) 11   FF Sachet + Grass</v>
      </c>
      <c r="Q14" s="12" t="str">
        <f>VLOOKUP(A14,'[2]14-07-26'!$A$2:$T$60,20,0)</f>
        <v>Y Asiatic ( 14 Inch ) 3     Grass</v>
      </c>
      <c r="R14" s="12" t="str">
        <f>VLOOKUP(A14,'[2]21-07-26'!$A$2:$T$54,20,0)</f>
        <v>P Asiatic ( 14 Inch ) 2     Grass</v>
      </c>
      <c r="S14" s="12" t="str">
        <f>VLOOKUP(A14,'[2]28-07-26'!$A$2:$T$54,20,0)</f>
        <v>Pur n P Car ( 14 Inch ) 16     FF Sachet + Grass</v>
      </c>
      <c r="T14" s="12" t="s">
        <v>274</v>
      </c>
      <c r="U14" s="12">
        <v>22</v>
      </c>
      <c r="V14" s="12"/>
      <c r="W14" s="12"/>
      <c r="X14" s="12"/>
      <c r="Y14" s="12"/>
      <c r="Z14" s="12"/>
      <c r="AA14" s="12"/>
      <c r="AB14" s="12"/>
      <c r="AC14" s="12"/>
      <c r="AD14" s="12"/>
    </row>
    <row r="15" spans="1:30" ht="122" customHeight="1" x14ac:dyDescent="0.3">
      <c r="A15" s="1">
        <v>918</v>
      </c>
      <c r="B15" s="8" t="s">
        <v>94</v>
      </c>
      <c r="C15" s="1">
        <v>9560117868</v>
      </c>
      <c r="D15" s="11" t="s">
        <v>95</v>
      </c>
      <c r="E15" s="10" t="s">
        <v>57</v>
      </c>
      <c r="F15" s="1" t="s">
        <v>17</v>
      </c>
      <c r="G15" s="15" t="s">
        <v>42</v>
      </c>
      <c r="H15" s="9">
        <v>1950</v>
      </c>
      <c r="I15" s="9">
        <v>487.5</v>
      </c>
      <c r="J15" s="11" t="s">
        <v>91</v>
      </c>
      <c r="K15" s="11" t="s">
        <v>96</v>
      </c>
      <c r="L15" s="10" t="s">
        <v>97</v>
      </c>
      <c r="M15" s="9"/>
      <c r="N15" s="12" t="s">
        <v>93</v>
      </c>
      <c r="O15" s="12" t="str">
        <f>VLOOKUP(A15,'[1]30-06-26'!$A$2:$T$51,20,0)</f>
        <v>O Asiatic ( 14 Inch ) 4     Grass</v>
      </c>
      <c r="P15" s="12" t="str">
        <f>VLOOKUP(A15,'[2]07-07-26'!$A$2:$T$60,20,0)</f>
        <v>Rajni ( 14 Inch ) 22     Grass</v>
      </c>
      <c r="Q15" s="12" t="str">
        <f>VLOOKUP(A15,'[2]14-07-26'!$A$2:$T$60,20,0)</f>
        <v xml:space="preserve">Mix Oriental 4 Each Bouquet Rajni 6 each  Single Wrap  </v>
      </c>
      <c r="R15" s="12" t="str">
        <f>VLOOKUP(A15,'[2]21-07-26'!$A$2:$T$54,20,0)</f>
        <v>Rajni ( 14 Inch ) 16     Grass</v>
      </c>
      <c r="S15" s="12" t="str">
        <f>VLOOKUP(A15,'[2]28-07-26'!$A$2:$T$54,20,0)</f>
        <v>Pur n P Car ( 14 Inch ) 16     FF Sachet + Grass</v>
      </c>
      <c r="T15" s="12" t="s">
        <v>291</v>
      </c>
      <c r="U15" s="12">
        <v>4</v>
      </c>
      <c r="V15" s="12"/>
      <c r="W15" s="12"/>
      <c r="X15" s="12"/>
      <c r="Y15" s="12"/>
      <c r="Z15" s="12"/>
      <c r="AA15" s="12"/>
      <c r="AB15" s="12"/>
      <c r="AC15" s="12"/>
      <c r="AD15" s="12"/>
    </row>
    <row r="16" spans="1:30" ht="122" customHeight="1" x14ac:dyDescent="0.3">
      <c r="A16" s="1">
        <v>3367</v>
      </c>
      <c r="B16" s="8" t="s">
        <v>98</v>
      </c>
      <c r="C16" s="10">
        <v>9910888631</v>
      </c>
      <c r="D16" s="10" t="s">
        <v>99</v>
      </c>
      <c r="E16" s="10" t="s">
        <v>65</v>
      </c>
      <c r="F16" s="10" t="s">
        <v>17</v>
      </c>
      <c r="G16" s="15" t="s">
        <v>42</v>
      </c>
      <c r="H16" s="9">
        <v>1450</v>
      </c>
      <c r="I16" s="9">
        <v>1450</v>
      </c>
      <c r="J16" s="10" t="s">
        <v>19</v>
      </c>
      <c r="K16" s="10" t="s">
        <v>100</v>
      </c>
      <c r="L16" s="9"/>
      <c r="M16" s="9"/>
      <c r="N16" s="12" t="s">
        <v>31</v>
      </c>
      <c r="O16" s="12" t="str">
        <f>VLOOKUP(A16,'[1]30-06-26'!$A$2:$T$51,20,0)</f>
        <v>P n W Car ( 14 Inch ) 16     FF Sachet + Grass</v>
      </c>
      <c r="P16" s="12" t="str">
        <f>VLOOKUP(A16,'[2]07-07-26'!$A$2:$T$60,20,0)</f>
        <v>O Asiatic ( 14 Inch ) 3     Grass</v>
      </c>
      <c r="Q16" s="12" t="str">
        <f>VLOOKUP(A16,'[2]14-07-26'!$A$2:$T$60,20,0)</f>
        <v>W Eustoam ( 12 Inch ) 2     FF Sachet + Grass</v>
      </c>
      <c r="R16" s="12" t="str">
        <f>VLOOKUP(A16,'[2]21-07-26'!$A$2:$T$54,20,0)</f>
        <v>O Asiatic ( 14 Inch ) 3     Grass</v>
      </c>
      <c r="S16" s="12" t="str">
        <f>VLOOKUP(A16,'[2]28-07-26'!$A$2:$T$54,20,0)</f>
        <v>O Asiatic ( 14 Inch ) 3     Grass</v>
      </c>
      <c r="T16" s="12" t="s">
        <v>270</v>
      </c>
      <c r="U16" s="12">
        <v>16</v>
      </c>
      <c r="V16" s="12"/>
      <c r="W16" s="12"/>
      <c r="X16" s="12"/>
      <c r="Y16" s="12"/>
      <c r="Z16" s="12" t="s">
        <v>278</v>
      </c>
      <c r="AA16" s="12"/>
      <c r="AB16" s="12"/>
      <c r="AC16" s="12"/>
      <c r="AD16" s="12"/>
    </row>
    <row r="17" spans="1:30" ht="122" customHeight="1" x14ac:dyDescent="0.3">
      <c r="A17" s="1">
        <v>2426</v>
      </c>
      <c r="B17" s="8" t="s">
        <v>101</v>
      </c>
      <c r="C17" s="9">
        <v>9811152110</v>
      </c>
      <c r="D17" s="10" t="s">
        <v>102</v>
      </c>
      <c r="E17" s="10" t="s">
        <v>41</v>
      </c>
      <c r="F17" s="10" t="s">
        <v>17</v>
      </c>
      <c r="G17" s="15" t="s">
        <v>70</v>
      </c>
      <c r="H17" s="9">
        <v>1950</v>
      </c>
      <c r="I17" s="9">
        <v>487.5</v>
      </c>
      <c r="J17" s="10" t="s">
        <v>58</v>
      </c>
      <c r="K17" s="10" t="s">
        <v>103</v>
      </c>
      <c r="L17" s="10" t="s">
        <v>104</v>
      </c>
      <c r="M17" s="10" t="s">
        <v>105</v>
      </c>
      <c r="N17" s="12" t="s">
        <v>109</v>
      </c>
      <c r="O17" s="12" t="str">
        <f>VLOOKUP(A17,'[1]30-06-26'!$A$2:$T$51,20,0)</f>
        <v>P n W Glad ( 14 inch ) 22    Ensure Collection Grass</v>
      </c>
      <c r="P17" s="12" t="str">
        <f>VLOOKUP(A17,'[2]07-07-26'!$A$2:$T$60,20,0)</f>
        <v>O Asiatic ( 14 Inch ) 4     Grass</v>
      </c>
      <c r="Q17" s="12" t="str">
        <f>VLOOKUP(A17,'[2]14-07-26'!$A$2:$T$60,20,0)</f>
        <v>Mix Alstroemeria ( 12 Inch ) 16     Grass</v>
      </c>
      <c r="R17" s="12" t="str">
        <f>VLOOKUP(A17,'[2]21-07-26'!$A$2:$T$54,20,0)</f>
        <v>Y Asiatic ( 14 Inch ) 3     Grass</v>
      </c>
      <c r="S17" s="12" t="str">
        <f>VLOOKUP(A17,'[2]28-07-26'!$A$2:$T$54,20,0)</f>
        <v>Rajni ( 14 Inch ) 22     Grass</v>
      </c>
      <c r="T17" s="12" t="s">
        <v>270</v>
      </c>
      <c r="U17" s="12">
        <v>16</v>
      </c>
      <c r="V17" s="12"/>
      <c r="W17" s="12"/>
      <c r="X17" s="12"/>
      <c r="Y17" s="12"/>
      <c r="Z17" s="12"/>
      <c r="AA17" s="12"/>
      <c r="AB17" s="12"/>
      <c r="AC17" s="12"/>
      <c r="AD17" s="12"/>
    </row>
    <row r="18" spans="1:30" ht="122" customHeight="1" x14ac:dyDescent="0.3">
      <c r="A18" s="1">
        <v>2457</v>
      </c>
      <c r="B18" s="8" t="s">
        <v>106</v>
      </c>
      <c r="C18" s="9">
        <v>9179965796</v>
      </c>
      <c r="D18" s="10" t="s">
        <v>107</v>
      </c>
      <c r="E18" s="10" t="s">
        <v>25</v>
      </c>
      <c r="F18" s="9" t="s">
        <v>17</v>
      </c>
      <c r="G18" s="9" t="s">
        <v>70</v>
      </c>
      <c r="H18" s="9">
        <v>1450</v>
      </c>
      <c r="I18" s="9">
        <v>362.5</v>
      </c>
      <c r="J18" s="10" t="s">
        <v>19</v>
      </c>
      <c r="K18" s="10" t="s">
        <v>108</v>
      </c>
      <c r="L18" s="9"/>
      <c r="M18" s="9"/>
      <c r="N18" s="12" t="s">
        <v>110</v>
      </c>
      <c r="O18" s="12" t="e">
        <f>VLOOKUP(A18,'[1]30-06-26'!$A$2:$T$51,20,0)</f>
        <v>#N/A</v>
      </c>
      <c r="P18" s="12" t="e">
        <f>VLOOKUP(A18,'[2]07-07-26'!$A$2:$T$60,20,0)</f>
        <v>#N/A</v>
      </c>
      <c r="Q18" s="12" t="e">
        <f>VLOOKUP(A18,'[2]14-07-26'!$A$2:$T$60,20,0)</f>
        <v>#N/A</v>
      </c>
      <c r="R18" s="12" t="str">
        <f>VLOOKUP(A18,'[2]21-07-26'!$A$2:$T$54,20,0)</f>
        <v>Mix Alstroemeria ( 12 Inch ) 16     FF Sachet + Grass</v>
      </c>
      <c r="S18" s="12" t="e">
        <f>VLOOKUP(A18,'[2]28-07-26'!$A$2:$T$54,20,0)</f>
        <v>#N/A</v>
      </c>
      <c r="T18" s="12" t="s">
        <v>272</v>
      </c>
      <c r="U18" s="12">
        <v>3</v>
      </c>
      <c r="V18" s="12"/>
      <c r="W18" s="12"/>
      <c r="X18" s="12"/>
      <c r="Y18" s="12"/>
      <c r="Z18" s="12" t="s">
        <v>277</v>
      </c>
      <c r="AA18" s="12"/>
      <c r="AB18" s="12"/>
      <c r="AC18" s="12"/>
      <c r="AD18" s="12"/>
    </row>
    <row r="19" spans="1:30" ht="122" customHeight="1" x14ac:dyDescent="0.3">
      <c r="A19" s="11">
        <v>1936</v>
      </c>
      <c r="B19" s="18" t="s">
        <v>111</v>
      </c>
      <c r="C19" s="9" t="s">
        <v>112</v>
      </c>
      <c r="D19" s="10" t="s">
        <v>113</v>
      </c>
      <c r="E19" s="10" t="s">
        <v>57</v>
      </c>
      <c r="F19" s="10" t="s">
        <v>26</v>
      </c>
      <c r="G19" s="15" t="s">
        <v>42</v>
      </c>
      <c r="H19" s="9">
        <v>1600</v>
      </c>
      <c r="I19" s="9">
        <v>200</v>
      </c>
      <c r="J19" s="10" t="s">
        <v>35</v>
      </c>
      <c r="K19" s="10" t="s">
        <v>114</v>
      </c>
      <c r="L19" s="10" t="s">
        <v>115</v>
      </c>
      <c r="M19" s="9"/>
      <c r="N19" s="12" t="s">
        <v>31</v>
      </c>
      <c r="O19" s="12" t="str">
        <f>VLOOKUP(A19,'[1]30-06-26'!$A$2:$T$51,20,0)</f>
        <v xml:space="preserve">Collect 600 Carry Receipt Book     </v>
      </c>
      <c r="P19" s="12" t="str">
        <f>VLOOKUP(A19,'[2]07-07-26'!$A$2:$T$60,20,0)</f>
        <v>Sunflower ( 12 Inch ) 2     FF Sachet + Grass</v>
      </c>
      <c r="Q19" s="12" t="str">
        <f>VLOOKUP(A19,'[2]14-07-26'!$A$2:$T$60,20,0)</f>
        <v>Rajni ( 14 Inch ) 16     Grass</v>
      </c>
      <c r="R19" s="12" t="str">
        <f>VLOOKUP(A19,'[2]21-07-26'!$A$2:$T$54,20,0)</f>
        <v>P Asiatic ( 14 Inch ) 3     Grass</v>
      </c>
      <c r="S19" s="12" t="str">
        <f>VLOOKUP(A19,'[2]28-07-26'!$A$2:$T$54,20,0)</f>
        <v>B Daisy ( 12 Inch ) 22     Grass</v>
      </c>
      <c r="T19" s="12" t="s">
        <v>270</v>
      </c>
      <c r="U19" s="12">
        <v>7</v>
      </c>
      <c r="V19" s="12"/>
      <c r="W19" s="12"/>
      <c r="X19" s="12"/>
      <c r="Y19" s="12"/>
      <c r="Z19" s="12" t="s">
        <v>278</v>
      </c>
      <c r="AA19" s="12"/>
      <c r="AB19" s="12"/>
      <c r="AC19" s="12"/>
      <c r="AD19" s="12"/>
    </row>
    <row r="20" spans="1:30" ht="122" customHeight="1" x14ac:dyDescent="0.3">
      <c r="A20" s="1">
        <v>3132</v>
      </c>
      <c r="B20" s="8" t="s">
        <v>116</v>
      </c>
      <c r="C20" s="1">
        <v>9717416100</v>
      </c>
      <c r="D20" s="11" t="s">
        <v>117</v>
      </c>
      <c r="E20" s="10" t="s">
        <v>118</v>
      </c>
      <c r="F20" s="10" t="s">
        <v>17</v>
      </c>
      <c r="G20" s="15" t="s">
        <v>42</v>
      </c>
      <c r="H20" s="19">
        <v>2300</v>
      </c>
      <c r="I20" s="9">
        <v>287.5</v>
      </c>
      <c r="J20" s="11" t="s">
        <v>48</v>
      </c>
      <c r="K20" s="10" t="s">
        <v>119</v>
      </c>
      <c r="L20" s="9"/>
      <c r="M20" s="10" t="s">
        <v>120</v>
      </c>
      <c r="N20" s="12" t="s">
        <v>31</v>
      </c>
      <c r="O20" s="12" t="e">
        <f>VLOOKUP(A20,'[1]30-06-26'!$A$2:$T$51,20,0)</f>
        <v>#N/A</v>
      </c>
      <c r="P20" s="12" t="str">
        <f>VLOOKUP(A20,'[2]07-07-26'!$A$2:$T$60,20,0)</f>
        <v>Sunflower ( 12 Inch ) 2     FF Sachet + Grass</v>
      </c>
      <c r="Q20" s="12" t="str">
        <f>VLOOKUP(A20,'[2]14-07-26'!$A$2:$T$60,20,0)</f>
        <v>Sunflower ( 12 Inch ) 2     FF Sachet + Grass</v>
      </c>
      <c r="R20" s="12" t="str">
        <f>VLOOKUP(A20,'[2]21-07-26'!$A$2:$T$54,20,0)</f>
        <v>B Daisy ( 12 Inch ) 16     Grass</v>
      </c>
      <c r="S20" s="12" t="str">
        <f>VLOOKUP(A20,'[2]28-07-26'!$A$2:$T$54,20,0)</f>
        <v>B Daisy ( 12 Inch ) 7     Grass</v>
      </c>
      <c r="T20" s="12" t="s">
        <v>271</v>
      </c>
      <c r="U20" s="12">
        <v>2</v>
      </c>
      <c r="V20" s="12"/>
      <c r="W20" s="12"/>
      <c r="X20" s="12"/>
      <c r="Y20" s="12"/>
      <c r="Z20" s="12" t="s">
        <v>277</v>
      </c>
      <c r="AA20" s="12"/>
      <c r="AB20" s="12"/>
      <c r="AC20" s="12"/>
      <c r="AD20" s="12"/>
    </row>
    <row r="21" spans="1:30" ht="122" customHeight="1" x14ac:dyDescent="0.3">
      <c r="A21" s="1">
        <v>2463</v>
      </c>
      <c r="B21" s="8" t="s">
        <v>121</v>
      </c>
      <c r="C21" s="20">
        <v>9674039510</v>
      </c>
      <c r="D21" s="10" t="s">
        <v>122</v>
      </c>
      <c r="E21" s="10" t="s">
        <v>61</v>
      </c>
      <c r="F21" s="10" t="s">
        <v>17</v>
      </c>
      <c r="G21" s="15" t="s">
        <v>42</v>
      </c>
      <c r="H21" s="9">
        <v>1450</v>
      </c>
      <c r="I21" s="9">
        <v>362.5</v>
      </c>
      <c r="J21" s="11" t="s">
        <v>19</v>
      </c>
      <c r="K21" s="10" t="s">
        <v>123</v>
      </c>
      <c r="L21" s="9"/>
      <c r="M21" s="10" t="s">
        <v>124</v>
      </c>
      <c r="N21" s="12" t="s">
        <v>31</v>
      </c>
      <c r="O21" s="12" t="str">
        <f>VLOOKUP(A21,'[1]30-06-26'!$A$2:$T$51,20,0)</f>
        <v>O Asiatic ( 14 Inch ) 3     Grass</v>
      </c>
      <c r="P21" s="12" t="str">
        <f>VLOOKUP(A21,'[2]07-07-26'!$A$2:$T$60,20,0)</f>
        <v>Pur n P Car ( 14 Inch ) 16     FF Sachet + Grass</v>
      </c>
      <c r="Q21" s="12" t="str">
        <f>VLOOKUP(A21,'[2]14-07-26'!$A$2:$T$60,20,0)</f>
        <v>P n W Spray Daisy ( 14 Inch ) 4 Pur n P Car ( 14 Inch ) 11   FF Sachet + Grass</v>
      </c>
      <c r="R21" s="12" t="str">
        <f>VLOOKUP(A21,'[2]21-07-26'!$A$2:$T$54,20,0)</f>
        <v>G Hydrangea +  G n W Button Daisy + G n W Eustoma + G n W Car + Baloon Flowers + G n W Anthurium + W Car + Lotus Bud 10 + 30 + 20 + 100 + 15 + 8 + 30 + 20 Baby Dollar + G Hanging Amaranthus + Mirchi Patti + Gypsola + Limonium 3 Bunch + 20 + 4 Bunch + 5 Bunch + 2 Bunch + 2 Bunch  Green Apple  Pear + Japanese Grapes 1 Kg + 500 Gm</v>
      </c>
      <c r="S21" s="12" t="str">
        <f>VLOOKUP(A21,'[2]28-07-26'!$A$2:$T$54,20,0)</f>
        <v>P Asiatic ( 14 Inch ) 3     Grass</v>
      </c>
      <c r="T21" s="12" t="s">
        <v>274</v>
      </c>
      <c r="U21" s="12">
        <v>16</v>
      </c>
      <c r="V21" s="12"/>
      <c r="W21" s="12"/>
      <c r="X21" s="12"/>
      <c r="Y21" s="12"/>
      <c r="Z21" s="12" t="s">
        <v>277</v>
      </c>
      <c r="AA21" s="12"/>
      <c r="AB21" s="12"/>
      <c r="AC21" s="12"/>
      <c r="AD21" s="12"/>
    </row>
    <row r="22" spans="1:30" ht="122" customHeight="1" x14ac:dyDescent="0.3">
      <c r="A22" s="1">
        <v>3384</v>
      </c>
      <c r="B22" s="8" t="s">
        <v>125</v>
      </c>
      <c r="C22" s="9">
        <v>9810796682</v>
      </c>
      <c r="D22" s="10" t="s">
        <v>126</v>
      </c>
      <c r="E22" s="10" t="s">
        <v>127</v>
      </c>
      <c r="F22" s="10" t="s">
        <v>128</v>
      </c>
      <c r="G22" s="15" t="s">
        <v>42</v>
      </c>
      <c r="H22" s="9">
        <v>1545</v>
      </c>
      <c r="I22" s="9">
        <v>386.25</v>
      </c>
      <c r="J22" s="10" t="s">
        <v>80</v>
      </c>
      <c r="K22" s="10" t="s">
        <v>129</v>
      </c>
      <c r="L22" s="9"/>
      <c r="M22" s="9"/>
      <c r="N22" s="12" t="s">
        <v>110</v>
      </c>
      <c r="O22" s="12" t="str">
        <f>VLOOKUP(A22,'[1]30-06-26'!$A$2:$T$51,20,0)</f>
        <v>Y Asiatic ( 14 Inch ) 3     1 Limonium</v>
      </c>
      <c r="P22" s="12" t="str">
        <f>VLOOKUP(A22,'[2]07-07-26'!$A$2:$T$60,20,0)</f>
        <v>W Asiatic ( 14 Inch ) 3     1 Gypsola</v>
      </c>
      <c r="Q22" s="12" t="str">
        <f>VLOOKUP(A22,'[2]14-07-26'!$A$2:$T$60,20,0)</f>
        <v>Mix Alstroemeria ( 12 Inch ) 11     FF Sachet + Grass</v>
      </c>
      <c r="R22" s="12" t="e">
        <f>VLOOKUP(A22,'[2]21-07-26'!$A$2:$T$54,20,0)</f>
        <v>#N/A</v>
      </c>
      <c r="S22" s="12" t="e">
        <f>VLOOKUP(A22,'[2]28-07-26'!$A$2:$T$54,20,0)</f>
        <v>#N/A</v>
      </c>
      <c r="T22" s="12" t="s">
        <v>290</v>
      </c>
      <c r="U22" s="12">
        <v>5</v>
      </c>
      <c r="V22" s="12"/>
      <c r="W22" s="12"/>
      <c r="X22" s="12"/>
      <c r="Y22" s="12"/>
      <c r="Z22" s="12" t="s">
        <v>277</v>
      </c>
      <c r="AA22" s="12"/>
      <c r="AB22" s="12"/>
      <c r="AC22" s="12"/>
      <c r="AD22" s="12"/>
    </row>
    <row r="23" spans="1:30" ht="122" customHeight="1" x14ac:dyDescent="0.3">
      <c r="A23" s="1">
        <v>3297</v>
      </c>
      <c r="B23" s="8" t="s">
        <v>130</v>
      </c>
      <c r="C23" s="9">
        <v>9818996771</v>
      </c>
      <c r="D23" s="10" t="s">
        <v>131</v>
      </c>
      <c r="E23" s="10" t="s">
        <v>41</v>
      </c>
      <c r="F23" s="10" t="s">
        <v>17</v>
      </c>
      <c r="G23" s="15" t="s">
        <v>70</v>
      </c>
      <c r="H23" s="10">
        <v>1450</v>
      </c>
      <c r="I23" s="9">
        <v>362.5</v>
      </c>
      <c r="J23" s="11" t="s">
        <v>19</v>
      </c>
      <c r="K23" s="10" t="s">
        <v>132</v>
      </c>
      <c r="L23" s="9"/>
      <c r="M23" s="9"/>
      <c r="N23" s="12" t="s">
        <v>31</v>
      </c>
      <c r="O23" s="12" t="str">
        <f>VLOOKUP(A23,'[1]30-06-26'!$A$2:$T$51,20,0)</f>
        <v>Rajni ( 14 Inch ) 16     Grass</v>
      </c>
      <c r="P23" s="12" t="str">
        <f>VLOOKUP(A23,'[2]07-07-26'!$A$2:$T$60,20,0)</f>
        <v>O Asiatic ( 14 Inch ) 3     Grass</v>
      </c>
      <c r="Q23" s="12" t="str">
        <f>VLOOKUP(A23,'[2]14-07-26'!$A$2:$T$60,20,0)</f>
        <v>Sunflower ( 12 Inch ) 2     FF Sachet + Grass</v>
      </c>
      <c r="R23" s="12" t="str">
        <f>VLOOKUP(A23,'[2]21-07-26'!$A$2:$T$54,20,0)</f>
        <v>P n W Spray Daisy ( 14 Inch ) 4 Pur n P Car ( 14 Inch ) 11   FF Sachet + Grass</v>
      </c>
      <c r="S23" s="12" t="str">
        <f>VLOOKUP(A23,'[2]28-07-26'!$A$2:$T$54,20,0)</f>
        <v>P n W Spray Daisy ( 14 Inch ) 4 Pur n P Car ( 14 Inch ) 11   FF Sachet + Grass</v>
      </c>
      <c r="T23" s="12" t="s">
        <v>270</v>
      </c>
      <c r="U23" s="12">
        <v>16</v>
      </c>
      <c r="V23" s="12"/>
      <c r="W23" s="12"/>
      <c r="X23" s="12"/>
      <c r="Y23" s="12"/>
      <c r="Z23" s="12" t="s">
        <v>278</v>
      </c>
      <c r="AA23" s="12"/>
      <c r="AB23" s="12"/>
      <c r="AC23" s="12"/>
      <c r="AD23" s="12"/>
    </row>
    <row r="24" spans="1:30" ht="122" customHeight="1" x14ac:dyDescent="0.3">
      <c r="A24" s="11" t="s">
        <v>133</v>
      </c>
      <c r="B24" s="8" t="s">
        <v>134</v>
      </c>
      <c r="C24" s="9">
        <v>9999164984</v>
      </c>
      <c r="D24" s="10" t="s">
        <v>135</v>
      </c>
      <c r="E24" s="10" t="s">
        <v>65</v>
      </c>
      <c r="F24" s="10" t="s">
        <v>17</v>
      </c>
      <c r="G24" s="15" t="s">
        <v>70</v>
      </c>
      <c r="H24" s="9">
        <v>1950</v>
      </c>
      <c r="I24" s="9">
        <v>487.5</v>
      </c>
      <c r="J24" s="10" t="s">
        <v>58</v>
      </c>
      <c r="K24" s="10" t="s">
        <v>136</v>
      </c>
      <c r="L24" s="9"/>
      <c r="M24" s="9"/>
      <c r="N24" s="12" t="s">
        <v>137</v>
      </c>
      <c r="O24" s="12" t="str">
        <f>VLOOKUP(A24,'[1]30-06-26'!$A$2:$T$51,20,0)</f>
        <v>Sunflower ( 12 Incjh ) 3 P n W Glad ( 14 Inch) 11  Ensure Collection FF Sachet + Grass</v>
      </c>
      <c r="P24" s="12" t="str">
        <f>VLOOKUP(A24,'[2]07-07-26'!$A$2:$T$60,20,0)</f>
        <v>Pur Eustoma ( 12 inch ) 2 Mix Alstroemeria ( 12 Inch ) 11   FF Sachet + Grass</v>
      </c>
      <c r="Q24" s="12" t="str">
        <f>VLOOKUP(A24,'[2]14-07-26'!$A$2:$T$60,20,0)</f>
        <v>Y Spray Daisy ( 14 Inch ) 2     FF Sachet + Grass</v>
      </c>
      <c r="R24" s="12" t="str">
        <f>VLOOKUP(A24,'[2]21-07-26'!$A$2:$T$54,20,0)</f>
        <v xml:space="preserve">G n W Car + G n W Spray Daisy + G n W Eustoma + G n W Eustoma + W Asiatic + W Oriental 120 + 15 + 10 + 5 + 5     </v>
      </c>
      <c r="S24" s="12" t="str">
        <f>VLOOKUP(A24,'[2]28-07-26'!$A$2:$T$54,20,0)</f>
        <v>O Asiatic ( 14 Inch ) 3     Grass</v>
      </c>
      <c r="T24" s="12" t="s">
        <v>268</v>
      </c>
      <c r="U24" s="12">
        <v>5</v>
      </c>
      <c r="V24" s="12"/>
      <c r="W24" s="12"/>
      <c r="X24" s="12"/>
      <c r="Y24" s="12"/>
      <c r="Z24" s="12"/>
      <c r="AA24" s="12"/>
      <c r="AB24" s="12"/>
      <c r="AC24" s="12"/>
      <c r="AD24" s="12"/>
    </row>
    <row r="25" spans="1:30" ht="122" customHeight="1" x14ac:dyDescent="0.3">
      <c r="A25" s="1">
        <v>3001</v>
      </c>
      <c r="B25" s="21" t="s">
        <v>138</v>
      </c>
      <c r="C25" s="9">
        <v>9871553737</v>
      </c>
      <c r="D25" s="10" t="s">
        <v>139</v>
      </c>
      <c r="E25" s="10" t="s">
        <v>118</v>
      </c>
      <c r="F25" s="10" t="s">
        <v>17</v>
      </c>
      <c r="G25" s="15" t="s">
        <v>42</v>
      </c>
      <c r="H25" s="9">
        <v>2750</v>
      </c>
      <c r="I25" s="9">
        <v>687.5</v>
      </c>
      <c r="J25" s="10" t="s">
        <v>140</v>
      </c>
      <c r="K25" s="10" t="s">
        <v>141</v>
      </c>
      <c r="L25" s="10" t="s">
        <v>142</v>
      </c>
      <c r="M25" s="10" t="s">
        <v>143</v>
      </c>
      <c r="N25" s="12" t="s">
        <v>110</v>
      </c>
      <c r="O25" s="12" t="e">
        <f>VLOOKUP(A25,'[1]30-06-26'!$A$2:$T$51,20,0)</f>
        <v>#N/A</v>
      </c>
      <c r="P25" s="12" t="e">
        <f>VLOOKUP(A25,'[2]07-07-26'!$A$2:$T$60,20,0)</f>
        <v>#N/A</v>
      </c>
      <c r="Q25" s="12" t="e">
        <f>VLOOKUP(A25,'[2]14-07-26'!$A$2:$T$60,20,0)</f>
        <v>#N/A</v>
      </c>
      <c r="R25" s="12" t="str">
        <f>VLOOKUP(A25,'[2]21-07-26'!$A$2:$T$54,20,0)</f>
        <v>Mix Alstroemeria ( 12 Inch ) 11     FF Sachet + Grass</v>
      </c>
      <c r="S25" s="12" t="str">
        <f>VLOOKUP(A25,'[2]28-07-26'!$A$2:$T$54,20,0)</f>
        <v>Pur Eustoma ( 12 inch ) 2 Mix Alstroemeria ( 12 Inch ) 10   FF Sachet + Grass</v>
      </c>
      <c r="T25" s="12" t="s">
        <v>270</v>
      </c>
      <c r="U25" s="12">
        <v>32</v>
      </c>
      <c r="V25" s="12"/>
      <c r="W25" s="12"/>
      <c r="X25" s="12"/>
      <c r="Y25" s="12"/>
      <c r="Z25" s="12" t="s">
        <v>293</v>
      </c>
      <c r="AA25" s="12"/>
      <c r="AB25" s="12"/>
      <c r="AC25" s="12"/>
      <c r="AD25" s="12"/>
    </row>
    <row r="26" spans="1:30" ht="122" customHeight="1" x14ac:dyDescent="0.3">
      <c r="A26" s="1">
        <v>2250</v>
      </c>
      <c r="B26" s="8" t="s">
        <v>125</v>
      </c>
      <c r="C26" s="9">
        <v>9810796682</v>
      </c>
      <c r="D26" s="10" t="s">
        <v>126</v>
      </c>
      <c r="E26" s="10" t="s">
        <v>127</v>
      </c>
      <c r="F26" s="10" t="s">
        <v>17</v>
      </c>
      <c r="G26" s="15" t="s">
        <v>42</v>
      </c>
      <c r="H26" s="9">
        <v>3088</v>
      </c>
      <c r="I26" s="9">
        <v>386</v>
      </c>
      <c r="J26" s="10" t="s">
        <v>144</v>
      </c>
      <c r="K26" s="10" t="s">
        <v>145</v>
      </c>
      <c r="L26" s="9"/>
      <c r="M26" s="9"/>
      <c r="N26" s="12" t="s">
        <v>31</v>
      </c>
      <c r="O26" s="12" t="e">
        <f>VLOOKUP(A26,'[1]30-06-26'!$A$2:$T$51,20,0)</f>
        <v>#N/A</v>
      </c>
      <c r="P26" s="12" t="e">
        <f>VLOOKUP(A26,'[2]07-07-26'!$A$2:$T$60,20,0)</f>
        <v>#N/A</v>
      </c>
      <c r="Q26" s="12" t="e">
        <f>VLOOKUP(A26,'[2]14-07-26'!$A$2:$T$60,20,0)</f>
        <v>#N/A</v>
      </c>
      <c r="R26" s="12" t="str">
        <f>VLOOKUP(A26,'[2]21-07-26'!$A$2:$T$54,20,0)</f>
        <v>Pur n P Car ( 14 Inch ) 15     FF Sachet + Grass</v>
      </c>
      <c r="S26" s="12" t="str">
        <f>VLOOKUP(A26,'[2]28-07-26'!$A$2:$T$54,20,0)</f>
        <v>O Asiatic ( 14 Inch ) 4     Grass</v>
      </c>
      <c r="T26" s="12" t="s">
        <v>272</v>
      </c>
      <c r="U26" s="12">
        <v>5</v>
      </c>
      <c r="V26" s="12"/>
      <c r="W26" s="12"/>
      <c r="X26" s="12"/>
      <c r="Y26" s="12"/>
      <c r="Z26" s="12" t="s">
        <v>277</v>
      </c>
      <c r="AA26" s="12"/>
      <c r="AB26" s="12"/>
      <c r="AC26" s="12"/>
      <c r="AD26" s="12"/>
    </row>
    <row r="27" spans="1:30" ht="122" customHeight="1" x14ac:dyDescent="0.3">
      <c r="A27" s="1">
        <v>2742</v>
      </c>
      <c r="B27" s="8" t="s">
        <v>146</v>
      </c>
      <c r="C27" s="9">
        <v>8126477437</v>
      </c>
      <c r="D27" s="10" t="s">
        <v>147</v>
      </c>
      <c r="E27" s="10" t="s">
        <v>25</v>
      </c>
      <c r="F27" s="10" t="s">
        <v>17</v>
      </c>
      <c r="G27" s="15" t="s">
        <v>27</v>
      </c>
      <c r="H27" s="9">
        <v>1450</v>
      </c>
      <c r="I27" s="9">
        <v>362.5</v>
      </c>
      <c r="J27" s="11" t="s">
        <v>19</v>
      </c>
      <c r="K27" s="10" t="s">
        <v>148</v>
      </c>
      <c r="L27" s="9"/>
      <c r="M27" s="9"/>
      <c r="N27" s="12" t="s">
        <v>110</v>
      </c>
      <c r="O27" s="12" t="e">
        <f>VLOOKUP(A27,'[1]30-06-26'!$A$2:$T$51,20,0)</f>
        <v>#N/A</v>
      </c>
      <c r="P27" s="12" t="e">
        <f>VLOOKUP(A27,'[2]07-07-26'!$A$2:$T$60,20,0)</f>
        <v>#N/A</v>
      </c>
      <c r="Q27" s="12" t="e">
        <f>VLOOKUP(A27,'[2]14-07-26'!$A$2:$T$60,20,0)</f>
        <v>#N/A</v>
      </c>
      <c r="R27" s="12" t="e">
        <f>VLOOKUP(A27,'[2]21-07-26'!$A$2:$T$54,20,0)</f>
        <v>#N/A</v>
      </c>
      <c r="S27" s="12" t="e">
        <f>VLOOKUP(A27,'[2]28-07-26'!$A$2:$T$54,20,0)</f>
        <v>#N/A</v>
      </c>
      <c r="T27" s="12" t="s">
        <v>274</v>
      </c>
      <c r="U27" s="12">
        <v>16</v>
      </c>
      <c r="V27" s="12"/>
      <c r="W27" s="12"/>
      <c r="X27" s="12"/>
      <c r="Y27" s="12"/>
      <c r="Z27" s="12" t="s">
        <v>277</v>
      </c>
      <c r="AA27" s="12"/>
      <c r="AB27" s="12"/>
      <c r="AC27" s="12"/>
      <c r="AD27" s="12"/>
    </row>
    <row r="28" spans="1:30" ht="122" customHeight="1" x14ac:dyDescent="0.3">
      <c r="A28" s="1">
        <v>1377</v>
      </c>
      <c r="B28" s="8" t="s">
        <v>149</v>
      </c>
      <c r="C28" s="9">
        <v>9958988852</v>
      </c>
      <c r="D28" s="10" t="s">
        <v>150</v>
      </c>
      <c r="E28" s="10" t="s">
        <v>34</v>
      </c>
      <c r="F28" s="9" t="s">
        <v>151</v>
      </c>
      <c r="G28" s="9" t="s">
        <v>152</v>
      </c>
      <c r="H28" s="9">
        <v>2300</v>
      </c>
      <c r="I28" s="9">
        <v>287.5</v>
      </c>
      <c r="J28" s="10" t="s">
        <v>48</v>
      </c>
      <c r="K28" s="10" t="s">
        <v>153</v>
      </c>
      <c r="L28" s="9"/>
      <c r="M28" s="10" t="s">
        <v>154</v>
      </c>
      <c r="N28" s="12" t="s">
        <v>155</v>
      </c>
      <c r="O28" s="12" t="e">
        <f>VLOOKUP(A28,'[1]30-06-26'!$A$2:$T$51,20,0)</f>
        <v>#N/A</v>
      </c>
      <c r="P28" s="12" t="str">
        <f>VLOOKUP(A28,'[2]07-07-26'!$A$2:$T$60,20,0)</f>
        <v>Rajni ( 14 Inch ) 11     Grass</v>
      </c>
      <c r="Q28" s="12" t="str">
        <f>VLOOKUP(A28,'[2]14-07-26'!$A$2:$T$60,20,0)</f>
        <v>Pur Eustoma ( 12 inch ) 2 Mix Alstroemeria ( 12 Inch ) 10   FF Sachet + Grass</v>
      </c>
      <c r="R28" s="12" t="str">
        <f>VLOOKUP(A28,'[2]21-07-26'!$A$2:$T$54,20,0)</f>
        <v>Pur Eustoma ( 12 inch ) 2 Mix Alstroemeria ( 12 Inch ) 11   FF Sachet + Grass</v>
      </c>
      <c r="S28" s="12" t="str">
        <f>VLOOKUP(A28,'[2]28-07-26'!$A$2:$T$54,20,0)</f>
        <v>Rajni ( 14 Inch ) 11     Grass</v>
      </c>
      <c r="T28" s="12" t="s">
        <v>270</v>
      </c>
      <c r="U28" s="12">
        <v>11</v>
      </c>
      <c r="V28" s="12"/>
      <c r="W28" s="12"/>
      <c r="X28" s="12"/>
      <c r="Y28" s="12"/>
      <c r="Z28" s="12" t="s">
        <v>278</v>
      </c>
      <c r="AA28" s="12"/>
      <c r="AB28" s="12"/>
      <c r="AC28" s="12"/>
      <c r="AD28" s="12"/>
    </row>
    <row r="29" spans="1:30" ht="122" customHeight="1" x14ac:dyDescent="0.3">
      <c r="A29" s="1">
        <v>2087</v>
      </c>
      <c r="B29" s="8" t="s">
        <v>156</v>
      </c>
      <c r="C29" s="10" t="s">
        <v>157</v>
      </c>
      <c r="D29" s="10" t="s">
        <v>158</v>
      </c>
      <c r="E29" s="10" t="s">
        <v>118</v>
      </c>
      <c r="F29" s="10" t="s">
        <v>17</v>
      </c>
      <c r="G29" s="10" t="s">
        <v>18</v>
      </c>
      <c r="H29" s="9">
        <v>1450</v>
      </c>
      <c r="I29" s="9">
        <v>362.5</v>
      </c>
      <c r="J29" s="10" t="s">
        <v>19</v>
      </c>
      <c r="K29" s="10" t="s">
        <v>159</v>
      </c>
      <c r="L29" s="10" t="s">
        <v>160</v>
      </c>
      <c r="M29" s="9"/>
      <c r="N29" s="12" t="s">
        <v>22</v>
      </c>
      <c r="O29" s="12" t="str">
        <f>VLOOKUP(A29,'[1]30-06-26'!$A$2:$T$51,20,0)</f>
        <v>Rajni ( 14 Inch ) 16     Grass</v>
      </c>
      <c r="P29" s="12" t="str">
        <f>VLOOKUP(A29,'[2]07-07-26'!$A$2:$T$60,20,0)</f>
        <v>P Asiatic ( 14 Inch ) 3     Grass</v>
      </c>
      <c r="Q29" s="12" t="str">
        <f>VLOOKUP(A29,'[2]14-07-26'!$A$2:$T$60,20,0)</f>
        <v>Pur Eustoma ( 12 inch ) 2 Mix Alstroemeria ( 12 Inch ) 11   FF Sachet + Grass</v>
      </c>
      <c r="R29" s="12" t="str">
        <f>VLOOKUP(A29,'[2]21-07-26'!$A$2:$T$54,20,0)</f>
        <v>P Asiatic ( 14 Inch ) 2 B Daisy ( 12 Inch  7   Grass</v>
      </c>
      <c r="S29" s="12" t="str">
        <f>VLOOKUP(A29,'[2]28-07-26'!$A$2:$T$54,20,0)</f>
        <v>Sunflower ( 12 Inch ) 2 B Daisy ( 12 Inch  7   FF Sachet + Grass</v>
      </c>
      <c r="T29" s="12" t="s">
        <v>273</v>
      </c>
      <c r="U29" s="12">
        <v>3</v>
      </c>
      <c r="V29" s="12" t="s">
        <v>287</v>
      </c>
      <c r="W29" s="12">
        <v>7</v>
      </c>
      <c r="X29" s="12"/>
      <c r="Y29" s="12"/>
      <c r="Z29" s="12" t="s">
        <v>278</v>
      </c>
      <c r="AA29" s="12"/>
      <c r="AB29" s="12"/>
      <c r="AC29" s="12"/>
      <c r="AD29" s="12"/>
    </row>
    <row r="30" spans="1:30" ht="122" customHeight="1" x14ac:dyDescent="0.3">
      <c r="A30" s="1">
        <v>3333</v>
      </c>
      <c r="B30" s="8" t="s">
        <v>161</v>
      </c>
      <c r="C30" s="9">
        <v>9910738939</v>
      </c>
      <c r="D30" s="10" t="s">
        <v>162</v>
      </c>
      <c r="E30" s="10" t="s">
        <v>41</v>
      </c>
      <c r="F30" s="10" t="s">
        <v>17</v>
      </c>
      <c r="G30" s="15" t="s">
        <v>70</v>
      </c>
      <c r="H30" s="9">
        <v>1950</v>
      </c>
      <c r="I30" s="9">
        <v>487.5</v>
      </c>
      <c r="J30" s="11" t="s">
        <v>58</v>
      </c>
      <c r="K30" s="10" t="s">
        <v>163</v>
      </c>
      <c r="L30" s="9"/>
      <c r="M30" s="9"/>
      <c r="N30" s="12" t="s">
        <v>110</v>
      </c>
      <c r="O30" s="12" t="str">
        <f>VLOOKUP(A30,'[1]30-06-26'!$A$2:$T$51,20,0)</f>
        <v>O Asiatic ( 14 Inch ) 4     Grass</v>
      </c>
      <c r="P30" s="12" t="str">
        <f>VLOOKUP(A30,'[2]07-07-26'!$A$2:$T$60,20,0)</f>
        <v>B Daisy ( 12 Inch ) 22     Grass</v>
      </c>
      <c r="Q30" s="12" t="str">
        <f>VLOOKUP(A30,'[2]14-07-26'!$A$2:$T$60,20,0)</f>
        <v>P Asiatic ( 14 Inch ) 3     Grass</v>
      </c>
      <c r="R30" s="12" t="str">
        <f>VLOOKUP(A30,'[2]21-07-26'!$A$2:$T$54,20,0)</f>
        <v>Pur n P Car ( 14 Inch ) 11     FF Sachet + Grass</v>
      </c>
      <c r="S30" s="12" t="str">
        <f>VLOOKUP(A30,'[2]28-07-26'!$A$2:$T$54,20,0)</f>
        <v>B Daisy ( 12 Inch ) 16     Grass</v>
      </c>
      <c r="T30" s="12" t="s">
        <v>289</v>
      </c>
      <c r="U30" s="12">
        <v>7</v>
      </c>
      <c r="V30" s="12"/>
      <c r="W30" s="12"/>
      <c r="X30" s="12"/>
      <c r="Y30" s="12"/>
      <c r="Z30" s="12" t="s">
        <v>278</v>
      </c>
      <c r="AA30" s="12"/>
      <c r="AB30" s="12"/>
      <c r="AC30" s="12"/>
      <c r="AD30" s="12"/>
    </row>
    <row r="31" spans="1:30" ht="122" customHeight="1" x14ac:dyDescent="0.3">
      <c r="A31" s="1">
        <v>2633</v>
      </c>
      <c r="B31" s="13" t="s">
        <v>164</v>
      </c>
      <c r="C31" s="9">
        <v>9810816655</v>
      </c>
      <c r="D31" s="10" t="s">
        <v>165</v>
      </c>
      <c r="E31" s="10" t="s">
        <v>41</v>
      </c>
      <c r="F31" s="10" t="s">
        <v>17</v>
      </c>
      <c r="G31" s="15" t="s">
        <v>42</v>
      </c>
      <c r="H31" s="9">
        <v>1450</v>
      </c>
      <c r="I31" s="9">
        <v>362.5</v>
      </c>
      <c r="J31" s="10" t="s">
        <v>19</v>
      </c>
      <c r="K31" s="10" t="s">
        <v>166</v>
      </c>
      <c r="L31" s="10" t="s">
        <v>167</v>
      </c>
      <c r="M31" s="10" t="s">
        <v>168</v>
      </c>
      <c r="N31" s="12" t="s">
        <v>110</v>
      </c>
      <c r="O31" s="12" t="str">
        <f>VLOOKUP(A31,'[1]30-06-26'!$A$2:$T$51,20,0)</f>
        <v>Rajni ( 14 Inch ) 16     Grass</v>
      </c>
      <c r="P31" s="12" t="str">
        <f>VLOOKUP(A31,'[2]07-07-26'!$A$2:$T$60,20,0)</f>
        <v>Mix Alstroemeria ( 12 Inch ) 16     FF Sachet + Grass</v>
      </c>
      <c r="Q31" s="12" t="str">
        <f>VLOOKUP(A31,'[2]14-07-26'!$A$2:$T$60,20,0)</f>
        <v>P Asiatic ( 14 Inch ) 2     Grass</v>
      </c>
      <c r="R31" s="12" t="str">
        <f>VLOOKUP(A31,'[2]21-07-26'!$A$2:$T$54,20,0)</f>
        <v>Mix Alstroemeria ( 12 Inch ) 16     Grass</v>
      </c>
      <c r="S31" s="12" t="str">
        <f>VLOOKUP(A31,'[2]28-07-26'!$A$2:$T$54,20,0)</f>
        <v>O Asiatic ( 14 Inch ) 3     Grass</v>
      </c>
      <c r="T31" s="12" t="s">
        <v>270</v>
      </c>
      <c r="U31" s="12">
        <v>16</v>
      </c>
      <c r="V31" s="12"/>
      <c r="W31" s="12"/>
      <c r="X31" s="12"/>
      <c r="Y31" s="12"/>
      <c r="Z31" s="12" t="s">
        <v>278</v>
      </c>
      <c r="AA31" s="12"/>
      <c r="AB31" s="12"/>
      <c r="AC31" s="12"/>
      <c r="AD31" s="12"/>
    </row>
    <row r="32" spans="1:30" ht="122" customHeight="1" x14ac:dyDescent="0.3">
      <c r="A32" s="1">
        <v>2933</v>
      </c>
      <c r="B32" s="8" t="s">
        <v>169</v>
      </c>
      <c r="C32" s="9">
        <v>9953740608</v>
      </c>
      <c r="D32" s="10" t="s">
        <v>170</v>
      </c>
      <c r="E32" s="10" t="s">
        <v>171</v>
      </c>
      <c r="F32" s="10" t="s">
        <v>17</v>
      </c>
      <c r="G32" s="15" t="s">
        <v>18</v>
      </c>
      <c r="H32" s="9">
        <v>1450</v>
      </c>
      <c r="I32" s="9">
        <v>362.5</v>
      </c>
      <c r="J32" s="10" t="s">
        <v>19</v>
      </c>
      <c r="K32" s="10" t="s">
        <v>172</v>
      </c>
      <c r="L32" s="9"/>
      <c r="M32" s="9"/>
      <c r="N32" s="12" t="s">
        <v>110</v>
      </c>
      <c r="O32" s="12" t="str">
        <f>VLOOKUP(A32,'[1]30-06-26'!$A$2:$T$51,20,0)</f>
        <v>Pur n P Eustoma ( 12 Inch ) 3     FF Sachet + Grass</v>
      </c>
      <c r="P32" s="12" t="str">
        <f>VLOOKUP(A32,'[2]07-07-26'!$A$2:$T$60,20,0)</f>
        <v>B Daisy ( 12 Inch ) 16     Grass</v>
      </c>
      <c r="Q32" s="12" t="str">
        <f>VLOOKUP(A32,'[2]14-07-26'!$A$2:$T$60,20,0)</f>
        <v>Y Asiatic ( 14 Inch ) 4     Grass</v>
      </c>
      <c r="R32" s="12" t="str">
        <f>VLOOKUP(A32,'[2]21-07-26'!$A$2:$T$54,20,0)</f>
        <v>Y Asiatic ( 14 Inch ) 4     Grass</v>
      </c>
      <c r="S32" s="12" t="str">
        <f>VLOOKUP(A32,'[2]28-07-26'!$A$2:$T$54,20,0)</f>
        <v>P n W Car ( 14 Inch ) 20     FF Sachet + Grass</v>
      </c>
      <c r="T32" s="12" t="s">
        <v>288</v>
      </c>
      <c r="U32" s="12">
        <v>5</v>
      </c>
      <c r="V32" s="12"/>
      <c r="W32" s="12"/>
      <c r="X32" s="12"/>
      <c r="Y32" s="12"/>
      <c r="Z32" s="12" t="s">
        <v>278</v>
      </c>
      <c r="AA32" s="12"/>
      <c r="AB32" s="12"/>
      <c r="AC32" s="12"/>
      <c r="AD32" s="12"/>
    </row>
    <row r="33" spans="1:30" ht="122" customHeight="1" x14ac:dyDescent="0.3">
      <c r="A33" s="1">
        <v>2183</v>
      </c>
      <c r="B33" s="8" t="s">
        <v>173</v>
      </c>
      <c r="C33" s="20">
        <v>9910681399</v>
      </c>
      <c r="D33" s="10" t="s">
        <v>174</v>
      </c>
      <c r="E33" s="10" t="s">
        <v>118</v>
      </c>
      <c r="F33" s="10" t="s">
        <v>17</v>
      </c>
      <c r="G33" s="10" t="s">
        <v>27</v>
      </c>
      <c r="H33" s="9">
        <v>1450</v>
      </c>
      <c r="I33" s="9">
        <v>362.5</v>
      </c>
      <c r="J33" s="11" t="s">
        <v>19</v>
      </c>
      <c r="K33" s="10" t="s">
        <v>175</v>
      </c>
      <c r="L33" s="10"/>
      <c r="M33" s="10" t="s">
        <v>176</v>
      </c>
      <c r="N33" s="12" t="s">
        <v>177</v>
      </c>
      <c r="O33" s="12" t="str">
        <f>VLOOKUP(A33,'[1]30-06-26'!$A$2:$T$51,20,0)</f>
        <v>Pur n P Eustoma ( 12 Inch ) 3     FF Sachet + Grass</v>
      </c>
      <c r="P33" s="12" t="str">
        <f>VLOOKUP(A33,'[2]07-07-26'!$A$2:$T$60,20,0)</f>
        <v>Pur n P Car ( 14 Inch ) 16     FF Sachet + Grass</v>
      </c>
      <c r="Q33" s="12" t="str">
        <f>VLOOKUP(A33,'[2]14-07-26'!$A$2:$T$60,20,0)</f>
        <v xml:space="preserve">Oriental+ Mix Car  Tissue Wrap    </v>
      </c>
      <c r="R33" s="12" t="str">
        <f>VLOOKUP(A33,'[2]21-07-26'!$A$2:$T$54,20,0)</f>
        <v>Pur n P Car ( 14 Inch ) 16     FF Sachet + Grass</v>
      </c>
      <c r="S33" s="12" t="e">
        <f>VLOOKUP(A33,'[2]28-07-26'!$A$2:$T$54,20,0)</f>
        <v>#N/A</v>
      </c>
      <c r="T33" s="12" t="s">
        <v>289</v>
      </c>
      <c r="U33" s="12">
        <v>5</v>
      </c>
      <c r="V33" s="12"/>
      <c r="W33" s="12"/>
      <c r="X33" s="12"/>
      <c r="Y33" s="12"/>
      <c r="Z33" s="12" t="s">
        <v>278</v>
      </c>
      <c r="AA33" s="12"/>
      <c r="AB33" s="12"/>
      <c r="AC33" s="12"/>
      <c r="AD33" s="12"/>
    </row>
    <row r="34" spans="1:30" ht="122" customHeight="1" x14ac:dyDescent="0.3">
      <c r="A34" s="1">
        <v>2706</v>
      </c>
      <c r="B34" s="8" t="s">
        <v>178</v>
      </c>
      <c r="C34" s="9">
        <v>9990121666</v>
      </c>
      <c r="D34" s="10" t="s">
        <v>179</v>
      </c>
      <c r="E34" s="10" t="s">
        <v>180</v>
      </c>
      <c r="F34" s="10" t="s">
        <v>26</v>
      </c>
      <c r="G34" s="22" t="s">
        <v>42</v>
      </c>
      <c r="H34" s="9">
        <v>1600</v>
      </c>
      <c r="I34" s="9">
        <v>200</v>
      </c>
      <c r="J34" s="10" t="s">
        <v>35</v>
      </c>
      <c r="K34" s="10" t="s">
        <v>181</v>
      </c>
      <c r="L34" s="9"/>
      <c r="M34" s="9"/>
      <c r="N34" s="12" t="s">
        <v>183</v>
      </c>
      <c r="O34" s="12" t="str">
        <f>VLOOKUP(A34,'[1]30-06-26'!$A$2:$T$51,20,0)</f>
        <v>P n W Glad ( 14 inch ) 7     Grass</v>
      </c>
      <c r="P34" s="12" t="str">
        <f>VLOOKUP(A34,'[2]07-07-26'!$A$2:$T$60,20,0)</f>
        <v>B Daisy ( 12 Inch ) 7     Grass</v>
      </c>
      <c r="Q34" s="12" t="str">
        <f>VLOOKUP(A34,'[2]14-07-26'!$A$2:$T$60,20,0)</f>
        <v>W Asiatic ( 14 Inch ) 3     1 Gypsola</v>
      </c>
      <c r="R34" s="12" t="str">
        <f>VLOOKUP(A34,'[2]21-07-26'!$A$2:$T$54,20,0)</f>
        <v>Pur n P Car ( 14 Inch ) 16     FF Sachet + Grass</v>
      </c>
      <c r="S34" s="12" t="str">
        <f>VLOOKUP(A34,'[2]28-07-26'!$A$2:$T$54,20,0)</f>
        <v>Pur n P Car ( 14 Inch ) 15     FF Sachet + Grass</v>
      </c>
      <c r="T34" s="12" t="s">
        <v>267</v>
      </c>
      <c r="U34" s="12">
        <v>7</v>
      </c>
      <c r="V34" s="12"/>
      <c r="W34" s="12"/>
      <c r="X34" s="12"/>
      <c r="Y34" s="12"/>
      <c r="Z34" s="12" t="s">
        <v>278</v>
      </c>
      <c r="AA34" s="12"/>
      <c r="AB34" s="12"/>
      <c r="AC34" s="12"/>
      <c r="AD34" s="12"/>
    </row>
    <row r="35" spans="1:30" ht="122" customHeight="1" x14ac:dyDescent="0.3">
      <c r="A35" s="1">
        <v>3014</v>
      </c>
      <c r="B35" s="8" t="s">
        <v>178</v>
      </c>
      <c r="C35" s="9">
        <v>9990121666</v>
      </c>
      <c r="D35" s="10" t="s">
        <v>179</v>
      </c>
      <c r="E35" s="10" t="s">
        <v>180</v>
      </c>
      <c r="F35" s="10" t="s">
        <v>26</v>
      </c>
      <c r="G35" s="15" t="s">
        <v>42</v>
      </c>
      <c r="H35" s="9">
        <v>1600</v>
      </c>
      <c r="I35" s="9">
        <v>200</v>
      </c>
      <c r="J35" s="10" t="s">
        <v>35</v>
      </c>
      <c r="K35" s="10" t="s">
        <v>182</v>
      </c>
      <c r="L35" s="9"/>
      <c r="M35" s="9"/>
      <c r="N35" s="12" t="s">
        <v>183</v>
      </c>
      <c r="O35" s="12" t="str">
        <f>VLOOKUP(A35,'[1]30-06-26'!$A$2:$T$51,20,0)</f>
        <v>Sunflower ( 12 Incjh ) 2     FF Sachet + Grass</v>
      </c>
      <c r="P35" s="12" t="str">
        <f>VLOOKUP(A35,'[2]07-07-26'!$A$2:$T$60,20,0)</f>
        <v>Pur Eustoma ( 12 inch ) 2     FF Sachet + Grass</v>
      </c>
      <c r="Q35" s="12" t="str">
        <f>VLOOKUP(A35,'[2]14-07-26'!$A$2:$T$60,20,0)</f>
        <v>Pur Eustoma ( 12 inch ) 2     FF Sachet + Grass</v>
      </c>
      <c r="R35" s="12" t="str">
        <f>VLOOKUP(A35,'[2]21-07-26'!$A$2:$T$54,20,0)</f>
        <v>W Asiatic ( 14 Inch ) 3     1 Gypsola</v>
      </c>
      <c r="S35" s="12" t="str">
        <f>VLOOKUP(A35,'[2]28-07-26'!$A$2:$T$54,20,0)</f>
        <v>B Daisy ( 12 Inch ) 7     Grass</v>
      </c>
      <c r="T35" s="12" t="s">
        <v>269</v>
      </c>
      <c r="U35" s="12">
        <v>2</v>
      </c>
      <c r="V35" s="12"/>
      <c r="W35" s="12"/>
      <c r="X35" s="12"/>
      <c r="Y35" s="12"/>
      <c r="Z35" s="12" t="s">
        <v>278</v>
      </c>
      <c r="AA35" s="12"/>
      <c r="AB35" s="12"/>
      <c r="AC35" s="12"/>
      <c r="AD35" s="12"/>
    </row>
    <row r="36" spans="1:30" ht="122" customHeight="1" x14ac:dyDescent="0.3">
      <c r="A36" s="1">
        <v>1063</v>
      </c>
      <c r="B36" s="8" t="s">
        <v>184</v>
      </c>
      <c r="C36" s="9">
        <v>9899457726</v>
      </c>
      <c r="D36" s="10" t="s">
        <v>185</v>
      </c>
      <c r="E36" s="10" t="s">
        <v>118</v>
      </c>
      <c r="F36" s="10" t="s">
        <v>26</v>
      </c>
      <c r="G36" s="15" t="s">
        <v>18</v>
      </c>
      <c r="H36" s="9">
        <v>1600</v>
      </c>
      <c r="I36" s="9">
        <v>200</v>
      </c>
      <c r="J36" s="10" t="s">
        <v>35</v>
      </c>
      <c r="K36" s="10" t="s">
        <v>186</v>
      </c>
      <c r="L36" s="9"/>
      <c r="M36" s="9"/>
      <c r="N36" s="12" t="s">
        <v>187</v>
      </c>
      <c r="O36" s="12" t="e">
        <f>VLOOKUP(A36,'[1]30-06-26'!$A$2:$T$51,20,0)</f>
        <v>#N/A</v>
      </c>
      <c r="P36" s="12" t="str">
        <f>VLOOKUP(A36,'[2]07-07-26'!$A$2:$T$60,20,0)</f>
        <v>B Daisy ( 12 Inch ) 7     Grass</v>
      </c>
      <c r="Q36" s="12" t="str">
        <f>VLOOKUP(A36,'[2]14-07-26'!$A$2:$T$60,20,0)</f>
        <v xml:space="preserve">G n W Car + G n W Spray Daisy + G n W Eustoma + G n W Eustoma + W Asiatic + W Oriental 120 + 15 + 10 + 5 + 5     </v>
      </c>
      <c r="R36" s="12" t="str">
        <f>VLOOKUP(A36,'[2]21-07-26'!$A$2:$T$54,20,0)</f>
        <v>Pur Eustoma ( 12 inch ) 2 Mix Alstroemeria ( 12 Inch ) 10   FF Sachet + Grass</v>
      </c>
      <c r="S36" s="12" t="str">
        <f>VLOOKUP(A36,'[2]28-07-26'!$A$2:$T$54,20,0)</f>
        <v>P Asiatic ( 14 Inch ) 2     Grass</v>
      </c>
      <c r="T36" s="12" t="s">
        <v>273</v>
      </c>
      <c r="U36" s="12">
        <v>2</v>
      </c>
      <c r="V36" s="12"/>
      <c r="W36" s="12"/>
      <c r="X36" s="12"/>
      <c r="Y36" s="12"/>
      <c r="Z36" s="12" t="s">
        <v>278</v>
      </c>
      <c r="AA36" s="12"/>
      <c r="AB36" s="12"/>
      <c r="AC36" s="12"/>
      <c r="AD36" s="12"/>
    </row>
    <row r="37" spans="1:30" ht="122" customHeight="1" x14ac:dyDescent="0.3">
      <c r="A37" s="1">
        <v>993</v>
      </c>
      <c r="B37" s="8" t="s">
        <v>188</v>
      </c>
      <c r="C37" s="9">
        <v>8527962021</v>
      </c>
      <c r="D37" s="10" t="s">
        <v>189</v>
      </c>
      <c r="E37" s="10" t="s">
        <v>65</v>
      </c>
      <c r="F37" s="10" t="s">
        <v>17</v>
      </c>
      <c r="G37" s="10" t="s">
        <v>18</v>
      </c>
      <c r="H37" s="9">
        <v>2300</v>
      </c>
      <c r="I37" s="9">
        <v>287.5</v>
      </c>
      <c r="J37" s="10" t="s">
        <v>48</v>
      </c>
      <c r="K37" s="10" t="s">
        <v>190</v>
      </c>
      <c r="L37" s="10" t="s">
        <v>191</v>
      </c>
      <c r="M37" s="9"/>
      <c r="N37" s="12" t="s">
        <v>183</v>
      </c>
      <c r="O37" s="12" t="str">
        <f>VLOOKUP(A37,'[1]30-06-26'!$A$2:$T$51,20,0)</f>
        <v>Sunflower ( 12 Incjh ) 3     FF Sachet + Grass</v>
      </c>
      <c r="P37" s="12" t="str">
        <f>VLOOKUP(A37,'[2]07-07-26'!$A$2:$T$60,20,0)</f>
        <v>Mix Alstroemeria ( 12 Inch ) 11     FF Sachet + Grass</v>
      </c>
      <c r="Q37" s="12" t="str">
        <f>VLOOKUP(A37,'[2]14-07-26'!$A$2:$T$60,20,0)</f>
        <v>O Asiatic ( 14 Inch ) 3     Grass</v>
      </c>
      <c r="R37" s="12" t="str">
        <f>VLOOKUP(A37,'[2]21-07-26'!$A$2:$T$54,20,0)</f>
        <v>B Daisy ( 12 Inch ) 16     Grass</v>
      </c>
      <c r="S37" s="12" t="str">
        <f>VLOOKUP(A37,'[2]28-07-26'!$A$2:$T$54,20,0)</f>
        <v>Pur Eustoma ( 12 inch ) 2 Mix Alstroemeria ( 12 Inch ) 11   FF Sachet + Grass</v>
      </c>
      <c r="T37" s="12" t="s">
        <v>274</v>
      </c>
      <c r="U37" s="12">
        <v>11</v>
      </c>
      <c r="V37" s="12"/>
      <c r="W37" s="12"/>
      <c r="X37" s="12"/>
      <c r="Y37" s="12"/>
      <c r="Z37" s="12" t="s">
        <v>277</v>
      </c>
      <c r="AA37" s="12"/>
      <c r="AB37" s="12"/>
      <c r="AC37" s="12"/>
      <c r="AD37" s="12"/>
    </row>
    <row r="38" spans="1:30" ht="122" customHeight="1" x14ac:dyDescent="0.3">
      <c r="A38" s="8">
        <v>2290</v>
      </c>
      <c r="B38" s="8" t="s">
        <v>192</v>
      </c>
      <c r="C38" s="11">
        <v>9910049708</v>
      </c>
      <c r="D38" s="9" t="s">
        <v>193</v>
      </c>
      <c r="E38" s="10" t="s">
        <v>61</v>
      </c>
      <c r="F38" s="9" t="s">
        <v>26</v>
      </c>
      <c r="G38" s="9" t="s">
        <v>42</v>
      </c>
      <c r="H38" s="9">
        <v>2300</v>
      </c>
      <c r="I38" s="9">
        <v>287.5</v>
      </c>
      <c r="J38" s="10" t="s">
        <v>48</v>
      </c>
      <c r="K38" s="10" t="s">
        <v>194</v>
      </c>
      <c r="L38" s="9" t="s">
        <v>195</v>
      </c>
      <c r="M38" s="9"/>
      <c r="N38" s="12" t="s">
        <v>196</v>
      </c>
      <c r="O38" s="12" t="e">
        <f>VLOOKUP(A38,'[1]30-06-26'!$A$2:$T$51,20,0)</f>
        <v>#N/A</v>
      </c>
      <c r="P38" s="12" t="e">
        <f>VLOOKUP(A38,'[2]07-07-26'!$A$2:$T$60,20,0)</f>
        <v>#N/A</v>
      </c>
      <c r="Q38" s="12" t="e">
        <f>VLOOKUP(A38,'[2]14-07-26'!$A$2:$T$60,20,0)</f>
        <v>#N/A</v>
      </c>
      <c r="R38" s="12" t="str">
        <f>VLOOKUP(A38,'[2]21-07-26'!$A$2:$T$54,20,0)</f>
        <v>O Asiatic ( 14 Inch ) 4     Grass</v>
      </c>
      <c r="S38" s="12" t="str">
        <f>VLOOKUP(A38,'[2]28-07-26'!$A$2:$T$54,20,0)</f>
        <v>Mix Alstroemeria ( 12 Inch ) 16     Grass</v>
      </c>
      <c r="T38" s="12" t="s">
        <v>266</v>
      </c>
      <c r="U38" s="12">
        <v>11</v>
      </c>
      <c r="V38" s="12"/>
      <c r="W38" s="12"/>
      <c r="X38" s="12"/>
      <c r="Y38" s="12"/>
      <c r="Z38" s="12" t="s">
        <v>277</v>
      </c>
      <c r="AA38" s="12"/>
      <c r="AB38" s="12"/>
      <c r="AC38" s="12"/>
      <c r="AD38" s="12"/>
    </row>
    <row r="39" spans="1:30" ht="122" customHeight="1" x14ac:dyDescent="0.3">
      <c r="A39" s="1">
        <v>2247</v>
      </c>
      <c r="B39" s="8" t="s">
        <v>197</v>
      </c>
      <c r="C39" s="9">
        <v>9818862169</v>
      </c>
      <c r="D39" s="10" t="s">
        <v>198</v>
      </c>
      <c r="E39" s="10" t="s">
        <v>41</v>
      </c>
      <c r="F39" s="10" t="s">
        <v>26</v>
      </c>
      <c r="G39" s="15" t="s">
        <v>199</v>
      </c>
      <c r="H39" s="9">
        <v>2300</v>
      </c>
      <c r="I39" s="9">
        <v>287.5</v>
      </c>
      <c r="J39" s="10" t="s">
        <v>48</v>
      </c>
      <c r="K39" s="10" t="s">
        <v>200</v>
      </c>
      <c r="L39" s="10" t="s">
        <v>201</v>
      </c>
      <c r="M39" s="9"/>
      <c r="N39" s="12" t="s">
        <v>202</v>
      </c>
      <c r="O39" s="12" t="str">
        <f>VLOOKUP(A39,'[1]30-06-26'!$A$2:$T$51,20,0)</f>
        <v>P n W Glad ( 14 inch ) 11     Grass</v>
      </c>
      <c r="P39" s="12" t="str">
        <f>VLOOKUP(A39,'[2]07-07-26'!$A$2:$T$60,20,0)</f>
        <v>Pur n P Car ( 14 Inch ) 11     FF Sachet + Grass</v>
      </c>
      <c r="Q39" s="12" t="str">
        <f>VLOOKUP(A39,'[2]14-07-26'!$A$2:$T$60,20,0)</f>
        <v>Sunflower ( 12 Inch ) 4     FF Sachet + Grass</v>
      </c>
      <c r="R39" s="12" t="str">
        <f>VLOOKUP(A39,'[2]21-07-26'!$A$2:$T$54,20,0)</f>
        <v>B Daisy ( 12 Inch ) 7     Grass</v>
      </c>
      <c r="S39" s="12" t="str">
        <f>VLOOKUP(A39,'[2]28-07-26'!$A$2:$T$54,20,0)</f>
        <v>Pur n P Car ( 14 Inch ) 16     FF Sachet + Grass</v>
      </c>
      <c r="T39" s="12" t="s">
        <v>275</v>
      </c>
      <c r="U39" s="12">
        <v>3</v>
      </c>
      <c r="V39" s="12"/>
      <c r="W39" s="12"/>
      <c r="X39" s="12"/>
      <c r="Y39" s="12"/>
      <c r="Z39" s="12" t="s">
        <v>278</v>
      </c>
      <c r="AA39" s="12"/>
      <c r="AB39" s="12"/>
      <c r="AC39" s="12"/>
      <c r="AD39" s="12"/>
    </row>
    <row r="40" spans="1:30" ht="122" customHeight="1" x14ac:dyDescent="0.3">
      <c r="A40" s="11" t="s">
        <v>203</v>
      </c>
      <c r="B40" s="8" t="s">
        <v>204</v>
      </c>
      <c r="C40" s="9">
        <v>9810064462</v>
      </c>
      <c r="D40" s="10" t="s">
        <v>205</v>
      </c>
      <c r="E40" s="10" t="s">
        <v>61</v>
      </c>
      <c r="F40" s="10" t="s">
        <v>17</v>
      </c>
      <c r="G40" s="10" t="s">
        <v>206</v>
      </c>
      <c r="H40" s="9">
        <v>600</v>
      </c>
      <c r="I40" s="9">
        <v>600</v>
      </c>
      <c r="J40" s="11" t="s">
        <v>207</v>
      </c>
      <c r="K40" s="10" t="s">
        <v>208</v>
      </c>
      <c r="L40" s="9"/>
      <c r="M40" s="9"/>
      <c r="N40" s="12" t="s">
        <v>202</v>
      </c>
      <c r="O40" s="12" t="e">
        <f>VLOOKUP(A40,'[1]30-06-26'!$A$2:$T$51,20,0)</f>
        <v>#N/A</v>
      </c>
      <c r="P40" s="12" t="e">
        <f>VLOOKUP(A40,'[2]07-07-26'!$A$2:$T$60,20,0)</f>
        <v>#N/A</v>
      </c>
      <c r="Q40" s="12" t="e">
        <f>VLOOKUP(A40,'[2]14-07-26'!$A$2:$T$60,20,0)</f>
        <v>#N/A</v>
      </c>
      <c r="R40" s="12" t="e">
        <f>VLOOKUP(A40,'[2]21-07-26'!$A$2:$T$54,20,0)</f>
        <v>#N/A</v>
      </c>
      <c r="S40" s="12" t="e">
        <f>VLOOKUP(A40,'[2]28-07-26'!$A$2:$T$54,20,0)</f>
        <v>#N/A</v>
      </c>
      <c r="T40" s="12" t="s">
        <v>279</v>
      </c>
      <c r="U40" s="12">
        <v>15</v>
      </c>
      <c r="V40" s="12" t="s">
        <v>280</v>
      </c>
      <c r="W40" s="12" t="s">
        <v>281</v>
      </c>
      <c r="X40" s="12"/>
      <c r="Y40" s="12"/>
      <c r="Z40" s="12"/>
      <c r="AA40" s="12"/>
      <c r="AB40" s="12"/>
      <c r="AC40" s="12"/>
      <c r="AD40" s="12"/>
    </row>
    <row r="41" spans="1:30" ht="122" customHeight="1" x14ac:dyDescent="0.3">
      <c r="A41" s="1">
        <v>1411</v>
      </c>
      <c r="B41" s="8" t="s">
        <v>209</v>
      </c>
      <c r="C41" s="9">
        <v>9810002228</v>
      </c>
      <c r="D41" s="10" t="s">
        <v>210</v>
      </c>
      <c r="E41" s="10" t="s">
        <v>34</v>
      </c>
      <c r="F41" s="10" t="s">
        <v>151</v>
      </c>
      <c r="G41" s="15" t="s">
        <v>42</v>
      </c>
      <c r="H41" s="9">
        <v>3000</v>
      </c>
      <c r="I41" s="9">
        <v>375</v>
      </c>
      <c r="J41" s="11" t="s">
        <v>28</v>
      </c>
      <c r="K41" s="10" t="s">
        <v>211</v>
      </c>
      <c r="L41" s="9"/>
      <c r="M41" s="9"/>
      <c r="N41" s="12" t="s">
        <v>212</v>
      </c>
      <c r="O41" s="12" t="e">
        <f>VLOOKUP(A41,'[1]30-06-26'!$A$2:$T$51,20,0)</f>
        <v>#N/A</v>
      </c>
      <c r="P41" s="12" t="str">
        <f>VLOOKUP(A41,'[2]07-07-26'!$A$2:$T$60,20,0)</f>
        <v>O Asiatic ( 14 Inch ) 3     Grass</v>
      </c>
      <c r="Q41" s="12" t="str">
        <f>VLOOKUP(A41,'[2]14-07-26'!$A$2:$T$60,20,0)</f>
        <v>Pur n P Car ( 14 Inch ) 11     FF Sachet + Grass</v>
      </c>
      <c r="R41" s="12" t="str">
        <f>VLOOKUP(A41,'[2]21-07-26'!$A$2:$T$54,20,0)</f>
        <v>O Asiatic ( 14 Inch ) 3     Grass</v>
      </c>
      <c r="S41" s="12" t="str">
        <f>VLOOKUP(A41,'[2]28-07-26'!$A$2:$T$54,20,0)</f>
        <v xml:space="preserve">G n W Car + G n W Spray Daisy + G n W Eustoma + G n W Eustoma + W Asiatic + W Oriental 120 + 15 + 10 + 5 + 5     </v>
      </c>
      <c r="T41" s="12" t="s">
        <v>266</v>
      </c>
      <c r="U41" s="12">
        <v>15</v>
      </c>
      <c r="V41" s="12"/>
      <c r="W41" s="12"/>
      <c r="X41" s="12"/>
      <c r="Y41" s="12"/>
      <c r="Z41" s="12" t="s">
        <v>277</v>
      </c>
      <c r="AA41" s="12"/>
      <c r="AB41" s="12"/>
      <c r="AC41" s="12"/>
      <c r="AD41" s="12"/>
    </row>
    <row r="42" spans="1:30" ht="122" customHeight="1" x14ac:dyDescent="0.3">
      <c r="A42" s="1">
        <v>2594</v>
      </c>
      <c r="B42" s="8" t="s">
        <v>213</v>
      </c>
      <c r="C42" s="20">
        <v>9971707368</v>
      </c>
      <c r="D42" s="10" t="s">
        <v>214</v>
      </c>
      <c r="E42" s="10" t="s">
        <v>215</v>
      </c>
      <c r="F42" s="10" t="s">
        <v>17</v>
      </c>
      <c r="G42" s="15" t="s">
        <v>18</v>
      </c>
      <c r="H42" s="9">
        <v>1450</v>
      </c>
      <c r="I42" s="9">
        <v>362.5</v>
      </c>
      <c r="J42" s="11" t="s">
        <v>19</v>
      </c>
      <c r="K42" s="10" t="s">
        <v>216</v>
      </c>
      <c r="L42" s="9"/>
      <c r="M42" s="9"/>
      <c r="N42" s="12" t="s">
        <v>217</v>
      </c>
      <c r="O42" s="12" t="str">
        <f>VLOOKUP(A42,'[1]30-06-26'!$A$2:$T$51,20,0)</f>
        <v>P n W Glad ( 14 inch ) 9     Grass</v>
      </c>
      <c r="P42" s="12" t="str">
        <f>VLOOKUP(A42,'[2]07-07-26'!$A$2:$T$60,20,0)</f>
        <v>Rajni ( 14 Inch ) 16     Grass</v>
      </c>
      <c r="Q42" s="12" t="str">
        <f>VLOOKUP(A42,'[2]14-07-26'!$A$2:$T$60,20,0)</f>
        <v>P Spray Daisy ( 14 Inch ) 2 Mix Alstroemeria ( 12 Inch ) 7   FF Sachet + Grass</v>
      </c>
      <c r="R42" s="12" t="str">
        <f>VLOOKUP(A42,'[2]21-07-26'!$A$2:$T$54,20,0)</f>
        <v>B Daisy ( 12 Inch ) 22     Grass</v>
      </c>
      <c r="S42" s="12" t="str">
        <f>VLOOKUP(A42,'[2]28-07-26'!$A$2:$T$54,20,0)</f>
        <v>Y Spray Daisy ( 14 Inch ) 2     FF Sachet + Grass</v>
      </c>
      <c r="T42" s="12" t="s">
        <v>272</v>
      </c>
      <c r="U42" s="12">
        <v>3</v>
      </c>
      <c r="V42" s="12"/>
      <c r="W42" s="12"/>
      <c r="X42" s="12"/>
      <c r="Y42" s="12"/>
      <c r="Z42" s="12" t="s">
        <v>277</v>
      </c>
      <c r="AA42" s="12"/>
      <c r="AB42" s="12"/>
      <c r="AC42" s="12"/>
      <c r="AD42" s="12"/>
    </row>
    <row r="43" spans="1:30" ht="122" customHeight="1" x14ac:dyDescent="0.3">
      <c r="A43" s="1">
        <v>2854</v>
      </c>
      <c r="B43" s="8" t="s">
        <v>218</v>
      </c>
      <c r="C43" s="9">
        <v>9717459257</v>
      </c>
      <c r="D43" s="10" t="s">
        <v>219</v>
      </c>
      <c r="E43" s="10" t="s">
        <v>41</v>
      </c>
      <c r="F43" s="10" t="s">
        <v>17</v>
      </c>
      <c r="G43" s="15" t="s">
        <v>42</v>
      </c>
      <c r="H43" s="9">
        <v>1450</v>
      </c>
      <c r="I43" s="9">
        <v>362.5</v>
      </c>
      <c r="J43" s="10" t="s">
        <v>19</v>
      </c>
      <c r="K43" s="10" t="s">
        <v>220</v>
      </c>
      <c r="L43" s="9"/>
      <c r="M43" s="10" t="s">
        <v>221</v>
      </c>
      <c r="N43" s="12" t="s">
        <v>183</v>
      </c>
      <c r="O43" s="12" t="str">
        <f>VLOOKUP(A43,'[1]30-06-26'!$A$2:$T$51,20,0)</f>
        <v>P n W Car ( 14 Inch ) 16     FF Sachet + Grass</v>
      </c>
      <c r="P43" s="12" t="str">
        <f>VLOOKUP(A43,'[2]07-07-26'!$A$2:$T$60,20,0)</f>
        <v>Mix Alstroemeria ( 12 Inch ) 16     Grass</v>
      </c>
      <c r="Q43" s="12" t="str">
        <f>VLOOKUP(A43,'[2]14-07-26'!$A$2:$T$60,20,0)</f>
        <v>Pur n P Car ( 14 Inch ) 11     FF Sachet + Grass</v>
      </c>
      <c r="R43" s="12" t="str">
        <f>VLOOKUP(A43,'[2]21-07-26'!$A$2:$T$54,20,0)</f>
        <v>Mix Alstroemeria ( 12 Inch ) 16     FF Sachet + Grass</v>
      </c>
      <c r="S43" s="12" t="str">
        <f>VLOOKUP(A43,'[2]28-07-26'!$A$2:$T$54,20,0)</f>
        <v>Sunflower ( 12 Inch ) 2     FF Sachet + Grass</v>
      </c>
      <c r="T43" s="12" t="s">
        <v>272</v>
      </c>
      <c r="U43" s="12">
        <v>3</v>
      </c>
      <c r="V43" s="12"/>
      <c r="W43" s="12"/>
      <c r="X43" s="12"/>
      <c r="Y43" s="12"/>
      <c r="Z43" s="12" t="s">
        <v>277</v>
      </c>
      <c r="AA43" s="12"/>
      <c r="AB43" s="12"/>
      <c r="AC43" s="12"/>
      <c r="AD43" s="12"/>
    </row>
    <row r="44" spans="1:30" ht="122" customHeight="1" x14ac:dyDescent="0.3">
      <c r="A44" s="1">
        <v>975</v>
      </c>
      <c r="B44" s="8" t="s">
        <v>222</v>
      </c>
      <c r="C44" s="9">
        <v>9910007371</v>
      </c>
      <c r="D44" s="10" t="s">
        <v>223</v>
      </c>
      <c r="E44" s="10" t="s">
        <v>118</v>
      </c>
      <c r="F44" s="11" t="s">
        <v>26</v>
      </c>
      <c r="G44" s="15" t="s">
        <v>42</v>
      </c>
      <c r="H44" s="9">
        <v>3750</v>
      </c>
      <c r="I44" s="9">
        <v>468.75</v>
      </c>
      <c r="J44" s="23" t="s">
        <v>224</v>
      </c>
      <c r="K44" s="10" t="s">
        <v>225</v>
      </c>
      <c r="L44" s="10" t="s">
        <v>226</v>
      </c>
      <c r="M44" s="9"/>
      <c r="N44" s="12" t="s">
        <v>233</v>
      </c>
      <c r="O44" s="12" t="str">
        <f>VLOOKUP(A44,'[1]30-06-26'!$A$2:$T$51,20,0)</f>
        <v>O Asiatic ( 14 Inch ) 2 P n W Car ( 14 Inch ) 10   Grass</v>
      </c>
      <c r="P44" s="12" t="str">
        <f>VLOOKUP(A44,'[2]07-07-26'!$A$2:$T$60,20,0)</f>
        <v>Pur Eustoma ( 12 inch ) 2 Mix Alstroemeria ( 12 Inch ) 10   FF Sachet + Grass</v>
      </c>
      <c r="Q44" s="12" t="str">
        <f>VLOOKUP(A44,'[2]14-07-26'!$A$2:$T$60,20,0)</f>
        <v>O Asiatic ( 14 Inch ) 3     Grass</v>
      </c>
      <c r="R44" s="12" t="str">
        <f>VLOOKUP(A44,'[2]21-07-26'!$A$2:$T$54,20,0)</f>
        <v>Sunflower ( 12 Inch ) 2 B Daisy ( 12 Inch  7   FF Sachet + Grass</v>
      </c>
      <c r="S44" s="12" t="str">
        <f>VLOOKUP(A44,'[2]28-07-26'!$A$2:$T$54,20,0)</f>
        <v>Pur Eustoma ( 12 inch ) 2     FF Sachet + Grass</v>
      </c>
      <c r="T44" s="12" t="s">
        <v>272</v>
      </c>
      <c r="U44" s="12">
        <v>2</v>
      </c>
      <c r="V44" s="12" t="s">
        <v>276</v>
      </c>
      <c r="W44" s="12">
        <v>12</v>
      </c>
      <c r="X44" s="12"/>
      <c r="Y44" s="12"/>
      <c r="Z44" s="12" t="s">
        <v>277</v>
      </c>
      <c r="AA44" s="12"/>
      <c r="AB44" s="12"/>
      <c r="AC44" s="12"/>
      <c r="AD44" s="12"/>
    </row>
    <row r="45" spans="1:30" ht="122" customHeight="1" x14ac:dyDescent="0.3">
      <c r="A45" s="11" t="s">
        <v>227</v>
      </c>
      <c r="B45" s="8" t="s">
        <v>228</v>
      </c>
      <c r="C45" s="9"/>
      <c r="D45" s="10" t="s">
        <v>229</v>
      </c>
      <c r="E45" s="10" t="s">
        <v>229</v>
      </c>
      <c r="F45" s="10" t="s">
        <v>230</v>
      </c>
      <c r="G45" s="10" t="s">
        <v>231</v>
      </c>
      <c r="H45" s="9">
        <v>2650</v>
      </c>
      <c r="I45" s="9">
        <v>2650</v>
      </c>
      <c r="J45" s="10" t="s">
        <v>207</v>
      </c>
      <c r="K45" s="10" t="s">
        <v>232</v>
      </c>
      <c r="L45" s="9"/>
      <c r="M45" s="9"/>
      <c r="N45" s="12" t="s">
        <v>234</v>
      </c>
      <c r="O45" s="12" t="e">
        <f>VLOOKUP(A45,'[1]30-06-26'!$A$2:$T$51,20,0)</f>
        <v>#N/A</v>
      </c>
      <c r="P45" s="12" t="e">
        <f>VLOOKUP(A45,'[2]07-07-26'!$A$2:$T$60,20,0)</f>
        <v>#N/A</v>
      </c>
      <c r="Q45" s="12" t="e">
        <f>VLOOKUP(A45,'[2]14-07-26'!$A$2:$T$60,20,0)</f>
        <v>#N/A</v>
      </c>
      <c r="R45" s="12" t="e">
        <f>VLOOKUP(A45,'[2]21-07-26'!$A$2:$T$54,20,0)</f>
        <v>#N/A</v>
      </c>
      <c r="S45" s="12" t="e">
        <f>VLOOKUP(A45,'[2]28-07-26'!$A$2:$T$54,20,0)</f>
        <v>#N/A</v>
      </c>
      <c r="T45" s="12" t="s">
        <v>282</v>
      </c>
      <c r="U45" s="12" t="s">
        <v>283</v>
      </c>
      <c r="V45" s="12" t="s">
        <v>207</v>
      </c>
      <c r="W45" s="12"/>
      <c r="X45" s="12"/>
      <c r="Y45" s="12"/>
      <c r="Z45" s="12"/>
      <c r="AA45" s="12"/>
      <c r="AB45" s="12"/>
      <c r="AC45" s="12"/>
      <c r="AD45" s="12"/>
    </row>
    <row r="46" spans="1:30" ht="122" customHeight="1" x14ac:dyDescent="0.3">
      <c r="A46" s="1">
        <v>1953</v>
      </c>
      <c r="B46" s="8" t="s">
        <v>235</v>
      </c>
      <c r="C46" s="9">
        <v>8800649797</v>
      </c>
      <c r="D46" s="9" t="s">
        <v>236</v>
      </c>
      <c r="E46" s="10" t="s">
        <v>127</v>
      </c>
      <c r="F46" s="9" t="s">
        <v>26</v>
      </c>
      <c r="G46" s="9" t="s">
        <v>42</v>
      </c>
      <c r="H46" s="9">
        <v>3000</v>
      </c>
      <c r="I46" s="9">
        <v>375</v>
      </c>
      <c r="J46" s="9" t="s">
        <v>28</v>
      </c>
      <c r="K46" s="10" t="s">
        <v>237</v>
      </c>
      <c r="L46" s="9"/>
      <c r="M46" s="9"/>
      <c r="N46" s="12" t="s">
        <v>212</v>
      </c>
      <c r="O46" s="12" t="str">
        <f>VLOOKUP(A46,'[1]30-06-26'!$A$2:$T$51,20,0)</f>
        <v>P n W Glad ( 14 inch ) 15     Grass</v>
      </c>
      <c r="P46" s="12" t="str">
        <f>VLOOKUP(A46,'[2]07-07-26'!$A$2:$T$60,20,0)</f>
        <v>Pur n P Car ( 14 Inch ) 15     FF Sachet + Grass</v>
      </c>
      <c r="Q46" s="12" t="str">
        <f>VLOOKUP(A46,'[2]14-07-26'!$A$2:$T$60,20,0)</f>
        <v>Pur n P Car ( 14 Inch ) 15     FF Sachet + Grass</v>
      </c>
      <c r="R46" s="12" t="str">
        <f>VLOOKUP(A46,'[2]21-07-26'!$A$2:$T$54,20,0)</f>
        <v>B Daisy ( 12 Inch ) 16     Grass</v>
      </c>
      <c r="S46" s="12" t="str">
        <f>VLOOKUP(A46,'[2]28-07-26'!$A$2:$T$54,20,0)</f>
        <v>P Asiatic ( 14 Inch ) 2 B Daisy ( 12 Inch  7   Grass</v>
      </c>
      <c r="T46" s="12" t="s">
        <v>266</v>
      </c>
      <c r="U46" s="12">
        <v>15</v>
      </c>
      <c r="V46" s="12"/>
      <c r="W46" s="12"/>
      <c r="X46" s="12"/>
      <c r="Y46" s="12"/>
      <c r="Z46" s="12" t="s">
        <v>277</v>
      </c>
      <c r="AA46" s="12"/>
      <c r="AB46" s="12"/>
      <c r="AC46" s="12"/>
      <c r="AD46" s="12"/>
    </row>
    <row r="47" spans="1:30" ht="122" customHeight="1" x14ac:dyDescent="0.3">
      <c r="A47" s="1">
        <v>2525</v>
      </c>
      <c r="B47" s="24" t="s">
        <v>238</v>
      </c>
      <c r="C47" s="20">
        <v>9810512391</v>
      </c>
      <c r="D47" s="10" t="s">
        <v>239</v>
      </c>
      <c r="E47" s="10" t="s">
        <v>41</v>
      </c>
      <c r="F47" s="10" t="s">
        <v>17</v>
      </c>
      <c r="G47" s="10" t="s">
        <v>70</v>
      </c>
      <c r="H47" s="9">
        <v>1450</v>
      </c>
      <c r="I47" s="9">
        <v>362.5</v>
      </c>
      <c r="J47" s="11" t="s">
        <v>19</v>
      </c>
      <c r="K47" s="10" t="s">
        <v>240</v>
      </c>
      <c r="L47" s="9"/>
      <c r="M47" s="9"/>
      <c r="N47" s="12" t="s">
        <v>241</v>
      </c>
      <c r="O47" s="12" t="str">
        <f>VLOOKUP(A47,'[1]30-06-26'!$A$2:$T$51,20,0)</f>
        <v>Sunflower ( 12 Incjh ) 2     FF Sachet + grass</v>
      </c>
      <c r="P47" s="12" t="str">
        <f>VLOOKUP(A47,'[2]07-07-26'!$A$2:$T$60,20,0)</f>
        <v>Pur n P Car ( 14 Inch ) 16     FF Sachet + Grass</v>
      </c>
      <c r="Q47" s="12" t="str">
        <f>VLOOKUP(A47,'[2]14-07-26'!$A$2:$T$60,20,0)</f>
        <v>Mix Alstroemeria ( 12 Inch ) 16     FF Sachet + Grass</v>
      </c>
      <c r="R47" s="12" t="e">
        <f>VLOOKUP(A47,'[2]21-07-26'!$A$2:$T$54,20,0)</f>
        <v>#N/A</v>
      </c>
      <c r="S47" s="12" t="str">
        <f>VLOOKUP(A47,'[2]28-07-26'!$A$2:$T$54,20,0)</f>
        <v>Mix Alstroemeria ( 12 Inch ) 16     FF Sachet + Grass</v>
      </c>
      <c r="T47" s="12" t="s">
        <v>272</v>
      </c>
      <c r="U47" s="12">
        <v>3</v>
      </c>
      <c r="V47" s="12"/>
      <c r="W47" s="12"/>
      <c r="X47" s="12"/>
      <c r="Y47" s="12"/>
      <c r="Z47" s="12" t="s">
        <v>277</v>
      </c>
      <c r="AA47" s="12"/>
      <c r="AB47" s="12"/>
      <c r="AC47" s="12"/>
      <c r="AD47" s="12"/>
    </row>
    <row r="48" spans="1:30" ht="122" customHeight="1" x14ac:dyDescent="0.3">
      <c r="A48" s="11" t="s">
        <v>242</v>
      </c>
      <c r="B48" s="8" t="s">
        <v>243</v>
      </c>
      <c r="C48" s="9">
        <v>9899889882</v>
      </c>
      <c r="D48" s="10" t="s">
        <v>244</v>
      </c>
      <c r="E48" s="10" t="s">
        <v>245</v>
      </c>
      <c r="F48" s="10" t="s">
        <v>17</v>
      </c>
      <c r="G48" s="10" t="s">
        <v>90</v>
      </c>
      <c r="H48" s="9">
        <v>600</v>
      </c>
      <c r="I48" s="9">
        <v>600</v>
      </c>
      <c r="J48" s="11" t="s">
        <v>207</v>
      </c>
      <c r="K48" s="10" t="s">
        <v>246</v>
      </c>
      <c r="L48" s="9"/>
      <c r="M48" s="9"/>
      <c r="N48" s="12" t="s">
        <v>202</v>
      </c>
      <c r="O48" s="12" t="e">
        <f>VLOOKUP(A48,'[1]30-06-26'!$A$2:$T$51,20,0)</f>
        <v>#N/A</v>
      </c>
      <c r="P48" s="12" t="e">
        <f>VLOOKUP(A48,'[2]07-07-26'!$A$2:$T$60,20,0)</f>
        <v>#N/A</v>
      </c>
      <c r="Q48" s="12" t="e">
        <f>VLOOKUP(A48,'[2]14-07-26'!$A$2:$T$60,20,0)</f>
        <v>#N/A</v>
      </c>
      <c r="R48" s="12" t="e">
        <f>VLOOKUP(A48,'[2]21-07-26'!$A$2:$T$54,20,0)</f>
        <v>#N/A</v>
      </c>
      <c r="S48" s="12" t="e">
        <f>VLOOKUP(A48,'[2]28-07-26'!$A$2:$T$54,20,0)</f>
        <v>#N/A</v>
      </c>
      <c r="T48" s="12" t="s">
        <v>286</v>
      </c>
      <c r="U48" s="12">
        <v>12</v>
      </c>
      <c r="V48" s="12" t="s">
        <v>280</v>
      </c>
      <c r="W48" s="12" t="s">
        <v>281</v>
      </c>
      <c r="X48" s="12"/>
      <c r="Y48" s="12"/>
      <c r="Z48" s="12"/>
      <c r="AA48" s="12"/>
      <c r="AB48" s="12"/>
      <c r="AC48" s="12"/>
      <c r="AD48" s="12"/>
    </row>
    <row r="49" spans="1:30" ht="122" customHeight="1" x14ac:dyDescent="0.3">
      <c r="A49" s="11" t="s">
        <v>247</v>
      </c>
      <c r="B49" s="8" t="s">
        <v>248</v>
      </c>
      <c r="C49" s="9"/>
      <c r="D49" s="10" t="s">
        <v>249</v>
      </c>
      <c r="E49" s="10" t="s">
        <v>250</v>
      </c>
      <c r="F49" s="10" t="s">
        <v>17</v>
      </c>
      <c r="G49" s="10" t="s">
        <v>90</v>
      </c>
      <c r="H49" s="9">
        <v>1000</v>
      </c>
      <c r="I49" s="9">
        <v>1000</v>
      </c>
      <c r="J49" s="11" t="s">
        <v>207</v>
      </c>
      <c r="K49" s="10" t="s">
        <v>251</v>
      </c>
      <c r="L49" s="9"/>
      <c r="M49" s="9"/>
      <c r="N49" s="12" t="s">
        <v>202</v>
      </c>
      <c r="O49" s="12" t="e">
        <f>VLOOKUP(A49,'[1]30-06-26'!$A$2:$T$51,20,0)</f>
        <v>#N/A</v>
      </c>
      <c r="P49" s="12" t="e">
        <f>VLOOKUP(A49,'[2]07-07-26'!$A$2:$T$60,20,0)</f>
        <v>#N/A</v>
      </c>
      <c r="Q49" s="12" t="e">
        <f>VLOOKUP(A49,'[2]14-07-26'!$A$2:$T$60,20,0)</f>
        <v>#N/A</v>
      </c>
      <c r="R49" s="12" t="e">
        <f>VLOOKUP(A49,'[2]21-07-26'!$A$2:$T$54,20,0)</f>
        <v>#N/A</v>
      </c>
      <c r="S49" s="12" t="e">
        <f>VLOOKUP(A49,'[2]28-07-26'!$A$2:$T$54,20,0)</f>
        <v>#N/A</v>
      </c>
      <c r="T49" s="12" t="s">
        <v>284</v>
      </c>
      <c r="U49" s="12" t="s">
        <v>285</v>
      </c>
      <c r="V49" s="12" t="s">
        <v>280</v>
      </c>
      <c r="W49" s="12" t="s">
        <v>281</v>
      </c>
      <c r="X49" s="12"/>
      <c r="Y49" s="12"/>
      <c r="Z49" s="12"/>
      <c r="AA49" s="12"/>
      <c r="AB49" s="12"/>
      <c r="AC49" s="12"/>
      <c r="AD49" s="12"/>
    </row>
  </sheetData>
  <autoFilter ref="A1:AD49" xr:uid="{A92F0814-1C9B-4A81-B3BE-C1F037F15C8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Tripathi</dc:creator>
  <cp:lastModifiedBy>Amit Tripathi</cp:lastModifiedBy>
  <dcterms:created xsi:type="dcterms:W3CDTF">2026-08-03T15:57:15Z</dcterms:created>
  <dcterms:modified xsi:type="dcterms:W3CDTF">2026-08-03T17:32:56Z</dcterms:modified>
</cp:coreProperties>
</file>